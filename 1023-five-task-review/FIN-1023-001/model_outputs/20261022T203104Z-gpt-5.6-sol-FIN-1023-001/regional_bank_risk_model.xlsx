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shboard" sheetId="2" state="visible" r:id="rId4"/>
    <sheet name="Portfolio_Trend" sheetId="3" state="visible" r:id="rId5"/>
    <sheet name="Attribution" sheetId="4" state="visible" r:id="rId6"/>
    <sheet name="Priority_Ranking" sheetId="5" state="visible" r:id="rId7"/>
    <sheet name="Bank_Quarterly" sheetId="6" state="visible" r:id="rId8"/>
    <sheet name="Institution_Map" sheetId="7" state="visible" r:id="rId9"/>
    <sheet name="Source_Recon" sheetId="8" state="visible" r:id="rId10"/>
    <sheet name="Definitions" sheetId="9" state="visible" r:id="rId11"/>
    <sheet name="Raw_Financials" sheetId="10" state="visible" r:id="rId12"/>
  </sheets>
  <definedNames>
    <definedName function="false" hidden="true" localSheetId="3" name="_xlnm._FilterDatabase" vbProcedure="false">Attribution!$A$1:$M$9</definedName>
    <definedName function="false" hidden="true" localSheetId="5" name="_xlnm._FilterDatabase" vbProcedure="false">Bank_Quarterly!$A$4:$AO$750</definedName>
    <definedName function="false" hidden="true" localSheetId="8" name="_xlnm._FilterDatabase" vbProcedure="false">Definitions!$A$1:$H$31</definedName>
    <definedName function="false" hidden="true" localSheetId="6" name="_xlnm._FilterDatabase" vbProcedure="false">Institution_Map!$A$1:$K$58</definedName>
    <definedName function="false" hidden="true" localSheetId="2" name="_xlnm._FilterDatabase" vbProcedure="false">Portfolio_Trend!$A$1:$P$18</definedName>
    <definedName function="false" hidden="true" localSheetId="4" name="_xlnm._FilterDatabase" vbProcedure="false">Priority_Ranking!$A$1:$AB$56</definedName>
    <definedName function="false" hidden="true" localSheetId="9" name="_xlnm._FilterDatabase" vbProcedure="false">Raw_Financials!$A$1:$AH$750</definedName>
    <definedName function="false" hidden="true" localSheetId="7" name="_xlnm._FilterDatabase" vbProcedure="false">Source_Recon!$A$1:$H$18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A1" authorId="0">
      <text>
        <r>
          <rPr>
            <sz val="10"/>
            <rFont val="DejaVu Sans"/>
            <family val="2"/>
          </rPr>
          <t xml:space="preserve">All results derive from the supplied FDIC snapshots. See README and Source_Recon.</t>
        </r>
      </text>
    </comment>
  </commentList>
</comments>
</file>

<file path=xl/sharedStrings.xml><?xml version="1.0" encoding="utf-8"?>
<sst xmlns="http://schemas.openxmlformats.org/spreadsheetml/2006/main" count="6169" uniqueCount="466">
  <si>
    <t xml:space="preserve">Regional Bank Risk Model</t>
  </si>
  <si>
    <t xml:space="preserve">Purpose</t>
  </si>
  <si>
    <t xml:space="preserve">Retrospective, hypothetical management assessment of FDIC-insured institutions in ME, NH and VT, 2022-03-31 through 2025-06-30. Not a national banking-sector inference or regulatory rating.</t>
  </si>
  <si>
    <t xml:space="preserve">As-of date</t>
  </si>
  <si>
    <t xml:space="preserve">2025-06-30. Institution file is a later current snapshot and is used only for CERT mapping and descriptive attributes; ACTIVE is not treated as historical status.</t>
  </si>
  <si>
    <t xml:space="preserve">Coverage</t>
  </si>
  <si>
    <t xml:space="preserve">746 bank-quarter records; 54 unique CERTs; 14 quarter-ends. Period bank counts range from 51 to 54; 52 at 2025-06-30.</t>
  </si>
  <si>
    <t xml:space="preserve">Source reconciliation</t>
  </si>
  <si>
    <t xml:space="preserve">Primary and official supplement have identical 746 CERT/REPDTE keys and zero mismatches in every overlapping field. Supplement supplies ASSET5, NETINCA, NTLNLSA, LNLSGR5, RBC and RWAJT.</t>
  </si>
  <si>
    <t xml:space="preserve">Core calculations</t>
  </si>
  <si>
    <t xml:space="preserve">ROA = annualized net income / average assets; nonaccrual rate = nonaccrual assets / total assets; NCO rate = annualized net charge-offs / average loans; total RBC ratio = RBC / risk-weighted assets. Portfolio ratios are ratio-of-sums.</t>
  </si>
  <si>
    <t xml:space="preserve">Attribution</t>
  </si>
  <si>
    <t xml:space="preserve">Exact endpoint bridge: continuing-bank performance at midpoint weights + continuing-bank denominator-weight mix + entrant effect + exit effect. Entry/exit composition equals entrant plus exit effects. RBC uses only RWAJT &gt; 0 reporters.</t>
  </si>
  <si>
    <t xml:space="preserve">Risk score</t>
  </si>
  <si>
    <t xml:space="preserve">Relative triage only: profitability 25%, credit 25%, funding 15%, capital 20%, trend 15%. Percentile-based; missing RBC ratio is substituted with equity/assets only for triage. It is not a CAMELS or supervisory rating.</t>
  </si>
  <si>
    <t xml:space="preserve">Important limitations</t>
  </si>
  <si>
    <t xml:space="preserve">Public aggregate data cannot establish underwriting quality, criticized/classified assets, collateral values, deposit concentration/cost, uninsured deposits, liquidity buffers, CRE subsegments, ACL adequacy, merger accounting or management quality. Negative NCO indicates recoveries. Zero RBC/RWAJT is treated as not available, not zero capital.</t>
  </si>
  <si>
    <t xml:space="preserve">Guidance use</t>
  </si>
  <si>
    <t xml:space="preserve">FDIC RMS Manual §3.2 file version 3-2026 and OCC credit-risk rating booklet are used as research/forward-review guidance, not evidence available at the analysis date and not a substitute for examination.</t>
  </si>
  <si>
    <t xml:space="preserve">Workbook navigation</t>
  </si>
  <si>
    <t xml:space="preserve">Dashboard: management view. Portfolio_Trend: all quarters. Attribution: endpoint bridge. Priority_Ranking: latest triage. Bank_Quarterly: auditable metrics. Institution_Map and Source_Recon: coverage controls. Raw_Financials: source-level merged fields.</t>
  </si>
  <si>
    <t xml:space="preserve">Units</t>
  </si>
  <si>
    <t xml:space="preserve">Financial statement amounts are $000 as supplied by FDIC; rates and changes are percentage points unless explicitly labeled YoY %.</t>
  </si>
  <si>
    <t xml:space="preserve">Management Dashboard — 2025-06-30</t>
  </si>
  <si>
    <t xml:space="preserve">Hypothetical ME/NH/VT sample; retrospective public-data assessment; not a national-sector conclusion or regulatory rating.</t>
  </si>
  <si>
    <t xml:space="preserve">Sample banks</t>
  </si>
  <si>
    <t xml:space="preserve">Assets ($bn)</t>
  </si>
  <si>
    <t xml:space="preserve">ROA</t>
  </si>
  <si>
    <t xml:space="preserve">Nonaccrual/assets</t>
  </si>
  <si>
    <t xml:space="preserve">Net charge-offs/loans</t>
  </si>
  <si>
    <t xml:space="preserve">Total RBC ratio</t>
  </si>
  <si>
    <t xml:space="preserve">What changed</t>
  </si>
  <si>
    <t xml:space="preserve">• ROA 0.81% → 0.76% since 2022Q1; 2025Q2 improved from 0.66% a year earlier.</t>
  </si>
  <si>
    <t xml:space="preserve">• Nonaccrual assets 0.22% → 0.35%; the 2025Q2 increase is concentrated in several institutions.</t>
  </si>
  <si>
    <t xml:space="preserve">• NCO remains low at 0.027%, so nonaccrual migration has not yet translated into broad realized loss.</t>
  </si>
  <si>
    <t xml:space="preserve">• Total RBC ratio 15.14% → 14.21%; 37 of 52 institutions report positive RWAJT at 2025Q2.</t>
  </si>
  <si>
    <t xml:space="preserve">• Loan/deposit ratio rose from 81.4% to 94.7%; real estate remains 87.3% of loans.</t>
  </si>
  <si>
    <t xml:space="preserve">• Priority 1: Bangor Savings, Union Bank, Merrimack County Savings, Salem Co-operative, Bar Harbor S&amp;L, and Walden Mutual.</t>
  </si>
  <si>
    <t xml:space="preserve">90-day recommendation</t>
  </si>
  <si>
    <t xml:space="preserve">Launch a two-stage review: obtain standardized credit/funding/capital packs from all six Priority 1 banks by day 15; complete asset-quality and funding deep dives by day 45; agree remediation and monthly triggers by day 60; reassess at day 90.</t>
  </si>
  <si>
    <t xml:space="preserve">Portfolio quarterly trend</t>
  </si>
  <si>
    <t xml:space="preserve">Ratio-of-sums; amounts in $000; RBC excludes rows where RWAJT is zero.</t>
  </si>
  <si>
    <t xml:space="preserve">Date</t>
  </si>
  <si>
    <t xml:space="preserve">Banks</t>
  </si>
  <si>
    <t xml:space="preserve">Assets</t>
  </si>
  <si>
    <t xml:space="preserve">Loans</t>
  </si>
  <si>
    <t xml:space="preserve">Deposits</t>
  </si>
  <si>
    <t xml:space="preserve">Nonaccrual</t>
  </si>
  <si>
    <t xml:space="preserve">NCO</t>
  </si>
  <si>
    <t xml:space="preserve">RBC</t>
  </si>
  <si>
    <t xml:space="preserve">RBC_Reporters</t>
  </si>
  <si>
    <t xml:space="preserve">Equity</t>
  </si>
  <si>
    <t xml:space="preserve">NIM</t>
  </si>
  <si>
    <t xml:space="preserve">LoanDeposit</t>
  </si>
  <si>
    <t xml:space="preserve">REShare</t>
  </si>
  <si>
    <t xml:space="preserve">Reserve</t>
  </si>
  <si>
    <t xml:space="preserve">PastDue</t>
  </si>
  <si>
    <t xml:space="preserve">Portfolio change attribution</t>
  </si>
  <si>
    <t xml:space="preserve">2022-03-31 to 2025-06-30; exact midpoint bridge in percentage points. Composition = entrants + exits.</t>
  </si>
  <si>
    <t xml:space="preserve">Identity</t>
  </si>
  <si>
    <t xml:space="preserve">Total change = continuing-institution performance + continuing-institution weight/mix + entrants + exits</t>
  </si>
  <si>
    <t xml:space="preserve">Metric</t>
  </si>
  <si>
    <t xml:space="preserve">Start</t>
  </si>
  <si>
    <t xml:space="preserve">End</t>
  </si>
  <si>
    <t xml:space="preserve">Change</t>
  </si>
  <si>
    <t xml:space="preserve">Performance</t>
  </si>
  <si>
    <t xml:space="preserve">WeightMix</t>
  </si>
  <si>
    <t xml:space="preserve">Entrants</t>
  </si>
  <si>
    <t xml:space="preserve">Exits</t>
  </si>
  <si>
    <t xml:space="preserve">Composition</t>
  </si>
  <si>
    <t xml:space="preserve">Check</t>
  </si>
  <si>
    <t xml:space="preserve">StartN</t>
  </si>
  <si>
    <t xml:space="preserve">EndN</t>
  </si>
  <si>
    <t xml:space="preserve">Continuers</t>
  </si>
  <si>
    <t xml:space="preserve">Nonaccrual assets / assets</t>
  </si>
  <si>
    <t xml:space="preserve">Net charge-offs / loans</t>
  </si>
  <si>
    <t xml:space="preserve">Total risk-based capital ratio</t>
  </si>
  <si>
    <t xml:space="preserve">2025-06-30 priority ranking</t>
  </si>
  <si>
    <t xml:space="preserve">Relative evidence-based triage; high score means more review attention, not regulatory weakness.</t>
  </si>
  <si>
    <t xml:space="preserve">Risk_Rank</t>
  </si>
  <si>
    <t xml:space="preserve">FOLLOW_UP</t>
  </si>
  <si>
    <t xml:space="preserve">CERT</t>
  </si>
  <si>
    <t xml:space="preserve">NAMEFULL</t>
  </si>
  <si>
    <t xml:space="preserve">STALP</t>
  </si>
  <si>
    <t xml:space="preserve">PEER_GROUP</t>
  </si>
  <si>
    <t xml:space="preserve">ASSET</t>
  </si>
  <si>
    <t xml:space="preserve">Risk_Score</t>
  </si>
  <si>
    <t xml:space="preserve">Profit_Risk</t>
  </si>
  <si>
    <t xml:space="preserve">Credit_Risk</t>
  </si>
  <si>
    <t xml:space="preserve">Funding_Risk</t>
  </si>
  <si>
    <t xml:space="preserve">Capital_Risk</t>
  </si>
  <si>
    <t xml:space="preserve">Trend_Risk</t>
  </si>
  <si>
    <t xml:space="preserve">ROA_YOY_PP</t>
  </si>
  <si>
    <t xml:space="preserve">NIMY</t>
  </si>
  <si>
    <t xml:space="preserve">NA_RATE</t>
  </si>
  <si>
    <t xml:space="preserve">NA_YOY_PP</t>
  </si>
  <si>
    <t xml:space="preserve">PASTDUE_RATE</t>
  </si>
  <si>
    <t xml:space="preserve">NTLNLSR</t>
  </si>
  <si>
    <t xml:space="preserve">RBCRWAJ</t>
  </si>
  <si>
    <t xml:space="preserve">EQV</t>
  </si>
  <si>
    <t xml:space="preserve">LOAN_DEP</t>
  </si>
  <si>
    <t xml:space="preserve">ASSET_YOY</t>
  </si>
  <si>
    <t xml:space="preserve">LOAN_YOY</t>
  </si>
  <si>
    <t xml:space="preserve">DEP_YOY</t>
  </si>
  <si>
    <t xml:space="preserve">RE_SHARE</t>
  </si>
  <si>
    <t xml:space="preserve">RESERVE_RATE</t>
  </si>
  <si>
    <t xml:space="preserve">Priority 1</t>
  </si>
  <si>
    <t xml:space="preserve">BANGOR SAVINGS BANK</t>
  </si>
  <si>
    <t xml:space="preserve">ME</t>
  </si>
  <si>
    <t xml:space="preserve">≥ $5bn</t>
  </si>
  <si>
    <t xml:space="preserve">BAR HARBOR SAVINGS AND LOAN ASSOCIATION</t>
  </si>
  <si>
    <t xml:space="preserve">&lt; $250m</t>
  </si>
  <si>
    <t xml:space="preserve">UNION BANK</t>
  </si>
  <si>
    <t xml:space="preserve">VT</t>
  </si>
  <si>
    <t xml:space="preserve">$1bn–$5bn</t>
  </si>
  <si>
    <t xml:space="preserve">MERRIMACK COUNTY SAVINGS BANK</t>
  </si>
  <si>
    <t xml:space="preserve">NH</t>
  </si>
  <si>
    <t xml:space="preserve">SALEM CO-OPERATIVE BANK</t>
  </si>
  <si>
    <t xml:space="preserve">$250m–$1bn</t>
  </si>
  <si>
    <t xml:space="preserve">Routine</t>
  </si>
  <si>
    <t xml:space="preserve">NORTHFIELD SAVINGS BANK</t>
  </si>
  <si>
    <t xml:space="preserve">WALDEN MUTUAL BANK</t>
  </si>
  <si>
    <t xml:space="preserve">Priority 2</t>
  </si>
  <si>
    <t xml:space="preserve">FIRST FEDERAL SAVINGS AND LOAN ASSOCIATION OF BATH</t>
  </si>
  <si>
    <t xml:space="preserve">AUBURN SAVINGS BANK, FSB</t>
  </si>
  <si>
    <t xml:space="preserve">ANDROSCOGGIN SAVINGS BANK</t>
  </si>
  <si>
    <t xml:space="preserve">THE CAMDEN NATIONAL BANK</t>
  </si>
  <si>
    <t xml:space="preserve">MEREDITH VILLAGE SAVINGS BANK</t>
  </si>
  <si>
    <t xml:space="preserve">CLAREMONT SAVINGS BANK</t>
  </si>
  <si>
    <t xml:space="preserve">SACO &amp; BIDDEFORD SAVINGS INSTITUTION</t>
  </si>
  <si>
    <t xml:space="preserve">SUGAR RIVER BANK</t>
  </si>
  <si>
    <t xml:space="preserve">MASCOMA BANK</t>
  </si>
  <si>
    <t xml:space="preserve">PISCATAQUA SAVINGS BANK</t>
  </si>
  <si>
    <t xml:space="preserve">LEDYARD NATIONAL BANK</t>
  </si>
  <si>
    <t xml:space="preserve">BAR HARBOR BANK &amp; TRUST</t>
  </si>
  <si>
    <t xml:space="preserve">FIRST NATIONAL BANK</t>
  </si>
  <si>
    <t xml:space="preserve">FRANKLIN SAVINGS BANK</t>
  </si>
  <si>
    <t xml:space="preserve">FIRST SEACOAST BANK</t>
  </si>
  <si>
    <t xml:space="preserve">THE FIRST NATIONAL BANK OF ORWELL</t>
  </si>
  <si>
    <t xml:space="preserve">KENNEBUNK SAVINGS BANK</t>
  </si>
  <si>
    <t xml:space="preserve">AROOSTOOK COUNTY FEDERAL SAVINGS AND LOAN ASSOCIATION</t>
  </si>
  <si>
    <t xml:space="preserve">PRIMARY BANK</t>
  </si>
  <si>
    <t xml:space="preserve">THE BRATTLEBORO SAVINGS AND LOAN ASSOCIATION</t>
  </si>
  <si>
    <t xml:space="preserve">PARTNERS BANK OF NEW ENGLAND</t>
  </si>
  <si>
    <t xml:space="preserve">NORWAY SAVINGS BANK</t>
  </si>
  <si>
    <t xml:space="preserve">ROCKLAND SAVINGS BANK, FSB</t>
  </si>
  <si>
    <t xml:space="preserve">MACHIAS SAVINGS BANK</t>
  </si>
  <si>
    <t xml:space="preserve">COMMUNITY NATIONAL BANK</t>
  </si>
  <si>
    <t xml:space="preserve">BANK OF NEW HAMPSHIRE</t>
  </si>
  <si>
    <t xml:space="preserve">KENNEBEC SAVINGS BANK</t>
  </si>
  <si>
    <t xml:space="preserve">PROFILE BANK</t>
  </si>
  <si>
    <t xml:space="preserve">THE MILLYARD BANK</t>
  </si>
  <si>
    <t xml:space="preserve">WOODSVILLE GUARANTY SAVINGS BANK</t>
  </si>
  <si>
    <t xml:space="preserve">WELLS RIVER SAVINGS BANK</t>
  </si>
  <si>
    <t xml:space="preserve">THE BANK OF BENNINGTON</t>
  </si>
  <si>
    <t xml:space="preserve">PASSUMPSIC SAVINGS BANK</t>
  </si>
  <si>
    <t xml:space="preserve">BATH SAVINGS INSTITUTION</t>
  </si>
  <si>
    <t xml:space="preserve">SAVINGS BANK OF WALPOLE</t>
  </si>
  <si>
    <t xml:space="preserve">NORTHEAST BANK</t>
  </si>
  <si>
    <t xml:space="preserve">KATAHDIN TRUST COMPANY</t>
  </si>
  <si>
    <t xml:space="preserve">BANK OF BURLINGTON</t>
  </si>
  <si>
    <t xml:space="preserve">MAINE COMMUNITY BANK</t>
  </si>
  <si>
    <t xml:space="preserve">PEOPLES TRUST COMPANY OF ST. ALBANS</t>
  </si>
  <si>
    <t xml:space="preserve">BANK OF NEW ENGLAND</t>
  </si>
  <si>
    <t xml:space="preserve">SKOWHEGAN SAVINGS BANK</t>
  </si>
  <si>
    <t xml:space="preserve">THE NATIONAL BANK OF MIDDLEBURY</t>
  </si>
  <si>
    <t xml:space="preserve">FIDELITY PERSONAL TRUST COMPANY, FSB</t>
  </si>
  <si>
    <t xml:space="preserve">Bank-quarter analytical detail</t>
  </si>
  <si>
    <t xml:space="preserve">Source values plus calculated operating, credit, funding, structure and trend fields. Filter by CERT or institution.</t>
  </si>
  <si>
    <t xml:space="preserve">REPDTE_DT</t>
  </si>
  <si>
    <t xml:space="preserve">ASSET5</t>
  </si>
  <si>
    <t xml:space="preserve">DEP</t>
  </si>
  <si>
    <t xml:space="preserve">EQ</t>
  </si>
  <si>
    <t xml:space="preserve">LNLSGR</t>
  </si>
  <si>
    <t xml:space="preserve">LNLSGR5</t>
  </si>
  <si>
    <t xml:space="preserve">LNRE</t>
  </si>
  <si>
    <t xml:space="preserve">LNCI</t>
  </si>
  <si>
    <t xml:space="preserve">LNCON</t>
  </si>
  <si>
    <t xml:space="preserve">NAASSET</t>
  </si>
  <si>
    <t xml:space="preserve">P3ASSET</t>
  </si>
  <si>
    <t xml:space="preserve">P9ASSET</t>
  </si>
  <si>
    <t xml:space="preserve">NTLNLSA</t>
  </si>
  <si>
    <t xml:space="preserve">RWAJT</t>
  </si>
  <si>
    <t xml:space="preserve">NETINCA</t>
  </si>
  <si>
    <t xml:space="preserve">ROE</t>
  </si>
  <si>
    <t xml:space="preserve">LNATRESR</t>
  </si>
  <si>
    <t xml:space="preserve">Nonaccrual %</t>
  </si>
  <si>
    <t xml:space="preserve">Past due %</t>
  </si>
  <si>
    <t xml:space="preserve">NCO % calc</t>
  </si>
  <si>
    <t xml:space="preserve">RBC % calc</t>
  </si>
  <si>
    <t xml:space="preserve">ROA % calc</t>
  </si>
  <si>
    <t xml:space="preserve">Loan/deposit %</t>
  </si>
  <si>
    <t xml:space="preserve">RE loan share %</t>
  </si>
  <si>
    <t xml:space="preserve">C&amp;I share %</t>
  </si>
  <si>
    <t xml:space="preserve">Consumer share %</t>
  </si>
  <si>
    <t xml:space="preserve">NORTHWAY BANK</t>
  </si>
  <si>
    <t xml:space="preserve">GORHAM SAVINGS BANK</t>
  </si>
  <si>
    <t xml:space="preserve">Institution mapping</t>
  </si>
  <si>
    <t xml:space="preserve">Later institution snapshot; one row per financial-sample CERT. ACTIVE is current-snapshot context, not historical status.</t>
  </si>
  <si>
    <t xml:space="preserve">NAME</t>
  </si>
  <si>
    <t xml:space="preserve">ACTIVE</t>
  </si>
  <si>
    <t xml:space="preserve">REPDTE</t>
  </si>
  <si>
    <t xml:space="preserve">BKCLASS</t>
  </si>
  <si>
    <t xml:space="preserve">CHRTAGNT</t>
  </si>
  <si>
    <t xml:space="preserve">MUTUAL</t>
  </si>
  <si>
    <t xml:space="preserve">ESTYMD</t>
  </si>
  <si>
    <t xml:space="preserve">CITY</t>
  </si>
  <si>
    <t xml:space="preserve">COUNTY</t>
  </si>
  <si>
    <t xml:space="preserve">The Camden National Bank</t>
  </si>
  <si>
    <t xml:space="preserve">06/30/2026</t>
  </si>
  <si>
    <t xml:space="preserve">N</t>
  </si>
  <si>
    <t xml:space="preserve">OCC</t>
  </si>
  <si>
    <t xml:space="preserve">01/01/1875</t>
  </si>
  <si>
    <t xml:space="preserve">Camden</t>
  </si>
  <si>
    <t xml:space="preserve">Knox</t>
  </si>
  <si>
    <t xml:space="preserve">First National Bank</t>
  </si>
  <si>
    <t xml:space="preserve">04/19/1864</t>
  </si>
  <si>
    <t xml:space="preserve">Damariscotta</t>
  </si>
  <si>
    <t xml:space="preserve">Lincoln</t>
  </si>
  <si>
    <t xml:space="preserve">Community National Bank</t>
  </si>
  <si>
    <t xml:space="preserve">01/15/1851</t>
  </si>
  <si>
    <t xml:space="preserve">Derby</t>
  </si>
  <si>
    <t xml:space="preserve">Orleans</t>
  </si>
  <si>
    <t xml:space="preserve">The National Bank of Middlebury</t>
  </si>
  <si>
    <t xml:space="preserve">11/09/1831</t>
  </si>
  <si>
    <t xml:space="preserve">Middlebury</t>
  </si>
  <si>
    <t xml:space="preserve">Addison</t>
  </si>
  <si>
    <t xml:space="preserve">The First National Bank of Orwell</t>
  </si>
  <si>
    <t xml:space="preserve">01/01/1863</t>
  </si>
  <si>
    <t xml:space="preserve">Orwell</t>
  </si>
  <si>
    <t xml:space="preserve">Bar Harbor Bank &amp; Trust</t>
  </si>
  <si>
    <t xml:space="preserve">NM</t>
  </si>
  <si>
    <t xml:space="preserve">STATE</t>
  </si>
  <si>
    <t xml:space="preserve">09/15/1887</t>
  </si>
  <si>
    <t xml:space="preserve">Bar Harbor</t>
  </si>
  <si>
    <t xml:space="preserve">Hancock</t>
  </si>
  <si>
    <t xml:space="preserve">Katahdin Trust Company</t>
  </si>
  <si>
    <t xml:space="preserve">03/07/1918</t>
  </si>
  <si>
    <t xml:space="preserve">Patten</t>
  </si>
  <si>
    <t xml:space="preserve">Penobscot</t>
  </si>
  <si>
    <t xml:space="preserve">Kennebunk Savings Bank</t>
  </si>
  <si>
    <t xml:space="preserve">SI</t>
  </si>
  <si>
    <t xml:space="preserve">05/01/1871</t>
  </si>
  <si>
    <t xml:space="preserve">Kennebunk</t>
  </si>
  <si>
    <t xml:space="preserve">York</t>
  </si>
  <si>
    <t xml:space="preserve">Passumpsic Savings Bank</t>
  </si>
  <si>
    <t xml:space="preserve">02/24/1853</t>
  </si>
  <si>
    <t xml:space="preserve">Saint Johnsbury</t>
  </si>
  <si>
    <t xml:space="preserve">Caledonia</t>
  </si>
  <si>
    <t xml:space="preserve">Wells River Savings Bank</t>
  </si>
  <si>
    <t xml:space="preserve">01/01/1892</t>
  </si>
  <si>
    <t xml:space="preserve">Wells River</t>
  </si>
  <si>
    <t xml:space="preserve">Orange</t>
  </si>
  <si>
    <t xml:space="preserve">Northfield Savings Bank</t>
  </si>
  <si>
    <t xml:space="preserve">11/21/1867</t>
  </si>
  <si>
    <t xml:space="preserve">Northfield</t>
  </si>
  <si>
    <t xml:space="preserve">Washington</t>
  </si>
  <si>
    <t xml:space="preserve">Union Bank</t>
  </si>
  <si>
    <t xml:space="preserve">01/01/1891</t>
  </si>
  <si>
    <t xml:space="preserve">Morrisville</t>
  </si>
  <si>
    <t xml:space="preserve">Lamoille</t>
  </si>
  <si>
    <t xml:space="preserve">Peoples Trust Company of St. Albans</t>
  </si>
  <si>
    <t xml:space="preserve">11/12/1866</t>
  </si>
  <si>
    <t xml:space="preserve">Saint Albans</t>
  </si>
  <si>
    <t xml:space="preserve">Franklin</t>
  </si>
  <si>
    <t xml:space="preserve">Northway Bank</t>
  </si>
  <si>
    <t xml:space="preserve">12/31/2024</t>
  </si>
  <si>
    <t xml:space="preserve">01/01/1934</t>
  </si>
  <si>
    <t xml:space="preserve">Berlin</t>
  </si>
  <si>
    <t xml:space="preserve">Coos</t>
  </si>
  <si>
    <t xml:space="preserve">Partners Bank of New England</t>
  </si>
  <si>
    <t xml:space="preserve">11/01/1933</t>
  </si>
  <si>
    <t xml:space="preserve">Sanford</t>
  </si>
  <si>
    <t xml:space="preserve">Meredith Village Savings Bank</t>
  </si>
  <si>
    <t xml:space="preserve">01/01/1869</t>
  </si>
  <si>
    <t xml:space="preserve">Meredith</t>
  </si>
  <si>
    <t xml:space="preserve">Belknap</t>
  </si>
  <si>
    <t xml:space="preserve">Piscataqua Savings Bank</t>
  </si>
  <si>
    <t xml:space="preserve">01/01/1877</t>
  </si>
  <si>
    <t xml:space="preserve">Portsmouth</t>
  </si>
  <si>
    <t xml:space="preserve">Rockingham</t>
  </si>
  <si>
    <t xml:space="preserve">Norway Savings Bank</t>
  </si>
  <si>
    <t xml:space="preserve">01/01/1866</t>
  </si>
  <si>
    <t xml:space="preserve">Norway</t>
  </si>
  <si>
    <t xml:space="preserve">Oxford</t>
  </si>
  <si>
    <t xml:space="preserve">Maine Community Bank</t>
  </si>
  <si>
    <t xml:space="preserve">07/27/1867</t>
  </si>
  <si>
    <t xml:space="preserve">Portland</t>
  </si>
  <si>
    <t xml:space="preserve">Cumberland</t>
  </si>
  <si>
    <t xml:space="preserve">Saco &amp; Biddeford Savings Institution</t>
  </si>
  <si>
    <t xml:space="preserve">02/21/1827</t>
  </si>
  <si>
    <t xml:space="preserve">Saco</t>
  </si>
  <si>
    <t xml:space="preserve">Gorham Savings Bank</t>
  </si>
  <si>
    <t xml:space="preserve">01/01/1868</t>
  </si>
  <si>
    <t xml:space="preserve">Gorham</t>
  </si>
  <si>
    <t xml:space="preserve">Bath Savings Institution</t>
  </si>
  <si>
    <t xml:space="preserve">04/19/1852</t>
  </si>
  <si>
    <t xml:space="preserve">Bath</t>
  </si>
  <si>
    <t xml:space="preserve">Sagadahoc</t>
  </si>
  <si>
    <t xml:space="preserve">Androscoggin Savings Bank</t>
  </si>
  <si>
    <t xml:space="preserve">01/01/1870</t>
  </si>
  <si>
    <t xml:space="preserve">Lewiston</t>
  </si>
  <si>
    <t xml:space="preserve">Androscoggin</t>
  </si>
  <si>
    <t xml:space="preserve">Kennebec Savings Bank</t>
  </si>
  <si>
    <t xml:space="preserve">03/19/1870</t>
  </si>
  <si>
    <t xml:space="preserve">Augusta</t>
  </si>
  <si>
    <t xml:space="preserve">Kennebec</t>
  </si>
  <si>
    <t xml:space="preserve">Franklin Savings Bank</t>
  </si>
  <si>
    <t xml:space="preserve">06/30/1869</t>
  </si>
  <si>
    <t xml:space="preserve">Merrimack</t>
  </si>
  <si>
    <t xml:space="preserve">Merrimack County Savings Bank</t>
  </si>
  <si>
    <t xml:space="preserve">01/01/1867</t>
  </si>
  <si>
    <t xml:space="preserve">Concord</t>
  </si>
  <si>
    <t xml:space="preserve">Bank of New Hampshire</t>
  </si>
  <si>
    <t xml:space="preserve">SM</t>
  </si>
  <si>
    <t xml:space="preserve">07/02/1831</t>
  </si>
  <si>
    <t xml:space="preserve">Laconia</t>
  </si>
  <si>
    <t xml:space="preserve">Mascoma Bank</t>
  </si>
  <si>
    <t xml:space="preserve">01/01/1899</t>
  </si>
  <si>
    <t xml:space="preserve">Lebanon</t>
  </si>
  <si>
    <t xml:space="preserve">Grafton</t>
  </si>
  <si>
    <t xml:space="preserve">Sugar River Bank</t>
  </si>
  <si>
    <t xml:space="preserve">01/01/1895</t>
  </si>
  <si>
    <t xml:space="preserve">Newport</t>
  </si>
  <si>
    <t xml:space="preserve">Sullivan</t>
  </si>
  <si>
    <t xml:space="preserve">Savings Bank of Walpole</t>
  </si>
  <si>
    <t xml:space="preserve">07/21/1875</t>
  </si>
  <si>
    <t xml:space="preserve">Walpole</t>
  </si>
  <si>
    <t xml:space="preserve">Cheshire</t>
  </si>
  <si>
    <t xml:space="preserve">Woodsville Guaranty Savings Bank</t>
  </si>
  <si>
    <t xml:space="preserve">06/30/2025</t>
  </si>
  <si>
    <t xml:space="preserve">01/01/1889</t>
  </si>
  <si>
    <t xml:space="preserve">Woodsville</t>
  </si>
  <si>
    <t xml:space="preserve">Claremont Savings Bank</t>
  </si>
  <si>
    <t xml:space="preserve">04/15/1907</t>
  </si>
  <si>
    <t xml:space="preserve">Claremont</t>
  </si>
  <si>
    <t xml:space="preserve">Bangor Savings Bank</t>
  </si>
  <si>
    <t xml:space="preserve">02/14/1852</t>
  </si>
  <si>
    <t xml:space="preserve">Bangor</t>
  </si>
  <si>
    <t xml:space="preserve">Machias Savings Bank</t>
  </si>
  <si>
    <t xml:space="preserve">03/05/1869</t>
  </si>
  <si>
    <t xml:space="preserve">Machias</t>
  </si>
  <si>
    <t xml:space="preserve">Skowhegan Savings Bank</t>
  </si>
  <si>
    <t xml:space="preserve">10/02/1869</t>
  </si>
  <si>
    <t xml:space="preserve">Skowhegan</t>
  </si>
  <si>
    <t xml:space="preserve">Somerset</t>
  </si>
  <si>
    <t xml:space="preserve">Northeast Bank</t>
  </si>
  <si>
    <t xml:space="preserve">02/05/1872</t>
  </si>
  <si>
    <t xml:space="preserve">11/16/1868</t>
  </si>
  <si>
    <t xml:space="preserve">Farmington</t>
  </si>
  <si>
    <t xml:space="preserve">Bank of New England</t>
  </si>
  <si>
    <t xml:space="preserve">06/24/1983</t>
  </si>
  <si>
    <t xml:space="preserve">Salem</t>
  </si>
  <si>
    <t xml:space="preserve">Salem Co-operative Bank</t>
  </si>
  <si>
    <t xml:space="preserve">SL</t>
  </si>
  <si>
    <t xml:space="preserve">01/01/1922</t>
  </si>
  <si>
    <t xml:space="preserve">Profile Bank</t>
  </si>
  <si>
    <t xml:space="preserve">01/01/1907</t>
  </si>
  <si>
    <t xml:space="preserve">Rochester</t>
  </si>
  <si>
    <t xml:space="preserve">Strafford</t>
  </si>
  <si>
    <t xml:space="preserve">Auburn Savings Bank, FSB</t>
  </si>
  <si>
    <t xml:space="preserve">SB</t>
  </si>
  <si>
    <t xml:space="preserve">01/01/1887</t>
  </si>
  <si>
    <t xml:space="preserve">Auburn</t>
  </si>
  <si>
    <t xml:space="preserve">Rockland Savings Bank, FSB</t>
  </si>
  <si>
    <t xml:space="preserve">01/01/1888</t>
  </si>
  <si>
    <t xml:space="preserve">Rockland</t>
  </si>
  <si>
    <t xml:space="preserve">The Brattleboro Savings and Loan Association</t>
  </si>
  <si>
    <t xml:space="preserve">01/01/1912</t>
  </si>
  <si>
    <t xml:space="preserve">Brattleboro</t>
  </si>
  <si>
    <t xml:space="preserve">Windham</t>
  </si>
  <si>
    <t xml:space="preserve">First Federal Savings and Loan Association of Bath</t>
  </si>
  <si>
    <t xml:space="preserve">01/01/1935</t>
  </si>
  <si>
    <t xml:space="preserve">Aroostook County Federal Savings and Loan Association</t>
  </si>
  <si>
    <t xml:space="preserve">07/29/1936</t>
  </si>
  <si>
    <t xml:space="preserve">Caribou</t>
  </si>
  <si>
    <t xml:space="preserve">Aroostook</t>
  </si>
  <si>
    <t xml:space="preserve">First Seacoast Bank</t>
  </si>
  <si>
    <t xml:space="preserve">01/01/1890</t>
  </si>
  <si>
    <t xml:space="preserve">Dover</t>
  </si>
  <si>
    <t xml:space="preserve">The Bank of Bennington</t>
  </si>
  <si>
    <t xml:space="preserve">01/01/1917</t>
  </si>
  <si>
    <t xml:space="preserve">Bennington</t>
  </si>
  <si>
    <t xml:space="preserve">Bar Harbor Savings and Loan Association</t>
  </si>
  <si>
    <t xml:space="preserve">01/01/1902</t>
  </si>
  <si>
    <t xml:space="preserve">Ledyard National Bank</t>
  </si>
  <si>
    <t xml:space="preserve">05/22/1991</t>
  </si>
  <si>
    <t xml:space="preserve">Norwich</t>
  </si>
  <si>
    <t xml:space="preserve">Windsor</t>
  </si>
  <si>
    <t xml:space="preserve">Fidelity Personal Trust Company, FSB</t>
  </si>
  <si>
    <t xml:space="preserve">05/15/2000</t>
  </si>
  <si>
    <t xml:space="preserve">Hillsborough</t>
  </si>
  <si>
    <t xml:space="preserve">Primary Bank</t>
  </si>
  <si>
    <t xml:space="preserve">07/28/2015</t>
  </si>
  <si>
    <t xml:space="preserve">Bedford</t>
  </si>
  <si>
    <t xml:space="preserve">The Millyard Bank</t>
  </si>
  <si>
    <t xml:space="preserve">11/21/2019</t>
  </si>
  <si>
    <t xml:space="preserve">Nashua</t>
  </si>
  <si>
    <t xml:space="preserve">Walden Mutual Bank</t>
  </si>
  <si>
    <t xml:space="preserve">10/05/2022</t>
  </si>
  <si>
    <t xml:space="preserve">Business Bank, The</t>
  </si>
  <si>
    <t xml:space="preserve">08/02/2022</t>
  </si>
  <si>
    <t xml:space="preserve">S Burlington</t>
  </si>
  <si>
    <t xml:space="preserve">Chittenden</t>
  </si>
  <si>
    <t xml:space="preserve">Primary versus official supplement; all keys and overlapping values checked before use.</t>
  </si>
  <si>
    <t xml:space="preserve">Test</t>
  </si>
  <si>
    <t xml:space="preserve">Primary</t>
  </si>
  <si>
    <t xml:space="preserve">Supplement</t>
  </si>
  <si>
    <t xml:space="preserve">Pass</t>
  </si>
  <si>
    <t xml:space="preserve">Detail</t>
  </si>
  <si>
    <t xml:space="preserve">Row count</t>
  </si>
  <si>
    <t xml:space="preserve">Unique CERT/REPDTE keys</t>
  </si>
  <si>
    <t xml:space="preserve">No duplicate keys</t>
  </si>
  <si>
    <t xml:space="preserve">0 mismatches</t>
  </si>
  <si>
    <t xml:space="preserve">ID</t>
  </si>
  <si>
    <t xml:space="preserve">LNLSNET</t>
  </si>
  <si>
    <t xml:space="preserve">NCLNLSR</t>
  </si>
  <si>
    <t xml:space="preserve">NTLNLS</t>
  </si>
  <si>
    <t xml:space="preserve">Official field definitions</t>
  </si>
  <si>
    <t xml:space="preserve">Extracted from supplied financial_definitions.yaml; analytical formulas and limitations are documented in README.</t>
  </si>
  <si>
    <t xml:space="preserve">Field</t>
  </si>
  <si>
    <t xml:space="preserve">Official title</t>
  </si>
  <si>
    <t xml:space="preserve">Official description</t>
  </si>
  <si>
    <t xml:space="preserve">Official formula metadata</t>
  </si>
  <si>
    <t xml:space="preserve">Total assets</t>
  </si>
  <si>
    <t xml:space="preserve">The sum of all assets owned by the institution including cash, loans, securities, bank premises and other assets. This total does not include off-balance-sheet accounts.</t>
  </si>
  <si>
    <t xml:space="preserve">TOTAL ASSETS-CAVG5</t>
  </si>
  <si>
    <t xml:space="preserve">Total deposits</t>
  </si>
  <si>
    <t xml:space="preserve">The sum of all deposits including demand deposits, money market deposits, other savings deposits, time deposits and deposits in foreign offices.</t>
  </si>
  <si>
    <t xml:space="preserve">Equity capital</t>
  </si>
  <si>
    <t xml:space="preserve">Total equity capital (includes preferred and common stock, surplus and undivided profits).</t>
  </si>
  <si>
    <t xml:space="preserve">BANK EQUITY CAPITAL/ASSETS</t>
  </si>
  <si>
    <t xml:space="preserve">{"type": "percentage", "parameters": {"setField": "EQV", "numerator": "EQ", "denominator": "ASSET"}}</t>
  </si>
  <si>
    <t xml:space="preserve">LOAN LOSS RESERVE/GROSS LN&amp;LS</t>
  </si>
  <si>
    <t xml:space="preserve">{"type": "percentage", "parameters": {"setField": "LNATRESR", "numerator": "LNATRES", "denominator": "LNLSGR"}}</t>
  </si>
  <si>
    <t xml:space="preserve">C&amp;I LOANS</t>
  </si>
  <si>
    <t xml:space="preserve">CONSUMER LOANS</t>
  </si>
  <si>
    <t xml:space="preserve">LOANS AND LEASES-TOTAL</t>
  </si>
  <si>
    <t xml:space="preserve">LOANS AND LEASES-TOTAL-CAVG5</t>
  </si>
  <si>
    <t xml:space="preserve">LOANS AND LEASES-NET</t>
  </si>
  <si>
    <t xml:space="preserve">RE LOANS</t>
  </si>
  <si>
    <t xml:space="preserve">NONACCRUAL-TOTAL ASSETS</t>
  </si>
  <si>
    <t xml:space="preserve">N/C LNS &amp; LS/GROSS LNS &amp; LS</t>
  </si>
  <si>
    <t xml:space="preserve">{"type": "percentage", "parameters": {"setField": "NCLNLSR", "numerator": "NCLNLS", "denominator": "LNLSGRJ"}}</t>
  </si>
  <si>
    <t xml:space="preserve">NET INCOME- BANK- ANN</t>
  </si>
  <si>
    <t xml:space="preserve">NET INTEREST MARGIN</t>
  </si>
  <si>
    <t xml:space="preserve">{"type": "percentage", "parameters": {"setField": "NIMY", "numerator": "NIMA", "denominator": "ERNAST5"}}</t>
  </si>
  <si>
    <t xml:space="preserve">TOTAL LN&amp;LS NET CHARGE-OFFS</t>
  </si>
  <si>
    <t xml:space="preserve">TOTAL LN&amp;LS NET-CHG-ANN</t>
  </si>
  <si>
    <t xml:space="preserve">NET CHARGE-OFFS/LOANS &amp; LEASES</t>
  </si>
  <si>
    <t xml:space="preserve">{"type": "percentage", "parameters": {"setField": "NTLNLSR", "numerator": "NTLNLSA", "denominator": "LNLSGR5"}}</t>
  </si>
  <si>
    <t xml:space="preserve">30-89 DAYS P/D-TOTAL ASSETS</t>
  </si>
  <si>
    <t xml:space="preserve">90+ DAYS P/D-TOTAL ASSETS</t>
  </si>
  <si>
    <t xml:space="preserve">RBC-TOTAL-PCA</t>
  </si>
  <si>
    <t xml:space="preserve">TOTAL RBC RATIO-PCA</t>
  </si>
  <si>
    <t xml:space="preserve">{"type": "percentage", "parameters": {"setField": "RBCRWAJ", "numerator": "RBC", "denominator": "RWAJT"}}</t>
  </si>
  <si>
    <t xml:space="preserve">Return on assets (ROA)</t>
  </si>
  <si>
    <t xml:space="preserve">Net income after taxes and extraordinary items (annualized) as a percent of average total assets.</t>
  </si>
  <si>
    <t xml:space="preserve">{"type": "percentage", "parameters": {"setField": "ROA", "numerator": "NETINCA", "denominator": "ASSET5"}}</t>
  </si>
  <si>
    <t xml:space="preserve">Return on Equity (ROE)</t>
  </si>
  <si>
    <t xml:space="preserve">Annualized net income as a percent of average equity on a consolidated basis.     Note: If retained earnings are  negative, the ratio is shown as NA.</t>
  </si>
  <si>
    <t xml:space="preserve">RWA-ADJUSTED-PCA-TOTAL RBC RAT</t>
  </si>
  <si>
    <t xml:space="preserve">ELNATRY</t>
  </si>
  <si>
    <t xml:space="preserve">CREDIT LOSS PROV/AVE ASSETS</t>
  </si>
  <si>
    <t xml:space="preserve">Merged source financials</t>
  </si>
  <si>
    <t xml:space="preserve">Primary snapshot plus non-overlapping supplemental fields; amounts in $000 as supplied.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</si>
</sst>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"/>
    <numFmt numFmtId="167" formatCode="0.00\%"/>
    <numFmt numFmtId="168" formatCode="yyyy\-mm\-dd"/>
    <numFmt numFmtId="169" formatCode="0.00"/>
    <numFmt numFmtId="170" formatCode="0.000"/>
    <numFmt numFmtId="171" formatCode="0.000000"/>
    <numFmt numFmtId="172" formatCode="yyyy\-mm\-dd\ hh:mm:ss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17365D"/>
      <name val="Cambria"/>
      <family val="0"/>
      <charset val="1"/>
    </font>
    <font>
      <b val="true"/>
      <sz val="14"/>
      <color rgb="FF17365D"/>
      <name val="Cambria"/>
      <family val="0"/>
      <charset val="1"/>
    </font>
    <font>
      <sz val="1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4A7EBB"/>
      </patternFill>
    </fill>
    <fill>
      <patternFill patternType="solid">
        <fgColor rgb="FFED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4">
    <dxf>
      <fill>
        <patternFill patternType="solid">
          <fgColor rgb="FF2F75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6CC7D"/>
          <bgColor rgb="FF000000"/>
        </patternFill>
      </fill>
    </dxf>
    <dxf>
      <fill>
        <patternFill patternType="solid">
          <fgColor rgb="FFA4D17E"/>
          <bgColor rgb="FF000000"/>
        </patternFill>
      </fill>
    </dxf>
    <dxf>
      <fill>
        <patternFill patternType="solid">
          <fgColor rgb="FFBED880"/>
          <bgColor rgb="FF000000"/>
        </patternFill>
      </fill>
    </dxf>
    <dxf>
      <fill>
        <patternFill patternType="solid">
          <fgColor rgb="FFC3D980"/>
          <bgColor rgb="FF000000"/>
        </patternFill>
      </fill>
    </dxf>
    <dxf>
      <fill>
        <patternFill patternType="solid">
          <fgColor rgb="FFCEDD81"/>
          <bgColor rgb="FF000000"/>
        </patternFill>
      </fill>
    </dxf>
    <dxf>
      <fill>
        <patternFill patternType="solid">
          <fgColor rgb="FFD1DD81"/>
          <bgColor rgb="FF000000"/>
        </patternFill>
      </fill>
    </dxf>
    <dxf>
      <fill>
        <patternFill patternType="solid">
          <fgColor rgb="FFD2DE81"/>
          <bgColor rgb="FF000000"/>
        </patternFill>
      </fill>
    </dxf>
    <dxf>
      <fill>
        <patternFill patternType="solid">
          <fgColor rgb="FFD4DE81"/>
          <bgColor rgb="FF000000"/>
        </patternFill>
      </fill>
    </dxf>
    <dxf>
      <fill>
        <patternFill patternType="solid">
          <fgColor rgb="FFDAE081"/>
          <bgColor rgb="FF000000"/>
        </patternFill>
      </fill>
    </dxf>
    <dxf>
      <fill>
        <patternFill patternType="solid">
          <fgColor rgb="FFE1E282"/>
          <bgColor rgb="FF000000"/>
        </patternFill>
      </fill>
    </dxf>
    <dxf>
      <fill>
        <patternFill patternType="solid">
          <fgColor rgb="FFE9E482"/>
          <bgColor rgb="FF000000"/>
        </patternFill>
      </fill>
    </dxf>
    <dxf>
      <fill>
        <patternFill patternType="solid">
          <fgColor rgb="FFEAE582"/>
          <bgColor rgb="FF000000"/>
        </patternFill>
      </fill>
    </dxf>
    <dxf>
      <fill>
        <patternFill patternType="solid">
          <fgColor rgb="FFEBE582"/>
          <bgColor rgb="FF000000"/>
        </patternFill>
      </fill>
    </dxf>
    <dxf>
      <fill>
        <patternFill patternType="solid">
          <fgColor rgb="FFEEE683"/>
          <bgColor rgb="FF000000"/>
        </patternFill>
      </fill>
    </dxf>
    <dxf>
      <fill>
        <patternFill patternType="solid">
          <fgColor rgb="FFEFE683"/>
          <bgColor rgb="FF000000"/>
        </patternFill>
      </fill>
    </dxf>
    <dxf>
      <fill>
        <patternFill patternType="solid">
          <fgColor rgb="FFF4E883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7E8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E883"/>
          <bgColor rgb="FF000000"/>
        </patternFill>
      </fill>
    </dxf>
    <dxf>
      <fill>
        <patternFill patternType="solid">
          <fgColor rgb="FFF8E983"/>
          <bgColor rgb="FF000000"/>
        </patternFill>
      </fill>
    </dxf>
    <dxf>
      <fill>
        <patternFill patternType="solid">
          <fgColor rgb="FFF9786E"/>
          <bgColor rgb="FF000000"/>
        </patternFill>
      </fill>
    </dxf>
    <dxf>
      <fill>
        <patternFill patternType="solid">
          <fgColor rgb="FFFA7D6F"/>
          <bgColor rgb="FF000000"/>
        </patternFill>
      </fill>
    </dxf>
    <dxf>
      <fill>
        <patternFill patternType="solid">
          <fgColor rgb="FFFA8A72"/>
          <bgColor rgb="FF000000"/>
        </patternFill>
      </fill>
    </dxf>
    <dxf>
      <fill>
        <patternFill patternType="solid">
          <fgColor rgb="FFFAE983"/>
          <bgColor rgb="FF000000"/>
        </patternFill>
      </fill>
    </dxf>
    <dxf>
      <fill>
        <patternFill patternType="solid">
          <fgColor rgb="FFFB9173"/>
          <bgColor rgb="FF000000"/>
        </patternFill>
      </fill>
    </dxf>
    <dxf>
      <fill>
        <patternFill patternType="solid">
          <fgColor rgb="FFFB9E76"/>
          <bgColor rgb="FF000000"/>
        </patternFill>
      </fill>
    </dxf>
    <dxf>
      <fill>
        <patternFill patternType="solid">
          <fgColor rgb="FFFBE983"/>
          <bgColor rgb="FF000000"/>
        </patternFill>
      </fill>
    </dxf>
    <dxf>
      <fill>
        <patternFill patternType="solid">
          <fgColor rgb="FFFCA477"/>
          <bgColor rgb="FF000000"/>
        </patternFill>
      </fill>
    </dxf>
    <dxf>
      <fill>
        <patternFill patternType="solid">
          <fgColor rgb="FFFCA677"/>
          <bgColor rgb="FF000000"/>
        </patternFill>
      </fill>
    </dxf>
    <dxf>
      <fill>
        <patternFill patternType="solid">
          <fgColor rgb="FFFCEA83"/>
          <bgColor rgb="FF000000"/>
        </patternFill>
      </fill>
    </dxf>
    <dxf>
      <fill>
        <patternFill patternType="solid">
          <fgColor rgb="FFFDB77A"/>
          <bgColor rgb="FF000000"/>
        </patternFill>
      </fill>
    </dxf>
    <dxf>
      <fill>
        <patternFill patternType="solid">
          <fgColor rgb="FFFDB97B"/>
          <bgColor rgb="FF000000"/>
        </patternFill>
      </fill>
    </dxf>
    <dxf>
      <fill>
        <patternFill patternType="solid">
          <fgColor rgb="FFFDBC7B"/>
          <bgColor rgb="FF000000"/>
        </patternFill>
      </fill>
    </dxf>
    <dxf>
      <fill>
        <patternFill patternType="solid">
          <fgColor rgb="FFFDC57D"/>
          <bgColor rgb="FF000000"/>
        </patternFill>
      </fill>
    </dxf>
    <dxf>
      <fill>
        <patternFill patternType="solid">
          <fgColor rgb="FFFDEA83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EC97E"/>
          <bgColor rgb="FF000000"/>
        </patternFill>
      </fill>
    </dxf>
    <dxf>
      <fill>
        <patternFill patternType="solid">
          <fgColor rgb="FFFECB7E"/>
          <bgColor rgb="FF000000"/>
        </patternFill>
      </fill>
    </dxf>
    <dxf>
      <fill>
        <patternFill patternType="solid">
          <fgColor rgb="FFFECE7F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ED07F"/>
          <bgColor rgb="FF000000"/>
        </patternFill>
      </fill>
    </dxf>
    <dxf>
      <fill>
        <patternFill patternType="solid">
          <fgColor rgb="FFFED580"/>
          <bgColor rgb="FF000000"/>
        </patternFill>
      </fill>
    </dxf>
    <dxf>
      <fill>
        <patternFill patternType="solid">
          <fgColor rgb="FFFFD981"/>
          <bgColor rgb="FF000000"/>
        </patternFill>
      </fill>
    </dxf>
    <dxf>
      <fill>
        <patternFill patternType="solid">
          <fgColor rgb="FFFFDE82"/>
          <bgColor rgb="FF000000"/>
        </patternFill>
      </fill>
    </dxf>
    <dxf>
      <fill>
        <patternFill patternType="solid">
          <fgColor rgb="FFFFE984"/>
          <bgColor rgb="FF000000"/>
        </patternFill>
      </fill>
    </dxf>
    <dxf>
      <fill>
        <patternFill patternType="solid">
          <fgColor rgb="FFFFEA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EDF3F8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8B855"/>
      <rgbColor rgb="FFFFCC00"/>
      <rgbColor rgb="FFFF9900"/>
      <rgbColor rgb="FFFF6600"/>
      <rgbColor rgb="FF7D5FA0"/>
      <rgbColor rgb="FF969696"/>
      <rgbColor rgb="FF17365D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DejaVu Sans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Portfolio risk and performance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Portfolio_Trend!F4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Portfolio_Trend!$A$5:$A$18</c:f>
              <c:strCache>
                <c:ptCount val="14"/>
                <c:pt idx="0">
                  <c:v>2022-03-31</c:v>
                </c:pt>
                <c:pt idx="1">
                  <c:v>2022-06-30</c:v>
                </c:pt>
                <c:pt idx="2">
                  <c:v>2022-09-30</c:v>
                </c:pt>
                <c:pt idx="3">
                  <c:v>2022-12-31</c:v>
                </c:pt>
                <c:pt idx="4">
                  <c:v>2023-03-31</c:v>
                </c:pt>
                <c:pt idx="5">
                  <c:v>2023-06-30</c:v>
                </c:pt>
                <c:pt idx="6">
                  <c:v>2023-09-30</c:v>
                </c:pt>
                <c:pt idx="7">
                  <c:v>2023-12-31</c:v>
                </c:pt>
                <c:pt idx="8">
                  <c:v>2024-03-31</c:v>
                </c:pt>
                <c:pt idx="9">
                  <c:v>2024-06-30</c:v>
                </c:pt>
                <c:pt idx="10">
                  <c:v>2024-09-30</c:v>
                </c:pt>
                <c:pt idx="11">
                  <c:v>2024-12-31</c:v>
                </c:pt>
                <c:pt idx="12">
                  <c:v>2025-03-31</c:v>
                </c:pt>
                <c:pt idx="13">
                  <c:v>2025-06-30</c:v>
                </c:pt>
              </c:strCache>
            </c:strRef>
          </c:cat>
          <c:val>
            <c:numRef>
              <c:f>Portfolio_Trend!$F$5:$F$18</c:f>
              <c:numCache>
                <c:formatCode>0.00</c:formatCode>
                <c:ptCount val="14"/>
                <c:pt idx="0">
                  <c:v>0.807165398597591</c:v>
                </c:pt>
                <c:pt idx="1">
                  <c:v>0.750139334325575</c:v>
                </c:pt>
                <c:pt idx="2">
                  <c:v>0.807324403228626</c:v>
                </c:pt>
                <c:pt idx="3">
                  <c:v>0.88211085356254</c:v>
                </c:pt>
                <c:pt idx="4">
                  <c:v>0.770347201738245</c:v>
                </c:pt>
                <c:pt idx="5">
                  <c:v>0.732852559345425</c:v>
                </c:pt>
                <c:pt idx="6">
                  <c:v>0.701532206760632</c:v>
                </c:pt>
                <c:pt idx="7">
                  <c:v>0.714180943564242</c:v>
                </c:pt>
                <c:pt idx="8">
                  <c:v>0.663442100185966</c:v>
                </c:pt>
                <c:pt idx="9">
                  <c:v>0.655542210606891</c:v>
                </c:pt>
                <c:pt idx="10">
                  <c:v>0.70208820311431</c:v>
                </c:pt>
                <c:pt idx="11">
                  <c:v>0.714737560792617</c:v>
                </c:pt>
                <c:pt idx="12">
                  <c:v>0.649399356529972</c:v>
                </c:pt>
                <c:pt idx="13">
                  <c:v>0.758129853387461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Portfolio_Trend!G4</c:f>
              <c:strCache>
                <c:ptCount val="1"/>
                <c:pt idx="0">
                  <c:v>Nonaccrual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Portfolio_Trend!$A$5:$A$18</c:f>
              <c:strCache>
                <c:ptCount val="14"/>
                <c:pt idx="0">
                  <c:v>2022-03-31</c:v>
                </c:pt>
                <c:pt idx="1">
                  <c:v>2022-06-30</c:v>
                </c:pt>
                <c:pt idx="2">
                  <c:v>2022-09-30</c:v>
                </c:pt>
                <c:pt idx="3">
                  <c:v>2022-12-31</c:v>
                </c:pt>
                <c:pt idx="4">
                  <c:v>2023-03-31</c:v>
                </c:pt>
                <c:pt idx="5">
                  <c:v>2023-06-30</c:v>
                </c:pt>
                <c:pt idx="6">
                  <c:v>2023-09-30</c:v>
                </c:pt>
                <c:pt idx="7">
                  <c:v>2023-12-31</c:v>
                </c:pt>
                <c:pt idx="8">
                  <c:v>2024-03-31</c:v>
                </c:pt>
                <c:pt idx="9">
                  <c:v>2024-06-30</c:v>
                </c:pt>
                <c:pt idx="10">
                  <c:v>2024-09-30</c:v>
                </c:pt>
                <c:pt idx="11">
                  <c:v>2024-12-31</c:v>
                </c:pt>
                <c:pt idx="12">
                  <c:v>2025-03-31</c:v>
                </c:pt>
                <c:pt idx="13">
                  <c:v>2025-06-30</c:v>
                </c:pt>
              </c:strCache>
            </c:strRef>
          </c:cat>
          <c:val>
            <c:numRef>
              <c:f>Portfolio_Trend!$G$5:$G$18</c:f>
              <c:numCache>
                <c:formatCode>0.00</c:formatCode>
                <c:ptCount val="14"/>
                <c:pt idx="0">
                  <c:v>0.219793754891402</c:v>
                </c:pt>
                <c:pt idx="1">
                  <c:v>0.184727449314071</c:v>
                </c:pt>
                <c:pt idx="2">
                  <c:v>0.167741516856159</c:v>
                </c:pt>
                <c:pt idx="3">
                  <c:v>0.183453616456909</c:v>
                </c:pt>
                <c:pt idx="4">
                  <c:v>0.19051467267482</c:v>
                </c:pt>
                <c:pt idx="5">
                  <c:v>0.202870150320785</c:v>
                </c:pt>
                <c:pt idx="6">
                  <c:v>0.207128318288919</c:v>
                </c:pt>
                <c:pt idx="7">
                  <c:v>0.230143371840249</c:v>
                </c:pt>
                <c:pt idx="8">
                  <c:v>0.292020600799386</c:v>
                </c:pt>
                <c:pt idx="9">
                  <c:v>0.295478800748093</c:v>
                </c:pt>
                <c:pt idx="10">
                  <c:v>0.277516583252931</c:v>
                </c:pt>
                <c:pt idx="11">
                  <c:v>0.276133991752352</c:v>
                </c:pt>
                <c:pt idx="12">
                  <c:v>0.289639794056679</c:v>
                </c:pt>
                <c:pt idx="13">
                  <c:v>0.352970095083634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Portfolio_Trend!H4</c:f>
              <c:strCache>
                <c:ptCount val="1"/>
                <c:pt idx="0">
                  <c:v>NCO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Portfolio_Trend!$A$5:$A$18</c:f>
              <c:strCache>
                <c:ptCount val="14"/>
                <c:pt idx="0">
                  <c:v>2022-03-31</c:v>
                </c:pt>
                <c:pt idx="1">
                  <c:v>2022-06-30</c:v>
                </c:pt>
                <c:pt idx="2">
                  <c:v>2022-09-30</c:v>
                </c:pt>
                <c:pt idx="3">
                  <c:v>2022-12-31</c:v>
                </c:pt>
                <c:pt idx="4">
                  <c:v>2023-03-31</c:v>
                </c:pt>
                <c:pt idx="5">
                  <c:v>2023-06-30</c:v>
                </c:pt>
                <c:pt idx="6">
                  <c:v>2023-09-30</c:v>
                </c:pt>
                <c:pt idx="7">
                  <c:v>2023-12-31</c:v>
                </c:pt>
                <c:pt idx="8">
                  <c:v>2024-03-31</c:v>
                </c:pt>
                <c:pt idx="9">
                  <c:v>2024-06-30</c:v>
                </c:pt>
                <c:pt idx="10">
                  <c:v>2024-09-30</c:v>
                </c:pt>
                <c:pt idx="11">
                  <c:v>2024-12-31</c:v>
                </c:pt>
                <c:pt idx="12">
                  <c:v>2025-03-31</c:v>
                </c:pt>
                <c:pt idx="13">
                  <c:v>2025-06-30</c:v>
                </c:pt>
              </c:strCache>
            </c:strRef>
          </c:cat>
          <c:val>
            <c:numRef>
              <c:f>Portfolio_Trend!$H$5:$H$18</c:f>
              <c:numCache>
                <c:formatCode>0.00</c:formatCode>
                <c:ptCount val="14"/>
                <c:pt idx="0">
                  <c:v>0.0162486586065398</c:v>
                </c:pt>
                <c:pt idx="1">
                  <c:v>0.0102910855882196</c:v>
                </c:pt>
                <c:pt idx="2">
                  <c:v>0.00689807036313952</c:v>
                </c:pt>
                <c:pt idx="3">
                  <c:v>0.00741142421633453</c:v>
                </c:pt>
                <c:pt idx="4">
                  <c:v>0.0612472013804382</c:v>
                </c:pt>
                <c:pt idx="5">
                  <c:v>0.042915508785858</c:v>
                </c:pt>
                <c:pt idx="6">
                  <c:v>0.0353142491068135</c:v>
                </c:pt>
                <c:pt idx="7">
                  <c:v>0.0298532062483753</c:v>
                </c:pt>
                <c:pt idx="8">
                  <c:v>0.0265223349163031</c:v>
                </c:pt>
                <c:pt idx="9">
                  <c:v>0.0218325433746646</c:v>
                </c:pt>
                <c:pt idx="10">
                  <c:v>0.0327793662869191</c:v>
                </c:pt>
                <c:pt idx="11">
                  <c:v>0.0367642122747315</c:v>
                </c:pt>
                <c:pt idx="12">
                  <c:v>0.032598506153228</c:v>
                </c:pt>
                <c:pt idx="13">
                  <c:v>0.0267332928153687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Portfolio_Trend!I4</c:f>
              <c:strCache>
                <c:ptCount val="1"/>
                <c:pt idx="0">
                  <c:v>RBC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Portfolio_Trend!$A$5:$A$18</c:f>
              <c:strCache>
                <c:ptCount val="14"/>
                <c:pt idx="0">
                  <c:v>2022-03-31</c:v>
                </c:pt>
                <c:pt idx="1">
                  <c:v>2022-06-30</c:v>
                </c:pt>
                <c:pt idx="2">
                  <c:v>2022-09-30</c:v>
                </c:pt>
                <c:pt idx="3">
                  <c:v>2022-12-31</c:v>
                </c:pt>
                <c:pt idx="4">
                  <c:v>2023-03-31</c:v>
                </c:pt>
                <c:pt idx="5">
                  <c:v>2023-06-30</c:v>
                </c:pt>
                <c:pt idx="6">
                  <c:v>2023-09-30</c:v>
                </c:pt>
                <c:pt idx="7">
                  <c:v>2023-12-31</c:v>
                </c:pt>
                <c:pt idx="8">
                  <c:v>2024-03-31</c:v>
                </c:pt>
                <c:pt idx="9">
                  <c:v>2024-06-30</c:v>
                </c:pt>
                <c:pt idx="10">
                  <c:v>2024-09-30</c:v>
                </c:pt>
                <c:pt idx="11">
                  <c:v>2024-12-31</c:v>
                </c:pt>
                <c:pt idx="12">
                  <c:v>2025-03-31</c:v>
                </c:pt>
                <c:pt idx="13">
                  <c:v>2025-06-30</c:v>
                </c:pt>
              </c:strCache>
            </c:strRef>
          </c:cat>
          <c:val>
            <c:numRef>
              <c:f>Portfolio_Trend!$I$5:$I$18</c:f>
              <c:numCache>
                <c:formatCode>0.00</c:formatCode>
                <c:ptCount val="14"/>
                <c:pt idx="0">
                  <c:v>15.1386253303564</c:v>
                </c:pt>
                <c:pt idx="1">
                  <c:v>14.7081373871383</c:v>
                </c:pt>
                <c:pt idx="2">
                  <c:v>14.3665152725022</c:v>
                </c:pt>
                <c:pt idx="3">
                  <c:v>13.9418467511853</c:v>
                </c:pt>
                <c:pt idx="4">
                  <c:v>14.103641795946</c:v>
                </c:pt>
                <c:pt idx="5">
                  <c:v>14.1375487741731</c:v>
                </c:pt>
                <c:pt idx="6">
                  <c:v>14.3849189631321</c:v>
                </c:pt>
                <c:pt idx="7">
                  <c:v>14.5276234318384</c:v>
                </c:pt>
                <c:pt idx="8">
                  <c:v>14.5750060339485</c:v>
                </c:pt>
                <c:pt idx="9">
                  <c:v>14.5493426120221</c:v>
                </c:pt>
                <c:pt idx="10">
                  <c:v>14.4784010476099</c:v>
                </c:pt>
                <c:pt idx="11">
                  <c:v>14.4354989732987</c:v>
                </c:pt>
                <c:pt idx="12">
                  <c:v>14.1555482445706</c:v>
                </c:pt>
                <c:pt idx="13">
                  <c:v>14.2145168140421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353678"/>
        <c:axId val="14091577"/>
      </c:lineChart>
      <c:catAx>
        <c:axId val="873536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DejaVu Sans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091577"/>
        <c:crosses val="autoZero"/>
        <c:auto val="1"/>
        <c:lblAlgn val="ctr"/>
        <c:lblOffset val="100"/>
        <c:noMultiLvlLbl val="0"/>
      </c:catAx>
      <c:valAx>
        <c:axId val="14091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DejaVu Sans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Percent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3536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10800</xdr:rowOff>
    </xdr:from>
    <xdr:to>
      <xdr:col>5</xdr:col>
      <xdr:colOff>785520</xdr:colOff>
      <xdr:row>38</xdr:row>
      <xdr:rowOff>33120</xdr:rowOff>
    </xdr:to>
    <xdr:graphicFrame>
      <xdr:nvGraphicFramePr>
        <xdr:cNvPr id="0" name="Chart 1"/>
        <xdr:cNvGraphicFramePr/>
      </xdr:nvGraphicFramePr>
      <xdr:xfrm>
        <a:off x="0" y="53150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_Attribution" displayName="T_Attribution" ref="A5:M9" headerRowCount="1" totalsRowCount="0" totalsRowShown="0">
  <autoFilter ref="A5:M9"/>
  <tableColumns count="13">
    <tableColumn id="1" name="Metric"/>
    <tableColumn id="2" name="Start"/>
    <tableColumn id="3" name="End"/>
    <tableColumn id="4" name="Change"/>
    <tableColumn id="5" name="Performance"/>
    <tableColumn id="6" name="WeightMix"/>
    <tableColumn id="7" name="Entrants"/>
    <tableColumn id="8" name="Exits"/>
    <tableColumn id="9" name="Composition"/>
    <tableColumn id="10" name="Check"/>
    <tableColumn id="11" name="StartN"/>
    <tableColumn id="12" name="EndN"/>
    <tableColumn id="13" name="Continuers"/>
  </tableColumns>
</table>
</file>

<file path=xl/tables/table2.xml><?xml version="1.0" encoding="utf-8"?>
<table xmlns="http://schemas.openxmlformats.org/spreadsheetml/2006/main" id="2" name="T_BankQuarterly" displayName="T_BankQuarterly" ref="A4:AO750" headerRowCount="1" totalsRowCount="0" totalsRowShown="0">
  <autoFilter ref="A4:AO750"/>
  <tableColumns count="41">
    <tableColumn id="1" name="CERT"/>
    <tableColumn id="2" name="REPDTE_DT"/>
    <tableColumn id="3" name="NAMEFULL"/>
    <tableColumn id="4" name="STALP"/>
    <tableColumn id="5" name="PEER_GROUP"/>
    <tableColumn id="6" name="ASSET"/>
    <tableColumn id="7" name="ASSET5"/>
    <tableColumn id="8" name="DEP"/>
    <tableColumn id="9" name="EQ"/>
    <tableColumn id="10" name="LNLSGR"/>
    <tableColumn id="11" name="LNLSGR5"/>
    <tableColumn id="12" name="LNRE"/>
    <tableColumn id="13" name="LNCI"/>
    <tableColumn id="14" name="LNCON"/>
    <tableColumn id="15" name="NAASSET"/>
    <tableColumn id="16" name="P3ASSET"/>
    <tableColumn id="17" name="P9ASSET"/>
    <tableColumn id="18" name="NTLNLSA"/>
    <tableColumn id="19" name="RBC"/>
    <tableColumn id="20" name="RWAJT"/>
    <tableColumn id="21" name="NETINCA"/>
    <tableColumn id="22" name="ROA"/>
    <tableColumn id="23" name="ROE"/>
    <tableColumn id="24" name="NIMY"/>
    <tableColumn id="25" name="LNATRESR"/>
    <tableColumn id="26" name="RBCRWAJ"/>
    <tableColumn id="27" name="EQV"/>
    <tableColumn id="28" name="ASSET_YOY"/>
    <tableColumn id="29" name="LOAN_YOY"/>
    <tableColumn id="30" name="DEP_YOY"/>
    <tableColumn id="31" name="ROA_YOY_PP"/>
    <tableColumn id="32" name="NA_YOY_PP"/>
    <tableColumn id="33" name="Nonaccrual %"/>
    <tableColumn id="34" name="Past due %"/>
    <tableColumn id="35" name="NCO % calc"/>
    <tableColumn id="36" name="RBC % calc"/>
    <tableColumn id="37" name="ROA % calc"/>
    <tableColumn id="38" name="Loan/deposit %"/>
    <tableColumn id="39" name="RE loan share %"/>
    <tableColumn id="40" name="C&amp;I share %"/>
    <tableColumn id="41" name="Consumer share %"/>
  </tableColumns>
</table>
</file>

<file path=xl/tables/table3.xml><?xml version="1.0" encoding="utf-8"?>
<table xmlns="http://schemas.openxmlformats.org/spreadsheetml/2006/main" id="3" name="T_Definitions" displayName="T_Definitions" ref="A4:D31" headerRowCount="1" totalsRowCount="0" totalsRowShown="0">
  <autoFilter ref="A4:D31"/>
  <tableColumns count="4">
    <tableColumn id="1" name="Field"/>
    <tableColumn id="2" name="Official title"/>
    <tableColumn id="3" name="Official description"/>
    <tableColumn id="4" name="Official formula metadata"/>
  </tableColumns>
</table>
</file>

<file path=xl/tables/table4.xml><?xml version="1.0" encoding="utf-8"?>
<table xmlns="http://schemas.openxmlformats.org/spreadsheetml/2006/main" id="4" name="T_InstitutionMap" displayName="T_InstitutionMap" ref="A4:K58" headerRowCount="1" totalsRowCount="0" totalsRowShown="0">
  <autoFilter ref="A4:K58"/>
  <tableColumns count="11">
    <tableColumn id="1" name="CERT"/>
    <tableColumn id="2" name="NAME"/>
    <tableColumn id="3" name="STALP"/>
    <tableColumn id="4" name="ACTIVE"/>
    <tableColumn id="5" name="REPDTE"/>
    <tableColumn id="6" name="BKCLASS"/>
    <tableColumn id="7" name="CHRTAGNT"/>
    <tableColumn id="8" name="MUTUAL"/>
    <tableColumn id="9" name="ESTYMD"/>
    <tableColumn id="10" name="CITY"/>
    <tableColumn id="11" name="COUNTY"/>
  </tableColumns>
</table>
</file>

<file path=xl/tables/table5.xml><?xml version="1.0" encoding="utf-8"?>
<table xmlns="http://schemas.openxmlformats.org/spreadsheetml/2006/main" id="5" name="T_PortfolioTrend" displayName="T_PortfolioTrend" ref="A4:P18" headerRowCount="1" totalsRowCount="0" totalsRowShown="0">
  <autoFilter ref="A4:P18"/>
  <tableColumns count="16">
    <tableColumn id="1" name="Date"/>
    <tableColumn id="2" name="Banks"/>
    <tableColumn id="3" name="Assets"/>
    <tableColumn id="4" name="Loans"/>
    <tableColumn id="5" name="Deposits"/>
    <tableColumn id="6" name="ROA"/>
    <tableColumn id="7" name="Nonaccrual"/>
    <tableColumn id="8" name="NCO"/>
    <tableColumn id="9" name="RBC"/>
    <tableColumn id="10" name="RBC_Reporters"/>
    <tableColumn id="11" name="Equity"/>
    <tableColumn id="12" name="NIM"/>
    <tableColumn id="13" name="LoanDeposit"/>
    <tableColumn id="14" name="REShare"/>
    <tableColumn id="15" name="Reserve"/>
    <tableColumn id="16" name="PastDue"/>
  </tableColumns>
</table>
</file>

<file path=xl/tables/table6.xml><?xml version="1.0" encoding="utf-8"?>
<table xmlns="http://schemas.openxmlformats.org/spreadsheetml/2006/main" id="6" name="T_PriorityRanking" displayName="T_PriorityRanking" ref="A4:AB56" headerRowCount="1" totalsRowCount="0" totalsRowShown="0">
  <autoFilter ref="A4:AB56"/>
  <tableColumns count="28">
    <tableColumn id="1" name="Risk_Rank"/>
    <tableColumn id="2" name="FOLLOW_UP"/>
    <tableColumn id="3" name="CERT"/>
    <tableColumn id="4" name="NAMEFULL"/>
    <tableColumn id="5" name="STALP"/>
    <tableColumn id="6" name="PEER_GROUP"/>
    <tableColumn id="7" name="ASSET"/>
    <tableColumn id="8" name="Risk_Score"/>
    <tableColumn id="9" name="Profit_Risk"/>
    <tableColumn id="10" name="Credit_Risk"/>
    <tableColumn id="11" name="Funding_Risk"/>
    <tableColumn id="12" name="Capital_Risk"/>
    <tableColumn id="13" name="Trend_Risk"/>
    <tableColumn id="14" name="ROA"/>
    <tableColumn id="15" name="ROA_YOY_PP"/>
    <tableColumn id="16" name="NIMY"/>
    <tableColumn id="17" name="NA_RATE"/>
    <tableColumn id="18" name="NA_YOY_PP"/>
    <tableColumn id="19" name="PASTDUE_RATE"/>
    <tableColumn id="20" name="NTLNLSR"/>
    <tableColumn id="21" name="RBCRWAJ"/>
    <tableColumn id="22" name="EQV"/>
    <tableColumn id="23" name="LOAN_DEP"/>
    <tableColumn id="24" name="ASSET_YOY"/>
    <tableColumn id="25" name="LOAN_YOY"/>
    <tableColumn id="26" name="DEP_YOY"/>
    <tableColumn id="27" name="RE_SHARE"/>
    <tableColumn id="28" name="RESERVE_RATE"/>
  </tableColumns>
</table>
</file>

<file path=xl/tables/table7.xml><?xml version="1.0" encoding="utf-8"?>
<table xmlns="http://schemas.openxmlformats.org/spreadsheetml/2006/main" id="7" name="T_RawFinancials" displayName="T_RawFinancials" ref="A4:AH750" headerRowCount="1" totalsRowCount="0" totalsRowShown="0">
  <autoFilter ref="A4:AH750"/>
  <tableColumns count="34">
    <tableColumn id="1" name="CERT"/>
    <tableColumn id="2" name="REPDTE"/>
    <tableColumn id="3" name="NAMEFULL"/>
    <tableColumn id="4" name="STALP"/>
    <tableColumn id="5" name="ASSET"/>
    <tableColumn id="6" name="ASSET5"/>
    <tableColumn id="7" name="DEP"/>
    <tableColumn id="8" name="EQ"/>
    <tableColumn id="9" name="EQV"/>
    <tableColumn id="10" name="LNLSGR"/>
    <tableColumn id="11" name="LNLSGR5"/>
    <tableColumn id="12" name="LNLSNET"/>
    <tableColumn id="13" name="LNRE"/>
    <tableColumn id="14" name="LNCI"/>
    <tableColumn id="15" name="LNCON"/>
    <tableColumn id="16" name="NAASSET"/>
    <tableColumn id="17" name="P3ASSET"/>
    <tableColumn id="18" name="P9ASSET"/>
    <tableColumn id="19" name="NTLNLS"/>
    <tableColumn id="20" name="NTLNLSA"/>
    <tableColumn id="21" name="NTLNLSR"/>
    <tableColumn id="22" name="RBC"/>
    <tableColumn id="23" name="RWAJT"/>
    <tableColumn id="24" name="RBCRWAJ"/>
    <tableColumn id="25" name="NETINCA"/>
    <tableColumn id="26" name="ROA"/>
    <tableColumn id="27" name="ROE"/>
    <tableColumn id="28" name="NIMY"/>
    <tableColumn id="29" name="LNATRESR"/>
    <tableColumn id="30" name="ELNATRY"/>
    <tableColumn id="31" name="ACTIVE"/>
    <tableColumn id="32" name="BKCLASS"/>
    <tableColumn id="33" name="CHRTAGNT"/>
    <tableColumn id="34" name="MUTUAL"/>
  </tableColumns>
</table>
</file>

<file path=xl/tables/table8.xml><?xml version="1.0" encoding="utf-8"?>
<table xmlns="http://schemas.openxmlformats.org/spreadsheetml/2006/main" id="8" name="T_SourceRecon" displayName="T_SourceRecon" ref="A4:E18" headerRowCount="1" totalsRowCount="0" totalsRowShown="0">
  <autoFilter ref="A4:E18"/>
  <tableColumns count="5">
    <tableColumn id="1" name="Test"/>
    <tableColumn id="2" name="Primary"/>
    <tableColumn id="3" name="Supplement"/>
    <tableColumn id="4" name="Pass"/>
    <tableColumn id="5" name="Detai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6"/>
  </cols>
  <sheetData>
    <row r="1" customFormat="false" ht="26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42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42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</row>
    <row r="5" customFormat="false" ht="42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customFormat="false" ht="42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</row>
    <row r="7" customFormat="false" ht="42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  <c r="G7" s="3"/>
      <c r="H7" s="3"/>
    </row>
    <row r="8" customFormat="false" ht="42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  <c r="G8" s="3"/>
      <c r="H8" s="3"/>
    </row>
    <row r="9" customFormat="false" ht="42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  <c r="G9" s="3"/>
      <c r="H9" s="3"/>
    </row>
    <row r="10" customFormat="false" ht="42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  <c r="G10" s="3"/>
      <c r="H10" s="3"/>
    </row>
    <row r="11" customFormat="false" ht="42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  <c r="G11" s="3"/>
      <c r="H11" s="3"/>
    </row>
    <row r="12" customFormat="false" ht="42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  <c r="G12" s="3"/>
      <c r="H12" s="3"/>
    </row>
    <row r="13" customFormat="false" ht="42" hidden="false" customHeight="true" outlineLevel="0" collapsed="false">
      <c r="A13" s="2" t="s">
        <v>21</v>
      </c>
      <c r="B13" s="3" t="s">
        <v>22</v>
      </c>
      <c r="C13" s="3"/>
      <c r="D13" s="3"/>
      <c r="E13" s="3"/>
      <c r="F13" s="3"/>
      <c r="G13" s="3"/>
      <c r="H13" s="3"/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2" min="1" style="0" width="12"/>
  </cols>
  <sheetData>
    <row r="1" customFormat="false" ht="24.45" hidden="false" customHeight="false" outlineLevel="0" collapsed="false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false" outlineLevel="0" collapsed="false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25</v>
      </c>
      <c r="B4" s="6"/>
      <c r="C4" s="6"/>
      <c r="E4" s="6" t="s">
        <v>26</v>
      </c>
      <c r="F4" s="6"/>
      <c r="G4" s="6"/>
      <c r="I4" s="6" t="s">
        <v>27</v>
      </c>
      <c r="J4" s="6"/>
      <c r="K4" s="6"/>
    </row>
    <row r="5" customFormat="false" ht="15" hidden="false" customHeight="false" outlineLevel="0" collapsed="false">
      <c r="A5" s="7" t="n">
        <v>52</v>
      </c>
      <c r="B5" s="7"/>
      <c r="C5" s="7"/>
      <c r="E5" s="8" t="n">
        <v>71.266944</v>
      </c>
      <c r="F5" s="8"/>
      <c r="G5" s="8"/>
      <c r="I5" s="9" t="n">
        <v>0.758129853387461</v>
      </c>
      <c r="J5" s="9"/>
      <c r="K5" s="9"/>
    </row>
    <row r="6" customFormat="false" ht="15" hidden="false" customHeight="false" outlineLevel="0" collapsed="false">
      <c r="A6" s="7"/>
      <c r="B6" s="7"/>
      <c r="C6" s="7"/>
      <c r="E6" s="8"/>
      <c r="F6" s="8"/>
      <c r="G6" s="8"/>
      <c r="I6" s="9"/>
      <c r="J6" s="9"/>
      <c r="K6" s="9"/>
    </row>
    <row r="8" customFormat="false" ht="15" hidden="false" customHeight="false" outlineLevel="0" collapsed="false">
      <c r="A8" s="6" t="s">
        <v>28</v>
      </c>
      <c r="B8" s="6"/>
      <c r="C8" s="6"/>
      <c r="E8" s="6" t="s">
        <v>29</v>
      </c>
      <c r="F8" s="6"/>
      <c r="G8" s="6"/>
      <c r="I8" s="6" t="s">
        <v>30</v>
      </c>
      <c r="J8" s="6"/>
      <c r="K8" s="6"/>
    </row>
    <row r="9" customFormat="false" ht="15" hidden="false" customHeight="false" outlineLevel="0" collapsed="false">
      <c r="A9" s="9" t="n">
        <v>0.352970095083634</v>
      </c>
      <c r="B9" s="9"/>
      <c r="C9" s="9"/>
      <c r="E9" s="9" t="n">
        <v>0.0267332928153687</v>
      </c>
      <c r="F9" s="9"/>
      <c r="G9" s="9"/>
      <c r="I9" s="9" t="n">
        <v>14.2145168140421</v>
      </c>
      <c r="J9" s="9"/>
      <c r="K9" s="9"/>
    </row>
    <row r="10" customFormat="false" ht="15" hidden="false" customHeight="false" outlineLevel="0" collapsed="false">
      <c r="A10" s="9"/>
      <c r="B10" s="9"/>
      <c r="C10" s="9"/>
      <c r="E10" s="9"/>
      <c r="F10" s="9"/>
      <c r="G10" s="9"/>
      <c r="I10" s="9"/>
      <c r="J10" s="9"/>
      <c r="K10" s="9"/>
    </row>
    <row r="12" customFormat="false" ht="17.35" hidden="false" customHeight="false" outlineLevel="0" collapsed="false">
      <c r="A12" s="10" t="s">
        <v>31</v>
      </c>
    </row>
    <row r="13" customFormat="false" ht="24.75" hidden="false" customHeight="true" outlineLevel="0" collapsed="false">
      <c r="A13" s="11" t="s">
        <v>32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24.75" hidden="false" customHeight="true" outlineLevel="0" collapsed="false">
      <c r="A14" s="11" t="s">
        <v>33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24.75" hidden="false" customHeight="true" outlineLevel="0" collapsed="false">
      <c r="A15" s="11" t="s">
        <v>34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24.75" hidden="false" customHeight="true" outlineLevel="0" collapsed="false">
      <c r="A16" s="11" t="s">
        <v>35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24.75" hidden="false" customHeight="true" outlineLevel="0" collapsed="false">
      <c r="A17" s="11" t="s">
        <v>36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24.75" hidden="false" customHeight="true" outlineLevel="0" collapsed="false">
      <c r="A18" s="11" t="s">
        <v>37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20" customFormat="false" ht="17.35" hidden="false" customHeight="false" outlineLevel="0" collapsed="false">
      <c r="A20" s="10" t="s">
        <v>38</v>
      </c>
    </row>
    <row r="21" customFormat="false" ht="15" hidden="false" customHeight="true" outlineLevel="0" collapsed="false">
      <c r="A21" s="12" t="s">
        <v>39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</sheetData>
  <mergeCells count="21">
    <mergeCell ref="A1:L1"/>
    <mergeCell ref="A2:L2"/>
    <mergeCell ref="A4:C4"/>
    <mergeCell ref="E4:G4"/>
    <mergeCell ref="I4:K4"/>
    <mergeCell ref="A5:C6"/>
    <mergeCell ref="E5:G6"/>
    <mergeCell ref="I5:K6"/>
    <mergeCell ref="A8:C8"/>
    <mergeCell ref="E8:G8"/>
    <mergeCell ref="I8:K8"/>
    <mergeCell ref="A9:C10"/>
    <mergeCell ref="E9:G10"/>
    <mergeCell ref="I9:K10"/>
    <mergeCell ref="A13:L13"/>
    <mergeCell ref="A14:L14"/>
    <mergeCell ref="A15:L15"/>
    <mergeCell ref="A16:L16"/>
    <mergeCell ref="A17:L17"/>
    <mergeCell ref="A18:L18"/>
    <mergeCell ref="A21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5" min="3" style="0" width="15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2" min="11" style="0" width="11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1"/>
  </cols>
  <sheetData>
    <row r="1" customFormat="false" ht="22.05" hidden="false" customHeight="false" outlineLevel="0" collapsed="false">
      <c r="A1" s="13" t="s">
        <v>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customFormat="false" ht="15" hidden="false" customHeight="false" outlineLevel="0" collapsed="false">
      <c r="A2" s="14" t="s">
        <v>41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customFormat="false" ht="30" hidden="false" customHeight="true" outlineLevel="0" collapsed="false">
      <c r="A4" s="15" t="s">
        <v>42</v>
      </c>
      <c r="B4" s="15" t="s">
        <v>43</v>
      </c>
      <c r="C4" s="15" t="s">
        <v>44</v>
      </c>
      <c r="D4" s="15" t="s">
        <v>45</v>
      </c>
      <c r="E4" s="15" t="s">
        <v>46</v>
      </c>
      <c r="F4" s="15" t="s">
        <v>27</v>
      </c>
      <c r="G4" s="15" t="s">
        <v>47</v>
      </c>
      <c r="H4" s="15" t="s">
        <v>48</v>
      </c>
      <c r="I4" s="15" t="s">
        <v>49</v>
      </c>
      <c r="J4" s="15" t="s">
        <v>50</v>
      </c>
      <c r="K4" s="15" t="s">
        <v>51</v>
      </c>
      <c r="L4" s="15" t="s">
        <v>52</v>
      </c>
      <c r="M4" s="15" t="s">
        <v>53</v>
      </c>
      <c r="N4" s="15" t="s">
        <v>54</v>
      </c>
      <c r="O4" s="15" t="s">
        <v>55</v>
      </c>
      <c r="P4" s="15" t="s">
        <v>56</v>
      </c>
    </row>
    <row r="5" customFormat="false" ht="15" hidden="false" customHeight="false" outlineLevel="0" collapsed="false">
      <c r="A5" s="16" t="n">
        <v>44651</v>
      </c>
      <c r="B5" s="17" t="n">
        <v>51</v>
      </c>
      <c r="C5" s="17" t="n">
        <v>59852474</v>
      </c>
      <c r="D5" s="17" t="n">
        <v>41656547</v>
      </c>
      <c r="E5" s="17" t="n">
        <v>51195798</v>
      </c>
      <c r="F5" s="18" t="n">
        <v>0.807165398597591</v>
      </c>
      <c r="G5" s="18" t="n">
        <v>0.219793754891402</v>
      </c>
      <c r="H5" s="18" t="n">
        <v>0.0162486586065398</v>
      </c>
      <c r="I5" s="18" t="n">
        <v>15.1386253303564</v>
      </c>
      <c r="J5" s="18" t="n">
        <v>35</v>
      </c>
      <c r="K5" s="18" t="n">
        <v>9.87737115094023</v>
      </c>
      <c r="L5" s="18" t="n">
        <v>3.15311863460356</v>
      </c>
      <c r="M5" s="18" t="n">
        <v>81.3671211844378</v>
      </c>
      <c r="N5" s="18" t="n">
        <v>87.3074261291988</v>
      </c>
      <c r="O5" s="18" t="n">
        <v>1.03862185216648</v>
      </c>
      <c r="P5" s="17" t="n">
        <v>0.124977289994729</v>
      </c>
    </row>
    <row r="6" customFormat="false" ht="15" hidden="false" customHeight="false" outlineLevel="0" collapsed="false">
      <c r="A6" s="16" t="n">
        <v>44742</v>
      </c>
      <c r="B6" s="17" t="n">
        <v>52</v>
      </c>
      <c r="C6" s="17" t="n">
        <v>60747875</v>
      </c>
      <c r="D6" s="17" t="n">
        <v>43407587</v>
      </c>
      <c r="E6" s="17" t="n">
        <v>51453060</v>
      </c>
      <c r="F6" s="18" t="n">
        <v>0.750139334325575</v>
      </c>
      <c r="G6" s="18" t="n">
        <v>0.184727449314071</v>
      </c>
      <c r="H6" s="18" t="n">
        <v>0.0102910855882196</v>
      </c>
      <c r="I6" s="18" t="n">
        <v>14.7081373871383</v>
      </c>
      <c r="J6" s="18" t="n">
        <v>35</v>
      </c>
      <c r="K6" s="18" t="n">
        <v>9.37566622700794</v>
      </c>
      <c r="L6" s="18" t="n">
        <v>3.21034322911338</v>
      </c>
      <c r="M6" s="18" t="n">
        <v>84.3634703164399</v>
      </c>
      <c r="N6" s="18" t="n">
        <v>87.4565983131014</v>
      </c>
      <c r="O6" s="18" t="n">
        <v>0.997332563083961</v>
      </c>
      <c r="P6" s="17" t="n">
        <v>0.0865445910659426</v>
      </c>
    </row>
    <row r="7" customFormat="false" ht="15" hidden="false" customHeight="false" outlineLevel="0" collapsed="false">
      <c r="A7" s="16" t="n">
        <v>44834</v>
      </c>
      <c r="B7" s="17" t="n">
        <v>53</v>
      </c>
      <c r="C7" s="17" t="n">
        <v>62354271</v>
      </c>
      <c r="D7" s="17" t="n">
        <v>45352464</v>
      </c>
      <c r="E7" s="17" t="n">
        <v>52761101</v>
      </c>
      <c r="F7" s="18" t="n">
        <v>0.807324403228626</v>
      </c>
      <c r="G7" s="18" t="n">
        <v>0.167741516856159</v>
      </c>
      <c r="H7" s="18" t="n">
        <v>0.00689807036313952</v>
      </c>
      <c r="I7" s="18" t="n">
        <v>14.3665152725022</v>
      </c>
      <c r="J7" s="18" t="n">
        <v>36</v>
      </c>
      <c r="K7" s="18" t="n">
        <v>8.75027951172743</v>
      </c>
      <c r="L7" s="18" t="n">
        <v>3.26501011455424</v>
      </c>
      <c r="M7" s="18" t="n">
        <v>85.958145566371</v>
      </c>
      <c r="N7" s="18" t="n">
        <v>87.4549594482893</v>
      </c>
      <c r="O7" s="18" t="n">
        <v>0.961303888582548</v>
      </c>
      <c r="P7" s="17" t="n">
        <v>0.103587130382777</v>
      </c>
    </row>
    <row r="8" customFormat="false" ht="15" hidden="false" customHeight="false" outlineLevel="0" collapsed="false">
      <c r="A8" s="16" t="n">
        <v>44926</v>
      </c>
      <c r="B8" s="17" t="n">
        <v>54</v>
      </c>
      <c r="C8" s="17" t="n">
        <v>64502953</v>
      </c>
      <c r="D8" s="17" t="n">
        <v>47693951</v>
      </c>
      <c r="E8" s="17" t="n">
        <v>53858431</v>
      </c>
      <c r="F8" s="18" t="n">
        <v>0.88211085356254</v>
      </c>
      <c r="G8" s="18" t="n">
        <v>0.183453616456909</v>
      </c>
      <c r="H8" s="18" t="n">
        <v>0.00741142421633453</v>
      </c>
      <c r="I8" s="18" t="n">
        <v>13.9418467511853</v>
      </c>
      <c r="J8" s="18" t="n">
        <v>36</v>
      </c>
      <c r="K8" s="18" t="n">
        <v>8.86780640880116</v>
      </c>
      <c r="L8" s="18" t="n">
        <v>3.28433480956065</v>
      </c>
      <c r="M8" s="18" t="n">
        <v>88.5542896710081</v>
      </c>
      <c r="N8" s="18" t="n">
        <v>87.7821487257367</v>
      </c>
      <c r="O8" s="18" t="n">
        <v>0.919271712255502</v>
      </c>
      <c r="P8" s="17" t="n">
        <v>0.160477924165736</v>
      </c>
    </row>
    <row r="9" customFormat="false" ht="15" hidden="false" customHeight="false" outlineLevel="0" collapsed="false">
      <c r="A9" s="16" t="n">
        <v>45016</v>
      </c>
      <c r="B9" s="17" t="n">
        <v>54</v>
      </c>
      <c r="C9" s="17" t="n">
        <v>65286835</v>
      </c>
      <c r="D9" s="17" t="n">
        <v>48427992</v>
      </c>
      <c r="E9" s="17" t="n">
        <v>53547820</v>
      </c>
      <c r="F9" s="18" t="n">
        <v>0.770347201738245</v>
      </c>
      <c r="G9" s="18" t="n">
        <v>0.19051467267482</v>
      </c>
      <c r="H9" s="18" t="n">
        <v>0.0612472013804382</v>
      </c>
      <c r="I9" s="18" t="n">
        <v>14.103641795946</v>
      </c>
      <c r="J9" s="18" t="n">
        <v>36</v>
      </c>
      <c r="K9" s="18" t="n">
        <v>9.14035731706094</v>
      </c>
      <c r="L9" s="18" t="n">
        <v>3.08244720022362</v>
      </c>
      <c r="M9" s="18" t="n">
        <v>90.4387741648493</v>
      </c>
      <c r="N9" s="18" t="n">
        <v>87.7332328790341</v>
      </c>
      <c r="O9" s="18" t="n">
        <v>0.90445005442307</v>
      </c>
      <c r="P9" s="17" t="n">
        <v>0.139063258312338</v>
      </c>
    </row>
    <row r="10" customFormat="false" ht="15" hidden="false" customHeight="false" outlineLevel="0" collapsed="false">
      <c r="A10" s="16" t="n">
        <v>45107</v>
      </c>
      <c r="B10" s="17" t="n">
        <v>54</v>
      </c>
      <c r="C10" s="17" t="n">
        <v>66103367</v>
      </c>
      <c r="D10" s="17" t="n">
        <v>49335962</v>
      </c>
      <c r="E10" s="17" t="n">
        <v>52845820</v>
      </c>
      <c r="F10" s="18" t="n">
        <v>0.732852559345425</v>
      </c>
      <c r="G10" s="18" t="n">
        <v>0.202870150320785</v>
      </c>
      <c r="H10" s="18" t="n">
        <v>0.042915508785858</v>
      </c>
      <c r="I10" s="18" t="n">
        <v>14.1375487741731</v>
      </c>
      <c r="J10" s="18" t="n">
        <v>37</v>
      </c>
      <c r="K10" s="18" t="n">
        <v>9.05312130318566</v>
      </c>
      <c r="L10" s="18" t="n">
        <v>2.99570428872814</v>
      </c>
      <c r="M10" s="18" t="n">
        <v>93.3583053494108</v>
      </c>
      <c r="N10" s="18" t="n">
        <v>87.6904640067625</v>
      </c>
      <c r="O10" s="18" t="n">
        <v>0.898829134009792</v>
      </c>
      <c r="P10" s="17" t="n">
        <v>0.100925267543482</v>
      </c>
    </row>
    <row r="11" customFormat="false" ht="15" hidden="false" customHeight="false" outlineLevel="0" collapsed="false">
      <c r="A11" s="16" t="n">
        <v>45199</v>
      </c>
      <c r="B11" s="17" t="n">
        <v>54</v>
      </c>
      <c r="C11" s="17" t="n">
        <v>66427421</v>
      </c>
      <c r="D11" s="17" t="n">
        <v>50008824</v>
      </c>
      <c r="E11" s="17" t="n">
        <v>53705284</v>
      </c>
      <c r="F11" s="18" t="n">
        <v>0.701532206760632</v>
      </c>
      <c r="G11" s="18" t="n">
        <v>0.207128318288919</v>
      </c>
      <c r="H11" s="18" t="n">
        <v>0.0353142491068135</v>
      </c>
      <c r="I11" s="18" t="n">
        <v>14.3849189631321</v>
      </c>
      <c r="J11" s="18" t="n">
        <v>38</v>
      </c>
      <c r="K11" s="18" t="n">
        <v>8.78750057148839</v>
      </c>
      <c r="L11" s="18" t="n">
        <v>2.97010705014434</v>
      </c>
      <c r="M11" s="18" t="n">
        <v>93.1171390882134</v>
      </c>
      <c r="N11" s="18" t="n">
        <v>87.5790020577169</v>
      </c>
      <c r="O11" s="18" t="n">
        <v>0.918567891138572</v>
      </c>
      <c r="P11" s="17" t="n">
        <v>0.133420805242462</v>
      </c>
    </row>
    <row r="12" customFormat="false" ht="15" hidden="false" customHeight="false" outlineLevel="0" collapsed="false">
      <c r="A12" s="16" t="n">
        <v>45291</v>
      </c>
      <c r="B12" s="17" t="n">
        <v>54</v>
      </c>
      <c r="C12" s="17" t="n">
        <v>67228962</v>
      </c>
      <c r="D12" s="17" t="n">
        <v>50536998</v>
      </c>
      <c r="E12" s="17" t="n">
        <v>53606668</v>
      </c>
      <c r="F12" s="18" t="n">
        <v>0.714180943564242</v>
      </c>
      <c r="G12" s="18" t="n">
        <v>0.230143371840249</v>
      </c>
      <c r="H12" s="18" t="n">
        <v>0.0298532062483753</v>
      </c>
      <c r="I12" s="18" t="n">
        <v>14.5276234318384</v>
      </c>
      <c r="J12" s="18" t="n">
        <v>38</v>
      </c>
      <c r="K12" s="18" t="n">
        <v>9.39262159067695</v>
      </c>
      <c r="L12" s="18" t="n">
        <v>2.94482683768665</v>
      </c>
      <c r="M12" s="18" t="n">
        <v>94.2737160981541</v>
      </c>
      <c r="N12" s="18" t="n">
        <v>87.7103008769931</v>
      </c>
      <c r="O12" s="18" t="n">
        <v>0.914389493416289</v>
      </c>
      <c r="P12" s="17" t="n">
        <v>0.202442512796791</v>
      </c>
    </row>
    <row r="13" customFormat="false" ht="15" hidden="false" customHeight="false" outlineLevel="0" collapsed="false">
      <c r="A13" s="16" t="n">
        <v>45382</v>
      </c>
      <c r="B13" s="17" t="n">
        <v>54</v>
      </c>
      <c r="C13" s="17" t="n">
        <v>67408258</v>
      </c>
      <c r="D13" s="17" t="n">
        <v>50932198</v>
      </c>
      <c r="E13" s="17" t="n">
        <v>53425568</v>
      </c>
      <c r="F13" s="18" t="n">
        <v>0.663442100185966</v>
      </c>
      <c r="G13" s="18" t="n">
        <v>0.292020600799386</v>
      </c>
      <c r="H13" s="18" t="n">
        <v>0.0265223349163031</v>
      </c>
      <c r="I13" s="18" t="n">
        <v>14.5750060339485</v>
      </c>
      <c r="J13" s="18" t="n">
        <v>39</v>
      </c>
      <c r="K13" s="18" t="n">
        <v>9.43080445722244</v>
      </c>
      <c r="L13" s="18" t="n">
        <v>2.74720200678239</v>
      </c>
      <c r="M13" s="18" t="n">
        <v>95.333002355726</v>
      </c>
      <c r="N13" s="18" t="n">
        <v>87.4617722172524</v>
      </c>
      <c r="O13" s="18" t="n">
        <v>0.903891876019174</v>
      </c>
      <c r="P13" s="17" t="n">
        <v>0.154472171644014</v>
      </c>
    </row>
    <row r="14" customFormat="false" ht="15" hidden="false" customHeight="false" outlineLevel="0" collapsed="false">
      <c r="A14" s="16" t="n">
        <v>45473</v>
      </c>
      <c r="B14" s="17" t="n">
        <v>54</v>
      </c>
      <c r="C14" s="17" t="n">
        <v>68174434</v>
      </c>
      <c r="D14" s="17" t="n">
        <v>51824900</v>
      </c>
      <c r="E14" s="17" t="n">
        <v>53794065</v>
      </c>
      <c r="F14" s="18" t="n">
        <v>0.655542210606891</v>
      </c>
      <c r="G14" s="18" t="n">
        <v>0.295478800748093</v>
      </c>
      <c r="H14" s="18" t="n">
        <v>0.0218325433746646</v>
      </c>
      <c r="I14" s="18" t="n">
        <v>14.5493426120221</v>
      </c>
      <c r="J14" s="18" t="n">
        <v>38</v>
      </c>
      <c r="K14" s="18" t="n">
        <v>9.48618950030447</v>
      </c>
      <c r="L14" s="18" t="n">
        <v>2.7583185533592</v>
      </c>
      <c r="M14" s="18" t="n">
        <v>96.3394381889526</v>
      </c>
      <c r="N14" s="18" t="n">
        <v>87.4158329297307</v>
      </c>
      <c r="O14" s="18" t="n">
        <v>0.896092418895164</v>
      </c>
      <c r="P14" s="17" t="n">
        <v>0.163985226485342</v>
      </c>
    </row>
    <row r="15" customFormat="false" ht="15" hidden="false" customHeight="false" outlineLevel="0" collapsed="false">
      <c r="A15" s="16" t="n">
        <v>45565</v>
      </c>
      <c r="B15" s="17" t="n">
        <v>54</v>
      </c>
      <c r="C15" s="17" t="n">
        <v>69727725</v>
      </c>
      <c r="D15" s="17" t="n">
        <v>53041932</v>
      </c>
      <c r="E15" s="17" t="n">
        <v>56055733</v>
      </c>
      <c r="F15" s="18" t="n">
        <v>0.70208820311431</v>
      </c>
      <c r="G15" s="18" t="n">
        <v>0.277516583252931</v>
      </c>
      <c r="H15" s="18" t="n">
        <v>0.0327793662869191</v>
      </c>
      <c r="I15" s="18" t="n">
        <v>14.4784010476099</v>
      </c>
      <c r="J15" s="18" t="n">
        <v>38</v>
      </c>
      <c r="K15" s="18" t="n">
        <v>9.76571227585584</v>
      </c>
      <c r="L15" s="18" t="n">
        <v>2.78775800822102</v>
      </c>
      <c r="M15" s="18" t="n">
        <v>94.6235633026153</v>
      </c>
      <c r="N15" s="18" t="n">
        <v>87.4295924967439</v>
      </c>
      <c r="O15" s="18" t="n">
        <v>0.904220457128145</v>
      </c>
      <c r="P15" s="17" t="n">
        <v>0.126808955835</v>
      </c>
    </row>
    <row r="16" customFormat="false" ht="15" hidden="false" customHeight="false" outlineLevel="0" collapsed="false">
      <c r="A16" s="16" t="n">
        <v>45657</v>
      </c>
      <c r="B16" s="17" t="n">
        <v>54</v>
      </c>
      <c r="C16" s="17" t="n">
        <v>70110166</v>
      </c>
      <c r="D16" s="17" t="n">
        <v>53753864</v>
      </c>
      <c r="E16" s="17" t="n">
        <v>57334544</v>
      </c>
      <c r="F16" s="18" t="n">
        <v>0.714737560792617</v>
      </c>
      <c r="G16" s="18" t="n">
        <v>0.276133991752352</v>
      </c>
      <c r="H16" s="18" t="n">
        <v>0.0367642122747315</v>
      </c>
      <c r="I16" s="18" t="n">
        <v>14.4354989732987</v>
      </c>
      <c r="J16" s="18" t="n">
        <v>39</v>
      </c>
      <c r="K16" s="18" t="n">
        <v>9.54971922331492</v>
      </c>
      <c r="L16" s="18" t="n">
        <v>2.83935780288982</v>
      </c>
      <c r="M16" s="18" t="n">
        <v>93.754759783212</v>
      </c>
      <c r="N16" s="18" t="n">
        <v>87.3180874959984</v>
      </c>
      <c r="O16" s="18" t="n">
        <v>0.898815385625115</v>
      </c>
      <c r="P16" s="17" t="n">
        <v>0.230821019593649</v>
      </c>
    </row>
    <row r="17" customFormat="false" ht="15" hidden="false" customHeight="false" outlineLevel="0" collapsed="false">
      <c r="A17" s="16" t="n">
        <v>45747</v>
      </c>
      <c r="B17" s="17" t="n">
        <v>52</v>
      </c>
      <c r="C17" s="17" t="n">
        <v>70509303</v>
      </c>
      <c r="D17" s="17" t="n">
        <v>54195289</v>
      </c>
      <c r="E17" s="17" t="n">
        <v>57973566</v>
      </c>
      <c r="F17" s="18" t="n">
        <v>0.649399356529972</v>
      </c>
      <c r="G17" s="18" t="n">
        <v>0.289639794056679</v>
      </c>
      <c r="H17" s="18" t="n">
        <v>0.032598506153228</v>
      </c>
      <c r="I17" s="18" t="n">
        <v>14.1555482445706</v>
      </c>
      <c r="J17" s="18" t="n">
        <v>37</v>
      </c>
      <c r="K17" s="18" t="n">
        <v>9.78058881109632</v>
      </c>
      <c r="L17" s="18" t="n">
        <v>3.10314662784289</v>
      </c>
      <c r="M17" s="18" t="n">
        <v>93.4827590215858</v>
      </c>
      <c r="N17" s="18" t="n">
        <v>87.2364127442885</v>
      </c>
      <c r="O17" s="18" t="n">
        <v>0.904080426621583</v>
      </c>
      <c r="P17" s="17" t="n">
        <v>0.259737356927213</v>
      </c>
    </row>
    <row r="18" customFormat="false" ht="15" hidden="false" customHeight="false" outlineLevel="0" collapsed="false">
      <c r="A18" s="16" t="n">
        <v>45838</v>
      </c>
      <c r="B18" s="17" t="n">
        <v>52</v>
      </c>
      <c r="C18" s="17" t="n">
        <v>71266944</v>
      </c>
      <c r="D18" s="17" t="n">
        <v>54879795</v>
      </c>
      <c r="E18" s="17" t="n">
        <v>57977829</v>
      </c>
      <c r="F18" s="18" t="n">
        <v>0.758129853387461</v>
      </c>
      <c r="G18" s="18" t="n">
        <v>0.352970095083634</v>
      </c>
      <c r="H18" s="18" t="n">
        <v>0.0267332928153687</v>
      </c>
      <c r="I18" s="18" t="n">
        <v>14.2145168140421</v>
      </c>
      <c r="J18" s="18" t="n">
        <v>37</v>
      </c>
      <c r="K18" s="18" t="n">
        <v>9.94483080402606</v>
      </c>
      <c r="L18" s="18" t="n">
        <v>3.15547680422727</v>
      </c>
      <c r="M18" s="18" t="n">
        <v>94.6565194774713</v>
      </c>
      <c r="N18" s="18" t="n">
        <v>87.3472049230505</v>
      </c>
      <c r="O18" s="18" t="n">
        <v>0.923647765083671</v>
      </c>
      <c r="P18" s="17" t="n">
        <v>0.237448093747362</v>
      </c>
    </row>
  </sheetData>
  <autoFilter ref="A1:P18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2"/>
    <col collapsed="false" customWidth="true" hidden="false" outlineLevel="0" max="6" min="5" style="0" width="16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2"/>
  </cols>
  <sheetData>
    <row r="1" customFormat="false" ht="22.05" hidden="false" customHeight="false" outlineLevel="0" collapsed="false">
      <c r="A1" s="13" t="s">
        <v>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5" hidden="false" customHeight="false" outlineLevel="0" collapsed="false">
      <c r="A2" s="14" t="s">
        <v>58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5" hidden="false" customHeight="false" outlineLevel="0" collapsed="false">
      <c r="A3" s="2" t="s">
        <v>59</v>
      </c>
      <c r="B3" s="19" t="s">
        <v>60</v>
      </c>
      <c r="C3" s="19"/>
      <c r="D3" s="19"/>
      <c r="E3" s="19"/>
      <c r="F3" s="19"/>
      <c r="G3" s="19"/>
      <c r="H3" s="19"/>
      <c r="I3" s="19"/>
    </row>
    <row r="5" customFormat="false" ht="30" hidden="false" customHeight="true" outlineLevel="0" collapsed="false">
      <c r="A5" s="15" t="s">
        <v>61</v>
      </c>
      <c r="B5" s="15" t="s">
        <v>62</v>
      </c>
      <c r="C5" s="15" t="s">
        <v>63</v>
      </c>
      <c r="D5" s="15" t="s">
        <v>64</v>
      </c>
      <c r="E5" s="15" t="s">
        <v>65</v>
      </c>
      <c r="F5" s="15" t="s">
        <v>66</v>
      </c>
      <c r="G5" s="15" t="s">
        <v>67</v>
      </c>
      <c r="H5" s="15" t="s">
        <v>68</v>
      </c>
      <c r="I5" s="15" t="s">
        <v>69</v>
      </c>
      <c r="J5" s="15" t="s">
        <v>70</v>
      </c>
      <c r="K5" s="15" t="s">
        <v>71</v>
      </c>
      <c r="L5" s="15" t="s">
        <v>72</v>
      </c>
      <c r="M5" s="15" t="s">
        <v>73</v>
      </c>
    </row>
    <row r="6" customFormat="false" ht="15" hidden="false" customHeight="false" outlineLevel="0" collapsed="false">
      <c r="A6" s="17" t="s">
        <v>27</v>
      </c>
      <c r="B6" s="20" t="n">
        <v>0.807165398597591</v>
      </c>
      <c r="C6" s="20" t="n">
        <v>0.758129853387461</v>
      </c>
      <c r="D6" s="20" t="n">
        <v>-0.0490355452101295</v>
      </c>
      <c r="E6" s="20" t="n">
        <v>-0.186817817282275</v>
      </c>
      <c r="F6" s="20" t="n">
        <v>0.0693301208371873</v>
      </c>
      <c r="G6" s="20" t="n">
        <v>0.0224960812938517</v>
      </c>
      <c r="H6" s="20" t="n">
        <v>0.0459560699411065</v>
      </c>
      <c r="I6" s="20" t="n">
        <v>0.0684521512349582</v>
      </c>
      <c r="J6" s="21" t="n">
        <v>8.32667268468867E-017</v>
      </c>
      <c r="K6" s="17" t="n">
        <v>51</v>
      </c>
      <c r="L6" s="17" t="n">
        <v>52</v>
      </c>
      <c r="M6" s="17" t="n">
        <v>49</v>
      </c>
    </row>
    <row r="7" customFormat="false" ht="15" hidden="false" customHeight="false" outlineLevel="0" collapsed="false">
      <c r="A7" s="17" t="s">
        <v>74</v>
      </c>
      <c r="B7" s="20" t="n">
        <v>0.219793754891402</v>
      </c>
      <c r="C7" s="20" t="n">
        <v>0.352970095083634</v>
      </c>
      <c r="D7" s="20" t="n">
        <v>0.133176340192232</v>
      </c>
      <c r="E7" s="20" t="n">
        <v>0.113513666182551</v>
      </c>
      <c r="F7" s="20" t="n">
        <v>0.0248967713621332</v>
      </c>
      <c r="G7" s="20" t="n">
        <v>0.00157141627462315</v>
      </c>
      <c r="H7" s="20" t="n">
        <v>-0.00680551362707563</v>
      </c>
      <c r="I7" s="20" t="n">
        <v>-0.00523409735245248</v>
      </c>
      <c r="J7" s="21" t="n">
        <v>0</v>
      </c>
      <c r="K7" s="17" t="n">
        <v>51</v>
      </c>
      <c r="L7" s="17" t="n">
        <v>52</v>
      </c>
      <c r="M7" s="17" t="n">
        <v>49</v>
      </c>
    </row>
    <row r="8" customFormat="false" ht="15" hidden="false" customHeight="false" outlineLevel="0" collapsed="false">
      <c r="A8" s="17" t="s">
        <v>75</v>
      </c>
      <c r="B8" s="20" t="n">
        <v>0.0162486586065398</v>
      </c>
      <c r="C8" s="20" t="n">
        <v>0.0267332928153687</v>
      </c>
      <c r="D8" s="20" t="n">
        <v>0.010484634208829</v>
      </c>
      <c r="E8" s="20" t="n">
        <v>0.0089861574943197</v>
      </c>
      <c r="F8" s="20" t="n">
        <v>0.00161983240262388</v>
      </c>
      <c r="G8" s="20" t="n">
        <v>-0.000488147411629385</v>
      </c>
      <c r="H8" s="20" t="n">
        <v>0.000366791723514767</v>
      </c>
      <c r="I8" s="20" t="n">
        <v>-0.000121355688114617</v>
      </c>
      <c r="J8" s="21" t="n">
        <v>-1.73472347597681E-018</v>
      </c>
      <c r="K8" s="17" t="n">
        <v>51</v>
      </c>
      <c r="L8" s="17" t="n">
        <v>52</v>
      </c>
      <c r="M8" s="17" t="n">
        <v>49</v>
      </c>
    </row>
    <row r="9" customFormat="false" ht="15" hidden="false" customHeight="false" outlineLevel="0" collapsed="false">
      <c r="A9" s="17" t="s">
        <v>76</v>
      </c>
      <c r="B9" s="20" t="n">
        <v>15.1386253303564</v>
      </c>
      <c r="C9" s="20" t="n">
        <v>14.2145168140421</v>
      </c>
      <c r="D9" s="20" t="n">
        <v>-0.924108516314329</v>
      </c>
      <c r="E9" s="20" t="n">
        <v>-1.22829907167485</v>
      </c>
      <c r="F9" s="20" t="n">
        <v>0.165818950866496</v>
      </c>
      <c r="G9" s="20" t="n">
        <v>0.155331977984188</v>
      </c>
      <c r="H9" s="20" t="n">
        <v>-0.0169603734901589</v>
      </c>
      <c r="I9" s="20" t="n">
        <v>0.138371604494029</v>
      </c>
      <c r="J9" s="21" t="n">
        <v>0</v>
      </c>
      <c r="K9" s="17" t="n">
        <v>35</v>
      </c>
      <c r="L9" s="17" t="n">
        <v>37</v>
      </c>
      <c r="M9" s="17" t="n">
        <v>33</v>
      </c>
    </row>
  </sheetData>
  <autoFilter ref="A1:M9"/>
  <mergeCells count="3">
    <mergeCell ref="A1:M1"/>
    <mergeCell ref="A2:M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28" min="7" style="0" width="13"/>
  </cols>
  <sheetData>
    <row r="1" customFormat="false" ht="22.05" hidden="false" customHeight="false" outlineLevel="0" collapsed="false">
      <c r="A1" s="13" t="s">
        <v>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customFormat="false" ht="15" hidden="false" customHeight="false" outlineLevel="0" collapsed="false">
      <c r="A2" s="14" t="s">
        <v>78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4" customFormat="false" ht="30" hidden="false" customHeight="true" outlineLevel="0" collapsed="false">
      <c r="A4" s="15" t="s">
        <v>79</v>
      </c>
      <c r="B4" s="15" t="s">
        <v>80</v>
      </c>
      <c r="C4" s="15" t="s">
        <v>81</v>
      </c>
      <c r="D4" s="15" t="s">
        <v>82</v>
      </c>
      <c r="E4" s="15" t="s">
        <v>83</v>
      </c>
      <c r="F4" s="15" t="s">
        <v>84</v>
      </c>
      <c r="G4" s="15" t="s">
        <v>85</v>
      </c>
      <c r="H4" s="15" t="s">
        <v>86</v>
      </c>
      <c r="I4" s="15" t="s">
        <v>87</v>
      </c>
      <c r="J4" s="15" t="s">
        <v>88</v>
      </c>
      <c r="K4" s="15" t="s">
        <v>89</v>
      </c>
      <c r="L4" s="15" t="s">
        <v>90</v>
      </c>
      <c r="M4" s="15" t="s">
        <v>91</v>
      </c>
      <c r="N4" s="15" t="s">
        <v>27</v>
      </c>
      <c r="O4" s="15" t="s">
        <v>92</v>
      </c>
      <c r="P4" s="15" t="s">
        <v>93</v>
      </c>
      <c r="Q4" s="15" t="s">
        <v>94</v>
      </c>
      <c r="R4" s="15" t="s">
        <v>95</v>
      </c>
      <c r="S4" s="15" t="s">
        <v>96</v>
      </c>
      <c r="T4" s="15" t="s">
        <v>97</v>
      </c>
      <c r="U4" s="15" t="s">
        <v>98</v>
      </c>
      <c r="V4" s="15" t="s">
        <v>99</v>
      </c>
      <c r="W4" s="15" t="s">
        <v>100</v>
      </c>
      <c r="X4" s="15" t="s">
        <v>101</v>
      </c>
      <c r="Y4" s="15" t="s">
        <v>102</v>
      </c>
      <c r="Z4" s="15" t="s">
        <v>103</v>
      </c>
      <c r="AA4" s="15" t="s">
        <v>104</v>
      </c>
      <c r="AB4" s="15" t="s">
        <v>105</v>
      </c>
    </row>
    <row r="5" customFormat="false" ht="15" hidden="false" customHeight="false" outlineLevel="0" collapsed="false">
      <c r="A5" s="17" t="n">
        <v>1</v>
      </c>
      <c r="B5" s="17" t="s">
        <v>106</v>
      </c>
      <c r="C5" s="17" t="n">
        <v>18408</v>
      </c>
      <c r="D5" s="17" t="s">
        <v>107</v>
      </c>
      <c r="E5" s="17" t="s">
        <v>108</v>
      </c>
      <c r="F5" s="17" t="s">
        <v>109</v>
      </c>
      <c r="G5" s="17" t="n">
        <v>7335916</v>
      </c>
      <c r="H5" s="22" t="n">
        <v>70.6868350250703</v>
      </c>
      <c r="I5" s="22" t="n">
        <v>81.9230769230769</v>
      </c>
      <c r="J5" s="22" t="n">
        <v>63.8461538461538</v>
      </c>
      <c r="K5" s="22" t="n">
        <v>21.6440422322775</v>
      </c>
      <c r="L5" s="22" t="n">
        <v>97.2972972972973</v>
      </c>
      <c r="M5" s="22" t="n">
        <v>76.9230769230769</v>
      </c>
      <c r="N5" s="18" t="n">
        <v>0.106277541750663</v>
      </c>
      <c r="O5" s="18" t="n">
        <v>0.0557974274581524</v>
      </c>
      <c r="P5" s="18" t="n">
        <v>2.4185246455811</v>
      </c>
      <c r="Q5" s="18" t="n">
        <v>0.457134460100143</v>
      </c>
      <c r="R5" s="18" t="n">
        <v>0.401305305068589</v>
      </c>
      <c r="S5" s="18" t="n">
        <v>0.16218833476283</v>
      </c>
      <c r="T5" s="18" t="n">
        <v>0.0183387152702238</v>
      </c>
      <c r="U5" s="18" t="n">
        <v>11.148900251832</v>
      </c>
      <c r="V5" s="18" t="n">
        <v>6.37465041857077</v>
      </c>
      <c r="W5" s="18" t="n">
        <v>85.7123103766418</v>
      </c>
      <c r="X5" s="18" t="n">
        <v>1.57688285279227</v>
      </c>
      <c r="Y5" s="18" t="n">
        <v>3.74989897295135</v>
      </c>
      <c r="Z5" s="18" t="n">
        <v>10.5042435133133</v>
      </c>
      <c r="AA5" s="18" t="n">
        <v>90.051579959192</v>
      </c>
      <c r="AB5" s="18" t="n">
        <v>0.745832720319238</v>
      </c>
    </row>
    <row r="6" customFormat="false" ht="15" hidden="false" customHeight="false" outlineLevel="0" collapsed="false">
      <c r="A6" s="17" t="n">
        <v>2</v>
      </c>
      <c r="B6" s="17" t="s">
        <v>106</v>
      </c>
      <c r="C6" s="17" t="n">
        <v>30878</v>
      </c>
      <c r="D6" s="17" t="s">
        <v>110</v>
      </c>
      <c r="E6" s="17" t="s">
        <v>108</v>
      </c>
      <c r="F6" s="17" t="s">
        <v>111</v>
      </c>
      <c r="G6" s="17" t="n">
        <v>98909</v>
      </c>
      <c r="H6" s="22" t="n">
        <v>68.2279411764706</v>
      </c>
      <c r="I6" s="22" t="n">
        <v>90.3846153846154</v>
      </c>
      <c r="J6" s="22" t="n">
        <v>81.1538461538462</v>
      </c>
      <c r="K6" s="22" t="n">
        <v>87.8657616892911</v>
      </c>
      <c r="L6" s="22" t="n">
        <v>50</v>
      </c>
      <c r="M6" s="22" t="n">
        <v>14.4230769230769</v>
      </c>
      <c r="N6" s="18" t="n">
        <v>0.00201541794729682</v>
      </c>
      <c r="O6" s="18" t="n">
        <v>0.229730388276808</v>
      </c>
      <c r="P6" s="18" t="n">
        <v>1.49226620464168</v>
      </c>
      <c r="Q6" s="18" t="n">
        <v>1.36792405140078</v>
      </c>
      <c r="R6" s="18" t="n">
        <v>-0.409184382334157</v>
      </c>
      <c r="S6" s="18" t="n">
        <v>0.779504392926832</v>
      </c>
      <c r="T6" s="18" t="n">
        <v>0</v>
      </c>
      <c r="U6" s="18" t="n">
        <v>0</v>
      </c>
      <c r="V6" s="18" t="n">
        <v>12.0221617850752</v>
      </c>
      <c r="W6" s="18" t="n">
        <v>118.303196974906</v>
      </c>
      <c r="X6" s="18" t="n">
        <v>-3.89720171006607</v>
      </c>
      <c r="Y6" s="18" t="n">
        <v>-2.40482780525432</v>
      </c>
      <c r="Z6" s="18" t="n">
        <v>-5.02775057133529</v>
      </c>
      <c r="AA6" s="18" t="n">
        <v>99.7954344692919</v>
      </c>
      <c r="AB6" s="18" t="n">
        <v>0.788042214886792</v>
      </c>
    </row>
    <row r="7" customFormat="false" ht="15" hidden="false" customHeight="false" outlineLevel="0" collapsed="false">
      <c r="A7" s="17" t="n">
        <v>3</v>
      </c>
      <c r="B7" s="17" t="s">
        <v>106</v>
      </c>
      <c r="C7" s="17" t="n">
        <v>14158</v>
      </c>
      <c r="D7" s="17" t="s">
        <v>112</v>
      </c>
      <c r="E7" s="17" t="s">
        <v>113</v>
      </c>
      <c r="F7" s="17" t="s">
        <v>114</v>
      </c>
      <c r="G7" s="17" t="n">
        <v>1479452</v>
      </c>
      <c r="H7" s="22" t="n">
        <v>67.4202335819983</v>
      </c>
      <c r="I7" s="22" t="n">
        <v>45.7692307692308</v>
      </c>
      <c r="J7" s="22" t="n">
        <v>55.9615384615385</v>
      </c>
      <c r="K7" s="22" t="n">
        <v>73.7405731523379</v>
      </c>
      <c r="L7" s="22" t="n">
        <v>91.8918918918919</v>
      </c>
      <c r="M7" s="22" t="n">
        <v>83.6538461538462</v>
      </c>
      <c r="N7" s="18" t="n">
        <v>0.704869265488618</v>
      </c>
      <c r="O7" s="18" t="n">
        <v>0.0169385208256496</v>
      </c>
      <c r="P7" s="18" t="n">
        <v>2.99867350712437</v>
      </c>
      <c r="Q7" s="18" t="n">
        <v>1.02666392691348</v>
      </c>
      <c r="R7" s="18" t="n">
        <v>0.899967638163265</v>
      </c>
      <c r="S7" s="18" t="n">
        <v>0.0928722256619343</v>
      </c>
      <c r="T7" s="18" t="n">
        <v>-0.0010451772039884</v>
      </c>
      <c r="U7" s="18" t="n">
        <v>12.6234332403009</v>
      </c>
      <c r="V7" s="18" t="n">
        <v>5.84817892030292</v>
      </c>
      <c r="W7" s="18" t="n">
        <v>100.577598357407</v>
      </c>
      <c r="X7" s="18" t="n">
        <v>5.83911789050322</v>
      </c>
      <c r="Y7" s="18" t="n">
        <v>9.83785340148933</v>
      </c>
      <c r="Z7" s="18" t="n">
        <v>4.77402741395181</v>
      </c>
      <c r="AA7" s="18" t="n">
        <v>92.5851546887821</v>
      </c>
      <c r="AB7" s="18" t="n">
        <v>0.745748774142349</v>
      </c>
    </row>
    <row r="8" customFormat="false" ht="15" hidden="false" customHeight="false" outlineLevel="0" collapsed="false">
      <c r="A8" s="17" t="n">
        <v>4</v>
      </c>
      <c r="B8" s="17" t="s">
        <v>106</v>
      </c>
      <c r="C8" s="17" t="n">
        <v>17960</v>
      </c>
      <c r="D8" s="17" t="s">
        <v>115</v>
      </c>
      <c r="E8" s="17" t="s">
        <v>116</v>
      </c>
      <c r="F8" s="17" t="s">
        <v>114</v>
      </c>
      <c r="G8" s="17" t="n">
        <v>1351508</v>
      </c>
      <c r="H8" s="22" t="n">
        <v>65.202060657943</v>
      </c>
      <c r="I8" s="22" t="n">
        <v>62.3076923076923</v>
      </c>
      <c r="J8" s="22" t="n">
        <v>81.3461538461539</v>
      </c>
      <c r="K8" s="22" t="n">
        <v>48.921568627451</v>
      </c>
      <c r="L8" s="22" t="n">
        <v>72.972972972973</v>
      </c>
      <c r="M8" s="22" t="n">
        <v>49.0384615384615</v>
      </c>
      <c r="N8" s="18" t="n">
        <v>0.262782180471353</v>
      </c>
      <c r="O8" s="18" t="n">
        <v>-0.0927297009371225</v>
      </c>
      <c r="P8" s="18" t="n">
        <v>2.95418789912176</v>
      </c>
      <c r="Q8" s="18" t="n">
        <v>0.568032153712742</v>
      </c>
      <c r="R8" s="18" t="n">
        <v>-0.100455867103285</v>
      </c>
      <c r="S8" s="18" t="n">
        <v>0.383941493502073</v>
      </c>
      <c r="T8" s="18" t="n">
        <v>0.0748410932137114</v>
      </c>
      <c r="U8" s="18" t="n">
        <v>13.7977129571644</v>
      </c>
      <c r="V8" s="18" t="n">
        <v>8.82836061643734</v>
      </c>
      <c r="W8" s="18" t="n">
        <v>104.250622537918</v>
      </c>
      <c r="X8" s="18" t="n">
        <v>-2.3701201602522</v>
      </c>
      <c r="Y8" s="18" t="n">
        <v>-2.64376911360422</v>
      </c>
      <c r="Z8" s="18" t="n">
        <v>5.03571909446057</v>
      </c>
      <c r="AA8" s="18" t="n">
        <v>70.4291580876037</v>
      </c>
      <c r="AB8" s="18" t="n">
        <v>1.1168697299263</v>
      </c>
    </row>
    <row r="9" customFormat="false" ht="15" hidden="false" customHeight="false" outlineLevel="0" collapsed="false">
      <c r="A9" s="17" t="n">
        <v>5</v>
      </c>
      <c r="B9" s="17" t="s">
        <v>106</v>
      </c>
      <c r="C9" s="17" t="n">
        <v>27824</v>
      </c>
      <c r="D9" s="17" t="s">
        <v>117</v>
      </c>
      <c r="E9" s="17" t="s">
        <v>116</v>
      </c>
      <c r="F9" s="17" t="s">
        <v>118</v>
      </c>
      <c r="G9" s="17" t="n">
        <v>571650</v>
      </c>
      <c r="H9" s="22" t="n">
        <v>64.1139017977253</v>
      </c>
      <c r="I9" s="22" t="n">
        <v>94.2307692307692</v>
      </c>
      <c r="J9" s="22" t="n">
        <v>67.5</v>
      </c>
      <c r="K9" s="22" t="n">
        <v>72.5490196078431</v>
      </c>
      <c r="L9" s="22" t="n">
        <v>13.5135135135135</v>
      </c>
      <c r="M9" s="22" t="n">
        <v>67.3076923076923</v>
      </c>
      <c r="N9" s="18" t="n">
        <v>-0.305904588568829</v>
      </c>
      <c r="O9" s="18" t="n">
        <v>0.0681187238431095</v>
      </c>
      <c r="P9" s="18" t="n">
        <v>1.91505644013124</v>
      </c>
      <c r="Q9" s="18" t="n">
        <v>0.357561444940086</v>
      </c>
      <c r="R9" s="18" t="n">
        <v>0.164262475867921</v>
      </c>
      <c r="S9" s="18" t="n">
        <v>0.295110644625208</v>
      </c>
      <c r="T9" s="18" t="n">
        <v>0.0177229398137403</v>
      </c>
      <c r="U9" s="18" t="n">
        <v>18.9590144003458</v>
      </c>
      <c r="V9" s="18" t="n">
        <v>10.8695880346366</v>
      </c>
      <c r="W9" s="18" t="n">
        <v>121.441230718503</v>
      </c>
      <c r="X9" s="18" t="n">
        <v>2.59921603537892</v>
      </c>
      <c r="Y9" s="18" t="n">
        <v>2.36128149732389</v>
      </c>
      <c r="Z9" s="18" t="n">
        <v>6.94369832860871</v>
      </c>
      <c r="AA9" s="18" t="n">
        <v>89.3799715758437</v>
      </c>
      <c r="AB9" s="18" t="n">
        <v>0.62787688522156</v>
      </c>
    </row>
    <row r="10" customFormat="false" ht="15" hidden="false" customHeight="false" outlineLevel="0" collapsed="false">
      <c r="A10" s="17" t="n">
        <v>6</v>
      </c>
      <c r="B10" s="17" t="s">
        <v>119</v>
      </c>
      <c r="C10" s="17" t="n">
        <v>14140</v>
      </c>
      <c r="D10" s="17" t="s">
        <v>120</v>
      </c>
      <c r="E10" s="17" t="s">
        <v>113</v>
      </c>
      <c r="F10" s="17" t="s">
        <v>114</v>
      </c>
      <c r="G10" s="17" t="n">
        <v>1560737</v>
      </c>
      <c r="H10" s="22" t="n">
        <v>61.8846153846154</v>
      </c>
      <c r="I10" s="22" t="n">
        <v>73.4615384615385</v>
      </c>
      <c r="J10" s="22" t="n">
        <v>67.6923076923077</v>
      </c>
      <c r="K10" s="22" t="n">
        <v>31.7948717948718</v>
      </c>
      <c r="L10" s="22" t="n">
        <v>50</v>
      </c>
      <c r="M10" s="22" t="n">
        <v>78.8461538461538</v>
      </c>
      <c r="N10" s="18" t="n">
        <v>0.319216663443552</v>
      </c>
      <c r="O10" s="18" t="n">
        <v>0.0275328486987358</v>
      </c>
      <c r="P10" s="18" t="n">
        <v>2.58054568551282</v>
      </c>
      <c r="Q10" s="18" t="n">
        <v>0.476441578561923</v>
      </c>
      <c r="R10" s="18" t="n">
        <v>0.339928454686605</v>
      </c>
      <c r="S10" s="18" t="n">
        <v>0.293643323634924</v>
      </c>
      <c r="T10" s="18" t="n">
        <v>0.0050855600064296</v>
      </c>
      <c r="U10" s="18" t="n">
        <v>0</v>
      </c>
      <c r="V10" s="18" t="n">
        <v>9.14241156581795</v>
      </c>
      <c r="W10" s="18" t="n">
        <v>86.275878274623</v>
      </c>
      <c r="X10" s="18" t="n">
        <v>4.13542689041653</v>
      </c>
      <c r="Y10" s="18" t="n">
        <v>2.66273783402664</v>
      </c>
      <c r="Z10" s="18" t="n">
        <v>6.85287000217718</v>
      </c>
      <c r="AA10" s="18" t="n">
        <v>88.403203185088</v>
      </c>
      <c r="AB10" s="18" t="n">
        <v>0.808035108356332</v>
      </c>
    </row>
    <row r="11" customFormat="false" ht="15" hidden="false" customHeight="false" outlineLevel="0" collapsed="false">
      <c r="A11" s="17" t="n">
        <v>7</v>
      </c>
      <c r="B11" s="17" t="s">
        <v>106</v>
      </c>
      <c r="C11" s="17" t="n">
        <v>59289</v>
      </c>
      <c r="D11" s="17" t="s">
        <v>121</v>
      </c>
      <c r="E11" s="17" t="s">
        <v>116</v>
      </c>
      <c r="F11" s="17" t="s">
        <v>111</v>
      </c>
      <c r="G11" s="17" t="n">
        <v>145991</v>
      </c>
      <c r="H11" s="22" t="n">
        <v>60.8653846153846</v>
      </c>
      <c r="I11" s="22" t="n">
        <v>59.6153846153846</v>
      </c>
      <c r="J11" s="22" t="n">
        <v>80.3846153846154</v>
      </c>
      <c r="K11" s="22" t="n">
        <v>53.8461538461539</v>
      </c>
      <c r="L11" s="22" t="n">
        <v>50</v>
      </c>
      <c r="M11" s="22" t="n">
        <v>51.9230769230769</v>
      </c>
      <c r="N11" s="18" t="n">
        <v>-0.239988600541474</v>
      </c>
      <c r="O11" s="18" t="n">
        <v>0.890401990427017</v>
      </c>
      <c r="P11" s="18" t="n">
        <v>3.99218654620925</v>
      </c>
      <c r="Q11" s="18" t="n">
        <v>1.94190052811475</v>
      </c>
      <c r="R11" s="18" t="n">
        <v>1.63411816612115</v>
      </c>
      <c r="S11" s="18" t="n">
        <v>2.38233863731326</v>
      </c>
      <c r="T11" s="18" t="n">
        <v>-0.202737647829535</v>
      </c>
      <c r="U11" s="18" t="n">
        <v>0</v>
      </c>
      <c r="V11" s="18" t="n">
        <v>10.7527176332788</v>
      </c>
      <c r="W11" s="18" t="n">
        <v>82.278932118564</v>
      </c>
      <c r="X11" s="18" t="n">
        <v>37.8326834656672</v>
      </c>
      <c r="Y11" s="18" t="n">
        <v>106.7392108388</v>
      </c>
      <c r="Z11" s="18" t="n">
        <v>49.838063729758</v>
      </c>
      <c r="AA11" s="18" t="n">
        <v>36.1756619336372</v>
      </c>
      <c r="AB11" s="18" t="n">
        <v>0.679823735452525</v>
      </c>
    </row>
    <row r="12" customFormat="false" ht="15" hidden="false" customHeight="false" outlineLevel="0" collapsed="false">
      <c r="A12" s="17" t="n">
        <v>8</v>
      </c>
      <c r="B12" s="17" t="s">
        <v>122</v>
      </c>
      <c r="C12" s="17" t="n">
        <v>29636</v>
      </c>
      <c r="D12" s="17" t="s">
        <v>123</v>
      </c>
      <c r="E12" s="17" t="s">
        <v>108</v>
      </c>
      <c r="F12" s="17" t="s">
        <v>111</v>
      </c>
      <c r="G12" s="17" t="n">
        <v>185573</v>
      </c>
      <c r="H12" s="22" t="n">
        <v>60.5927601809955</v>
      </c>
      <c r="I12" s="22" t="n">
        <v>54.6153846153846</v>
      </c>
      <c r="J12" s="22" t="n">
        <v>94.6153846153846</v>
      </c>
      <c r="K12" s="22" t="n">
        <v>78.3107088989442</v>
      </c>
      <c r="L12" s="22" t="n">
        <v>0</v>
      </c>
      <c r="M12" s="22" t="n">
        <v>76.9230769230769</v>
      </c>
      <c r="N12" s="18" t="n">
        <v>0.234619113348782</v>
      </c>
      <c r="O12" s="18" t="n">
        <v>-0.0131469002969494</v>
      </c>
      <c r="P12" s="18" t="n">
        <v>3.50724516740479</v>
      </c>
      <c r="Q12" s="18" t="n">
        <v>1.67157937846562</v>
      </c>
      <c r="R12" s="18" t="n">
        <v>0.156503513718453</v>
      </c>
      <c r="S12" s="18" t="n">
        <v>2.27673206770382</v>
      </c>
      <c r="T12" s="18" t="n">
        <v>0.0317350080832285</v>
      </c>
      <c r="U12" s="18" t="n">
        <v>27.1672138701688</v>
      </c>
      <c r="V12" s="18" t="n">
        <v>14.897641359465</v>
      </c>
      <c r="W12" s="18" t="n">
        <v>105.183424496692</v>
      </c>
      <c r="X12" s="18" t="n">
        <v>2.95026490249923</v>
      </c>
      <c r="Y12" s="18" t="n">
        <v>6.01759310708125</v>
      </c>
      <c r="Z12" s="18" t="n">
        <v>1.93765919092694</v>
      </c>
      <c r="AA12" s="18" t="n">
        <v>97.7633477633478</v>
      </c>
      <c r="AB12" s="18" t="n">
        <v>1.32524707996406</v>
      </c>
    </row>
    <row r="13" customFormat="false" ht="15" hidden="false" customHeight="false" outlineLevel="0" collapsed="false">
      <c r="A13" s="17" t="n">
        <v>9</v>
      </c>
      <c r="B13" s="17" t="s">
        <v>119</v>
      </c>
      <c r="C13" s="17" t="n">
        <v>28288</v>
      </c>
      <c r="D13" s="17" t="s">
        <v>124</v>
      </c>
      <c r="E13" s="17" t="s">
        <v>108</v>
      </c>
      <c r="F13" s="17" t="s">
        <v>111</v>
      </c>
      <c r="G13" s="17" t="n">
        <v>102731</v>
      </c>
      <c r="H13" s="22" t="n">
        <v>57.7682524153112</v>
      </c>
      <c r="I13" s="22" t="n">
        <v>72.6923076923077</v>
      </c>
      <c r="J13" s="22" t="n">
        <v>35.9615384615385</v>
      </c>
      <c r="K13" s="22" t="n">
        <v>69.9622926093514</v>
      </c>
      <c r="L13" s="22" t="n">
        <v>81.0810810810811</v>
      </c>
      <c r="M13" s="22" t="n">
        <v>25.9615384615385</v>
      </c>
      <c r="N13" s="18" t="n">
        <v>0.2469079353467</v>
      </c>
      <c r="O13" s="18" t="n">
        <v>0.142840638494736</v>
      </c>
      <c r="P13" s="18" t="n">
        <v>2.73418663286535</v>
      </c>
      <c r="Q13" s="18" t="n">
        <v>0.0963681848711684</v>
      </c>
      <c r="R13" s="18" t="n">
        <v>-0.1485911187027</v>
      </c>
      <c r="S13" s="18" t="n">
        <v>0.155746561407949</v>
      </c>
      <c r="T13" s="18" t="n">
        <v>0.00242606564933647</v>
      </c>
      <c r="U13" s="18" t="n">
        <v>13.1832466884013</v>
      </c>
      <c r="V13" s="18" t="n">
        <v>6.1023449591652</v>
      </c>
      <c r="W13" s="18" t="n">
        <v>107.825722993212</v>
      </c>
      <c r="X13" s="18" t="n">
        <v>0.2586223722991</v>
      </c>
      <c r="Y13" s="18" t="n">
        <v>0.355473315153887</v>
      </c>
      <c r="Z13" s="18" t="n">
        <v>2.54852252759781</v>
      </c>
      <c r="AA13" s="18" t="n">
        <v>90.8243971080596</v>
      </c>
      <c r="AB13" s="18" t="n">
        <v>0.96923674122956</v>
      </c>
    </row>
    <row r="14" customFormat="false" ht="15" hidden="false" customHeight="false" outlineLevel="0" collapsed="false">
      <c r="A14" s="17" t="n">
        <v>10</v>
      </c>
      <c r="B14" s="17" t="s">
        <v>119</v>
      </c>
      <c r="C14" s="17" t="n">
        <v>17751</v>
      </c>
      <c r="D14" s="17" t="s">
        <v>125</v>
      </c>
      <c r="E14" s="17" t="s">
        <v>108</v>
      </c>
      <c r="F14" s="17" t="s">
        <v>114</v>
      </c>
      <c r="G14" s="17" t="n">
        <v>1763462</v>
      </c>
      <c r="H14" s="22" t="n">
        <v>57.3323345970405</v>
      </c>
      <c r="I14" s="22" t="n">
        <v>58.8461538461539</v>
      </c>
      <c r="J14" s="22" t="n">
        <v>42.5</v>
      </c>
      <c r="K14" s="22" t="n">
        <v>78.2654600301659</v>
      </c>
      <c r="L14" s="22" t="n">
        <v>70.2702702702703</v>
      </c>
      <c r="M14" s="22" t="n">
        <v>41.3461538461539</v>
      </c>
      <c r="N14" s="18" t="n">
        <v>0.456345594479789</v>
      </c>
      <c r="O14" s="18" t="n">
        <v>0.0130310302306921</v>
      </c>
      <c r="P14" s="18" t="n">
        <v>2.87157524616151</v>
      </c>
      <c r="Q14" s="18" t="n">
        <v>0.137513595416289</v>
      </c>
      <c r="R14" s="18" t="n">
        <v>-0.161074328688469</v>
      </c>
      <c r="S14" s="18" t="n">
        <v>0.366041343675112</v>
      </c>
      <c r="T14" s="18" t="n">
        <v>-0.00636362307930536</v>
      </c>
      <c r="U14" s="18" t="n">
        <v>13.9221615094596</v>
      </c>
      <c r="V14" s="18" t="n">
        <v>9.95014352449897</v>
      </c>
      <c r="W14" s="18" t="n">
        <v>106.092579713733</v>
      </c>
      <c r="X14" s="18" t="n">
        <v>8.27646675254472</v>
      </c>
      <c r="Y14" s="18" t="n">
        <v>8.25758155592529</v>
      </c>
      <c r="Z14" s="18" t="n">
        <v>4.43683229431033</v>
      </c>
      <c r="AA14" s="18" t="n">
        <v>84.6303483249569</v>
      </c>
      <c r="AB14" s="18" t="n">
        <v>0.936055538700409</v>
      </c>
    </row>
    <row r="15" customFormat="false" ht="15" hidden="false" customHeight="false" outlineLevel="0" collapsed="false">
      <c r="A15" s="17" t="n">
        <v>11</v>
      </c>
      <c r="B15" s="17" t="s">
        <v>119</v>
      </c>
      <c r="C15" s="17" t="n">
        <v>4255</v>
      </c>
      <c r="D15" s="17" t="s">
        <v>126</v>
      </c>
      <c r="E15" s="17" t="s">
        <v>108</v>
      </c>
      <c r="F15" s="17" t="s">
        <v>109</v>
      </c>
      <c r="G15" s="17" t="n">
        <v>6902692</v>
      </c>
      <c r="H15" s="22" t="n">
        <v>56.9098538583833</v>
      </c>
      <c r="I15" s="22" t="n">
        <v>37.6923076923077</v>
      </c>
      <c r="J15" s="22" t="n">
        <v>48.4615384615385</v>
      </c>
      <c r="K15" s="22" t="n">
        <v>38.763197586727</v>
      </c>
      <c r="L15" s="22" t="n">
        <v>86.4864864864865</v>
      </c>
      <c r="M15" s="22" t="n">
        <v>81.7307692307692</v>
      </c>
      <c r="N15" s="18" t="n">
        <v>0.719073888795519</v>
      </c>
      <c r="O15" s="18" t="n">
        <v>-0.205739016269573</v>
      </c>
      <c r="P15" s="18" t="n">
        <v>3.34318547116715</v>
      </c>
      <c r="Q15" s="18" t="n">
        <v>0.263332044947102</v>
      </c>
      <c r="R15" s="18" t="n">
        <v>0.126808192680097</v>
      </c>
      <c r="S15" s="18" t="n">
        <v>0.0595999357931659</v>
      </c>
      <c r="T15" s="18" t="n">
        <v>0.0534902112412584</v>
      </c>
      <c r="U15" s="18" t="n">
        <v>12.8539272598033</v>
      </c>
      <c r="V15" s="18" t="n">
        <v>9.96047628954037</v>
      </c>
      <c r="W15" s="18" t="n">
        <v>89.3258390498522</v>
      </c>
      <c r="X15" s="18" t="n">
        <v>20.8957155680102</v>
      </c>
      <c r="Y15" s="18" t="n">
        <v>19.2661354432044</v>
      </c>
      <c r="Z15" s="18" t="n">
        <v>21.9536630632691</v>
      </c>
      <c r="AA15" s="18" t="n">
        <v>89.9552396316787</v>
      </c>
      <c r="AB15" s="18" t="n">
        <v>1.07030046411581</v>
      </c>
    </row>
    <row r="16" customFormat="false" ht="15" hidden="false" customHeight="false" outlineLevel="0" collapsed="false">
      <c r="A16" s="17" t="n">
        <v>12</v>
      </c>
      <c r="B16" s="17" t="s">
        <v>119</v>
      </c>
      <c r="C16" s="17" t="n">
        <v>17180</v>
      </c>
      <c r="D16" s="17" t="s">
        <v>127</v>
      </c>
      <c r="E16" s="17" t="s">
        <v>116</v>
      </c>
      <c r="F16" s="17" t="s">
        <v>114</v>
      </c>
      <c r="G16" s="17" t="n">
        <v>1609518</v>
      </c>
      <c r="H16" s="22" t="n">
        <v>56.8818637642167</v>
      </c>
      <c r="I16" s="22" t="n">
        <v>63.8461538461539</v>
      </c>
      <c r="J16" s="22" t="n">
        <v>63.2692307692308</v>
      </c>
      <c r="K16" s="22" t="n">
        <v>48.8763197586727</v>
      </c>
      <c r="L16" s="22" t="n">
        <v>40.5405405405405</v>
      </c>
      <c r="M16" s="22" t="n">
        <v>64.4230769230769</v>
      </c>
      <c r="N16" s="18" t="n">
        <v>0.322125402656753</v>
      </c>
      <c r="O16" s="18" t="n">
        <v>-0.0752486143419566</v>
      </c>
      <c r="P16" s="18" t="n">
        <v>2.82301178340663</v>
      </c>
      <c r="Q16" s="18" t="n">
        <v>0.311024791272915</v>
      </c>
      <c r="R16" s="18" t="n">
        <v>0.000633699716686753</v>
      </c>
      <c r="S16" s="18" t="n">
        <v>0.247216868652603</v>
      </c>
      <c r="T16" s="18" t="n">
        <v>0.0223726451425354</v>
      </c>
      <c r="U16" s="18" t="n">
        <v>16.1170926443665</v>
      </c>
      <c r="V16" s="18" t="n">
        <v>9.16516621746386</v>
      </c>
      <c r="W16" s="18" t="n">
        <v>105.303694639883</v>
      </c>
      <c r="X16" s="18" t="n">
        <v>-1.88922841724316</v>
      </c>
      <c r="Y16" s="18" t="n">
        <v>-4.51755842821676</v>
      </c>
      <c r="Z16" s="18" t="n">
        <v>11.2858079483559</v>
      </c>
      <c r="AA16" s="18" t="n">
        <v>83.9821455597373</v>
      </c>
      <c r="AB16" s="18" t="n">
        <v>0.988406664070127</v>
      </c>
    </row>
    <row r="17" customFormat="false" ht="15" hidden="false" customHeight="false" outlineLevel="0" collapsed="false">
      <c r="A17" s="17" t="n">
        <v>13</v>
      </c>
      <c r="B17" s="17" t="s">
        <v>119</v>
      </c>
      <c r="C17" s="17" t="n">
        <v>18038</v>
      </c>
      <c r="D17" s="17" t="s">
        <v>128</v>
      </c>
      <c r="E17" s="17" t="s">
        <v>116</v>
      </c>
      <c r="F17" s="17" t="s">
        <v>118</v>
      </c>
      <c r="G17" s="17" t="n">
        <v>597834</v>
      </c>
      <c r="H17" s="22" t="n">
        <v>55.4377828054299</v>
      </c>
      <c r="I17" s="22" t="n">
        <v>59.2307692307692</v>
      </c>
      <c r="J17" s="22" t="n">
        <v>49.4230769230769</v>
      </c>
      <c r="K17" s="22" t="n">
        <v>68.9441930618401</v>
      </c>
      <c r="L17" s="22" t="n">
        <v>50</v>
      </c>
      <c r="M17" s="22" t="n">
        <v>52.8846153846154</v>
      </c>
      <c r="N17" s="18" t="n">
        <v>0.425956323893033</v>
      </c>
      <c r="O17" s="18" t="n">
        <v>-0.229215508959529</v>
      </c>
      <c r="P17" s="18" t="n">
        <v>2.89442109724558</v>
      </c>
      <c r="Q17" s="18" t="n">
        <v>0.366991506003339</v>
      </c>
      <c r="R17" s="18" t="n">
        <v>-0.131309310929802</v>
      </c>
      <c r="S17" s="18" t="n">
        <v>0.158906987558419</v>
      </c>
      <c r="T17" s="18" t="n">
        <v>-0.0240515594170021</v>
      </c>
      <c r="U17" s="18" t="n">
        <v>0</v>
      </c>
      <c r="V17" s="18" t="n">
        <v>11.621118905917</v>
      </c>
      <c r="W17" s="18" t="n">
        <v>102.358900177024</v>
      </c>
      <c r="X17" s="18" t="n">
        <v>13.1843353307017</v>
      </c>
      <c r="Y17" s="18" t="n">
        <v>9.73450056718375</v>
      </c>
      <c r="Z17" s="18" t="n">
        <v>10.0865282771264</v>
      </c>
      <c r="AA17" s="18" t="n">
        <v>91.7054500250802</v>
      </c>
      <c r="AB17" s="18" t="n">
        <v>0.859485747933614</v>
      </c>
    </row>
    <row r="18" customFormat="false" ht="15" hidden="false" customHeight="false" outlineLevel="0" collapsed="false">
      <c r="A18" s="17" t="n">
        <v>14</v>
      </c>
      <c r="B18" s="17" t="s">
        <v>119</v>
      </c>
      <c r="C18" s="17" t="n">
        <v>17743</v>
      </c>
      <c r="D18" s="17" t="s">
        <v>129</v>
      </c>
      <c r="E18" s="17" t="s">
        <v>108</v>
      </c>
      <c r="F18" s="17" t="s">
        <v>114</v>
      </c>
      <c r="G18" s="17" t="n">
        <v>1439697</v>
      </c>
      <c r="H18" s="22" t="n">
        <v>55.4044117647059</v>
      </c>
      <c r="I18" s="22" t="n">
        <v>86.5384615384616</v>
      </c>
      <c r="J18" s="22" t="n">
        <v>28.4615384615385</v>
      </c>
      <c r="K18" s="22" t="n">
        <v>81.2217194570136</v>
      </c>
      <c r="L18" s="22" t="n">
        <v>50</v>
      </c>
      <c r="M18" s="22" t="n">
        <v>29.8076923076923</v>
      </c>
      <c r="N18" s="18" t="n">
        <v>0.0674104441716298</v>
      </c>
      <c r="O18" s="18" t="n">
        <v>0.0987102250013755</v>
      </c>
      <c r="P18" s="18" t="n">
        <v>2.0701108760452</v>
      </c>
      <c r="Q18" s="18" t="n">
        <v>0.0282698373338279</v>
      </c>
      <c r="R18" s="18" t="n">
        <v>-0.256405676726921</v>
      </c>
      <c r="S18" s="18" t="n">
        <v>0.105369393698813</v>
      </c>
      <c r="T18" s="18" t="n">
        <v>0.0164741614169882</v>
      </c>
      <c r="U18" s="18" t="n">
        <v>0</v>
      </c>
      <c r="V18" s="18" t="n">
        <v>8.79455885509243</v>
      </c>
      <c r="W18" s="18" t="n">
        <v>113.353825237263</v>
      </c>
      <c r="X18" s="18" t="n">
        <v>2.51287733034464</v>
      </c>
      <c r="Y18" s="18" t="n">
        <v>3.09536254026115</v>
      </c>
      <c r="Z18" s="18" t="n">
        <v>3.80640727038371</v>
      </c>
      <c r="AA18" s="18" t="n">
        <v>96.2806135713667</v>
      </c>
      <c r="AB18" s="18" t="n">
        <v>0.417193864286333</v>
      </c>
    </row>
    <row r="19" customFormat="false" ht="15" hidden="false" customHeight="false" outlineLevel="0" collapsed="false">
      <c r="A19" s="17" t="n">
        <v>15</v>
      </c>
      <c r="B19" s="17" t="s">
        <v>119</v>
      </c>
      <c r="C19" s="17" t="n">
        <v>18028</v>
      </c>
      <c r="D19" s="17" t="s">
        <v>130</v>
      </c>
      <c r="E19" s="17" t="s">
        <v>116</v>
      </c>
      <c r="F19" s="17" t="s">
        <v>118</v>
      </c>
      <c r="G19" s="17" t="n">
        <v>404550</v>
      </c>
      <c r="H19" s="22" t="n">
        <v>54.847850678733</v>
      </c>
      <c r="I19" s="22" t="n">
        <v>46.9230769230769</v>
      </c>
      <c r="J19" s="22" t="n">
        <v>71.3461538461538</v>
      </c>
      <c r="K19" s="22" t="n">
        <v>28.7933634992459</v>
      </c>
      <c r="L19" s="22" t="n">
        <v>50</v>
      </c>
      <c r="M19" s="22" t="n">
        <v>73.0769230769231</v>
      </c>
      <c r="N19" s="18" t="n">
        <v>0.514962579054543</v>
      </c>
      <c r="O19" s="18" t="n">
        <v>0.0446100765477707</v>
      </c>
      <c r="P19" s="18" t="n">
        <v>3.48454058231308</v>
      </c>
      <c r="Q19" s="18" t="n">
        <v>0.327030033370412</v>
      </c>
      <c r="R19" s="18" t="n">
        <v>0.187824318823414</v>
      </c>
      <c r="S19" s="18" t="n">
        <v>0.288963045359041</v>
      </c>
      <c r="T19" s="18" t="n">
        <v>0.153769508608218</v>
      </c>
      <c r="U19" s="18" t="n">
        <v>0</v>
      </c>
      <c r="V19" s="18" t="n">
        <v>10.8901248300581</v>
      </c>
      <c r="W19" s="18" t="n">
        <v>81.1275750330151</v>
      </c>
      <c r="X19" s="18" t="n">
        <v>2.76582448902867</v>
      </c>
      <c r="Y19" s="18" t="n">
        <v>3.21370152987588</v>
      </c>
      <c r="Z19" s="18" t="n">
        <v>5.82498868739976</v>
      </c>
      <c r="AA19" s="18" t="n">
        <v>91.8516181310998</v>
      </c>
      <c r="AB19" s="18" t="n">
        <v>0.87127378075453</v>
      </c>
    </row>
    <row r="20" customFormat="false" ht="15" hidden="false" customHeight="false" outlineLevel="0" collapsed="false">
      <c r="A20" s="17" t="n">
        <v>16</v>
      </c>
      <c r="B20" s="17" t="s">
        <v>119</v>
      </c>
      <c r="C20" s="17" t="n">
        <v>18013</v>
      </c>
      <c r="D20" s="17" t="s">
        <v>131</v>
      </c>
      <c r="E20" s="17" t="s">
        <v>116</v>
      </c>
      <c r="F20" s="17" t="s">
        <v>114</v>
      </c>
      <c r="G20" s="17" t="n">
        <v>2896306</v>
      </c>
      <c r="H20" s="22" t="n">
        <v>54.7247156658921</v>
      </c>
      <c r="I20" s="22" t="n">
        <v>61.9230769230769</v>
      </c>
      <c r="J20" s="22" t="n">
        <v>27.3076923076923</v>
      </c>
      <c r="K20" s="22" t="n">
        <v>45.2714932126697</v>
      </c>
      <c r="L20" s="22" t="n">
        <v>89.1891891891892</v>
      </c>
      <c r="M20" s="22" t="n">
        <v>51.9230769230769</v>
      </c>
      <c r="N20" s="18" t="n">
        <v>0.336164972529288</v>
      </c>
      <c r="O20" s="18" t="n">
        <v>0.113385276364472</v>
      </c>
      <c r="P20" s="18" t="n">
        <v>2.8369626762913</v>
      </c>
      <c r="Q20" s="18" t="n">
        <v>0.048371960697523</v>
      </c>
      <c r="R20" s="18" t="n">
        <v>0.0111644336559916</v>
      </c>
      <c r="S20" s="18" t="n">
        <v>0.164416328937619</v>
      </c>
      <c r="T20" s="18" t="n">
        <v>-0.00396253151278859</v>
      </c>
      <c r="U20" s="18" t="n">
        <v>12.6358689440193</v>
      </c>
      <c r="V20" s="18" t="n">
        <v>8.11530273389621</v>
      </c>
      <c r="W20" s="18" t="n">
        <v>94.1594834369612</v>
      </c>
      <c r="X20" s="18" t="n">
        <v>-0.586361793773504</v>
      </c>
      <c r="Y20" s="18" t="n">
        <v>0.60220155422388</v>
      </c>
      <c r="Z20" s="18" t="n">
        <v>4.67919441466038</v>
      </c>
      <c r="AA20" s="18" t="n">
        <v>91.7855434644001</v>
      </c>
      <c r="AB20" s="18" t="n">
        <v>0.727725328052091</v>
      </c>
    </row>
    <row r="21" customFormat="false" ht="15" hidden="false" customHeight="false" outlineLevel="0" collapsed="false">
      <c r="A21" s="17" t="n">
        <v>17</v>
      </c>
      <c r="B21" s="17" t="s">
        <v>122</v>
      </c>
      <c r="C21" s="17" t="n">
        <v>17443</v>
      </c>
      <c r="D21" s="17" t="s">
        <v>132</v>
      </c>
      <c r="E21" s="17" t="s">
        <v>116</v>
      </c>
      <c r="F21" s="17" t="s">
        <v>118</v>
      </c>
      <c r="G21" s="17" t="n">
        <v>366584</v>
      </c>
      <c r="H21" s="22" t="n">
        <v>54.35407239819</v>
      </c>
      <c r="I21" s="22" t="n">
        <v>94.6153846153846</v>
      </c>
      <c r="J21" s="22" t="n">
        <v>30</v>
      </c>
      <c r="K21" s="22" t="n">
        <v>41.8476621417798</v>
      </c>
      <c r="L21" s="22" t="n">
        <v>50</v>
      </c>
      <c r="M21" s="22" t="n">
        <v>46.1538461538462</v>
      </c>
      <c r="N21" s="18" t="n">
        <v>-0.301132819905539</v>
      </c>
      <c r="O21" s="18" t="n">
        <v>-0.110925478807922</v>
      </c>
      <c r="P21" s="18" t="n">
        <v>1.29920976724489</v>
      </c>
      <c r="Q21" s="18" t="n">
        <v>0.00600135303232001</v>
      </c>
      <c r="R21" s="18" t="n">
        <v>-0.279402252037018</v>
      </c>
      <c r="S21" s="18" t="n">
        <v>0.209774567357004</v>
      </c>
      <c r="T21" s="18" t="n">
        <v>0</v>
      </c>
      <c r="U21" s="18" t="n">
        <v>0</v>
      </c>
      <c r="V21" s="18" t="n">
        <v>10.9456495646291</v>
      </c>
      <c r="W21" s="18" t="n">
        <v>71.2142661910335</v>
      </c>
      <c r="X21" s="18" t="n">
        <v>0.407289021821589</v>
      </c>
      <c r="Y21" s="18" t="n">
        <v>1.3196729484495</v>
      </c>
      <c r="Z21" s="18" t="n">
        <v>-4.91241749051203</v>
      </c>
      <c r="AA21" s="18" t="n">
        <v>99.1147829766714</v>
      </c>
      <c r="AB21" s="18" t="n">
        <v>0.712995812564276</v>
      </c>
    </row>
    <row r="22" customFormat="false" ht="15" hidden="false" customHeight="false" outlineLevel="0" collapsed="false">
      <c r="A22" s="17" t="n">
        <v>18</v>
      </c>
      <c r="B22" s="17" t="s">
        <v>119</v>
      </c>
      <c r="C22" s="17" t="n">
        <v>33418</v>
      </c>
      <c r="D22" s="17" t="s">
        <v>133</v>
      </c>
      <c r="E22" s="17" t="s">
        <v>113</v>
      </c>
      <c r="F22" s="17" t="s">
        <v>118</v>
      </c>
      <c r="G22" s="17" t="n">
        <v>993609</v>
      </c>
      <c r="H22" s="22" t="n">
        <v>53.9240094166565</v>
      </c>
      <c r="I22" s="22" t="n">
        <v>62.3076923076923</v>
      </c>
      <c r="J22" s="22" t="n">
        <v>26.1538461538462</v>
      </c>
      <c r="K22" s="22" t="n">
        <v>46.5082956259427</v>
      </c>
      <c r="L22" s="22" t="n">
        <v>94.5945945945946</v>
      </c>
      <c r="M22" s="22" t="n">
        <v>39.4230769230769</v>
      </c>
      <c r="N22" s="18" t="n">
        <v>0.618819302365185</v>
      </c>
      <c r="O22" s="18" t="n">
        <v>0.244119028684828</v>
      </c>
      <c r="P22" s="18" t="n">
        <v>2.58498658033812</v>
      </c>
      <c r="Q22" s="18" t="n">
        <v>0.119866064015121</v>
      </c>
      <c r="R22" s="18" t="n">
        <v>0.0136032840970223</v>
      </c>
      <c r="S22" s="18" t="n">
        <v>0.0583730622407808</v>
      </c>
      <c r="T22" s="18" t="n">
        <v>-0.000990239538944471</v>
      </c>
      <c r="U22" s="18" t="n">
        <v>12.4261039075517</v>
      </c>
      <c r="V22" s="18" t="n">
        <v>7.03948937660589</v>
      </c>
      <c r="W22" s="18" t="n">
        <v>76.9836260486008</v>
      </c>
      <c r="X22" s="18" t="n">
        <v>9.52661254319682</v>
      </c>
      <c r="Y22" s="18" t="n">
        <v>26.8661379863651</v>
      </c>
      <c r="Z22" s="18" t="n">
        <v>2.49428614771641</v>
      </c>
      <c r="AA22" s="18" t="n">
        <v>83.8966878788601</v>
      </c>
      <c r="AB22" s="18" t="n">
        <v>0.702306329496071</v>
      </c>
    </row>
    <row r="23" customFormat="false" ht="15" hidden="false" customHeight="false" outlineLevel="0" collapsed="false">
      <c r="A23" s="17" t="n">
        <v>19</v>
      </c>
      <c r="B23" s="17" t="s">
        <v>119</v>
      </c>
      <c r="C23" s="17" t="n">
        <v>11971</v>
      </c>
      <c r="D23" s="17" t="s">
        <v>134</v>
      </c>
      <c r="E23" s="17" t="s">
        <v>108</v>
      </c>
      <c r="F23" s="17" t="s">
        <v>114</v>
      </c>
      <c r="G23" s="17" t="n">
        <v>4106441</v>
      </c>
      <c r="H23" s="22" t="n">
        <v>53.6554971260854</v>
      </c>
      <c r="I23" s="22" t="n">
        <v>26.9230769230769</v>
      </c>
      <c r="J23" s="22" t="n">
        <v>45</v>
      </c>
      <c r="K23" s="22" t="n">
        <v>56.1613876319759</v>
      </c>
      <c r="L23" s="22" t="n">
        <v>75.6756756756757</v>
      </c>
      <c r="M23" s="22" t="n">
        <v>80.7692307692308</v>
      </c>
      <c r="N23" s="18" t="n">
        <v>0.959403059876807</v>
      </c>
      <c r="O23" s="18" t="n">
        <v>-0.226675400660611</v>
      </c>
      <c r="P23" s="18" t="n">
        <v>3.28061409824441</v>
      </c>
      <c r="Q23" s="18" t="n">
        <v>0.236993542583468</v>
      </c>
      <c r="R23" s="18" t="n">
        <v>0.0812670584363797</v>
      </c>
      <c r="S23" s="18" t="n">
        <v>0.0672114855662117</v>
      </c>
      <c r="T23" s="18" t="n">
        <v>0.0209977583302243</v>
      </c>
      <c r="U23" s="18" t="n">
        <v>13.7235807513042</v>
      </c>
      <c r="V23" s="18" t="n">
        <v>12.2556247611983</v>
      </c>
      <c r="W23" s="18" t="n">
        <v>95.6448229361444</v>
      </c>
      <c r="X23" s="18" t="n">
        <v>1.89318344287039</v>
      </c>
      <c r="Y23" s="18" t="n">
        <v>2.84917881787192</v>
      </c>
      <c r="Z23" s="18" t="n">
        <v>4.81953357651177</v>
      </c>
      <c r="AA23" s="18" t="n">
        <v>88.6003196965798</v>
      </c>
      <c r="AB23" s="18" t="n">
        <v>0.915388155000868</v>
      </c>
    </row>
    <row r="24" customFormat="false" ht="15" hidden="false" customHeight="false" outlineLevel="0" collapsed="false">
      <c r="A24" s="17" t="n">
        <v>20</v>
      </c>
      <c r="B24" s="17" t="s">
        <v>119</v>
      </c>
      <c r="C24" s="17" t="n">
        <v>4256</v>
      </c>
      <c r="D24" s="17" t="s">
        <v>135</v>
      </c>
      <c r="E24" s="17" t="s">
        <v>108</v>
      </c>
      <c r="F24" s="17" t="s">
        <v>114</v>
      </c>
      <c r="G24" s="17" t="n">
        <v>3164056</v>
      </c>
      <c r="H24" s="22" t="n">
        <v>53.4929833679834</v>
      </c>
      <c r="I24" s="22" t="n">
        <v>40.7692307692308</v>
      </c>
      <c r="J24" s="22" t="n">
        <v>47.8846153846154</v>
      </c>
      <c r="K24" s="22" t="n">
        <v>48.5897435897436</v>
      </c>
      <c r="L24" s="22" t="n">
        <v>78.3783783783784</v>
      </c>
      <c r="M24" s="22" t="n">
        <v>55.7692307692308</v>
      </c>
      <c r="N24" s="18" t="n">
        <v>1.00147521350966</v>
      </c>
      <c r="O24" s="18" t="n">
        <v>0.144162909933536</v>
      </c>
      <c r="P24" s="18" t="n">
        <v>2.44163706624033</v>
      </c>
      <c r="Q24" s="18" t="n">
        <v>0.190862614315297</v>
      </c>
      <c r="R24" s="18" t="n">
        <v>0.10677691511516</v>
      </c>
      <c r="S24" s="18" t="n">
        <v>0.110143436146516</v>
      </c>
      <c r="T24" s="18" t="n">
        <v>0.0662536630225747</v>
      </c>
      <c r="U24" s="18" t="n">
        <v>13.2562418882408</v>
      </c>
      <c r="V24" s="18" t="n">
        <v>7.48194722217306</v>
      </c>
      <c r="W24" s="18" t="n">
        <v>88.4588510507322</v>
      </c>
      <c r="X24" s="18" t="n">
        <v>3.76437639172655</v>
      </c>
      <c r="Y24" s="18" t="n">
        <v>6.51060876374201</v>
      </c>
      <c r="Z24" s="18" t="n">
        <v>4.94654469731928</v>
      </c>
      <c r="AA24" s="18" t="n">
        <v>78.6040308152817</v>
      </c>
      <c r="AB24" s="18" t="n">
        <v>1.03713147037582</v>
      </c>
    </row>
    <row r="25" customFormat="false" ht="15" hidden="false" customHeight="false" outlineLevel="0" collapsed="false">
      <c r="A25" s="17" t="n">
        <v>21</v>
      </c>
      <c r="B25" s="17" t="s">
        <v>119</v>
      </c>
      <c r="C25" s="17" t="n">
        <v>17951</v>
      </c>
      <c r="D25" s="17" t="s">
        <v>136</v>
      </c>
      <c r="E25" s="17" t="s">
        <v>116</v>
      </c>
      <c r="F25" s="17" t="s">
        <v>118</v>
      </c>
      <c r="G25" s="17" t="n">
        <v>905293</v>
      </c>
      <c r="H25" s="22" t="n">
        <v>52.6402409196527</v>
      </c>
      <c r="I25" s="22" t="n">
        <v>53.0769230769231</v>
      </c>
      <c r="J25" s="22" t="n">
        <v>26.1538461538462</v>
      </c>
      <c r="K25" s="22" t="n">
        <v>62.9411764705882</v>
      </c>
      <c r="L25" s="22" t="n">
        <v>83.7837837837838</v>
      </c>
      <c r="M25" s="22" t="n">
        <v>44.2307692307692</v>
      </c>
      <c r="N25" s="18" t="n">
        <v>0.647365164184546</v>
      </c>
      <c r="O25" s="18" t="n">
        <v>0.146266527798478</v>
      </c>
      <c r="P25" s="18" t="n">
        <v>2.79825775230603</v>
      </c>
      <c r="Q25" s="18" t="n">
        <v>0.0165692212355558</v>
      </c>
      <c r="R25" s="18" t="n">
        <v>0.00891928243506619</v>
      </c>
      <c r="S25" s="18" t="n">
        <v>0.163593444332387</v>
      </c>
      <c r="T25" s="18" t="n">
        <v>-0.000609592858010076</v>
      </c>
      <c r="U25" s="18" t="n">
        <v>13.0942608216289</v>
      </c>
      <c r="V25" s="18" t="n">
        <v>7.80741704619388</v>
      </c>
      <c r="W25" s="18" t="n">
        <v>92.9585701419714</v>
      </c>
      <c r="X25" s="18" t="n">
        <v>11.7005813953488</v>
      </c>
      <c r="Y25" s="18" t="n">
        <v>16.5345546356644</v>
      </c>
      <c r="Z25" s="18" t="n">
        <v>12.2792018511284</v>
      </c>
      <c r="AA25" s="18" t="n">
        <v>91.6864009674006</v>
      </c>
      <c r="AB25" s="18" t="n">
        <v>0.828192817914186</v>
      </c>
    </row>
    <row r="26" customFormat="false" ht="15" hidden="false" customHeight="false" outlineLevel="0" collapsed="false">
      <c r="A26" s="17" t="n">
        <v>22</v>
      </c>
      <c r="B26" s="17" t="s">
        <v>122</v>
      </c>
      <c r="C26" s="17" t="n">
        <v>29744</v>
      </c>
      <c r="D26" s="17" t="s">
        <v>137</v>
      </c>
      <c r="E26" s="17" t="s">
        <v>116</v>
      </c>
      <c r="F26" s="17" t="s">
        <v>118</v>
      </c>
      <c r="G26" s="17" t="n">
        <v>605109</v>
      </c>
      <c r="H26" s="22" t="n">
        <v>52.0302525376055</v>
      </c>
      <c r="I26" s="22" t="n">
        <v>95</v>
      </c>
      <c r="J26" s="22" t="n">
        <v>14.2307692307692</v>
      </c>
      <c r="K26" s="22" t="n">
        <v>39.132730015083</v>
      </c>
      <c r="L26" s="22" t="n">
        <v>45.9459459459459</v>
      </c>
      <c r="M26" s="22" t="n">
        <v>64.4230769230769</v>
      </c>
      <c r="N26" s="18" t="n">
        <v>-0.385522175114088</v>
      </c>
      <c r="O26" s="18" t="n">
        <v>-0.682117500794615</v>
      </c>
      <c r="P26" s="18" t="n">
        <v>2.32561114451281</v>
      </c>
      <c r="Q26" s="18" t="n">
        <v>0.00231363275046314</v>
      </c>
      <c r="R26" s="18" t="n">
        <v>-0.0211075938573792</v>
      </c>
      <c r="S26" s="18" t="n">
        <v>0.0330518964351877</v>
      </c>
      <c r="T26" s="18" t="n">
        <v>-0.000452601326121886</v>
      </c>
      <c r="U26" s="18" t="n">
        <v>15.2305620070175</v>
      </c>
      <c r="V26" s="18" t="n">
        <v>7.36297096886677</v>
      </c>
      <c r="W26" s="18" t="n">
        <v>89.7578310941283</v>
      </c>
      <c r="X26" s="18" t="n">
        <v>0.51343979748113</v>
      </c>
      <c r="Y26" s="18" t="n">
        <v>1.11455521267838</v>
      </c>
      <c r="Z26" s="18" t="n">
        <v>3.96103896103897</v>
      </c>
      <c r="AA26" s="18" t="n">
        <v>91.4319956154814</v>
      </c>
      <c r="AB26" s="18" t="n">
        <v>0.799810792556325</v>
      </c>
    </row>
    <row r="27" customFormat="false" ht="15" hidden="false" customHeight="false" outlineLevel="0" collapsed="false">
      <c r="A27" s="17" t="n">
        <v>23</v>
      </c>
      <c r="B27" s="17" t="s">
        <v>119</v>
      </c>
      <c r="C27" s="17" t="n">
        <v>6280</v>
      </c>
      <c r="D27" s="17" t="s">
        <v>138</v>
      </c>
      <c r="E27" s="17" t="s">
        <v>113</v>
      </c>
      <c r="F27" s="17" t="s">
        <v>111</v>
      </c>
      <c r="G27" s="17" t="n">
        <v>87770</v>
      </c>
      <c r="H27" s="22" t="n">
        <v>51.2273755656109</v>
      </c>
      <c r="I27" s="22" t="n">
        <v>5.38461538461539</v>
      </c>
      <c r="J27" s="22" t="n">
        <v>80.9615384615385</v>
      </c>
      <c r="K27" s="22" t="n">
        <v>51.131221719457</v>
      </c>
      <c r="L27" s="22" t="n">
        <v>50</v>
      </c>
      <c r="M27" s="22" t="n">
        <v>79.8076923076923</v>
      </c>
      <c r="N27" s="18" t="n">
        <v>1.36654026169246</v>
      </c>
      <c r="O27" s="18" t="n">
        <v>-0.0697525908607393</v>
      </c>
      <c r="P27" s="18" t="n">
        <v>4.53943407585792</v>
      </c>
      <c r="Q27" s="18" t="n">
        <v>1.65774182522502</v>
      </c>
      <c r="R27" s="18" t="n">
        <v>0.173708108372747</v>
      </c>
      <c r="S27" s="18" t="n">
        <v>0.674490144696366</v>
      </c>
      <c r="T27" s="18" t="n">
        <v>0</v>
      </c>
      <c r="U27" s="18" t="n">
        <v>0</v>
      </c>
      <c r="V27" s="18" t="n">
        <v>11.3353081918651</v>
      </c>
      <c r="W27" s="18" t="n">
        <v>94.620482551517</v>
      </c>
      <c r="X27" s="18" t="n">
        <v>8.00467605980435</v>
      </c>
      <c r="Y27" s="18" t="n">
        <v>6.49611748080594</v>
      </c>
      <c r="Z27" s="18" t="n">
        <v>8.62156234182554</v>
      </c>
      <c r="AA27" s="18" t="n">
        <v>88.8467852257182</v>
      </c>
      <c r="AB27" s="18" t="n">
        <v>1.29958960328317</v>
      </c>
    </row>
    <row r="28" customFormat="false" ht="15" hidden="false" customHeight="false" outlineLevel="0" collapsed="false">
      <c r="A28" s="17" t="n">
        <v>24</v>
      </c>
      <c r="B28" s="17" t="s">
        <v>119</v>
      </c>
      <c r="C28" s="17" t="n">
        <v>13063</v>
      </c>
      <c r="D28" s="17" t="s">
        <v>139</v>
      </c>
      <c r="E28" s="17" t="s">
        <v>108</v>
      </c>
      <c r="F28" s="17" t="s">
        <v>114</v>
      </c>
      <c r="G28" s="17" t="n">
        <v>1933479</v>
      </c>
      <c r="H28" s="22" t="n">
        <v>49.4151583710407</v>
      </c>
      <c r="I28" s="22" t="n">
        <v>42.6923076923077</v>
      </c>
      <c r="J28" s="22" t="n">
        <v>50.5769230769231</v>
      </c>
      <c r="K28" s="22" t="n">
        <v>64.0497737556561</v>
      </c>
      <c r="L28" s="22" t="n">
        <v>50</v>
      </c>
      <c r="M28" s="22" t="n">
        <v>43.2692307692308</v>
      </c>
      <c r="N28" s="18" t="n">
        <v>0.621034232657182</v>
      </c>
      <c r="O28" s="18" t="n">
        <v>0.253999893108274</v>
      </c>
      <c r="P28" s="18" t="n">
        <v>3.40567672960564</v>
      </c>
      <c r="Q28" s="18" t="n">
        <v>0.117042905560391</v>
      </c>
      <c r="R28" s="18" t="n">
        <v>0.0791281008297488</v>
      </c>
      <c r="S28" s="18" t="n">
        <v>0.575904884407847</v>
      </c>
      <c r="T28" s="18" t="n">
        <v>0.00587961296467725</v>
      </c>
      <c r="U28" s="18" t="n">
        <v>0</v>
      </c>
      <c r="V28" s="18" t="n">
        <v>8.548373165677</v>
      </c>
      <c r="W28" s="18" t="n">
        <v>94.9521583108379</v>
      </c>
      <c r="X28" s="18" t="n">
        <v>4.57557594265075</v>
      </c>
      <c r="Y28" s="18" t="n">
        <v>6.0320892705964</v>
      </c>
      <c r="Z28" s="18" t="n">
        <v>2.17066156991423</v>
      </c>
      <c r="AA28" s="18" t="n">
        <v>94.5900447126003</v>
      </c>
      <c r="AB28" s="18" t="n">
        <v>1.08356869656229</v>
      </c>
    </row>
    <row r="29" customFormat="false" ht="15" hidden="false" customHeight="false" outlineLevel="0" collapsed="false">
      <c r="A29" s="17" t="n">
        <v>25</v>
      </c>
      <c r="B29" s="17" t="s">
        <v>119</v>
      </c>
      <c r="C29" s="17" t="n">
        <v>29743</v>
      </c>
      <c r="D29" s="17" t="s">
        <v>140</v>
      </c>
      <c r="E29" s="17" t="s">
        <v>108</v>
      </c>
      <c r="F29" s="17" t="s">
        <v>111</v>
      </c>
      <c r="G29" s="17" t="n">
        <v>200783</v>
      </c>
      <c r="H29" s="22" t="n">
        <v>49.2969762749175</v>
      </c>
      <c r="I29" s="22" t="n">
        <v>60.3846153846154</v>
      </c>
      <c r="J29" s="22" t="n">
        <v>71.5384615384615</v>
      </c>
      <c r="K29" s="22" t="n">
        <v>32.3453996983409</v>
      </c>
      <c r="L29" s="22" t="n">
        <v>16.2162162162162</v>
      </c>
      <c r="M29" s="22" t="n">
        <v>54.8076923076923</v>
      </c>
      <c r="N29" s="18" t="n">
        <v>0.538521901715605</v>
      </c>
      <c r="O29" s="18" t="n">
        <v>0.242133996047986</v>
      </c>
      <c r="P29" s="18" t="n">
        <v>2.75663046959155</v>
      </c>
      <c r="Q29" s="18" t="n">
        <v>0.329709188526917</v>
      </c>
      <c r="R29" s="18" t="n">
        <v>0.241762146338668</v>
      </c>
      <c r="S29" s="18" t="n">
        <v>0.38001225203329</v>
      </c>
      <c r="T29" s="18" t="n">
        <v>0.0524670441379009</v>
      </c>
      <c r="U29" s="18" t="n">
        <v>18.1286751690254</v>
      </c>
      <c r="V29" s="18" t="n">
        <v>9.56953526942022</v>
      </c>
      <c r="W29" s="18" t="n">
        <v>79.3264447861084</v>
      </c>
      <c r="X29" s="18" t="n">
        <v>5.73814953103689</v>
      </c>
      <c r="Y29" s="18" t="n">
        <v>4.861318668181</v>
      </c>
      <c r="Z29" s="18" t="n">
        <v>6.5625809405061</v>
      </c>
      <c r="AA29" s="18" t="n">
        <v>63.8544086419929</v>
      </c>
      <c r="AB29" s="18" t="n">
        <v>0.62705753252861</v>
      </c>
    </row>
    <row r="30" customFormat="false" ht="15" hidden="false" customHeight="false" outlineLevel="0" collapsed="false">
      <c r="A30" s="17" t="n">
        <v>26</v>
      </c>
      <c r="B30" s="17" t="s">
        <v>119</v>
      </c>
      <c r="C30" s="17" t="n">
        <v>59086</v>
      </c>
      <c r="D30" s="17" t="s">
        <v>141</v>
      </c>
      <c r="E30" s="17" t="s">
        <v>116</v>
      </c>
      <c r="F30" s="17" t="s">
        <v>118</v>
      </c>
      <c r="G30" s="17" t="n">
        <v>724753</v>
      </c>
      <c r="H30" s="22" t="n">
        <v>49.2023663935429</v>
      </c>
      <c r="I30" s="22" t="n">
        <v>10.3846153846154</v>
      </c>
      <c r="J30" s="22" t="n">
        <v>77.6923076923077</v>
      </c>
      <c r="K30" s="22" t="n">
        <v>68.9894419306184</v>
      </c>
      <c r="L30" s="22" t="n">
        <v>35.1351351351351</v>
      </c>
      <c r="M30" s="22" t="n">
        <v>65.3846153846154</v>
      </c>
      <c r="N30" s="18" t="n">
        <v>1.55691795515022</v>
      </c>
      <c r="O30" s="18" t="n">
        <v>0.141247347481911</v>
      </c>
      <c r="P30" s="18" t="n">
        <v>3.90746208360731</v>
      </c>
      <c r="Q30" s="18" t="n">
        <v>0.827592296961862</v>
      </c>
      <c r="R30" s="18" t="n">
        <v>0.255197436487531</v>
      </c>
      <c r="S30" s="18" t="n">
        <v>1.48657542638665</v>
      </c>
      <c r="T30" s="18" t="n">
        <v>-0.000658314845658085</v>
      </c>
      <c r="U30" s="18" t="n">
        <v>16.7805900658004</v>
      </c>
      <c r="V30" s="18" t="n">
        <v>14.6001465326808</v>
      </c>
      <c r="W30" s="18" t="n">
        <v>100.997902072804</v>
      </c>
      <c r="X30" s="18" t="n">
        <v>2.55745174619346</v>
      </c>
      <c r="Y30" s="18" t="n">
        <v>4.12670060733273</v>
      </c>
      <c r="Z30" s="18" t="n">
        <v>1.82085764022697</v>
      </c>
      <c r="AA30" s="18" t="n">
        <v>80.0089807350312</v>
      </c>
      <c r="AB30" s="18" t="n">
        <v>0.973020644383891</v>
      </c>
    </row>
    <row r="31" customFormat="false" ht="15" hidden="false" customHeight="false" outlineLevel="0" collapsed="false">
      <c r="A31" s="17" t="n">
        <v>27</v>
      </c>
      <c r="B31" s="17" t="s">
        <v>119</v>
      </c>
      <c r="C31" s="17" t="n">
        <v>28837</v>
      </c>
      <c r="D31" s="17" t="s">
        <v>142</v>
      </c>
      <c r="E31" s="17" t="s">
        <v>113</v>
      </c>
      <c r="F31" s="17" t="s">
        <v>118</v>
      </c>
      <c r="G31" s="17" t="n">
        <v>279103</v>
      </c>
      <c r="H31" s="22" t="n">
        <v>48.6836706616118</v>
      </c>
      <c r="I31" s="22" t="n">
        <v>62.3076923076923</v>
      </c>
      <c r="J31" s="22" t="n">
        <v>38.6538461538462</v>
      </c>
      <c r="K31" s="22" t="n">
        <v>50.2941176470588</v>
      </c>
      <c r="L31" s="22" t="n">
        <v>18.9189189189189</v>
      </c>
      <c r="M31" s="22" t="n">
        <v>80.7692307692308</v>
      </c>
      <c r="N31" s="18" t="n">
        <v>-0.326447120470196</v>
      </c>
      <c r="O31" s="18" t="n">
        <v>-1.04254523154998</v>
      </c>
      <c r="P31" s="18" t="n">
        <v>4.00864887356595</v>
      </c>
      <c r="Q31" s="18" t="n">
        <v>0.0906475387222638</v>
      </c>
      <c r="R31" s="18" t="n">
        <v>0.0362840821884778</v>
      </c>
      <c r="S31" s="18" t="n">
        <v>0.471868808289413</v>
      </c>
      <c r="T31" s="18" t="n">
        <v>-0.00193932811977291</v>
      </c>
      <c r="U31" s="18" t="n">
        <v>17.9895121488231</v>
      </c>
      <c r="V31" s="18" t="n">
        <v>10.1378344195512</v>
      </c>
      <c r="W31" s="18" t="n">
        <v>84.1438066465257</v>
      </c>
      <c r="X31" s="18" t="n">
        <v>-2.10965284548853</v>
      </c>
      <c r="Y31" s="18" t="n">
        <v>3.26932774355577</v>
      </c>
      <c r="Z31" s="18" t="n">
        <v>-2.47763762143646</v>
      </c>
      <c r="AA31" s="18" t="n">
        <v>95.7000675006104</v>
      </c>
      <c r="AB31" s="18" t="n">
        <v>1.03979663645895</v>
      </c>
    </row>
    <row r="32" customFormat="false" ht="15" hidden="false" customHeight="false" outlineLevel="0" collapsed="false">
      <c r="A32" s="17" t="n">
        <v>28</v>
      </c>
      <c r="B32" s="17" t="s">
        <v>119</v>
      </c>
      <c r="C32" s="17" t="n">
        <v>17115</v>
      </c>
      <c r="D32" s="17" t="s">
        <v>143</v>
      </c>
      <c r="E32" s="17" t="s">
        <v>108</v>
      </c>
      <c r="F32" s="17" t="s">
        <v>114</v>
      </c>
      <c r="G32" s="17" t="n">
        <v>1078591</v>
      </c>
      <c r="H32" s="22" t="n">
        <v>48.5016051118992</v>
      </c>
      <c r="I32" s="22" t="n">
        <v>45.3846153846154</v>
      </c>
      <c r="J32" s="22" t="n">
        <v>52.5</v>
      </c>
      <c r="K32" s="22" t="n">
        <v>60.9653092006033</v>
      </c>
      <c r="L32" s="22" t="n">
        <v>51.3513513513514</v>
      </c>
      <c r="M32" s="22" t="n">
        <v>30.7692307692308</v>
      </c>
      <c r="N32" s="18" t="n">
        <v>0.71338933420764</v>
      </c>
      <c r="O32" s="18" t="n">
        <v>0.343713371162902</v>
      </c>
      <c r="P32" s="18" t="n">
        <v>2.96659137731555</v>
      </c>
      <c r="Q32" s="18" t="n">
        <v>0.230949451645712</v>
      </c>
      <c r="R32" s="18" t="n">
        <v>0.0038640318736933</v>
      </c>
      <c r="S32" s="18" t="n">
        <v>0.112832389663923</v>
      </c>
      <c r="T32" s="18" t="n">
        <v>0.0997566438949731</v>
      </c>
      <c r="U32" s="18" t="n">
        <v>14.8169206277007</v>
      </c>
      <c r="V32" s="18" t="n">
        <v>8.99516127985492</v>
      </c>
      <c r="W32" s="18" t="n">
        <v>107.805241342262</v>
      </c>
      <c r="X32" s="18" t="n">
        <v>0.670896012051481</v>
      </c>
      <c r="Y32" s="18" t="n">
        <v>-1.20136685270305</v>
      </c>
      <c r="Z32" s="18" t="n">
        <v>3.9869944049534</v>
      </c>
      <c r="AA32" s="18" t="n">
        <v>94.8259050164497</v>
      </c>
      <c r="AB32" s="18" t="n">
        <v>0.948136739166134</v>
      </c>
    </row>
    <row r="33" customFormat="false" ht="15" hidden="false" customHeight="false" outlineLevel="0" collapsed="false">
      <c r="A33" s="17" t="n">
        <v>29</v>
      </c>
      <c r="B33" s="17" t="s">
        <v>119</v>
      </c>
      <c r="C33" s="17" t="n">
        <v>17658</v>
      </c>
      <c r="D33" s="17" t="s">
        <v>144</v>
      </c>
      <c r="E33" s="17" t="s">
        <v>108</v>
      </c>
      <c r="F33" s="17" t="s">
        <v>114</v>
      </c>
      <c r="G33" s="17" t="n">
        <v>2059300</v>
      </c>
      <c r="H33" s="22" t="n">
        <v>48.2737556561086</v>
      </c>
      <c r="I33" s="22" t="n">
        <v>31.9230769230769</v>
      </c>
      <c r="J33" s="22" t="n">
        <v>63.2692307692308</v>
      </c>
      <c r="K33" s="22" t="n">
        <v>57.0814479638009</v>
      </c>
      <c r="L33" s="22" t="n">
        <v>50</v>
      </c>
      <c r="M33" s="22" t="n">
        <v>39.4230769230769</v>
      </c>
      <c r="N33" s="18" t="n">
        <v>0.859257679559975</v>
      </c>
      <c r="O33" s="18" t="n">
        <v>0.0818958837085971</v>
      </c>
      <c r="P33" s="18" t="n">
        <v>3.24068034825347</v>
      </c>
      <c r="Q33" s="18" t="n">
        <v>0.493760015539261</v>
      </c>
      <c r="R33" s="18" t="n">
        <v>-0.0712028744608018</v>
      </c>
      <c r="S33" s="18" t="n">
        <v>0.127324819113291</v>
      </c>
      <c r="T33" s="18" t="n">
        <v>0.0201093018605925</v>
      </c>
      <c r="U33" s="18" t="n">
        <v>0</v>
      </c>
      <c r="V33" s="18" t="n">
        <v>11.593308405769</v>
      </c>
      <c r="W33" s="18" t="n">
        <v>92.5057452205857</v>
      </c>
      <c r="X33" s="18" t="n">
        <v>7.66500827106507</v>
      </c>
      <c r="Y33" s="18" t="n">
        <v>8.20132659335557</v>
      </c>
      <c r="Z33" s="18" t="n">
        <v>5.86706384167079</v>
      </c>
      <c r="AA33" s="18" t="n">
        <v>85.7664967037145</v>
      </c>
      <c r="AB33" s="18" t="n">
        <v>0.68458180287466</v>
      </c>
    </row>
    <row r="34" customFormat="false" ht="15" hidden="false" customHeight="false" outlineLevel="0" collapsed="false">
      <c r="A34" s="17" t="n">
        <v>30</v>
      </c>
      <c r="B34" s="17" t="s">
        <v>119</v>
      </c>
      <c r="C34" s="17" t="n">
        <v>28369</v>
      </c>
      <c r="D34" s="17" t="s">
        <v>145</v>
      </c>
      <c r="E34" s="17" t="s">
        <v>108</v>
      </c>
      <c r="F34" s="17" t="s">
        <v>111</v>
      </c>
      <c r="G34" s="17" t="n">
        <v>93177</v>
      </c>
      <c r="H34" s="22" t="n">
        <v>48.0674299865476</v>
      </c>
      <c r="I34" s="22" t="n">
        <v>61.5384615384615</v>
      </c>
      <c r="J34" s="22" t="n">
        <v>30.3846153846154</v>
      </c>
      <c r="K34" s="22" t="n">
        <v>62.4886877828054</v>
      </c>
      <c r="L34" s="22" t="n">
        <v>64.8648648648649</v>
      </c>
      <c r="M34" s="22" t="n">
        <v>18.2692307692308</v>
      </c>
      <c r="N34" s="18" t="n">
        <v>0.102707117103945</v>
      </c>
      <c r="O34" s="18" t="n">
        <v>0.422952076406148</v>
      </c>
      <c r="P34" s="18" t="n">
        <v>3.43158918975128</v>
      </c>
      <c r="Q34" s="18" t="n">
        <v>0.0922974553806197</v>
      </c>
      <c r="R34" s="18" t="n">
        <v>-0.0550041053891093</v>
      </c>
      <c r="S34" s="18" t="n">
        <v>0.193180720564088</v>
      </c>
      <c r="T34" s="18" t="n">
        <v>-0.14613606340819</v>
      </c>
      <c r="U34" s="18" t="n">
        <v>14.1380843593321</v>
      </c>
      <c r="V34" s="18" t="n">
        <v>9.75669961471179</v>
      </c>
      <c r="W34" s="18" t="n">
        <v>109.338436303991</v>
      </c>
      <c r="X34" s="18" t="n">
        <v>-2.65874093729759</v>
      </c>
      <c r="Y34" s="18" t="n">
        <v>-2.24492539319801</v>
      </c>
      <c r="Z34" s="18" t="n">
        <v>2.9871336467806</v>
      </c>
      <c r="AA34" s="18" t="n">
        <v>83.4633463346335</v>
      </c>
      <c r="AB34" s="18" t="n">
        <v>0.788828882888289</v>
      </c>
    </row>
    <row r="35" customFormat="false" ht="15" hidden="false" customHeight="false" outlineLevel="0" collapsed="false">
      <c r="A35" s="17" t="n">
        <v>31</v>
      </c>
      <c r="B35" s="17" t="s">
        <v>119</v>
      </c>
      <c r="C35" s="17" t="n">
        <v>19531</v>
      </c>
      <c r="D35" s="17" t="s">
        <v>146</v>
      </c>
      <c r="E35" s="17" t="s">
        <v>108</v>
      </c>
      <c r="F35" s="17" t="s">
        <v>114</v>
      </c>
      <c r="G35" s="17" t="n">
        <v>2611219</v>
      </c>
      <c r="H35" s="22" t="n">
        <v>47.8313715299009</v>
      </c>
      <c r="I35" s="22" t="n">
        <v>33.8461538461539</v>
      </c>
      <c r="J35" s="22" t="n">
        <v>65</v>
      </c>
      <c r="K35" s="22" t="n">
        <v>39.2760180995475</v>
      </c>
      <c r="L35" s="22" t="n">
        <v>59.4594594594595</v>
      </c>
      <c r="M35" s="22" t="n">
        <v>35.5769230769231</v>
      </c>
      <c r="N35" s="18" t="n">
        <v>0.844947020319184</v>
      </c>
      <c r="O35" s="18" t="n">
        <v>0.481458967555433</v>
      </c>
      <c r="P35" s="18" t="n">
        <v>3.21090869460597</v>
      </c>
      <c r="Q35" s="18" t="n">
        <v>0.372814382861032</v>
      </c>
      <c r="R35" s="18" t="n">
        <v>0.062533266479103</v>
      </c>
      <c r="S35" s="18" t="n">
        <v>1.11867292632292</v>
      </c>
      <c r="T35" s="18" t="n">
        <v>-0.0382865808587247</v>
      </c>
      <c r="U35" s="18" t="n">
        <v>14.1532975883845</v>
      </c>
      <c r="V35" s="18" t="n">
        <v>10.558593515136</v>
      </c>
      <c r="W35" s="18" t="n">
        <v>96.5633862236473</v>
      </c>
      <c r="X35" s="18" t="n">
        <v>0.323420807045949</v>
      </c>
      <c r="Y35" s="18" t="n">
        <v>3.58844840620678</v>
      </c>
      <c r="Z35" s="18" t="n">
        <v>14.3006232368564</v>
      </c>
      <c r="AA35" s="18" t="n">
        <v>82.4537245153102</v>
      </c>
      <c r="AB35" s="18" t="n">
        <v>0.875275991991493</v>
      </c>
    </row>
    <row r="36" customFormat="false" ht="15" hidden="false" customHeight="false" outlineLevel="0" collapsed="false">
      <c r="A36" s="17" t="n">
        <v>32</v>
      </c>
      <c r="B36" s="17" t="s">
        <v>119</v>
      </c>
      <c r="C36" s="17" t="n">
        <v>6271</v>
      </c>
      <c r="D36" s="17" t="s">
        <v>147</v>
      </c>
      <c r="E36" s="17" t="s">
        <v>113</v>
      </c>
      <c r="F36" s="17" t="s">
        <v>114</v>
      </c>
      <c r="G36" s="17" t="n">
        <v>1166044</v>
      </c>
      <c r="H36" s="22" t="n">
        <v>47.6556347071053</v>
      </c>
      <c r="I36" s="22" t="n">
        <v>17.3076923076923</v>
      </c>
      <c r="J36" s="22" t="n">
        <v>64.4230769230769</v>
      </c>
      <c r="K36" s="22" t="n">
        <v>64.6983408748115</v>
      </c>
      <c r="L36" s="22" t="n">
        <v>48.6486486486487</v>
      </c>
      <c r="M36" s="22" t="n">
        <v>51.9230769230769</v>
      </c>
      <c r="N36" s="18" t="n">
        <v>1.3603757386888</v>
      </c>
      <c r="O36" s="18" t="n">
        <v>0.244129260429195</v>
      </c>
      <c r="P36" s="18" t="n">
        <v>3.50631044981212</v>
      </c>
      <c r="Q36" s="18" t="n">
        <v>0.743882735128349</v>
      </c>
      <c r="R36" s="18" t="n">
        <v>0.215103545898861</v>
      </c>
      <c r="S36" s="18" t="n">
        <v>0.112860235119773</v>
      </c>
      <c r="T36" s="18" t="n">
        <v>0.0157818297112138</v>
      </c>
      <c r="U36" s="18" t="n">
        <v>14.8461580612902</v>
      </c>
      <c r="V36" s="18" t="n">
        <v>10.1352093059953</v>
      </c>
      <c r="W36" s="18" t="n">
        <v>100.948997281853</v>
      </c>
      <c r="X36" s="18" t="n">
        <v>6.0144086873984</v>
      </c>
      <c r="Y36" s="18" t="n">
        <v>9.31090863371793</v>
      </c>
      <c r="Z36" s="18" t="n">
        <v>9.92392632840724</v>
      </c>
      <c r="AA36" s="18" t="n">
        <v>80.3789350045795</v>
      </c>
      <c r="AB36" s="18" t="n">
        <v>1.11838088130534</v>
      </c>
    </row>
    <row r="37" customFormat="false" ht="15" hidden="false" customHeight="false" outlineLevel="0" collapsed="false">
      <c r="A37" s="17" t="n">
        <v>33</v>
      </c>
      <c r="B37" s="17" t="s">
        <v>119</v>
      </c>
      <c r="C37" s="17" t="n">
        <v>18012</v>
      </c>
      <c r="D37" s="17" t="s">
        <v>148</v>
      </c>
      <c r="E37" s="17" t="s">
        <v>116</v>
      </c>
      <c r="F37" s="17" t="s">
        <v>114</v>
      </c>
      <c r="G37" s="17" t="n">
        <v>2642289</v>
      </c>
      <c r="H37" s="22" t="n">
        <v>47.5072917940565</v>
      </c>
      <c r="I37" s="22" t="n">
        <v>42.3076923076923</v>
      </c>
      <c r="J37" s="22" t="n">
        <v>35.3846153846154</v>
      </c>
      <c r="K37" s="22" t="n">
        <v>55.7918552036199</v>
      </c>
      <c r="L37" s="22" t="n">
        <v>67.5675675675676</v>
      </c>
      <c r="M37" s="22" t="n">
        <v>41.3461538461539</v>
      </c>
      <c r="N37" s="18" t="n">
        <v>0.790802552231915</v>
      </c>
      <c r="O37" s="18" t="n">
        <v>0.132361394253292</v>
      </c>
      <c r="P37" s="18" t="n">
        <v>2.89560003912315</v>
      </c>
      <c r="Q37" s="18" t="n">
        <v>0.0386028931733054</v>
      </c>
      <c r="R37" s="18" t="n">
        <v>-0.000999989916583524</v>
      </c>
      <c r="S37" s="18" t="n">
        <v>0.188018797338217</v>
      </c>
      <c r="T37" s="18" t="n">
        <v>0.0108394221299842</v>
      </c>
      <c r="U37" s="18" t="n">
        <v>13.9483203193009</v>
      </c>
      <c r="V37" s="18" t="n">
        <v>11.4163515043207</v>
      </c>
      <c r="W37" s="18" t="n">
        <v>95.0718653156863</v>
      </c>
      <c r="X37" s="18" t="n">
        <v>5.69925490575713</v>
      </c>
      <c r="Y37" s="18" t="n">
        <v>5.68680836761859</v>
      </c>
      <c r="Z37" s="18" t="n">
        <v>7.61060810376935</v>
      </c>
      <c r="AA37" s="18" t="n">
        <v>95.3482436136159</v>
      </c>
      <c r="AB37" s="18" t="n">
        <v>1.16762325854947</v>
      </c>
    </row>
    <row r="38" customFormat="false" ht="15" hidden="false" customHeight="false" outlineLevel="0" collapsed="false">
      <c r="A38" s="17" t="n">
        <v>34</v>
      </c>
      <c r="B38" s="17" t="s">
        <v>119</v>
      </c>
      <c r="C38" s="17" t="n">
        <v>17897</v>
      </c>
      <c r="D38" s="17" t="s">
        <v>149</v>
      </c>
      <c r="E38" s="17" t="s">
        <v>108</v>
      </c>
      <c r="F38" s="17" t="s">
        <v>114</v>
      </c>
      <c r="G38" s="17" t="n">
        <v>1790373</v>
      </c>
      <c r="H38" s="22" t="n">
        <v>47.235523419347</v>
      </c>
      <c r="I38" s="22" t="n">
        <v>37.6923076923077</v>
      </c>
      <c r="J38" s="22" t="n">
        <v>60.9615384615385</v>
      </c>
      <c r="K38" s="22" t="n">
        <v>81.2669683257919</v>
      </c>
      <c r="L38" s="22" t="n">
        <v>21.6216216216216</v>
      </c>
      <c r="M38" s="22" t="n">
        <v>40.3846153846154</v>
      </c>
      <c r="N38" s="18" t="n">
        <v>0.973987306631968</v>
      </c>
      <c r="O38" s="18" t="n">
        <v>0.254453817355784</v>
      </c>
      <c r="P38" s="18" t="n">
        <v>2.75154108647398</v>
      </c>
      <c r="Q38" s="18" t="n">
        <v>0.301110438997907</v>
      </c>
      <c r="R38" s="18" t="n">
        <v>0.0692843408978305</v>
      </c>
      <c r="S38" s="18" t="n">
        <v>0.472303816020461</v>
      </c>
      <c r="T38" s="18" t="n">
        <v>0.000812009072848041</v>
      </c>
      <c r="U38" s="18" t="n">
        <v>17.6818933802263</v>
      </c>
      <c r="V38" s="18" t="n">
        <v>12.6230679305374</v>
      </c>
      <c r="W38" s="18" t="n">
        <v>110.404075716802</v>
      </c>
      <c r="X38" s="18" t="n">
        <v>3.35039510302002</v>
      </c>
      <c r="Y38" s="18" t="n">
        <v>3.73053691787832</v>
      </c>
      <c r="Z38" s="18" t="n">
        <v>3.18275240132544</v>
      </c>
      <c r="AA38" s="18" t="n">
        <v>93.3008425076401</v>
      </c>
      <c r="AB38" s="18" t="n">
        <v>0.614357776208281</v>
      </c>
    </row>
    <row r="39" customFormat="false" ht="15" hidden="false" customHeight="false" outlineLevel="0" collapsed="false">
      <c r="A39" s="17" t="n">
        <v>35</v>
      </c>
      <c r="B39" s="17" t="s">
        <v>119</v>
      </c>
      <c r="C39" s="17" t="n">
        <v>28155</v>
      </c>
      <c r="D39" s="17" t="s">
        <v>150</v>
      </c>
      <c r="E39" s="17" t="s">
        <v>116</v>
      </c>
      <c r="F39" s="17" t="s">
        <v>118</v>
      </c>
      <c r="G39" s="17" t="n">
        <v>317001</v>
      </c>
      <c r="H39" s="22" t="n">
        <v>47.0796135502018</v>
      </c>
      <c r="I39" s="22" t="n">
        <v>84.6153846153846</v>
      </c>
      <c r="J39" s="22" t="n">
        <v>42.0192307692308</v>
      </c>
      <c r="K39" s="22" t="n">
        <v>10.5203619909502</v>
      </c>
      <c r="L39" s="22" t="n">
        <v>27.027027027027</v>
      </c>
      <c r="M39" s="22" t="n">
        <v>56.25</v>
      </c>
      <c r="N39" s="18" t="n">
        <v>-0.0309202389410805</v>
      </c>
      <c r="O39" s="18" t="n">
        <v>0.0237817408925677</v>
      </c>
      <c r="P39" s="18" t="n">
        <v>2.66189945807321</v>
      </c>
      <c r="Q39" s="18" t="n">
        <v>0</v>
      </c>
      <c r="R39" s="18" t="n">
        <v>0</v>
      </c>
      <c r="S39" s="18" t="n">
        <v>0.552995100961827</v>
      </c>
      <c r="T39" s="18" t="n">
        <v>0.0248258429502129</v>
      </c>
      <c r="U39" s="18" t="n">
        <v>17.1811647071488</v>
      </c>
      <c r="V39" s="18" t="n">
        <v>8.6655878057167</v>
      </c>
      <c r="W39" s="18" t="n">
        <v>62.7956892150495</v>
      </c>
      <c r="X39" s="18" t="n">
        <v>4.94810547747926</v>
      </c>
      <c r="Y39" s="18" t="n">
        <v>4.36130238786501</v>
      </c>
      <c r="Z39" s="18" t="n">
        <v>10.873265252684</v>
      </c>
      <c r="AA39" s="18" t="n">
        <v>91.5628266604722</v>
      </c>
      <c r="AB39" s="18" t="n">
        <v>0.423656163754722</v>
      </c>
    </row>
    <row r="40" customFormat="false" ht="15" hidden="false" customHeight="false" outlineLevel="0" collapsed="false">
      <c r="A40" s="17" t="n">
        <v>36</v>
      </c>
      <c r="B40" s="17" t="s">
        <v>119</v>
      </c>
      <c r="C40" s="17" t="n">
        <v>59176</v>
      </c>
      <c r="D40" s="17" t="s">
        <v>151</v>
      </c>
      <c r="E40" s="17" t="s">
        <v>116</v>
      </c>
      <c r="F40" s="17" t="s">
        <v>118</v>
      </c>
      <c r="G40" s="17" t="n">
        <v>279006</v>
      </c>
      <c r="H40" s="22" t="n">
        <v>46.1597850678733</v>
      </c>
      <c r="I40" s="22" t="n">
        <v>75.3846153846154</v>
      </c>
      <c r="J40" s="22" t="n">
        <v>10.7692307692308</v>
      </c>
      <c r="K40" s="22" t="n">
        <v>61.4177978883861</v>
      </c>
      <c r="L40" s="22" t="n">
        <v>50</v>
      </c>
      <c r="M40" s="22" t="n">
        <v>36.0576923076923</v>
      </c>
      <c r="N40" s="18" t="n">
        <v>0.168301196808511</v>
      </c>
      <c r="O40" s="18" t="n">
        <v>0.225718796752833</v>
      </c>
      <c r="P40" s="18" t="n">
        <v>2.74321019851507</v>
      </c>
      <c r="Q40" s="18" t="n">
        <v>0</v>
      </c>
      <c r="R40" s="18" t="n">
        <v>0</v>
      </c>
      <c r="S40" s="18" t="n">
        <v>0</v>
      </c>
      <c r="T40" s="18" t="n">
        <v>0</v>
      </c>
      <c r="U40" s="18" t="n">
        <v>0</v>
      </c>
      <c r="V40" s="18" t="n">
        <v>10.2531845193293</v>
      </c>
      <c r="W40" s="18" t="n">
        <v>91.4650115231511</v>
      </c>
      <c r="X40" s="18" t="n">
        <v>21.5241148312855</v>
      </c>
      <c r="Y40" s="18" t="n">
        <v>25.1911771734455</v>
      </c>
      <c r="Z40" s="18" t="n">
        <v>20.5499634304837</v>
      </c>
      <c r="AA40" s="18" t="n">
        <v>85.9804342638988</v>
      </c>
      <c r="AB40" s="18" t="n">
        <v>0.947267955141971</v>
      </c>
    </row>
    <row r="41" customFormat="false" ht="15" hidden="false" customHeight="false" outlineLevel="0" collapsed="false">
      <c r="A41" s="17" t="n">
        <v>37</v>
      </c>
      <c r="B41" s="17" t="s">
        <v>119</v>
      </c>
      <c r="C41" s="17" t="n">
        <v>18031</v>
      </c>
      <c r="D41" s="17" t="s">
        <v>152</v>
      </c>
      <c r="E41" s="17" t="s">
        <v>116</v>
      </c>
      <c r="F41" s="17" t="s">
        <v>118</v>
      </c>
      <c r="G41" s="17" t="n">
        <v>669249</v>
      </c>
      <c r="H41" s="22" t="n">
        <v>46.0862174391586</v>
      </c>
      <c r="I41" s="22" t="n">
        <v>71.1538461538462</v>
      </c>
      <c r="J41" s="22" t="n">
        <v>36.9230769230769</v>
      </c>
      <c r="K41" s="22" t="n">
        <v>25.9351432880845</v>
      </c>
      <c r="L41" s="22" t="n">
        <v>29.7297297297297</v>
      </c>
      <c r="M41" s="22" t="n">
        <v>61.5384615384615</v>
      </c>
      <c r="N41" s="18" t="n">
        <v>0.193008984250507</v>
      </c>
      <c r="O41" s="18" t="n">
        <v>-0.235604577347378</v>
      </c>
      <c r="P41" s="18" t="n">
        <v>2.76573202974124</v>
      </c>
      <c r="Q41" s="18" t="n">
        <v>0.0839747239069465</v>
      </c>
      <c r="R41" s="18" t="n">
        <v>-0.0503606518216364</v>
      </c>
      <c r="S41" s="18" t="n">
        <v>0.0983191607309088</v>
      </c>
      <c r="T41" s="18" t="n">
        <v>0.0757315580447169</v>
      </c>
      <c r="U41" s="18" t="n">
        <v>16.9548375809498</v>
      </c>
      <c r="V41" s="18" t="n">
        <v>6.08936285298895</v>
      </c>
      <c r="W41" s="18" t="n">
        <v>85.9591695606909</v>
      </c>
      <c r="X41" s="18" t="n">
        <v>-0.106871254468521</v>
      </c>
      <c r="Y41" s="18" t="n">
        <v>-4.33557237124474</v>
      </c>
      <c r="Z41" s="18" t="n">
        <v>1.03458468814661</v>
      </c>
      <c r="AA41" s="18" t="n">
        <v>91.9920877857956</v>
      </c>
      <c r="AB41" s="18" t="n">
        <v>0.830782491463428</v>
      </c>
    </row>
    <row r="42" customFormat="false" ht="15" hidden="false" customHeight="false" outlineLevel="0" collapsed="false">
      <c r="A42" s="17" t="n">
        <v>38</v>
      </c>
      <c r="B42" s="17" t="s">
        <v>119</v>
      </c>
      <c r="C42" s="17" t="n">
        <v>14136</v>
      </c>
      <c r="D42" s="17" t="s">
        <v>153</v>
      </c>
      <c r="E42" s="17" t="s">
        <v>113</v>
      </c>
      <c r="F42" s="17" t="s">
        <v>111</v>
      </c>
      <c r="G42" s="17" t="n">
        <v>247991</v>
      </c>
      <c r="H42" s="22" t="n">
        <v>45.8252721046839</v>
      </c>
      <c r="I42" s="22" t="n">
        <v>40</v>
      </c>
      <c r="J42" s="22" t="n">
        <v>67.3076923076923</v>
      </c>
      <c r="K42" s="22" t="n">
        <v>28.8386123680241</v>
      </c>
      <c r="L42" s="22" t="n">
        <v>24.3243243243243</v>
      </c>
      <c r="M42" s="22" t="n">
        <v>65.3846153846154</v>
      </c>
      <c r="N42" s="18" t="n">
        <v>0.601654965518099</v>
      </c>
      <c r="O42" s="18" t="n">
        <v>-0.0121670515315709</v>
      </c>
      <c r="P42" s="18" t="n">
        <v>3.86995285179615</v>
      </c>
      <c r="Q42" s="18" t="n">
        <v>0.218959559016255</v>
      </c>
      <c r="R42" s="18" t="n">
        <v>0.0131552818664947</v>
      </c>
      <c r="S42" s="18" t="n">
        <v>0.785512377465311</v>
      </c>
      <c r="T42" s="18" t="n">
        <v>0.040971479298022</v>
      </c>
      <c r="U42" s="18" t="n">
        <v>17.6574017718266</v>
      </c>
      <c r="V42" s="18" t="n">
        <v>8.34546414990867</v>
      </c>
      <c r="W42" s="18" t="n">
        <v>77.9320653962225</v>
      </c>
      <c r="X42" s="18" t="n">
        <v>5.66792648995054</v>
      </c>
      <c r="Y42" s="18" t="n">
        <v>6.4647671155464</v>
      </c>
      <c r="Z42" s="18" t="n">
        <v>8.47908784024967</v>
      </c>
      <c r="AA42" s="18" t="n">
        <v>80.6789393683499</v>
      </c>
      <c r="AB42" s="18" t="n">
        <v>1.03143773976404</v>
      </c>
    </row>
    <row r="43" customFormat="false" ht="15" hidden="false" customHeight="false" outlineLevel="0" collapsed="false">
      <c r="A43" s="17" t="n">
        <v>39</v>
      </c>
      <c r="B43" s="17" t="s">
        <v>119</v>
      </c>
      <c r="C43" s="17" t="n">
        <v>30350</v>
      </c>
      <c r="D43" s="17" t="s">
        <v>154</v>
      </c>
      <c r="E43" s="17" t="s">
        <v>113</v>
      </c>
      <c r="F43" s="17" t="s">
        <v>118</v>
      </c>
      <c r="G43" s="17" t="n">
        <v>621434</v>
      </c>
      <c r="H43" s="22" t="n">
        <v>45.4223431576373</v>
      </c>
      <c r="I43" s="22" t="n">
        <v>49.6153846153846</v>
      </c>
      <c r="J43" s="22" t="n">
        <v>58.2692307692308</v>
      </c>
      <c r="K43" s="22" t="n">
        <v>74.9396681749623</v>
      </c>
      <c r="L43" s="22" t="n">
        <v>10.8108108108108</v>
      </c>
      <c r="M43" s="22" t="n">
        <v>33.6538461538462</v>
      </c>
      <c r="N43" s="18" t="n">
        <v>0.75252389871844</v>
      </c>
      <c r="O43" s="18" t="n">
        <v>0.216848617244235</v>
      </c>
      <c r="P43" s="18" t="n">
        <v>2.7562664518235</v>
      </c>
      <c r="Q43" s="18" t="n">
        <v>0.287560706366243</v>
      </c>
      <c r="R43" s="18" t="n">
        <v>-0.0104277388352221</v>
      </c>
      <c r="S43" s="18" t="n">
        <v>0.250066781025821</v>
      </c>
      <c r="T43" s="18" t="n">
        <v>0.0149982859101817</v>
      </c>
      <c r="U43" s="18" t="n">
        <v>20.0140311414907</v>
      </c>
      <c r="V43" s="18" t="n">
        <v>10.367150815694</v>
      </c>
      <c r="W43" s="18" t="n">
        <v>100.329223622842</v>
      </c>
      <c r="X43" s="18" t="n">
        <v>10.0297988445202</v>
      </c>
      <c r="Y43" s="18" t="n">
        <v>15.1459577689913</v>
      </c>
      <c r="Z43" s="18" t="n">
        <v>7.55374454896025</v>
      </c>
      <c r="AA43" s="18" t="n">
        <v>96.2411727991751</v>
      </c>
      <c r="AB43" s="18" t="n">
        <v>1.10904919853296</v>
      </c>
    </row>
    <row r="44" customFormat="false" ht="15" hidden="false" customHeight="false" outlineLevel="0" collapsed="false">
      <c r="A44" s="17" t="n">
        <v>40</v>
      </c>
      <c r="B44" s="17" t="s">
        <v>119</v>
      </c>
      <c r="C44" s="17" t="n">
        <v>19836</v>
      </c>
      <c r="D44" s="17" t="s">
        <v>136</v>
      </c>
      <c r="E44" s="17" t="s">
        <v>108</v>
      </c>
      <c r="F44" s="17" t="s">
        <v>118</v>
      </c>
      <c r="G44" s="17" t="n">
        <v>755186</v>
      </c>
      <c r="H44" s="22" t="n">
        <v>45.2515133912193</v>
      </c>
      <c r="I44" s="22" t="n">
        <v>23.4615384615385</v>
      </c>
      <c r="J44" s="22" t="n">
        <v>83.4615384615385</v>
      </c>
      <c r="K44" s="22" t="n">
        <v>57.36802413273</v>
      </c>
      <c r="L44" s="22" t="n">
        <v>2.7027027027027</v>
      </c>
      <c r="M44" s="22" t="n">
        <v>62.5</v>
      </c>
      <c r="N44" s="18" t="n">
        <v>0.839541245838753</v>
      </c>
      <c r="O44" s="18" t="n">
        <v>0.180277546761653</v>
      </c>
      <c r="P44" s="18" t="n">
        <v>3.96457803239998</v>
      </c>
      <c r="Q44" s="18" t="n">
        <v>1.096551048351</v>
      </c>
      <c r="R44" s="18" t="n">
        <v>0.359271428495488</v>
      </c>
      <c r="S44" s="18" t="n">
        <v>0.694266048364244</v>
      </c>
      <c r="T44" s="18" t="n">
        <v>0.00983191651539963</v>
      </c>
      <c r="U44" s="18" t="n">
        <v>23.0548516374529</v>
      </c>
      <c r="V44" s="18" t="n">
        <v>17.2758764066071</v>
      </c>
      <c r="W44" s="18" t="n">
        <v>109.468517137965</v>
      </c>
      <c r="X44" s="18" t="n">
        <v>8.87431501763907</v>
      </c>
      <c r="Y44" s="18" t="n">
        <v>10.313055290655</v>
      </c>
      <c r="Z44" s="18" t="n">
        <v>18.7873910995283</v>
      </c>
      <c r="AA44" s="18" t="n">
        <v>91.3450236023609</v>
      </c>
      <c r="AB44" s="18" t="n">
        <v>0.705583093370815</v>
      </c>
    </row>
    <row r="45" customFormat="false" ht="15" hidden="false" customHeight="false" outlineLevel="0" collapsed="false">
      <c r="A45" s="17" t="n">
        <v>41</v>
      </c>
      <c r="B45" s="17" t="s">
        <v>119</v>
      </c>
      <c r="C45" s="17" t="n">
        <v>14134</v>
      </c>
      <c r="D45" s="17" t="s">
        <v>155</v>
      </c>
      <c r="E45" s="17" t="s">
        <v>113</v>
      </c>
      <c r="F45" s="17" t="s">
        <v>118</v>
      </c>
      <c r="G45" s="17" t="n">
        <v>882477</v>
      </c>
      <c r="H45" s="22" t="n">
        <v>45.0571419836126</v>
      </c>
      <c r="I45" s="22" t="n">
        <v>49.6153846153846</v>
      </c>
      <c r="J45" s="22" t="n">
        <v>72.8846153846154</v>
      </c>
      <c r="K45" s="22" t="n">
        <v>36.3650075414781</v>
      </c>
      <c r="L45" s="22" t="n">
        <v>8.1081081081081</v>
      </c>
      <c r="M45" s="22" t="n">
        <v>49.0384615384615</v>
      </c>
      <c r="N45" s="18" t="n">
        <v>0.610195299395189</v>
      </c>
      <c r="O45" s="18" t="n">
        <v>-0.290759159569532</v>
      </c>
      <c r="P45" s="18" t="n">
        <v>3.10929848158763</v>
      </c>
      <c r="Q45" s="18" t="n">
        <v>0.307430108660056</v>
      </c>
      <c r="R45" s="18" t="n">
        <v>-0.865525019400594</v>
      </c>
      <c r="S45" s="18" t="n">
        <v>0.601715398814927</v>
      </c>
      <c r="T45" s="18" t="n">
        <v>0.0616892790747448</v>
      </c>
      <c r="U45" s="18" t="n">
        <v>20.6017342528864</v>
      </c>
      <c r="V45" s="18" t="n">
        <v>13.1578500062891</v>
      </c>
      <c r="W45" s="18" t="n">
        <v>90.4994498383722</v>
      </c>
      <c r="X45" s="18" t="n">
        <v>4.68304232863859</v>
      </c>
      <c r="Y45" s="18" t="n">
        <v>0.920427742210306</v>
      </c>
      <c r="Z45" s="18" t="n">
        <v>5.98496658569891</v>
      </c>
      <c r="AA45" s="18" t="n">
        <v>89.2099440117804</v>
      </c>
      <c r="AB45" s="18" t="n">
        <v>1.12165429046153</v>
      </c>
    </row>
    <row r="46" customFormat="false" ht="15" hidden="false" customHeight="false" outlineLevel="0" collapsed="false">
      <c r="A46" s="17" t="n">
        <v>42</v>
      </c>
      <c r="B46" s="17" t="s">
        <v>119</v>
      </c>
      <c r="C46" s="17" t="n">
        <v>17749</v>
      </c>
      <c r="D46" s="17" t="s">
        <v>156</v>
      </c>
      <c r="E46" s="17" t="s">
        <v>108</v>
      </c>
      <c r="F46" s="17" t="s">
        <v>114</v>
      </c>
      <c r="G46" s="17" t="n">
        <v>1447972</v>
      </c>
      <c r="H46" s="22" t="n">
        <v>43.4886877828054</v>
      </c>
      <c r="I46" s="22" t="n">
        <v>44.6153846153846</v>
      </c>
      <c r="J46" s="22" t="n">
        <v>25.9615384615385</v>
      </c>
      <c r="K46" s="22" t="n">
        <v>29.6681749622926</v>
      </c>
      <c r="L46" s="22" t="n">
        <v>50</v>
      </c>
      <c r="M46" s="22" t="n">
        <v>75.9615384615385</v>
      </c>
      <c r="N46" s="18" t="n">
        <v>0.885431471938352</v>
      </c>
      <c r="O46" s="18" t="n">
        <v>-0.0946436505710385</v>
      </c>
      <c r="P46" s="18" t="n">
        <v>2.6965287741223</v>
      </c>
      <c r="Q46" s="18" t="n">
        <v>0.0901951142701654</v>
      </c>
      <c r="R46" s="18" t="n">
        <v>0.0727785810346896</v>
      </c>
      <c r="S46" s="18" t="n">
        <v>0.150141024826447</v>
      </c>
      <c r="T46" s="18" t="n">
        <v>-0.00432471566996653</v>
      </c>
      <c r="U46" s="18" t="n">
        <v>0</v>
      </c>
      <c r="V46" s="18" t="n">
        <v>14.0609072551127</v>
      </c>
      <c r="W46" s="18" t="n">
        <v>74.4096118706852</v>
      </c>
      <c r="X46" s="18" t="n">
        <v>3.78046280674242</v>
      </c>
      <c r="Y46" s="18" t="n">
        <v>1.84878590553164</v>
      </c>
      <c r="Z46" s="18" t="n">
        <v>2.67277792428331</v>
      </c>
      <c r="AA46" s="18" t="n">
        <v>90.6804530541021</v>
      </c>
      <c r="AB46" s="18" t="n">
        <v>1.4555969476298</v>
      </c>
    </row>
    <row r="47" customFormat="false" ht="15" hidden="false" customHeight="false" outlineLevel="0" collapsed="false">
      <c r="A47" s="17" t="n">
        <v>43</v>
      </c>
      <c r="B47" s="17" t="s">
        <v>119</v>
      </c>
      <c r="C47" s="17" t="n">
        <v>18030</v>
      </c>
      <c r="D47" s="17" t="s">
        <v>157</v>
      </c>
      <c r="E47" s="17" t="s">
        <v>116</v>
      </c>
      <c r="F47" s="17" t="s">
        <v>118</v>
      </c>
      <c r="G47" s="17" t="n">
        <v>805858</v>
      </c>
      <c r="H47" s="22" t="n">
        <v>42.1524550568668</v>
      </c>
      <c r="I47" s="22" t="n">
        <v>33.4615384615385</v>
      </c>
      <c r="J47" s="22" t="n">
        <v>47.5</v>
      </c>
      <c r="K47" s="22" t="n">
        <v>18.9668174962293</v>
      </c>
      <c r="L47" s="22" t="n">
        <v>62.1621621621622</v>
      </c>
      <c r="M47" s="22" t="n">
        <v>44.2307692307692</v>
      </c>
      <c r="N47" s="18" t="n">
        <v>0.71837995883469</v>
      </c>
      <c r="O47" s="18" t="n">
        <v>0.0443776473609386</v>
      </c>
      <c r="P47" s="18" t="n">
        <v>3.70938416602505</v>
      </c>
      <c r="Q47" s="18" t="n">
        <v>0.174224242980773</v>
      </c>
      <c r="R47" s="18" t="n">
        <v>-0.0786182743057323</v>
      </c>
      <c r="S47" s="18" t="n">
        <v>0.142456859645248</v>
      </c>
      <c r="T47" s="18" t="n">
        <v>0.0315817412738641</v>
      </c>
      <c r="U47" s="18" t="n">
        <v>14.1416681477336</v>
      </c>
      <c r="V47" s="18" t="n">
        <v>7.25562071729759</v>
      </c>
      <c r="W47" s="18" t="n">
        <v>81.4977496238086</v>
      </c>
      <c r="X47" s="18" t="n">
        <v>5.35427367914625</v>
      </c>
      <c r="Y47" s="18" t="n">
        <v>1.45578765800962</v>
      </c>
      <c r="Z47" s="18" t="n">
        <v>8.13200428825007</v>
      </c>
      <c r="AA47" s="18" t="n">
        <v>77.0622304579411</v>
      </c>
      <c r="AB47" s="18" t="n">
        <v>0.999144113076789</v>
      </c>
    </row>
    <row r="48" customFormat="false" ht="15" hidden="false" customHeight="false" outlineLevel="0" collapsed="false">
      <c r="A48" s="17" t="n">
        <v>44</v>
      </c>
      <c r="B48" s="17" t="s">
        <v>119</v>
      </c>
      <c r="C48" s="17" t="n">
        <v>19690</v>
      </c>
      <c r="D48" s="17" t="s">
        <v>158</v>
      </c>
      <c r="E48" s="17" t="s">
        <v>108</v>
      </c>
      <c r="F48" s="17" t="s">
        <v>114</v>
      </c>
      <c r="G48" s="17" t="n">
        <v>4279069</v>
      </c>
      <c r="H48" s="22" t="n">
        <v>41.0551547022135</v>
      </c>
      <c r="I48" s="22" t="n">
        <v>1.15384615384616</v>
      </c>
      <c r="J48" s="22" t="n">
        <v>66.3461538461538</v>
      </c>
      <c r="K48" s="22" t="n">
        <v>61.2443438914027</v>
      </c>
      <c r="L48" s="22" t="n">
        <v>54.0540540540541</v>
      </c>
      <c r="M48" s="22" t="n">
        <v>27.8846153846154</v>
      </c>
      <c r="N48" s="18" t="n">
        <v>2.09184214445272</v>
      </c>
      <c r="O48" s="18" t="n">
        <v>0.179951450846319</v>
      </c>
      <c r="P48" s="18" t="n">
        <v>4.88660948292711</v>
      </c>
      <c r="Q48" s="18" t="n">
        <v>0.818191994567043</v>
      </c>
      <c r="R48" s="18" t="n">
        <v>-0.0840483774650385</v>
      </c>
      <c r="S48" s="18" t="n">
        <v>0.0311750055911695</v>
      </c>
      <c r="T48" s="18" t="n">
        <v>0.137737780430109</v>
      </c>
      <c r="U48" s="18" t="n">
        <v>14.6965811023661</v>
      </c>
      <c r="V48" s="18" t="n">
        <v>11.5512509847352</v>
      </c>
      <c r="W48" s="18" t="n">
        <v>111.282654160463</v>
      </c>
      <c r="X48" s="18" t="n">
        <v>36.6153151631615</v>
      </c>
      <c r="Y48" s="18" t="n">
        <v>37.2669862669888</v>
      </c>
      <c r="Z48" s="18" t="n">
        <v>44.1774196689139</v>
      </c>
      <c r="AA48" s="18" t="n">
        <v>75.2726338249313</v>
      </c>
      <c r="AB48" s="18" t="n">
        <v>1.26459141402322</v>
      </c>
    </row>
    <row r="49" customFormat="false" ht="15" hidden="false" customHeight="false" outlineLevel="0" collapsed="false">
      <c r="A49" s="17" t="n">
        <v>45</v>
      </c>
      <c r="B49" s="17" t="s">
        <v>119</v>
      </c>
      <c r="C49" s="17" t="n">
        <v>12874</v>
      </c>
      <c r="D49" s="17" t="s">
        <v>159</v>
      </c>
      <c r="E49" s="17" t="s">
        <v>108</v>
      </c>
      <c r="F49" s="17" t="s">
        <v>114</v>
      </c>
      <c r="G49" s="17" t="n">
        <v>1085692</v>
      </c>
      <c r="H49" s="22" t="n">
        <v>40.7987495413966</v>
      </c>
      <c r="I49" s="22" t="n">
        <v>21.1538461538462</v>
      </c>
      <c r="J49" s="22" t="n">
        <v>46.5384615384615</v>
      </c>
      <c r="K49" s="22" t="n">
        <v>38.3031674208145</v>
      </c>
      <c r="L49" s="22" t="n">
        <v>56.7567567567568</v>
      </c>
      <c r="M49" s="22" t="n">
        <v>45.1923076923077</v>
      </c>
      <c r="N49" s="18" t="n">
        <v>0.938648973217796</v>
      </c>
      <c r="O49" s="18" t="n">
        <v>0.0650146933988445</v>
      </c>
      <c r="P49" s="18" t="n">
        <v>3.8021088052053</v>
      </c>
      <c r="Q49" s="18" t="n">
        <v>0.12821315805956</v>
      </c>
      <c r="R49" s="18" t="n">
        <v>-0.0179989266199981</v>
      </c>
      <c r="S49" s="18" t="n">
        <v>0.266281781573411</v>
      </c>
      <c r="T49" s="18" t="n">
        <v>0.004277593647615</v>
      </c>
      <c r="U49" s="18" t="n">
        <v>14.3096445878642</v>
      </c>
      <c r="V49" s="18" t="n">
        <v>9.26165063388143</v>
      </c>
      <c r="W49" s="18" t="n">
        <v>90.5745346099581</v>
      </c>
      <c r="X49" s="18" t="n">
        <v>4.71061387857452</v>
      </c>
      <c r="Y49" s="18" t="n">
        <v>3.82171149995647</v>
      </c>
      <c r="Z49" s="18" t="n">
        <v>8.43443786652809</v>
      </c>
      <c r="AA49" s="18" t="n">
        <v>79.0391687708002</v>
      </c>
      <c r="AB49" s="18" t="n">
        <v>0.981049807144055</v>
      </c>
    </row>
    <row r="50" customFormat="false" ht="15" hidden="false" customHeight="false" outlineLevel="0" collapsed="false">
      <c r="A50" s="17" t="n">
        <v>46</v>
      </c>
      <c r="B50" s="17" t="s">
        <v>119</v>
      </c>
      <c r="C50" s="17" t="n">
        <v>59298</v>
      </c>
      <c r="D50" s="17" t="s">
        <v>160</v>
      </c>
      <c r="E50" s="17" t="s">
        <v>113</v>
      </c>
      <c r="F50" s="17" t="s">
        <v>118</v>
      </c>
      <c r="G50" s="17" t="n">
        <v>269483</v>
      </c>
      <c r="H50" s="22" t="n">
        <v>40.4794163507399</v>
      </c>
      <c r="I50" s="22" t="n">
        <v>86.1538461538462</v>
      </c>
      <c r="J50" s="22" t="n">
        <v>10.7692307692308</v>
      </c>
      <c r="K50" s="22" t="n">
        <v>41.5233785822021</v>
      </c>
      <c r="L50" s="22" t="n">
        <v>32.4324324324324</v>
      </c>
      <c r="M50" s="22" t="n">
        <v>23.5576923076923</v>
      </c>
      <c r="N50" s="18" t="n">
        <v>0.0611768333776824</v>
      </c>
      <c r="O50" s="18" t="n">
        <v>1.31059687597487</v>
      </c>
      <c r="P50" s="18" t="n">
        <v>2.35397816467433</v>
      </c>
      <c r="Q50" s="18" t="n">
        <v>0</v>
      </c>
      <c r="R50" s="18" t="n">
        <v>0</v>
      </c>
      <c r="S50" s="18" t="n">
        <v>0</v>
      </c>
      <c r="T50" s="18" t="n">
        <v>0</v>
      </c>
      <c r="U50" s="18" t="n">
        <v>16.8779498144312</v>
      </c>
      <c r="V50" s="18" t="n">
        <v>9.58798885272912</v>
      </c>
      <c r="W50" s="18" t="n">
        <v>61.9278399373596</v>
      </c>
      <c r="X50" s="18" t="n">
        <v>23.3501167208312</v>
      </c>
      <c r="Y50" s="18" t="n">
        <v>51.9116457743631</v>
      </c>
      <c r="Z50" s="18" t="n">
        <v>26.7319855226118</v>
      </c>
      <c r="AA50" s="18" t="n">
        <v>76.0346307670808</v>
      </c>
      <c r="AB50" s="18" t="n">
        <v>0.855121746710942</v>
      </c>
    </row>
    <row r="51" customFormat="false" ht="15" hidden="false" customHeight="false" outlineLevel="0" collapsed="false">
      <c r="A51" s="17" t="n">
        <v>47</v>
      </c>
      <c r="B51" s="17" t="s">
        <v>119</v>
      </c>
      <c r="C51" s="17" t="n">
        <v>17741</v>
      </c>
      <c r="D51" s="17" t="s">
        <v>161</v>
      </c>
      <c r="E51" s="17" t="s">
        <v>108</v>
      </c>
      <c r="F51" s="17" t="s">
        <v>114</v>
      </c>
      <c r="G51" s="17" t="n">
        <v>2758302</v>
      </c>
      <c r="H51" s="22" t="n">
        <v>40.0311085972851</v>
      </c>
      <c r="I51" s="22" t="n">
        <v>21.1538461538462</v>
      </c>
      <c r="J51" s="22" t="n">
        <v>59.6153846153846</v>
      </c>
      <c r="K51" s="22" t="n">
        <v>43.4766214177979</v>
      </c>
      <c r="L51" s="22" t="n">
        <v>50</v>
      </c>
      <c r="M51" s="22" t="n">
        <v>22.1153846153846</v>
      </c>
      <c r="N51" s="18" t="n">
        <v>0.805862894688845</v>
      </c>
      <c r="O51" s="18" t="n">
        <v>0.229075070167399</v>
      </c>
      <c r="P51" s="18" t="n">
        <v>4.42459457596169</v>
      </c>
      <c r="Q51" s="18" t="n">
        <v>0.515244523623592</v>
      </c>
      <c r="R51" s="18" t="n">
        <v>-0.0992466816218128</v>
      </c>
      <c r="S51" s="18" t="n">
        <v>0.19885422263407</v>
      </c>
      <c r="T51" s="18" t="n">
        <v>-0.00174786978370111</v>
      </c>
      <c r="U51" s="18" t="n">
        <v>0</v>
      </c>
      <c r="V51" s="18" t="n">
        <v>9.09878613726851</v>
      </c>
      <c r="W51" s="18" t="n">
        <v>101.065352759702</v>
      </c>
      <c r="X51" s="18" t="n">
        <v>137.654559788392</v>
      </c>
      <c r="Y51" s="18" t="n">
        <v>135.198759893587</v>
      </c>
      <c r="Z51" s="18" t="n">
        <v>160.920189706918</v>
      </c>
      <c r="AA51" s="18" t="n">
        <v>88.5223709614176</v>
      </c>
      <c r="AB51" s="18" t="n">
        <v>0.702982604583482</v>
      </c>
    </row>
    <row r="52" customFormat="false" ht="15" hidden="false" customHeight="false" outlineLevel="0" collapsed="false">
      <c r="A52" s="17" t="n">
        <v>48</v>
      </c>
      <c r="B52" s="17" t="s">
        <v>119</v>
      </c>
      <c r="C52" s="17" t="n">
        <v>14168</v>
      </c>
      <c r="D52" s="17" t="s">
        <v>162</v>
      </c>
      <c r="E52" s="17" t="s">
        <v>113</v>
      </c>
      <c r="F52" s="17" t="s">
        <v>118</v>
      </c>
      <c r="G52" s="17" t="n">
        <v>376849</v>
      </c>
      <c r="H52" s="22" t="n">
        <v>37.9357802372508</v>
      </c>
      <c r="I52" s="22" t="n">
        <v>13.4615384615385</v>
      </c>
      <c r="J52" s="22" t="n">
        <v>44.8076923076923</v>
      </c>
      <c r="K52" s="22" t="n">
        <v>57.262443438914</v>
      </c>
      <c r="L52" s="22" t="n">
        <v>37.8378378378378</v>
      </c>
      <c r="M52" s="22" t="n">
        <v>48.0769230769231</v>
      </c>
      <c r="N52" s="18" t="n">
        <v>0.966716269310238</v>
      </c>
      <c r="O52" s="18" t="n">
        <v>0.0500957995834127</v>
      </c>
      <c r="P52" s="18" t="n">
        <v>4.22224321701265</v>
      </c>
      <c r="Q52" s="18" t="n">
        <v>0.268542572754605</v>
      </c>
      <c r="R52" s="18" t="n">
        <v>-0.0117352304268981</v>
      </c>
      <c r="S52" s="18" t="n">
        <v>0.0246783194329824</v>
      </c>
      <c r="T52" s="18" t="n">
        <v>0.0229208300205571</v>
      </c>
      <c r="U52" s="18" t="n">
        <v>16.584016716042</v>
      </c>
      <c r="V52" s="18" t="n">
        <v>10.292716711468</v>
      </c>
      <c r="W52" s="18" t="n">
        <v>86.6672480206401</v>
      </c>
      <c r="X52" s="18" t="n">
        <v>1.36507663257786</v>
      </c>
      <c r="Y52" s="18" t="n">
        <v>9.9200250184015</v>
      </c>
      <c r="Z52" s="18" t="n">
        <v>0.4928594308093</v>
      </c>
      <c r="AA52" s="18" t="n">
        <v>85.9026847733313</v>
      </c>
      <c r="AB52" s="18" t="n">
        <v>1.27299474703176</v>
      </c>
    </row>
    <row r="53" customFormat="false" ht="15" hidden="false" customHeight="false" outlineLevel="0" collapsed="false">
      <c r="A53" s="17" t="n">
        <v>49</v>
      </c>
      <c r="B53" s="17" t="s">
        <v>119</v>
      </c>
      <c r="C53" s="17" t="n">
        <v>24540</v>
      </c>
      <c r="D53" s="17" t="s">
        <v>163</v>
      </c>
      <c r="E53" s="17" t="s">
        <v>116</v>
      </c>
      <c r="F53" s="17" t="s">
        <v>114</v>
      </c>
      <c r="G53" s="17" t="n">
        <v>1748522</v>
      </c>
      <c r="H53" s="22" t="n">
        <v>37.1003959276018</v>
      </c>
      <c r="I53" s="22" t="n">
        <v>4.61538461538461</v>
      </c>
      <c r="J53" s="22" t="n">
        <v>49.7115384615385</v>
      </c>
      <c r="K53" s="22" t="n">
        <v>66.0859728506787</v>
      </c>
      <c r="L53" s="22" t="n">
        <v>50</v>
      </c>
      <c r="M53" s="22" t="n">
        <v>24.0384615384615</v>
      </c>
      <c r="N53" s="18" t="n">
        <v>2.05176886595267</v>
      </c>
      <c r="O53" s="18" t="n">
        <v>0.119148526044761</v>
      </c>
      <c r="P53" s="18" t="n">
        <v>4.28649738721819</v>
      </c>
      <c r="Q53" s="18" t="n">
        <v>0.653351802264999</v>
      </c>
      <c r="R53" s="18" t="n">
        <v>-1.42016907560775</v>
      </c>
      <c r="S53" s="18" t="n">
        <v>0</v>
      </c>
      <c r="T53" s="18" t="n">
        <v>0</v>
      </c>
      <c r="U53" s="18" t="n">
        <v>0</v>
      </c>
      <c r="V53" s="18" t="n">
        <v>16.1308236327596</v>
      </c>
      <c r="W53" s="18" t="n">
        <v>107.605808486067</v>
      </c>
      <c r="X53" s="18" t="n">
        <v>20.5077734633988</v>
      </c>
      <c r="Y53" s="18" t="n">
        <v>20.6815394021051</v>
      </c>
      <c r="Z53" s="18" t="n">
        <v>23.3347807728642</v>
      </c>
      <c r="AA53" s="18" t="n">
        <v>97.1925524520879</v>
      </c>
      <c r="AB53" s="18" t="n">
        <v>1.00402889341922</v>
      </c>
    </row>
    <row r="54" customFormat="false" ht="15" hidden="false" customHeight="false" outlineLevel="0" collapsed="false">
      <c r="A54" s="17" t="n">
        <v>50</v>
      </c>
      <c r="B54" s="17" t="s">
        <v>119</v>
      </c>
      <c r="C54" s="17" t="n">
        <v>19532</v>
      </c>
      <c r="D54" s="17" t="s">
        <v>164</v>
      </c>
      <c r="E54" s="17" t="s">
        <v>108</v>
      </c>
      <c r="F54" s="17" t="s">
        <v>118</v>
      </c>
      <c r="G54" s="17" t="n">
        <v>843145</v>
      </c>
      <c r="H54" s="22" t="n">
        <v>32.3638865109453</v>
      </c>
      <c r="I54" s="22" t="n">
        <v>18.0769230769231</v>
      </c>
      <c r="J54" s="22" t="n">
        <v>44.0384615384615</v>
      </c>
      <c r="K54" s="22" t="n">
        <v>52.1417797888386</v>
      </c>
      <c r="L54" s="22" t="n">
        <v>5.4054054054054</v>
      </c>
      <c r="M54" s="22" t="n">
        <v>52.8846153846154</v>
      </c>
      <c r="N54" s="18" t="n">
        <v>0.98381360720577</v>
      </c>
      <c r="O54" s="18" t="n">
        <v>0.125317489076704</v>
      </c>
      <c r="P54" s="18" t="n">
        <v>3.61555610853524</v>
      </c>
      <c r="Q54" s="18" t="n">
        <v>0.202219072638751</v>
      </c>
      <c r="R54" s="18" t="n">
        <v>0.0193335685002715</v>
      </c>
      <c r="S54" s="18" t="n">
        <v>0.119315183034947</v>
      </c>
      <c r="T54" s="18" t="n">
        <v>0.0149182092959902</v>
      </c>
      <c r="U54" s="18" t="n">
        <v>21.8705548239072</v>
      </c>
      <c r="V54" s="18" t="n">
        <v>13.0589637606817</v>
      </c>
      <c r="W54" s="18" t="n">
        <v>87.4008784391856</v>
      </c>
      <c r="X54" s="18" t="n">
        <v>-4.28367573753036</v>
      </c>
      <c r="Y54" s="18" t="n">
        <v>3.57352462782423</v>
      </c>
      <c r="Z54" s="18" t="n">
        <v>-0.389164290476396</v>
      </c>
      <c r="AA54" s="18" t="n">
        <v>82.7881923813564</v>
      </c>
      <c r="AB54" s="18" t="n">
        <v>0.987745863885026</v>
      </c>
    </row>
    <row r="55" customFormat="false" ht="15" hidden="false" customHeight="false" outlineLevel="0" collapsed="false">
      <c r="A55" s="17" t="n">
        <v>51</v>
      </c>
      <c r="B55" s="17" t="s">
        <v>119</v>
      </c>
      <c r="C55" s="17" t="n">
        <v>6275</v>
      </c>
      <c r="D55" s="17" t="s">
        <v>165</v>
      </c>
      <c r="E55" s="17" t="s">
        <v>113</v>
      </c>
      <c r="F55" s="17" t="s">
        <v>118</v>
      </c>
      <c r="G55" s="17" t="n">
        <v>552605</v>
      </c>
      <c r="H55" s="22" t="n">
        <v>29.700119236884</v>
      </c>
      <c r="I55" s="22" t="n">
        <v>34.6153846153846</v>
      </c>
      <c r="J55" s="22" t="n">
        <v>32.3076923076923</v>
      </c>
      <c r="K55" s="22" t="n">
        <v>12.4585218702866</v>
      </c>
      <c r="L55" s="22" t="n">
        <v>43.2432432432432</v>
      </c>
      <c r="M55" s="22" t="n">
        <v>16.3461538461539</v>
      </c>
      <c r="N55" s="18" t="n">
        <v>0.80927276534914</v>
      </c>
      <c r="O55" s="18" t="n">
        <v>0.324744104262147</v>
      </c>
      <c r="P55" s="18" t="n">
        <v>3.25032492027984</v>
      </c>
      <c r="Q55" s="18" t="n">
        <v>0.117986626975869</v>
      </c>
      <c r="R55" s="18" t="n">
        <v>-0.0858590697550368</v>
      </c>
      <c r="S55" s="18" t="n">
        <v>0.0883090091475828</v>
      </c>
      <c r="T55" s="18" t="n">
        <v>0.00458428202503018</v>
      </c>
      <c r="U55" s="18" t="n">
        <v>15.9807175065868</v>
      </c>
      <c r="V55" s="18" t="n">
        <v>6.92918087965183</v>
      </c>
      <c r="W55" s="18" t="n">
        <v>69.0217906392658</v>
      </c>
      <c r="X55" s="18" t="n">
        <v>-0.489265687294938</v>
      </c>
      <c r="Y55" s="18" t="n">
        <v>0.946322136487554</v>
      </c>
      <c r="Z55" s="18" t="n">
        <v>6.40949679588192</v>
      </c>
      <c r="AA55" s="18" t="n">
        <v>85.5817945160414</v>
      </c>
      <c r="AB55" s="18" t="n">
        <v>0.378470384620886</v>
      </c>
    </row>
    <row r="56" customFormat="false" ht="15" hidden="false" customHeight="false" outlineLevel="0" collapsed="false">
      <c r="A56" s="17" t="n">
        <v>52</v>
      </c>
      <c r="B56" s="17" t="s">
        <v>119</v>
      </c>
      <c r="C56" s="17" t="n">
        <v>35206</v>
      </c>
      <c r="D56" s="17" t="s">
        <v>166</v>
      </c>
      <c r="E56" s="17" t="s">
        <v>116</v>
      </c>
      <c r="F56" s="17" t="s">
        <v>111</v>
      </c>
      <c r="G56" s="17" t="n">
        <v>72604</v>
      </c>
      <c r="H56" s="22" t="n">
        <v>20.2163461538462</v>
      </c>
      <c r="I56" s="22" t="n">
        <v>3.84615384615385</v>
      </c>
      <c r="J56" s="22" t="n">
        <v>10.7692307692308</v>
      </c>
      <c r="K56" s="22" t="n">
        <v>21.1538461538462</v>
      </c>
      <c r="L56" s="22" t="n">
        <v>50</v>
      </c>
      <c r="M56" s="22" t="n">
        <v>22.5961538461539</v>
      </c>
      <c r="N56" s="18" t="n">
        <v>28.4880056721944</v>
      </c>
      <c r="O56" s="18" t="n">
        <v>9.65411374728234</v>
      </c>
      <c r="P56" s="18" t="n">
        <v>4.14720593593693</v>
      </c>
      <c r="Q56" s="18" t="n">
        <v>0</v>
      </c>
      <c r="R56" s="18" t="n">
        <v>0</v>
      </c>
      <c r="S56" s="18" t="n">
        <v>0</v>
      </c>
      <c r="T56" s="18" t="n">
        <v>0</v>
      </c>
      <c r="U56" s="18" t="n">
        <v>0</v>
      </c>
      <c r="V56" s="18" t="n">
        <v>96.57732356344</v>
      </c>
      <c r="W56" s="18" t="n">
        <v>0</v>
      </c>
      <c r="X56" s="18" t="n">
        <v>-14.0007580782716</v>
      </c>
      <c r="Y56" s="18"/>
      <c r="Z56" s="18" t="n">
        <v>0</v>
      </c>
      <c r="AA56" s="18"/>
      <c r="AB56" s="18" t="n">
        <v>0</v>
      </c>
    </row>
  </sheetData>
  <autoFilter ref="A1:AB56"/>
  <mergeCells count="2">
    <mergeCell ref="A1:AB1"/>
    <mergeCell ref="A2:AB2"/>
  </mergeCells>
  <conditionalFormatting sqref="H5:H5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6"/>
    <col collapsed="false" customWidth="true" hidden="false" outlineLevel="0" max="41" min="4" style="0" width="14"/>
  </cols>
  <sheetData>
    <row r="1" customFormat="false" ht="22.05" hidden="false" customHeight="false" outlineLevel="0" collapsed="false">
      <c r="A1" s="13" t="s">
        <v>167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customFormat="false" ht="15" hidden="false" customHeight="false" outlineLevel="0" collapsed="false">
      <c r="A2" s="14" t="s">
        <v>168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4" customFormat="false" ht="30" hidden="false" customHeight="true" outlineLevel="0" collapsed="false">
      <c r="A4" s="15" t="s">
        <v>81</v>
      </c>
      <c r="B4" s="15" t="s">
        <v>169</v>
      </c>
      <c r="C4" s="15" t="s">
        <v>82</v>
      </c>
      <c r="D4" s="15" t="s">
        <v>83</v>
      </c>
      <c r="E4" s="15" t="s">
        <v>84</v>
      </c>
      <c r="F4" s="15" t="s">
        <v>85</v>
      </c>
      <c r="G4" s="15" t="s">
        <v>170</v>
      </c>
      <c r="H4" s="15" t="s">
        <v>171</v>
      </c>
      <c r="I4" s="15" t="s">
        <v>172</v>
      </c>
      <c r="J4" s="15" t="s">
        <v>173</v>
      </c>
      <c r="K4" s="15" t="s">
        <v>174</v>
      </c>
      <c r="L4" s="15" t="s">
        <v>175</v>
      </c>
      <c r="M4" s="15" t="s">
        <v>176</v>
      </c>
      <c r="N4" s="15" t="s">
        <v>177</v>
      </c>
      <c r="O4" s="15" t="s">
        <v>178</v>
      </c>
      <c r="P4" s="15" t="s">
        <v>179</v>
      </c>
      <c r="Q4" s="15" t="s">
        <v>180</v>
      </c>
      <c r="R4" s="15" t="s">
        <v>181</v>
      </c>
      <c r="S4" s="15" t="s">
        <v>49</v>
      </c>
      <c r="T4" s="15" t="s">
        <v>182</v>
      </c>
      <c r="U4" s="15" t="s">
        <v>183</v>
      </c>
      <c r="V4" s="15" t="s">
        <v>27</v>
      </c>
      <c r="W4" s="15" t="s">
        <v>184</v>
      </c>
      <c r="X4" s="15" t="s">
        <v>93</v>
      </c>
      <c r="Y4" s="15" t="s">
        <v>185</v>
      </c>
      <c r="Z4" s="15" t="s">
        <v>98</v>
      </c>
      <c r="AA4" s="15" t="s">
        <v>99</v>
      </c>
      <c r="AB4" s="15" t="s">
        <v>101</v>
      </c>
      <c r="AC4" s="15" t="s">
        <v>102</v>
      </c>
      <c r="AD4" s="15" t="s">
        <v>103</v>
      </c>
      <c r="AE4" s="15" t="s">
        <v>92</v>
      </c>
      <c r="AF4" s="15" t="s">
        <v>95</v>
      </c>
      <c r="AG4" s="15" t="s">
        <v>186</v>
      </c>
      <c r="AH4" s="15" t="s">
        <v>187</v>
      </c>
      <c r="AI4" s="15" t="s">
        <v>188</v>
      </c>
      <c r="AJ4" s="15" t="s">
        <v>189</v>
      </c>
      <c r="AK4" s="15" t="s">
        <v>190</v>
      </c>
      <c r="AL4" s="15" t="s">
        <v>191</v>
      </c>
      <c r="AM4" s="15" t="s">
        <v>192</v>
      </c>
      <c r="AN4" s="15" t="s">
        <v>193</v>
      </c>
      <c r="AO4" s="15" t="s">
        <v>194</v>
      </c>
    </row>
    <row r="5" customFormat="false" ht="15" hidden="false" customHeight="false" outlineLevel="0" collapsed="false">
      <c r="A5" s="17" t="n">
        <v>4255</v>
      </c>
      <c r="B5" s="23" t="n">
        <v>44651</v>
      </c>
      <c r="C5" s="17" t="s">
        <v>126</v>
      </c>
      <c r="D5" s="17" t="s">
        <v>108</v>
      </c>
      <c r="E5" s="17" t="s">
        <v>109</v>
      </c>
      <c r="F5" s="17" t="n">
        <v>5406954</v>
      </c>
      <c r="G5" s="17" t="n">
        <v>5444095.5</v>
      </c>
      <c r="H5" s="17" t="n">
        <v>4617834</v>
      </c>
      <c r="I5" s="17" t="n">
        <v>494704</v>
      </c>
      <c r="J5" s="17" t="n">
        <v>3540923</v>
      </c>
      <c r="K5" s="17" t="n">
        <v>3489106</v>
      </c>
      <c r="L5" s="17" t="n">
        <v>3145490</v>
      </c>
      <c r="M5" s="17" t="n">
        <v>332872</v>
      </c>
      <c r="N5" s="17" t="n">
        <v>18973</v>
      </c>
      <c r="O5" s="17" t="n">
        <v>4452</v>
      </c>
      <c r="P5" s="17" t="n">
        <v>1301</v>
      </c>
      <c r="Q5" s="17" t="n">
        <v>0</v>
      </c>
      <c r="R5" s="17" t="n">
        <v>1000</v>
      </c>
      <c r="S5" s="17" t="n">
        <v>496376</v>
      </c>
      <c r="T5" s="17" t="n">
        <v>3661632</v>
      </c>
      <c r="U5" s="17" t="n">
        <v>69512</v>
      </c>
      <c r="V5" s="17" t="n">
        <v>1.27683285497104</v>
      </c>
      <c r="W5" s="17" t="n">
        <v>13.21</v>
      </c>
      <c r="X5" s="17" t="n">
        <v>2.92744682140836</v>
      </c>
      <c r="Y5" s="17" t="n">
        <v>0.897223689981398</v>
      </c>
      <c r="Z5" s="17" t="n">
        <v>13.5561410868159</v>
      </c>
      <c r="AA5" s="17" t="n">
        <v>9.14940278759538</v>
      </c>
      <c r="AB5" s="17"/>
      <c r="AC5" s="17"/>
      <c r="AD5" s="17"/>
      <c r="AE5" s="17"/>
      <c r="AF5" s="17"/>
      <c r="AG5" s="18" t="n">
        <f aca="false">IFERROR(100*O5/F5,"")</f>
        <v>0.0823384108686702</v>
      </c>
      <c r="AH5" s="18" t="n">
        <f aca="false">IFERROR(100*(P5+Q5)/F5,"")</f>
        <v>0.0240616065903279</v>
      </c>
      <c r="AI5" s="18" t="n">
        <f aca="false">IFERROR(100*R5/K5,"")</f>
        <v>0.0286606368508151</v>
      </c>
      <c r="AJ5" s="18" t="n">
        <f aca="false">IF(T5&gt;0,100*S5/T5,"")</f>
        <v>13.5561410868159</v>
      </c>
      <c r="AK5" s="18" t="n">
        <f aca="false">IFERROR(100*U5/G5,"")</f>
        <v>1.27683285497104</v>
      </c>
      <c r="AL5" s="18" t="n">
        <f aca="false">IFERROR(100*J5/H5,"")</f>
        <v>76.6793046263681</v>
      </c>
      <c r="AM5" s="18" t="n">
        <f aca="false">IFERROR(100*L5/J5,"")</f>
        <v>88.832488026427</v>
      </c>
      <c r="AN5" s="18" t="n">
        <f aca="false">IFERROR(100*M5/J5,"")</f>
        <v>9.40071275201409</v>
      </c>
      <c r="AO5" s="18" t="n">
        <f aca="false">IFERROR(100*N5/J5,"")</f>
        <v>0.53582074504303</v>
      </c>
    </row>
    <row r="6" customFormat="false" ht="15" hidden="false" customHeight="false" outlineLevel="0" collapsed="false">
      <c r="A6" s="17" t="n">
        <v>4255</v>
      </c>
      <c r="B6" s="23" t="n">
        <v>44742</v>
      </c>
      <c r="C6" s="17" t="s">
        <v>126</v>
      </c>
      <c r="D6" s="17" t="s">
        <v>108</v>
      </c>
      <c r="E6" s="17" t="s">
        <v>109</v>
      </c>
      <c r="F6" s="17" t="n">
        <v>5454674</v>
      </c>
      <c r="G6" s="17" t="n">
        <v>5447621.66666667</v>
      </c>
      <c r="H6" s="17" t="n">
        <v>4564900</v>
      </c>
      <c r="I6" s="17" t="n">
        <v>460996</v>
      </c>
      <c r="J6" s="17" t="n">
        <v>3727567</v>
      </c>
      <c r="K6" s="17" t="n">
        <v>3568593</v>
      </c>
      <c r="L6" s="17" t="n">
        <v>3314850</v>
      </c>
      <c r="M6" s="17" t="n">
        <v>338478</v>
      </c>
      <c r="N6" s="17" t="n">
        <v>19646</v>
      </c>
      <c r="O6" s="17" t="n">
        <v>3505</v>
      </c>
      <c r="P6" s="17" t="n">
        <v>2175</v>
      </c>
      <c r="Q6" s="17" t="n">
        <v>0</v>
      </c>
      <c r="R6" s="17" t="n">
        <v>574</v>
      </c>
      <c r="S6" s="17" t="n">
        <v>506550</v>
      </c>
      <c r="T6" s="17" t="n">
        <v>3809240</v>
      </c>
      <c r="U6" s="17" t="n">
        <v>66184</v>
      </c>
      <c r="V6" s="17" t="n">
        <v>1.21491549982209</v>
      </c>
      <c r="W6" s="17" t="n">
        <v>13.12</v>
      </c>
      <c r="X6" s="17" t="n">
        <v>2.93442239804111</v>
      </c>
      <c r="Y6" s="17" t="n">
        <v>0.918668933382016</v>
      </c>
      <c r="Z6" s="17" t="n">
        <v>13.2979281956506</v>
      </c>
      <c r="AA6" s="17" t="n">
        <v>8.45139416214425</v>
      </c>
      <c r="AB6" s="17"/>
      <c r="AC6" s="17"/>
      <c r="AD6" s="17"/>
      <c r="AE6" s="17"/>
      <c r="AF6" s="17"/>
      <c r="AG6" s="18" t="n">
        <f aca="false">IFERROR(100*O6/F6,"")</f>
        <v>0.0642568190142986</v>
      </c>
      <c r="AH6" s="18" t="n">
        <f aca="false">IFERROR(100*(P6+Q6)/F6,"")</f>
        <v>0.0398740603013122</v>
      </c>
      <c r="AI6" s="18" t="n">
        <f aca="false">IFERROR(100*R6/K6,"")</f>
        <v>0.0160847706645168</v>
      </c>
      <c r="AJ6" s="18" t="n">
        <f aca="false">IF(T6&gt;0,100*S6/T6,"")</f>
        <v>13.2979281956506</v>
      </c>
      <c r="AK6" s="18" t="n">
        <f aca="false">IFERROR(100*U6/G6,"")</f>
        <v>1.21491549982209</v>
      </c>
      <c r="AL6" s="18" t="n">
        <f aca="false">IFERROR(100*J6/H6,"")</f>
        <v>81.6571447348244</v>
      </c>
      <c r="AM6" s="18" t="n">
        <f aca="false">IFERROR(100*L6/J6,"")</f>
        <v>88.927979027607</v>
      </c>
      <c r="AN6" s="18" t="n">
        <f aca="false">IFERROR(100*M6/J6,"")</f>
        <v>9.08040016450409</v>
      </c>
      <c r="AO6" s="18" t="n">
        <f aca="false">IFERROR(100*N6/J6,"")</f>
        <v>0.527046193938298</v>
      </c>
    </row>
    <row r="7" customFormat="false" ht="15" hidden="false" customHeight="false" outlineLevel="0" collapsed="false">
      <c r="A7" s="17" t="n">
        <v>4255</v>
      </c>
      <c r="B7" s="23" t="n">
        <v>44834</v>
      </c>
      <c r="C7" s="17" t="s">
        <v>126</v>
      </c>
      <c r="D7" s="17" t="s">
        <v>108</v>
      </c>
      <c r="E7" s="17" t="s">
        <v>109</v>
      </c>
      <c r="F7" s="17" t="n">
        <v>5539983</v>
      </c>
      <c r="G7" s="17" t="n">
        <v>5470712</v>
      </c>
      <c r="H7" s="17" t="n">
        <v>4604972</v>
      </c>
      <c r="I7" s="17" t="n">
        <v>444488</v>
      </c>
      <c r="J7" s="17" t="n">
        <v>3865309</v>
      </c>
      <c r="K7" s="17" t="n">
        <v>3642772</v>
      </c>
      <c r="L7" s="17" t="n">
        <v>3453052</v>
      </c>
      <c r="M7" s="17" t="n">
        <v>340321</v>
      </c>
      <c r="N7" s="17" t="n">
        <v>21084</v>
      </c>
      <c r="O7" s="17" t="n">
        <v>2765</v>
      </c>
      <c r="P7" s="17" t="n">
        <v>4708</v>
      </c>
      <c r="Q7" s="17" t="n">
        <v>0</v>
      </c>
      <c r="R7" s="17" t="n">
        <v>669.3166</v>
      </c>
      <c r="S7" s="17" t="n">
        <v>516673</v>
      </c>
      <c r="T7" s="17" t="n">
        <v>3953001</v>
      </c>
      <c r="U7" s="17" t="n">
        <v>63882.4029</v>
      </c>
      <c r="V7" s="17" t="n">
        <v>1.16771643069494</v>
      </c>
      <c r="W7" s="17" t="n">
        <v>13.05</v>
      </c>
      <c r="X7" s="17" t="n">
        <v>2.96224785009783</v>
      </c>
      <c r="Y7" s="17" t="n">
        <v>0.945383667903394</v>
      </c>
      <c r="Z7" s="17" t="n">
        <v>13.0703989197068</v>
      </c>
      <c r="AA7" s="17" t="n">
        <v>8.02327371762693</v>
      </c>
      <c r="AB7" s="17"/>
      <c r="AC7" s="17"/>
      <c r="AD7" s="17"/>
      <c r="AE7" s="17"/>
      <c r="AF7" s="17"/>
      <c r="AG7" s="18" t="n">
        <f aca="false">IFERROR(100*O7/F7,"")</f>
        <v>0.0499099004455429</v>
      </c>
      <c r="AH7" s="18" t="n">
        <f aca="false">IFERROR(100*(P7+Q7)/F7,"")</f>
        <v>0.0849822102342191</v>
      </c>
      <c r="AI7" s="18" t="n">
        <f aca="false">IFERROR(100*R7/K7,"")</f>
        <v>0.0183738263059011</v>
      </c>
      <c r="AJ7" s="18" t="n">
        <f aca="false">IF(T7&gt;0,100*S7/T7,"")</f>
        <v>13.0703989197068</v>
      </c>
      <c r="AK7" s="18" t="n">
        <f aca="false">IFERROR(100*U7/G7,"")</f>
        <v>1.16771643069494</v>
      </c>
      <c r="AL7" s="18" t="n">
        <f aca="false">IFERROR(100*J7/H7,"")</f>
        <v>83.9377307831622</v>
      </c>
      <c r="AM7" s="18" t="n">
        <f aca="false">IFERROR(100*L7/J7,"")</f>
        <v>89.3344361343427</v>
      </c>
      <c r="AN7" s="18" t="n">
        <f aca="false">IFERROR(100*M7/J7,"")</f>
        <v>8.80449661333674</v>
      </c>
      <c r="AO7" s="18" t="n">
        <f aca="false">IFERROR(100*N7/J7,"")</f>
        <v>0.545467386954057</v>
      </c>
    </row>
    <row r="8" customFormat="false" ht="15" hidden="false" customHeight="false" outlineLevel="0" collapsed="false">
      <c r="A8" s="17" t="n">
        <v>4255</v>
      </c>
      <c r="B8" s="23" t="n">
        <v>44926</v>
      </c>
      <c r="C8" s="17" t="s">
        <v>126</v>
      </c>
      <c r="D8" s="17" t="s">
        <v>108</v>
      </c>
      <c r="E8" s="17" t="s">
        <v>109</v>
      </c>
      <c r="F8" s="17" t="n">
        <v>5662457</v>
      </c>
      <c r="G8" s="17" t="n">
        <v>5509061</v>
      </c>
      <c r="H8" s="17" t="n">
        <v>4867005</v>
      </c>
      <c r="I8" s="17" t="n">
        <v>460754</v>
      </c>
      <c r="J8" s="17" t="n">
        <v>4015550</v>
      </c>
      <c r="K8" s="17" t="n">
        <v>3717327.6</v>
      </c>
      <c r="L8" s="17" t="n">
        <v>3596765</v>
      </c>
      <c r="M8" s="17" t="n">
        <v>354169</v>
      </c>
      <c r="N8" s="17" t="n">
        <v>20661</v>
      </c>
      <c r="O8" s="17" t="n">
        <v>2991</v>
      </c>
      <c r="P8" s="17" t="n">
        <v>2554</v>
      </c>
      <c r="Q8" s="17" t="n">
        <v>0</v>
      </c>
      <c r="R8" s="17" t="n">
        <v>764</v>
      </c>
      <c r="S8" s="17" t="n">
        <v>525346</v>
      </c>
      <c r="T8" s="17" t="n">
        <v>4032151</v>
      </c>
      <c r="U8" s="17" t="n">
        <v>63829</v>
      </c>
      <c r="V8" s="17" t="n">
        <v>1.15861850141068</v>
      </c>
      <c r="W8" s="17" t="n">
        <v>13.19</v>
      </c>
      <c r="X8" s="17" t="n">
        <v>2.94392266172713</v>
      </c>
      <c r="Y8" s="17" t="n">
        <v>0.919475538842749</v>
      </c>
      <c r="Z8" s="17" t="n">
        <v>13.0289267440629</v>
      </c>
      <c r="AA8" s="17" t="n">
        <v>8.13699777322812</v>
      </c>
      <c r="AB8" s="17"/>
      <c r="AC8" s="17"/>
      <c r="AD8" s="17"/>
      <c r="AE8" s="17"/>
      <c r="AF8" s="17"/>
      <c r="AG8" s="18" t="n">
        <f aca="false">IFERROR(100*O8/F8,"")</f>
        <v>0.0528215931705972</v>
      </c>
      <c r="AH8" s="18" t="n">
        <f aca="false">IFERROR(100*(P8+Q8)/F8,"")</f>
        <v>0.0451040952717169</v>
      </c>
      <c r="AI8" s="18" t="n">
        <f aca="false">IFERROR(100*R8/K8,"")</f>
        <v>0.0205523989868421</v>
      </c>
      <c r="AJ8" s="18" t="n">
        <f aca="false">IF(T8&gt;0,100*S8/T8,"")</f>
        <v>13.0289267440629</v>
      </c>
      <c r="AK8" s="18" t="n">
        <f aca="false">IFERROR(100*U8/G8,"")</f>
        <v>1.15861850141068</v>
      </c>
      <c r="AL8" s="18" t="n">
        <f aca="false">IFERROR(100*J8/H8,"")</f>
        <v>82.5055655377383</v>
      </c>
      <c r="AM8" s="18" t="n">
        <f aca="false">IFERROR(100*L8/J8,"")</f>
        <v>89.5709180560571</v>
      </c>
      <c r="AN8" s="18" t="n">
        <f aca="false">IFERROR(100*M8/J8,"")</f>
        <v>8.81993749299598</v>
      </c>
      <c r="AO8" s="18" t="n">
        <f aca="false">IFERROR(100*N8/J8,"")</f>
        <v>0.514524784898706</v>
      </c>
    </row>
    <row r="9" customFormat="false" ht="15" hidden="false" customHeight="false" outlineLevel="0" collapsed="false">
      <c r="A9" s="17" t="n">
        <v>4255</v>
      </c>
      <c r="B9" s="23" t="n">
        <v>45016</v>
      </c>
      <c r="C9" s="17" t="s">
        <v>126</v>
      </c>
      <c r="D9" s="17" t="s">
        <v>108</v>
      </c>
      <c r="E9" s="17" t="s">
        <v>109</v>
      </c>
      <c r="F9" s="17" t="n">
        <v>5707400</v>
      </c>
      <c r="G9" s="17" t="n">
        <v>5684928.5</v>
      </c>
      <c r="H9" s="17" t="n">
        <v>4682533</v>
      </c>
      <c r="I9" s="17" t="n">
        <v>475108</v>
      </c>
      <c r="J9" s="17" t="n">
        <v>4077670</v>
      </c>
      <c r="K9" s="17" t="n">
        <v>4046610</v>
      </c>
      <c r="L9" s="17" t="n">
        <v>3668834</v>
      </c>
      <c r="M9" s="17" t="n">
        <v>347458</v>
      </c>
      <c r="N9" s="17" t="n">
        <v>19811</v>
      </c>
      <c r="O9" s="17" t="n">
        <v>2958</v>
      </c>
      <c r="P9" s="17" t="n">
        <v>2138</v>
      </c>
      <c r="Q9" s="17" t="n">
        <v>0</v>
      </c>
      <c r="R9" s="17" t="n">
        <v>908</v>
      </c>
      <c r="S9" s="17" t="n">
        <v>532657</v>
      </c>
      <c r="T9" s="17" t="n">
        <v>4041943</v>
      </c>
      <c r="U9" s="17" t="n">
        <v>53316</v>
      </c>
      <c r="V9" s="17" t="n">
        <v>0.937848206885979</v>
      </c>
      <c r="W9" s="17" t="n">
        <v>11.39</v>
      </c>
      <c r="X9" s="17" t="n">
        <v>2.65321190023137</v>
      </c>
      <c r="Y9" s="17" t="n">
        <v>0.910667121174592</v>
      </c>
      <c r="Z9" s="17" t="n">
        <v>13.1782412567421</v>
      </c>
      <c r="AA9" s="17" t="n">
        <v>8.3244209272173</v>
      </c>
      <c r="AB9" s="17" t="n">
        <v>5.55665907274225</v>
      </c>
      <c r="AC9" s="17" t="n">
        <v>15.1583923174833</v>
      </c>
      <c r="AD9" s="17" t="n">
        <v>1.40106811981549</v>
      </c>
      <c r="AE9" s="17" t="n">
        <v>-0.338984648085062</v>
      </c>
      <c r="AF9" s="17" t="n">
        <v>-0.0305109587889141</v>
      </c>
      <c r="AG9" s="18" t="n">
        <f aca="false">IFERROR(100*O9/F9,"")</f>
        <v>0.0518274520797561</v>
      </c>
      <c r="AH9" s="18" t="n">
        <f aca="false">IFERROR(100*(P9+Q9)/F9,"")</f>
        <v>0.037460139468059</v>
      </c>
      <c r="AI9" s="18" t="n">
        <f aca="false">IFERROR(100*R9/K9,"")</f>
        <v>0.0224385349712475</v>
      </c>
      <c r="AJ9" s="18" t="n">
        <f aca="false">IF(T9&gt;0,100*S9/T9,"")</f>
        <v>13.1782412567421</v>
      </c>
      <c r="AK9" s="18" t="n">
        <f aca="false">IFERROR(100*U9/G9,"")</f>
        <v>0.937848206885979</v>
      </c>
      <c r="AL9" s="18" t="n">
        <f aca="false">IFERROR(100*J9/H9,"")</f>
        <v>87.0825683449535</v>
      </c>
      <c r="AM9" s="18" t="n">
        <f aca="false">IFERROR(100*L9/J9,"")</f>
        <v>89.9737840482432</v>
      </c>
      <c r="AN9" s="18" t="n">
        <f aca="false">IFERROR(100*M9/J9,"")</f>
        <v>8.52099360664301</v>
      </c>
      <c r="AO9" s="18" t="n">
        <f aca="false">IFERROR(100*N9/J9,"")</f>
        <v>0.485841178908543</v>
      </c>
    </row>
    <row r="10" customFormat="false" ht="15" hidden="false" customHeight="false" outlineLevel="0" collapsed="false">
      <c r="A10" s="17" t="n">
        <v>4255</v>
      </c>
      <c r="B10" s="23" t="n">
        <v>45107</v>
      </c>
      <c r="C10" s="17" t="s">
        <v>126</v>
      </c>
      <c r="D10" s="17" t="s">
        <v>108</v>
      </c>
      <c r="E10" s="17" t="s">
        <v>109</v>
      </c>
      <c r="F10" s="17" t="n">
        <v>5734437</v>
      </c>
      <c r="G10" s="17" t="n">
        <v>5701431.33333333</v>
      </c>
      <c r="H10" s="17" t="n">
        <v>4731600</v>
      </c>
      <c r="I10" s="17" t="n">
        <v>478695</v>
      </c>
      <c r="J10" s="17" t="n">
        <v>4112167</v>
      </c>
      <c r="K10" s="17" t="n">
        <v>4068462.33333333</v>
      </c>
      <c r="L10" s="17" t="n">
        <v>3708024</v>
      </c>
      <c r="M10" s="17" t="n">
        <v>346048</v>
      </c>
      <c r="N10" s="17" t="n">
        <v>19845</v>
      </c>
      <c r="O10" s="17" t="n">
        <v>3048</v>
      </c>
      <c r="P10" s="17" t="n">
        <v>2251</v>
      </c>
      <c r="Q10" s="17" t="n">
        <v>0</v>
      </c>
      <c r="R10" s="17" t="n">
        <v>1366</v>
      </c>
      <c r="S10" s="17" t="n">
        <v>539656</v>
      </c>
      <c r="T10" s="17" t="n">
        <v>4079095</v>
      </c>
      <c r="U10" s="17" t="n">
        <v>52866</v>
      </c>
      <c r="V10" s="17" t="n">
        <v>0.927240843731989</v>
      </c>
      <c r="W10" s="17" t="n">
        <v>11.21</v>
      </c>
      <c r="X10" s="17" t="n">
        <v>2.58787003447893</v>
      </c>
      <c r="Y10" s="17" t="n">
        <v>0.899355497964942</v>
      </c>
      <c r="Z10" s="17" t="n">
        <v>13.2297972957237</v>
      </c>
      <c r="AA10" s="17" t="n">
        <v>8.3477244583906</v>
      </c>
      <c r="AB10" s="17" t="n">
        <v>5.12886746302346</v>
      </c>
      <c r="AC10" s="17" t="n">
        <v>10.3177219886323</v>
      </c>
      <c r="AD10" s="17" t="n">
        <v>3.6517776950207</v>
      </c>
      <c r="AE10" s="17" t="n">
        <v>-0.287674656090104</v>
      </c>
      <c r="AF10" s="17" t="n">
        <v>-0.011104260184199</v>
      </c>
      <c r="AG10" s="18" t="n">
        <f aca="false">IFERROR(100*O10/F10,"")</f>
        <v>0.0531525588300996</v>
      </c>
      <c r="AH10" s="18" t="n">
        <f aca="false">IFERROR(100*(P10+Q10)/F10,"")</f>
        <v>0.0392540714982133</v>
      </c>
      <c r="AI10" s="18" t="n">
        <f aca="false">IFERROR(100*R10/K10,"")</f>
        <v>0.0335753384960264</v>
      </c>
      <c r="AJ10" s="18" t="n">
        <f aca="false">IF(T10&gt;0,100*S10/T10,"")</f>
        <v>13.2297972957237</v>
      </c>
      <c r="AK10" s="18" t="n">
        <f aca="false">IFERROR(100*U10/G10,"")</f>
        <v>0.927240843731989</v>
      </c>
      <c r="AL10" s="18" t="n">
        <f aca="false">IFERROR(100*J10/H10,"")</f>
        <v>86.9085932876828</v>
      </c>
      <c r="AM10" s="18" t="n">
        <f aca="false">IFERROR(100*L10/J10,"")</f>
        <v>90.1720187920384</v>
      </c>
      <c r="AN10" s="18" t="n">
        <f aca="false">IFERROR(100*M10/J10,"")</f>
        <v>8.41522243624833</v>
      </c>
      <c r="AO10" s="18" t="n">
        <f aca="false">IFERROR(100*N10/J10,"")</f>
        <v>0.482592268261479</v>
      </c>
    </row>
    <row r="11" customFormat="false" ht="15" hidden="false" customHeight="false" outlineLevel="0" collapsed="false">
      <c r="A11" s="17" t="n">
        <v>4255</v>
      </c>
      <c r="B11" s="23" t="n">
        <v>45199</v>
      </c>
      <c r="C11" s="17" t="s">
        <v>126</v>
      </c>
      <c r="D11" s="17" t="s">
        <v>108</v>
      </c>
      <c r="E11" s="17" t="s">
        <v>109</v>
      </c>
      <c r="F11" s="17" t="n">
        <v>5769551</v>
      </c>
      <c r="G11" s="17" t="n">
        <v>5718461.25</v>
      </c>
      <c r="H11" s="17" t="n">
        <v>4715626</v>
      </c>
      <c r="I11" s="17" t="n">
        <v>473807</v>
      </c>
      <c r="J11" s="17" t="n">
        <v>4069600</v>
      </c>
      <c r="K11" s="17" t="n">
        <v>4068746.75</v>
      </c>
      <c r="L11" s="17" t="n">
        <v>3692040</v>
      </c>
      <c r="M11" s="17" t="n">
        <v>329244</v>
      </c>
      <c r="N11" s="17" t="n">
        <v>19312</v>
      </c>
      <c r="O11" s="17" t="n">
        <v>4624</v>
      </c>
      <c r="P11" s="17" t="n">
        <v>3802</v>
      </c>
      <c r="Q11" s="17" t="n">
        <v>0</v>
      </c>
      <c r="R11" s="17" t="n">
        <v>1070.6399</v>
      </c>
      <c r="S11" s="17" t="n">
        <v>544093</v>
      </c>
      <c r="T11" s="17" t="n">
        <v>4036340</v>
      </c>
      <c r="U11" s="17" t="n">
        <v>49089.4394</v>
      </c>
      <c r="V11" s="17" t="n">
        <v>0.858437912821391</v>
      </c>
      <c r="W11" s="17" t="n">
        <v>10.4</v>
      </c>
      <c r="X11" s="17" t="n">
        <v>2.56474515514667</v>
      </c>
      <c r="Y11" s="17" t="n">
        <v>0.894608806762336</v>
      </c>
      <c r="Z11" s="17" t="n">
        <v>13.4798604676514</v>
      </c>
      <c r="AA11" s="17" t="n">
        <v>8.21219883488334</v>
      </c>
      <c r="AB11" s="17" t="n">
        <v>4.14383943055421</v>
      </c>
      <c r="AC11" s="17" t="n">
        <v>5.28524368944372</v>
      </c>
      <c r="AD11" s="17" t="n">
        <v>2.4029244911804</v>
      </c>
      <c r="AE11" s="17" t="n">
        <v>-0.309278517873554</v>
      </c>
      <c r="AF11" s="17" t="n">
        <v>0.0302349843123872</v>
      </c>
      <c r="AG11" s="18" t="n">
        <f aca="false">IFERROR(100*O11/F11,"")</f>
        <v>0.08014488475793</v>
      </c>
      <c r="AH11" s="18" t="n">
        <f aca="false">IFERROR(100*(P11+Q11)/F11,"")</f>
        <v>0.0658976755730212</v>
      </c>
      <c r="AI11" s="18" t="n">
        <f aca="false">IFERROR(100*R11/K11,"")</f>
        <v>0.0263137512798013</v>
      </c>
      <c r="AJ11" s="18" t="n">
        <f aca="false">IF(T11&gt;0,100*S11/T11,"")</f>
        <v>13.4798604676514</v>
      </c>
      <c r="AK11" s="18" t="n">
        <f aca="false">IFERROR(100*U11/G11,"")</f>
        <v>0.858437912821391</v>
      </c>
      <c r="AL11" s="18" t="n">
        <f aca="false">IFERROR(100*J11/H11,"")</f>
        <v>86.3003130443339</v>
      </c>
      <c r="AM11" s="18" t="n">
        <f aca="false">IFERROR(100*L11/J11,"")</f>
        <v>90.7224297228229</v>
      </c>
      <c r="AN11" s="18" t="n">
        <f aca="false">IFERROR(100*M11/J11,"")</f>
        <v>8.09032828779241</v>
      </c>
      <c r="AO11" s="18" t="n">
        <f aca="false">IFERROR(100*N11/J11,"")</f>
        <v>0.474542952624337</v>
      </c>
    </row>
    <row r="12" customFormat="false" ht="15" hidden="false" customHeight="false" outlineLevel="0" collapsed="false">
      <c r="A12" s="17" t="n">
        <v>4255</v>
      </c>
      <c r="B12" s="23" t="n">
        <v>45291</v>
      </c>
      <c r="C12" s="17" t="s">
        <v>126</v>
      </c>
      <c r="D12" s="17" t="s">
        <v>108</v>
      </c>
      <c r="E12" s="17" t="s">
        <v>109</v>
      </c>
      <c r="F12" s="17" t="n">
        <v>5700364</v>
      </c>
      <c r="G12" s="17" t="n">
        <v>5714841.8</v>
      </c>
      <c r="H12" s="17" t="n">
        <v>4632579</v>
      </c>
      <c r="I12" s="17" t="n">
        <v>508674</v>
      </c>
      <c r="J12" s="17" t="n">
        <v>4108414</v>
      </c>
      <c r="K12" s="17" t="n">
        <v>4076680.2</v>
      </c>
      <c r="L12" s="17" t="n">
        <v>3717758</v>
      </c>
      <c r="M12" s="17" t="n">
        <v>335214</v>
      </c>
      <c r="N12" s="17" t="n">
        <v>18237</v>
      </c>
      <c r="O12" s="17" t="n">
        <v>5448</v>
      </c>
      <c r="P12" s="17" t="n">
        <v>4959</v>
      </c>
      <c r="Q12" s="17" t="n">
        <v>0</v>
      </c>
      <c r="R12" s="17" t="n">
        <v>1161</v>
      </c>
      <c r="S12" s="17" t="n">
        <v>549221</v>
      </c>
      <c r="T12" s="17" t="n">
        <v>4009591</v>
      </c>
      <c r="U12" s="17" t="n">
        <v>45889</v>
      </c>
      <c r="V12" s="17" t="n">
        <v>0.80297935806377</v>
      </c>
      <c r="W12" s="17" t="n">
        <v>9.57</v>
      </c>
      <c r="X12" s="17" t="n">
        <v>2.55844446697609</v>
      </c>
      <c r="Y12" s="17" t="n">
        <v>0.899008717232489</v>
      </c>
      <c r="Z12" s="17" t="n">
        <v>13.6976813844604</v>
      </c>
      <c r="AA12" s="17" t="n">
        <v>8.92353540931772</v>
      </c>
      <c r="AB12" s="17" t="n">
        <v>0.66944437723766</v>
      </c>
      <c r="AC12" s="17" t="n">
        <v>2.31260972967589</v>
      </c>
      <c r="AD12" s="17" t="n">
        <v>-4.81663774744428</v>
      </c>
      <c r="AE12" s="17" t="n">
        <v>-0.355639143346906</v>
      </c>
      <c r="AF12" s="17" t="n">
        <v>0.0427512509495327</v>
      </c>
      <c r="AG12" s="18" t="n">
        <f aca="false">IFERROR(100*O12/F12,"")</f>
        <v>0.0955728441201299</v>
      </c>
      <c r="AH12" s="18" t="n">
        <f aca="false">IFERROR(100*(P12+Q12)/F12,"")</f>
        <v>0.0869944445652944</v>
      </c>
      <c r="AI12" s="18" t="n">
        <f aca="false">IFERROR(100*R12/K12,"")</f>
        <v>0.0284790550899725</v>
      </c>
      <c r="AJ12" s="18" t="n">
        <f aca="false">IF(T12&gt;0,100*S12/T12,"")</f>
        <v>13.6976813844604</v>
      </c>
      <c r="AK12" s="18" t="n">
        <f aca="false">IFERROR(100*U12/G12,"")</f>
        <v>0.80297935806377</v>
      </c>
      <c r="AL12" s="18" t="n">
        <f aca="false">IFERROR(100*J12/H12,"")</f>
        <v>88.685244223574</v>
      </c>
      <c r="AM12" s="18" t="n">
        <f aca="false">IFERROR(100*L12/J12,"")</f>
        <v>90.4913185477413</v>
      </c>
      <c r="AN12" s="18" t="n">
        <f aca="false">IFERROR(100*M12/J12,"")</f>
        <v>8.15920693484152</v>
      </c>
      <c r="AO12" s="18" t="n">
        <f aca="false">IFERROR(100*N12/J12,"")</f>
        <v>0.443893921109216</v>
      </c>
    </row>
    <row r="13" customFormat="false" ht="15" hidden="false" customHeight="false" outlineLevel="0" collapsed="false">
      <c r="A13" s="17" t="n">
        <v>4255</v>
      </c>
      <c r="B13" s="23" t="n">
        <v>45382</v>
      </c>
      <c r="C13" s="17" t="s">
        <v>126</v>
      </c>
      <c r="D13" s="17" t="s">
        <v>108</v>
      </c>
      <c r="E13" s="17" t="s">
        <v>109</v>
      </c>
      <c r="F13" s="17" t="n">
        <v>5784624</v>
      </c>
      <c r="G13" s="17" t="n">
        <v>5742494</v>
      </c>
      <c r="H13" s="17" t="n">
        <v>4586176</v>
      </c>
      <c r="I13" s="17" t="n">
        <v>514258</v>
      </c>
      <c r="J13" s="17" t="n">
        <v>4130564</v>
      </c>
      <c r="K13" s="17" t="n">
        <v>4119489</v>
      </c>
      <c r="L13" s="17" t="n">
        <v>3749893</v>
      </c>
      <c r="M13" s="17" t="n">
        <v>330311</v>
      </c>
      <c r="N13" s="17" t="n">
        <v>17653</v>
      </c>
      <c r="O13" s="17" t="n">
        <v>5658</v>
      </c>
      <c r="P13" s="17" t="n">
        <v>2044</v>
      </c>
      <c r="Q13" s="17" t="n">
        <v>0</v>
      </c>
      <c r="R13" s="17" t="n">
        <v>632</v>
      </c>
      <c r="S13" s="17" t="n">
        <v>556065</v>
      </c>
      <c r="T13" s="17" t="n">
        <v>4015943</v>
      </c>
      <c r="U13" s="17" t="n">
        <v>55424</v>
      </c>
      <c r="V13" s="17" t="n">
        <v>0.965155557846469</v>
      </c>
      <c r="W13" s="17" t="n">
        <v>10.84</v>
      </c>
      <c r="X13" s="17" t="n">
        <v>2.41335932567702</v>
      </c>
      <c r="Y13" s="17" t="n">
        <v>0.862182500985338</v>
      </c>
      <c r="Z13" s="17" t="n">
        <v>13.8464365654592</v>
      </c>
      <c r="AA13" s="17" t="n">
        <v>8.89008516370295</v>
      </c>
      <c r="AB13" s="17" t="n">
        <v>1.35305042576304</v>
      </c>
      <c r="AC13" s="17" t="n">
        <v>1.29716235006756</v>
      </c>
      <c r="AD13" s="17" t="n">
        <v>-2.05779649604178</v>
      </c>
      <c r="AE13" s="17" t="n">
        <v>0.0273073509604895</v>
      </c>
      <c r="AF13" s="17" t="n">
        <v>0.0459835724570159</v>
      </c>
      <c r="AG13" s="18" t="n">
        <f aca="false">IFERROR(100*O13/F13,"")</f>
        <v>0.097811024536772</v>
      </c>
      <c r="AH13" s="18" t="n">
        <f aca="false">IFERROR(100*(P13+Q13)/F13,"")</f>
        <v>0.0353350537563029</v>
      </c>
      <c r="AI13" s="18" t="n">
        <f aca="false">IFERROR(100*R13/K13,"")</f>
        <v>0.0153417086439605</v>
      </c>
      <c r="AJ13" s="18" t="n">
        <f aca="false">IF(T13&gt;0,100*S13/T13,"")</f>
        <v>13.8464365654592</v>
      </c>
      <c r="AK13" s="18" t="n">
        <f aca="false">IFERROR(100*U13/G13,"")</f>
        <v>0.965155557846469</v>
      </c>
      <c r="AL13" s="18" t="n">
        <f aca="false">IFERROR(100*J13/H13,"")</f>
        <v>90.065536080604</v>
      </c>
      <c r="AM13" s="18" t="n">
        <f aca="false">IFERROR(100*L13/J13,"")</f>
        <v>90.7840430507795</v>
      </c>
      <c r="AN13" s="18" t="n">
        <f aca="false">IFERROR(100*M13/J13,"")</f>
        <v>7.9967529857908</v>
      </c>
      <c r="AO13" s="18" t="n">
        <f aca="false">IFERROR(100*N13/J13,"")</f>
        <v>0.427375050961564</v>
      </c>
    </row>
    <row r="14" customFormat="false" ht="15" hidden="false" customHeight="false" outlineLevel="0" collapsed="false">
      <c r="A14" s="17" t="n">
        <v>4255</v>
      </c>
      <c r="B14" s="23" t="n">
        <v>45473</v>
      </c>
      <c r="C14" s="17" t="s">
        <v>126</v>
      </c>
      <c r="D14" s="17" t="s">
        <v>108</v>
      </c>
      <c r="E14" s="17" t="s">
        <v>109</v>
      </c>
      <c r="F14" s="17" t="n">
        <v>5709625</v>
      </c>
      <c r="G14" s="17" t="n">
        <v>5731537.66666667</v>
      </c>
      <c r="H14" s="17" t="n">
        <v>4547560</v>
      </c>
      <c r="I14" s="17" t="n">
        <v>521498</v>
      </c>
      <c r="J14" s="17" t="n">
        <v>4153682</v>
      </c>
      <c r="K14" s="17" t="n">
        <v>4130886.66666667</v>
      </c>
      <c r="L14" s="17" t="n">
        <v>3763309</v>
      </c>
      <c r="M14" s="17" t="n">
        <v>336171</v>
      </c>
      <c r="N14" s="17" t="n">
        <v>16595</v>
      </c>
      <c r="O14" s="17" t="n">
        <v>7795</v>
      </c>
      <c r="P14" s="17" t="n">
        <v>2245</v>
      </c>
      <c r="Q14" s="17" t="n">
        <v>0</v>
      </c>
      <c r="R14" s="17" t="n">
        <v>1094</v>
      </c>
      <c r="S14" s="17" t="n">
        <v>562313</v>
      </c>
      <c r="T14" s="17" t="n">
        <v>4065707</v>
      </c>
      <c r="U14" s="17" t="n">
        <v>53006</v>
      </c>
      <c r="V14" s="17" t="n">
        <v>0.924812905065092</v>
      </c>
      <c r="W14" s="17" t="n">
        <v>10.3</v>
      </c>
      <c r="X14" s="17" t="n">
        <v>2.45330570465421</v>
      </c>
      <c r="Y14" s="17" t="n">
        <v>0.852544802418673</v>
      </c>
      <c r="Z14" s="17" t="n">
        <v>13.8306326550339</v>
      </c>
      <c r="AA14" s="17" t="n">
        <v>9.13366464522626</v>
      </c>
      <c r="AB14" s="17" t="n">
        <v>-0.432684150161555</v>
      </c>
      <c r="AC14" s="17" t="n">
        <v>1.0095650298249</v>
      </c>
      <c r="AD14" s="17" t="n">
        <v>-3.88959337222081</v>
      </c>
      <c r="AE14" s="17" t="n">
        <v>-0.00242793866689695</v>
      </c>
      <c r="AF14" s="17" t="n">
        <v>0.0833712934369057</v>
      </c>
      <c r="AG14" s="18" t="n">
        <f aca="false">IFERROR(100*O14/F14,"")</f>
        <v>0.136523852267005</v>
      </c>
      <c r="AH14" s="18" t="n">
        <f aca="false">IFERROR(100*(P14+Q14)/F14,"")</f>
        <v>0.0393195700243011</v>
      </c>
      <c r="AI14" s="18" t="n">
        <f aca="false">IFERROR(100*R14/K14,"")</f>
        <v>0.0264834184105753</v>
      </c>
      <c r="AJ14" s="18" t="n">
        <f aca="false">IF(T14&gt;0,100*S14/T14,"")</f>
        <v>13.8306326550339</v>
      </c>
      <c r="AK14" s="18" t="n">
        <f aca="false">IFERROR(100*U14/G14,"")</f>
        <v>0.924812905065092</v>
      </c>
      <c r="AL14" s="18" t="n">
        <f aca="false">IFERROR(100*J14/H14,"")</f>
        <v>91.3386959160517</v>
      </c>
      <c r="AM14" s="18" t="n">
        <f aca="false">IFERROR(100*L14/J14,"")</f>
        <v>90.6017600769631</v>
      </c>
      <c r="AN14" s="18" t="n">
        <f aca="false">IFERROR(100*M14/J14,"")</f>
        <v>8.09332539178493</v>
      </c>
      <c r="AO14" s="18" t="n">
        <f aca="false">IFERROR(100*N14/J14,"")</f>
        <v>0.399525047897263</v>
      </c>
    </row>
    <row r="15" customFormat="false" ht="15" hidden="false" customHeight="false" outlineLevel="0" collapsed="false">
      <c r="A15" s="17" t="n">
        <v>4255</v>
      </c>
      <c r="B15" s="23" t="n">
        <v>45565</v>
      </c>
      <c r="C15" s="17" t="s">
        <v>126</v>
      </c>
      <c r="D15" s="17" t="s">
        <v>108</v>
      </c>
      <c r="E15" s="17" t="s">
        <v>109</v>
      </c>
      <c r="F15" s="17" t="n">
        <v>5730254</v>
      </c>
      <c r="G15" s="17" t="n">
        <v>5731216.75</v>
      </c>
      <c r="H15" s="17" t="n">
        <v>4609875</v>
      </c>
      <c r="I15" s="17" t="n">
        <v>543598</v>
      </c>
      <c r="J15" s="17" t="n">
        <v>4128435</v>
      </c>
      <c r="K15" s="17" t="n">
        <v>4130273.75</v>
      </c>
      <c r="L15" s="17" t="n">
        <v>3753732</v>
      </c>
      <c r="M15" s="17" t="n">
        <v>319799</v>
      </c>
      <c r="N15" s="17" t="n">
        <v>16003</v>
      </c>
      <c r="O15" s="17" t="n">
        <v>5350</v>
      </c>
      <c r="P15" s="17" t="n">
        <v>1391</v>
      </c>
      <c r="Q15" s="17" t="n">
        <v>0</v>
      </c>
      <c r="R15" s="17" t="n">
        <v>1103.9724</v>
      </c>
      <c r="S15" s="17" t="n">
        <v>569146</v>
      </c>
      <c r="T15" s="17" t="n">
        <v>4011821</v>
      </c>
      <c r="U15" s="17" t="n">
        <v>53517.3287</v>
      </c>
      <c r="V15" s="17" t="n">
        <v>0.9337865070275</v>
      </c>
      <c r="W15" s="17" t="n">
        <v>10.25</v>
      </c>
      <c r="X15" s="17" t="n">
        <v>2.49933669790916</v>
      </c>
      <c r="Y15" s="17" t="n">
        <v>0.857806892926739</v>
      </c>
      <c r="Z15" s="17" t="n">
        <v>14.1867246818839</v>
      </c>
      <c r="AA15" s="17" t="n">
        <v>9.48645557422062</v>
      </c>
      <c r="AB15" s="17" t="n">
        <v>-0.681110193843504</v>
      </c>
      <c r="AC15" s="17" t="n">
        <v>1.44571948103007</v>
      </c>
      <c r="AD15" s="17" t="n">
        <v>-2.24256546214648</v>
      </c>
      <c r="AE15" s="17" t="n">
        <v>0.0753485942061094</v>
      </c>
      <c r="AF15" s="17" t="n">
        <v>0.0132192139364734</v>
      </c>
      <c r="AG15" s="18" t="n">
        <f aca="false">IFERROR(100*O15/F15,"")</f>
        <v>0.0933640986944034</v>
      </c>
      <c r="AH15" s="18" t="n">
        <f aca="false">IFERROR(100*(P15+Q15)/F15,"")</f>
        <v>0.0242746656605449</v>
      </c>
      <c r="AI15" s="18" t="n">
        <f aca="false">IFERROR(100*R15/K15,"")</f>
        <v>0.0267287949134122</v>
      </c>
      <c r="AJ15" s="18" t="n">
        <f aca="false">IF(T15&gt;0,100*S15/T15,"")</f>
        <v>14.1867246818839</v>
      </c>
      <c r="AK15" s="18" t="n">
        <f aca="false">IFERROR(100*U15/G15,"")</f>
        <v>0.9337865070275</v>
      </c>
      <c r="AL15" s="18" t="n">
        <f aca="false">IFERROR(100*J15/H15,"")</f>
        <v>89.5563328723664</v>
      </c>
      <c r="AM15" s="18" t="n">
        <f aca="false">IFERROR(100*L15/J15,"")</f>
        <v>90.9238488676702</v>
      </c>
      <c r="AN15" s="18" t="n">
        <f aca="false">IFERROR(100*M15/J15,"")</f>
        <v>7.74625251457271</v>
      </c>
      <c r="AO15" s="18" t="n">
        <f aca="false">IFERROR(100*N15/J15,"")</f>
        <v>0.387628726139566</v>
      </c>
    </row>
    <row r="16" customFormat="false" ht="15" hidden="false" customHeight="false" outlineLevel="0" collapsed="false">
      <c r="A16" s="17" t="n">
        <v>4255</v>
      </c>
      <c r="B16" s="23" t="n">
        <v>45657</v>
      </c>
      <c r="C16" s="17" t="s">
        <v>126</v>
      </c>
      <c r="D16" s="17" t="s">
        <v>108</v>
      </c>
      <c r="E16" s="17" t="s">
        <v>109</v>
      </c>
      <c r="F16" s="17" t="n">
        <v>5790238</v>
      </c>
      <c r="G16" s="17" t="n">
        <v>5743021</v>
      </c>
      <c r="H16" s="17" t="n">
        <v>4671726</v>
      </c>
      <c r="I16" s="17" t="n">
        <v>539279</v>
      </c>
      <c r="J16" s="17" t="n">
        <v>4126308</v>
      </c>
      <c r="K16" s="17" t="n">
        <v>4129480.6</v>
      </c>
      <c r="L16" s="17" t="n">
        <v>3755741</v>
      </c>
      <c r="M16" s="17" t="n">
        <v>317650</v>
      </c>
      <c r="N16" s="17" t="n">
        <v>15066</v>
      </c>
      <c r="O16" s="17" t="n">
        <v>4829</v>
      </c>
      <c r="P16" s="17" t="n">
        <v>2261</v>
      </c>
      <c r="Q16" s="17" t="n">
        <v>0</v>
      </c>
      <c r="R16" s="17" t="n">
        <v>1260</v>
      </c>
      <c r="S16" s="17" t="n">
        <v>575209</v>
      </c>
      <c r="T16" s="17" t="n">
        <v>4004753</v>
      </c>
      <c r="U16" s="17" t="n">
        <v>55486</v>
      </c>
      <c r="V16" s="17" t="n">
        <v>0.966146562932645</v>
      </c>
      <c r="W16" s="17" t="n">
        <v>10.56</v>
      </c>
      <c r="X16" s="17" t="n">
        <v>2.55088080553464</v>
      </c>
      <c r="Y16" s="17" t="n">
        <v>0.865858777386467</v>
      </c>
      <c r="Z16" s="17" t="n">
        <v>14.3631579775332</v>
      </c>
      <c r="AA16" s="17" t="n">
        <v>9.31358952775344</v>
      </c>
      <c r="AB16" s="17" t="n">
        <v>1.57663615867338</v>
      </c>
      <c r="AC16" s="17" t="n">
        <v>0.435545200654075</v>
      </c>
      <c r="AD16" s="17" t="n">
        <v>0.845036857439463</v>
      </c>
      <c r="AE16" s="17" t="n">
        <v>0.163167204868875</v>
      </c>
      <c r="AF16" s="17" t="n">
        <v>-0.012173854303131</v>
      </c>
      <c r="AG16" s="18" t="n">
        <f aca="false">IFERROR(100*O16/F16,"")</f>
        <v>0.0833989898169989</v>
      </c>
      <c r="AH16" s="18" t="n">
        <f aca="false">IFERROR(100*(P16+Q16)/F16,"")</f>
        <v>0.0390484812541384</v>
      </c>
      <c r="AI16" s="18" t="n">
        <f aca="false">IFERROR(100*R16/K16,"")</f>
        <v>0.0305123118873594</v>
      </c>
      <c r="AJ16" s="18" t="n">
        <f aca="false">IF(T16&gt;0,100*S16/T16,"")</f>
        <v>14.3631579775332</v>
      </c>
      <c r="AK16" s="18" t="n">
        <f aca="false">IFERROR(100*U16/G16,"")</f>
        <v>0.966146562932645</v>
      </c>
      <c r="AL16" s="18" t="n">
        <f aca="false">IFERROR(100*J16/H16,"")</f>
        <v>88.3251286569461</v>
      </c>
      <c r="AM16" s="18" t="n">
        <f aca="false">IFERROR(100*L16/J16,"")</f>
        <v>91.019405240714</v>
      </c>
      <c r="AN16" s="18" t="n">
        <f aca="false">IFERROR(100*M16/J16,"")</f>
        <v>7.69816504245442</v>
      </c>
      <c r="AO16" s="18" t="n">
        <f aca="false">IFERROR(100*N16/J16,"")</f>
        <v>0.365120587217435</v>
      </c>
    </row>
    <row r="17" customFormat="false" ht="15" hidden="false" customHeight="false" outlineLevel="0" collapsed="false">
      <c r="A17" s="17" t="n">
        <v>4255</v>
      </c>
      <c r="B17" s="23" t="n">
        <v>45747</v>
      </c>
      <c r="C17" s="17" t="s">
        <v>126</v>
      </c>
      <c r="D17" s="17" t="s">
        <v>108</v>
      </c>
      <c r="E17" s="17" t="s">
        <v>109</v>
      </c>
      <c r="F17" s="17" t="n">
        <v>6948167</v>
      </c>
      <c r="G17" s="17" t="n">
        <v>6369202.5</v>
      </c>
      <c r="H17" s="17" t="n">
        <v>5632856</v>
      </c>
      <c r="I17" s="17" t="n">
        <v>671520</v>
      </c>
      <c r="J17" s="17" t="n">
        <v>4896145</v>
      </c>
      <c r="K17" s="17" t="n">
        <v>4511226.5</v>
      </c>
      <c r="L17" s="17" t="n">
        <v>4419349</v>
      </c>
      <c r="M17" s="17" t="n">
        <v>341292</v>
      </c>
      <c r="N17" s="17" t="n">
        <v>24145</v>
      </c>
      <c r="O17" s="17" t="n">
        <v>7251</v>
      </c>
      <c r="P17" s="17" t="n">
        <v>3341</v>
      </c>
      <c r="Q17" s="17" t="n">
        <v>0</v>
      </c>
      <c r="R17" s="17" t="n">
        <v>3796</v>
      </c>
      <c r="S17" s="17" t="n">
        <v>602259</v>
      </c>
      <c r="T17" s="17" t="n">
        <v>4797535</v>
      </c>
      <c r="U17" s="17" t="n">
        <v>33456</v>
      </c>
      <c r="V17" s="17" t="n">
        <v>0.525277693714401</v>
      </c>
      <c r="W17" s="17" t="n">
        <v>5.53</v>
      </c>
      <c r="X17" s="17" t="n">
        <v>3.41551381015869</v>
      </c>
      <c r="Y17" s="17" t="n">
        <v>0.954281378513096</v>
      </c>
      <c r="Z17" s="17" t="n">
        <v>12.5535092500628</v>
      </c>
      <c r="AA17" s="17" t="n">
        <v>9.66470725300644</v>
      </c>
      <c r="AB17" s="17" t="n">
        <v>20.1144102019423</v>
      </c>
      <c r="AC17" s="17" t="n">
        <v>18.5345391089449</v>
      </c>
      <c r="AD17" s="17" t="n">
        <v>22.822499616238</v>
      </c>
      <c r="AE17" s="17" t="n">
        <v>-0.439877864132068</v>
      </c>
      <c r="AF17" s="17" t="n">
        <v>0.00654743432007474</v>
      </c>
      <c r="AG17" s="18" t="n">
        <f aca="false">IFERROR(100*O17/F17,"")</f>
        <v>0.104358458856847</v>
      </c>
      <c r="AH17" s="18" t="n">
        <f aca="false">IFERROR(100*(P17+Q17)/F17,"")</f>
        <v>0.0480846243332954</v>
      </c>
      <c r="AI17" s="18" t="n">
        <f aca="false">IFERROR(100*R17/K17,"")</f>
        <v>0.0841456309054755</v>
      </c>
      <c r="AJ17" s="18" t="n">
        <f aca="false">IF(T17&gt;0,100*S17/T17,"")</f>
        <v>12.5535092500628</v>
      </c>
      <c r="AK17" s="18" t="n">
        <f aca="false">IFERROR(100*U17/G17,"")</f>
        <v>0.525277693714402</v>
      </c>
      <c r="AL17" s="18" t="n">
        <f aca="false">IFERROR(100*J17/H17,"")</f>
        <v>86.9211817238005</v>
      </c>
      <c r="AM17" s="18" t="n">
        <f aca="false">IFERROR(100*L17/J17,"")</f>
        <v>90.2618080142643</v>
      </c>
      <c r="AN17" s="18" t="n">
        <f aca="false">IFERROR(100*M17/J17,"")</f>
        <v>6.97062689115621</v>
      </c>
      <c r="AO17" s="18" t="n">
        <f aca="false">IFERROR(100*N17/J17,"")</f>
        <v>0.493143074806812</v>
      </c>
    </row>
    <row r="18" customFormat="false" ht="15" hidden="false" customHeight="false" outlineLevel="0" collapsed="false">
      <c r="A18" s="17" t="n">
        <v>4255</v>
      </c>
      <c r="B18" s="23" t="n">
        <v>45838</v>
      </c>
      <c r="C18" s="17" t="s">
        <v>126</v>
      </c>
      <c r="D18" s="17" t="s">
        <v>108</v>
      </c>
      <c r="E18" s="17" t="s">
        <v>109</v>
      </c>
      <c r="F18" s="17" t="n">
        <v>6902692</v>
      </c>
      <c r="G18" s="17" t="n">
        <v>6547032.33333333</v>
      </c>
      <c r="H18" s="17" t="n">
        <v>5545916</v>
      </c>
      <c r="I18" s="17" t="n">
        <v>687541</v>
      </c>
      <c r="J18" s="17" t="n">
        <v>4953936</v>
      </c>
      <c r="K18" s="17" t="n">
        <v>4658796.33333333</v>
      </c>
      <c r="L18" s="17" t="n">
        <v>4456325</v>
      </c>
      <c r="M18" s="17" t="n">
        <v>341829</v>
      </c>
      <c r="N18" s="17" t="n">
        <v>23213</v>
      </c>
      <c r="O18" s="17" t="n">
        <v>18177</v>
      </c>
      <c r="P18" s="17" t="n">
        <v>4114</v>
      </c>
      <c r="Q18" s="17" t="n">
        <v>0</v>
      </c>
      <c r="R18" s="17" t="n">
        <v>2492</v>
      </c>
      <c r="S18" s="17" t="n">
        <v>620620</v>
      </c>
      <c r="T18" s="17" t="n">
        <v>4828252</v>
      </c>
      <c r="U18" s="17" t="n">
        <v>47078</v>
      </c>
      <c r="V18" s="17" t="n">
        <v>0.719073888795519</v>
      </c>
      <c r="W18" s="17" t="n">
        <v>7.44</v>
      </c>
      <c r="X18" s="17" t="n">
        <v>3.34318547116715</v>
      </c>
      <c r="Y18" s="17" t="n">
        <v>1.07030046411581</v>
      </c>
      <c r="Z18" s="17" t="n">
        <v>12.8539272598033</v>
      </c>
      <c r="AA18" s="17" t="n">
        <v>9.96047628954037</v>
      </c>
      <c r="AB18" s="17" t="n">
        <v>20.8957155680102</v>
      </c>
      <c r="AC18" s="17" t="n">
        <v>19.2661354432044</v>
      </c>
      <c r="AD18" s="17" t="n">
        <v>21.9536630632691</v>
      </c>
      <c r="AE18" s="17" t="n">
        <v>-0.205739016269573</v>
      </c>
      <c r="AF18" s="17" t="n">
        <v>0.126808192680097</v>
      </c>
      <c r="AG18" s="18" t="n">
        <f aca="false">IFERROR(100*O18/F18,"")</f>
        <v>0.263332044947102</v>
      </c>
      <c r="AH18" s="18" t="n">
        <f aca="false">IFERROR(100*(P18+Q18)/F18,"")</f>
        <v>0.0595999357931659</v>
      </c>
      <c r="AI18" s="18" t="n">
        <f aca="false">IFERROR(100*R18/K18,"")</f>
        <v>0.0534902112412584</v>
      </c>
      <c r="AJ18" s="18" t="n">
        <f aca="false">IF(T18&gt;0,100*S18/T18,"")</f>
        <v>12.8539272598033</v>
      </c>
      <c r="AK18" s="18" t="n">
        <f aca="false">IFERROR(100*U18/G18,"")</f>
        <v>0.719073888795519</v>
      </c>
      <c r="AL18" s="18" t="n">
        <f aca="false">IFERROR(100*J18/H18,"")</f>
        <v>89.3258390498522</v>
      </c>
      <c r="AM18" s="18" t="n">
        <f aca="false">IFERROR(100*L18/J18,"")</f>
        <v>89.9552396316787</v>
      </c>
      <c r="AN18" s="18" t="n">
        <f aca="false">IFERROR(100*M18/J18,"")</f>
        <v>6.90014969914831</v>
      </c>
      <c r="AO18" s="18" t="n">
        <f aca="false">IFERROR(100*N18/J18,"")</f>
        <v>0.46857690531327</v>
      </c>
    </row>
    <row r="19" customFormat="false" ht="15" hidden="false" customHeight="false" outlineLevel="0" collapsed="false">
      <c r="A19" s="17" t="n">
        <v>4256</v>
      </c>
      <c r="B19" s="23" t="n">
        <v>44651</v>
      </c>
      <c r="C19" s="17" t="s">
        <v>135</v>
      </c>
      <c r="D19" s="17" t="s">
        <v>108</v>
      </c>
      <c r="E19" s="17" t="s">
        <v>114</v>
      </c>
      <c r="F19" s="17" t="n">
        <v>2514032</v>
      </c>
      <c r="G19" s="17" t="n">
        <v>2505113</v>
      </c>
      <c r="H19" s="17" t="n">
        <v>2159436</v>
      </c>
      <c r="I19" s="17" t="n">
        <v>204756</v>
      </c>
      <c r="J19" s="17" t="n">
        <v>1707748</v>
      </c>
      <c r="K19" s="17" t="n">
        <v>1678116</v>
      </c>
      <c r="L19" s="17" t="n">
        <v>1367138</v>
      </c>
      <c r="M19" s="17" t="n">
        <v>226654</v>
      </c>
      <c r="N19" s="17" t="n">
        <v>22077</v>
      </c>
      <c r="O19" s="17" t="n">
        <v>5049</v>
      </c>
      <c r="P19" s="17" t="n">
        <v>892</v>
      </c>
      <c r="Q19" s="17" t="n">
        <v>46</v>
      </c>
      <c r="R19" s="17" t="n">
        <v>820</v>
      </c>
      <c r="S19" s="17" t="n">
        <v>237307</v>
      </c>
      <c r="T19" s="17" t="n">
        <v>1694438</v>
      </c>
      <c r="U19" s="17" t="n">
        <v>39596</v>
      </c>
      <c r="V19" s="17" t="n">
        <v>1.58060734186442</v>
      </c>
      <c r="W19" s="17" t="n">
        <v>18.79</v>
      </c>
      <c r="X19" s="17" t="n">
        <v>3.15768402829308</v>
      </c>
      <c r="Y19" s="17" t="n">
        <v>0.923204126135706</v>
      </c>
      <c r="Z19" s="17" t="n">
        <v>14.0050565438216</v>
      </c>
      <c r="AA19" s="17" t="n">
        <v>8.14452640220968</v>
      </c>
      <c r="AB19" s="17"/>
      <c r="AC19" s="17"/>
      <c r="AD19" s="17"/>
      <c r="AE19" s="17"/>
      <c r="AF19" s="17"/>
      <c r="AG19" s="18" t="n">
        <f aca="false">IFERROR(100*O19/F19,"")</f>
        <v>0.200832765851827</v>
      </c>
      <c r="AH19" s="18" t="n">
        <f aca="false">IFERROR(100*(P19+Q19)/F19,"")</f>
        <v>0.037310583158846</v>
      </c>
      <c r="AI19" s="18" t="n">
        <f aca="false">IFERROR(100*R19/K19,"")</f>
        <v>0.0488643216559523</v>
      </c>
      <c r="AJ19" s="18" t="n">
        <f aca="false">IF(T19&gt;0,100*S19/T19,"")</f>
        <v>14.0050565438216</v>
      </c>
      <c r="AK19" s="18" t="n">
        <f aca="false">IFERROR(100*U19/G19,"")</f>
        <v>1.58060734186442</v>
      </c>
      <c r="AL19" s="18" t="n">
        <f aca="false">IFERROR(100*J19/H19,"")</f>
        <v>79.0830568722574</v>
      </c>
      <c r="AM19" s="18" t="n">
        <f aca="false">IFERROR(100*L19/J19,"")</f>
        <v>80.0550198272813</v>
      </c>
      <c r="AN19" s="18" t="n">
        <f aca="false">IFERROR(100*M19/J19,"")</f>
        <v>13.2720986937183</v>
      </c>
      <c r="AO19" s="18" t="n">
        <f aca="false">IFERROR(100*N19/J19,"")</f>
        <v>1.29275513717481</v>
      </c>
    </row>
    <row r="20" customFormat="false" ht="15" hidden="false" customHeight="false" outlineLevel="0" collapsed="false">
      <c r="A20" s="17" t="n">
        <v>4256</v>
      </c>
      <c r="B20" s="23" t="n">
        <v>44742</v>
      </c>
      <c r="C20" s="17" t="s">
        <v>135</v>
      </c>
      <c r="D20" s="17" t="s">
        <v>108</v>
      </c>
      <c r="E20" s="17" t="s">
        <v>114</v>
      </c>
      <c r="F20" s="17" t="n">
        <v>2595799</v>
      </c>
      <c r="G20" s="17" t="n">
        <v>2535341.66666667</v>
      </c>
      <c r="H20" s="17" t="n">
        <v>2252978</v>
      </c>
      <c r="I20" s="17" t="n">
        <v>198923</v>
      </c>
      <c r="J20" s="17" t="n">
        <v>1789044</v>
      </c>
      <c r="K20" s="17" t="n">
        <v>1715092</v>
      </c>
      <c r="L20" s="17" t="n">
        <v>1445139</v>
      </c>
      <c r="M20" s="17" t="n">
        <v>229669</v>
      </c>
      <c r="N20" s="17" t="n">
        <v>21356</v>
      </c>
      <c r="O20" s="17" t="n">
        <v>4812</v>
      </c>
      <c r="P20" s="17" t="n">
        <v>997</v>
      </c>
      <c r="Q20" s="17" t="n">
        <v>76</v>
      </c>
      <c r="R20" s="17" t="n">
        <v>440</v>
      </c>
      <c r="S20" s="17" t="n">
        <v>244510</v>
      </c>
      <c r="T20" s="17" t="n">
        <v>1802624</v>
      </c>
      <c r="U20" s="17" t="n">
        <v>40298</v>
      </c>
      <c r="V20" s="17" t="n">
        <v>1.58945046854303</v>
      </c>
      <c r="W20" s="17" t="n">
        <v>19.49</v>
      </c>
      <c r="X20" s="17" t="n">
        <v>3.13072504237486</v>
      </c>
      <c r="Y20" s="17" t="n">
        <v>0.9055674427236</v>
      </c>
      <c r="Z20" s="17" t="n">
        <v>13.5641154228502</v>
      </c>
      <c r="AA20" s="17" t="n">
        <v>7.66326668590288</v>
      </c>
      <c r="AB20" s="17"/>
      <c r="AC20" s="17"/>
      <c r="AD20" s="17"/>
      <c r="AE20" s="17"/>
      <c r="AF20" s="17"/>
      <c r="AG20" s="18" t="n">
        <f aca="false">IFERROR(100*O20/F20,"")</f>
        <v>0.185376448638743</v>
      </c>
      <c r="AH20" s="18" t="n">
        <f aca="false">IFERROR(100*(P20+Q20)/F20,"")</f>
        <v>0.0413360202388552</v>
      </c>
      <c r="AI20" s="18" t="n">
        <f aca="false">IFERROR(100*R20/K20,"")</f>
        <v>0.0256546004529203</v>
      </c>
      <c r="AJ20" s="18" t="n">
        <f aca="false">IF(T20&gt;0,100*S20/T20,"")</f>
        <v>13.5641154228502</v>
      </c>
      <c r="AK20" s="18" t="n">
        <f aca="false">IFERROR(100*U20/G20,"")</f>
        <v>1.58945046854303</v>
      </c>
      <c r="AL20" s="18" t="n">
        <f aca="false">IFERROR(100*J20/H20,"")</f>
        <v>79.4079658123604</v>
      </c>
      <c r="AM20" s="18" t="n">
        <f aca="false">IFERROR(100*L20/J20,"")</f>
        <v>80.7771636695352</v>
      </c>
      <c r="AN20" s="18" t="n">
        <f aca="false">IFERROR(100*M20/J20,"")</f>
        <v>12.8375266343366</v>
      </c>
      <c r="AO20" s="18" t="n">
        <f aca="false">IFERROR(100*N20/J20,"")</f>
        <v>1.19371016028672</v>
      </c>
    </row>
    <row r="21" customFormat="false" ht="15" hidden="false" customHeight="false" outlineLevel="0" collapsed="false">
      <c r="A21" s="17" t="n">
        <v>4256</v>
      </c>
      <c r="B21" s="23" t="n">
        <v>44834</v>
      </c>
      <c r="C21" s="17" t="s">
        <v>135</v>
      </c>
      <c r="D21" s="17" t="s">
        <v>108</v>
      </c>
      <c r="E21" s="17" t="s">
        <v>114</v>
      </c>
      <c r="F21" s="17" t="n">
        <v>2699877</v>
      </c>
      <c r="G21" s="17" t="n">
        <v>2576475.5</v>
      </c>
      <c r="H21" s="17" t="n">
        <v>2370865</v>
      </c>
      <c r="I21" s="17" t="n">
        <v>191219</v>
      </c>
      <c r="J21" s="17" t="n">
        <v>1857975</v>
      </c>
      <c r="K21" s="17" t="n">
        <v>1750812.75</v>
      </c>
      <c r="L21" s="17" t="n">
        <v>1478344</v>
      </c>
      <c r="M21" s="17" t="n">
        <v>262426</v>
      </c>
      <c r="N21" s="17" t="n">
        <v>20819</v>
      </c>
      <c r="O21" s="17" t="n">
        <v>1860</v>
      </c>
      <c r="P21" s="17" t="n">
        <v>898</v>
      </c>
      <c r="Q21" s="17" t="n">
        <v>0</v>
      </c>
      <c r="R21" s="17" t="n">
        <v>578.6522</v>
      </c>
      <c r="S21" s="17" t="n">
        <v>251516</v>
      </c>
      <c r="T21" s="17" t="n">
        <v>1859742</v>
      </c>
      <c r="U21" s="17" t="n">
        <v>40602.9849</v>
      </c>
      <c r="V21" s="17" t="n">
        <v>1.5759119347341</v>
      </c>
      <c r="W21" s="17" t="n">
        <v>20.01</v>
      </c>
      <c r="X21" s="17" t="n">
        <v>3.11979442771444</v>
      </c>
      <c r="Y21" s="17" t="n">
        <v>0.881981727418292</v>
      </c>
      <c r="Z21" s="17" t="n">
        <v>13.5242415345785</v>
      </c>
      <c r="AA21" s="17" t="n">
        <v>7.08250783276423</v>
      </c>
      <c r="AB21" s="17"/>
      <c r="AC21" s="17"/>
      <c r="AD21" s="17"/>
      <c r="AE21" s="17"/>
      <c r="AF21" s="17"/>
      <c r="AG21" s="18" t="n">
        <f aca="false">IFERROR(100*O21/F21,"")</f>
        <v>0.0688920273034661</v>
      </c>
      <c r="AH21" s="18" t="n">
        <f aca="false">IFERROR(100*(P21+Q21)/F21,"")</f>
        <v>0.0332607744723186</v>
      </c>
      <c r="AI21" s="18" t="n">
        <f aca="false">IFERROR(100*R21/K21,"")</f>
        <v>0.0330504904079548</v>
      </c>
      <c r="AJ21" s="18" t="n">
        <f aca="false">IF(T21&gt;0,100*S21/T21,"")</f>
        <v>13.5242415345785</v>
      </c>
      <c r="AK21" s="18" t="n">
        <f aca="false">IFERROR(100*U21/G21,"")</f>
        <v>1.5759119347341</v>
      </c>
      <c r="AL21" s="18" t="n">
        <f aca="false">IFERROR(100*J21/H21,"")</f>
        <v>78.3669673304891</v>
      </c>
      <c r="AM21" s="18" t="n">
        <f aca="false">IFERROR(100*L21/J21,"")</f>
        <v>79.5674861071866</v>
      </c>
      <c r="AN21" s="18" t="n">
        <f aca="false">IFERROR(100*M21/J21,"")</f>
        <v>14.124301995452</v>
      </c>
      <c r="AO21" s="18" t="n">
        <f aca="false">IFERROR(100*N21/J21,"")</f>
        <v>1.12052099732235</v>
      </c>
    </row>
    <row r="22" customFormat="false" ht="15" hidden="false" customHeight="false" outlineLevel="0" collapsed="false">
      <c r="A22" s="17" t="n">
        <v>4256</v>
      </c>
      <c r="B22" s="23" t="n">
        <v>44926</v>
      </c>
      <c r="C22" s="17" t="s">
        <v>135</v>
      </c>
      <c r="D22" s="17" t="s">
        <v>108</v>
      </c>
      <c r="E22" s="17" t="s">
        <v>114</v>
      </c>
      <c r="F22" s="17" t="n">
        <v>2704047</v>
      </c>
      <c r="G22" s="17" t="n">
        <v>2601989.8</v>
      </c>
      <c r="H22" s="17" t="n">
        <v>2379757</v>
      </c>
      <c r="I22" s="17" t="n">
        <v>200180</v>
      </c>
      <c r="J22" s="17" t="n">
        <v>1914949</v>
      </c>
      <c r="K22" s="17" t="n">
        <v>1783640</v>
      </c>
      <c r="L22" s="17" t="n">
        <v>1533908</v>
      </c>
      <c r="M22" s="17" t="n">
        <v>274364</v>
      </c>
      <c r="N22" s="17" t="n">
        <v>21063</v>
      </c>
      <c r="O22" s="17" t="n">
        <v>1755</v>
      </c>
      <c r="P22" s="17" t="n">
        <v>518</v>
      </c>
      <c r="Q22" s="17" t="n">
        <v>242</v>
      </c>
      <c r="R22" s="17" t="n">
        <v>548</v>
      </c>
      <c r="S22" s="17" t="n">
        <v>257671</v>
      </c>
      <c r="T22" s="17" t="n">
        <v>1905832</v>
      </c>
      <c r="U22" s="17" t="n">
        <v>39854</v>
      </c>
      <c r="V22" s="17" t="n">
        <v>1.53167395198859</v>
      </c>
      <c r="W22" s="17" t="n">
        <v>19.7</v>
      </c>
      <c r="X22" s="17" t="n">
        <v>3.11099175224319</v>
      </c>
      <c r="Y22" s="17" t="n">
        <v>0.873286964822562</v>
      </c>
      <c r="Z22" s="17" t="n">
        <v>13.5201318899043</v>
      </c>
      <c r="AA22" s="17" t="n">
        <v>7.40297783285572</v>
      </c>
      <c r="AB22" s="17"/>
      <c r="AC22" s="17"/>
      <c r="AD22" s="17"/>
      <c r="AE22" s="17"/>
      <c r="AF22" s="17"/>
      <c r="AG22" s="18" t="n">
        <f aca="false">IFERROR(100*O22/F22,"")</f>
        <v>0.0649027180370755</v>
      </c>
      <c r="AH22" s="18" t="n">
        <f aca="false">IFERROR(100*(P22+Q22)/F22,"")</f>
        <v>0.0281060203465398</v>
      </c>
      <c r="AI22" s="18" t="n">
        <f aca="false">IFERROR(100*R22/K22,"")</f>
        <v>0.0307236886367204</v>
      </c>
      <c r="AJ22" s="18" t="n">
        <f aca="false">IF(T22&gt;0,100*S22/T22,"")</f>
        <v>13.5201318899043</v>
      </c>
      <c r="AK22" s="18" t="n">
        <f aca="false">IFERROR(100*U22/G22,"")</f>
        <v>1.53167395198859</v>
      </c>
      <c r="AL22" s="18" t="n">
        <f aca="false">IFERROR(100*J22/H22,"")</f>
        <v>80.4682578935581</v>
      </c>
      <c r="AM22" s="18" t="n">
        <f aca="false">IFERROR(100*L22/J22,"")</f>
        <v>80.101767723318</v>
      </c>
      <c r="AN22" s="18" t="n">
        <f aca="false">IFERROR(100*M22/J22,"")</f>
        <v>14.3274833951191</v>
      </c>
      <c r="AO22" s="18" t="n">
        <f aca="false">IFERROR(100*N22/J22,"")</f>
        <v>1.0999248543956</v>
      </c>
    </row>
    <row r="23" customFormat="false" ht="15" hidden="false" customHeight="false" outlineLevel="0" collapsed="false">
      <c r="A23" s="17" t="n">
        <v>4256</v>
      </c>
      <c r="B23" s="23" t="n">
        <v>45016</v>
      </c>
      <c r="C23" s="17" t="s">
        <v>135</v>
      </c>
      <c r="D23" s="17" t="s">
        <v>108</v>
      </c>
      <c r="E23" s="17" t="s">
        <v>114</v>
      </c>
      <c r="F23" s="17" t="n">
        <v>2776791</v>
      </c>
      <c r="G23" s="17" t="n">
        <v>2740419</v>
      </c>
      <c r="H23" s="17" t="n">
        <v>2467296</v>
      </c>
      <c r="I23" s="17" t="n">
        <v>199927</v>
      </c>
      <c r="J23" s="17" t="n">
        <v>1982847</v>
      </c>
      <c r="K23" s="17" t="n">
        <v>1948898</v>
      </c>
      <c r="L23" s="17" t="n">
        <v>1576558</v>
      </c>
      <c r="M23" s="17" t="n">
        <v>294299</v>
      </c>
      <c r="N23" s="17" t="n">
        <v>19435</v>
      </c>
      <c r="O23" s="17" t="n">
        <v>1800</v>
      </c>
      <c r="P23" s="17" t="n">
        <v>946</v>
      </c>
      <c r="Q23" s="17" t="n">
        <v>208</v>
      </c>
      <c r="R23" s="17" t="n">
        <v>100</v>
      </c>
      <c r="S23" s="17" t="n">
        <v>263305</v>
      </c>
      <c r="T23" s="17" t="n">
        <v>1931091</v>
      </c>
      <c r="U23" s="17" t="n">
        <v>32704</v>
      </c>
      <c r="V23" s="17" t="n">
        <v>1.19339414885096</v>
      </c>
      <c r="W23" s="17" t="n">
        <v>16.35</v>
      </c>
      <c r="X23" s="17" t="n">
        <v>2.70732453141392</v>
      </c>
      <c r="Y23" s="17" t="n">
        <v>1.18304639742754</v>
      </c>
      <c r="Z23" s="17" t="n">
        <v>13.6350384316431</v>
      </c>
      <c r="AA23" s="17" t="n">
        <v>7.1999297030277</v>
      </c>
      <c r="AB23" s="17" t="n">
        <v>10.4516967166687</v>
      </c>
      <c r="AC23" s="17" t="n">
        <v>16.108875548383</v>
      </c>
      <c r="AD23" s="17" t="n">
        <v>14.2565003084139</v>
      </c>
      <c r="AE23" s="17" t="n">
        <v>-0.387213193013458</v>
      </c>
      <c r="AF23" s="17" t="n">
        <v>-0.136009738119455</v>
      </c>
      <c r="AG23" s="18" t="n">
        <f aca="false">IFERROR(100*O23/F23,"")</f>
        <v>0.0648230277323716</v>
      </c>
      <c r="AH23" s="18" t="n">
        <f aca="false">IFERROR(100*(P23+Q23)/F23,"")</f>
        <v>0.0415587633350872</v>
      </c>
      <c r="AI23" s="18" t="n">
        <f aca="false">IFERROR(100*R23/K23,"")</f>
        <v>0.00513110486028515</v>
      </c>
      <c r="AJ23" s="18" t="n">
        <f aca="false">IF(T23&gt;0,100*S23/T23,"")</f>
        <v>13.635038431643</v>
      </c>
      <c r="AK23" s="18" t="n">
        <f aca="false">IFERROR(100*U23/G23,"")</f>
        <v>1.19339414885096</v>
      </c>
      <c r="AL23" s="18" t="n">
        <f aca="false">IFERROR(100*J23/H23,"")</f>
        <v>80.3651852068013</v>
      </c>
      <c r="AM23" s="18" t="n">
        <f aca="false">IFERROR(100*L23/J23,"")</f>
        <v>79.5098159363784</v>
      </c>
      <c r="AN23" s="18" t="n">
        <f aca="false">IFERROR(100*M23/J23,"")</f>
        <v>14.8422445100404</v>
      </c>
      <c r="AO23" s="18" t="n">
        <f aca="false">IFERROR(100*N23/J23,"")</f>
        <v>0.980156310597842</v>
      </c>
    </row>
    <row r="24" customFormat="false" ht="15" hidden="false" customHeight="false" outlineLevel="0" collapsed="false">
      <c r="A24" s="17" t="n">
        <v>4256</v>
      </c>
      <c r="B24" s="23" t="n">
        <v>45107</v>
      </c>
      <c r="C24" s="17" t="s">
        <v>135</v>
      </c>
      <c r="D24" s="17" t="s">
        <v>108</v>
      </c>
      <c r="E24" s="17" t="s">
        <v>114</v>
      </c>
      <c r="F24" s="17" t="n">
        <v>2844637</v>
      </c>
      <c r="G24" s="17" t="n">
        <v>2775158.33333333</v>
      </c>
      <c r="H24" s="17" t="n">
        <v>2500556</v>
      </c>
      <c r="I24" s="17" t="n">
        <v>203536</v>
      </c>
      <c r="J24" s="17" t="n">
        <v>2060953</v>
      </c>
      <c r="K24" s="17" t="n">
        <v>1986249.66666667</v>
      </c>
      <c r="L24" s="17" t="n">
        <v>1630531</v>
      </c>
      <c r="M24" s="17" t="n">
        <v>306090</v>
      </c>
      <c r="N24" s="17" t="n">
        <v>20316</v>
      </c>
      <c r="O24" s="17" t="n">
        <v>1676</v>
      </c>
      <c r="P24" s="17" t="n">
        <v>1949</v>
      </c>
      <c r="Q24" s="17" t="n">
        <v>318</v>
      </c>
      <c r="R24" s="17" t="n">
        <v>96</v>
      </c>
      <c r="S24" s="17" t="n">
        <v>267710</v>
      </c>
      <c r="T24" s="17" t="n">
        <v>1964797</v>
      </c>
      <c r="U24" s="17" t="n">
        <v>31710</v>
      </c>
      <c r="V24" s="17" t="n">
        <v>1.14263750716926</v>
      </c>
      <c r="W24" s="17" t="n">
        <v>15.76</v>
      </c>
      <c r="X24" s="17" t="n">
        <v>2.56137469947548</v>
      </c>
      <c r="Y24" s="17" t="n">
        <v>1.13855095191399</v>
      </c>
      <c r="Z24" s="17" t="n">
        <v>13.625326178735</v>
      </c>
      <c r="AA24" s="17" t="n">
        <v>7.15507813474971</v>
      </c>
      <c r="AB24" s="17" t="n">
        <v>9.58618136458178</v>
      </c>
      <c r="AC24" s="17" t="n">
        <v>15.1985641493446</v>
      </c>
      <c r="AD24" s="17" t="n">
        <v>10.988922217616</v>
      </c>
      <c r="AE24" s="17" t="n">
        <v>-0.44681296137377</v>
      </c>
      <c r="AF24" s="17" t="n">
        <v>-0.126458562103484</v>
      </c>
      <c r="AG24" s="18" t="n">
        <f aca="false">IFERROR(100*O24/F24,"")</f>
        <v>0.0589178865352592</v>
      </c>
      <c r="AH24" s="18" t="n">
        <f aca="false">IFERROR(100*(P24+Q24)/F24,"")</f>
        <v>0.07969382385169</v>
      </c>
      <c r="AI24" s="18" t="n">
        <f aca="false">IFERROR(100*R24/K24,"")</f>
        <v>0.00483322925667787</v>
      </c>
      <c r="AJ24" s="18" t="n">
        <f aca="false">IF(T24&gt;0,100*S24/T24,"")</f>
        <v>13.625326178735</v>
      </c>
      <c r="AK24" s="18" t="n">
        <f aca="false">IFERROR(100*U24/G24,"")</f>
        <v>1.14263750716926</v>
      </c>
      <c r="AL24" s="18" t="n">
        <f aca="false">IFERROR(100*J24/H24,"")</f>
        <v>82.4197898387399</v>
      </c>
      <c r="AM24" s="18" t="n">
        <f aca="false">IFERROR(100*L24/J24,"")</f>
        <v>79.1153898220872</v>
      </c>
      <c r="AN24" s="18" t="n">
        <f aca="false">IFERROR(100*M24/J24,"")</f>
        <v>14.8518670731453</v>
      </c>
      <c r="AO24" s="18" t="n">
        <f aca="false">IFERROR(100*N24/J24,"")</f>
        <v>0.985757559730862</v>
      </c>
    </row>
    <row r="25" customFormat="false" ht="15" hidden="false" customHeight="false" outlineLevel="0" collapsed="false">
      <c r="A25" s="17" t="n">
        <v>4256</v>
      </c>
      <c r="B25" s="23" t="n">
        <v>45199</v>
      </c>
      <c r="C25" s="17" t="s">
        <v>135</v>
      </c>
      <c r="D25" s="17" t="s">
        <v>108</v>
      </c>
      <c r="E25" s="17" t="s">
        <v>114</v>
      </c>
      <c r="F25" s="17" t="n">
        <v>2908137</v>
      </c>
      <c r="G25" s="17" t="n">
        <v>2808403</v>
      </c>
      <c r="H25" s="17" t="n">
        <v>2600576</v>
      </c>
      <c r="I25" s="17" t="n">
        <v>198185</v>
      </c>
      <c r="J25" s="17" t="n">
        <v>2080128</v>
      </c>
      <c r="K25" s="17" t="n">
        <v>2009719.25</v>
      </c>
      <c r="L25" s="17" t="n">
        <v>1651715</v>
      </c>
      <c r="M25" s="17" t="n">
        <v>305649</v>
      </c>
      <c r="N25" s="17" t="n">
        <v>19370</v>
      </c>
      <c r="O25" s="17" t="n">
        <v>2553</v>
      </c>
      <c r="P25" s="17" t="n">
        <v>876</v>
      </c>
      <c r="Q25" s="17" t="n">
        <v>11</v>
      </c>
      <c r="R25" s="17" t="n">
        <v>39.999</v>
      </c>
      <c r="S25" s="17" t="n">
        <v>271911</v>
      </c>
      <c r="T25" s="17" t="n">
        <v>1981563</v>
      </c>
      <c r="U25" s="17" t="n">
        <v>31392.5485</v>
      </c>
      <c r="V25" s="17" t="n">
        <v>1.11780782530143</v>
      </c>
      <c r="W25" s="17" t="n">
        <v>15.66</v>
      </c>
      <c r="X25" s="17" t="n">
        <v>2.49431632578962</v>
      </c>
      <c r="Y25" s="17" t="n">
        <v>1.12118100424589</v>
      </c>
      <c r="Z25" s="17" t="n">
        <v>13.7220466873877</v>
      </c>
      <c r="AA25" s="17" t="n">
        <v>6.814844004942</v>
      </c>
      <c r="AB25" s="17" t="n">
        <v>7.7136847345268</v>
      </c>
      <c r="AC25" s="17" t="n">
        <v>11.9567270819037</v>
      </c>
      <c r="AD25" s="17" t="n">
        <v>9.68891100927298</v>
      </c>
      <c r="AE25" s="17" t="n">
        <v>-0.458104109432671</v>
      </c>
      <c r="AF25" s="17" t="n">
        <v>0.0188961339832959</v>
      </c>
      <c r="AG25" s="18" t="n">
        <f aca="false">IFERROR(100*O25/F25,"")</f>
        <v>0.0877881612867619</v>
      </c>
      <c r="AH25" s="18" t="n">
        <f aca="false">IFERROR(100*(P25+Q25)/F25,"")</f>
        <v>0.0305006263460078</v>
      </c>
      <c r="AI25" s="18" t="n">
        <f aca="false">IFERROR(100*R25/K25,"")</f>
        <v>0.0019902779952971</v>
      </c>
      <c r="AJ25" s="18" t="n">
        <f aca="false">IF(T25&gt;0,100*S25/T25,"")</f>
        <v>13.7220466873877</v>
      </c>
      <c r="AK25" s="18" t="n">
        <f aca="false">IFERROR(100*U25/G25,"")</f>
        <v>1.11780782530143</v>
      </c>
      <c r="AL25" s="18" t="n">
        <f aca="false">IFERROR(100*J25/H25,"")</f>
        <v>79.9872028350642</v>
      </c>
      <c r="AM25" s="18" t="n">
        <f aca="false">IFERROR(100*L25/J25,"")</f>
        <v>79.4044885699342</v>
      </c>
      <c r="AN25" s="18" t="n">
        <f aca="false">IFERROR(100*M25/J25,"")</f>
        <v>14.6937592302012</v>
      </c>
      <c r="AO25" s="18" t="n">
        <f aca="false">IFERROR(100*N25/J25,"")</f>
        <v>0.931192695834103</v>
      </c>
    </row>
    <row r="26" customFormat="false" ht="15" hidden="false" customHeight="false" outlineLevel="0" collapsed="false">
      <c r="A26" s="17" t="n">
        <v>4256</v>
      </c>
      <c r="B26" s="23" t="n">
        <v>45291</v>
      </c>
      <c r="C26" s="17" t="s">
        <v>135</v>
      </c>
      <c r="D26" s="17" t="s">
        <v>108</v>
      </c>
      <c r="E26" s="17" t="s">
        <v>114</v>
      </c>
      <c r="F26" s="17" t="n">
        <v>2911223</v>
      </c>
      <c r="G26" s="17" t="n">
        <v>2828967</v>
      </c>
      <c r="H26" s="17" t="n">
        <v>2600329</v>
      </c>
      <c r="I26" s="17" t="n">
        <v>214531</v>
      </c>
      <c r="J26" s="17" t="n">
        <v>2129454</v>
      </c>
      <c r="K26" s="17" t="n">
        <v>2033666.2</v>
      </c>
      <c r="L26" s="17" t="n">
        <v>1701843</v>
      </c>
      <c r="M26" s="17" t="n">
        <v>314127</v>
      </c>
      <c r="N26" s="17" t="n">
        <v>19401</v>
      </c>
      <c r="O26" s="17" t="n">
        <v>2178</v>
      </c>
      <c r="P26" s="17" t="n">
        <v>2617</v>
      </c>
      <c r="Q26" s="17" t="n">
        <v>429</v>
      </c>
      <c r="R26" s="17" t="n">
        <v>233</v>
      </c>
      <c r="S26" s="17" t="n">
        <v>275588</v>
      </c>
      <c r="T26" s="17" t="n">
        <v>2023507</v>
      </c>
      <c r="U26" s="17" t="n">
        <v>30441</v>
      </c>
      <c r="V26" s="17" t="n">
        <v>1.07604648622624</v>
      </c>
      <c r="W26" s="17" t="n">
        <v>14.98</v>
      </c>
      <c r="X26" s="17" t="n">
        <v>2.45271276205377</v>
      </c>
      <c r="Y26" s="17" t="n">
        <v>1.12845828085509</v>
      </c>
      <c r="Z26" s="17" t="n">
        <v>13.6193252605501</v>
      </c>
      <c r="AA26" s="17" t="n">
        <v>7.3691022638939</v>
      </c>
      <c r="AB26" s="17" t="n">
        <v>7.66170114646676</v>
      </c>
      <c r="AC26" s="17" t="n">
        <v>11.2016038025034</v>
      </c>
      <c r="AD26" s="17" t="n">
        <v>9.2686774321916</v>
      </c>
      <c r="AE26" s="17" t="n">
        <v>-0.455627465762345</v>
      </c>
      <c r="AF26" s="17" t="n">
        <v>0.00991120037453361</v>
      </c>
      <c r="AG26" s="18" t="n">
        <f aca="false">IFERROR(100*O26/F26,"")</f>
        <v>0.0748139184116091</v>
      </c>
      <c r="AH26" s="18" t="n">
        <f aca="false">IFERROR(100*(P26+Q26)/F26,"")</f>
        <v>0.104629566336897</v>
      </c>
      <c r="AI26" s="18" t="n">
        <f aca="false">IFERROR(100*R26/K26,"")</f>
        <v>0.0114571408031466</v>
      </c>
      <c r="AJ26" s="18" t="n">
        <f aca="false">IF(T26&gt;0,100*S26/T26,"")</f>
        <v>13.6193252605501</v>
      </c>
      <c r="AK26" s="18" t="n">
        <f aca="false">IFERROR(100*U26/G26,"")</f>
        <v>1.07604648622624</v>
      </c>
      <c r="AL26" s="18" t="n">
        <f aca="false">IFERROR(100*J26/H26,"")</f>
        <v>81.8917144715149</v>
      </c>
      <c r="AM26" s="18" t="n">
        <f aca="false">IFERROR(100*L26/J26,"")</f>
        <v>79.9192187293081</v>
      </c>
      <c r="AN26" s="18" t="n">
        <f aca="false">IFERROR(100*M26/J26,"")</f>
        <v>14.7515278564364</v>
      </c>
      <c r="AO26" s="18" t="n">
        <f aca="false">IFERROR(100*N26/J26,"")</f>
        <v>0.911078614518088</v>
      </c>
    </row>
    <row r="27" customFormat="false" ht="15" hidden="false" customHeight="false" outlineLevel="0" collapsed="false">
      <c r="A27" s="17" t="n">
        <v>4256</v>
      </c>
      <c r="B27" s="23" t="n">
        <v>45382</v>
      </c>
      <c r="C27" s="17" t="s">
        <v>135</v>
      </c>
      <c r="D27" s="17" t="s">
        <v>108</v>
      </c>
      <c r="E27" s="17" t="s">
        <v>114</v>
      </c>
      <c r="F27" s="17" t="n">
        <v>2942447</v>
      </c>
      <c r="G27" s="17" t="n">
        <v>2926835</v>
      </c>
      <c r="H27" s="17" t="n">
        <v>2549402</v>
      </c>
      <c r="I27" s="17" t="n">
        <v>214088</v>
      </c>
      <c r="J27" s="17" t="n">
        <v>2173746</v>
      </c>
      <c r="K27" s="17" t="n">
        <v>2151600</v>
      </c>
      <c r="L27" s="17" t="n">
        <v>1739026</v>
      </c>
      <c r="M27" s="17" t="n">
        <v>320658</v>
      </c>
      <c r="N27" s="17" t="n">
        <v>19035</v>
      </c>
      <c r="O27" s="17" t="n">
        <v>2710</v>
      </c>
      <c r="P27" s="17" t="n">
        <v>1164</v>
      </c>
      <c r="Q27" s="17" t="n">
        <v>49</v>
      </c>
      <c r="R27" s="17" t="n">
        <v>-312</v>
      </c>
      <c r="S27" s="17" t="n">
        <v>277939</v>
      </c>
      <c r="T27" s="17" t="n">
        <v>2059633</v>
      </c>
      <c r="U27" s="17" t="n">
        <v>25040</v>
      </c>
      <c r="V27" s="17" t="n">
        <v>0.85553165791717</v>
      </c>
      <c r="W27" s="17" t="n">
        <v>11.68</v>
      </c>
      <c r="X27" s="17" t="n">
        <v>2.15958502147942</v>
      </c>
      <c r="Y27" s="17" t="n">
        <v>1.11360756960565</v>
      </c>
      <c r="Z27" s="17" t="n">
        <v>13.4945885990368</v>
      </c>
      <c r="AA27" s="17" t="n">
        <v>7.27584897875816</v>
      </c>
      <c r="AB27" s="17" t="n">
        <v>5.96573526779654</v>
      </c>
      <c r="AC27" s="17" t="n">
        <v>9.62752042895896</v>
      </c>
      <c r="AD27" s="17" t="n">
        <v>3.32777258991219</v>
      </c>
      <c r="AE27" s="17" t="n">
        <v>-0.337862490933791</v>
      </c>
      <c r="AF27" s="17" t="n">
        <v>0.0272771868169473</v>
      </c>
      <c r="AG27" s="18" t="n">
        <f aca="false">IFERROR(100*O27/F27,"")</f>
        <v>0.092100214549319</v>
      </c>
      <c r="AH27" s="18" t="n">
        <f aca="false">IFERROR(100*(P27+Q27)/F27,"")</f>
        <v>0.0412241919735513</v>
      </c>
      <c r="AI27" s="18" t="n">
        <f aca="false">IFERROR(100*R27/K27,"")</f>
        <v>-0.0145008365867262</v>
      </c>
      <c r="AJ27" s="18" t="n">
        <f aca="false">IF(T27&gt;0,100*S27/T27,"")</f>
        <v>13.4945885990368</v>
      </c>
      <c r="AK27" s="18" t="n">
        <f aca="false">IFERROR(100*U27/G27,"")</f>
        <v>0.85553165791717</v>
      </c>
      <c r="AL27" s="18" t="n">
        <f aca="false">IFERROR(100*J27/H27,"")</f>
        <v>85.2649366400434</v>
      </c>
      <c r="AM27" s="18" t="n">
        <f aca="false">IFERROR(100*L27/J27,"")</f>
        <v>80.0013433032194</v>
      </c>
      <c r="AN27" s="18" t="n">
        <f aca="false">IFERROR(100*M27/J27,"")</f>
        <v>14.7514014976911</v>
      </c>
      <c r="AO27" s="18" t="n">
        <f aca="false">IFERROR(100*N27/J27,"")</f>
        <v>0.875677287042736</v>
      </c>
    </row>
    <row r="28" customFormat="false" ht="15" hidden="false" customHeight="false" outlineLevel="0" collapsed="false">
      <c r="A28" s="17" t="n">
        <v>4256</v>
      </c>
      <c r="B28" s="23" t="n">
        <v>45473</v>
      </c>
      <c r="C28" s="17" t="s">
        <v>135</v>
      </c>
      <c r="D28" s="17" t="s">
        <v>108</v>
      </c>
      <c r="E28" s="17" t="s">
        <v>114</v>
      </c>
      <c r="F28" s="17" t="n">
        <v>3049270</v>
      </c>
      <c r="G28" s="17" t="n">
        <v>2967646.66666667</v>
      </c>
      <c r="H28" s="17" t="n">
        <v>2578790</v>
      </c>
      <c r="I28" s="17" t="n">
        <v>215996</v>
      </c>
      <c r="J28" s="17" t="n">
        <v>2247670</v>
      </c>
      <c r="K28" s="17" t="n">
        <v>2183623.33333333</v>
      </c>
      <c r="L28" s="17" t="n">
        <v>1791622</v>
      </c>
      <c r="M28" s="17" t="n">
        <v>328850</v>
      </c>
      <c r="N28" s="17" t="n">
        <v>20514</v>
      </c>
      <c r="O28" s="17" t="n">
        <v>2564</v>
      </c>
      <c r="P28" s="17" t="n">
        <v>2235</v>
      </c>
      <c r="Q28" s="17" t="n">
        <v>87</v>
      </c>
      <c r="R28" s="17" t="n">
        <v>-50</v>
      </c>
      <c r="S28" s="17" t="n">
        <v>280868</v>
      </c>
      <c r="T28" s="17" t="n">
        <v>2129638</v>
      </c>
      <c r="U28" s="17" t="n">
        <v>25442</v>
      </c>
      <c r="V28" s="17" t="n">
        <v>0.857312303576122</v>
      </c>
      <c r="W28" s="17" t="n">
        <v>11.84</v>
      </c>
      <c r="X28" s="17" t="n">
        <v>2.15400167285319</v>
      </c>
      <c r="Y28" s="17" t="n">
        <v>1.09860433248653</v>
      </c>
      <c r="Z28" s="17" t="n">
        <v>13.1885325111592</v>
      </c>
      <c r="AA28" s="17" t="n">
        <v>7.08353146818747</v>
      </c>
      <c r="AB28" s="17" t="n">
        <v>7.1936419304115</v>
      </c>
      <c r="AC28" s="17" t="n">
        <v>9.05974080922758</v>
      </c>
      <c r="AD28" s="17" t="n">
        <v>3.12866418508524</v>
      </c>
      <c r="AE28" s="17" t="n">
        <v>-0.285325203593138</v>
      </c>
      <c r="AF28" s="17" t="n">
        <v>0.0251678126648773</v>
      </c>
      <c r="AG28" s="18" t="n">
        <f aca="false">IFERROR(100*O28/F28,"")</f>
        <v>0.0840856992001364</v>
      </c>
      <c r="AH28" s="18" t="n">
        <f aca="false">IFERROR(100*(P28+Q28)/F28,"")</f>
        <v>0.0761493734565978</v>
      </c>
      <c r="AI28" s="18" t="n">
        <f aca="false">IFERROR(100*R28/K28,"")</f>
        <v>-0.00228977219819658</v>
      </c>
      <c r="AJ28" s="18" t="n">
        <f aca="false">IF(T28&gt;0,100*S28/T28,"")</f>
        <v>13.1885325111592</v>
      </c>
      <c r="AK28" s="18" t="n">
        <f aca="false">IFERROR(100*U28/G28,"")</f>
        <v>0.857312303576122</v>
      </c>
      <c r="AL28" s="18" t="n">
        <f aca="false">IFERROR(100*J28/H28,"")</f>
        <v>87.1598695512236</v>
      </c>
      <c r="AM28" s="18" t="n">
        <f aca="false">IFERROR(100*L28/J28,"")</f>
        <v>79.710188773263</v>
      </c>
      <c r="AN28" s="18" t="n">
        <f aca="false">IFERROR(100*M28/J28,"")</f>
        <v>14.630706464917</v>
      </c>
      <c r="AO28" s="18" t="n">
        <f aca="false">IFERROR(100*N28/J28,"")</f>
        <v>0.9126784625857</v>
      </c>
    </row>
    <row r="29" customFormat="false" ht="15" hidden="false" customHeight="false" outlineLevel="0" collapsed="false">
      <c r="A29" s="17" t="n">
        <v>4256</v>
      </c>
      <c r="B29" s="23" t="n">
        <v>45565</v>
      </c>
      <c r="C29" s="17" t="s">
        <v>135</v>
      </c>
      <c r="D29" s="17" t="s">
        <v>108</v>
      </c>
      <c r="E29" s="17" t="s">
        <v>114</v>
      </c>
      <c r="F29" s="17" t="n">
        <v>3107311</v>
      </c>
      <c r="G29" s="17" t="n">
        <v>3002562.75</v>
      </c>
      <c r="H29" s="17" t="n">
        <v>2703552</v>
      </c>
      <c r="I29" s="17" t="n">
        <v>227931</v>
      </c>
      <c r="J29" s="17" t="n">
        <v>2307253</v>
      </c>
      <c r="K29" s="17" t="n">
        <v>2214530.75</v>
      </c>
      <c r="L29" s="17" t="n">
        <v>1810714</v>
      </c>
      <c r="M29" s="17" t="n">
        <v>366701</v>
      </c>
      <c r="N29" s="17" t="n">
        <v>19784</v>
      </c>
      <c r="O29" s="17" t="n">
        <v>2497</v>
      </c>
      <c r="P29" s="17" t="n">
        <v>2396</v>
      </c>
      <c r="Q29" s="17" t="n">
        <v>405</v>
      </c>
      <c r="R29" s="17" t="n">
        <v>118.6637</v>
      </c>
      <c r="S29" s="17" t="n">
        <v>283947</v>
      </c>
      <c r="T29" s="17" t="n">
        <v>2174933</v>
      </c>
      <c r="U29" s="17" t="n">
        <v>27396.6484</v>
      </c>
      <c r="V29" s="17" t="n">
        <v>0.912442159618479</v>
      </c>
      <c r="W29" s="17" t="n">
        <v>12.56</v>
      </c>
      <c r="X29" s="17" t="n">
        <v>2.19455333352659</v>
      </c>
      <c r="Y29" s="17" t="n">
        <v>1.04015467744543</v>
      </c>
      <c r="Z29" s="17" t="n">
        <v>13.0554366502324</v>
      </c>
      <c r="AA29" s="17" t="n">
        <v>7.3353133947648</v>
      </c>
      <c r="AB29" s="17" t="n">
        <v>6.84885203138641</v>
      </c>
      <c r="AC29" s="17" t="n">
        <v>10.9187992277398</v>
      </c>
      <c r="AD29" s="17" t="n">
        <v>3.95973815031747</v>
      </c>
      <c r="AE29" s="17" t="n">
        <v>-0.205365665682947</v>
      </c>
      <c r="AF29" s="17" t="n">
        <v>-0.0074292915115769</v>
      </c>
      <c r="AG29" s="18" t="n">
        <f aca="false">IFERROR(100*O29/F29,"")</f>
        <v>0.080358869775185</v>
      </c>
      <c r="AH29" s="18" t="n">
        <f aca="false">IFERROR(100*(P29+Q29)/F29,"")</f>
        <v>0.0901422483941903</v>
      </c>
      <c r="AI29" s="18" t="n">
        <f aca="false">IFERROR(100*R29/K29,"")</f>
        <v>0.00535841283757293</v>
      </c>
      <c r="AJ29" s="18" t="n">
        <f aca="false">IF(T29&gt;0,100*S29/T29,"")</f>
        <v>13.0554366502324</v>
      </c>
      <c r="AK29" s="18" t="n">
        <f aca="false">IFERROR(100*U29/G29,"")</f>
        <v>0.912442159618479</v>
      </c>
      <c r="AL29" s="18" t="n">
        <f aca="false">IFERROR(100*J29/H29,"")</f>
        <v>85.3415432734418</v>
      </c>
      <c r="AM29" s="18" t="n">
        <f aca="false">IFERROR(100*L29/J29,"")</f>
        <v>78.4792131595451</v>
      </c>
      <c r="AN29" s="18" t="n">
        <f aca="false">IFERROR(100*M29/J29,"")</f>
        <v>15.8934022406732</v>
      </c>
      <c r="AO29" s="18" t="n">
        <f aca="false">IFERROR(100*N29/J29,"")</f>
        <v>0.857469900353364</v>
      </c>
    </row>
    <row r="30" customFormat="false" ht="15" hidden="false" customHeight="false" outlineLevel="0" collapsed="false">
      <c r="A30" s="17" t="n">
        <v>4256</v>
      </c>
      <c r="B30" s="23" t="n">
        <v>45657</v>
      </c>
      <c r="C30" s="17" t="s">
        <v>135</v>
      </c>
      <c r="D30" s="17" t="s">
        <v>108</v>
      </c>
      <c r="E30" s="17" t="s">
        <v>114</v>
      </c>
      <c r="F30" s="17" t="n">
        <v>3121442</v>
      </c>
      <c r="G30" s="17" t="n">
        <v>3026338.6</v>
      </c>
      <c r="H30" s="17" t="n">
        <v>2726323</v>
      </c>
      <c r="I30" s="17" t="n">
        <v>223532</v>
      </c>
      <c r="J30" s="17" t="n">
        <v>2340940</v>
      </c>
      <c r="K30" s="17" t="n">
        <v>2239812.6</v>
      </c>
      <c r="L30" s="17" t="n">
        <v>1846128</v>
      </c>
      <c r="M30" s="17" t="n">
        <v>364018</v>
      </c>
      <c r="N30" s="17" t="n">
        <v>20790</v>
      </c>
      <c r="O30" s="17" t="n">
        <v>4248</v>
      </c>
      <c r="P30" s="17" t="n">
        <v>6975</v>
      </c>
      <c r="Q30" s="17" t="n">
        <v>1020</v>
      </c>
      <c r="R30" s="17" t="n">
        <v>463</v>
      </c>
      <c r="S30" s="17" t="n">
        <v>288343</v>
      </c>
      <c r="T30" s="17" t="n">
        <v>2191499</v>
      </c>
      <c r="U30" s="17" t="n">
        <v>28047</v>
      </c>
      <c r="V30" s="17" t="n">
        <v>0.926763449403844</v>
      </c>
      <c r="W30" s="17" t="n">
        <v>12.79</v>
      </c>
      <c r="X30" s="17" t="n">
        <v>2.24895844222402</v>
      </c>
      <c r="Y30" s="17" t="n">
        <v>1.06243645714969</v>
      </c>
      <c r="Z30" s="17" t="n">
        <v>13.1573411623733</v>
      </c>
      <c r="AA30" s="17" t="n">
        <v>7.1611774301749</v>
      </c>
      <c r="AB30" s="17" t="n">
        <v>7.22098581936184</v>
      </c>
      <c r="AC30" s="17" t="n">
        <v>9.93146600020476</v>
      </c>
      <c r="AD30" s="17" t="n">
        <v>4.84530995885522</v>
      </c>
      <c r="AE30" s="17" t="n">
        <v>-0.149283036822401</v>
      </c>
      <c r="AF30" s="17" t="n">
        <v>0.0612770292978149</v>
      </c>
      <c r="AG30" s="18" t="n">
        <f aca="false">IFERROR(100*O30/F30,"")</f>
        <v>0.136090947709424</v>
      </c>
      <c r="AH30" s="18" t="n">
        <f aca="false">IFERROR(100*(P30+Q30)/F30,"")</f>
        <v>0.256131621218655</v>
      </c>
      <c r="AI30" s="18" t="n">
        <f aca="false">IFERROR(100*R30/K30,"")</f>
        <v>0.0206713722389096</v>
      </c>
      <c r="AJ30" s="18" t="n">
        <f aca="false">IF(T30&gt;0,100*S30/T30,"")</f>
        <v>13.1573411623733</v>
      </c>
      <c r="AK30" s="18" t="n">
        <f aca="false">IFERROR(100*U30/G30,"")</f>
        <v>0.926763449403844</v>
      </c>
      <c r="AL30" s="18" t="n">
        <f aca="false">IFERROR(100*J30/H30,"")</f>
        <v>85.8643675015763</v>
      </c>
      <c r="AM30" s="18" t="n">
        <f aca="false">IFERROR(100*L30/J30,"")</f>
        <v>78.8626790947226</v>
      </c>
      <c r="AN30" s="18" t="n">
        <f aca="false">IFERROR(100*M30/J30,"")</f>
        <v>15.5500781737251</v>
      </c>
      <c r="AO30" s="18" t="n">
        <f aca="false">IFERROR(100*N30/J30,"")</f>
        <v>0.888104778422343</v>
      </c>
    </row>
    <row r="31" customFormat="false" ht="15" hidden="false" customHeight="false" outlineLevel="0" collapsed="false">
      <c r="A31" s="17" t="n">
        <v>4256</v>
      </c>
      <c r="B31" s="23" t="n">
        <v>45747</v>
      </c>
      <c r="C31" s="17" t="s">
        <v>135</v>
      </c>
      <c r="D31" s="17" t="s">
        <v>108</v>
      </c>
      <c r="E31" s="17" t="s">
        <v>114</v>
      </c>
      <c r="F31" s="17" t="n">
        <v>3151780</v>
      </c>
      <c r="G31" s="17" t="n">
        <v>3136611</v>
      </c>
      <c r="H31" s="17" t="n">
        <v>2712084</v>
      </c>
      <c r="I31" s="17" t="n">
        <v>230970</v>
      </c>
      <c r="J31" s="17" t="n">
        <v>2383150</v>
      </c>
      <c r="K31" s="17" t="n">
        <v>2362045</v>
      </c>
      <c r="L31" s="17" t="n">
        <v>1883405</v>
      </c>
      <c r="M31" s="17" t="n">
        <v>377866</v>
      </c>
      <c r="N31" s="17" t="n">
        <v>21844</v>
      </c>
      <c r="O31" s="17" t="n">
        <v>6053</v>
      </c>
      <c r="P31" s="17" t="n">
        <v>2649</v>
      </c>
      <c r="Q31" s="17" t="n">
        <v>695</v>
      </c>
      <c r="R31" s="17" t="n">
        <v>612</v>
      </c>
      <c r="S31" s="17" t="n">
        <v>292130</v>
      </c>
      <c r="T31" s="17" t="n">
        <v>2234711</v>
      </c>
      <c r="U31" s="17" t="n">
        <v>29768</v>
      </c>
      <c r="V31" s="17" t="n">
        <v>0.949049786537126</v>
      </c>
      <c r="W31" s="17" t="n">
        <v>13.1</v>
      </c>
      <c r="X31" s="17" t="n">
        <v>2.40579582940435</v>
      </c>
      <c r="Y31" s="17" t="n">
        <v>1.05381532845184</v>
      </c>
      <c r="Z31" s="17" t="n">
        <v>13.0723838563465</v>
      </c>
      <c r="AA31" s="17" t="n">
        <v>7.32823991522251</v>
      </c>
      <c r="AB31" s="17" t="n">
        <v>7.11424878680906</v>
      </c>
      <c r="AC31" s="17" t="n">
        <v>9.63332422463341</v>
      </c>
      <c r="AD31" s="17" t="n">
        <v>6.3811827244193</v>
      </c>
      <c r="AE31" s="17" t="n">
        <v>0.0935181286199557</v>
      </c>
      <c r="AF31" s="17" t="n">
        <v>0.0999499920006306</v>
      </c>
      <c r="AG31" s="18" t="n">
        <f aca="false">IFERROR(100*O31/F31,"")</f>
        <v>0.19205020654995</v>
      </c>
      <c r="AH31" s="18" t="n">
        <f aca="false">IFERROR(100*(P31+Q31)/F31,"")</f>
        <v>0.106098775929792</v>
      </c>
      <c r="AI31" s="18" t="n">
        <f aca="false">IFERROR(100*R31/K31,"")</f>
        <v>0.0259097519310597</v>
      </c>
      <c r="AJ31" s="18" t="n">
        <f aca="false">IF(T31&gt;0,100*S31/T31,"")</f>
        <v>13.0723838563465</v>
      </c>
      <c r="AK31" s="18" t="n">
        <f aca="false">IFERROR(100*U31/G31,"")</f>
        <v>0.949049786537126</v>
      </c>
      <c r="AL31" s="18" t="n">
        <f aca="false">IFERROR(100*J31/H31,"")</f>
        <v>87.8715408519795</v>
      </c>
      <c r="AM31" s="18" t="n">
        <f aca="false">IFERROR(100*L31/J31,"")</f>
        <v>79.0300652497745</v>
      </c>
      <c r="AN31" s="18" t="n">
        <f aca="false">IFERROR(100*M31/J31,"")</f>
        <v>15.8557371546063</v>
      </c>
      <c r="AO31" s="18" t="n">
        <f aca="false">IFERROR(100*N31/J31,"")</f>
        <v>0.916601976375805</v>
      </c>
    </row>
    <row r="32" customFormat="false" ht="15" hidden="false" customHeight="false" outlineLevel="0" collapsed="false">
      <c r="A32" s="17" t="n">
        <v>4256</v>
      </c>
      <c r="B32" s="23" t="n">
        <v>45838</v>
      </c>
      <c r="C32" s="17" t="s">
        <v>135</v>
      </c>
      <c r="D32" s="17" t="s">
        <v>108</v>
      </c>
      <c r="E32" s="17" t="s">
        <v>114</v>
      </c>
      <c r="F32" s="17" t="n">
        <v>3164056</v>
      </c>
      <c r="G32" s="17" t="n">
        <v>3145759.33333333</v>
      </c>
      <c r="H32" s="17" t="n">
        <v>2706351</v>
      </c>
      <c r="I32" s="17" t="n">
        <v>236733</v>
      </c>
      <c r="J32" s="17" t="n">
        <v>2394007</v>
      </c>
      <c r="K32" s="17" t="n">
        <v>2372699</v>
      </c>
      <c r="L32" s="17" t="n">
        <v>1881786</v>
      </c>
      <c r="M32" s="17" t="n">
        <v>379671</v>
      </c>
      <c r="N32" s="17" t="n">
        <v>20559</v>
      </c>
      <c r="O32" s="17" t="n">
        <v>6039</v>
      </c>
      <c r="P32" s="17" t="n">
        <v>3028</v>
      </c>
      <c r="Q32" s="17" t="n">
        <v>457</v>
      </c>
      <c r="R32" s="17" t="n">
        <v>1572</v>
      </c>
      <c r="S32" s="17" t="n">
        <v>296301</v>
      </c>
      <c r="T32" s="17" t="n">
        <v>2235181</v>
      </c>
      <c r="U32" s="17" t="n">
        <v>31504</v>
      </c>
      <c r="V32" s="17" t="n">
        <v>1.00147521350966</v>
      </c>
      <c r="W32" s="17" t="n">
        <v>13.67</v>
      </c>
      <c r="X32" s="17" t="n">
        <v>2.44163706624033</v>
      </c>
      <c r="Y32" s="17" t="n">
        <v>1.03713147037582</v>
      </c>
      <c r="Z32" s="17" t="n">
        <v>13.2562418882408</v>
      </c>
      <c r="AA32" s="17" t="n">
        <v>7.48194722217306</v>
      </c>
      <c r="AB32" s="17" t="n">
        <v>3.76437639172655</v>
      </c>
      <c r="AC32" s="17" t="n">
        <v>6.51060876374201</v>
      </c>
      <c r="AD32" s="17" t="n">
        <v>4.94654469731928</v>
      </c>
      <c r="AE32" s="17" t="n">
        <v>0.144162909933536</v>
      </c>
      <c r="AF32" s="17" t="n">
        <v>0.10677691511516</v>
      </c>
      <c r="AG32" s="18" t="n">
        <f aca="false">IFERROR(100*O32/F32,"")</f>
        <v>0.190862614315297</v>
      </c>
      <c r="AH32" s="18" t="n">
        <f aca="false">IFERROR(100*(P32+Q32)/F32,"")</f>
        <v>0.110143436146516</v>
      </c>
      <c r="AI32" s="18" t="n">
        <f aca="false">IFERROR(100*R32/K32,"")</f>
        <v>0.0662536630225747</v>
      </c>
      <c r="AJ32" s="18" t="n">
        <f aca="false">IF(T32&gt;0,100*S32/T32,"")</f>
        <v>13.2562418882408</v>
      </c>
      <c r="AK32" s="18" t="n">
        <f aca="false">IFERROR(100*U32/G32,"")</f>
        <v>1.00147521350966</v>
      </c>
      <c r="AL32" s="18" t="n">
        <f aca="false">IFERROR(100*J32/H32,"")</f>
        <v>88.4588510507322</v>
      </c>
      <c r="AM32" s="18" t="n">
        <f aca="false">IFERROR(100*L32/J32,"")</f>
        <v>78.6040308152817</v>
      </c>
      <c r="AN32" s="18" t="n">
        <f aca="false">IFERROR(100*M32/J32,"")</f>
        <v>15.8592268109492</v>
      </c>
      <c r="AO32" s="18" t="n">
        <f aca="false">IFERROR(100*N32/J32,"")</f>
        <v>0.858769418802869</v>
      </c>
    </row>
    <row r="33" customFormat="false" ht="15" hidden="false" customHeight="false" outlineLevel="0" collapsed="false">
      <c r="A33" s="17" t="n">
        <v>6271</v>
      </c>
      <c r="B33" s="23" t="n">
        <v>44651</v>
      </c>
      <c r="C33" s="17" t="s">
        <v>147</v>
      </c>
      <c r="D33" s="17" t="s">
        <v>113</v>
      </c>
      <c r="E33" s="17" t="s">
        <v>114</v>
      </c>
      <c r="F33" s="17" t="n">
        <v>1004765</v>
      </c>
      <c r="G33" s="17" t="n">
        <v>1011649</v>
      </c>
      <c r="H33" s="17" t="n">
        <v>878431</v>
      </c>
      <c r="I33" s="17" t="n">
        <v>89733</v>
      </c>
      <c r="J33" s="17" t="n">
        <v>696813</v>
      </c>
      <c r="K33" s="17" t="n">
        <v>693551.5</v>
      </c>
      <c r="L33" s="17" t="n">
        <v>523731</v>
      </c>
      <c r="M33" s="17" t="n">
        <v>116404</v>
      </c>
      <c r="N33" s="17" t="n">
        <v>3056</v>
      </c>
      <c r="O33" s="17" t="n">
        <v>5415</v>
      </c>
      <c r="P33" s="17" t="n">
        <v>2673</v>
      </c>
      <c r="Q33" s="17" t="n">
        <v>654</v>
      </c>
      <c r="R33" s="17" t="n">
        <v>2728</v>
      </c>
      <c r="S33" s="17" t="n">
        <v>95952</v>
      </c>
      <c r="T33" s="17" t="n">
        <v>630415</v>
      </c>
      <c r="U33" s="17" t="n">
        <v>10200</v>
      </c>
      <c r="V33" s="17" t="n">
        <v>1.00825483937611</v>
      </c>
      <c r="W33" s="17" t="n">
        <v>10.92</v>
      </c>
      <c r="X33" s="17" t="n">
        <v>3.22402305761983</v>
      </c>
      <c r="Y33" s="17" t="n">
        <v>1.13244155892614</v>
      </c>
      <c r="Z33" s="17" t="n">
        <v>15.2204500210179</v>
      </c>
      <c r="AA33" s="17" t="n">
        <v>8.93074500007464</v>
      </c>
      <c r="AB33" s="17"/>
      <c r="AC33" s="17"/>
      <c r="AD33" s="17"/>
      <c r="AE33" s="17"/>
      <c r="AF33" s="17"/>
      <c r="AG33" s="18" t="n">
        <f aca="false">IFERROR(100*O33/F33,"")</f>
        <v>0.538931989072072</v>
      </c>
      <c r="AH33" s="18" t="n">
        <f aca="false">IFERROR(100*(P33+Q33)/F33,"")</f>
        <v>0.331122202704115</v>
      </c>
      <c r="AI33" s="18" t="n">
        <f aca="false">IFERROR(100*R33/K33,"")</f>
        <v>0.393337769437453</v>
      </c>
      <c r="AJ33" s="18" t="n">
        <f aca="false">IF(T33&gt;0,100*S33/T33,"")</f>
        <v>15.2204500210179</v>
      </c>
      <c r="AK33" s="18" t="n">
        <f aca="false">IFERROR(100*U33/G33,"")</f>
        <v>1.00825483937611</v>
      </c>
      <c r="AL33" s="18" t="n">
        <f aca="false">IFERROR(100*J33/H33,"")</f>
        <v>79.3247278386123</v>
      </c>
      <c r="AM33" s="18" t="n">
        <f aca="false">IFERROR(100*L33/J33,"")</f>
        <v>75.1609111770303</v>
      </c>
      <c r="AN33" s="18" t="n">
        <f aca="false">IFERROR(100*M33/J33,"")</f>
        <v>16.7051992428385</v>
      </c>
      <c r="AO33" s="18" t="n">
        <f aca="false">IFERROR(100*N33/J33,"")</f>
        <v>0.438568166782193</v>
      </c>
    </row>
    <row r="34" customFormat="false" ht="15" hidden="false" customHeight="false" outlineLevel="0" collapsed="false">
      <c r="A34" s="17" t="n">
        <v>6271</v>
      </c>
      <c r="B34" s="23" t="n">
        <v>44742</v>
      </c>
      <c r="C34" s="17" t="s">
        <v>147</v>
      </c>
      <c r="D34" s="17" t="s">
        <v>113</v>
      </c>
      <c r="E34" s="17" t="s">
        <v>118</v>
      </c>
      <c r="F34" s="17" t="n">
        <v>998962</v>
      </c>
      <c r="G34" s="17" t="n">
        <v>1007420</v>
      </c>
      <c r="H34" s="17" t="n">
        <v>873100</v>
      </c>
      <c r="I34" s="17" t="n">
        <v>86133</v>
      </c>
      <c r="J34" s="17" t="n">
        <v>704156</v>
      </c>
      <c r="K34" s="17" t="n">
        <v>697086.333333333</v>
      </c>
      <c r="L34" s="17" t="n">
        <v>539059</v>
      </c>
      <c r="M34" s="17" t="n">
        <v>120847</v>
      </c>
      <c r="N34" s="17" t="n">
        <v>3287</v>
      </c>
      <c r="O34" s="17" t="n">
        <v>4860</v>
      </c>
      <c r="P34" s="17" t="n">
        <v>1806</v>
      </c>
      <c r="Q34" s="17" t="n">
        <v>256</v>
      </c>
      <c r="R34" s="17" t="n">
        <v>1356</v>
      </c>
      <c r="S34" s="17" t="n">
        <v>98163</v>
      </c>
      <c r="T34" s="17" t="n">
        <v>650777</v>
      </c>
      <c r="U34" s="17" t="n">
        <v>11560</v>
      </c>
      <c r="V34" s="17" t="n">
        <v>1.1474856564293</v>
      </c>
      <c r="W34" s="17" t="n">
        <v>12.71</v>
      </c>
      <c r="X34" s="17" t="n">
        <v>3.30121090928702</v>
      </c>
      <c r="Y34" s="17" t="n">
        <v>1.16920114292856</v>
      </c>
      <c r="Z34" s="17" t="n">
        <v>15.083968855691</v>
      </c>
      <c r="AA34" s="17" t="n">
        <v>8.62224989539142</v>
      </c>
      <c r="AB34" s="17"/>
      <c r="AC34" s="17"/>
      <c r="AD34" s="17"/>
      <c r="AE34" s="17"/>
      <c r="AF34" s="17"/>
      <c r="AG34" s="18" t="n">
        <f aca="false">IFERROR(100*O34/F34,"")</f>
        <v>0.486504992181885</v>
      </c>
      <c r="AH34" s="18" t="n">
        <f aca="false">IFERROR(100*(P34+Q34)/F34,"")</f>
        <v>0.206414257999804</v>
      </c>
      <c r="AI34" s="18" t="n">
        <f aca="false">IFERROR(100*R34/K34,"")</f>
        <v>0.194523968575867</v>
      </c>
      <c r="AJ34" s="18" t="n">
        <f aca="false">IF(T34&gt;0,100*S34/T34,"")</f>
        <v>15.083968855691</v>
      </c>
      <c r="AK34" s="18" t="n">
        <f aca="false">IFERROR(100*U34/G34,"")</f>
        <v>1.14748565642929</v>
      </c>
      <c r="AL34" s="18" t="n">
        <f aca="false">IFERROR(100*J34/H34,"")</f>
        <v>80.650097354255</v>
      </c>
      <c r="AM34" s="18" t="n">
        <f aca="false">IFERROR(100*L34/J34,"")</f>
        <v>76.5539170297491</v>
      </c>
      <c r="AN34" s="18" t="n">
        <f aca="false">IFERROR(100*M34/J34,"")</f>
        <v>17.1619641102256</v>
      </c>
      <c r="AO34" s="18" t="n">
        <f aca="false">IFERROR(100*N34/J34,"")</f>
        <v>0.466799970461091</v>
      </c>
    </row>
    <row r="35" customFormat="false" ht="15" hidden="false" customHeight="false" outlineLevel="0" collapsed="false">
      <c r="A35" s="17" t="n">
        <v>6271</v>
      </c>
      <c r="B35" s="23" t="n">
        <v>44834</v>
      </c>
      <c r="C35" s="17" t="s">
        <v>147</v>
      </c>
      <c r="D35" s="17" t="s">
        <v>113</v>
      </c>
      <c r="E35" s="17" t="s">
        <v>114</v>
      </c>
      <c r="F35" s="17" t="n">
        <v>1026347</v>
      </c>
      <c r="G35" s="17" t="n">
        <v>1012151.75</v>
      </c>
      <c r="H35" s="17" t="n">
        <v>904130</v>
      </c>
      <c r="I35" s="17" t="n">
        <v>81739</v>
      </c>
      <c r="J35" s="17" t="n">
        <v>724791</v>
      </c>
      <c r="K35" s="17" t="n">
        <v>704012.5</v>
      </c>
      <c r="L35" s="17" t="n">
        <v>551311</v>
      </c>
      <c r="M35" s="17" t="n">
        <v>124262</v>
      </c>
      <c r="N35" s="17" t="n">
        <v>3902</v>
      </c>
      <c r="O35" s="17" t="n">
        <v>8603</v>
      </c>
      <c r="P35" s="17" t="n">
        <v>987</v>
      </c>
      <c r="Q35" s="17" t="n">
        <v>744</v>
      </c>
      <c r="R35" s="17" t="n">
        <v>803.9799</v>
      </c>
      <c r="S35" s="17" t="n">
        <v>101123</v>
      </c>
      <c r="T35" s="17" t="n">
        <v>671771</v>
      </c>
      <c r="U35" s="17" t="n">
        <v>12806.3465</v>
      </c>
      <c r="V35" s="17" t="n">
        <v>1.26525953247623</v>
      </c>
      <c r="W35" s="17" t="n">
        <v>14.44</v>
      </c>
      <c r="X35" s="17" t="n">
        <v>3.38614224773598</v>
      </c>
      <c r="Y35" s="17" t="n">
        <v>1.16336985420625</v>
      </c>
      <c r="Z35" s="17" t="n">
        <v>15.053195210868</v>
      </c>
      <c r="AA35" s="17" t="n">
        <v>7.96407063108286</v>
      </c>
      <c r="AB35" s="17"/>
      <c r="AC35" s="17"/>
      <c r="AD35" s="17"/>
      <c r="AE35" s="17"/>
      <c r="AF35" s="17"/>
      <c r="AG35" s="18" t="n">
        <f aca="false">IFERROR(100*O35/F35,"")</f>
        <v>0.83821553529167</v>
      </c>
      <c r="AH35" s="18" t="n">
        <f aca="false">IFERROR(100*(P35+Q35)/F35,"")</f>
        <v>0.168656409576878</v>
      </c>
      <c r="AI35" s="18" t="n">
        <f aca="false">IFERROR(100*R35/K35,"")</f>
        <v>0.114199662648035</v>
      </c>
      <c r="AJ35" s="18" t="n">
        <f aca="false">IF(T35&gt;0,100*S35/T35,"")</f>
        <v>15.053195210868</v>
      </c>
      <c r="AK35" s="18" t="n">
        <f aca="false">IFERROR(100*U35/G35,"")</f>
        <v>1.26525953247623</v>
      </c>
      <c r="AL35" s="18" t="n">
        <f aca="false">IFERROR(100*J35/H35,"")</f>
        <v>80.1644674991428</v>
      </c>
      <c r="AM35" s="18" t="n">
        <f aca="false">IFERROR(100*L35/J35,"")</f>
        <v>76.0648242044948</v>
      </c>
      <c r="AN35" s="18" t="n">
        <f aca="false">IFERROR(100*M35/J35,"")</f>
        <v>17.1445285606471</v>
      </c>
      <c r="AO35" s="18" t="n">
        <f aca="false">IFERROR(100*N35/J35,"")</f>
        <v>0.538362093348289</v>
      </c>
    </row>
    <row r="36" customFormat="false" ht="15" hidden="false" customHeight="false" outlineLevel="0" collapsed="false">
      <c r="A36" s="17" t="n">
        <v>6271</v>
      </c>
      <c r="B36" s="23" t="n">
        <v>44926</v>
      </c>
      <c r="C36" s="17" t="s">
        <v>147</v>
      </c>
      <c r="D36" s="17" t="s">
        <v>113</v>
      </c>
      <c r="E36" s="17" t="s">
        <v>114</v>
      </c>
      <c r="F36" s="17" t="n">
        <v>1055421</v>
      </c>
      <c r="G36" s="17" t="n">
        <v>1020805.6</v>
      </c>
      <c r="H36" s="17" t="n">
        <v>924344</v>
      </c>
      <c r="I36" s="17" t="n">
        <v>87018</v>
      </c>
      <c r="J36" s="17" t="n">
        <v>749042</v>
      </c>
      <c r="K36" s="17" t="n">
        <v>713018.4</v>
      </c>
      <c r="L36" s="17" t="n">
        <v>589916</v>
      </c>
      <c r="M36" s="17" t="n">
        <v>116759</v>
      </c>
      <c r="N36" s="17" t="n">
        <v>3803</v>
      </c>
      <c r="O36" s="17" t="n">
        <v>7890</v>
      </c>
      <c r="P36" s="17" t="n">
        <v>2601</v>
      </c>
      <c r="Q36" s="17" t="n">
        <v>573</v>
      </c>
      <c r="R36" s="17" t="n">
        <v>-21</v>
      </c>
      <c r="S36" s="17" t="n">
        <v>104918</v>
      </c>
      <c r="T36" s="17" t="n">
        <v>704507</v>
      </c>
      <c r="U36" s="17" t="n">
        <v>14582</v>
      </c>
      <c r="V36" s="17" t="n">
        <v>1.42847962432808</v>
      </c>
      <c r="W36" s="17" t="n">
        <v>16.51</v>
      </c>
      <c r="X36" s="17" t="n">
        <v>3.50957980394927</v>
      </c>
      <c r="Y36" s="17" t="n">
        <v>1.162685136481</v>
      </c>
      <c r="Z36" s="17" t="n">
        <v>14.8923999335706</v>
      </c>
      <c r="AA36" s="17" t="n">
        <v>8.24486152919072</v>
      </c>
      <c r="AB36" s="17"/>
      <c r="AC36" s="17"/>
      <c r="AD36" s="17"/>
      <c r="AE36" s="17"/>
      <c r="AF36" s="17"/>
      <c r="AG36" s="18" t="n">
        <f aca="false">IFERROR(100*O36/F36,"")</f>
        <v>0.747568979582555</v>
      </c>
      <c r="AH36" s="18" t="n">
        <f aca="false">IFERROR(100*(P36+Q36)/F36,"")</f>
        <v>0.300733072394807</v>
      </c>
      <c r="AI36" s="18" t="n">
        <f aca="false">IFERROR(100*R36/K36,"")</f>
        <v>-0.00294522553695669</v>
      </c>
      <c r="AJ36" s="18" t="n">
        <f aca="false">IF(T36&gt;0,100*S36/T36,"")</f>
        <v>14.8923999335706</v>
      </c>
      <c r="AK36" s="18" t="n">
        <f aca="false">IFERROR(100*U36/G36,"")</f>
        <v>1.42847962432808</v>
      </c>
      <c r="AL36" s="18" t="n">
        <f aca="false">IFERROR(100*J36/H36,"")</f>
        <v>81.034982647153</v>
      </c>
      <c r="AM36" s="18" t="n">
        <f aca="false">IFERROR(100*L36/J36,"")</f>
        <v>78.7560644129435</v>
      </c>
      <c r="AN36" s="18" t="n">
        <f aca="false">IFERROR(100*M36/J36,"")</f>
        <v>15.5877774544018</v>
      </c>
      <c r="AO36" s="18" t="n">
        <f aca="false">IFERROR(100*N36/J36,"")</f>
        <v>0.507715188200395</v>
      </c>
    </row>
    <row r="37" customFormat="false" ht="15" hidden="false" customHeight="false" outlineLevel="0" collapsed="false">
      <c r="A37" s="17" t="n">
        <v>6271</v>
      </c>
      <c r="B37" s="23" t="n">
        <v>45016</v>
      </c>
      <c r="C37" s="17" t="s">
        <v>147</v>
      </c>
      <c r="D37" s="17" t="s">
        <v>113</v>
      </c>
      <c r="E37" s="17" t="s">
        <v>114</v>
      </c>
      <c r="F37" s="17" t="n">
        <v>1030080</v>
      </c>
      <c r="G37" s="17" t="n">
        <v>1042750.5</v>
      </c>
      <c r="H37" s="17" t="n">
        <v>889655</v>
      </c>
      <c r="I37" s="17" t="n">
        <v>91934</v>
      </c>
      <c r="J37" s="17" t="n">
        <v>759096</v>
      </c>
      <c r="K37" s="17" t="n">
        <v>754069</v>
      </c>
      <c r="L37" s="17" t="n">
        <v>593607</v>
      </c>
      <c r="M37" s="17" t="n">
        <v>120865</v>
      </c>
      <c r="N37" s="17" t="n">
        <v>3347</v>
      </c>
      <c r="O37" s="17" t="n">
        <v>8482</v>
      </c>
      <c r="P37" s="17" t="n">
        <v>2551</v>
      </c>
      <c r="Q37" s="17" t="n">
        <v>176</v>
      </c>
      <c r="R37" s="17" t="n">
        <v>-384</v>
      </c>
      <c r="S37" s="17" t="n">
        <v>107265</v>
      </c>
      <c r="T37" s="17" t="n">
        <v>711841</v>
      </c>
      <c r="U37" s="17" t="n">
        <v>14444</v>
      </c>
      <c r="V37" s="17" t="n">
        <v>1.38518274505742</v>
      </c>
      <c r="W37" s="17" t="n">
        <v>16.14</v>
      </c>
      <c r="X37" s="17" t="n">
        <v>3.56771486783687</v>
      </c>
      <c r="Y37" s="17" t="n">
        <v>1.21934511576928</v>
      </c>
      <c r="Z37" s="17" t="n">
        <v>15.0686740437823</v>
      </c>
      <c r="AA37" s="17" t="n">
        <v>8.92493786890339</v>
      </c>
      <c r="AB37" s="17" t="n">
        <v>2.51949460819196</v>
      </c>
      <c r="AC37" s="17" t="n">
        <v>8.93826607712542</v>
      </c>
      <c r="AD37" s="17" t="n">
        <v>1.27773268475271</v>
      </c>
      <c r="AE37" s="17" t="n">
        <v>0.376927905681315</v>
      </c>
      <c r="AF37" s="17" t="n">
        <v>0.284499200738429</v>
      </c>
      <c r="AG37" s="18" t="n">
        <f aca="false">IFERROR(100*O37/F37,"")</f>
        <v>0.8234311898105</v>
      </c>
      <c r="AH37" s="18" t="n">
        <f aca="false">IFERROR(100*(P37+Q37)/F37,"")</f>
        <v>0.264736719478099</v>
      </c>
      <c r="AI37" s="18" t="n">
        <f aca="false">IFERROR(100*R37/K37,"")</f>
        <v>-0.050923721834474</v>
      </c>
      <c r="AJ37" s="18" t="n">
        <f aca="false">IF(T37&gt;0,100*S37/T37,"")</f>
        <v>15.0686740437822</v>
      </c>
      <c r="AK37" s="18" t="n">
        <f aca="false">IFERROR(100*U37/G37,"")</f>
        <v>1.38518274505742</v>
      </c>
      <c r="AL37" s="18" t="n">
        <f aca="false">IFERROR(100*J37/H37,"")</f>
        <v>85.3247607218529</v>
      </c>
      <c r="AM37" s="18" t="n">
        <f aca="false">IFERROR(100*L37/J37,"")</f>
        <v>78.199200101173</v>
      </c>
      <c r="AN37" s="18" t="n">
        <f aca="false">IFERROR(100*M37/J37,"")</f>
        <v>15.9222285455331</v>
      </c>
      <c r="AO37" s="18" t="n">
        <f aca="false">IFERROR(100*N37/J37,"")</f>
        <v>0.440919198625734</v>
      </c>
    </row>
    <row r="38" customFormat="false" ht="15" hidden="false" customHeight="false" outlineLevel="0" collapsed="false">
      <c r="A38" s="17" t="n">
        <v>6271</v>
      </c>
      <c r="B38" s="23" t="n">
        <v>45107</v>
      </c>
      <c r="C38" s="17" t="s">
        <v>147</v>
      </c>
      <c r="D38" s="17" t="s">
        <v>113</v>
      </c>
      <c r="E38" s="17" t="s">
        <v>114</v>
      </c>
      <c r="F38" s="17" t="n">
        <v>1031317</v>
      </c>
      <c r="G38" s="17" t="n">
        <v>1038939.33333333</v>
      </c>
      <c r="H38" s="17" t="n">
        <v>852686</v>
      </c>
      <c r="I38" s="17" t="n">
        <v>92265</v>
      </c>
      <c r="J38" s="17" t="n">
        <v>782411</v>
      </c>
      <c r="K38" s="17" t="n">
        <v>763516.333333333</v>
      </c>
      <c r="L38" s="17" t="n">
        <v>618469</v>
      </c>
      <c r="M38" s="17" t="n">
        <v>125407</v>
      </c>
      <c r="N38" s="17" t="n">
        <v>3526</v>
      </c>
      <c r="O38" s="17" t="n">
        <v>7745</v>
      </c>
      <c r="P38" s="17" t="n">
        <v>1900</v>
      </c>
      <c r="Q38" s="17" t="n">
        <v>351</v>
      </c>
      <c r="R38" s="17" t="n">
        <v>566</v>
      </c>
      <c r="S38" s="17" t="n">
        <v>109365</v>
      </c>
      <c r="T38" s="17" t="n">
        <v>737262</v>
      </c>
      <c r="U38" s="17" t="n">
        <v>14228</v>
      </c>
      <c r="V38" s="17" t="n">
        <v>1.36947361058618</v>
      </c>
      <c r="W38" s="17" t="n">
        <v>15.74</v>
      </c>
      <c r="X38" s="17" t="n">
        <v>3.53794135103339</v>
      </c>
      <c r="Y38" s="17" t="n">
        <v>1.18300995256969</v>
      </c>
      <c r="Z38" s="17" t="n">
        <v>14.8339396306876</v>
      </c>
      <c r="AA38" s="17" t="n">
        <v>8.94632785069964</v>
      </c>
      <c r="AB38" s="17" t="n">
        <v>3.23886193869236</v>
      </c>
      <c r="AC38" s="17" t="n">
        <v>11.1133044382211</v>
      </c>
      <c r="AD38" s="17" t="n">
        <v>-2.33810560073302</v>
      </c>
      <c r="AE38" s="17" t="n">
        <v>0.221987954156887</v>
      </c>
      <c r="AF38" s="17" t="n">
        <v>0.264476519807155</v>
      </c>
      <c r="AG38" s="18" t="n">
        <f aca="false">IFERROR(100*O38/F38,"")</f>
        <v>0.750981511989039</v>
      </c>
      <c r="AH38" s="18" t="n">
        <f aca="false">IFERROR(100*(P38+Q38)/F38,"")</f>
        <v>0.218264607293393</v>
      </c>
      <c r="AI38" s="18" t="n">
        <f aca="false">IFERROR(100*R38/K38,"")</f>
        <v>0.0741306996706903</v>
      </c>
      <c r="AJ38" s="18" t="n">
        <f aca="false">IF(T38&gt;0,100*S38/T38,"")</f>
        <v>14.8339396306876</v>
      </c>
      <c r="AK38" s="18" t="n">
        <f aca="false">IFERROR(100*U38/G38,"")</f>
        <v>1.36947361058618</v>
      </c>
      <c r="AL38" s="18" t="n">
        <f aca="false">IFERROR(100*J38/H38,"")</f>
        <v>91.7583964085255</v>
      </c>
      <c r="AM38" s="18" t="n">
        <f aca="false">IFERROR(100*L38/J38,"")</f>
        <v>79.0465624844232</v>
      </c>
      <c r="AN38" s="18" t="n">
        <f aca="false">IFERROR(100*M38/J38,"")</f>
        <v>16.0282766985638</v>
      </c>
      <c r="AO38" s="18" t="n">
        <f aca="false">IFERROR(100*N38/J38,"")</f>
        <v>0.450658285734735</v>
      </c>
    </row>
    <row r="39" customFormat="false" ht="15" hidden="false" customHeight="false" outlineLevel="0" collapsed="false">
      <c r="A39" s="17" t="n">
        <v>6271</v>
      </c>
      <c r="B39" s="23" t="n">
        <v>45199</v>
      </c>
      <c r="C39" s="17" t="s">
        <v>147</v>
      </c>
      <c r="D39" s="17" t="s">
        <v>113</v>
      </c>
      <c r="E39" s="17" t="s">
        <v>114</v>
      </c>
      <c r="F39" s="17" t="n">
        <v>1082666</v>
      </c>
      <c r="G39" s="17" t="n">
        <v>1049871</v>
      </c>
      <c r="H39" s="17" t="n">
        <v>902628</v>
      </c>
      <c r="I39" s="17" t="n">
        <v>90587</v>
      </c>
      <c r="J39" s="17" t="n">
        <v>839179</v>
      </c>
      <c r="K39" s="17" t="n">
        <v>782432</v>
      </c>
      <c r="L39" s="17" t="n">
        <v>644820</v>
      </c>
      <c r="M39" s="17" t="n">
        <v>125837</v>
      </c>
      <c r="N39" s="17" t="n">
        <v>3320</v>
      </c>
      <c r="O39" s="17" t="n">
        <v>7215</v>
      </c>
      <c r="P39" s="17" t="n">
        <v>724</v>
      </c>
      <c r="Q39" s="17" t="n">
        <v>999</v>
      </c>
      <c r="R39" s="17" t="n">
        <v>418.6562</v>
      </c>
      <c r="S39" s="17" t="n">
        <v>112109</v>
      </c>
      <c r="T39" s="17" t="n">
        <v>765294</v>
      </c>
      <c r="U39" s="17" t="n">
        <v>14384.9737</v>
      </c>
      <c r="V39" s="17" t="n">
        <v>1.3701658298972</v>
      </c>
      <c r="W39" s="17" t="n">
        <v>15.9</v>
      </c>
      <c r="X39" s="17" t="n">
        <v>3.50998122320519</v>
      </c>
      <c r="Y39" s="17" t="n">
        <v>1.13062886464032</v>
      </c>
      <c r="Z39" s="17" t="n">
        <v>14.6491413757327</v>
      </c>
      <c r="AA39" s="17" t="n">
        <v>8.36703101418166</v>
      </c>
      <c r="AB39" s="17" t="n">
        <v>5.48732543671877</v>
      </c>
      <c r="AC39" s="17" t="n">
        <v>15.7822048011082</v>
      </c>
      <c r="AD39" s="17" t="n">
        <v>-0.166126552597523</v>
      </c>
      <c r="AE39" s="17" t="n">
        <v>0.104906297420965</v>
      </c>
      <c r="AF39" s="17" t="n">
        <v>-0.171805026418204</v>
      </c>
      <c r="AG39" s="18" t="n">
        <f aca="false">IFERROR(100*O39/F39,"")</f>
        <v>0.666410508873466</v>
      </c>
      <c r="AH39" s="18" t="n">
        <f aca="false">IFERROR(100*(P39+Q39)/F39,"")</f>
        <v>0.15914418666514</v>
      </c>
      <c r="AI39" s="18" t="n">
        <f aca="false">IFERROR(100*R39/K39,"")</f>
        <v>0.0535070395893829</v>
      </c>
      <c r="AJ39" s="18" t="n">
        <f aca="false">IF(T39&gt;0,100*S39/T39,"")</f>
        <v>14.6491413757327</v>
      </c>
      <c r="AK39" s="18" t="n">
        <f aca="false">IFERROR(100*U39/G39,"")</f>
        <v>1.3701658298972</v>
      </c>
      <c r="AL39" s="18" t="n">
        <f aca="false">IFERROR(100*J39/H39,"")</f>
        <v>92.9706368515047</v>
      </c>
      <c r="AM39" s="18" t="n">
        <f aca="false">IFERROR(100*L39/J39,"")</f>
        <v>76.8393870675982</v>
      </c>
      <c r="AN39" s="18" t="n">
        <f aca="false">IFERROR(100*M39/J39,"")</f>
        <v>14.9952513111029</v>
      </c>
      <c r="AO39" s="18" t="n">
        <f aca="false">IFERROR(100*N39/J39,"")</f>
        <v>0.395624771353907</v>
      </c>
    </row>
    <row r="40" customFormat="false" ht="15" hidden="false" customHeight="false" outlineLevel="0" collapsed="false">
      <c r="A40" s="17" t="n">
        <v>6271</v>
      </c>
      <c r="B40" s="23" t="n">
        <v>45291</v>
      </c>
      <c r="C40" s="17" t="s">
        <v>147</v>
      </c>
      <c r="D40" s="17" t="s">
        <v>113</v>
      </c>
      <c r="E40" s="17" t="s">
        <v>114</v>
      </c>
      <c r="F40" s="17" t="n">
        <v>1098634</v>
      </c>
      <c r="G40" s="17" t="n">
        <v>1059623.6</v>
      </c>
      <c r="H40" s="17" t="n">
        <v>898049</v>
      </c>
      <c r="I40" s="17" t="n">
        <v>101032</v>
      </c>
      <c r="J40" s="17" t="n">
        <v>846003</v>
      </c>
      <c r="K40" s="17" t="n">
        <v>795146.2</v>
      </c>
      <c r="L40" s="17" t="n">
        <v>655964</v>
      </c>
      <c r="M40" s="17" t="n">
        <v>122908</v>
      </c>
      <c r="N40" s="17" t="n">
        <v>7945</v>
      </c>
      <c r="O40" s="17" t="n">
        <v>6955</v>
      </c>
      <c r="P40" s="17" t="n">
        <v>2530</v>
      </c>
      <c r="Q40" s="17" t="n">
        <v>485</v>
      </c>
      <c r="R40" s="17" t="n">
        <v>341</v>
      </c>
      <c r="S40" s="17" t="n">
        <v>115051</v>
      </c>
      <c r="T40" s="17" t="n">
        <v>771938</v>
      </c>
      <c r="U40" s="17" t="n">
        <v>14650</v>
      </c>
      <c r="V40" s="17" t="n">
        <v>1.3825664132056</v>
      </c>
      <c r="W40" s="17" t="n">
        <v>15.83</v>
      </c>
      <c r="X40" s="17" t="n">
        <v>3.53792271157194</v>
      </c>
      <c r="Y40" s="17" t="n">
        <v>1.16347105152109</v>
      </c>
      <c r="Z40" s="17" t="n">
        <v>14.9041762421334</v>
      </c>
      <c r="AA40" s="17" t="n">
        <v>9.19614721554221</v>
      </c>
      <c r="AB40" s="17" t="n">
        <v>4.094385084246</v>
      </c>
      <c r="AC40" s="17" t="n">
        <v>12.9446679892449</v>
      </c>
      <c r="AD40" s="17" t="n">
        <v>-2.84472014747756</v>
      </c>
      <c r="AE40" s="17" t="n">
        <v>-0.0459132111224849</v>
      </c>
      <c r="AF40" s="17" t="n">
        <v>-0.1145101082933</v>
      </c>
      <c r="AG40" s="18" t="n">
        <f aca="false">IFERROR(100*O40/F40,"")</f>
        <v>0.633058871289256</v>
      </c>
      <c r="AH40" s="18" t="n">
        <f aca="false">IFERROR(100*(P40+Q40)/F40,"")</f>
        <v>0.274431703369821</v>
      </c>
      <c r="AI40" s="18" t="n">
        <f aca="false">IFERROR(100*R40/K40,"")</f>
        <v>0.0428851952005807</v>
      </c>
      <c r="AJ40" s="18" t="n">
        <f aca="false">IF(T40&gt;0,100*S40/T40,"")</f>
        <v>14.9041762421334</v>
      </c>
      <c r="AK40" s="18" t="n">
        <f aca="false">IFERROR(100*U40/G40,"")</f>
        <v>1.38256641320559</v>
      </c>
      <c r="AL40" s="18" t="n">
        <f aca="false">IFERROR(100*J40/H40,"")</f>
        <v>94.2045478587471</v>
      </c>
      <c r="AM40" s="18" t="n">
        <f aca="false">IFERROR(100*L40/J40,"")</f>
        <v>77.536840885907</v>
      </c>
      <c r="AN40" s="18" t="n">
        <f aca="false">IFERROR(100*M40/J40,"")</f>
        <v>14.5280808696896</v>
      </c>
      <c r="AO40" s="18" t="n">
        <f aca="false">IFERROR(100*N40/J40,"")</f>
        <v>0.939121965288539</v>
      </c>
    </row>
    <row r="41" customFormat="false" ht="15" hidden="false" customHeight="false" outlineLevel="0" collapsed="false">
      <c r="A41" s="17" t="n">
        <v>6271</v>
      </c>
      <c r="B41" s="23" t="n">
        <v>45382</v>
      </c>
      <c r="C41" s="17" t="s">
        <v>147</v>
      </c>
      <c r="D41" s="17" t="s">
        <v>113</v>
      </c>
      <c r="E41" s="17" t="s">
        <v>114</v>
      </c>
      <c r="F41" s="17" t="n">
        <v>1106658</v>
      </c>
      <c r="G41" s="17" t="n">
        <v>1102646</v>
      </c>
      <c r="H41" s="17" t="n">
        <v>884850</v>
      </c>
      <c r="I41" s="17" t="n">
        <v>101645</v>
      </c>
      <c r="J41" s="17" t="n">
        <v>867382</v>
      </c>
      <c r="K41" s="17" t="n">
        <v>856692.5</v>
      </c>
      <c r="L41" s="17" t="n">
        <v>668396</v>
      </c>
      <c r="M41" s="17" t="n">
        <v>129701</v>
      </c>
      <c r="N41" s="17" t="n">
        <v>7634</v>
      </c>
      <c r="O41" s="17" t="n">
        <v>6384</v>
      </c>
      <c r="P41" s="17" t="n">
        <v>2165</v>
      </c>
      <c r="Q41" s="17" t="n">
        <v>787</v>
      </c>
      <c r="R41" s="17" t="n">
        <v>532</v>
      </c>
      <c r="S41" s="17" t="n">
        <v>117333</v>
      </c>
      <c r="T41" s="17" t="n">
        <v>784750</v>
      </c>
      <c r="U41" s="17" t="n">
        <v>12404</v>
      </c>
      <c r="V41" s="17" t="n">
        <v>1.1249303947051</v>
      </c>
      <c r="W41" s="17" t="n">
        <v>12.24</v>
      </c>
      <c r="X41" s="17" t="n">
        <v>3.32582939701992</v>
      </c>
      <c r="Y41" s="17" t="n">
        <v>1.15612267720566</v>
      </c>
      <c r="Z41" s="17" t="n">
        <v>14.9516406498885</v>
      </c>
      <c r="AA41" s="17" t="n">
        <v>9.18486108626152</v>
      </c>
      <c r="AB41" s="17" t="n">
        <v>7.4341798695247</v>
      </c>
      <c r="AC41" s="17" t="n">
        <v>14.2651258865809</v>
      </c>
      <c r="AD41" s="17" t="n">
        <v>-0.540097003894768</v>
      </c>
      <c r="AE41" s="17" t="n">
        <v>-0.260252350352322</v>
      </c>
      <c r="AF41" s="17" t="n">
        <v>-0.24655920225879</v>
      </c>
      <c r="AG41" s="18" t="n">
        <f aca="false">IFERROR(100*O41/F41,"")</f>
        <v>0.57687198755171</v>
      </c>
      <c r="AH41" s="18" t="n">
        <f aca="false">IFERROR(100*(P41+Q41)/F41,"")</f>
        <v>0.266749076950603</v>
      </c>
      <c r="AI41" s="18" t="n">
        <f aca="false">IFERROR(100*R41/K41,"")</f>
        <v>0.0620992946710751</v>
      </c>
      <c r="AJ41" s="18" t="n">
        <f aca="false">IF(T41&gt;0,100*S41/T41,"")</f>
        <v>14.9516406498885</v>
      </c>
      <c r="AK41" s="18" t="n">
        <f aca="false">IFERROR(100*U41/G41,"")</f>
        <v>1.1249303947051</v>
      </c>
      <c r="AL41" s="18" t="n">
        <f aca="false">IFERROR(100*J41/H41,"")</f>
        <v>98.0258800926711</v>
      </c>
      <c r="AM41" s="18" t="n">
        <f aca="false">IFERROR(100*L41/J41,"")</f>
        <v>77.059012061583</v>
      </c>
      <c r="AN41" s="18" t="n">
        <f aca="false">IFERROR(100*M41/J41,"")</f>
        <v>14.9531578935233</v>
      </c>
      <c r="AO41" s="18" t="n">
        <f aca="false">IFERROR(100*N41/J41,"")</f>
        <v>0.880119716572398</v>
      </c>
    </row>
    <row r="42" customFormat="false" ht="15" hidden="false" customHeight="false" outlineLevel="0" collapsed="false">
      <c r="A42" s="17" t="n">
        <v>6271</v>
      </c>
      <c r="B42" s="23" t="n">
        <v>45473</v>
      </c>
      <c r="C42" s="17" t="s">
        <v>147</v>
      </c>
      <c r="D42" s="17" t="s">
        <v>113</v>
      </c>
      <c r="E42" s="17" t="s">
        <v>114</v>
      </c>
      <c r="F42" s="17" t="n">
        <v>1099892</v>
      </c>
      <c r="G42" s="17" t="n">
        <v>1101728</v>
      </c>
      <c r="H42" s="17" t="n">
        <v>850097</v>
      </c>
      <c r="I42" s="17" t="n">
        <v>103229</v>
      </c>
      <c r="J42" s="17" t="n">
        <v>862977</v>
      </c>
      <c r="K42" s="17" t="n">
        <v>858787.333333333</v>
      </c>
      <c r="L42" s="17" t="n">
        <v>686602</v>
      </c>
      <c r="M42" s="17" t="n">
        <v>129288</v>
      </c>
      <c r="N42" s="17" t="n">
        <v>7297</v>
      </c>
      <c r="O42" s="17" t="n">
        <v>5816</v>
      </c>
      <c r="P42" s="17" t="n">
        <v>1210</v>
      </c>
      <c r="Q42" s="17" t="n">
        <v>670</v>
      </c>
      <c r="R42" s="17" t="n">
        <v>354</v>
      </c>
      <c r="S42" s="17" t="n">
        <v>118935</v>
      </c>
      <c r="T42" s="17" t="n">
        <v>799065</v>
      </c>
      <c r="U42" s="17" t="n">
        <v>12298</v>
      </c>
      <c r="V42" s="17" t="n">
        <v>1.11624647825961</v>
      </c>
      <c r="W42" s="17" t="n">
        <v>12.06</v>
      </c>
      <c r="X42" s="17" t="n">
        <v>3.28546061949211</v>
      </c>
      <c r="Y42" s="17" t="n">
        <v>1.1977144234435</v>
      </c>
      <c r="Z42" s="17" t="n">
        <v>14.8842709917216</v>
      </c>
      <c r="AA42" s="17" t="n">
        <v>9.38537601873639</v>
      </c>
      <c r="AB42" s="17" t="n">
        <v>6.64926496896687</v>
      </c>
      <c r="AC42" s="17" t="n">
        <v>10.2971456178402</v>
      </c>
      <c r="AD42" s="17" t="n">
        <v>-0.303628768386022</v>
      </c>
      <c r="AE42" s="17" t="n">
        <v>-0.253227132326575</v>
      </c>
      <c r="AF42" s="17" t="n">
        <v>-0.222202322759551</v>
      </c>
      <c r="AG42" s="18" t="n">
        <f aca="false">IFERROR(100*O42/F42,"")</f>
        <v>0.528779189229488</v>
      </c>
      <c r="AH42" s="18" t="n">
        <f aca="false">IFERROR(100*(P42+Q42)/F42,"")</f>
        <v>0.170925872722049</v>
      </c>
      <c r="AI42" s="18" t="n">
        <f aca="false">IFERROR(100*R42/K42,"")</f>
        <v>0.0412209153837854</v>
      </c>
      <c r="AJ42" s="18" t="n">
        <f aca="false">IF(T42&gt;0,100*S42/T42,"")</f>
        <v>14.8842709917216</v>
      </c>
      <c r="AK42" s="18" t="n">
        <f aca="false">IFERROR(100*U42/G42,"")</f>
        <v>1.11624647825961</v>
      </c>
      <c r="AL42" s="18" t="n">
        <f aca="false">IFERROR(100*J42/H42,"")</f>
        <v>101.515121215579</v>
      </c>
      <c r="AM42" s="18" t="n">
        <f aca="false">IFERROR(100*L42/J42,"")</f>
        <v>79.5620277249568</v>
      </c>
      <c r="AN42" s="18" t="n">
        <f aca="false">IFERROR(100*M42/J42,"")</f>
        <v>14.9816275520669</v>
      </c>
      <c r="AO42" s="18" t="n">
        <f aca="false">IFERROR(100*N42/J42,"")</f>
        <v>0.845561353315326</v>
      </c>
    </row>
    <row r="43" customFormat="false" ht="15" hidden="false" customHeight="false" outlineLevel="0" collapsed="false">
      <c r="A43" s="17" t="n">
        <v>6271</v>
      </c>
      <c r="B43" s="23" t="n">
        <v>45565</v>
      </c>
      <c r="C43" s="17" t="s">
        <v>147</v>
      </c>
      <c r="D43" s="17" t="s">
        <v>113</v>
      </c>
      <c r="E43" s="17" t="s">
        <v>114</v>
      </c>
      <c r="F43" s="17" t="n">
        <v>1176660</v>
      </c>
      <c r="G43" s="17" t="n">
        <v>1120461</v>
      </c>
      <c r="H43" s="17" t="n">
        <v>930724</v>
      </c>
      <c r="I43" s="17" t="n">
        <v>110390</v>
      </c>
      <c r="J43" s="17" t="n">
        <v>913349</v>
      </c>
      <c r="K43" s="17" t="n">
        <v>872427.75</v>
      </c>
      <c r="L43" s="17" t="n">
        <v>709642</v>
      </c>
      <c r="M43" s="17" t="n">
        <v>123877</v>
      </c>
      <c r="N43" s="17" t="n">
        <v>7088</v>
      </c>
      <c r="O43" s="17" t="n">
        <v>4487</v>
      </c>
      <c r="P43" s="17" t="n">
        <v>141</v>
      </c>
      <c r="Q43" s="17" t="n">
        <v>873</v>
      </c>
      <c r="R43" s="17" t="n">
        <v>1839.954</v>
      </c>
      <c r="S43" s="17" t="n">
        <v>121525</v>
      </c>
      <c r="T43" s="17" t="n">
        <v>822982</v>
      </c>
      <c r="U43" s="17" t="n">
        <v>12751.6812</v>
      </c>
      <c r="V43" s="17" t="n">
        <v>1.13807452468225</v>
      </c>
      <c r="W43" s="17" t="n">
        <v>12.25</v>
      </c>
      <c r="X43" s="17" t="n">
        <v>3.28231818568023</v>
      </c>
      <c r="Y43" s="17" t="n">
        <v>1.04450763070852</v>
      </c>
      <c r="Z43" s="17" t="n">
        <v>14.7664225949049</v>
      </c>
      <c r="AA43" s="17" t="n">
        <v>9.38163955603148</v>
      </c>
      <c r="AB43" s="17" t="n">
        <v>8.68171716854505</v>
      </c>
      <c r="AC43" s="17" t="n">
        <v>8.83840038895158</v>
      </c>
      <c r="AD43" s="17" t="n">
        <v>3.11268872669583</v>
      </c>
      <c r="AE43" s="17" t="n">
        <v>-0.232091305214946</v>
      </c>
      <c r="AF43" s="17" t="n">
        <v>-0.285076903583918</v>
      </c>
      <c r="AG43" s="18" t="n">
        <f aca="false">IFERROR(100*O43/F43,"")</f>
        <v>0.381333605289548</v>
      </c>
      <c r="AH43" s="18" t="n">
        <f aca="false">IFERROR(100*(P43+Q43)/F43,"")</f>
        <v>0.0861761256437714</v>
      </c>
      <c r="AI43" s="18" t="n">
        <f aca="false">IFERROR(100*R43/K43,"")</f>
        <v>0.21090044419151</v>
      </c>
      <c r="AJ43" s="18" t="n">
        <f aca="false">IF(T43&gt;0,100*S43/T43,"")</f>
        <v>14.7664225949049</v>
      </c>
      <c r="AK43" s="18" t="n">
        <f aca="false">IFERROR(100*U43/G43,"")</f>
        <v>1.13807452468225</v>
      </c>
      <c r="AL43" s="18" t="n">
        <f aca="false">IFERROR(100*J43/H43,"")</f>
        <v>98.1331737443109</v>
      </c>
      <c r="AM43" s="18" t="n">
        <f aca="false">IFERROR(100*L43/J43,"")</f>
        <v>77.6966964435282</v>
      </c>
      <c r="AN43" s="18" t="n">
        <f aca="false">IFERROR(100*M43/J43,"")</f>
        <v>13.5629425334675</v>
      </c>
      <c r="AO43" s="18" t="n">
        <f aca="false">IFERROR(100*N43/J43,"")</f>
        <v>0.776045082438367</v>
      </c>
    </row>
    <row r="44" customFormat="false" ht="15" hidden="false" customHeight="false" outlineLevel="0" collapsed="false">
      <c r="A44" s="17" t="n">
        <v>6271</v>
      </c>
      <c r="B44" s="23" t="n">
        <v>45657</v>
      </c>
      <c r="C44" s="17" t="s">
        <v>147</v>
      </c>
      <c r="D44" s="17" t="s">
        <v>113</v>
      </c>
      <c r="E44" s="17" t="s">
        <v>114</v>
      </c>
      <c r="F44" s="17" t="n">
        <v>1248213</v>
      </c>
      <c r="G44" s="17" t="n">
        <v>1146011.4</v>
      </c>
      <c r="H44" s="17" t="n">
        <v>1002714</v>
      </c>
      <c r="I44" s="17" t="n">
        <v>110120</v>
      </c>
      <c r="J44" s="17" t="n">
        <v>928589</v>
      </c>
      <c r="K44" s="17" t="n">
        <v>883660</v>
      </c>
      <c r="L44" s="17" t="n">
        <v>726591</v>
      </c>
      <c r="M44" s="17" t="n">
        <v>124383</v>
      </c>
      <c r="N44" s="17" t="n">
        <v>6728</v>
      </c>
      <c r="O44" s="17" t="n">
        <v>8338</v>
      </c>
      <c r="P44" s="17" t="n">
        <v>3522</v>
      </c>
      <c r="Q44" s="17" t="n">
        <v>806</v>
      </c>
      <c r="R44" s="17" t="n">
        <v>1268</v>
      </c>
      <c r="S44" s="17" t="n">
        <v>124837</v>
      </c>
      <c r="T44" s="17" t="n">
        <v>845623</v>
      </c>
      <c r="U44" s="17" t="n">
        <v>14008</v>
      </c>
      <c r="V44" s="17" t="n">
        <v>1.22232640966748</v>
      </c>
      <c r="W44" s="17" t="n">
        <v>13.31</v>
      </c>
      <c r="X44" s="17" t="n">
        <v>3.30963366885195</v>
      </c>
      <c r="Y44" s="17" t="n">
        <v>1.05644154733687</v>
      </c>
      <c r="Z44" s="17" t="n">
        <v>14.7627252333487</v>
      </c>
      <c r="AA44" s="17" t="n">
        <v>8.8222122346106</v>
      </c>
      <c r="AB44" s="17" t="n">
        <v>13.6149982614774</v>
      </c>
      <c r="AC44" s="17" t="n">
        <v>9.76190391759839</v>
      </c>
      <c r="AD44" s="17" t="n">
        <v>11.6547092641938</v>
      </c>
      <c r="AE44" s="17" t="n">
        <v>-0.160240003538117</v>
      </c>
      <c r="AF44" s="17" t="n">
        <v>0.0349360943135703</v>
      </c>
      <c r="AG44" s="18" t="n">
        <f aca="false">IFERROR(100*O44/F44,"")</f>
        <v>0.667994965602826</v>
      </c>
      <c r="AH44" s="18" t="n">
        <f aca="false">IFERROR(100*(P44+Q44)/F44,"")</f>
        <v>0.346735693347209</v>
      </c>
      <c r="AI44" s="18" t="n">
        <f aca="false">IFERROR(100*R44/K44,"")</f>
        <v>0.143494104067175</v>
      </c>
      <c r="AJ44" s="18" t="n">
        <f aca="false">IF(T44&gt;0,100*S44/T44,"")</f>
        <v>14.7627252333487</v>
      </c>
      <c r="AK44" s="18" t="n">
        <f aca="false">IFERROR(100*U44/G44,"")</f>
        <v>1.22232640966748</v>
      </c>
      <c r="AL44" s="18" t="n">
        <f aca="false">IFERROR(100*J44/H44,"")</f>
        <v>92.6075630738177</v>
      </c>
      <c r="AM44" s="18" t="n">
        <f aca="false">IFERROR(100*L44/J44,"")</f>
        <v>78.2467808686082</v>
      </c>
      <c r="AN44" s="18" t="n">
        <f aca="false">IFERROR(100*M44/J44,"")</f>
        <v>13.3948388361266</v>
      </c>
      <c r="AO44" s="18" t="n">
        <f aca="false">IFERROR(100*N44/J44,"")</f>
        <v>0.724540135625126</v>
      </c>
    </row>
    <row r="45" customFormat="false" ht="15" hidden="false" customHeight="false" outlineLevel="0" collapsed="false">
      <c r="A45" s="17" t="n">
        <v>6271</v>
      </c>
      <c r="B45" s="23" t="n">
        <v>45747</v>
      </c>
      <c r="C45" s="17" t="s">
        <v>147</v>
      </c>
      <c r="D45" s="17" t="s">
        <v>113</v>
      </c>
      <c r="E45" s="17" t="s">
        <v>114</v>
      </c>
      <c r="F45" s="17" t="n">
        <v>1187395</v>
      </c>
      <c r="G45" s="17" t="n">
        <v>1217804</v>
      </c>
      <c r="H45" s="17" t="n">
        <v>980794</v>
      </c>
      <c r="I45" s="17" t="n">
        <v>115170</v>
      </c>
      <c r="J45" s="17" t="n">
        <v>941445</v>
      </c>
      <c r="K45" s="17" t="n">
        <v>935017</v>
      </c>
      <c r="L45" s="17" t="n">
        <v>739251</v>
      </c>
      <c r="M45" s="17" t="n">
        <v>120099</v>
      </c>
      <c r="N45" s="17" t="n">
        <v>6417</v>
      </c>
      <c r="O45" s="17" t="n">
        <v>8907</v>
      </c>
      <c r="P45" s="17" t="n">
        <v>2556</v>
      </c>
      <c r="Q45" s="17" t="n">
        <v>494</v>
      </c>
      <c r="R45" s="17" t="n">
        <v>224</v>
      </c>
      <c r="S45" s="17" t="n">
        <v>127684</v>
      </c>
      <c r="T45" s="17" t="n">
        <v>854765</v>
      </c>
      <c r="U45" s="17" t="n">
        <v>15240</v>
      </c>
      <c r="V45" s="17" t="n">
        <v>1.25143290710164</v>
      </c>
      <c r="W45" s="17" t="n">
        <v>13.53</v>
      </c>
      <c r="X45" s="17" t="n">
        <v>3.37324130573203</v>
      </c>
      <c r="Y45" s="17" t="n">
        <v>1.08067916872467</v>
      </c>
      <c r="Z45" s="17" t="n">
        <v>14.9379069100864</v>
      </c>
      <c r="AA45" s="17" t="n">
        <v>9.69938394552782</v>
      </c>
      <c r="AB45" s="17" t="n">
        <v>7.29556918216829</v>
      </c>
      <c r="AC45" s="17" t="n">
        <v>8.53868307158783</v>
      </c>
      <c r="AD45" s="17" t="n">
        <v>10.8429677346443</v>
      </c>
      <c r="AE45" s="17" t="n">
        <v>0.126502512396535</v>
      </c>
      <c r="AF45" s="17" t="n">
        <v>0.173257497581713</v>
      </c>
      <c r="AG45" s="18" t="n">
        <f aca="false">IFERROR(100*O45/F45,"")</f>
        <v>0.750129485133422</v>
      </c>
      <c r="AH45" s="18" t="n">
        <f aca="false">IFERROR(100*(P45+Q45)/F45,"")</f>
        <v>0.256864817520707</v>
      </c>
      <c r="AI45" s="18" t="n">
        <f aca="false">IFERROR(100*R45/K45,"")</f>
        <v>0.0239567836734519</v>
      </c>
      <c r="AJ45" s="18" t="n">
        <f aca="false">IF(T45&gt;0,100*S45/T45,"")</f>
        <v>14.9379069100864</v>
      </c>
      <c r="AK45" s="18" t="n">
        <f aca="false">IFERROR(100*U45/G45,"")</f>
        <v>1.25143290710164</v>
      </c>
      <c r="AL45" s="18" t="n">
        <f aca="false">IFERROR(100*J45/H45,"")</f>
        <v>95.9880464195336</v>
      </c>
      <c r="AM45" s="18" t="n">
        <f aca="false">IFERROR(100*L45/J45,"")</f>
        <v>78.5230151522394</v>
      </c>
      <c r="AN45" s="18" t="n">
        <f aca="false">IFERROR(100*M45/J45,"")</f>
        <v>12.7568790529452</v>
      </c>
      <c r="AO45" s="18" t="n">
        <f aca="false">IFERROR(100*N45/J45,"")</f>
        <v>0.681611777639692</v>
      </c>
    </row>
    <row r="46" customFormat="false" ht="15" hidden="false" customHeight="false" outlineLevel="0" collapsed="false">
      <c r="A46" s="17" t="n">
        <v>6271</v>
      </c>
      <c r="B46" s="23" t="n">
        <v>45838</v>
      </c>
      <c r="C46" s="17" t="s">
        <v>147</v>
      </c>
      <c r="D46" s="17" t="s">
        <v>113</v>
      </c>
      <c r="E46" s="17" t="s">
        <v>114</v>
      </c>
      <c r="F46" s="17" t="n">
        <v>1166044</v>
      </c>
      <c r="G46" s="17" t="n">
        <v>1200550.66666667</v>
      </c>
      <c r="H46" s="17" t="n">
        <v>934460</v>
      </c>
      <c r="I46" s="17" t="n">
        <v>118181</v>
      </c>
      <c r="J46" s="17" t="n">
        <v>943328</v>
      </c>
      <c r="K46" s="17" t="n">
        <v>937787.333333333</v>
      </c>
      <c r="L46" s="17" t="n">
        <v>758237</v>
      </c>
      <c r="M46" s="17" t="n">
        <v>126312</v>
      </c>
      <c r="N46" s="17" t="n">
        <v>10804</v>
      </c>
      <c r="O46" s="17" t="n">
        <v>8674</v>
      </c>
      <c r="P46" s="17" t="n">
        <v>759</v>
      </c>
      <c r="Q46" s="17" t="n">
        <v>557</v>
      </c>
      <c r="R46" s="17" t="n">
        <v>148</v>
      </c>
      <c r="S46" s="17" t="n">
        <v>130047</v>
      </c>
      <c r="T46" s="17" t="n">
        <v>875964</v>
      </c>
      <c r="U46" s="17" t="n">
        <v>16332</v>
      </c>
      <c r="V46" s="17" t="n">
        <v>1.3603757386888</v>
      </c>
      <c r="W46" s="17" t="n">
        <v>14.26</v>
      </c>
      <c r="X46" s="17" t="n">
        <v>3.50631044981212</v>
      </c>
      <c r="Y46" s="17" t="n">
        <v>1.11838088130534</v>
      </c>
      <c r="Z46" s="17" t="n">
        <v>14.8461580612902</v>
      </c>
      <c r="AA46" s="17" t="n">
        <v>10.1352093059953</v>
      </c>
      <c r="AB46" s="17" t="n">
        <v>6.0144086873984</v>
      </c>
      <c r="AC46" s="17" t="n">
        <v>9.31090863371793</v>
      </c>
      <c r="AD46" s="17" t="n">
        <v>9.92392632840724</v>
      </c>
      <c r="AE46" s="17" t="n">
        <v>0.244129260429195</v>
      </c>
      <c r="AF46" s="17" t="n">
        <v>0.215103545898861</v>
      </c>
      <c r="AG46" s="18" t="n">
        <f aca="false">IFERROR(100*O46/F46,"")</f>
        <v>0.743882735128349</v>
      </c>
      <c r="AH46" s="18" t="n">
        <f aca="false">IFERROR(100*(P46+Q46)/F46,"")</f>
        <v>0.112860235119773</v>
      </c>
      <c r="AI46" s="18" t="n">
        <f aca="false">IFERROR(100*R46/K46,"")</f>
        <v>0.0157818297112138</v>
      </c>
      <c r="AJ46" s="18" t="n">
        <f aca="false">IF(T46&gt;0,100*S46/T46,"")</f>
        <v>14.8461580612902</v>
      </c>
      <c r="AK46" s="18" t="n">
        <f aca="false">IFERROR(100*U46/G46,"")</f>
        <v>1.3603757386888</v>
      </c>
      <c r="AL46" s="18" t="n">
        <f aca="false">IFERROR(100*J46/H46,"")</f>
        <v>100.948997281853</v>
      </c>
      <c r="AM46" s="18" t="n">
        <f aca="false">IFERROR(100*L46/J46,"")</f>
        <v>80.3789350045795</v>
      </c>
      <c r="AN46" s="18" t="n">
        <f aca="false">IFERROR(100*M46/J46,"")</f>
        <v>13.3900403677194</v>
      </c>
      <c r="AO46" s="18" t="n">
        <f aca="false">IFERROR(100*N46/J46,"")</f>
        <v>1.14530682858984</v>
      </c>
    </row>
    <row r="47" customFormat="false" ht="15" hidden="false" customHeight="false" outlineLevel="0" collapsed="false">
      <c r="A47" s="17" t="n">
        <v>6275</v>
      </c>
      <c r="B47" s="23" t="n">
        <v>44651</v>
      </c>
      <c r="C47" s="17" t="s">
        <v>165</v>
      </c>
      <c r="D47" s="17" t="s">
        <v>113</v>
      </c>
      <c r="E47" s="17" t="s">
        <v>118</v>
      </c>
      <c r="F47" s="17" t="n">
        <v>531651</v>
      </c>
      <c r="G47" s="17" t="n">
        <v>540168.5</v>
      </c>
      <c r="H47" s="17" t="n">
        <v>472420</v>
      </c>
      <c r="I47" s="17" t="n">
        <v>32835</v>
      </c>
      <c r="J47" s="17" t="n">
        <v>284192</v>
      </c>
      <c r="K47" s="17" t="n">
        <v>284051</v>
      </c>
      <c r="L47" s="17" t="n">
        <v>237696</v>
      </c>
      <c r="M47" s="17" t="n">
        <v>24050</v>
      </c>
      <c r="N47" s="17" t="n">
        <v>12501</v>
      </c>
      <c r="O47" s="17" t="n">
        <v>1559</v>
      </c>
      <c r="P47" s="17" t="n">
        <v>381</v>
      </c>
      <c r="Q47" s="17" t="n">
        <v>242</v>
      </c>
      <c r="R47" s="17" t="n">
        <v>-12</v>
      </c>
      <c r="S47" s="17" t="n">
        <v>45411</v>
      </c>
      <c r="T47" s="17" t="n">
        <v>279510</v>
      </c>
      <c r="U47" s="17" t="n">
        <v>2540</v>
      </c>
      <c r="V47" s="17" t="n">
        <v>0.470223643178008</v>
      </c>
      <c r="W47" s="17" t="n">
        <v>6.87</v>
      </c>
      <c r="X47" s="17" t="n">
        <v>2.5345588039533</v>
      </c>
      <c r="Y47" s="17" t="n">
        <v>1.09890496565702</v>
      </c>
      <c r="Z47" s="17" t="n">
        <v>16.2466459160674</v>
      </c>
      <c r="AA47" s="17" t="n">
        <v>6.17604405897854</v>
      </c>
      <c r="AB47" s="17"/>
      <c r="AC47" s="17"/>
      <c r="AD47" s="17"/>
      <c r="AE47" s="17"/>
      <c r="AF47" s="17"/>
      <c r="AG47" s="18" t="n">
        <f aca="false">IFERROR(100*O47/F47,"")</f>
        <v>0.293237480979063</v>
      </c>
      <c r="AH47" s="18" t="n">
        <f aca="false">IFERROR(100*(P47+Q47)/F47,"")</f>
        <v>0.117182136401512</v>
      </c>
      <c r="AI47" s="18" t="n">
        <f aca="false">IFERROR(100*R47/K47,"")</f>
        <v>-0.00422459347089079</v>
      </c>
      <c r="AJ47" s="18" t="n">
        <f aca="false">IF(T47&gt;0,100*S47/T47,"")</f>
        <v>16.2466459160674</v>
      </c>
      <c r="AK47" s="18" t="n">
        <f aca="false">IFERROR(100*U47/G47,"")</f>
        <v>0.470223643178008</v>
      </c>
      <c r="AL47" s="18" t="n">
        <f aca="false">IFERROR(100*J47/H47,"")</f>
        <v>60.156640277719</v>
      </c>
      <c r="AM47" s="18" t="n">
        <f aca="false">IFERROR(100*L47/J47,"")</f>
        <v>83.6392298164621</v>
      </c>
      <c r="AN47" s="18" t="n">
        <f aca="false">IFERROR(100*M47/J47,"")</f>
        <v>8.4625886724468</v>
      </c>
      <c r="AO47" s="18" t="n">
        <f aca="false">IFERROR(100*N47/J47,"")</f>
        <v>4.39878673572796</v>
      </c>
    </row>
    <row r="48" customFormat="false" ht="15" hidden="false" customHeight="false" outlineLevel="0" collapsed="false">
      <c r="A48" s="17" t="n">
        <v>6275</v>
      </c>
      <c r="B48" s="23" t="n">
        <v>44742</v>
      </c>
      <c r="C48" s="17" t="s">
        <v>165</v>
      </c>
      <c r="D48" s="17" t="s">
        <v>113</v>
      </c>
      <c r="E48" s="17" t="s">
        <v>118</v>
      </c>
      <c r="F48" s="17" t="n">
        <v>532831</v>
      </c>
      <c r="G48" s="17" t="n">
        <v>537722.666666667</v>
      </c>
      <c r="H48" s="17" t="n">
        <v>476559</v>
      </c>
      <c r="I48" s="17" t="n">
        <v>27657</v>
      </c>
      <c r="J48" s="17" t="n">
        <v>291783</v>
      </c>
      <c r="K48" s="17" t="n">
        <v>286628.333333333</v>
      </c>
      <c r="L48" s="17" t="n">
        <v>243597</v>
      </c>
      <c r="M48" s="17" t="n">
        <v>24306</v>
      </c>
      <c r="N48" s="17" t="n">
        <v>12786</v>
      </c>
      <c r="O48" s="17" t="n">
        <v>1592</v>
      </c>
      <c r="P48" s="17" t="n">
        <v>126</v>
      </c>
      <c r="Q48" s="17" t="n">
        <v>0</v>
      </c>
      <c r="R48" s="17" t="n">
        <v>-2</v>
      </c>
      <c r="S48" s="17" t="n">
        <v>45732</v>
      </c>
      <c r="T48" s="17" t="n">
        <v>281101</v>
      </c>
      <c r="U48" s="17" t="n">
        <v>3000</v>
      </c>
      <c r="V48" s="17" t="n">
        <v>0.557908413754798</v>
      </c>
      <c r="W48" s="17" t="n">
        <v>8.86</v>
      </c>
      <c r="X48" s="17" t="n">
        <v>2.63578513235654</v>
      </c>
      <c r="Y48" s="17" t="n">
        <v>0.966814379179047</v>
      </c>
      <c r="Z48" s="17" t="n">
        <v>16.2688855607059</v>
      </c>
      <c r="AA48" s="17" t="n">
        <v>5.19057637412238</v>
      </c>
      <c r="AB48" s="17"/>
      <c r="AC48" s="17"/>
      <c r="AD48" s="17"/>
      <c r="AE48" s="17"/>
      <c r="AF48" s="17"/>
      <c r="AG48" s="18" t="n">
        <f aca="false">IFERROR(100*O48/F48,"")</f>
        <v>0.298781414745013</v>
      </c>
      <c r="AH48" s="18" t="n">
        <f aca="false">IFERROR(100*(P48+Q48)/F48,"")</f>
        <v>0.023647272775045</v>
      </c>
      <c r="AI48" s="18" t="n">
        <f aca="false">IFERROR(100*R48/K48,"")</f>
        <v>-0.000697767724753892</v>
      </c>
      <c r="AJ48" s="18" t="n">
        <f aca="false">IF(T48&gt;0,100*S48/T48,"")</f>
        <v>16.2688855607059</v>
      </c>
      <c r="AK48" s="18" t="n">
        <f aca="false">IFERROR(100*U48/G48,"")</f>
        <v>0.557908413754798</v>
      </c>
      <c r="AL48" s="18" t="n">
        <f aca="false">IFERROR(100*J48/H48,"")</f>
        <v>61.2270463887997</v>
      </c>
      <c r="AM48" s="18" t="n">
        <f aca="false">IFERROR(100*L48/J48,"")</f>
        <v>83.48567257174</v>
      </c>
      <c r="AN48" s="18" t="n">
        <f aca="false">IFERROR(100*M48/J48,"")</f>
        <v>8.33016316920451</v>
      </c>
      <c r="AO48" s="18" t="n">
        <f aca="false">IFERROR(100*N48/J48,"")</f>
        <v>4.38202362714757</v>
      </c>
    </row>
    <row r="49" customFormat="false" ht="15" hidden="false" customHeight="false" outlineLevel="0" collapsed="false">
      <c r="A49" s="17" t="n">
        <v>6275</v>
      </c>
      <c r="B49" s="23" t="n">
        <v>44834</v>
      </c>
      <c r="C49" s="17" t="s">
        <v>165</v>
      </c>
      <c r="D49" s="17" t="s">
        <v>113</v>
      </c>
      <c r="E49" s="17" t="s">
        <v>118</v>
      </c>
      <c r="F49" s="17" t="n">
        <v>538969</v>
      </c>
      <c r="G49" s="17" t="n">
        <v>538034.25</v>
      </c>
      <c r="H49" s="17" t="n">
        <v>499382</v>
      </c>
      <c r="I49" s="17" t="n">
        <v>21431</v>
      </c>
      <c r="J49" s="17" t="n">
        <v>302728</v>
      </c>
      <c r="K49" s="17" t="n">
        <v>290653.25</v>
      </c>
      <c r="L49" s="17" t="n">
        <v>249546</v>
      </c>
      <c r="M49" s="17" t="n">
        <v>29293</v>
      </c>
      <c r="N49" s="17" t="n">
        <v>13387</v>
      </c>
      <c r="O49" s="17" t="n">
        <v>1530</v>
      </c>
      <c r="P49" s="17" t="n">
        <v>46</v>
      </c>
      <c r="Q49" s="17" t="n">
        <v>23</v>
      </c>
      <c r="R49" s="17" t="n">
        <v>0</v>
      </c>
      <c r="S49" s="17" t="n">
        <v>46457</v>
      </c>
      <c r="T49" s="17" t="n">
        <v>294200</v>
      </c>
      <c r="U49" s="17" t="n">
        <v>3294.5843</v>
      </c>
      <c r="V49" s="17" t="n">
        <v>0.612337281502061</v>
      </c>
      <c r="W49" s="17" t="n">
        <v>10.71</v>
      </c>
      <c r="X49" s="17" t="n">
        <v>2.74506460329647</v>
      </c>
      <c r="Y49" s="17" t="n">
        <v>0.927895668719114</v>
      </c>
      <c r="Z49" s="17" t="n">
        <v>15.7909585316112</v>
      </c>
      <c r="AA49" s="17" t="n">
        <v>3.97629548267155</v>
      </c>
      <c r="AB49" s="17"/>
      <c r="AC49" s="17"/>
      <c r="AD49" s="17"/>
      <c r="AE49" s="17"/>
      <c r="AF49" s="17"/>
      <c r="AG49" s="18" t="n">
        <f aca="false">IFERROR(100*O49/F49,"")</f>
        <v>0.283875324925923</v>
      </c>
      <c r="AH49" s="18" t="n">
        <f aca="false">IFERROR(100*(P49+Q49)/F49,"")</f>
        <v>0.012802220535875</v>
      </c>
      <c r="AI49" s="18" t="n">
        <f aca="false">IFERROR(100*R49/K49,"")</f>
        <v>0</v>
      </c>
      <c r="AJ49" s="18" t="n">
        <f aca="false">IF(T49&gt;0,100*S49/T49,"")</f>
        <v>15.7909585316112</v>
      </c>
      <c r="AK49" s="18" t="n">
        <f aca="false">IFERROR(100*U49/G49,"")</f>
        <v>0.612337281502061</v>
      </c>
      <c r="AL49" s="18" t="n">
        <f aca="false">IFERROR(100*J49/H49,"")</f>
        <v>60.6205269713366</v>
      </c>
      <c r="AM49" s="18" t="n">
        <f aca="false">IFERROR(100*L49/J49,"")</f>
        <v>82.4324145767818</v>
      </c>
      <c r="AN49" s="18" t="n">
        <f aca="false">IFERROR(100*M49/J49,"")</f>
        <v>9.67634311989641</v>
      </c>
      <c r="AO49" s="18" t="n">
        <f aca="false">IFERROR(100*N49/J49,"")</f>
        <v>4.4221215084168</v>
      </c>
    </row>
    <row r="50" customFormat="false" ht="15" hidden="false" customHeight="false" outlineLevel="0" collapsed="false">
      <c r="A50" s="17" t="n">
        <v>6275</v>
      </c>
      <c r="B50" s="23" t="n">
        <v>44926</v>
      </c>
      <c r="C50" s="17" t="s">
        <v>165</v>
      </c>
      <c r="D50" s="17" t="s">
        <v>113</v>
      </c>
      <c r="E50" s="17" t="s">
        <v>118</v>
      </c>
      <c r="F50" s="17" t="n">
        <v>534246</v>
      </c>
      <c r="G50" s="17" t="n">
        <v>537276.6</v>
      </c>
      <c r="H50" s="17" t="n">
        <v>499882</v>
      </c>
      <c r="I50" s="17" t="n">
        <v>24487</v>
      </c>
      <c r="J50" s="17" t="n">
        <v>310667</v>
      </c>
      <c r="K50" s="17" t="n">
        <v>294656</v>
      </c>
      <c r="L50" s="17" t="n">
        <v>252290</v>
      </c>
      <c r="M50" s="17" t="n">
        <v>33759</v>
      </c>
      <c r="N50" s="17" t="n">
        <v>13570</v>
      </c>
      <c r="O50" s="17" t="n">
        <v>1436</v>
      </c>
      <c r="P50" s="17" t="n">
        <v>237</v>
      </c>
      <c r="Q50" s="17" t="n">
        <v>0</v>
      </c>
      <c r="R50" s="17" t="n">
        <v>2</v>
      </c>
      <c r="S50" s="17" t="n">
        <v>46875</v>
      </c>
      <c r="T50" s="17" t="n">
        <v>298825</v>
      </c>
      <c r="U50" s="17" t="n">
        <v>3133</v>
      </c>
      <c r="V50" s="17" t="n">
        <v>0.583126084404197</v>
      </c>
      <c r="W50" s="17" t="n">
        <v>10.62</v>
      </c>
      <c r="X50" s="17" t="n">
        <v>2.86500169611941</v>
      </c>
      <c r="Y50" s="17" t="n">
        <v>0.903217915002237</v>
      </c>
      <c r="Z50" s="17" t="n">
        <v>15.6864385509914</v>
      </c>
      <c r="AA50" s="17" t="n">
        <v>4.58346903860768</v>
      </c>
      <c r="AB50" s="17"/>
      <c r="AC50" s="17"/>
      <c r="AD50" s="17"/>
      <c r="AE50" s="17"/>
      <c r="AF50" s="17"/>
      <c r="AG50" s="18" t="n">
        <f aca="false">IFERROR(100*O50/F50,"")</f>
        <v>0.268790033055933</v>
      </c>
      <c r="AH50" s="18" t="n">
        <f aca="false">IFERROR(100*(P50+Q50)/F50,"")</f>
        <v>0.0443615862355544</v>
      </c>
      <c r="AI50" s="18" t="n">
        <f aca="false">IFERROR(100*R50/K50,"")</f>
        <v>0.000678757602085143</v>
      </c>
      <c r="AJ50" s="18" t="n">
        <f aca="false">IF(T50&gt;0,100*S50/T50,"")</f>
        <v>15.6864385509914</v>
      </c>
      <c r="AK50" s="18" t="n">
        <f aca="false">IFERROR(100*U50/G50,"")</f>
        <v>0.583126084404197</v>
      </c>
      <c r="AL50" s="18" t="n">
        <f aca="false">IFERROR(100*J50/H50,"")</f>
        <v>62.1480669437987</v>
      </c>
      <c r="AM50" s="18" t="n">
        <f aca="false">IFERROR(100*L50/J50,"")</f>
        <v>81.2091403335404</v>
      </c>
      <c r="AN50" s="18" t="n">
        <f aca="false">IFERROR(100*M50/J50,"")</f>
        <v>10.8666192418248</v>
      </c>
      <c r="AO50" s="18" t="n">
        <f aca="false">IFERROR(100*N50/J50,"")</f>
        <v>4.36802106435508</v>
      </c>
    </row>
    <row r="51" customFormat="false" ht="15" hidden="false" customHeight="false" outlineLevel="0" collapsed="false">
      <c r="A51" s="17" t="n">
        <v>6275</v>
      </c>
      <c r="B51" s="23" t="n">
        <v>45016</v>
      </c>
      <c r="C51" s="17" t="s">
        <v>165</v>
      </c>
      <c r="D51" s="17" t="s">
        <v>113</v>
      </c>
      <c r="E51" s="17" t="s">
        <v>118</v>
      </c>
      <c r="F51" s="17" t="n">
        <v>537695</v>
      </c>
      <c r="G51" s="17" t="n">
        <v>535970.5</v>
      </c>
      <c r="H51" s="17" t="n">
        <v>478571</v>
      </c>
      <c r="I51" s="17" t="n">
        <v>28866</v>
      </c>
      <c r="J51" s="17" t="n">
        <v>316204</v>
      </c>
      <c r="K51" s="17" t="n">
        <v>313435.5</v>
      </c>
      <c r="L51" s="17" t="n">
        <v>257983</v>
      </c>
      <c r="M51" s="17" t="n">
        <v>34399</v>
      </c>
      <c r="N51" s="17" t="n">
        <v>13680</v>
      </c>
      <c r="O51" s="17" t="n">
        <v>1344</v>
      </c>
      <c r="P51" s="17" t="n">
        <v>84</v>
      </c>
      <c r="Q51" s="17" t="n">
        <v>0</v>
      </c>
      <c r="R51" s="17" t="n">
        <v>-4</v>
      </c>
      <c r="S51" s="17" t="n">
        <v>47110</v>
      </c>
      <c r="T51" s="17" t="n">
        <v>304350</v>
      </c>
      <c r="U51" s="17" t="n">
        <v>3208</v>
      </c>
      <c r="V51" s="17" t="n">
        <v>0.598540404742425</v>
      </c>
      <c r="W51" s="17" t="n">
        <v>12.03</v>
      </c>
      <c r="X51" s="17" t="n">
        <v>3.1316128693877</v>
      </c>
      <c r="Y51" s="17" t="n">
        <v>0.423460803784898</v>
      </c>
      <c r="Z51" s="17" t="n">
        <v>15.478889436504</v>
      </c>
      <c r="AA51" s="17" t="n">
        <v>5.36847097332131</v>
      </c>
      <c r="AB51" s="17" t="n">
        <v>1.13683600707983</v>
      </c>
      <c r="AC51" s="17" t="n">
        <v>11.2642157414706</v>
      </c>
      <c r="AD51" s="17" t="n">
        <v>1.30201938952628</v>
      </c>
      <c r="AE51" s="17" t="n">
        <v>0.128316761564417</v>
      </c>
      <c r="AF51" s="17" t="n">
        <v>-0.0432816510011019</v>
      </c>
      <c r="AG51" s="18" t="n">
        <f aca="false">IFERROR(100*O51/F51,"")</f>
        <v>0.249955829977961</v>
      </c>
      <c r="AH51" s="18" t="n">
        <f aca="false">IFERROR(100*(P51+Q51)/F51,"")</f>
        <v>0.0156222393736226</v>
      </c>
      <c r="AI51" s="18" t="n">
        <f aca="false">IFERROR(100*R51/K51,"")</f>
        <v>-0.00127617962866363</v>
      </c>
      <c r="AJ51" s="18" t="n">
        <f aca="false">IF(T51&gt;0,100*S51/T51,"")</f>
        <v>15.478889436504</v>
      </c>
      <c r="AK51" s="18" t="n">
        <f aca="false">IFERROR(100*U51/G51,"")</f>
        <v>0.598540404742425</v>
      </c>
      <c r="AL51" s="18" t="n">
        <f aca="false">IFERROR(100*J51/H51,"")</f>
        <v>66.0725367813762</v>
      </c>
      <c r="AM51" s="18" t="n">
        <f aca="false">IFERROR(100*L51/J51,"")</f>
        <v>81.5875194494693</v>
      </c>
      <c r="AN51" s="18" t="n">
        <f aca="false">IFERROR(100*M51/J51,"")</f>
        <v>10.8787365118721</v>
      </c>
      <c r="AO51" s="18" t="n">
        <f aca="false">IFERROR(100*N51/J51,"")</f>
        <v>4.32632098265677</v>
      </c>
    </row>
    <row r="52" customFormat="false" ht="15" hidden="false" customHeight="false" outlineLevel="0" collapsed="false">
      <c r="A52" s="17" t="n">
        <v>6275</v>
      </c>
      <c r="B52" s="23" t="n">
        <v>45107</v>
      </c>
      <c r="C52" s="17" t="s">
        <v>165</v>
      </c>
      <c r="D52" s="17" t="s">
        <v>113</v>
      </c>
      <c r="E52" s="17" t="s">
        <v>118</v>
      </c>
      <c r="F52" s="17" t="n">
        <v>549189</v>
      </c>
      <c r="G52" s="17" t="n">
        <v>540376.666666667</v>
      </c>
      <c r="H52" s="17" t="n">
        <v>469803</v>
      </c>
      <c r="I52" s="17" t="n">
        <v>27287</v>
      </c>
      <c r="J52" s="17" t="n">
        <v>328932</v>
      </c>
      <c r="K52" s="17" t="n">
        <v>318601</v>
      </c>
      <c r="L52" s="17" t="n">
        <v>269836</v>
      </c>
      <c r="M52" s="17" t="n">
        <v>34100</v>
      </c>
      <c r="N52" s="17" t="n">
        <v>13676</v>
      </c>
      <c r="O52" s="17" t="n">
        <v>1335</v>
      </c>
      <c r="P52" s="17" t="n">
        <v>246</v>
      </c>
      <c r="Q52" s="17" t="n">
        <v>152</v>
      </c>
      <c r="R52" s="17" t="n">
        <v>0</v>
      </c>
      <c r="S52" s="17" t="n">
        <v>47371</v>
      </c>
      <c r="T52" s="17" t="n">
        <v>314313</v>
      </c>
      <c r="U52" s="17" t="n">
        <v>2594</v>
      </c>
      <c r="V52" s="17" t="n">
        <v>0.480035530771746</v>
      </c>
      <c r="W52" s="17" t="n">
        <v>9.65</v>
      </c>
      <c r="X52" s="17" t="n">
        <v>2.97239376778099</v>
      </c>
      <c r="Y52" s="17" t="n">
        <v>0.410419174783846</v>
      </c>
      <c r="Z52" s="17" t="n">
        <v>15.0712824477511</v>
      </c>
      <c r="AA52" s="17" t="n">
        <v>4.96859915256861</v>
      </c>
      <c r="AB52" s="17" t="n">
        <v>3.07001657185861</v>
      </c>
      <c r="AC52" s="17" t="n">
        <v>12.7317218617945</v>
      </c>
      <c r="AD52" s="17" t="n">
        <v>-1.41766287070436</v>
      </c>
      <c r="AE52" s="17" t="n">
        <v>-0.0778728829830524</v>
      </c>
      <c r="AF52" s="17" t="n">
        <v>-0.0556957010835959</v>
      </c>
      <c r="AG52" s="18" t="n">
        <f aca="false">IFERROR(100*O52/F52,"")</f>
        <v>0.243085713661417</v>
      </c>
      <c r="AH52" s="18" t="n">
        <f aca="false">IFERROR(100*(P52+Q52)/F52,"")</f>
        <v>0.0724704974061753</v>
      </c>
      <c r="AI52" s="18" t="n">
        <f aca="false">IFERROR(100*R52/K52,"")</f>
        <v>0</v>
      </c>
      <c r="AJ52" s="18" t="n">
        <f aca="false">IF(T52&gt;0,100*S52/T52,"")</f>
        <v>15.0712824477511</v>
      </c>
      <c r="AK52" s="18" t="n">
        <f aca="false">IFERROR(100*U52/G52,"")</f>
        <v>0.480035530771746</v>
      </c>
      <c r="AL52" s="18" t="n">
        <f aca="false">IFERROR(100*J52/H52,"")</f>
        <v>70.0148785767652</v>
      </c>
      <c r="AM52" s="18" t="n">
        <f aca="false">IFERROR(100*L52/J52,"")</f>
        <v>82.033976627388</v>
      </c>
      <c r="AN52" s="18" t="n">
        <f aca="false">IFERROR(100*M52/J52,"")</f>
        <v>10.3668843408364</v>
      </c>
      <c r="AO52" s="18" t="n">
        <f aca="false">IFERROR(100*N52/J52,"")</f>
        <v>4.15769824766213</v>
      </c>
    </row>
    <row r="53" customFormat="false" ht="15" hidden="false" customHeight="false" outlineLevel="0" collapsed="false">
      <c r="A53" s="17" t="n">
        <v>6275</v>
      </c>
      <c r="B53" s="23" t="n">
        <v>45199</v>
      </c>
      <c r="C53" s="17" t="s">
        <v>165</v>
      </c>
      <c r="D53" s="17" t="s">
        <v>113</v>
      </c>
      <c r="E53" s="17" t="s">
        <v>118</v>
      </c>
      <c r="F53" s="17" t="n">
        <v>554170</v>
      </c>
      <c r="G53" s="17" t="n">
        <v>543825</v>
      </c>
      <c r="H53" s="17" t="n">
        <v>479167</v>
      </c>
      <c r="I53" s="17" t="n">
        <v>22855</v>
      </c>
      <c r="J53" s="17" t="n">
        <v>333822</v>
      </c>
      <c r="K53" s="17" t="n">
        <v>322406.25</v>
      </c>
      <c r="L53" s="17" t="n">
        <v>274189</v>
      </c>
      <c r="M53" s="17" t="n">
        <v>34934</v>
      </c>
      <c r="N53" s="17" t="n">
        <v>13861</v>
      </c>
      <c r="O53" s="17" t="n">
        <v>1262</v>
      </c>
      <c r="P53" s="17" t="n">
        <v>392</v>
      </c>
      <c r="Q53" s="17" t="n">
        <v>0</v>
      </c>
      <c r="R53" s="17" t="n">
        <v>0</v>
      </c>
      <c r="S53" s="17" t="n">
        <v>47587</v>
      </c>
      <c r="T53" s="17" t="n">
        <v>321564</v>
      </c>
      <c r="U53" s="17" t="n">
        <v>2329.2751</v>
      </c>
      <c r="V53" s="17" t="n">
        <v>0.428313354479842</v>
      </c>
      <c r="W53" s="17" t="n">
        <v>9</v>
      </c>
      <c r="X53" s="17" t="n">
        <v>2.89483386017296</v>
      </c>
      <c r="Y53" s="17" t="n">
        <v>0.406204504196847</v>
      </c>
      <c r="Z53" s="17" t="n">
        <v>14.7986092970606</v>
      </c>
      <c r="AA53" s="17" t="n">
        <v>4.12418571918364</v>
      </c>
      <c r="AB53" s="17" t="n">
        <v>2.82038484588167</v>
      </c>
      <c r="AC53" s="17" t="n">
        <v>10.2712666155757</v>
      </c>
      <c r="AD53" s="17" t="n">
        <v>-4.0480033321185</v>
      </c>
      <c r="AE53" s="17" t="n">
        <v>-0.184023927022219</v>
      </c>
      <c r="AF53" s="17" t="n">
        <v>-0.0561473714098543</v>
      </c>
      <c r="AG53" s="18" t="n">
        <f aca="false">IFERROR(100*O53/F53,"")</f>
        <v>0.227727953516069</v>
      </c>
      <c r="AH53" s="18" t="n">
        <f aca="false">IFERROR(100*(P53+Q53)/F53,"")</f>
        <v>0.0707364166230579</v>
      </c>
      <c r="AI53" s="18" t="n">
        <f aca="false">IFERROR(100*R53/K53,"")</f>
        <v>0</v>
      </c>
      <c r="AJ53" s="18" t="n">
        <f aca="false">IF(T53&gt;0,100*S53/T53,"")</f>
        <v>14.7986092970606</v>
      </c>
      <c r="AK53" s="18" t="n">
        <f aca="false">IFERROR(100*U53/G53,"")</f>
        <v>0.428313354479842</v>
      </c>
      <c r="AL53" s="18" t="n">
        <f aca="false">IFERROR(100*J53/H53,"")</f>
        <v>69.6671515358946</v>
      </c>
      <c r="AM53" s="18" t="n">
        <f aca="false">IFERROR(100*L53/J53,"")</f>
        <v>82.1362882014966</v>
      </c>
      <c r="AN53" s="18" t="n">
        <f aca="false">IFERROR(100*M53/J53,"")</f>
        <v>10.4648585174135</v>
      </c>
      <c r="AO53" s="18" t="n">
        <f aca="false">IFERROR(100*N53/J53,"")</f>
        <v>4.15221285595317</v>
      </c>
    </row>
    <row r="54" customFormat="false" ht="15" hidden="false" customHeight="false" outlineLevel="0" collapsed="false">
      <c r="A54" s="17" t="n">
        <v>6275</v>
      </c>
      <c r="B54" s="23" t="n">
        <v>45291</v>
      </c>
      <c r="C54" s="17" t="s">
        <v>165</v>
      </c>
      <c r="D54" s="17" t="s">
        <v>113</v>
      </c>
      <c r="E54" s="17" t="s">
        <v>118</v>
      </c>
      <c r="F54" s="17" t="n">
        <v>560588</v>
      </c>
      <c r="G54" s="17" t="n">
        <v>547177.6</v>
      </c>
      <c r="H54" s="17" t="n">
        <v>486814</v>
      </c>
      <c r="I54" s="17" t="n">
        <v>30793</v>
      </c>
      <c r="J54" s="17" t="n">
        <v>336986</v>
      </c>
      <c r="K54" s="17" t="n">
        <v>325322.2</v>
      </c>
      <c r="L54" s="17" t="n">
        <v>278886</v>
      </c>
      <c r="M54" s="17" t="n">
        <v>35545</v>
      </c>
      <c r="N54" s="17" t="n">
        <v>12925</v>
      </c>
      <c r="O54" s="17" t="n">
        <v>1221</v>
      </c>
      <c r="P54" s="17" t="n">
        <v>326</v>
      </c>
      <c r="Q54" s="17" t="n">
        <v>104</v>
      </c>
      <c r="R54" s="17" t="n">
        <v>8</v>
      </c>
      <c r="S54" s="17" t="n">
        <v>48016</v>
      </c>
      <c r="T54" s="17" t="n">
        <v>323520</v>
      </c>
      <c r="U54" s="17" t="n">
        <v>2371</v>
      </c>
      <c r="V54" s="17" t="n">
        <v>0.433314521647085</v>
      </c>
      <c r="W54" s="17" t="n">
        <v>8.83</v>
      </c>
      <c r="X54" s="17" t="n">
        <v>2.86365448541739</v>
      </c>
      <c r="Y54" s="17" t="n">
        <v>0.408028820188376</v>
      </c>
      <c r="Z54" s="17" t="n">
        <v>14.8417408506429</v>
      </c>
      <c r="AA54" s="17" t="n">
        <v>5.49298236851306</v>
      </c>
      <c r="AB54" s="17" t="n">
        <v>4.93068736125306</v>
      </c>
      <c r="AC54" s="17" t="n">
        <v>8.47177202599567</v>
      </c>
      <c r="AD54" s="17" t="n">
        <v>-2.61421695520143</v>
      </c>
      <c r="AE54" s="17" t="n">
        <v>-0.149811562757112</v>
      </c>
      <c r="AF54" s="17" t="n">
        <v>-0.0509830161379826</v>
      </c>
      <c r="AG54" s="18" t="n">
        <f aca="false">IFERROR(100*O54/F54,"")</f>
        <v>0.21780701691795</v>
      </c>
      <c r="AH54" s="18" t="n">
        <f aca="false">IFERROR(100*(P54+Q54)/F54,"")</f>
        <v>0.0767051738531685</v>
      </c>
      <c r="AI54" s="18" t="n">
        <f aca="false">IFERROR(100*R54/K54,"")</f>
        <v>0.00245910054708839</v>
      </c>
      <c r="AJ54" s="18" t="n">
        <f aca="false">IF(T54&gt;0,100*S54/T54,"")</f>
        <v>14.8417408506429</v>
      </c>
      <c r="AK54" s="18" t="n">
        <f aca="false">IFERROR(100*U54/G54,"")</f>
        <v>0.433314521647085</v>
      </c>
      <c r="AL54" s="18" t="n">
        <f aca="false">IFERROR(100*J54/H54,"")</f>
        <v>69.2227421561418</v>
      </c>
      <c r="AM54" s="18" t="n">
        <f aca="false">IFERROR(100*L54/J54,"")</f>
        <v>82.7589276705857</v>
      </c>
      <c r="AN54" s="18" t="n">
        <f aca="false">IFERROR(100*M54/J54,"")</f>
        <v>10.5479159371606</v>
      </c>
      <c r="AO54" s="18" t="n">
        <f aca="false">IFERROR(100*N54/J54,"")</f>
        <v>3.83547090977073</v>
      </c>
    </row>
    <row r="55" customFormat="false" ht="15" hidden="false" customHeight="false" outlineLevel="0" collapsed="false">
      <c r="A55" s="17" t="n">
        <v>6275</v>
      </c>
      <c r="B55" s="23" t="n">
        <v>45382</v>
      </c>
      <c r="C55" s="17" t="s">
        <v>165</v>
      </c>
      <c r="D55" s="17" t="s">
        <v>113</v>
      </c>
      <c r="E55" s="17" t="s">
        <v>118</v>
      </c>
      <c r="F55" s="17" t="n">
        <v>560771</v>
      </c>
      <c r="G55" s="17" t="n">
        <v>560679.5</v>
      </c>
      <c r="H55" s="17" t="n">
        <v>481992</v>
      </c>
      <c r="I55" s="17" t="n">
        <v>30328</v>
      </c>
      <c r="J55" s="17" t="n">
        <v>341837</v>
      </c>
      <c r="K55" s="17" t="n">
        <v>339411.5</v>
      </c>
      <c r="L55" s="17" t="n">
        <v>282409</v>
      </c>
      <c r="M55" s="17" t="n">
        <v>38194</v>
      </c>
      <c r="N55" s="17" t="n">
        <v>11822</v>
      </c>
      <c r="O55" s="17" t="n">
        <v>1168</v>
      </c>
      <c r="P55" s="17" t="n">
        <v>140</v>
      </c>
      <c r="Q55" s="17" t="n">
        <v>406</v>
      </c>
      <c r="R55" s="17" t="n">
        <v>0</v>
      </c>
      <c r="S55" s="17" t="n">
        <v>48493</v>
      </c>
      <c r="T55" s="17" t="n">
        <v>328579</v>
      </c>
      <c r="U55" s="17" t="n">
        <v>2640</v>
      </c>
      <c r="V55" s="17" t="n">
        <v>0.470857236620922</v>
      </c>
      <c r="W55" s="17" t="n">
        <v>8.64</v>
      </c>
      <c r="X55" s="17" t="n">
        <v>2.73703548739257</v>
      </c>
      <c r="Y55" s="17" t="n">
        <v>0.411599680549502</v>
      </c>
      <c r="Z55" s="17" t="n">
        <v>14.7583990455872</v>
      </c>
      <c r="AA55" s="17" t="n">
        <v>5.40826825923594</v>
      </c>
      <c r="AB55" s="17" t="n">
        <v>4.29165233078233</v>
      </c>
      <c r="AC55" s="17" t="n">
        <v>8.10647556640649</v>
      </c>
      <c r="AD55" s="17" t="n">
        <v>0.714836461047574</v>
      </c>
      <c r="AE55" s="17" t="n">
        <v>-0.127683168121504</v>
      </c>
      <c r="AF55" s="17" t="n">
        <v>-0.0416711647581124</v>
      </c>
      <c r="AG55" s="18" t="n">
        <f aca="false">IFERROR(100*O55/F55,"")</f>
        <v>0.208284665219849</v>
      </c>
      <c r="AH55" s="18" t="n">
        <f aca="false">IFERROR(100*(P55+Q55)/F55,"")</f>
        <v>0.0973659479537993</v>
      </c>
      <c r="AI55" s="18" t="n">
        <f aca="false">IFERROR(100*R55/K55,"")</f>
        <v>0</v>
      </c>
      <c r="AJ55" s="18" t="n">
        <f aca="false">IF(T55&gt;0,100*S55/T55,"")</f>
        <v>14.7583990455872</v>
      </c>
      <c r="AK55" s="18" t="n">
        <f aca="false">IFERROR(100*U55/G55,"")</f>
        <v>0.470857236620922</v>
      </c>
      <c r="AL55" s="18" t="n">
        <f aca="false">IFERROR(100*J55/H55,"")</f>
        <v>70.9217165430132</v>
      </c>
      <c r="AM55" s="18" t="n">
        <f aca="false">IFERROR(100*L55/J55,"")</f>
        <v>82.615106030067</v>
      </c>
      <c r="AN55" s="18" t="n">
        <f aca="false">IFERROR(100*M55/J55,"")</f>
        <v>11.1731614775463</v>
      </c>
      <c r="AO55" s="18" t="n">
        <f aca="false">IFERROR(100*N55/J55,"")</f>
        <v>3.45837343529226</v>
      </c>
    </row>
    <row r="56" customFormat="false" ht="15" hidden="false" customHeight="false" outlineLevel="0" collapsed="false">
      <c r="A56" s="17" t="n">
        <v>6275</v>
      </c>
      <c r="B56" s="23" t="n">
        <v>45473</v>
      </c>
      <c r="C56" s="17" t="s">
        <v>165</v>
      </c>
      <c r="D56" s="17" t="s">
        <v>113</v>
      </c>
      <c r="E56" s="17" t="s">
        <v>118</v>
      </c>
      <c r="F56" s="17" t="n">
        <v>555322</v>
      </c>
      <c r="G56" s="17" t="n">
        <v>558893.666666667</v>
      </c>
      <c r="H56" s="17" t="n">
        <v>475950</v>
      </c>
      <c r="I56" s="17" t="n">
        <v>30528</v>
      </c>
      <c r="J56" s="17" t="n">
        <v>346288</v>
      </c>
      <c r="K56" s="17" t="n">
        <v>341703.666666667</v>
      </c>
      <c r="L56" s="17" t="n">
        <v>286833</v>
      </c>
      <c r="M56" s="17" t="n">
        <v>39014</v>
      </c>
      <c r="N56" s="17" t="n">
        <v>10906</v>
      </c>
      <c r="O56" s="17" t="n">
        <v>1132</v>
      </c>
      <c r="P56" s="17" t="n">
        <v>525</v>
      </c>
      <c r="Q56" s="17" t="n">
        <v>0</v>
      </c>
      <c r="R56" s="17" t="n">
        <v>20</v>
      </c>
      <c r="S56" s="17" t="n">
        <v>48976</v>
      </c>
      <c r="T56" s="17" t="n">
        <v>330410</v>
      </c>
      <c r="U56" s="17" t="n">
        <v>2708</v>
      </c>
      <c r="V56" s="17" t="n">
        <v>0.484528661086993</v>
      </c>
      <c r="W56" s="17" t="n">
        <v>8.86</v>
      </c>
      <c r="X56" s="17" t="n">
        <v>2.76773551547238</v>
      </c>
      <c r="Y56" s="17" t="n">
        <v>0.408619415053366</v>
      </c>
      <c r="Z56" s="17" t="n">
        <v>14.8227959202203</v>
      </c>
      <c r="AA56" s="17" t="n">
        <v>5.49735108639672</v>
      </c>
      <c r="AB56" s="17" t="n">
        <v>1.11673758942732</v>
      </c>
      <c r="AC56" s="17" t="n">
        <v>5.27647051670255</v>
      </c>
      <c r="AD56" s="17" t="n">
        <v>1.30842076359665</v>
      </c>
      <c r="AE56" s="17" t="n">
        <v>0.00449313031524706</v>
      </c>
      <c r="AF56" s="17" t="n">
        <v>-0.0392400169305114</v>
      </c>
      <c r="AG56" s="18" t="n">
        <f aca="false">IFERROR(100*O56/F56,"")</f>
        <v>0.203845696730906</v>
      </c>
      <c r="AH56" s="18" t="n">
        <f aca="false">IFERROR(100*(P56+Q56)/F56,"")</f>
        <v>0.0945397445085914</v>
      </c>
      <c r="AI56" s="18" t="n">
        <f aca="false">IFERROR(100*R56/K56,"")</f>
        <v>0.00585302469683771</v>
      </c>
      <c r="AJ56" s="18" t="n">
        <f aca="false">IF(T56&gt;0,100*S56/T56,"")</f>
        <v>14.8227959202203</v>
      </c>
      <c r="AK56" s="18" t="n">
        <f aca="false">IFERROR(100*U56/G56,"")</f>
        <v>0.484528661086993</v>
      </c>
      <c r="AL56" s="18" t="n">
        <f aca="false">IFERROR(100*J56/H56,"")</f>
        <v>72.7572223973106</v>
      </c>
      <c r="AM56" s="18" t="n">
        <f aca="false">IFERROR(100*L56/J56,"")</f>
        <v>82.8307651434644</v>
      </c>
      <c r="AN56" s="18" t="n">
        <f aca="false">IFERROR(100*M56/J56,"")</f>
        <v>11.2663447766021</v>
      </c>
      <c r="AO56" s="18" t="n">
        <f aca="false">IFERROR(100*N56/J56,"")</f>
        <v>3.14940165411449</v>
      </c>
    </row>
    <row r="57" customFormat="false" ht="15" hidden="false" customHeight="false" outlineLevel="0" collapsed="false">
      <c r="A57" s="17" t="n">
        <v>6275</v>
      </c>
      <c r="B57" s="23" t="n">
        <v>45565</v>
      </c>
      <c r="C57" s="17" t="s">
        <v>165</v>
      </c>
      <c r="D57" s="17" t="s">
        <v>113</v>
      </c>
      <c r="E57" s="17" t="s">
        <v>118</v>
      </c>
      <c r="F57" s="17" t="n">
        <v>558754</v>
      </c>
      <c r="G57" s="17" t="n">
        <v>558858.75</v>
      </c>
      <c r="H57" s="17" t="n">
        <v>473501</v>
      </c>
      <c r="I57" s="17" t="n">
        <v>36242</v>
      </c>
      <c r="J57" s="17" t="n">
        <v>346673</v>
      </c>
      <c r="K57" s="17" t="n">
        <v>342946</v>
      </c>
      <c r="L57" s="17" t="n">
        <v>288795</v>
      </c>
      <c r="M57" s="17" t="n">
        <v>38226</v>
      </c>
      <c r="N57" s="17" t="n">
        <v>9769</v>
      </c>
      <c r="O57" s="17" t="n">
        <v>745</v>
      </c>
      <c r="P57" s="17" t="n">
        <v>41</v>
      </c>
      <c r="Q57" s="17" t="n">
        <v>68</v>
      </c>
      <c r="R57" s="17" t="n">
        <v>-34.6658</v>
      </c>
      <c r="S57" s="17" t="n">
        <v>49968</v>
      </c>
      <c r="T57" s="17" t="n">
        <v>328635</v>
      </c>
      <c r="U57" s="17" t="n">
        <v>3411.9147</v>
      </c>
      <c r="V57" s="17" t="n">
        <v>0.610514678351193</v>
      </c>
      <c r="W57" s="17" t="n">
        <v>10.67</v>
      </c>
      <c r="X57" s="17" t="n">
        <v>2.90157241979757</v>
      </c>
      <c r="Y57" s="17" t="n">
        <v>0.409030988856934</v>
      </c>
      <c r="Z57" s="17" t="n">
        <v>15.2047103929892</v>
      </c>
      <c r="AA57" s="17" t="n">
        <v>6.48621754833075</v>
      </c>
      <c r="AB57" s="17" t="n">
        <v>0.827182994387998</v>
      </c>
      <c r="AC57" s="17" t="n">
        <v>3.84965640371215</v>
      </c>
      <c r="AD57" s="17" t="n">
        <v>-1.18246874263044</v>
      </c>
      <c r="AE57" s="17" t="n">
        <v>0.182201323871352</v>
      </c>
      <c r="AF57" s="17" t="n">
        <v>-0.0943955746874612</v>
      </c>
      <c r="AG57" s="18" t="n">
        <f aca="false">IFERROR(100*O57/F57,"")</f>
        <v>0.133332378828608</v>
      </c>
      <c r="AH57" s="18" t="n">
        <f aca="false">IFERROR(100*(P57+Q57)/F57,"")</f>
        <v>0.0195076903252594</v>
      </c>
      <c r="AI57" s="18" t="n">
        <f aca="false">IFERROR(100*R57/K57,"")</f>
        <v>-0.0101082386148257</v>
      </c>
      <c r="AJ57" s="18" t="n">
        <f aca="false">IF(T57&gt;0,100*S57/T57,"")</f>
        <v>15.2047103929892</v>
      </c>
      <c r="AK57" s="18" t="n">
        <f aca="false">IFERROR(100*U57/G57,"")</f>
        <v>0.610514678351193</v>
      </c>
      <c r="AL57" s="18" t="n">
        <f aca="false">IFERROR(100*J57/H57,"")</f>
        <v>73.2148400953747</v>
      </c>
      <c r="AM57" s="18" t="n">
        <f aca="false">IFERROR(100*L57/J57,"")</f>
        <v>83.3047280866984</v>
      </c>
      <c r="AN57" s="18" t="n">
        <f aca="false">IFERROR(100*M57/J57,"")</f>
        <v>11.026529323022</v>
      </c>
      <c r="AO57" s="18" t="n">
        <f aca="false">IFERROR(100*N57/J57,"")</f>
        <v>2.81792928783032</v>
      </c>
    </row>
    <row r="58" customFormat="false" ht="15" hidden="false" customHeight="false" outlineLevel="0" collapsed="false">
      <c r="A58" s="17" t="n">
        <v>6275</v>
      </c>
      <c r="B58" s="23" t="n">
        <v>45657</v>
      </c>
      <c r="C58" s="17" t="s">
        <v>165</v>
      </c>
      <c r="D58" s="17" t="s">
        <v>113</v>
      </c>
      <c r="E58" s="17" t="s">
        <v>118</v>
      </c>
      <c r="F58" s="17" t="n">
        <v>547799</v>
      </c>
      <c r="G58" s="17" t="n">
        <v>556646.8</v>
      </c>
      <c r="H58" s="17" t="n">
        <v>491990</v>
      </c>
      <c r="I58" s="17" t="n">
        <v>33538</v>
      </c>
      <c r="J58" s="17" t="n">
        <v>348836</v>
      </c>
      <c r="K58" s="17" t="n">
        <v>344124</v>
      </c>
      <c r="L58" s="17" t="n">
        <v>295604</v>
      </c>
      <c r="M58" s="17" t="n">
        <v>34535</v>
      </c>
      <c r="N58" s="17" t="n">
        <v>8857</v>
      </c>
      <c r="O58" s="17" t="n">
        <v>694</v>
      </c>
      <c r="P58" s="17" t="n">
        <v>113</v>
      </c>
      <c r="Q58" s="17" t="n">
        <v>135</v>
      </c>
      <c r="R58" s="17" t="n">
        <v>-22</v>
      </c>
      <c r="S58" s="17" t="n">
        <v>50591</v>
      </c>
      <c r="T58" s="17" t="n">
        <v>327924</v>
      </c>
      <c r="U58" s="17" t="n">
        <v>3461</v>
      </c>
      <c r="V58" s="17" t="n">
        <v>0.621758716658391</v>
      </c>
      <c r="W58" s="17" t="n">
        <v>10.72</v>
      </c>
      <c r="X58" s="17" t="n">
        <v>2.93570449521976</v>
      </c>
      <c r="Y58" s="17" t="n">
        <v>0.387001341604651</v>
      </c>
      <c r="Z58" s="17" t="n">
        <v>15.4276600675766</v>
      </c>
      <c r="AA58" s="17" t="n">
        <v>6.12231858765715</v>
      </c>
      <c r="AB58" s="17" t="n">
        <v>-2.28135457769342</v>
      </c>
      <c r="AC58" s="17" t="n">
        <v>3.51646655944164</v>
      </c>
      <c r="AD58" s="17" t="n">
        <v>1.06323975892231</v>
      </c>
      <c r="AE58" s="17" t="n">
        <v>0.188444195011306</v>
      </c>
      <c r="AF58" s="17" t="n">
        <v>-0.0911182131778925</v>
      </c>
      <c r="AG58" s="18" t="n">
        <f aca="false">IFERROR(100*O58/F58,"")</f>
        <v>0.126688803740058</v>
      </c>
      <c r="AH58" s="18" t="n">
        <f aca="false">IFERROR(100*(P58+Q58)/F58,"")</f>
        <v>0.045272079722672</v>
      </c>
      <c r="AI58" s="18" t="n">
        <f aca="false">IFERROR(100*R58/K58,"")</f>
        <v>-0.00639304436772791</v>
      </c>
      <c r="AJ58" s="18" t="n">
        <f aca="false">IF(T58&gt;0,100*S58/T58,"")</f>
        <v>15.4276600675766</v>
      </c>
      <c r="AK58" s="18" t="n">
        <f aca="false">IFERROR(100*U58/G58,"")</f>
        <v>0.621758716658391</v>
      </c>
      <c r="AL58" s="18" t="n">
        <f aca="false">IFERROR(100*J58/H58,"")</f>
        <v>70.9030671355109</v>
      </c>
      <c r="AM58" s="18" t="n">
        <f aca="false">IFERROR(100*L58/J58,"")</f>
        <v>84.7401070990379</v>
      </c>
      <c r="AN58" s="18" t="n">
        <f aca="false">IFERROR(100*M58/J58,"")</f>
        <v>9.90006765356787</v>
      </c>
      <c r="AO58" s="18" t="n">
        <f aca="false">IFERROR(100*N58/J58,"")</f>
        <v>2.53901546858696</v>
      </c>
    </row>
    <row r="59" customFormat="false" ht="15" hidden="false" customHeight="false" outlineLevel="0" collapsed="false">
      <c r="A59" s="17" t="n">
        <v>6275</v>
      </c>
      <c r="B59" s="23" t="n">
        <v>45747</v>
      </c>
      <c r="C59" s="17" t="s">
        <v>165</v>
      </c>
      <c r="D59" s="17" t="s">
        <v>113</v>
      </c>
      <c r="E59" s="17" t="s">
        <v>118</v>
      </c>
      <c r="F59" s="17" t="n">
        <v>547001</v>
      </c>
      <c r="G59" s="17" t="n">
        <v>547400</v>
      </c>
      <c r="H59" s="17" t="n">
        <v>502984</v>
      </c>
      <c r="I59" s="17" t="n">
        <v>36237</v>
      </c>
      <c r="J59" s="17" t="n">
        <v>348655</v>
      </c>
      <c r="K59" s="17" t="n">
        <v>348745.5</v>
      </c>
      <c r="L59" s="17" t="n">
        <v>298585</v>
      </c>
      <c r="M59" s="17" t="n">
        <v>33302</v>
      </c>
      <c r="N59" s="17" t="n">
        <v>7846</v>
      </c>
      <c r="O59" s="17" t="n">
        <v>660</v>
      </c>
      <c r="P59" s="17" t="n">
        <v>744</v>
      </c>
      <c r="Q59" s="17" t="n">
        <v>338</v>
      </c>
      <c r="R59" s="17" t="n">
        <v>32</v>
      </c>
      <c r="S59" s="17" t="n">
        <v>51383</v>
      </c>
      <c r="T59" s="17" t="n">
        <v>326596</v>
      </c>
      <c r="U59" s="17" t="n">
        <v>4068</v>
      </c>
      <c r="V59" s="17" t="n">
        <v>0.743149433686518</v>
      </c>
      <c r="W59" s="17" t="n">
        <v>11.66</v>
      </c>
      <c r="X59" s="17" t="n">
        <v>3.20221630836216</v>
      </c>
      <c r="Y59" s="17" t="n">
        <v>0.384334083836457</v>
      </c>
      <c r="Z59" s="17" t="n">
        <v>15.7328932381291</v>
      </c>
      <c r="AA59" s="17" t="n">
        <v>6.62466796221579</v>
      </c>
      <c r="AB59" s="17" t="n">
        <v>-2.45554780828537</v>
      </c>
      <c r="AC59" s="17" t="n">
        <v>1.99451785500107</v>
      </c>
      <c r="AD59" s="17" t="n">
        <v>4.35525900844827</v>
      </c>
      <c r="AE59" s="17" t="n">
        <v>0.272292197065597</v>
      </c>
      <c r="AF59" s="17" t="n">
        <v>-0.0876267505176822</v>
      </c>
      <c r="AG59" s="18" t="n">
        <f aca="false">IFERROR(100*O59/F59,"")</f>
        <v>0.120657914702167</v>
      </c>
      <c r="AH59" s="18" t="n">
        <f aca="false">IFERROR(100*(P59+Q59)/F59,"")</f>
        <v>0.197805854102643</v>
      </c>
      <c r="AI59" s="18" t="n">
        <f aca="false">IFERROR(100*R59/K59,"")</f>
        <v>0.00917574563686126</v>
      </c>
      <c r="AJ59" s="18" t="n">
        <f aca="false">IF(T59&gt;0,100*S59/T59,"")</f>
        <v>15.7328932381291</v>
      </c>
      <c r="AK59" s="18" t="n">
        <f aca="false">IFERROR(100*U59/G59,"")</f>
        <v>0.743149433686518</v>
      </c>
      <c r="AL59" s="18" t="n">
        <f aca="false">IFERROR(100*J59/H59,"")</f>
        <v>69.3173142684459</v>
      </c>
      <c r="AM59" s="18" t="n">
        <f aca="false">IFERROR(100*L59/J59,"")</f>
        <v>85.6390988226184</v>
      </c>
      <c r="AN59" s="18" t="n">
        <f aca="false">IFERROR(100*M59/J59,"")</f>
        <v>9.55156243277739</v>
      </c>
      <c r="AO59" s="18" t="n">
        <f aca="false">IFERROR(100*N59/J59,"")</f>
        <v>2.2503621058066</v>
      </c>
    </row>
    <row r="60" customFormat="false" ht="15" hidden="false" customHeight="false" outlineLevel="0" collapsed="false">
      <c r="A60" s="17" t="n">
        <v>6275</v>
      </c>
      <c r="B60" s="23" t="n">
        <v>45838</v>
      </c>
      <c r="C60" s="17" t="s">
        <v>165</v>
      </c>
      <c r="D60" s="17" t="s">
        <v>113</v>
      </c>
      <c r="E60" s="17" t="s">
        <v>118</v>
      </c>
      <c r="F60" s="17" t="n">
        <v>552605</v>
      </c>
      <c r="G60" s="17" t="n">
        <v>549135</v>
      </c>
      <c r="H60" s="17" t="n">
        <v>506456</v>
      </c>
      <c r="I60" s="17" t="n">
        <v>38291</v>
      </c>
      <c r="J60" s="17" t="n">
        <v>349565</v>
      </c>
      <c r="K60" s="17" t="n">
        <v>349018.666666667</v>
      </c>
      <c r="L60" s="17" t="n">
        <v>299164</v>
      </c>
      <c r="M60" s="17" t="n">
        <v>32839</v>
      </c>
      <c r="N60" s="17" t="n">
        <v>7076</v>
      </c>
      <c r="O60" s="17" t="n">
        <v>652</v>
      </c>
      <c r="P60" s="17" t="n">
        <v>488</v>
      </c>
      <c r="Q60" s="17" t="n">
        <v>0</v>
      </c>
      <c r="R60" s="17" t="n">
        <v>16</v>
      </c>
      <c r="S60" s="17" t="n">
        <v>52345</v>
      </c>
      <c r="T60" s="17" t="n">
        <v>327551</v>
      </c>
      <c r="U60" s="17" t="n">
        <v>4444</v>
      </c>
      <c r="V60" s="17" t="n">
        <v>0.80927276534914</v>
      </c>
      <c r="W60" s="17" t="n">
        <v>12.34</v>
      </c>
      <c r="X60" s="17" t="n">
        <v>3.25032492027984</v>
      </c>
      <c r="Y60" s="17" t="n">
        <v>0.378470384620886</v>
      </c>
      <c r="Z60" s="17" t="n">
        <v>15.9807175065868</v>
      </c>
      <c r="AA60" s="17" t="n">
        <v>6.92918087965183</v>
      </c>
      <c r="AB60" s="17" t="n">
        <v>-0.489265687294938</v>
      </c>
      <c r="AC60" s="17" t="n">
        <v>0.946322136487554</v>
      </c>
      <c r="AD60" s="17" t="n">
        <v>6.40949679588192</v>
      </c>
      <c r="AE60" s="17" t="n">
        <v>0.324744104262147</v>
      </c>
      <c r="AF60" s="17" t="n">
        <v>-0.0858590697550368</v>
      </c>
      <c r="AG60" s="18" t="n">
        <f aca="false">IFERROR(100*O60/F60,"")</f>
        <v>0.117986626975869</v>
      </c>
      <c r="AH60" s="18" t="n">
        <f aca="false">IFERROR(100*(P60+Q60)/F60,"")</f>
        <v>0.0883090091475828</v>
      </c>
      <c r="AI60" s="18" t="n">
        <f aca="false">IFERROR(100*R60/K60,"")</f>
        <v>0.00458428202503018</v>
      </c>
      <c r="AJ60" s="18" t="n">
        <f aca="false">IF(T60&gt;0,100*S60/T60,"")</f>
        <v>15.9807175065868</v>
      </c>
      <c r="AK60" s="18" t="n">
        <f aca="false">IFERROR(100*U60/G60,"")</f>
        <v>0.80927276534914</v>
      </c>
      <c r="AL60" s="18" t="n">
        <f aca="false">IFERROR(100*J60/H60,"")</f>
        <v>69.0217906392658</v>
      </c>
      <c r="AM60" s="18" t="n">
        <f aca="false">IFERROR(100*L60/J60,"")</f>
        <v>85.5817945160414</v>
      </c>
      <c r="AN60" s="18" t="n">
        <f aca="false">IFERROR(100*M60/J60,"")</f>
        <v>9.39424713572583</v>
      </c>
      <c r="AO60" s="18" t="n">
        <f aca="false">IFERROR(100*N60/J60,"")</f>
        <v>2.02423011457097</v>
      </c>
    </row>
    <row r="61" customFormat="false" ht="15" hidden="false" customHeight="false" outlineLevel="0" collapsed="false">
      <c r="A61" s="17" t="n">
        <v>6280</v>
      </c>
      <c r="B61" s="23" t="n">
        <v>44651</v>
      </c>
      <c r="C61" s="17" t="s">
        <v>138</v>
      </c>
      <c r="D61" s="17" t="s">
        <v>113</v>
      </c>
      <c r="E61" s="17" t="s">
        <v>111</v>
      </c>
      <c r="F61" s="17" t="n">
        <v>83998</v>
      </c>
      <c r="G61" s="17" t="n">
        <v>84673</v>
      </c>
      <c r="H61" s="17" t="n">
        <v>75709</v>
      </c>
      <c r="I61" s="17" t="n">
        <v>8131</v>
      </c>
      <c r="J61" s="17" t="n">
        <v>61955</v>
      </c>
      <c r="K61" s="17" t="n">
        <v>61495</v>
      </c>
      <c r="L61" s="17" t="n">
        <v>53939</v>
      </c>
      <c r="M61" s="17" t="n">
        <v>2686</v>
      </c>
      <c r="N61" s="17" t="n">
        <v>1876</v>
      </c>
      <c r="O61" s="17" t="n">
        <v>836</v>
      </c>
      <c r="P61" s="17" t="n">
        <v>644</v>
      </c>
      <c r="Q61" s="17" t="n">
        <v>0</v>
      </c>
      <c r="R61" s="17" t="n">
        <v>-4</v>
      </c>
      <c r="S61" s="17" t="n">
        <v>0</v>
      </c>
      <c r="T61" s="17" t="n">
        <v>0</v>
      </c>
      <c r="U61" s="17" t="n">
        <v>1004</v>
      </c>
      <c r="V61" s="17" t="n">
        <v>1.18573807471095</v>
      </c>
      <c r="W61" s="17" t="n">
        <v>12.54</v>
      </c>
      <c r="X61" s="17" t="n">
        <v>3.84047633815047</v>
      </c>
      <c r="Y61" s="17" t="n">
        <v>1.33483980308288</v>
      </c>
      <c r="Z61" s="17" t="n">
        <v>0</v>
      </c>
      <c r="AA61" s="17" t="n">
        <v>9.67999238077097</v>
      </c>
      <c r="AB61" s="17"/>
      <c r="AC61" s="17"/>
      <c r="AD61" s="17"/>
      <c r="AE61" s="17"/>
      <c r="AF61" s="17"/>
      <c r="AG61" s="18" t="n">
        <f aca="false">IFERROR(100*O61/F61,"")</f>
        <v>0.995261791947427</v>
      </c>
      <c r="AH61" s="18" t="n">
        <f aca="false">IFERROR(100*(P61+Q61)/F61,"")</f>
        <v>0.766684921069549</v>
      </c>
      <c r="AI61" s="18" t="n">
        <f aca="false">IFERROR(100*R61/K61,"")</f>
        <v>-0.00650459386942028</v>
      </c>
      <c r="AJ61" s="18" t="str">
        <f aca="false">IF(T61&gt;0,100*S61/T61,"")</f>
        <v/>
      </c>
      <c r="AK61" s="18" t="n">
        <f aca="false">IFERROR(100*U61/G61,"")</f>
        <v>1.18573807471095</v>
      </c>
      <c r="AL61" s="18" t="n">
        <f aca="false">IFERROR(100*J61/H61,"")</f>
        <v>81.8330713653595</v>
      </c>
      <c r="AM61" s="18" t="n">
        <f aca="false">IFERROR(100*L61/J61,"")</f>
        <v>87.0615769510128</v>
      </c>
      <c r="AN61" s="18" t="n">
        <f aca="false">IFERROR(100*M61/J61,"")</f>
        <v>4.33540472923896</v>
      </c>
      <c r="AO61" s="18" t="n">
        <f aca="false">IFERROR(100*N61/J61,"")</f>
        <v>3.0280041965943</v>
      </c>
    </row>
    <row r="62" customFormat="false" ht="15" hidden="false" customHeight="false" outlineLevel="0" collapsed="false">
      <c r="A62" s="17" t="n">
        <v>6280</v>
      </c>
      <c r="B62" s="23" t="n">
        <v>44742</v>
      </c>
      <c r="C62" s="17" t="s">
        <v>138</v>
      </c>
      <c r="D62" s="17" t="s">
        <v>113</v>
      </c>
      <c r="E62" s="17" t="s">
        <v>111</v>
      </c>
      <c r="F62" s="17" t="n">
        <v>86239</v>
      </c>
      <c r="G62" s="17" t="n">
        <v>85195</v>
      </c>
      <c r="H62" s="17" t="n">
        <v>77591</v>
      </c>
      <c r="I62" s="17" t="n">
        <v>8210</v>
      </c>
      <c r="J62" s="17" t="n">
        <v>62135</v>
      </c>
      <c r="K62" s="17" t="n">
        <v>61708.3333333333</v>
      </c>
      <c r="L62" s="17" t="n">
        <v>53194</v>
      </c>
      <c r="M62" s="17" t="n">
        <v>3382</v>
      </c>
      <c r="N62" s="17" t="n">
        <v>2008</v>
      </c>
      <c r="O62" s="17" t="n">
        <v>755</v>
      </c>
      <c r="P62" s="17" t="n">
        <v>120</v>
      </c>
      <c r="Q62" s="17" t="n">
        <v>0</v>
      </c>
      <c r="R62" s="17" t="n">
        <v>-4</v>
      </c>
      <c r="S62" s="17" t="n">
        <v>0</v>
      </c>
      <c r="T62" s="17" t="n">
        <v>0</v>
      </c>
      <c r="U62" s="17" t="n">
        <v>1160</v>
      </c>
      <c r="V62" s="17" t="n">
        <v>1.36158225247961</v>
      </c>
      <c r="W62" s="17" t="n">
        <v>14.37</v>
      </c>
      <c r="X62" s="17" t="n">
        <v>3.96841017566304</v>
      </c>
      <c r="Y62" s="17" t="n">
        <v>1.33097288162871</v>
      </c>
      <c r="Z62" s="17" t="n">
        <v>0</v>
      </c>
      <c r="AA62" s="17" t="n">
        <v>9.52005473161795</v>
      </c>
      <c r="AB62" s="17"/>
      <c r="AC62" s="17"/>
      <c r="AD62" s="17"/>
      <c r="AE62" s="17"/>
      <c r="AF62" s="17"/>
      <c r="AG62" s="18" t="n">
        <f aca="false">IFERROR(100*O62/F62,"")</f>
        <v>0.875473973492272</v>
      </c>
      <c r="AH62" s="18" t="n">
        <f aca="false">IFERROR(100*(P62+Q62)/F62,"")</f>
        <v>0.139148181217315</v>
      </c>
      <c r="AI62" s="18" t="n">
        <f aca="false">IFERROR(100*R62/K62,"")</f>
        <v>-0.00648210668467252</v>
      </c>
      <c r="AJ62" s="18" t="str">
        <f aca="false">IF(T62&gt;0,100*S62/T62,"")</f>
        <v/>
      </c>
      <c r="AK62" s="18" t="n">
        <f aca="false">IFERROR(100*U62/G62,"")</f>
        <v>1.36158225247961</v>
      </c>
      <c r="AL62" s="18" t="n">
        <f aca="false">IFERROR(100*J62/H62,"")</f>
        <v>80.080163936539</v>
      </c>
      <c r="AM62" s="18" t="n">
        <f aca="false">IFERROR(100*L62/J62,"")</f>
        <v>85.6103645288485</v>
      </c>
      <c r="AN62" s="18" t="n">
        <f aca="false">IFERROR(100*M62/J62,"")</f>
        <v>5.44298704433894</v>
      </c>
      <c r="AO62" s="18" t="n">
        <f aca="false">IFERROR(100*N62/J62,"")</f>
        <v>3.23167297014565</v>
      </c>
    </row>
    <row r="63" customFormat="false" ht="15" hidden="false" customHeight="false" outlineLevel="0" collapsed="false">
      <c r="A63" s="17" t="n">
        <v>6280</v>
      </c>
      <c r="B63" s="23" t="n">
        <v>44834</v>
      </c>
      <c r="C63" s="17" t="s">
        <v>138</v>
      </c>
      <c r="D63" s="17" t="s">
        <v>113</v>
      </c>
      <c r="E63" s="17" t="s">
        <v>111</v>
      </c>
      <c r="F63" s="17" t="n">
        <v>87700</v>
      </c>
      <c r="G63" s="17" t="n">
        <v>85821.25</v>
      </c>
      <c r="H63" s="17" t="n">
        <v>78966</v>
      </c>
      <c r="I63" s="17" t="n">
        <v>8505</v>
      </c>
      <c r="J63" s="17" t="n">
        <v>62691</v>
      </c>
      <c r="K63" s="17" t="n">
        <v>61954</v>
      </c>
      <c r="L63" s="17" t="n">
        <v>53838</v>
      </c>
      <c r="M63" s="17" t="n">
        <v>3097</v>
      </c>
      <c r="N63" s="17" t="n">
        <v>1958</v>
      </c>
      <c r="O63" s="17" t="n">
        <v>667</v>
      </c>
      <c r="P63" s="17" t="n">
        <v>659</v>
      </c>
      <c r="Q63" s="17" t="n">
        <v>0</v>
      </c>
      <c r="R63" s="17" t="n">
        <v>103.9974</v>
      </c>
      <c r="S63" s="17" t="n">
        <v>0</v>
      </c>
      <c r="T63" s="17" t="n">
        <v>0</v>
      </c>
      <c r="U63" s="17" t="n">
        <v>1166.6375</v>
      </c>
      <c r="V63" s="17" t="n">
        <v>1.35938068951454</v>
      </c>
      <c r="W63" s="17" t="n">
        <v>14.26</v>
      </c>
      <c r="X63" s="17" t="n">
        <v>4.11454325169757</v>
      </c>
      <c r="Y63" s="17" t="n">
        <v>1.31916862069516</v>
      </c>
      <c r="Z63" s="17" t="n">
        <v>0</v>
      </c>
      <c r="AA63" s="17" t="n">
        <v>9.69783352337514</v>
      </c>
      <c r="AB63" s="17"/>
      <c r="AC63" s="17"/>
      <c r="AD63" s="17"/>
      <c r="AE63" s="17"/>
      <c r="AF63" s="17"/>
      <c r="AG63" s="18" t="n">
        <f aca="false">IFERROR(100*O63/F63,"")</f>
        <v>0.76054732041049</v>
      </c>
      <c r="AH63" s="18" t="n">
        <f aca="false">IFERROR(100*(P63+Q63)/F63,"")</f>
        <v>0.751425313568985</v>
      </c>
      <c r="AI63" s="18" t="n">
        <f aca="false">IFERROR(100*R63/K63,"")</f>
        <v>0.16786228492107</v>
      </c>
      <c r="AJ63" s="18" t="str">
        <f aca="false">IF(T63&gt;0,100*S63/T63,"")</f>
        <v/>
      </c>
      <c r="AK63" s="18" t="n">
        <f aca="false">IFERROR(100*U63/G63,"")</f>
        <v>1.35938068951454</v>
      </c>
      <c r="AL63" s="18" t="n">
        <f aca="false">IFERROR(100*J63/H63,"")</f>
        <v>79.3898639920979</v>
      </c>
      <c r="AM63" s="18" t="n">
        <f aca="false">IFERROR(100*L63/J63,"")</f>
        <v>85.8783557448438</v>
      </c>
      <c r="AN63" s="18" t="n">
        <f aca="false">IFERROR(100*M63/J63,"")</f>
        <v>4.94010304509419</v>
      </c>
      <c r="AO63" s="18" t="n">
        <f aca="false">IFERROR(100*N63/J63,"")</f>
        <v>3.12325533170631</v>
      </c>
    </row>
    <row r="64" customFormat="false" ht="15" hidden="false" customHeight="false" outlineLevel="0" collapsed="false">
      <c r="A64" s="17" t="n">
        <v>6280</v>
      </c>
      <c r="B64" s="23" t="n">
        <v>44926</v>
      </c>
      <c r="C64" s="17" t="s">
        <v>138</v>
      </c>
      <c r="D64" s="17" t="s">
        <v>113</v>
      </c>
      <c r="E64" s="17" t="s">
        <v>111</v>
      </c>
      <c r="F64" s="17" t="n">
        <v>84636</v>
      </c>
      <c r="G64" s="17" t="n">
        <v>85584.2</v>
      </c>
      <c r="H64" s="17" t="n">
        <v>75635</v>
      </c>
      <c r="I64" s="17" t="n">
        <v>8605</v>
      </c>
      <c r="J64" s="17" t="n">
        <v>63400</v>
      </c>
      <c r="K64" s="17" t="n">
        <v>62243.2</v>
      </c>
      <c r="L64" s="17" t="n">
        <v>54882</v>
      </c>
      <c r="M64" s="17" t="n">
        <v>3426</v>
      </c>
      <c r="N64" s="17" t="n">
        <v>1765</v>
      </c>
      <c r="O64" s="17" t="n">
        <v>622</v>
      </c>
      <c r="P64" s="17" t="n">
        <v>1116</v>
      </c>
      <c r="Q64" s="17" t="n">
        <v>0</v>
      </c>
      <c r="R64" s="17" t="n">
        <v>78</v>
      </c>
      <c r="S64" s="17" t="n">
        <v>0</v>
      </c>
      <c r="T64" s="17" t="n">
        <v>0</v>
      </c>
      <c r="U64" s="17" t="n">
        <v>1225</v>
      </c>
      <c r="V64" s="17" t="n">
        <v>1.43133896209814</v>
      </c>
      <c r="W64" s="17" t="n">
        <v>14.82</v>
      </c>
      <c r="X64" s="17" t="n">
        <v>4.34579347751593</v>
      </c>
      <c r="Y64" s="17" t="n">
        <v>1.30441640378549</v>
      </c>
      <c r="Z64" s="17" t="n">
        <v>0</v>
      </c>
      <c r="AA64" s="17" t="n">
        <v>10.1670683869748</v>
      </c>
      <c r="AB64" s="17"/>
      <c r="AC64" s="17"/>
      <c r="AD64" s="17"/>
      <c r="AE64" s="17"/>
      <c r="AF64" s="17"/>
      <c r="AG64" s="18" t="n">
        <f aca="false">IFERROR(100*O64/F64,"")</f>
        <v>0.734911857838272</v>
      </c>
      <c r="AH64" s="18" t="n">
        <f aca="false">IFERROR(100*(P64+Q64)/F64,"")</f>
        <v>1.31858783496385</v>
      </c>
      <c r="AI64" s="18" t="n">
        <f aca="false">IFERROR(100*R64/K64,"")</f>
        <v>0.125314893835793</v>
      </c>
      <c r="AJ64" s="18" t="str">
        <f aca="false">IF(T64&gt;0,100*S64/T64,"")</f>
        <v/>
      </c>
      <c r="AK64" s="18" t="n">
        <f aca="false">IFERROR(100*U64/G64,"")</f>
        <v>1.43133896209814</v>
      </c>
      <c r="AL64" s="18" t="n">
        <f aca="false">IFERROR(100*J64/H64,"")</f>
        <v>83.8236266278839</v>
      </c>
      <c r="AM64" s="18" t="n">
        <f aca="false">IFERROR(100*L64/J64,"")</f>
        <v>86.5646687697161</v>
      </c>
      <c r="AN64" s="18" t="n">
        <f aca="false">IFERROR(100*M64/J64,"")</f>
        <v>5.40378548895899</v>
      </c>
      <c r="AO64" s="18" t="n">
        <f aca="false">IFERROR(100*N64/J64,"")</f>
        <v>2.78391167192429</v>
      </c>
    </row>
    <row r="65" customFormat="false" ht="15" hidden="false" customHeight="false" outlineLevel="0" collapsed="false">
      <c r="A65" s="17" t="n">
        <v>6280</v>
      </c>
      <c r="B65" s="23" t="n">
        <v>45016</v>
      </c>
      <c r="C65" s="17" t="s">
        <v>138</v>
      </c>
      <c r="D65" s="17" t="s">
        <v>113</v>
      </c>
      <c r="E65" s="17" t="s">
        <v>111</v>
      </c>
      <c r="F65" s="17" t="n">
        <v>83956</v>
      </c>
      <c r="G65" s="17" t="n">
        <v>84296</v>
      </c>
      <c r="H65" s="17" t="n">
        <v>74763</v>
      </c>
      <c r="I65" s="17" t="n">
        <v>9018</v>
      </c>
      <c r="J65" s="17" t="n">
        <v>63645</v>
      </c>
      <c r="K65" s="17" t="n">
        <v>63522.5</v>
      </c>
      <c r="L65" s="17" t="n">
        <v>55677</v>
      </c>
      <c r="M65" s="17" t="n">
        <v>3599</v>
      </c>
      <c r="N65" s="17" t="n">
        <v>1756</v>
      </c>
      <c r="O65" s="17" t="n">
        <v>597</v>
      </c>
      <c r="P65" s="17" t="n">
        <v>768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1648</v>
      </c>
      <c r="V65" s="17" t="n">
        <v>1.95501565910601</v>
      </c>
      <c r="W65" s="17" t="n">
        <v>18.7</v>
      </c>
      <c r="X65" s="17" t="n">
        <v>4.84342172329343</v>
      </c>
      <c r="Y65" s="17" t="n">
        <v>1.299395082096</v>
      </c>
      <c r="Z65" s="17" t="n">
        <v>0</v>
      </c>
      <c r="AA65" s="17" t="n">
        <v>10.7413407022726</v>
      </c>
      <c r="AB65" s="17" t="n">
        <v>-0.0500011905045339</v>
      </c>
      <c r="AC65" s="17" t="n">
        <v>2.72778629650552</v>
      </c>
      <c r="AD65" s="17" t="n">
        <v>-1.24952119298895</v>
      </c>
      <c r="AE65" s="17" t="n">
        <v>0.769277584395061</v>
      </c>
      <c r="AF65" s="17" t="n">
        <v>-0.28417503221614</v>
      </c>
      <c r="AG65" s="18" t="n">
        <f aca="false">IFERROR(100*O65/F65,"")</f>
        <v>0.711086759731288</v>
      </c>
      <c r="AH65" s="18" t="n">
        <f aca="false">IFERROR(100*(P65+Q65)/F65,"")</f>
        <v>0.91476487684025</v>
      </c>
      <c r="AI65" s="18" t="n">
        <f aca="false">IFERROR(100*R65/K65,"")</f>
        <v>0</v>
      </c>
      <c r="AJ65" s="18" t="str">
        <f aca="false">IF(T65&gt;0,100*S65/T65,"")</f>
        <v/>
      </c>
      <c r="AK65" s="18" t="n">
        <f aca="false">IFERROR(100*U65/G65,"")</f>
        <v>1.95501565910601</v>
      </c>
      <c r="AL65" s="18" t="n">
        <f aca="false">IFERROR(100*J65/H65,"")</f>
        <v>85.1290076642189</v>
      </c>
      <c r="AM65" s="18" t="n">
        <f aca="false">IFERROR(100*L65/J65,"")</f>
        <v>87.4805562102286</v>
      </c>
      <c r="AN65" s="18" t="n">
        <f aca="false">IFERROR(100*M65/J65,"")</f>
        <v>5.65480399088695</v>
      </c>
      <c r="AO65" s="18" t="n">
        <f aca="false">IFERROR(100*N65/J65,"")</f>
        <v>2.75905412836829</v>
      </c>
    </row>
    <row r="66" customFormat="false" ht="15" hidden="false" customHeight="false" outlineLevel="0" collapsed="false">
      <c r="A66" s="17" t="n">
        <v>6280</v>
      </c>
      <c r="B66" s="23" t="n">
        <v>45107</v>
      </c>
      <c r="C66" s="17" t="s">
        <v>138</v>
      </c>
      <c r="D66" s="17" t="s">
        <v>113</v>
      </c>
      <c r="E66" s="17" t="s">
        <v>111</v>
      </c>
      <c r="F66" s="17" t="n">
        <v>83293</v>
      </c>
      <c r="G66" s="17" t="n">
        <v>83961.6666666667</v>
      </c>
      <c r="H66" s="17" t="n">
        <v>73688</v>
      </c>
      <c r="I66" s="17" t="n">
        <v>9047</v>
      </c>
      <c r="J66" s="17" t="n">
        <v>65402</v>
      </c>
      <c r="K66" s="17" t="n">
        <v>64149</v>
      </c>
      <c r="L66" s="17" t="n">
        <v>57427</v>
      </c>
      <c r="M66" s="17" t="n">
        <v>3640</v>
      </c>
      <c r="N66" s="17" t="n">
        <v>1707</v>
      </c>
      <c r="O66" s="17" t="n">
        <v>711</v>
      </c>
      <c r="P66" s="17" t="n">
        <v>316</v>
      </c>
      <c r="Q66" s="17" t="n">
        <v>0</v>
      </c>
      <c r="R66" s="17" t="n">
        <v>18</v>
      </c>
      <c r="S66" s="17" t="n">
        <v>0</v>
      </c>
      <c r="T66" s="17" t="n">
        <v>0</v>
      </c>
      <c r="U66" s="17" t="n">
        <v>1632</v>
      </c>
      <c r="V66" s="17" t="n">
        <v>1.943744168966</v>
      </c>
      <c r="W66" s="17" t="n">
        <v>18.36</v>
      </c>
      <c r="X66" s="17" t="n">
        <v>5.0004375382846</v>
      </c>
      <c r="Y66" s="17" t="n">
        <v>1.29200941867221</v>
      </c>
      <c r="Z66" s="17" t="n">
        <v>0</v>
      </c>
      <c r="AA66" s="17" t="n">
        <v>10.8616570420083</v>
      </c>
      <c r="AB66" s="17" t="n">
        <v>-3.41608784888507</v>
      </c>
      <c r="AC66" s="17" t="n">
        <v>5.25790617204474</v>
      </c>
      <c r="AD66" s="17" t="n">
        <v>-5.03022257736078</v>
      </c>
      <c r="AE66" s="17" t="n">
        <v>0.582161916486391</v>
      </c>
      <c r="AF66" s="17" t="n">
        <v>-0.0218608247282698</v>
      </c>
      <c r="AG66" s="18" t="n">
        <f aca="false">IFERROR(100*O66/F66,"")</f>
        <v>0.853613148764002</v>
      </c>
      <c r="AH66" s="18" t="n">
        <f aca="false">IFERROR(100*(P66+Q66)/F66,"")</f>
        <v>0.37938362167289</v>
      </c>
      <c r="AI66" s="18" t="n">
        <f aca="false">IFERROR(100*R66/K66,"")</f>
        <v>0.0280596735724641</v>
      </c>
      <c r="AJ66" s="18" t="str">
        <f aca="false">IF(T66&gt;0,100*S66/T66,"")</f>
        <v/>
      </c>
      <c r="AK66" s="18" t="n">
        <f aca="false">IFERROR(100*U66/G66,"")</f>
        <v>1.943744168966</v>
      </c>
      <c r="AL66" s="18" t="n">
        <f aca="false">IFERROR(100*J66/H66,"")</f>
        <v>88.7552925849528</v>
      </c>
      <c r="AM66" s="18" t="n">
        <f aca="false">IFERROR(100*L66/J66,"")</f>
        <v>87.8061832971469</v>
      </c>
      <c r="AN66" s="18" t="n">
        <f aca="false">IFERROR(100*M66/J66,"")</f>
        <v>5.5655790342803</v>
      </c>
      <c r="AO66" s="18" t="n">
        <f aca="false">IFERROR(100*N66/J66,"")</f>
        <v>2.61001192624079</v>
      </c>
    </row>
    <row r="67" customFormat="false" ht="15" hidden="false" customHeight="false" outlineLevel="0" collapsed="false">
      <c r="A67" s="17" t="n">
        <v>6280</v>
      </c>
      <c r="B67" s="23" t="n">
        <v>45199</v>
      </c>
      <c r="C67" s="17" t="s">
        <v>138</v>
      </c>
      <c r="D67" s="17" t="s">
        <v>113</v>
      </c>
      <c r="E67" s="17" t="s">
        <v>111</v>
      </c>
      <c r="F67" s="17" t="n">
        <v>81114</v>
      </c>
      <c r="G67" s="17" t="n">
        <v>83249.75</v>
      </c>
      <c r="H67" s="17" t="n">
        <v>71481</v>
      </c>
      <c r="I67" s="17" t="n">
        <v>9381</v>
      </c>
      <c r="J67" s="17" t="n">
        <v>66663</v>
      </c>
      <c r="K67" s="17" t="n">
        <v>64777.5</v>
      </c>
      <c r="L67" s="17" t="n">
        <v>59127</v>
      </c>
      <c r="M67" s="17" t="n">
        <v>3368</v>
      </c>
      <c r="N67" s="17" t="n">
        <v>1610</v>
      </c>
      <c r="O67" s="17" t="n">
        <v>952</v>
      </c>
      <c r="P67" s="17" t="n">
        <v>721</v>
      </c>
      <c r="Q67" s="17" t="n">
        <v>0</v>
      </c>
      <c r="R67" s="17" t="n">
        <v>11.9997</v>
      </c>
      <c r="S67" s="17" t="n">
        <v>0</v>
      </c>
      <c r="T67" s="17" t="n">
        <v>0</v>
      </c>
      <c r="U67" s="17" t="n">
        <v>1533.295</v>
      </c>
      <c r="V67" s="17" t="n">
        <v>1.84180132673071</v>
      </c>
      <c r="W67" s="17" t="n">
        <v>17.01</v>
      </c>
      <c r="X67" s="17" t="n">
        <v>4.97162854589493</v>
      </c>
      <c r="Y67" s="17" t="n">
        <v>1.29307111891154</v>
      </c>
      <c r="Z67" s="17" t="n">
        <v>0</v>
      </c>
      <c r="AA67" s="17" t="n">
        <v>11.5652045269621</v>
      </c>
      <c r="AB67" s="17" t="n">
        <v>-7.5096921322691</v>
      </c>
      <c r="AC67" s="17" t="n">
        <v>6.33583768004977</v>
      </c>
      <c r="AD67" s="17" t="n">
        <v>-9.47876301192918</v>
      </c>
      <c r="AE67" s="17" t="n">
        <v>0.482420637216168</v>
      </c>
      <c r="AF67" s="17" t="n">
        <v>0.413109508250407</v>
      </c>
      <c r="AG67" s="18" t="n">
        <f aca="false">IFERROR(100*O67/F67,"")</f>
        <v>1.1736568286609</v>
      </c>
      <c r="AH67" s="18" t="n">
        <f aca="false">IFERROR(100*(P67+Q67)/F67,"")</f>
        <v>0.888872451118179</v>
      </c>
      <c r="AI67" s="18" t="n">
        <f aca="false">IFERROR(100*R67/K67,"")</f>
        <v>0.0185244876693296</v>
      </c>
      <c r="AJ67" s="18" t="str">
        <f aca="false">IF(T67&gt;0,100*S67/T67,"")</f>
        <v/>
      </c>
      <c r="AK67" s="18" t="n">
        <f aca="false">IFERROR(100*U67/G67,"")</f>
        <v>1.84180132673071</v>
      </c>
      <c r="AL67" s="18" t="n">
        <f aca="false">IFERROR(100*J67/H67,"")</f>
        <v>93.2597473454485</v>
      </c>
      <c r="AM67" s="18" t="n">
        <f aca="false">IFERROR(100*L67/J67,"")</f>
        <v>88.6953782458035</v>
      </c>
      <c r="AN67" s="18" t="n">
        <f aca="false">IFERROR(100*M67/J67,"")</f>
        <v>5.05227787528314</v>
      </c>
      <c r="AO67" s="18" t="n">
        <f aca="false">IFERROR(100*N67/J67,"")</f>
        <v>2.41513283230578</v>
      </c>
    </row>
    <row r="68" customFormat="false" ht="15" hidden="false" customHeight="false" outlineLevel="0" collapsed="false">
      <c r="A68" s="17" t="n">
        <v>6280</v>
      </c>
      <c r="B68" s="23" t="n">
        <v>45291</v>
      </c>
      <c r="C68" s="17" t="s">
        <v>138</v>
      </c>
      <c r="D68" s="17" t="s">
        <v>113</v>
      </c>
      <c r="E68" s="17" t="s">
        <v>111</v>
      </c>
      <c r="F68" s="17" t="n">
        <v>78840</v>
      </c>
      <c r="G68" s="17" t="n">
        <v>82367.8</v>
      </c>
      <c r="H68" s="17" t="n">
        <v>68883</v>
      </c>
      <c r="I68" s="17" t="n">
        <v>9375</v>
      </c>
      <c r="J68" s="17" t="n">
        <v>67918</v>
      </c>
      <c r="K68" s="17" t="n">
        <v>65405.6</v>
      </c>
      <c r="L68" s="17" t="n">
        <v>59964</v>
      </c>
      <c r="M68" s="17" t="n">
        <v>3335</v>
      </c>
      <c r="N68" s="17" t="n">
        <v>2153</v>
      </c>
      <c r="O68" s="17" t="n">
        <v>956</v>
      </c>
      <c r="P68" s="17" t="n">
        <v>1133</v>
      </c>
      <c r="Q68" s="17" t="n">
        <v>0</v>
      </c>
      <c r="R68" s="17" t="n">
        <v>9</v>
      </c>
      <c r="S68" s="17" t="n">
        <v>0</v>
      </c>
      <c r="T68" s="17" t="n">
        <v>0</v>
      </c>
      <c r="U68" s="17" t="n">
        <v>1520</v>
      </c>
      <c r="V68" s="17" t="n">
        <v>1.84538132619786</v>
      </c>
      <c r="W68" s="17" t="n">
        <v>16.73</v>
      </c>
      <c r="X68" s="17" t="n">
        <v>5.13228352094596</v>
      </c>
      <c r="Y68" s="17" t="n">
        <v>1.31923790453194</v>
      </c>
      <c r="Z68" s="17" t="n">
        <v>0</v>
      </c>
      <c r="AA68" s="17" t="n">
        <v>11.8911719939117</v>
      </c>
      <c r="AB68" s="17" t="n">
        <v>-6.8481497235219</v>
      </c>
      <c r="AC68" s="17" t="n">
        <v>7.12618296529968</v>
      </c>
      <c r="AD68" s="17" t="n">
        <v>-8.92708402194751</v>
      </c>
      <c r="AE68" s="17" t="n">
        <v>0.414042364099714</v>
      </c>
      <c r="AF68" s="17" t="n">
        <v>0.477670587620886</v>
      </c>
      <c r="AG68" s="18" t="n">
        <f aca="false">IFERROR(100*O68/F68,"")</f>
        <v>1.21258244545916</v>
      </c>
      <c r="AH68" s="18" t="n">
        <f aca="false">IFERROR(100*(P68+Q68)/F68,"")</f>
        <v>1.43708777270421</v>
      </c>
      <c r="AI68" s="18" t="n">
        <f aca="false">IFERROR(100*R68/K68,"")</f>
        <v>0.0137602896388077</v>
      </c>
      <c r="AJ68" s="18" t="str">
        <f aca="false">IF(T68&gt;0,100*S68/T68,"")</f>
        <v/>
      </c>
      <c r="AK68" s="18" t="n">
        <f aca="false">IFERROR(100*U68/G68,"")</f>
        <v>1.84538132619786</v>
      </c>
      <c r="AL68" s="18" t="n">
        <f aca="false">IFERROR(100*J68/H68,"")</f>
        <v>98.5990737917919</v>
      </c>
      <c r="AM68" s="18" t="n">
        <f aca="false">IFERROR(100*L68/J68,"")</f>
        <v>88.2888188698136</v>
      </c>
      <c r="AN68" s="18" t="n">
        <f aca="false">IFERROR(100*M68/J68,"")</f>
        <v>4.91033304867635</v>
      </c>
      <c r="AO68" s="18" t="n">
        <f aca="false">IFERROR(100*N68/J68,"")</f>
        <v>3.16999911658176</v>
      </c>
    </row>
    <row r="69" customFormat="false" ht="15" hidden="false" customHeight="false" outlineLevel="0" collapsed="false">
      <c r="A69" s="17" t="n">
        <v>6280</v>
      </c>
      <c r="B69" s="23" t="n">
        <v>45382</v>
      </c>
      <c r="C69" s="17" t="s">
        <v>138</v>
      </c>
      <c r="D69" s="17" t="s">
        <v>113</v>
      </c>
      <c r="E69" s="17" t="s">
        <v>111</v>
      </c>
      <c r="F69" s="17" t="n">
        <v>78008</v>
      </c>
      <c r="G69" s="17" t="n">
        <v>78424</v>
      </c>
      <c r="H69" s="17" t="n">
        <v>68177</v>
      </c>
      <c r="I69" s="17" t="n">
        <v>9657</v>
      </c>
      <c r="J69" s="17" t="n">
        <v>67312</v>
      </c>
      <c r="K69" s="17" t="n">
        <v>67615</v>
      </c>
      <c r="L69" s="17" t="n">
        <v>59060</v>
      </c>
      <c r="M69" s="17" t="n">
        <v>4453</v>
      </c>
      <c r="N69" s="17" t="n">
        <v>1569</v>
      </c>
      <c r="O69" s="17" t="n">
        <v>1333</v>
      </c>
      <c r="P69" s="17" t="n">
        <v>398</v>
      </c>
      <c r="Q69" s="17" t="n">
        <v>0</v>
      </c>
      <c r="R69" s="17" t="n">
        <v>0</v>
      </c>
      <c r="S69" s="17" t="n">
        <v>0</v>
      </c>
      <c r="T69" s="17" t="n">
        <v>0</v>
      </c>
      <c r="U69" s="17" t="n">
        <v>1128</v>
      </c>
      <c r="V69" s="17" t="n">
        <v>1.43833520350913</v>
      </c>
      <c r="W69" s="17" t="n">
        <v>11.85</v>
      </c>
      <c r="X69" s="17" t="n">
        <v>4.7369521381701</v>
      </c>
      <c r="Y69" s="17" t="n">
        <v>1.3355716662705</v>
      </c>
      <c r="Z69" s="17" t="n">
        <v>0</v>
      </c>
      <c r="AA69" s="17" t="n">
        <v>12.3794995385089</v>
      </c>
      <c r="AB69" s="17" t="n">
        <v>-7.08466339511172</v>
      </c>
      <c r="AC69" s="17" t="n">
        <v>5.76164663367114</v>
      </c>
      <c r="AD69" s="17" t="n">
        <v>-8.80917031151773</v>
      </c>
      <c r="AE69" s="17" t="n">
        <v>-0.516680455596878</v>
      </c>
      <c r="AF69" s="17" t="n">
        <v>0.997712337797171</v>
      </c>
      <c r="AG69" s="18" t="n">
        <f aca="false">IFERROR(100*O69/F69,"")</f>
        <v>1.70879909752846</v>
      </c>
      <c r="AH69" s="18" t="n">
        <f aca="false">IFERROR(100*(P69+Q69)/F69,"")</f>
        <v>0.510204081632653</v>
      </c>
      <c r="AI69" s="18" t="n">
        <f aca="false">IFERROR(100*R69/K69,"")</f>
        <v>0</v>
      </c>
      <c r="AJ69" s="18" t="str">
        <f aca="false">IF(T69&gt;0,100*S69/T69,"")</f>
        <v/>
      </c>
      <c r="AK69" s="18" t="n">
        <f aca="false">IFERROR(100*U69/G69,"")</f>
        <v>1.43833520350913</v>
      </c>
      <c r="AL69" s="18" t="n">
        <f aca="false">IFERROR(100*J69/H69,"")</f>
        <v>98.731243674553</v>
      </c>
      <c r="AM69" s="18" t="n">
        <f aca="false">IFERROR(100*L69/J69,"")</f>
        <v>87.7406703113858</v>
      </c>
      <c r="AN69" s="18" t="n">
        <f aca="false">IFERROR(100*M69/J69,"")</f>
        <v>6.61546232469693</v>
      </c>
      <c r="AO69" s="18" t="n">
        <f aca="false">IFERROR(100*N69/J69,"")</f>
        <v>2.33093653434752</v>
      </c>
    </row>
    <row r="70" customFormat="false" ht="15" hidden="false" customHeight="false" outlineLevel="0" collapsed="false">
      <c r="A70" s="17" t="n">
        <v>6280</v>
      </c>
      <c r="B70" s="23" t="n">
        <v>45473</v>
      </c>
      <c r="C70" s="17" t="s">
        <v>138</v>
      </c>
      <c r="D70" s="17" t="s">
        <v>113</v>
      </c>
      <c r="E70" s="17" t="s">
        <v>111</v>
      </c>
      <c r="F70" s="17" t="n">
        <v>81265</v>
      </c>
      <c r="G70" s="17" t="n">
        <v>79371</v>
      </c>
      <c r="H70" s="17" t="n">
        <v>71124</v>
      </c>
      <c r="I70" s="17" t="n">
        <v>9570</v>
      </c>
      <c r="J70" s="17" t="n">
        <v>68641</v>
      </c>
      <c r="K70" s="17" t="n">
        <v>67957</v>
      </c>
      <c r="L70" s="17" t="n">
        <v>59949</v>
      </c>
      <c r="M70" s="17" t="n">
        <v>4325</v>
      </c>
      <c r="N70" s="17" t="n">
        <v>1574</v>
      </c>
      <c r="O70" s="17" t="n">
        <v>1206</v>
      </c>
      <c r="P70" s="17" t="n">
        <v>566</v>
      </c>
      <c r="Q70" s="17" t="n">
        <v>0</v>
      </c>
      <c r="R70" s="17" t="n">
        <v>2</v>
      </c>
      <c r="S70" s="17" t="n">
        <v>0</v>
      </c>
      <c r="T70" s="17" t="n">
        <v>0</v>
      </c>
      <c r="U70" s="17" t="n">
        <v>1140</v>
      </c>
      <c r="V70" s="17" t="n">
        <v>1.4362928525532</v>
      </c>
      <c r="W70" s="17" t="n">
        <v>11.96</v>
      </c>
      <c r="X70" s="17" t="n">
        <v>4.66340562662571</v>
      </c>
      <c r="Y70" s="17" t="n">
        <v>1.30825599860142</v>
      </c>
      <c r="Z70" s="17" t="n">
        <v>0</v>
      </c>
      <c r="AA70" s="17" t="n">
        <v>11.7762874546238</v>
      </c>
      <c r="AB70" s="17" t="n">
        <v>-2.43477843276145</v>
      </c>
      <c r="AC70" s="17" t="n">
        <v>4.95244793737195</v>
      </c>
      <c r="AD70" s="17" t="n">
        <v>-3.4795353381826</v>
      </c>
      <c r="AE70" s="17" t="n">
        <v>-0.507451316412797</v>
      </c>
      <c r="AF70" s="17" t="n">
        <v>0.630420568088272</v>
      </c>
      <c r="AG70" s="18" t="n">
        <f aca="false">IFERROR(100*O70/F70,"")</f>
        <v>1.48403371685227</v>
      </c>
      <c r="AH70" s="18" t="n">
        <f aca="false">IFERROR(100*(P70+Q70)/F70,"")</f>
        <v>0.696486802436473</v>
      </c>
      <c r="AI70" s="18" t="n">
        <f aca="false">IFERROR(100*R70/K70,"")</f>
        <v>0.00294303750901305</v>
      </c>
      <c r="AJ70" s="18" t="str">
        <f aca="false">IF(T70&gt;0,100*S70/T70,"")</f>
        <v/>
      </c>
      <c r="AK70" s="18" t="n">
        <f aca="false">IFERROR(100*U70/G70,"")</f>
        <v>1.4362928525532</v>
      </c>
      <c r="AL70" s="18" t="n">
        <f aca="false">IFERROR(100*J70/H70,"")</f>
        <v>96.5089140093358</v>
      </c>
      <c r="AM70" s="18" t="n">
        <f aca="false">IFERROR(100*L70/J70,"")</f>
        <v>87.3370143208869</v>
      </c>
      <c r="AN70" s="18" t="n">
        <f aca="false">IFERROR(100*M70/J70,"")</f>
        <v>6.30089887967833</v>
      </c>
      <c r="AO70" s="18" t="n">
        <f aca="false">IFERROR(100*N70/J70,"")</f>
        <v>2.29309013563322</v>
      </c>
    </row>
    <row r="71" customFormat="false" ht="15" hidden="false" customHeight="false" outlineLevel="0" collapsed="false">
      <c r="A71" s="17" t="n">
        <v>6280</v>
      </c>
      <c r="B71" s="23" t="n">
        <v>45565</v>
      </c>
      <c r="C71" s="17" t="s">
        <v>138</v>
      </c>
      <c r="D71" s="17" t="s">
        <v>113</v>
      </c>
      <c r="E71" s="17" t="s">
        <v>111</v>
      </c>
      <c r="F71" s="17" t="n">
        <v>85714</v>
      </c>
      <c r="G71" s="17" t="n">
        <v>80956.75</v>
      </c>
      <c r="H71" s="17" t="n">
        <v>75614</v>
      </c>
      <c r="I71" s="17" t="n">
        <v>9836</v>
      </c>
      <c r="J71" s="17" t="n">
        <v>70650</v>
      </c>
      <c r="K71" s="17" t="n">
        <v>68630.25</v>
      </c>
      <c r="L71" s="17" t="n">
        <v>62411</v>
      </c>
      <c r="M71" s="17" t="n">
        <v>3992</v>
      </c>
      <c r="N71" s="17" t="n">
        <v>1471</v>
      </c>
      <c r="O71" s="17" t="n">
        <v>1121</v>
      </c>
      <c r="P71" s="17" t="n">
        <v>644</v>
      </c>
      <c r="Q71" s="17" t="n">
        <v>0</v>
      </c>
      <c r="R71" s="17" t="n">
        <v>15.9996</v>
      </c>
      <c r="S71" s="17" t="n">
        <v>0</v>
      </c>
      <c r="T71" s="17" t="n">
        <v>0</v>
      </c>
      <c r="U71" s="17" t="n">
        <v>1115.9721</v>
      </c>
      <c r="V71" s="17" t="n">
        <v>1.37847937324559</v>
      </c>
      <c r="W71" s="17" t="n">
        <v>11.61</v>
      </c>
      <c r="X71" s="17" t="n">
        <v>4.61800872747197</v>
      </c>
      <c r="Y71" s="17" t="n">
        <v>1.32484076433121</v>
      </c>
      <c r="Z71" s="17" t="n">
        <v>0</v>
      </c>
      <c r="AA71" s="17" t="n">
        <v>11.475371584572</v>
      </c>
      <c r="AB71" s="17" t="n">
        <v>5.67103089479004</v>
      </c>
      <c r="AC71" s="17" t="n">
        <v>5.980828945592</v>
      </c>
      <c r="AD71" s="17" t="n">
        <v>5.7819560442635</v>
      </c>
      <c r="AE71" s="17" t="n">
        <v>-0.46332195348512</v>
      </c>
      <c r="AF71" s="17" t="n">
        <v>0.134180864131412</v>
      </c>
      <c r="AG71" s="18" t="n">
        <f aca="false">IFERROR(100*O71/F71,"")</f>
        <v>1.30783769279231</v>
      </c>
      <c r="AH71" s="18" t="n">
        <f aca="false">IFERROR(100*(P71+Q71)/F71,"")</f>
        <v>0.751335837786126</v>
      </c>
      <c r="AI71" s="18" t="n">
        <f aca="false">IFERROR(100*R71/K71,"")</f>
        <v>0.0233127520298994</v>
      </c>
      <c r="AJ71" s="18" t="str">
        <f aca="false">IF(T71&gt;0,100*S71/T71,"")</f>
        <v/>
      </c>
      <c r="AK71" s="18" t="n">
        <f aca="false">IFERROR(100*U71/G71,"")</f>
        <v>1.37847937324559</v>
      </c>
      <c r="AL71" s="18" t="n">
        <f aca="false">IFERROR(100*J71/H71,"")</f>
        <v>93.4350781601291</v>
      </c>
      <c r="AM71" s="18" t="n">
        <f aca="false">IFERROR(100*L71/J71,"")</f>
        <v>88.3382873319179</v>
      </c>
      <c r="AN71" s="18" t="n">
        <f aca="false">IFERROR(100*M71/J71,"")</f>
        <v>5.65038924274593</v>
      </c>
      <c r="AO71" s="18" t="n">
        <f aca="false">IFERROR(100*N71/J71,"")</f>
        <v>2.08209483368719</v>
      </c>
    </row>
    <row r="72" customFormat="false" ht="15" hidden="false" customHeight="false" outlineLevel="0" collapsed="false">
      <c r="A72" s="17" t="n">
        <v>6280</v>
      </c>
      <c r="B72" s="23" t="n">
        <v>45657</v>
      </c>
      <c r="C72" s="17" t="s">
        <v>138</v>
      </c>
      <c r="D72" s="17" t="s">
        <v>113</v>
      </c>
      <c r="E72" s="17" t="s">
        <v>111</v>
      </c>
      <c r="F72" s="17" t="n">
        <v>87669</v>
      </c>
      <c r="G72" s="17" t="n">
        <v>82299.2</v>
      </c>
      <c r="H72" s="17" t="n">
        <v>77381</v>
      </c>
      <c r="I72" s="17" t="n">
        <v>9723</v>
      </c>
      <c r="J72" s="17" t="n">
        <v>70864</v>
      </c>
      <c r="K72" s="17" t="n">
        <v>69077</v>
      </c>
      <c r="L72" s="17" t="n">
        <v>63247</v>
      </c>
      <c r="M72" s="17" t="n">
        <v>3883</v>
      </c>
      <c r="N72" s="17" t="n">
        <v>1432</v>
      </c>
      <c r="O72" s="17" t="n">
        <v>1616</v>
      </c>
      <c r="P72" s="17" t="n">
        <v>911</v>
      </c>
      <c r="Q72" s="17" t="n">
        <v>0</v>
      </c>
      <c r="R72" s="17" t="n">
        <v>48</v>
      </c>
      <c r="S72" s="17" t="n">
        <v>0</v>
      </c>
      <c r="T72" s="17" t="n">
        <v>0</v>
      </c>
      <c r="U72" s="17" t="n">
        <v>1099</v>
      </c>
      <c r="V72" s="17" t="n">
        <v>1.33537142523864</v>
      </c>
      <c r="W72" s="17" t="n">
        <v>11.41</v>
      </c>
      <c r="X72" s="17" t="n">
        <v>4.60084938757925</v>
      </c>
      <c r="Y72" s="17" t="n">
        <v>1.28697222849402</v>
      </c>
      <c r="Z72" s="17" t="n">
        <v>0</v>
      </c>
      <c r="AA72" s="17" t="n">
        <v>11.0905793381925</v>
      </c>
      <c r="AB72" s="17" t="n">
        <v>11.1986301369863</v>
      </c>
      <c r="AC72" s="17" t="n">
        <v>4.33758355664182</v>
      </c>
      <c r="AD72" s="17" t="n">
        <v>12.3368610542514</v>
      </c>
      <c r="AE72" s="17" t="n">
        <v>-0.510009900959217</v>
      </c>
      <c r="AF72" s="17" t="n">
        <v>0.630714501009948</v>
      </c>
      <c r="AG72" s="18" t="n">
        <f aca="false">IFERROR(100*O72/F72,"")</f>
        <v>1.84329694646911</v>
      </c>
      <c r="AH72" s="18" t="n">
        <f aca="false">IFERROR(100*(P72+Q72)/F72,"")</f>
        <v>1.03913584049094</v>
      </c>
      <c r="AI72" s="18" t="n">
        <f aca="false">IFERROR(100*R72/K72,"")</f>
        <v>0.0694876731763105</v>
      </c>
      <c r="AJ72" s="18" t="str">
        <f aca="false">IF(T72&gt;0,100*S72/T72,"")</f>
        <v/>
      </c>
      <c r="AK72" s="18" t="n">
        <f aca="false">IFERROR(100*U72/G72,"")</f>
        <v>1.33537142523864</v>
      </c>
      <c r="AL72" s="18" t="n">
        <f aca="false">IFERROR(100*J72/H72,"")</f>
        <v>91.5780359519779</v>
      </c>
      <c r="AM72" s="18" t="n">
        <f aca="false">IFERROR(100*L72/J72,"")</f>
        <v>89.2512418153082</v>
      </c>
      <c r="AN72" s="18" t="n">
        <f aca="false">IFERROR(100*M72/J72,"")</f>
        <v>5.47951004741477</v>
      </c>
      <c r="AO72" s="18" t="n">
        <f aca="false">IFERROR(100*N72/J72,"")</f>
        <v>2.0207721833371</v>
      </c>
    </row>
    <row r="73" customFormat="false" ht="15" hidden="false" customHeight="false" outlineLevel="0" collapsed="false">
      <c r="A73" s="17" t="n">
        <v>6280</v>
      </c>
      <c r="B73" s="23" t="n">
        <v>45747</v>
      </c>
      <c r="C73" s="17" t="s">
        <v>138</v>
      </c>
      <c r="D73" s="17" t="s">
        <v>113</v>
      </c>
      <c r="E73" s="17" t="s">
        <v>111</v>
      </c>
      <c r="F73" s="17" t="n">
        <v>88000</v>
      </c>
      <c r="G73" s="17" t="n">
        <v>87834.5</v>
      </c>
      <c r="H73" s="17" t="n">
        <v>77788</v>
      </c>
      <c r="I73" s="17" t="n">
        <v>10007</v>
      </c>
      <c r="J73" s="17" t="n">
        <v>71713</v>
      </c>
      <c r="K73" s="17" t="n">
        <v>71288.5</v>
      </c>
      <c r="L73" s="17" t="n">
        <v>64224</v>
      </c>
      <c r="M73" s="17" t="n">
        <v>3679</v>
      </c>
      <c r="N73" s="17" t="n">
        <v>1399</v>
      </c>
      <c r="O73" s="17" t="n">
        <v>1420</v>
      </c>
      <c r="P73" s="17" t="n">
        <v>493</v>
      </c>
      <c r="Q73" s="17" t="n">
        <v>0</v>
      </c>
      <c r="R73" s="17" t="n">
        <v>-4</v>
      </c>
      <c r="S73" s="17" t="n">
        <v>0</v>
      </c>
      <c r="T73" s="17" t="n">
        <v>0</v>
      </c>
      <c r="U73" s="17" t="n">
        <v>1132</v>
      </c>
      <c r="V73" s="17" t="n">
        <v>1.28878743546101</v>
      </c>
      <c r="W73" s="17" t="n">
        <v>11.47</v>
      </c>
      <c r="X73" s="17" t="n">
        <v>4.42972145901846</v>
      </c>
      <c r="Y73" s="17" t="n">
        <v>1.29125820980854</v>
      </c>
      <c r="Z73" s="17" t="n">
        <v>0</v>
      </c>
      <c r="AA73" s="17" t="n">
        <v>11.3715909090909</v>
      </c>
      <c r="AB73" s="17" t="n">
        <v>12.8089426725464</v>
      </c>
      <c r="AC73" s="17" t="n">
        <v>6.5382101259805</v>
      </c>
      <c r="AD73" s="17" t="n">
        <v>14.0971295304868</v>
      </c>
      <c r="AE73" s="17" t="n">
        <v>-0.149547768048121</v>
      </c>
      <c r="AF73" s="17" t="n">
        <v>-0.0951627338920951</v>
      </c>
      <c r="AG73" s="18" t="n">
        <f aca="false">IFERROR(100*O73/F73,"")</f>
        <v>1.61363636363636</v>
      </c>
      <c r="AH73" s="18" t="n">
        <f aca="false">IFERROR(100*(P73+Q73)/F73,"")</f>
        <v>0.560227272727273</v>
      </c>
      <c r="AI73" s="18" t="n">
        <f aca="false">IFERROR(100*R73/K73,"")</f>
        <v>-0.00561100317723055</v>
      </c>
      <c r="AJ73" s="18" t="str">
        <f aca="false">IF(T73&gt;0,100*S73/T73,"")</f>
        <v/>
      </c>
      <c r="AK73" s="18" t="n">
        <f aca="false">IFERROR(100*U73/G73,"")</f>
        <v>1.28878743546101</v>
      </c>
      <c r="AL73" s="18" t="n">
        <f aca="false">IFERROR(100*J73/H73,"")</f>
        <v>92.1903121304057</v>
      </c>
      <c r="AM73" s="18" t="n">
        <f aca="false">IFERROR(100*L73/J73,"")</f>
        <v>89.5569840893562</v>
      </c>
      <c r="AN73" s="18" t="n">
        <f aca="false">IFERROR(100*M73/J73,"")</f>
        <v>5.13017165646396</v>
      </c>
      <c r="AO73" s="18" t="n">
        <f aca="false">IFERROR(100*N73/J73,"")</f>
        <v>1.9508317878209</v>
      </c>
    </row>
    <row r="74" customFormat="false" ht="15" hidden="false" customHeight="false" outlineLevel="0" collapsed="false">
      <c r="A74" s="17" t="n">
        <v>6280</v>
      </c>
      <c r="B74" s="23" t="n">
        <v>45838</v>
      </c>
      <c r="C74" s="17" t="s">
        <v>138</v>
      </c>
      <c r="D74" s="17" t="s">
        <v>113</v>
      </c>
      <c r="E74" s="17" t="s">
        <v>111</v>
      </c>
      <c r="F74" s="17" t="n">
        <v>87770</v>
      </c>
      <c r="G74" s="17" t="n">
        <v>87813</v>
      </c>
      <c r="H74" s="17" t="n">
        <v>77256</v>
      </c>
      <c r="I74" s="17" t="n">
        <v>9949</v>
      </c>
      <c r="J74" s="17" t="n">
        <v>73100</v>
      </c>
      <c r="K74" s="17" t="n">
        <v>71892.3333333333</v>
      </c>
      <c r="L74" s="17" t="n">
        <v>64947</v>
      </c>
      <c r="M74" s="17" t="n">
        <v>3899</v>
      </c>
      <c r="N74" s="17" t="n">
        <v>1311</v>
      </c>
      <c r="O74" s="17" t="n">
        <v>1455</v>
      </c>
      <c r="P74" s="17" t="n">
        <v>592</v>
      </c>
      <c r="Q74" s="17" t="n">
        <v>0</v>
      </c>
      <c r="R74" s="17" t="n">
        <v>0</v>
      </c>
      <c r="S74" s="17" t="n">
        <v>0</v>
      </c>
      <c r="T74" s="17" t="n">
        <v>0</v>
      </c>
      <c r="U74" s="17" t="n">
        <v>1200</v>
      </c>
      <c r="V74" s="17" t="n">
        <v>1.36654026169246</v>
      </c>
      <c r="W74" s="17" t="n">
        <v>12.13</v>
      </c>
      <c r="X74" s="17" t="n">
        <v>4.53943407585792</v>
      </c>
      <c r="Y74" s="17" t="n">
        <v>1.29958960328317</v>
      </c>
      <c r="Z74" s="17" t="n">
        <v>0</v>
      </c>
      <c r="AA74" s="17" t="n">
        <v>11.3353081918651</v>
      </c>
      <c r="AB74" s="17" t="n">
        <v>8.00467605980435</v>
      </c>
      <c r="AC74" s="17" t="n">
        <v>6.49611748080594</v>
      </c>
      <c r="AD74" s="17" t="n">
        <v>8.62156234182554</v>
      </c>
      <c r="AE74" s="17" t="n">
        <v>-0.0697525908607393</v>
      </c>
      <c r="AF74" s="17" t="n">
        <v>0.173708108372747</v>
      </c>
      <c r="AG74" s="18" t="n">
        <f aca="false">IFERROR(100*O74/F74,"")</f>
        <v>1.65774182522502</v>
      </c>
      <c r="AH74" s="18" t="n">
        <f aca="false">IFERROR(100*(P74+Q74)/F74,"")</f>
        <v>0.674490144696366</v>
      </c>
      <c r="AI74" s="18" t="n">
        <f aca="false">IFERROR(100*R74/K74,"")</f>
        <v>0</v>
      </c>
      <c r="AJ74" s="18" t="str">
        <f aca="false">IF(T74&gt;0,100*S74/T74,"")</f>
        <v/>
      </c>
      <c r="AK74" s="18" t="n">
        <f aca="false">IFERROR(100*U74/G74,"")</f>
        <v>1.36654026169246</v>
      </c>
      <c r="AL74" s="18" t="n">
        <f aca="false">IFERROR(100*J74/H74,"")</f>
        <v>94.620482551517</v>
      </c>
      <c r="AM74" s="18" t="n">
        <f aca="false">IFERROR(100*L74/J74,"")</f>
        <v>88.8467852257182</v>
      </c>
      <c r="AN74" s="18" t="n">
        <f aca="false">IFERROR(100*M74/J74,"")</f>
        <v>5.33378932968536</v>
      </c>
      <c r="AO74" s="18" t="n">
        <f aca="false">IFERROR(100*N74/J74,"")</f>
        <v>1.79343365253078</v>
      </c>
    </row>
    <row r="75" customFormat="false" ht="15" hidden="false" customHeight="false" outlineLevel="0" collapsed="false">
      <c r="A75" s="17" t="n">
        <v>11971</v>
      </c>
      <c r="B75" s="23" t="n">
        <v>44651</v>
      </c>
      <c r="C75" s="17" t="s">
        <v>134</v>
      </c>
      <c r="D75" s="17" t="s">
        <v>108</v>
      </c>
      <c r="E75" s="17" t="s">
        <v>114</v>
      </c>
      <c r="F75" s="17" t="n">
        <v>3688993</v>
      </c>
      <c r="G75" s="17" t="n">
        <v>3697790</v>
      </c>
      <c r="H75" s="17" t="n">
        <v>3055632</v>
      </c>
      <c r="I75" s="17" t="n">
        <v>461681</v>
      </c>
      <c r="J75" s="17" t="n">
        <v>2657406</v>
      </c>
      <c r="K75" s="17" t="n">
        <v>2597420</v>
      </c>
      <c r="L75" s="17" t="n">
        <v>2317079</v>
      </c>
      <c r="M75" s="17" t="n">
        <v>201303</v>
      </c>
      <c r="N75" s="17" t="n">
        <v>7873</v>
      </c>
      <c r="O75" s="17" t="n">
        <v>9213</v>
      </c>
      <c r="P75" s="17" t="n">
        <v>4642</v>
      </c>
      <c r="Q75" s="17" t="n">
        <v>843</v>
      </c>
      <c r="R75" s="17" t="n">
        <v>-380</v>
      </c>
      <c r="S75" s="17" t="n">
        <v>381949</v>
      </c>
      <c r="T75" s="17" t="n">
        <v>2792237</v>
      </c>
      <c r="U75" s="17" t="n">
        <v>41276</v>
      </c>
      <c r="V75" s="17" t="n">
        <v>1.11623429129291</v>
      </c>
      <c r="W75" s="17" t="n">
        <v>8.77</v>
      </c>
      <c r="X75" s="17" t="n">
        <v>3.00674213850076</v>
      </c>
      <c r="Y75" s="17" t="n">
        <v>0.872655514437764</v>
      </c>
      <c r="Z75" s="17" t="n">
        <v>13.6789606326397</v>
      </c>
      <c r="AA75" s="17" t="n">
        <v>12.5150955829951</v>
      </c>
      <c r="AB75" s="17"/>
      <c r="AC75" s="17"/>
      <c r="AD75" s="17"/>
      <c r="AE75" s="17"/>
      <c r="AF75" s="17"/>
      <c r="AG75" s="18" t="n">
        <f aca="false">IFERROR(100*O75/F75,"")</f>
        <v>0.24974295153176</v>
      </c>
      <c r="AH75" s="18" t="n">
        <f aca="false">IFERROR(100*(P75+Q75)/F75,"")</f>
        <v>0.148685562699631</v>
      </c>
      <c r="AI75" s="18" t="n">
        <f aca="false">IFERROR(100*R75/K75,"")</f>
        <v>-0.0146299019796567</v>
      </c>
      <c r="AJ75" s="18" t="n">
        <f aca="false">IF(T75&gt;0,100*S75/T75,"")</f>
        <v>13.6789606326397</v>
      </c>
      <c r="AK75" s="18" t="n">
        <f aca="false">IFERROR(100*U75/G75,"")</f>
        <v>1.11623429129291</v>
      </c>
      <c r="AL75" s="18" t="n">
        <f aca="false">IFERROR(100*J75/H75,"")</f>
        <v>86.9674751409856</v>
      </c>
      <c r="AM75" s="18" t="n">
        <f aca="false">IFERROR(100*L75/J75,"")</f>
        <v>87.193262903749</v>
      </c>
      <c r="AN75" s="18" t="n">
        <f aca="false">IFERROR(100*M75/J75,"")</f>
        <v>7.57516916873071</v>
      </c>
      <c r="AO75" s="18" t="n">
        <f aca="false">IFERROR(100*N75/J75,"")</f>
        <v>0.296266358998211</v>
      </c>
    </row>
    <row r="76" customFormat="false" ht="15" hidden="false" customHeight="false" outlineLevel="0" collapsed="false">
      <c r="A76" s="17" t="n">
        <v>11971</v>
      </c>
      <c r="B76" s="23" t="n">
        <v>44742</v>
      </c>
      <c r="C76" s="17" t="s">
        <v>134</v>
      </c>
      <c r="D76" s="17" t="s">
        <v>108</v>
      </c>
      <c r="E76" s="17" t="s">
        <v>114</v>
      </c>
      <c r="F76" s="17" t="n">
        <v>3712836</v>
      </c>
      <c r="G76" s="17" t="n">
        <v>3702805.33333333</v>
      </c>
      <c r="H76" s="17" t="n">
        <v>3085621</v>
      </c>
      <c r="I76" s="17" t="n">
        <v>448597</v>
      </c>
      <c r="J76" s="17" t="n">
        <v>2730813</v>
      </c>
      <c r="K76" s="17" t="n">
        <v>2641884.33333333</v>
      </c>
      <c r="L76" s="17" t="n">
        <v>2376853</v>
      </c>
      <c r="M76" s="17" t="n">
        <v>204215</v>
      </c>
      <c r="N76" s="17" t="n">
        <v>8150</v>
      </c>
      <c r="O76" s="17" t="n">
        <v>7878</v>
      </c>
      <c r="P76" s="17" t="n">
        <v>1169</v>
      </c>
      <c r="Q76" s="17" t="n">
        <v>719</v>
      </c>
      <c r="R76" s="17" t="n">
        <v>-254</v>
      </c>
      <c r="S76" s="17" t="n">
        <v>389279</v>
      </c>
      <c r="T76" s="17" t="n">
        <v>2868821</v>
      </c>
      <c r="U76" s="17" t="n">
        <v>43086</v>
      </c>
      <c r="V76" s="17" t="n">
        <v>1.16360424384539</v>
      </c>
      <c r="W76" s="17" t="n">
        <v>9.3</v>
      </c>
      <c r="X76" s="17" t="n">
        <v>3.14301219513662</v>
      </c>
      <c r="Y76" s="17" t="n">
        <v>0.869924084878752</v>
      </c>
      <c r="Z76" s="17" t="n">
        <v>13.5693025113801</v>
      </c>
      <c r="AA76" s="17" t="n">
        <v>12.0823273637726</v>
      </c>
      <c r="AB76" s="17"/>
      <c r="AC76" s="17"/>
      <c r="AD76" s="17"/>
      <c r="AE76" s="17"/>
      <c r="AF76" s="17"/>
      <c r="AG76" s="18" t="n">
        <f aca="false">IFERROR(100*O76/F76,"")</f>
        <v>0.212182816585489</v>
      </c>
      <c r="AH76" s="18" t="n">
        <f aca="false">IFERROR(100*(P76+Q76)/F76,"")</f>
        <v>0.0508506166175937</v>
      </c>
      <c r="AI76" s="18" t="n">
        <f aca="false">IFERROR(100*R76/K76,"")</f>
        <v>-0.00961434975767927</v>
      </c>
      <c r="AJ76" s="18" t="n">
        <f aca="false">IF(T76&gt;0,100*S76/T76,"")</f>
        <v>13.5693025113801</v>
      </c>
      <c r="AK76" s="18" t="n">
        <f aca="false">IFERROR(100*U76/G76,"")</f>
        <v>1.16360424384539</v>
      </c>
      <c r="AL76" s="18" t="n">
        <f aca="false">IFERROR(100*J76/H76,"")</f>
        <v>88.5012449681928</v>
      </c>
      <c r="AM76" s="18" t="n">
        <f aca="false">IFERROR(100*L76/J76,"")</f>
        <v>87.0382922594846</v>
      </c>
      <c r="AN76" s="18" t="n">
        <f aca="false">IFERROR(100*M76/J76,"")</f>
        <v>7.47817591318043</v>
      </c>
      <c r="AO76" s="18" t="n">
        <f aca="false">IFERROR(100*N76/J76,"")</f>
        <v>0.298445920683694</v>
      </c>
    </row>
    <row r="77" customFormat="false" ht="15" hidden="false" customHeight="false" outlineLevel="0" collapsed="false">
      <c r="A77" s="17" t="n">
        <v>11971</v>
      </c>
      <c r="B77" s="23" t="n">
        <v>44834</v>
      </c>
      <c r="C77" s="17" t="s">
        <v>134</v>
      </c>
      <c r="D77" s="17" t="s">
        <v>108</v>
      </c>
      <c r="E77" s="17" t="s">
        <v>114</v>
      </c>
      <c r="F77" s="17" t="n">
        <v>3837295</v>
      </c>
      <c r="G77" s="17" t="n">
        <v>3736427.75</v>
      </c>
      <c r="H77" s="17" t="n">
        <v>3143267</v>
      </c>
      <c r="I77" s="17" t="n">
        <v>434474</v>
      </c>
      <c r="J77" s="17" t="n">
        <v>2851346</v>
      </c>
      <c r="K77" s="17" t="n">
        <v>2694249.75</v>
      </c>
      <c r="L77" s="17" t="n">
        <v>2481945</v>
      </c>
      <c r="M77" s="17" t="n">
        <v>216709</v>
      </c>
      <c r="N77" s="17" t="n">
        <v>8133</v>
      </c>
      <c r="O77" s="17" t="n">
        <v>7772</v>
      </c>
      <c r="P77" s="17" t="n">
        <v>1064</v>
      </c>
      <c r="Q77" s="17" t="n">
        <v>258</v>
      </c>
      <c r="R77" s="17" t="n">
        <v>-110.6639</v>
      </c>
      <c r="S77" s="17" t="n">
        <v>398292</v>
      </c>
      <c r="T77" s="17" t="n">
        <v>3013476</v>
      </c>
      <c r="U77" s="17" t="n">
        <v>46034.8491</v>
      </c>
      <c r="V77" s="17" t="n">
        <v>1.23205511199835</v>
      </c>
      <c r="W77" s="17" t="n">
        <v>10.09</v>
      </c>
      <c r="X77" s="17" t="n">
        <v>3.30384258983793</v>
      </c>
      <c r="Y77" s="17" t="n">
        <v>0.877410177509148</v>
      </c>
      <c r="Z77" s="17" t="n">
        <v>13.2170291052592</v>
      </c>
      <c r="AA77" s="17" t="n">
        <v>11.3224028905779</v>
      </c>
      <c r="AB77" s="17"/>
      <c r="AC77" s="17"/>
      <c r="AD77" s="17"/>
      <c r="AE77" s="17"/>
      <c r="AF77" s="17"/>
      <c r="AG77" s="18" t="n">
        <f aca="false">IFERROR(100*O77/F77,"")</f>
        <v>0.202538506943042</v>
      </c>
      <c r="AH77" s="18" t="n">
        <f aca="false">IFERROR(100*(P77+Q77)/F77,"")</f>
        <v>0.0344513517985977</v>
      </c>
      <c r="AI77" s="18" t="n">
        <f aca="false">IFERROR(100*R77/K77,"")</f>
        <v>-0.00410741060660765</v>
      </c>
      <c r="AJ77" s="18" t="n">
        <f aca="false">IF(T77&gt;0,100*S77/T77,"")</f>
        <v>13.2170291052592</v>
      </c>
      <c r="AK77" s="18" t="n">
        <f aca="false">IFERROR(100*U77/G77,"")</f>
        <v>1.23205511199835</v>
      </c>
      <c r="AL77" s="18" t="n">
        <f aca="false">IFERROR(100*J77/H77,"")</f>
        <v>90.712815678719</v>
      </c>
      <c r="AM77" s="18" t="n">
        <f aca="false">IFERROR(100*L77/J77,"")</f>
        <v>87.0446799511529</v>
      </c>
      <c r="AN77" s="18" t="n">
        <f aca="false">IFERROR(100*M77/J77,"")</f>
        <v>7.60023511702894</v>
      </c>
      <c r="AO77" s="18" t="n">
        <f aca="false">IFERROR(100*N77/J77,"")</f>
        <v>0.28523371067559</v>
      </c>
    </row>
    <row r="78" customFormat="false" ht="15" hidden="false" customHeight="false" outlineLevel="0" collapsed="false">
      <c r="A78" s="17" t="n">
        <v>11971</v>
      </c>
      <c r="B78" s="23" t="n">
        <v>44926</v>
      </c>
      <c r="C78" s="17" t="s">
        <v>134</v>
      </c>
      <c r="D78" s="17" t="s">
        <v>108</v>
      </c>
      <c r="E78" s="17" t="s">
        <v>114</v>
      </c>
      <c r="F78" s="17" t="n">
        <v>3906943</v>
      </c>
      <c r="G78" s="17" t="n">
        <v>3770530.8</v>
      </c>
      <c r="H78" s="17" t="n">
        <v>3050819</v>
      </c>
      <c r="I78" s="17" t="n">
        <v>447316</v>
      </c>
      <c r="J78" s="17" t="n">
        <v>2902690</v>
      </c>
      <c r="K78" s="17" t="n">
        <v>2735937.8</v>
      </c>
      <c r="L78" s="17" t="n">
        <v>2554897</v>
      </c>
      <c r="M78" s="17" t="n">
        <v>194294</v>
      </c>
      <c r="N78" s="17" t="n">
        <v>7800</v>
      </c>
      <c r="O78" s="17" t="n">
        <v>6548</v>
      </c>
      <c r="P78" s="17" t="n">
        <v>1146</v>
      </c>
      <c r="Q78" s="17" t="n">
        <v>216</v>
      </c>
      <c r="R78" s="17" t="n">
        <v>-237</v>
      </c>
      <c r="S78" s="17" t="n">
        <v>410053</v>
      </c>
      <c r="T78" s="17" t="n">
        <v>3085154</v>
      </c>
      <c r="U78" s="17" t="n">
        <v>49034</v>
      </c>
      <c r="V78" s="17" t="n">
        <v>1.30045350644</v>
      </c>
      <c r="W78" s="17" t="n">
        <v>10.79</v>
      </c>
      <c r="X78" s="17" t="n">
        <v>3.45843569395616</v>
      </c>
      <c r="Y78" s="17" t="n">
        <v>0.890897753463167</v>
      </c>
      <c r="Z78" s="17" t="n">
        <v>13.2911679611455</v>
      </c>
      <c r="AA78" s="17" t="n">
        <v>11.449258409964</v>
      </c>
      <c r="AB78" s="17"/>
      <c r="AC78" s="17"/>
      <c r="AD78" s="17"/>
      <c r="AE78" s="17"/>
      <c r="AF78" s="17"/>
      <c r="AG78" s="18" t="n">
        <f aca="false">IFERROR(100*O78/F78,"")</f>
        <v>0.167599066584795</v>
      </c>
      <c r="AH78" s="18" t="n">
        <f aca="false">IFERROR(100*(P78+Q78)/F78,"")</f>
        <v>0.034861015376984</v>
      </c>
      <c r="AI78" s="18" t="n">
        <f aca="false">IFERROR(100*R78/K78,"")</f>
        <v>-0.00866247763381171</v>
      </c>
      <c r="AJ78" s="18" t="n">
        <f aca="false">IF(T78&gt;0,100*S78/T78,"")</f>
        <v>13.2911679611455</v>
      </c>
      <c r="AK78" s="18" t="n">
        <f aca="false">IFERROR(100*U78/G78,"")</f>
        <v>1.30045350644</v>
      </c>
      <c r="AL78" s="18" t="n">
        <f aca="false">IFERROR(100*J78/H78,"")</f>
        <v>95.1446152656057</v>
      </c>
      <c r="AM78" s="18" t="n">
        <f aca="false">IFERROR(100*L78/J78,"")</f>
        <v>88.0182520351812</v>
      </c>
      <c r="AN78" s="18" t="n">
        <f aca="false">IFERROR(100*M78/J78,"")</f>
        <v>6.69358422704457</v>
      </c>
      <c r="AO78" s="18" t="n">
        <f aca="false">IFERROR(100*N78/J78,"")</f>
        <v>0.268716259745271</v>
      </c>
    </row>
    <row r="79" customFormat="false" ht="15" hidden="false" customHeight="false" outlineLevel="0" collapsed="false">
      <c r="A79" s="17" t="n">
        <v>11971</v>
      </c>
      <c r="B79" s="23" t="n">
        <v>45016</v>
      </c>
      <c r="C79" s="17" t="s">
        <v>134</v>
      </c>
      <c r="D79" s="17" t="s">
        <v>108</v>
      </c>
      <c r="E79" s="17" t="s">
        <v>114</v>
      </c>
      <c r="F79" s="17" t="n">
        <v>3925512</v>
      </c>
      <c r="G79" s="17" t="n">
        <v>3916227.5</v>
      </c>
      <c r="H79" s="17" t="n">
        <v>3061414</v>
      </c>
      <c r="I79" s="17" t="n">
        <v>461427</v>
      </c>
      <c r="J79" s="17" t="n">
        <v>2944469</v>
      </c>
      <c r="K79" s="17" t="n">
        <v>2923579.5</v>
      </c>
      <c r="L79" s="17" t="n">
        <v>2595296</v>
      </c>
      <c r="M79" s="17" t="n">
        <v>195856</v>
      </c>
      <c r="N79" s="17" t="n">
        <v>7535</v>
      </c>
      <c r="O79" s="17" t="n">
        <v>7795</v>
      </c>
      <c r="P79" s="17" t="n">
        <v>6311</v>
      </c>
      <c r="Q79" s="17" t="n">
        <v>138</v>
      </c>
      <c r="R79" s="17" t="n">
        <v>204</v>
      </c>
      <c r="S79" s="17" t="n">
        <v>419780</v>
      </c>
      <c r="T79" s="17" t="n">
        <v>3127484</v>
      </c>
      <c r="U79" s="17" t="n">
        <v>57232</v>
      </c>
      <c r="V79" s="17" t="n">
        <v>1.46140641727275</v>
      </c>
      <c r="W79" s="17" t="n">
        <v>12.6</v>
      </c>
      <c r="X79" s="17" t="n">
        <v>3.62834593183597</v>
      </c>
      <c r="Y79" s="17" t="n">
        <v>0.903626426360746</v>
      </c>
      <c r="Z79" s="17" t="n">
        <v>13.4222908894178</v>
      </c>
      <c r="AA79" s="17" t="n">
        <v>11.7545685760227</v>
      </c>
      <c r="AB79" s="17" t="n">
        <v>6.41147868808643</v>
      </c>
      <c r="AC79" s="17" t="n">
        <v>10.8023764528266</v>
      </c>
      <c r="AD79" s="17" t="n">
        <v>0.18922435685973</v>
      </c>
      <c r="AE79" s="17" t="n">
        <v>0.345172125979838</v>
      </c>
      <c r="AF79" s="17" t="n">
        <v>-0.051170128419768</v>
      </c>
      <c r="AG79" s="18" t="n">
        <f aca="false">IFERROR(100*O79/F79,"")</f>
        <v>0.198572823111992</v>
      </c>
      <c r="AH79" s="18" t="n">
        <f aca="false">IFERROR(100*(P79+Q79)/F79,"")</f>
        <v>0.164284302277002</v>
      </c>
      <c r="AI79" s="18" t="n">
        <f aca="false">IFERROR(100*R79/K79,"")</f>
        <v>0.00697774765488676</v>
      </c>
      <c r="AJ79" s="18" t="n">
        <f aca="false">IF(T79&gt;0,100*S79/T79,"")</f>
        <v>13.4222908894178</v>
      </c>
      <c r="AK79" s="18" t="n">
        <f aca="false">IFERROR(100*U79/G79,"")</f>
        <v>1.46140641727275</v>
      </c>
      <c r="AL79" s="18" t="n">
        <f aca="false">IFERROR(100*J79/H79,"")</f>
        <v>96.1800331480813</v>
      </c>
      <c r="AM79" s="18" t="n">
        <f aca="false">IFERROR(100*L79/J79,"")</f>
        <v>88.1413932359281</v>
      </c>
      <c r="AN79" s="18" t="n">
        <f aca="false">IFERROR(100*M79/J79,"")</f>
        <v>6.65165773523172</v>
      </c>
      <c r="AO79" s="18" t="n">
        <f aca="false">IFERROR(100*N79/J79,"")</f>
        <v>0.255903526238517</v>
      </c>
    </row>
    <row r="80" customFormat="false" ht="15" hidden="false" customHeight="false" outlineLevel="0" collapsed="false">
      <c r="A80" s="17" t="n">
        <v>11971</v>
      </c>
      <c r="B80" s="23" t="n">
        <v>45107</v>
      </c>
      <c r="C80" s="17" t="s">
        <v>134</v>
      </c>
      <c r="D80" s="17" t="s">
        <v>108</v>
      </c>
      <c r="E80" s="17" t="s">
        <v>114</v>
      </c>
      <c r="F80" s="17" t="n">
        <v>4024714</v>
      </c>
      <c r="G80" s="17" t="n">
        <v>3952389.66666667</v>
      </c>
      <c r="H80" s="17" t="n">
        <v>3097302</v>
      </c>
      <c r="I80" s="17" t="n">
        <v>463527</v>
      </c>
      <c r="J80" s="17" t="n">
        <v>3011149</v>
      </c>
      <c r="K80" s="17" t="n">
        <v>2952769.33333333</v>
      </c>
      <c r="L80" s="17" t="n">
        <v>2647016</v>
      </c>
      <c r="M80" s="17" t="n">
        <v>218097</v>
      </c>
      <c r="N80" s="17" t="n">
        <v>7796</v>
      </c>
      <c r="O80" s="17" t="n">
        <v>6704</v>
      </c>
      <c r="P80" s="17" t="n">
        <v>1816</v>
      </c>
      <c r="Q80" s="17" t="n">
        <v>568</v>
      </c>
      <c r="R80" s="17" t="n">
        <v>92</v>
      </c>
      <c r="S80" s="17" t="n">
        <v>427327</v>
      </c>
      <c r="T80" s="17" t="n">
        <v>3214380</v>
      </c>
      <c r="U80" s="17" t="n">
        <v>53226</v>
      </c>
      <c r="V80" s="17" t="n">
        <v>1.34667895852712</v>
      </c>
      <c r="W80" s="17" t="n">
        <v>11.64</v>
      </c>
      <c r="X80" s="17" t="n">
        <v>3.47596816651074</v>
      </c>
      <c r="Y80" s="17" t="n">
        <v>0.908689672945444</v>
      </c>
      <c r="Z80" s="17" t="n">
        <v>13.2942278137619</v>
      </c>
      <c r="AA80" s="17" t="n">
        <v>11.5170171097872</v>
      </c>
      <c r="AB80" s="17" t="n">
        <v>8.39999396687599</v>
      </c>
      <c r="AC80" s="17" t="n">
        <v>10.2656608123661</v>
      </c>
      <c r="AD80" s="17" t="n">
        <v>0.378562370427216</v>
      </c>
      <c r="AE80" s="17" t="n">
        <v>0.183074714681728</v>
      </c>
      <c r="AF80" s="17" t="n">
        <v>-0.0456119745331095</v>
      </c>
      <c r="AG80" s="18" t="n">
        <f aca="false">IFERROR(100*O80/F80,"")</f>
        <v>0.166570842052379</v>
      </c>
      <c r="AH80" s="18" t="n">
        <f aca="false">IFERROR(100*(P80+Q80)/F80,"")</f>
        <v>0.0592340225914189</v>
      </c>
      <c r="AI80" s="18" t="n">
        <f aca="false">IFERROR(100*R80/K80,"")</f>
        <v>0.00311571916442734</v>
      </c>
      <c r="AJ80" s="18" t="n">
        <f aca="false">IF(T80&gt;0,100*S80/T80,"")</f>
        <v>13.2942278137619</v>
      </c>
      <c r="AK80" s="18" t="n">
        <f aca="false">IFERROR(100*U80/G80,"")</f>
        <v>1.34667895852712</v>
      </c>
      <c r="AL80" s="18" t="n">
        <f aca="false">IFERROR(100*J80/H80,"")</f>
        <v>97.218450122074</v>
      </c>
      <c r="AM80" s="18" t="n">
        <f aca="false">IFERROR(100*L80/J80,"")</f>
        <v>87.9071743045595</v>
      </c>
      <c r="AN80" s="18" t="n">
        <f aca="false">IFERROR(100*M80/J80,"")</f>
        <v>7.24298266210008</v>
      </c>
      <c r="AO80" s="18" t="n">
        <f aca="false">IFERROR(100*N80/J80,"")</f>
        <v>0.25890449127559</v>
      </c>
    </row>
    <row r="81" customFormat="false" ht="15" hidden="false" customHeight="false" outlineLevel="0" collapsed="false">
      <c r="A81" s="17" t="n">
        <v>11971</v>
      </c>
      <c r="B81" s="23" t="n">
        <v>45199</v>
      </c>
      <c r="C81" s="17" t="s">
        <v>134</v>
      </c>
      <c r="D81" s="17" t="s">
        <v>108</v>
      </c>
      <c r="E81" s="17" t="s">
        <v>114</v>
      </c>
      <c r="F81" s="17" t="n">
        <v>3980815</v>
      </c>
      <c r="G81" s="17" t="n">
        <v>3959496</v>
      </c>
      <c r="H81" s="17" t="n">
        <v>3148381</v>
      </c>
      <c r="I81" s="17" t="n">
        <v>456209</v>
      </c>
      <c r="J81" s="17" t="n">
        <v>2994807</v>
      </c>
      <c r="K81" s="17" t="n">
        <v>2963278.75</v>
      </c>
      <c r="L81" s="17" t="n">
        <v>2636437</v>
      </c>
      <c r="M81" s="17" t="n">
        <v>203469</v>
      </c>
      <c r="N81" s="17" t="n">
        <v>7845</v>
      </c>
      <c r="O81" s="17" t="n">
        <v>6769</v>
      </c>
      <c r="P81" s="17" t="n">
        <v>2914</v>
      </c>
      <c r="Q81" s="17" t="n">
        <v>959</v>
      </c>
      <c r="R81" s="17" t="n">
        <v>93.331</v>
      </c>
      <c r="S81" s="17" t="n">
        <v>434770</v>
      </c>
      <c r="T81" s="17" t="n">
        <v>3196457</v>
      </c>
      <c r="U81" s="17" t="n">
        <v>52378.6905</v>
      </c>
      <c r="V81" s="17" t="n">
        <v>1.3228625688724</v>
      </c>
      <c r="W81" s="17" t="n">
        <v>11.46</v>
      </c>
      <c r="X81" s="17" t="n">
        <v>3.44709104963489</v>
      </c>
      <c r="Y81" s="17" t="n">
        <v>0.935319037253486</v>
      </c>
      <c r="Z81" s="17" t="n">
        <v>13.601622045909</v>
      </c>
      <c r="AA81" s="17" t="n">
        <v>11.4601909407998</v>
      </c>
      <c r="AB81" s="17" t="n">
        <v>3.74013465214429</v>
      </c>
      <c r="AC81" s="17" t="n">
        <v>5.03134309199935</v>
      </c>
      <c r="AD81" s="17" t="n">
        <v>0.162696964654918</v>
      </c>
      <c r="AE81" s="17" t="n">
        <v>0.09080745687405</v>
      </c>
      <c r="AF81" s="17" t="n">
        <v>-0.032497949921427</v>
      </c>
      <c r="AG81" s="18" t="n">
        <f aca="false">IFERROR(100*O81/F81,"")</f>
        <v>0.170040557021615</v>
      </c>
      <c r="AH81" s="18" t="n">
        <f aca="false">IFERROR(100*(P81+Q81)/F81,"")</f>
        <v>0.0972916350043898</v>
      </c>
      <c r="AI81" s="18" t="n">
        <f aca="false">IFERROR(100*R81/K81,"")</f>
        <v>0.00314958557307509</v>
      </c>
      <c r="AJ81" s="18" t="n">
        <f aca="false">IF(T81&gt;0,100*S81/T81,"")</f>
        <v>13.601622045909</v>
      </c>
      <c r="AK81" s="18" t="n">
        <f aca="false">IFERROR(100*U81/G81,"")</f>
        <v>1.3228625688724</v>
      </c>
      <c r="AL81" s="18" t="n">
        <f aca="false">IFERROR(100*J81/H81,"")</f>
        <v>95.1221278492025</v>
      </c>
      <c r="AM81" s="18" t="n">
        <f aca="false">IFERROR(100*L81/J81,"")</f>
        <v>88.0336195287376</v>
      </c>
      <c r="AN81" s="18" t="n">
        <f aca="false">IFERROR(100*M81/J81,"")</f>
        <v>6.79406051875797</v>
      </c>
      <c r="AO81" s="18" t="n">
        <f aca="false">IFERROR(100*N81/J81,"")</f>
        <v>0.261953441407076</v>
      </c>
    </row>
    <row r="82" customFormat="false" ht="15" hidden="false" customHeight="false" outlineLevel="0" collapsed="false">
      <c r="A82" s="17" t="n">
        <v>11971</v>
      </c>
      <c r="B82" s="23" t="n">
        <v>45291</v>
      </c>
      <c r="C82" s="17" t="s">
        <v>134</v>
      </c>
      <c r="D82" s="17" t="s">
        <v>108</v>
      </c>
      <c r="E82" s="17" t="s">
        <v>114</v>
      </c>
      <c r="F82" s="17" t="n">
        <v>3967808</v>
      </c>
      <c r="G82" s="17" t="n">
        <v>3961158.4</v>
      </c>
      <c r="H82" s="17" t="n">
        <v>3149026</v>
      </c>
      <c r="I82" s="17" t="n">
        <v>483954</v>
      </c>
      <c r="J82" s="17" t="n">
        <v>3001238</v>
      </c>
      <c r="K82" s="17" t="n">
        <v>2970870.6</v>
      </c>
      <c r="L82" s="17" t="n">
        <v>2638835</v>
      </c>
      <c r="M82" s="17" t="n">
        <v>218797</v>
      </c>
      <c r="N82" s="17" t="n">
        <v>7832</v>
      </c>
      <c r="O82" s="17" t="n">
        <v>5529</v>
      </c>
      <c r="P82" s="17" t="n">
        <v>2393</v>
      </c>
      <c r="Q82" s="17" t="n">
        <v>141</v>
      </c>
      <c r="R82" s="17" t="n">
        <v>626</v>
      </c>
      <c r="S82" s="17" t="n">
        <v>441278</v>
      </c>
      <c r="T82" s="17" t="n">
        <v>3158031</v>
      </c>
      <c r="U82" s="17" t="n">
        <v>51251</v>
      </c>
      <c r="V82" s="17" t="n">
        <v>1.29383869122729</v>
      </c>
      <c r="W82" s="17" t="n">
        <v>11.08</v>
      </c>
      <c r="X82" s="17" t="n">
        <v>3.42069609134703</v>
      </c>
      <c r="Y82" s="17" t="n">
        <v>0.937679717503244</v>
      </c>
      <c r="Z82" s="17" t="n">
        <v>13.9732003897365</v>
      </c>
      <c r="AA82" s="17" t="n">
        <v>12.1970115489459</v>
      </c>
      <c r="AB82" s="17" t="n">
        <v>1.55786762182095</v>
      </c>
      <c r="AC82" s="17" t="n">
        <v>3.39505768786883</v>
      </c>
      <c r="AD82" s="17" t="n">
        <v>3.21903724868633</v>
      </c>
      <c r="AE82" s="17" t="n">
        <v>-0.00661481521270146</v>
      </c>
      <c r="AF82" s="17" t="n">
        <v>-0.0282526062721996</v>
      </c>
      <c r="AG82" s="18" t="n">
        <f aca="false">IFERROR(100*O82/F82,"")</f>
        <v>0.139346460312596</v>
      </c>
      <c r="AH82" s="18" t="n">
        <f aca="false">IFERROR(100*(P82+Q82)/F82,"")</f>
        <v>0.0638639772892237</v>
      </c>
      <c r="AI82" s="18" t="n">
        <f aca="false">IFERROR(100*R82/K82,"")</f>
        <v>0.0210712644300294</v>
      </c>
      <c r="AJ82" s="18" t="n">
        <f aca="false">IF(T82&gt;0,100*S82/T82,"")</f>
        <v>13.9732003897365</v>
      </c>
      <c r="AK82" s="18" t="n">
        <f aca="false">IFERROR(100*U82/G82,"")</f>
        <v>1.29383869122729</v>
      </c>
      <c r="AL82" s="18" t="n">
        <f aca="false">IFERROR(100*J82/H82,"")</f>
        <v>95.306866313584</v>
      </c>
      <c r="AM82" s="18" t="n">
        <f aca="false">IFERROR(100*L82/J82,"")</f>
        <v>87.9248829982827</v>
      </c>
      <c r="AN82" s="18" t="n">
        <f aca="false">IFERROR(100*M82/J82,"")</f>
        <v>7.29022490052438</v>
      </c>
      <c r="AO82" s="18" t="n">
        <f aca="false">IFERROR(100*N82/J82,"")</f>
        <v>0.260958977595246</v>
      </c>
    </row>
    <row r="83" customFormat="false" ht="15" hidden="false" customHeight="false" outlineLevel="0" collapsed="false">
      <c r="A83" s="17" t="n">
        <v>11971</v>
      </c>
      <c r="B83" s="23" t="n">
        <v>45382</v>
      </c>
      <c r="C83" s="17" t="s">
        <v>134</v>
      </c>
      <c r="D83" s="17" t="s">
        <v>108</v>
      </c>
      <c r="E83" s="17" t="s">
        <v>114</v>
      </c>
      <c r="F83" s="17" t="n">
        <v>3955727</v>
      </c>
      <c r="G83" s="17" t="n">
        <v>3961767.5</v>
      </c>
      <c r="H83" s="17" t="n">
        <v>3137892</v>
      </c>
      <c r="I83" s="17" t="n">
        <v>487592</v>
      </c>
      <c r="J83" s="17" t="n">
        <v>3014809</v>
      </c>
      <c r="K83" s="17" t="n">
        <v>3008023.5</v>
      </c>
      <c r="L83" s="17" t="n">
        <v>2661075</v>
      </c>
      <c r="M83" s="17" t="n">
        <v>200453</v>
      </c>
      <c r="N83" s="17" t="n">
        <v>7629</v>
      </c>
      <c r="O83" s="17" t="n">
        <v>6869</v>
      </c>
      <c r="P83" s="17" t="n">
        <v>2796</v>
      </c>
      <c r="Q83" s="17" t="n">
        <v>0</v>
      </c>
      <c r="R83" s="17" t="n">
        <v>304</v>
      </c>
      <c r="S83" s="17" t="n">
        <v>447860</v>
      </c>
      <c r="T83" s="17" t="n">
        <v>3176662</v>
      </c>
      <c r="U83" s="17" t="n">
        <v>46288</v>
      </c>
      <c r="V83" s="17" t="n">
        <v>1.1683674016711</v>
      </c>
      <c r="W83" s="17" t="n">
        <v>9.53</v>
      </c>
      <c r="X83" s="17" t="n">
        <v>3.25579709921018</v>
      </c>
      <c r="Y83" s="17" t="n">
        <v>0.940523927054749</v>
      </c>
      <c r="Z83" s="17" t="n">
        <v>14.0984467343394</v>
      </c>
      <c r="AA83" s="17" t="n">
        <v>12.3262297929053</v>
      </c>
      <c r="AB83" s="17" t="n">
        <v>0.769708511908762</v>
      </c>
      <c r="AC83" s="17" t="n">
        <v>2.38888573797178</v>
      </c>
      <c r="AD83" s="17" t="n">
        <v>2.49812668263749</v>
      </c>
      <c r="AE83" s="17" t="n">
        <v>-0.293039015601648</v>
      </c>
      <c r="AF83" s="17" t="n">
        <v>-0.024925855057826</v>
      </c>
      <c r="AG83" s="18" t="n">
        <f aca="false">IFERROR(100*O83/F83,"")</f>
        <v>0.173646968054166</v>
      </c>
      <c r="AH83" s="18" t="n">
        <f aca="false">IFERROR(100*(P83+Q83)/F83,"")</f>
        <v>0.0706823296956539</v>
      </c>
      <c r="AI83" s="18" t="n">
        <f aca="false">IFERROR(100*R83/K83,"")</f>
        <v>0.0101063040232232</v>
      </c>
      <c r="AJ83" s="18" t="n">
        <f aca="false">IF(T83&gt;0,100*S83/T83,"")</f>
        <v>14.0984467343394</v>
      </c>
      <c r="AK83" s="18" t="n">
        <f aca="false">IFERROR(100*U83/G83,"")</f>
        <v>1.1683674016711</v>
      </c>
      <c r="AL83" s="18" t="n">
        <f aca="false">IFERROR(100*J83/H83,"")</f>
        <v>96.0775259314215</v>
      </c>
      <c r="AM83" s="18" t="n">
        <f aca="false">IFERROR(100*L83/J83,"")</f>
        <v>88.2667857234074</v>
      </c>
      <c r="AN83" s="18" t="n">
        <f aca="false">IFERROR(100*M83/J83,"")</f>
        <v>6.64894525656518</v>
      </c>
      <c r="AO83" s="18" t="n">
        <f aca="false">IFERROR(100*N83/J83,"")</f>
        <v>0.253050856621431</v>
      </c>
    </row>
    <row r="84" customFormat="false" ht="15" hidden="false" customHeight="false" outlineLevel="0" collapsed="false">
      <c r="A84" s="17" t="n">
        <v>11971</v>
      </c>
      <c r="B84" s="23" t="n">
        <v>45473</v>
      </c>
      <c r="C84" s="17" t="s">
        <v>134</v>
      </c>
      <c r="D84" s="17" t="s">
        <v>108</v>
      </c>
      <c r="E84" s="17" t="s">
        <v>114</v>
      </c>
      <c r="F84" s="17" t="n">
        <v>4030143</v>
      </c>
      <c r="G84" s="17" t="n">
        <v>3984559.33333333</v>
      </c>
      <c r="H84" s="17" t="n">
        <v>3147483</v>
      </c>
      <c r="I84" s="17" t="n">
        <v>493698</v>
      </c>
      <c r="J84" s="17" t="n">
        <v>3068077</v>
      </c>
      <c r="K84" s="17" t="n">
        <v>3028041.33333333</v>
      </c>
      <c r="L84" s="17" t="n">
        <v>2699076</v>
      </c>
      <c r="M84" s="17" t="n">
        <v>217956</v>
      </c>
      <c r="N84" s="17" t="n">
        <v>8227</v>
      </c>
      <c r="O84" s="17" t="n">
        <v>6276</v>
      </c>
      <c r="P84" s="17" t="n">
        <v>1636</v>
      </c>
      <c r="Q84" s="17" t="n">
        <v>34</v>
      </c>
      <c r="R84" s="17" t="n">
        <v>322</v>
      </c>
      <c r="S84" s="17" t="n">
        <v>457619</v>
      </c>
      <c r="T84" s="17" t="n">
        <v>3240469</v>
      </c>
      <c r="U84" s="17" t="n">
        <v>47260</v>
      </c>
      <c r="V84" s="17" t="n">
        <v>1.18607846053742</v>
      </c>
      <c r="W84" s="17" t="n">
        <v>9.68</v>
      </c>
      <c r="X84" s="17" t="n">
        <v>3.22079982739227</v>
      </c>
      <c r="Y84" s="17" t="n">
        <v>0.940491389231757</v>
      </c>
      <c r="Z84" s="17" t="n">
        <v>14.1219990069339</v>
      </c>
      <c r="AA84" s="17" t="n">
        <v>12.2501360373565</v>
      </c>
      <c r="AB84" s="17" t="n">
        <v>0.134891572419815</v>
      </c>
      <c r="AC84" s="17" t="n">
        <v>1.89057399683643</v>
      </c>
      <c r="AD84" s="17" t="n">
        <v>1.62015199034515</v>
      </c>
      <c r="AE84" s="17" t="n">
        <v>-0.160600497989698</v>
      </c>
      <c r="AF84" s="17" t="n">
        <v>-0.0108443579052908</v>
      </c>
      <c r="AG84" s="18" t="n">
        <f aca="false">IFERROR(100*O84/F84,"")</f>
        <v>0.155726484147089</v>
      </c>
      <c r="AH84" s="18" t="n">
        <f aca="false">IFERROR(100*(P84+Q84)/F84,"")</f>
        <v>0.0414377355840723</v>
      </c>
      <c r="AI84" s="18" t="n">
        <f aca="false">IFERROR(100*R84/K84,"")</f>
        <v>0.010633936745029</v>
      </c>
      <c r="AJ84" s="18" t="n">
        <f aca="false">IF(T84&gt;0,100*S84/T84,"")</f>
        <v>14.1219990069339</v>
      </c>
      <c r="AK84" s="18" t="n">
        <f aca="false">IFERROR(100*U84/G84,"")</f>
        <v>1.18607846053742</v>
      </c>
      <c r="AL84" s="18" t="n">
        <f aca="false">IFERROR(100*J84/H84,"")</f>
        <v>97.4771587328669</v>
      </c>
      <c r="AM84" s="18" t="n">
        <f aca="false">IFERROR(100*L84/J84,"")</f>
        <v>87.9728898590224</v>
      </c>
      <c r="AN84" s="18" t="n">
        <f aca="false">IFERROR(100*M84/J84,"")</f>
        <v>7.10399380458835</v>
      </c>
      <c r="AO84" s="18" t="n">
        <f aca="false">IFERROR(100*N84/J84,"")</f>
        <v>0.2681484200038</v>
      </c>
    </row>
    <row r="85" customFormat="false" ht="15" hidden="false" customHeight="false" outlineLevel="0" collapsed="false">
      <c r="A85" s="17" t="n">
        <v>11971</v>
      </c>
      <c r="B85" s="23" t="n">
        <v>45565</v>
      </c>
      <c r="C85" s="17" t="s">
        <v>134</v>
      </c>
      <c r="D85" s="17" t="s">
        <v>108</v>
      </c>
      <c r="E85" s="17" t="s">
        <v>114</v>
      </c>
      <c r="F85" s="17" t="n">
        <v>4025992</v>
      </c>
      <c r="G85" s="17" t="n">
        <v>3994917.5</v>
      </c>
      <c r="H85" s="17" t="n">
        <v>3269616</v>
      </c>
      <c r="I85" s="17" t="n">
        <v>513464</v>
      </c>
      <c r="J85" s="17" t="n">
        <v>3083007</v>
      </c>
      <c r="K85" s="17" t="n">
        <v>3041782.75</v>
      </c>
      <c r="L85" s="17" t="n">
        <v>2726474</v>
      </c>
      <c r="M85" s="17" t="n">
        <v>208964</v>
      </c>
      <c r="N85" s="17" t="n">
        <v>7873</v>
      </c>
      <c r="O85" s="17" t="n">
        <v>7100</v>
      </c>
      <c r="P85" s="17" t="n">
        <v>2038</v>
      </c>
      <c r="Q85" s="17" t="n">
        <v>0</v>
      </c>
      <c r="R85" s="17" t="n">
        <v>294.6593</v>
      </c>
      <c r="S85" s="17" t="n">
        <v>465418</v>
      </c>
      <c r="T85" s="17" t="n">
        <v>3284305</v>
      </c>
      <c r="U85" s="17" t="n">
        <v>50177.4122</v>
      </c>
      <c r="V85" s="17" t="n">
        <v>1.25603124970666</v>
      </c>
      <c r="W85" s="17" t="n">
        <v>10.14</v>
      </c>
      <c r="X85" s="17" t="n">
        <v>3.2481714510262</v>
      </c>
      <c r="Y85" s="17" t="n">
        <v>0.941386120758078</v>
      </c>
      <c r="Z85" s="17" t="n">
        <v>14.1709737676617</v>
      </c>
      <c r="AA85" s="17" t="n">
        <v>12.7537262865897</v>
      </c>
      <c r="AB85" s="17" t="n">
        <v>1.13486811117824</v>
      </c>
      <c r="AC85" s="17" t="n">
        <v>2.94509796457669</v>
      </c>
      <c r="AD85" s="17" t="n">
        <v>3.85070930106617</v>
      </c>
      <c r="AE85" s="17" t="n">
        <v>-0.0668313191657435</v>
      </c>
      <c r="AF85" s="17" t="n">
        <v>0.00631349435255574</v>
      </c>
      <c r="AG85" s="18" t="n">
        <f aca="false">IFERROR(100*O85/F85,"")</f>
        <v>0.176354051374171</v>
      </c>
      <c r="AH85" s="18" t="n">
        <f aca="false">IFERROR(100*(P85+Q85)/F85,"")</f>
        <v>0.0506210643240225</v>
      </c>
      <c r="AI85" s="18" t="n">
        <f aca="false">IFERROR(100*R85/K85,"")</f>
        <v>0.00968705934044764</v>
      </c>
      <c r="AJ85" s="18" t="n">
        <f aca="false">IF(T85&gt;0,100*S85/T85,"")</f>
        <v>14.1709737676617</v>
      </c>
      <c r="AK85" s="18" t="n">
        <f aca="false">IFERROR(100*U85/G85,"")</f>
        <v>1.25603124970666</v>
      </c>
      <c r="AL85" s="18" t="n">
        <f aca="false">IFERROR(100*J85/H85,"")</f>
        <v>94.2926325293246</v>
      </c>
      <c r="AM85" s="18" t="n">
        <f aca="false">IFERROR(100*L85/J85,"")</f>
        <v>88.4355436105075</v>
      </c>
      <c r="AN85" s="18" t="n">
        <f aca="false">IFERROR(100*M85/J85,"")</f>
        <v>6.77792817207356</v>
      </c>
      <c r="AO85" s="18" t="n">
        <f aca="false">IFERROR(100*N85/J85,"")</f>
        <v>0.255367568091801</v>
      </c>
    </row>
    <row r="86" customFormat="false" ht="15" hidden="false" customHeight="false" outlineLevel="0" collapsed="false">
      <c r="A86" s="17" t="n">
        <v>11971</v>
      </c>
      <c r="B86" s="23" t="n">
        <v>45657</v>
      </c>
      <c r="C86" s="17" t="s">
        <v>134</v>
      </c>
      <c r="D86" s="17" t="s">
        <v>108</v>
      </c>
      <c r="E86" s="17" t="s">
        <v>114</v>
      </c>
      <c r="F86" s="17" t="n">
        <v>4077997</v>
      </c>
      <c r="G86" s="17" t="n">
        <v>4011533.4</v>
      </c>
      <c r="H86" s="17" t="n">
        <v>3274818</v>
      </c>
      <c r="I86" s="17" t="n">
        <v>493072</v>
      </c>
      <c r="J86" s="17" t="n">
        <v>3148332</v>
      </c>
      <c r="K86" s="17" t="n">
        <v>3063092.6</v>
      </c>
      <c r="L86" s="17" t="n">
        <v>2776221</v>
      </c>
      <c r="M86" s="17" t="n">
        <v>212814</v>
      </c>
      <c r="N86" s="17" t="n">
        <v>8070</v>
      </c>
      <c r="O86" s="17" t="n">
        <v>6995</v>
      </c>
      <c r="P86" s="17" t="n">
        <v>17336</v>
      </c>
      <c r="Q86" s="17" t="n">
        <v>3</v>
      </c>
      <c r="R86" s="17" t="n">
        <v>353</v>
      </c>
      <c r="S86" s="17" t="n">
        <v>452823</v>
      </c>
      <c r="T86" s="17" t="n">
        <v>3368931</v>
      </c>
      <c r="U86" s="17" t="n">
        <v>50725</v>
      </c>
      <c r="V86" s="17" t="n">
        <v>1.26447906428998</v>
      </c>
      <c r="W86" s="17" t="n">
        <v>10.26</v>
      </c>
      <c r="X86" s="17" t="n">
        <v>3.2547781259091</v>
      </c>
      <c r="Y86" s="17" t="n">
        <v>0.912991387185342</v>
      </c>
      <c r="Z86" s="17" t="n">
        <v>13.4411479487113</v>
      </c>
      <c r="AA86" s="17" t="n">
        <v>12.0910339070872</v>
      </c>
      <c r="AB86" s="17" t="n">
        <v>2.77707489878543</v>
      </c>
      <c r="AC86" s="17" t="n">
        <v>4.90111080827311</v>
      </c>
      <c r="AD86" s="17" t="n">
        <v>3.99463199097119</v>
      </c>
      <c r="AE86" s="17" t="n">
        <v>-0.0293596269373142</v>
      </c>
      <c r="AF86" s="17" t="n">
        <v>0.0321838277185136</v>
      </c>
      <c r="AG86" s="18" t="n">
        <f aca="false">IFERROR(100*O86/F86,"")</f>
        <v>0.171530288031109</v>
      </c>
      <c r="AH86" s="18" t="n">
        <f aca="false">IFERROR(100*(P86+Q86)/F86,"")</f>
        <v>0.425184226471967</v>
      </c>
      <c r="AI86" s="18" t="n">
        <f aca="false">IFERROR(100*R86/K86,"")</f>
        <v>0.0115243006365527</v>
      </c>
      <c r="AJ86" s="18" t="n">
        <f aca="false">IF(T86&gt;0,100*S86/T86,"")</f>
        <v>13.4411479487113</v>
      </c>
      <c r="AK86" s="18" t="n">
        <f aca="false">IFERROR(100*U86/G86,"")</f>
        <v>1.26447906428998</v>
      </c>
      <c r="AL86" s="18" t="n">
        <f aca="false">IFERROR(100*J86/H86,"")</f>
        <v>96.137617418739</v>
      </c>
      <c r="AM86" s="18" t="n">
        <f aca="false">IFERROR(100*L86/J86,"")</f>
        <v>88.1806937768952</v>
      </c>
      <c r="AN86" s="18" t="n">
        <f aca="false">IFERROR(100*M86/J86,"")</f>
        <v>6.75957935821254</v>
      </c>
      <c r="AO86" s="18" t="n">
        <f aca="false">IFERROR(100*N86/J86,"")</f>
        <v>0.256326207020098</v>
      </c>
    </row>
    <row r="87" customFormat="false" ht="15" hidden="false" customHeight="false" outlineLevel="0" collapsed="false">
      <c r="A87" s="17" t="n">
        <v>11971</v>
      </c>
      <c r="B87" s="23" t="n">
        <v>45747</v>
      </c>
      <c r="C87" s="17" t="s">
        <v>134</v>
      </c>
      <c r="D87" s="17" t="s">
        <v>108</v>
      </c>
      <c r="E87" s="17" t="s">
        <v>114</v>
      </c>
      <c r="F87" s="17" t="n">
        <v>4058800</v>
      </c>
      <c r="G87" s="17" t="n">
        <v>4068398.5</v>
      </c>
      <c r="H87" s="17" t="n">
        <v>3305747</v>
      </c>
      <c r="I87" s="17" t="n">
        <v>500720</v>
      </c>
      <c r="J87" s="17" t="n">
        <v>3125754</v>
      </c>
      <c r="K87" s="17" t="n">
        <v>3137043</v>
      </c>
      <c r="L87" s="17" t="n">
        <v>2780638</v>
      </c>
      <c r="M87" s="17" t="n">
        <v>208556</v>
      </c>
      <c r="N87" s="17" t="n">
        <v>7696</v>
      </c>
      <c r="O87" s="17" t="n">
        <v>8085</v>
      </c>
      <c r="P87" s="17" t="n">
        <v>12615</v>
      </c>
      <c r="Q87" s="17" t="n">
        <v>2</v>
      </c>
      <c r="R87" s="17" t="n">
        <v>296</v>
      </c>
      <c r="S87" s="17" t="n">
        <v>457937</v>
      </c>
      <c r="T87" s="17" t="n">
        <v>3363564</v>
      </c>
      <c r="U87" s="17" t="n">
        <v>46972</v>
      </c>
      <c r="V87" s="17" t="n">
        <v>1.15455749971395</v>
      </c>
      <c r="W87" s="17" t="n">
        <v>9.45</v>
      </c>
      <c r="X87" s="17" t="n">
        <v>3.24242457260534</v>
      </c>
      <c r="Y87" s="17" t="n">
        <v>0.915427125743101</v>
      </c>
      <c r="Z87" s="17" t="n">
        <v>13.6146361419019</v>
      </c>
      <c r="AA87" s="17" t="n">
        <v>12.3366512269636</v>
      </c>
      <c r="AB87" s="17" t="n">
        <v>2.60566515333338</v>
      </c>
      <c r="AC87" s="17" t="n">
        <v>3.6800009552844</v>
      </c>
      <c r="AD87" s="17" t="n">
        <v>5.34929181756414</v>
      </c>
      <c r="AE87" s="17" t="n">
        <v>-0.013809901957144</v>
      </c>
      <c r="AF87" s="17" t="n">
        <v>0.0255498388838457</v>
      </c>
      <c r="AG87" s="18" t="n">
        <f aca="false">IFERROR(100*O87/F87,"")</f>
        <v>0.199196806938011</v>
      </c>
      <c r="AH87" s="18" t="n">
        <f aca="false">IFERROR(100*(P87+Q87)/F87,"")</f>
        <v>0.310855425248842</v>
      </c>
      <c r="AI87" s="18" t="n">
        <f aca="false">IFERROR(100*R87/K87,"")</f>
        <v>0.00943563731832812</v>
      </c>
      <c r="AJ87" s="18" t="n">
        <f aca="false">IF(T87&gt;0,100*S87/T87,"")</f>
        <v>13.6146361419019</v>
      </c>
      <c r="AK87" s="18" t="n">
        <f aca="false">IFERROR(100*U87/G87,"")</f>
        <v>1.15455749971395</v>
      </c>
      <c r="AL87" s="18" t="n">
        <f aca="false">IFERROR(100*J87/H87,"")</f>
        <v>94.5551489572554</v>
      </c>
      <c r="AM87" s="18" t="n">
        <f aca="false">IFERROR(100*L87/J87,"")</f>
        <v>88.9589519840653</v>
      </c>
      <c r="AN87" s="18" t="n">
        <f aca="false">IFERROR(100*M87/J87,"")</f>
        <v>6.67218213589425</v>
      </c>
      <c r="AO87" s="18" t="n">
        <f aca="false">IFERROR(100*N87/J87,"")</f>
        <v>0.246212593825362</v>
      </c>
    </row>
    <row r="88" customFormat="false" ht="15" hidden="false" customHeight="false" outlineLevel="0" collapsed="false">
      <c r="A88" s="17" t="n">
        <v>11971</v>
      </c>
      <c r="B88" s="23" t="n">
        <v>45838</v>
      </c>
      <c r="C88" s="17" t="s">
        <v>134</v>
      </c>
      <c r="D88" s="17" t="s">
        <v>108</v>
      </c>
      <c r="E88" s="17" t="s">
        <v>114</v>
      </c>
      <c r="F88" s="17" t="n">
        <v>4106441</v>
      </c>
      <c r="G88" s="17" t="n">
        <v>4081079.33333333</v>
      </c>
      <c r="H88" s="17" t="n">
        <v>3299177</v>
      </c>
      <c r="I88" s="17" t="n">
        <v>503270</v>
      </c>
      <c r="J88" s="17" t="n">
        <v>3155492</v>
      </c>
      <c r="K88" s="17" t="n">
        <v>3143192.66666667</v>
      </c>
      <c r="L88" s="17" t="n">
        <v>2795776</v>
      </c>
      <c r="M88" s="17" t="n">
        <v>220343</v>
      </c>
      <c r="N88" s="17" t="n">
        <v>8096</v>
      </c>
      <c r="O88" s="17" t="n">
        <v>9732</v>
      </c>
      <c r="P88" s="17" t="n">
        <v>2331</v>
      </c>
      <c r="Q88" s="17" t="n">
        <v>429</v>
      </c>
      <c r="R88" s="17" t="n">
        <v>660</v>
      </c>
      <c r="S88" s="17" t="n">
        <v>460827</v>
      </c>
      <c r="T88" s="17" t="n">
        <v>3357921</v>
      </c>
      <c r="U88" s="17" t="n">
        <v>39154</v>
      </c>
      <c r="V88" s="17" t="n">
        <v>0.959403059876807</v>
      </c>
      <c r="W88" s="17" t="n">
        <v>7.85</v>
      </c>
      <c r="X88" s="17" t="n">
        <v>3.28061409824441</v>
      </c>
      <c r="Y88" s="17" t="n">
        <v>0.915388155000868</v>
      </c>
      <c r="Z88" s="17" t="n">
        <v>13.7235807513042</v>
      </c>
      <c r="AA88" s="17" t="n">
        <v>12.2556247611983</v>
      </c>
      <c r="AB88" s="17" t="n">
        <v>1.89318344287039</v>
      </c>
      <c r="AC88" s="17" t="n">
        <v>2.84917881787192</v>
      </c>
      <c r="AD88" s="17" t="n">
        <v>4.81953357651177</v>
      </c>
      <c r="AE88" s="17" t="n">
        <v>-0.226675400660611</v>
      </c>
      <c r="AF88" s="17" t="n">
        <v>0.0812670584363797</v>
      </c>
      <c r="AG88" s="18" t="n">
        <f aca="false">IFERROR(100*O88/F88,"")</f>
        <v>0.236993542583468</v>
      </c>
      <c r="AH88" s="18" t="n">
        <f aca="false">IFERROR(100*(P88+Q88)/F88,"")</f>
        <v>0.0672114855662117</v>
      </c>
      <c r="AI88" s="18" t="n">
        <f aca="false">IFERROR(100*R88/K88,"")</f>
        <v>0.0209977583302243</v>
      </c>
      <c r="AJ88" s="18" t="n">
        <f aca="false">IF(T88&gt;0,100*S88/T88,"")</f>
        <v>13.7235807513042</v>
      </c>
      <c r="AK88" s="18" t="n">
        <f aca="false">IFERROR(100*U88/G88,"")</f>
        <v>0.959403059876807</v>
      </c>
      <c r="AL88" s="18" t="n">
        <f aca="false">IFERROR(100*J88/H88,"")</f>
        <v>95.6448229361444</v>
      </c>
      <c r="AM88" s="18" t="n">
        <f aca="false">IFERROR(100*L88/J88,"")</f>
        <v>88.6003196965798</v>
      </c>
      <c r="AN88" s="18" t="n">
        <f aca="false">IFERROR(100*M88/J88,"")</f>
        <v>6.98284134455102</v>
      </c>
      <c r="AO88" s="18" t="n">
        <f aca="false">IFERROR(100*N88/J88,"")</f>
        <v>0.256568547789061</v>
      </c>
    </row>
    <row r="89" customFormat="false" ht="15" hidden="false" customHeight="false" outlineLevel="0" collapsed="false">
      <c r="A89" s="17" t="n">
        <v>12874</v>
      </c>
      <c r="B89" s="23" t="n">
        <v>44651</v>
      </c>
      <c r="C89" s="17" t="s">
        <v>159</v>
      </c>
      <c r="D89" s="17" t="s">
        <v>108</v>
      </c>
      <c r="E89" s="17" t="s">
        <v>118</v>
      </c>
      <c r="F89" s="17" t="n">
        <v>964163</v>
      </c>
      <c r="G89" s="17" t="n">
        <v>952017.5</v>
      </c>
      <c r="H89" s="17" t="n">
        <v>854194</v>
      </c>
      <c r="I89" s="17" t="n">
        <v>97916</v>
      </c>
      <c r="J89" s="17" t="n">
        <v>732906</v>
      </c>
      <c r="K89" s="17" t="n">
        <v>731654.5</v>
      </c>
      <c r="L89" s="17" t="n">
        <v>577596</v>
      </c>
      <c r="M89" s="17" t="n">
        <v>138143</v>
      </c>
      <c r="N89" s="17" t="n">
        <v>5249</v>
      </c>
      <c r="O89" s="17" t="n">
        <v>1069</v>
      </c>
      <c r="P89" s="17" t="n">
        <v>374</v>
      </c>
      <c r="Q89" s="17" t="n">
        <v>0</v>
      </c>
      <c r="R89" s="17" t="n">
        <v>-20</v>
      </c>
      <c r="S89" s="17" t="n">
        <v>105628</v>
      </c>
      <c r="T89" s="17" t="n">
        <v>677033</v>
      </c>
      <c r="U89" s="17" t="n">
        <v>7916</v>
      </c>
      <c r="V89" s="17" t="n">
        <v>0.831497320164808</v>
      </c>
      <c r="W89" s="17" t="n">
        <v>7.95</v>
      </c>
      <c r="X89" s="17" t="n">
        <v>3.40195044114991</v>
      </c>
      <c r="Y89" s="17" t="n">
        <v>1.0653480801085</v>
      </c>
      <c r="Z89" s="17" t="n">
        <v>15.6016028760784</v>
      </c>
      <c r="AA89" s="17" t="n">
        <v>10.1555442388891</v>
      </c>
      <c r="AB89" s="17"/>
      <c r="AC89" s="17"/>
      <c r="AD89" s="17"/>
      <c r="AE89" s="17"/>
      <c r="AF89" s="17"/>
      <c r="AG89" s="18" t="n">
        <f aca="false">IFERROR(100*O89/F89,"")</f>
        <v>0.11087336892206</v>
      </c>
      <c r="AH89" s="18" t="n">
        <f aca="false">IFERROR(100*(P89+Q89)/F89,"")</f>
        <v>0.038790121587325</v>
      </c>
      <c r="AI89" s="18" t="n">
        <f aca="false">IFERROR(100*R89/K89,"")</f>
        <v>-0.00273353064868732</v>
      </c>
      <c r="AJ89" s="18" t="n">
        <f aca="false">IF(T89&gt;0,100*S89/T89,"")</f>
        <v>15.6016028760784</v>
      </c>
      <c r="AK89" s="18" t="n">
        <f aca="false">IFERROR(100*U89/G89,"")</f>
        <v>0.831497320164808</v>
      </c>
      <c r="AL89" s="18" t="n">
        <f aca="false">IFERROR(100*J89/H89,"")</f>
        <v>85.8008836400162</v>
      </c>
      <c r="AM89" s="18" t="n">
        <f aca="false">IFERROR(100*L89/J89,"")</f>
        <v>78.8090150715099</v>
      </c>
      <c r="AN89" s="18" t="n">
        <f aca="false">IFERROR(100*M89/J89,"")</f>
        <v>18.8486654495938</v>
      </c>
      <c r="AO89" s="18" t="n">
        <f aca="false">IFERROR(100*N89/J89,"")</f>
        <v>0.716190070759415</v>
      </c>
    </row>
    <row r="90" customFormat="false" ht="15" hidden="false" customHeight="false" outlineLevel="0" collapsed="false">
      <c r="A90" s="17" t="n">
        <v>12874</v>
      </c>
      <c r="B90" s="23" t="n">
        <v>44742</v>
      </c>
      <c r="C90" s="17" t="s">
        <v>159</v>
      </c>
      <c r="D90" s="17" t="s">
        <v>108</v>
      </c>
      <c r="E90" s="17" t="s">
        <v>118</v>
      </c>
      <c r="F90" s="17" t="n">
        <v>964224</v>
      </c>
      <c r="G90" s="17" t="n">
        <v>956086.333333333</v>
      </c>
      <c r="H90" s="17" t="n">
        <v>854371</v>
      </c>
      <c r="I90" s="17" t="n">
        <v>94455</v>
      </c>
      <c r="J90" s="17" t="n">
        <v>738684</v>
      </c>
      <c r="K90" s="17" t="n">
        <v>733997.666666667</v>
      </c>
      <c r="L90" s="17" t="n">
        <v>583137</v>
      </c>
      <c r="M90" s="17" t="n">
        <v>135529</v>
      </c>
      <c r="N90" s="17" t="n">
        <v>5199</v>
      </c>
      <c r="O90" s="17" t="n">
        <v>891</v>
      </c>
      <c r="P90" s="17" t="n">
        <v>242</v>
      </c>
      <c r="Q90" s="17" t="n">
        <v>42</v>
      </c>
      <c r="R90" s="17" t="n">
        <v>-26</v>
      </c>
      <c r="S90" s="17" t="n">
        <v>107168</v>
      </c>
      <c r="T90" s="17" t="n">
        <v>700807</v>
      </c>
      <c r="U90" s="17" t="n">
        <v>8660</v>
      </c>
      <c r="V90" s="17" t="n">
        <v>0.905775942828036</v>
      </c>
      <c r="W90" s="17" t="n">
        <v>8.85</v>
      </c>
      <c r="X90" s="17" t="n">
        <v>3.50029411107719</v>
      </c>
      <c r="Y90" s="17" t="n">
        <v>1.05823329055455</v>
      </c>
      <c r="Z90" s="17" t="n">
        <v>15.2920846966426</v>
      </c>
      <c r="AA90" s="17" t="n">
        <v>9.79596027479092</v>
      </c>
      <c r="AB90" s="17"/>
      <c r="AC90" s="17"/>
      <c r="AD90" s="17"/>
      <c r="AE90" s="17"/>
      <c r="AF90" s="17"/>
      <c r="AG90" s="18" t="n">
        <f aca="false">IFERROR(100*O90/F90,"")</f>
        <v>0.0924059139784946</v>
      </c>
      <c r="AH90" s="18" t="n">
        <f aca="false">IFERROR(100*(P90+Q90)/F90,"")</f>
        <v>0.0294537368910129</v>
      </c>
      <c r="AI90" s="18" t="n">
        <f aca="false">IFERROR(100*R90/K90,"")</f>
        <v>-0.00354224559296964</v>
      </c>
      <c r="AJ90" s="18" t="n">
        <f aca="false">IF(T90&gt;0,100*S90/T90,"")</f>
        <v>15.2920846966426</v>
      </c>
      <c r="AK90" s="18" t="n">
        <f aca="false">IFERROR(100*U90/G90,"")</f>
        <v>0.905775942828036</v>
      </c>
      <c r="AL90" s="18" t="n">
        <f aca="false">IFERROR(100*J90/H90,"")</f>
        <v>86.4593952744183</v>
      </c>
      <c r="AM90" s="18" t="n">
        <f aca="false">IFERROR(100*L90/J90,"")</f>
        <v>78.9426872654613</v>
      </c>
      <c r="AN90" s="18" t="n">
        <f aca="false">IFERROR(100*M90/J90,"")</f>
        <v>18.3473582749863</v>
      </c>
      <c r="AO90" s="18" t="n">
        <f aca="false">IFERROR(100*N90/J90,"")</f>
        <v>0.703819224458632</v>
      </c>
    </row>
    <row r="91" customFormat="false" ht="15" hidden="false" customHeight="false" outlineLevel="0" collapsed="false">
      <c r="A91" s="17" t="n">
        <v>12874</v>
      </c>
      <c r="B91" s="23" t="n">
        <v>44834</v>
      </c>
      <c r="C91" s="17" t="s">
        <v>159</v>
      </c>
      <c r="D91" s="17" t="s">
        <v>108</v>
      </c>
      <c r="E91" s="17" t="s">
        <v>118</v>
      </c>
      <c r="F91" s="17" t="n">
        <v>965147</v>
      </c>
      <c r="G91" s="17" t="n">
        <v>958351.5</v>
      </c>
      <c r="H91" s="17" t="n">
        <v>851082</v>
      </c>
      <c r="I91" s="17" t="n">
        <v>93663</v>
      </c>
      <c r="J91" s="17" t="n">
        <v>734482</v>
      </c>
      <c r="K91" s="17" t="n">
        <v>734118.75</v>
      </c>
      <c r="L91" s="17" t="n">
        <v>586996</v>
      </c>
      <c r="M91" s="17" t="n">
        <v>125703</v>
      </c>
      <c r="N91" s="17" t="n">
        <v>5372</v>
      </c>
      <c r="O91" s="17" t="n">
        <v>577</v>
      </c>
      <c r="P91" s="17" t="n">
        <v>774</v>
      </c>
      <c r="Q91" s="17" t="n">
        <v>41</v>
      </c>
      <c r="R91" s="17" t="n">
        <v>-109.3306</v>
      </c>
      <c r="S91" s="17" t="n">
        <v>109547</v>
      </c>
      <c r="T91" s="17" t="n">
        <v>707586</v>
      </c>
      <c r="U91" s="17" t="n">
        <v>9535.7616</v>
      </c>
      <c r="V91" s="17" t="n">
        <v>0.995017130979604</v>
      </c>
      <c r="W91" s="17" t="n">
        <v>9.85</v>
      </c>
      <c r="X91" s="17" t="n">
        <v>3.647985444362</v>
      </c>
      <c r="Y91" s="17" t="n">
        <v>1.07354570976552</v>
      </c>
      <c r="Z91" s="17" t="n">
        <v>15.4817930258654</v>
      </c>
      <c r="AA91" s="17" t="n">
        <v>9.70453205573866</v>
      </c>
      <c r="AB91" s="17"/>
      <c r="AC91" s="17"/>
      <c r="AD91" s="17"/>
      <c r="AE91" s="17"/>
      <c r="AF91" s="17"/>
      <c r="AG91" s="18" t="n">
        <f aca="false">IFERROR(100*O91/F91,"")</f>
        <v>0.0597836391762084</v>
      </c>
      <c r="AH91" s="18" t="n">
        <f aca="false">IFERROR(100*(P91+Q91)/F91,"")</f>
        <v>0.0844430951968975</v>
      </c>
      <c r="AI91" s="18" t="n">
        <f aca="false">IFERROR(100*R91/K91,"")</f>
        <v>-0.0148927676891511</v>
      </c>
      <c r="AJ91" s="18" t="n">
        <f aca="false">IF(T91&gt;0,100*S91/T91,"")</f>
        <v>15.4817930258654</v>
      </c>
      <c r="AK91" s="18" t="n">
        <f aca="false">IFERROR(100*U91/G91,"")</f>
        <v>0.995017130979604</v>
      </c>
      <c r="AL91" s="18" t="n">
        <f aca="false">IFERROR(100*J91/H91,"")</f>
        <v>86.2997924994301</v>
      </c>
      <c r="AM91" s="18" t="n">
        <f aca="false">IFERROR(100*L91/J91,"")</f>
        <v>79.9197257386839</v>
      </c>
      <c r="AN91" s="18" t="n">
        <f aca="false">IFERROR(100*M91/J91,"")</f>
        <v>17.1145106347058</v>
      </c>
      <c r="AO91" s="18" t="n">
        <f aca="false">IFERROR(100*N91/J91,"")</f>
        <v>0.731399816469294</v>
      </c>
    </row>
    <row r="92" customFormat="false" ht="15" hidden="false" customHeight="false" outlineLevel="0" collapsed="false">
      <c r="A92" s="17" t="n">
        <v>12874</v>
      </c>
      <c r="B92" s="23" t="n">
        <v>44926</v>
      </c>
      <c r="C92" s="17" t="s">
        <v>159</v>
      </c>
      <c r="D92" s="17" t="s">
        <v>108</v>
      </c>
      <c r="E92" s="17" t="s">
        <v>118</v>
      </c>
      <c r="F92" s="17" t="n">
        <v>981838</v>
      </c>
      <c r="G92" s="17" t="n">
        <v>963048.8</v>
      </c>
      <c r="H92" s="17" t="n">
        <v>861068</v>
      </c>
      <c r="I92" s="17" t="n">
        <v>97187</v>
      </c>
      <c r="J92" s="17" t="n">
        <v>749622</v>
      </c>
      <c r="K92" s="17" t="n">
        <v>737219.4</v>
      </c>
      <c r="L92" s="17" t="n">
        <v>599821</v>
      </c>
      <c r="M92" s="17" t="n">
        <v>130722</v>
      </c>
      <c r="N92" s="17" t="n">
        <v>5348</v>
      </c>
      <c r="O92" s="17" t="n">
        <v>505</v>
      </c>
      <c r="P92" s="17" t="n">
        <v>390</v>
      </c>
      <c r="Q92" s="17" t="n">
        <v>0</v>
      </c>
      <c r="R92" s="17" t="n">
        <v>-125</v>
      </c>
      <c r="S92" s="17" t="n">
        <v>111736</v>
      </c>
      <c r="T92" s="17" t="n">
        <v>723167</v>
      </c>
      <c r="U92" s="17" t="n">
        <v>10542</v>
      </c>
      <c r="V92" s="17" t="n">
        <v>1.09464857855594</v>
      </c>
      <c r="W92" s="17" t="n">
        <v>10.88</v>
      </c>
      <c r="X92" s="17" t="n">
        <v>3.7482197406091</v>
      </c>
      <c r="Y92" s="17" t="n">
        <v>0.990899413304305</v>
      </c>
      <c r="Z92" s="17" t="n">
        <v>15.4509262729079</v>
      </c>
      <c r="AA92" s="17" t="n">
        <v>9.89847612335232</v>
      </c>
      <c r="AB92" s="17"/>
      <c r="AC92" s="17"/>
      <c r="AD92" s="17"/>
      <c r="AE92" s="17"/>
      <c r="AF92" s="17"/>
      <c r="AG92" s="18" t="n">
        <f aca="false">IFERROR(100*O92/F92,"")</f>
        <v>0.0514341469774036</v>
      </c>
      <c r="AH92" s="18" t="n">
        <f aca="false">IFERROR(100*(P92+Q92)/F92,"")</f>
        <v>0.0397214204379949</v>
      </c>
      <c r="AI92" s="18" t="n">
        <f aca="false">IFERROR(100*R92/K92,"")</f>
        <v>-0.0169556037185131</v>
      </c>
      <c r="AJ92" s="18" t="n">
        <f aca="false">IF(T92&gt;0,100*S92/T92,"")</f>
        <v>15.4509262729079</v>
      </c>
      <c r="AK92" s="18" t="n">
        <f aca="false">IFERROR(100*U92/G92,"")</f>
        <v>1.09464857855594</v>
      </c>
      <c r="AL92" s="18" t="n">
        <f aca="false">IFERROR(100*J92/H92,"")</f>
        <v>87.0572358977456</v>
      </c>
      <c r="AM92" s="18" t="n">
        <f aca="false">IFERROR(100*L92/J92,"")</f>
        <v>80.0164616299949</v>
      </c>
      <c r="AN92" s="18" t="n">
        <f aca="false">IFERROR(100*M92/J92,"")</f>
        <v>17.4383889480298</v>
      </c>
      <c r="AO92" s="18" t="n">
        <f aca="false">IFERROR(100*N92/J92,"")</f>
        <v>0.713426233488345</v>
      </c>
    </row>
    <row r="93" customFormat="false" ht="15" hidden="false" customHeight="false" outlineLevel="0" collapsed="false">
      <c r="A93" s="17" t="n">
        <v>12874</v>
      </c>
      <c r="B93" s="23" t="n">
        <v>45016</v>
      </c>
      <c r="C93" s="17" t="s">
        <v>159</v>
      </c>
      <c r="D93" s="17" t="s">
        <v>108</v>
      </c>
      <c r="E93" s="17" t="s">
        <v>118</v>
      </c>
      <c r="F93" s="17" t="n">
        <v>980710</v>
      </c>
      <c r="G93" s="17" t="n">
        <v>981274</v>
      </c>
      <c r="H93" s="17" t="n">
        <v>858980</v>
      </c>
      <c r="I93" s="17" t="n">
        <v>100647</v>
      </c>
      <c r="J93" s="17" t="n">
        <v>760973</v>
      </c>
      <c r="K93" s="17" t="n">
        <v>755297.5</v>
      </c>
      <c r="L93" s="17" t="n">
        <v>608741</v>
      </c>
      <c r="M93" s="17" t="n">
        <v>133780</v>
      </c>
      <c r="N93" s="17" t="n">
        <v>4939</v>
      </c>
      <c r="O93" s="17" t="n">
        <v>468</v>
      </c>
      <c r="P93" s="17" t="n">
        <v>165</v>
      </c>
      <c r="Q93" s="17" t="n">
        <v>6</v>
      </c>
      <c r="R93" s="17" t="n">
        <v>-8</v>
      </c>
      <c r="S93" s="17" t="n">
        <v>114008</v>
      </c>
      <c r="T93" s="17" t="n">
        <v>724098</v>
      </c>
      <c r="U93" s="17" t="n">
        <v>10912</v>
      </c>
      <c r="V93" s="17" t="n">
        <v>1.11202375687117</v>
      </c>
      <c r="W93" s="17" t="n">
        <v>11.03</v>
      </c>
      <c r="X93" s="17" t="n">
        <v>3.92115359174494</v>
      </c>
      <c r="Y93" s="17" t="n">
        <v>1.02329517604435</v>
      </c>
      <c r="Z93" s="17" t="n">
        <v>15.7448301196799</v>
      </c>
      <c r="AA93" s="17" t="n">
        <v>10.2626668434094</v>
      </c>
      <c r="AB93" s="17" t="n">
        <v>1.71620358798252</v>
      </c>
      <c r="AC93" s="17" t="n">
        <v>3.82954976490846</v>
      </c>
      <c r="AD93" s="17" t="n">
        <v>0.560294265705452</v>
      </c>
      <c r="AE93" s="17" t="n">
        <v>0.280526436706362</v>
      </c>
      <c r="AF93" s="17" t="n">
        <v>-0.0631528399175631</v>
      </c>
      <c r="AG93" s="18" t="n">
        <f aca="false">IFERROR(100*O93/F93,"")</f>
        <v>0.0477205290044967</v>
      </c>
      <c r="AH93" s="18" t="n">
        <f aca="false">IFERROR(100*(P93+Q93)/F93,"")</f>
        <v>0.0174363471362584</v>
      </c>
      <c r="AI93" s="18" t="n">
        <f aca="false">IFERROR(100*R93/K93,"")</f>
        <v>-0.00105918528791635</v>
      </c>
      <c r="AJ93" s="18" t="n">
        <f aca="false">IF(T93&gt;0,100*S93/T93,"")</f>
        <v>15.7448301196799</v>
      </c>
      <c r="AK93" s="18" t="n">
        <f aca="false">IFERROR(100*U93/G93,"")</f>
        <v>1.11202375687117</v>
      </c>
      <c r="AL93" s="18" t="n">
        <f aca="false">IFERROR(100*J93/H93,"")</f>
        <v>88.590304780088</v>
      </c>
      <c r="AM93" s="18" t="n">
        <f aca="false">IFERROR(100*L93/J93,"")</f>
        <v>79.9950852395552</v>
      </c>
      <c r="AN93" s="18" t="n">
        <f aca="false">IFERROR(100*M93/J93,"")</f>
        <v>17.5801243933753</v>
      </c>
      <c r="AO93" s="18" t="n">
        <f aca="false">IFERROR(100*N93/J93,"")</f>
        <v>0.649037482275981</v>
      </c>
    </row>
    <row r="94" customFormat="false" ht="15" hidden="false" customHeight="false" outlineLevel="0" collapsed="false">
      <c r="A94" s="17" t="n">
        <v>12874</v>
      </c>
      <c r="B94" s="23" t="n">
        <v>45107</v>
      </c>
      <c r="C94" s="17" t="s">
        <v>159</v>
      </c>
      <c r="D94" s="17" t="s">
        <v>108</v>
      </c>
      <c r="E94" s="17" t="s">
        <v>114</v>
      </c>
      <c r="F94" s="17" t="n">
        <v>1000625</v>
      </c>
      <c r="G94" s="17" t="n">
        <v>987724.333333333</v>
      </c>
      <c r="H94" s="17" t="n">
        <v>879800</v>
      </c>
      <c r="I94" s="17" t="n">
        <v>101151</v>
      </c>
      <c r="J94" s="17" t="n">
        <v>781131</v>
      </c>
      <c r="K94" s="17" t="n">
        <v>763908.666666667</v>
      </c>
      <c r="L94" s="17" t="n">
        <v>615778</v>
      </c>
      <c r="M94" s="17" t="n">
        <v>141954</v>
      </c>
      <c r="N94" s="17" t="n">
        <v>5455</v>
      </c>
      <c r="O94" s="17" t="n">
        <v>420</v>
      </c>
      <c r="P94" s="17" t="n">
        <v>193</v>
      </c>
      <c r="Q94" s="17" t="n">
        <v>0</v>
      </c>
      <c r="R94" s="17" t="n">
        <v>64</v>
      </c>
      <c r="S94" s="17" t="n">
        <v>115773</v>
      </c>
      <c r="T94" s="17" t="n">
        <v>748846</v>
      </c>
      <c r="U94" s="17" t="n">
        <v>10866</v>
      </c>
      <c r="V94" s="17" t="n">
        <v>1.1001045163411</v>
      </c>
      <c r="W94" s="17" t="n">
        <v>10.9</v>
      </c>
      <c r="X94" s="17" t="n">
        <v>3.90232385084841</v>
      </c>
      <c r="Y94" s="17" t="n">
        <v>0.982805700964371</v>
      </c>
      <c r="Z94" s="17" t="n">
        <v>15.460188076053</v>
      </c>
      <c r="AA94" s="17" t="n">
        <v>10.108782011243</v>
      </c>
      <c r="AB94" s="17" t="n">
        <v>3.77516012876675</v>
      </c>
      <c r="AC94" s="17" t="n">
        <v>5.74630017707165</v>
      </c>
      <c r="AD94" s="17" t="n">
        <v>2.97634165953666</v>
      </c>
      <c r="AE94" s="17" t="n">
        <v>0.194328573513062</v>
      </c>
      <c r="AF94" s="17" t="n">
        <v>-0.0504321475824921</v>
      </c>
      <c r="AG94" s="18" t="n">
        <f aca="false">IFERROR(100*O94/F94,"")</f>
        <v>0.0419737663960025</v>
      </c>
      <c r="AH94" s="18" t="n">
        <f aca="false">IFERROR(100*(P94+Q94)/F94,"")</f>
        <v>0.0192879450343535</v>
      </c>
      <c r="AI94" s="18" t="n">
        <f aca="false">IFERROR(100*R94/K94,"")</f>
        <v>0.0083779649050541</v>
      </c>
      <c r="AJ94" s="18" t="n">
        <f aca="false">IF(T94&gt;0,100*S94/T94,"")</f>
        <v>15.460188076053</v>
      </c>
      <c r="AK94" s="18" t="n">
        <f aca="false">IFERROR(100*U94/G94,"")</f>
        <v>1.1001045163411</v>
      </c>
      <c r="AL94" s="18" t="n">
        <f aca="false">IFERROR(100*J94/H94,"")</f>
        <v>88.7850647874517</v>
      </c>
      <c r="AM94" s="18" t="n">
        <f aca="false">IFERROR(100*L94/J94,"")</f>
        <v>78.8315916280368</v>
      </c>
      <c r="AN94" s="18" t="n">
        <f aca="false">IFERROR(100*M94/J94,"")</f>
        <v>18.1728800930958</v>
      </c>
      <c r="AO94" s="18" t="n">
        <f aca="false">IFERROR(100*N94/J94,"")</f>
        <v>0.698346372119401</v>
      </c>
    </row>
    <row r="95" customFormat="false" ht="15" hidden="false" customHeight="false" outlineLevel="0" collapsed="false">
      <c r="A95" s="17" t="n">
        <v>12874</v>
      </c>
      <c r="B95" s="23" t="n">
        <v>45199</v>
      </c>
      <c r="C95" s="17" t="s">
        <v>159</v>
      </c>
      <c r="D95" s="17" t="s">
        <v>108</v>
      </c>
      <c r="E95" s="17" t="s">
        <v>114</v>
      </c>
      <c r="F95" s="17" t="n">
        <v>1015573</v>
      </c>
      <c r="G95" s="17" t="n">
        <v>994686.5</v>
      </c>
      <c r="H95" s="17" t="n">
        <v>892145</v>
      </c>
      <c r="I95" s="17" t="n">
        <v>100287</v>
      </c>
      <c r="J95" s="17" t="n">
        <v>791811</v>
      </c>
      <c r="K95" s="17" t="n">
        <v>770884.25</v>
      </c>
      <c r="L95" s="17" t="n">
        <v>624999</v>
      </c>
      <c r="M95" s="17" t="n">
        <v>141382</v>
      </c>
      <c r="N95" s="17" t="n">
        <v>5445</v>
      </c>
      <c r="O95" s="17" t="n">
        <v>415</v>
      </c>
      <c r="P95" s="17" t="n">
        <v>1582</v>
      </c>
      <c r="Q95" s="17" t="n">
        <v>0</v>
      </c>
      <c r="R95" s="17" t="n">
        <v>45.3322</v>
      </c>
      <c r="S95" s="17" t="n">
        <v>117914</v>
      </c>
      <c r="T95" s="17" t="n">
        <v>760095</v>
      </c>
      <c r="U95" s="17" t="n">
        <v>10993.0585</v>
      </c>
      <c r="V95" s="17" t="n">
        <v>1.10517821444244</v>
      </c>
      <c r="W95" s="17" t="n">
        <v>11.01</v>
      </c>
      <c r="X95" s="17" t="n">
        <v>3.89276399528267</v>
      </c>
      <c r="Y95" s="17" t="n">
        <v>0.968286623954454</v>
      </c>
      <c r="Z95" s="17" t="n">
        <v>15.5130608673916</v>
      </c>
      <c r="AA95" s="17" t="n">
        <v>9.87491790348897</v>
      </c>
      <c r="AB95" s="17" t="n">
        <v>5.22469634159357</v>
      </c>
      <c r="AC95" s="17" t="n">
        <v>7.80536486939094</v>
      </c>
      <c r="AD95" s="17" t="n">
        <v>4.82479949053087</v>
      </c>
      <c r="AE95" s="17" t="n">
        <v>0.110161083462836</v>
      </c>
      <c r="AF95" s="17" t="n">
        <v>-0.0189200084967791</v>
      </c>
      <c r="AG95" s="18" t="n">
        <f aca="false">IFERROR(100*O95/F95,"")</f>
        <v>0.0408636306794293</v>
      </c>
      <c r="AH95" s="18" t="n">
        <f aca="false">IFERROR(100*(P95+Q95)/F95,"")</f>
        <v>0.155774129481583</v>
      </c>
      <c r="AI95" s="18" t="n">
        <f aca="false">IFERROR(100*R95/K95,"")</f>
        <v>0.00588054562017579</v>
      </c>
      <c r="AJ95" s="18" t="n">
        <f aca="false">IF(T95&gt;0,100*S95/T95,"")</f>
        <v>15.5130608673916</v>
      </c>
      <c r="AK95" s="18" t="n">
        <f aca="false">IFERROR(100*U95/G95,"")</f>
        <v>1.10517821444244</v>
      </c>
      <c r="AL95" s="18" t="n">
        <f aca="false">IFERROR(100*J95/H95,"")</f>
        <v>88.7536218888185</v>
      </c>
      <c r="AM95" s="18" t="n">
        <f aca="false">IFERROR(100*L95/J95,"")</f>
        <v>78.9328514001447</v>
      </c>
      <c r="AN95" s="18" t="n">
        <f aca="false">IFERROR(100*M95/J95,"")</f>
        <v>17.8555236034862</v>
      </c>
      <c r="AO95" s="18" t="n">
        <f aca="false">IFERROR(100*N95/J95,"")</f>
        <v>0.687664101660624</v>
      </c>
    </row>
    <row r="96" customFormat="false" ht="15" hidden="false" customHeight="false" outlineLevel="0" collapsed="false">
      <c r="A96" s="17" t="n">
        <v>12874</v>
      </c>
      <c r="B96" s="23" t="n">
        <v>45291</v>
      </c>
      <c r="C96" s="17" t="s">
        <v>159</v>
      </c>
      <c r="D96" s="17" t="s">
        <v>108</v>
      </c>
      <c r="E96" s="17" t="s">
        <v>114</v>
      </c>
      <c r="F96" s="17" t="n">
        <v>1032673</v>
      </c>
      <c r="G96" s="17" t="n">
        <v>1002283.8</v>
      </c>
      <c r="H96" s="17" t="n">
        <v>895094</v>
      </c>
      <c r="I96" s="17" t="n">
        <v>106976</v>
      </c>
      <c r="J96" s="17" t="n">
        <v>799093</v>
      </c>
      <c r="K96" s="17" t="n">
        <v>776526</v>
      </c>
      <c r="L96" s="17" t="n">
        <v>632740</v>
      </c>
      <c r="M96" s="17" t="n">
        <v>144853</v>
      </c>
      <c r="N96" s="17" t="n">
        <v>5403</v>
      </c>
      <c r="O96" s="17" t="n">
        <v>670</v>
      </c>
      <c r="P96" s="17" t="n">
        <v>2266</v>
      </c>
      <c r="Q96" s="17" t="n">
        <v>0</v>
      </c>
      <c r="R96" s="17" t="n">
        <v>34</v>
      </c>
      <c r="S96" s="17" t="n">
        <v>119984</v>
      </c>
      <c r="T96" s="17" t="n">
        <v>755282</v>
      </c>
      <c r="U96" s="17" t="n">
        <v>10784</v>
      </c>
      <c r="V96" s="17" t="n">
        <v>1.07594276192033</v>
      </c>
      <c r="W96" s="17" t="n">
        <v>10.65</v>
      </c>
      <c r="X96" s="17" t="n">
        <v>3.88814771309452</v>
      </c>
      <c r="Y96" s="17" t="n">
        <v>0.998006489857876</v>
      </c>
      <c r="Z96" s="17" t="n">
        <v>15.8859869558655</v>
      </c>
      <c r="AA96" s="17" t="n">
        <v>10.3591359510707</v>
      </c>
      <c r="AB96" s="17" t="n">
        <v>5.17753437939863</v>
      </c>
      <c r="AC96" s="17" t="n">
        <v>6.59945946090164</v>
      </c>
      <c r="AD96" s="17" t="n">
        <v>3.95160428676946</v>
      </c>
      <c r="AE96" s="17" t="n">
        <v>-0.0187058166356098</v>
      </c>
      <c r="AF96" s="17" t="n">
        <v>0.0134460232216817</v>
      </c>
      <c r="AG96" s="18" t="n">
        <f aca="false">IFERROR(100*O96/F96,"")</f>
        <v>0.0648801701990853</v>
      </c>
      <c r="AH96" s="18" t="n">
        <f aca="false">IFERROR(100*(P96+Q96)/F96,"")</f>
        <v>0.219430545777802</v>
      </c>
      <c r="AI96" s="18" t="n">
        <f aca="false">IFERROR(100*R96/K96,"")</f>
        <v>0.00437847541486055</v>
      </c>
      <c r="AJ96" s="18" t="n">
        <f aca="false">IF(T96&gt;0,100*S96/T96,"")</f>
        <v>15.8859869558655</v>
      </c>
      <c r="AK96" s="18" t="n">
        <f aca="false">IFERROR(100*U96/G96,"")</f>
        <v>1.07594276192033</v>
      </c>
      <c r="AL96" s="18" t="n">
        <f aca="false">IFERROR(100*J96/H96,"")</f>
        <v>89.2747577349418</v>
      </c>
      <c r="AM96" s="18" t="n">
        <f aca="false">IFERROR(100*L96/J96,"")</f>
        <v>79.1822729019025</v>
      </c>
      <c r="AN96" s="18" t="n">
        <f aca="false">IFERROR(100*M96/J96,"")</f>
        <v>18.1271766865684</v>
      </c>
      <c r="AO96" s="18" t="n">
        <f aca="false">IFERROR(100*N96/J96,"")</f>
        <v>0.676141575511236</v>
      </c>
    </row>
    <row r="97" customFormat="false" ht="15" hidden="false" customHeight="false" outlineLevel="0" collapsed="false">
      <c r="A97" s="17" t="n">
        <v>12874</v>
      </c>
      <c r="B97" s="23" t="n">
        <v>45382</v>
      </c>
      <c r="C97" s="17" t="s">
        <v>159</v>
      </c>
      <c r="D97" s="17" t="s">
        <v>108</v>
      </c>
      <c r="E97" s="17" t="s">
        <v>114</v>
      </c>
      <c r="F97" s="17" t="n">
        <v>1024449</v>
      </c>
      <c r="G97" s="17" t="n">
        <v>1028561</v>
      </c>
      <c r="H97" s="17" t="n">
        <v>876882</v>
      </c>
      <c r="I97" s="17" t="n">
        <v>106671</v>
      </c>
      <c r="J97" s="17" t="n">
        <v>797792</v>
      </c>
      <c r="K97" s="17" t="n">
        <v>798442.5</v>
      </c>
      <c r="L97" s="17" t="n">
        <v>629564</v>
      </c>
      <c r="M97" s="17" t="n">
        <v>149340</v>
      </c>
      <c r="N97" s="17" t="n">
        <v>5156</v>
      </c>
      <c r="O97" s="17" t="n">
        <v>1466</v>
      </c>
      <c r="P97" s="17" t="n">
        <v>286</v>
      </c>
      <c r="Q97" s="17" t="n">
        <v>0</v>
      </c>
      <c r="R97" s="17" t="n">
        <v>-160</v>
      </c>
      <c r="S97" s="17" t="n">
        <v>121055</v>
      </c>
      <c r="T97" s="17" t="n">
        <v>752435</v>
      </c>
      <c r="U97" s="17" t="n">
        <v>9100</v>
      </c>
      <c r="V97" s="17" t="n">
        <v>0.884731192413479</v>
      </c>
      <c r="W97" s="17" t="n">
        <v>8.52</v>
      </c>
      <c r="X97" s="17" t="n">
        <v>3.63748180471991</v>
      </c>
      <c r="Y97" s="17" t="n">
        <v>0.989606313425053</v>
      </c>
      <c r="Z97" s="17" t="n">
        <v>16.0884328878907</v>
      </c>
      <c r="AA97" s="17" t="n">
        <v>10.4125241959336</v>
      </c>
      <c r="AB97" s="17" t="n">
        <v>4.45993209001643</v>
      </c>
      <c r="AC97" s="17" t="n">
        <v>4.83841082403713</v>
      </c>
      <c r="AD97" s="17" t="n">
        <v>2.08409974621062</v>
      </c>
      <c r="AE97" s="17" t="n">
        <v>-0.227292564457691</v>
      </c>
      <c r="AF97" s="17" t="n">
        <v>0.0953807869224064</v>
      </c>
      <c r="AG97" s="18" t="n">
        <f aca="false">IFERROR(100*O97/F97,"")</f>
        <v>0.143101315926903</v>
      </c>
      <c r="AH97" s="18" t="n">
        <f aca="false">IFERROR(100*(P97+Q97)/F97,"")</f>
        <v>0.0279174463540889</v>
      </c>
      <c r="AI97" s="18" t="n">
        <f aca="false">IFERROR(100*R97/K97,"")</f>
        <v>-0.0200390134543189</v>
      </c>
      <c r="AJ97" s="18" t="n">
        <f aca="false">IF(T97&gt;0,100*S97/T97,"")</f>
        <v>16.0884328878906</v>
      </c>
      <c r="AK97" s="18" t="n">
        <f aca="false">IFERROR(100*U97/G97,"")</f>
        <v>0.884731192413479</v>
      </c>
      <c r="AL97" s="18" t="n">
        <f aca="false">IFERROR(100*J97/H97,"")</f>
        <v>90.9805424218994</v>
      </c>
      <c r="AM97" s="18" t="n">
        <f aca="false">IFERROR(100*L97/J97,"")</f>
        <v>78.9133007099595</v>
      </c>
      <c r="AN97" s="18" t="n">
        <f aca="false">IFERROR(100*M97/J97,"")</f>
        <v>18.7191648951105</v>
      </c>
      <c r="AO97" s="18" t="n">
        <f aca="false">IFERROR(100*N97/J97,"")</f>
        <v>0.646283743131042</v>
      </c>
    </row>
    <row r="98" customFormat="false" ht="15" hidden="false" customHeight="false" outlineLevel="0" collapsed="false">
      <c r="A98" s="17" t="n">
        <v>12874</v>
      </c>
      <c r="B98" s="23" t="n">
        <v>45473</v>
      </c>
      <c r="C98" s="17" t="s">
        <v>159</v>
      </c>
      <c r="D98" s="17" t="s">
        <v>108</v>
      </c>
      <c r="E98" s="17" t="s">
        <v>114</v>
      </c>
      <c r="F98" s="17" t="n">
        <v>1036850</v>
      </c>
      <c r="G98" s="17" t="n">
        <v>1031324</v>
      </c>
      <c r="H98" s="17" t="n">
        <v>862144</v>
      </c>
      <c r="I98" s="17" t="n">
        <v>108474</v>
      </c>
      <c r="J98" s="17" t="n">
        <v>815577</v>
      </c>
      <c r="K98" s="17" t="n">
        <v>804154</v>
      </c>
      <c r="L98" s="17" t="n">
        <v>639776</v>
      </c>
      <c r="M98" s="17" t="n">
        <v>156322</v>
      </c>
      <c r="N98" s="17" t="n">
        <v>5026</v>
      </c>
      <c r="O98" s="17" t="n">
        <v>1516</v>
      </c>
      <c r="P98" s="17" t="n">
        <v>749</v>
      </c>
      <c r="Q98" s="17" t="n">
        <v>0</v>
      </c>
      <c r="R98" s="17" t="n">
        <v>-54</v>
      </c>
      <c r="S98" s="17" t="n">
        <v>122503</v>
      </c>
      <c r="T98" s="17" t="n">
        <v>769051</v>
      </c>
      <c r="U98" s="17" t="n">
        <v>9010</v>
      </c>
      <c r="V98" s="17" t="n">
        <v>0.873634279818951</v>
      </c>
      <c r="W98" s="17" t="n">
        <v>8.39</v>
      </c>
      <c r="X98" s="17" t="n">
        <v>3.63376838650805</v>
      </c>
      <c r="Y98" s="17" t="n">
        <v>0.984456403258062</v>
      </c>
      <c r="Z98" s="17" t="n">
        <v>15.9291126336225</v>
      </c>
      <c r="AA98" s="17" t="n">
        <v>10.4618797318802</v>
      </c>
      <c r="AB98" s="17" t="n">
        <v>3.62023735165522</v>
      </c>
      <c r="AC98" s="17" t="n">
        <v>4.40975969459667</v>
      </c>
      <c r="AD98" s="17" t="n">
        <v>-2.00681973175722</v>
      </c>
      <c r="AE98" s="17" t="n">
        <v>-0.226470236522147</v>
      </c>
      <c r="AF98" s="17" t="n">
        <v>0.104238318283556</v>
      </c>
      <c r="AG98" s="18" t="n">
        <f aca="false">IFERROR(100*O98/F98,"")</f>
        <v>0.146212084679558</v>
      </c>
      <c r="AH98" s="18" t="n">
        <f aca="false">IFERROR(100*(P98+Q98)/F98,"")</f>
        <v>0.072238028644452</v>
      </c>
      <c r="AI98" s="18" t="n">
        <f aca="false">IFERROR(100*R98/K98,"")</f>
        <v>-0.00671513167875805</v>
      </c>
      <c r="AJ98" s="18" t="n">
        <f aca="false">IF(T98&gt;0,100*S98/T98,"")</f>
        <v>15.9291126336225</v>
      </c>
      <c r="AK98" s="18" t="n">
        <f aca="false">IFERROR(100*U98/G98,"")</f>
        <v>0.873634279818951</v>
      </c>
      <c r="AL98" s="18" t="n">
        <f aca="false">IFERROR(100*J98/H98,"")</f>
        <v>94.5986981293148</v>
      </c>
      <c r="AM98" s="18" t="n">
        <f aca="false">IFERROR(100*L98/J98,"")</f>
        <v>78.4445858576198</v>
      </c>
      <c r="AN98" s="18" t="n">
        <f aca="false">IFERROR(100*M98/J98,"")</f>
        <v>19.1670437003496</v>
      </c>
      <c r="AO98" s="18" t="n">
        <f aca="false">IFERROR(100*N98/J98,"")</f>
        <v>0.616250826102257</v>
      </c>
    </row>
    <row r="99" customFormat="false" ht="15" hidden="false" customHeight="false" outlineLevel="0" collapsed="false">
      <c r="A99" s="17" t="n">
        <v>12874</v>
      </c>
      <c r="B99" s="23" t="n">
        <v>45565</v>
      </c>
      <c r="C99" s="17" t="s">
        <v>159</v>
      </c>
      <c r="D99" s="17" t="s">
        <v>108</v>
      </c>
      <c r="E99" s="17" t="s">
        <v>114</v>
      </c>
      <c r="F99" s="17" t="n">
        <v>1048081</v>
      </c>
      <c r="G99" s="17" t="n">
        <v>1035513.25</v>
      </c>
      <c r="H99" s="17" t="n">
        <v>886959</v>
      </c>
      <c r="I99" s="17" t="n">
        <v>113573</v>
      </c>
      <c r="J99" s="17" t="n">
        <v>818183</v>
      </c>
      <c r="K99" s="17" t="n">
        <v>807661.25</v>
      </c>
      <c r="L99" s="17" t="n">
        <v>635002</v>
      </c>
      <c r="M99" s="17" t="n">
        <v>162708</v>
      </c>
      <c r="N99" s="17" t="n">
        <v>4774</v>
      </c>
      <c r="O99" s="17" t="n">
        <v>1535</v>
      </c>
      <c r="P99" s="17" t="n">
        <v>568</v>
      </c>
      <c r="Q99" s="17" t="n">
        <v>27</v>
      </c>
      <c r="R99" s="17" t="n">
        <v>-23.9994</v>
      </c>
      <c r="S99" s="17" t="n">
        <v>124280</v>
      </c>
      <c r="T99" s="17" t="n">
        <v>764052</v>
      </c>
      <c r="U99" s="17" t="n">
        <v>9331.7667</v>
      </c>
      <c r="V99" s="17" t="n">
        <v>0.901173084941212</v>
      </c>
      <c r="W99" s="17" t="n">
        <v>8.57</v>
      </c>
      <c r="X99" s="17" t="n">
        <v>3.64517832397801</v>
      </c>
      <c r="Y99" s="17" t="n">
        <v>0.962254165632872</v>
      </c>
      <c r="Z99" s="17" t="n">
        <v>16.2659086030794</v>
      </c>
      <c r="AA99" s="17" t="n">
        <v>10.8362807836417</v>
      </c>
      <c r="AB99" s="17" t="n">
        <v>3.20095158102864</v>
      </c>
      <c r="AC99" s="17" t="n">
        <v>3.33059278034784</v>
      </c>
      <c r="AD99" s="17" t="n">
        <v>-0.581295641403579</v>
      </c>
      <c r="AE99" s="17" t="n">
        <v>-0.204005129501228</v>
      </c>
      <c r="AF99" s="17" t="n">
        <v>0.10559451520815</v>
      </c>
      <c r="AG99" s="18" t="n">
        <f aca="false">IFERROR(100*O99/F99,"")</f>
        <v>0.146458145887579</v>
      </c>
      <c r="AH99" s="18" t="n">
        <f aca="false">IFERROR(100*(P99+Q99)/F99,"")</f>
        <v>0.056770421370104</v>
      </c>
      <c r="AI99" s="18" t="n">
        <f aca="false">IFERROR(100*R99/K99,"")</f>
        <v>-0.0029714685457548</v>
      </c>
      <c r="AJ99" s="18" t="n">
        <f aca="false">IF(T99&gt;0,100*S99/T99,"")</f>
        <v>16.2659086030794</v>
      </c>
      <c r="AK99" s="18" t="n">
        <f aca="false">IFERROR(100*U99/G99,"")</f>
        <v>0.901173084941212</v>
      </c>
      <c r="AL99" s="18" t="n">
        <f aca="false">IFERROR(100*J99/H99,"")</f>
        <v>92.2458648032209</v>
      </c>
      <c r="AM99" s="18" t="n">
        <f aca="false">IFERROR(100*L99/J99,"")</f>
        <v>77.6112434504261</v>
      </c>
      <c r="AN99" s="18" t="n">
        <f aca="false">IFERROR(100*M99/J99,"")</f>
        <v>19.8865046083822</v>
      </c>
      <c r="AO99" s="18" t="n">
        <f aca="false">IFERROR(100*N99/J99,"")</f>
        <v>0.583488046072822</v>
      </c>
    </row>
    <row r="100" customFormat="false" ht="15" hidden="false" customHeight="false" outlineLevel="0" collapsed="false">
      <c r="A100" s="17" t="n">
        <v>12874</v>
      </c>
      <c r="B100" s="23" t="n">
        <v>45657</v>
      </c>
      <c r="C100" s="17" t="s">
        <v>159</v>
      </c>
      <c r="D100" s="17" t="s">
        <v>108</v>
      </c>
      <c r="E100" s="17" t="s">
        <v>114</v>
      </c>
      <c r="F100" s="17" t="n">
        <v>1078599</v>
      </c>
      <c r="G100" s="17" t="n">
        <v>1044130.4</v>
      </c>
      <c r="H100" s="17" t="n">
        <v>931493</v>
      </c>
      <c r="I100" s="17" t="n">
        <v>96293</v>
      </c>
      <c r="J100" s="17" t="n">
        <v>824752</v>
      </c>
      <c r="K100" s="17" t="n">
        <v>811079.4</v>
      </c>
      <c r="L100" s="17" t="n">
        <v>640478</v>
      </c>
      <c r="M100" s="17" t="n">
        <v>163025</v>
      </c>
      <c r="N100" s="17" t="n">
        <v>4566</v>
      </c>
      <c r="O100" s="17" t="n">
        <v>1392</v>
      </c>
      <c r="P100" s="17" t="n">
        <v>568</v>
      </c>
      <c r="Q100" s="17" t="n">
        <v>0</v>
      </c>
      <c r="R100" s="17" t="n">
        <v>-17</v>
      </c>
      <c r="S100" s="17" t="n">
        <v>111547</v>
      </c>
      <c r="T100" s="17" t="n">
        <v>796377</v>
      </c>
      <c r="U100" s="17" t="n">
        <v>8983</v>
      </c>
      <c r="V100" s="17" t="n">
        <v>0.860333153789986</v>
      </c>
      <c r="W100" s="17" t="n">
        <v>8.44</v>
      </c>
      <c r="X100" s="17" t="n">
        <v>3.69486040719359</v>
      </c>
      <c r="Y100" s="17" t="n">
        <v>1.00624187634586</v>
      </c>
      <c r="Z100" s="17" t="n">
        <v>14.0068083332392</v>
      </c>
      <c r="AA100" s="17" t="n">
        <v>8.92759959910959</v>
      </c>
      <c r="AB100" s="17" t="n">
        <v>4.44729357695999</v>
      </c>
      <c r="AC100" s="17" t="n">
        <v>3.21101548881044</v>
      </c>
      <c r="AD100" s="17" t="n">
        <v>4.06650027818307</v>
      </c>
      <c r="AE100" s="17" t="n">
        <v>-0.21560960813034</v>
      </c>
      <c r="AF100" s="17" t="n">
        <v>0.0641761333947434</v>
      </c>
      <c r="AG100" s="18" t="n">
        <f aca="false">IFERROR(100*O100/F100,"")</f>
        <v>0.129056303593829</v>
      </c>
      <c r="AH100" s="18" t="n">
        <f aca="false">IFERROR(100*(P100+Q100)/F100,"")</f>
        <v>0.0526609054894358</v>
      </c>
      <c r="AI100" s="18" t="n">
        <f aca="false">IFERROR(100*R100/K100,"")</f>
        <v>-0.00209597235486439</v>
      </c>
      <c r="AJ100" s="18" t="n">
        <f aca="false">IF(T100&gt;0,100*S100/T100,"")</f>
        <v>14.0068083332392</v>
      </c>
      <c r="AK100" s="18" t="n">
        <f aca="false">IFERROR(100*U100/G100,"")</f>
        <v>0.860333153789986</v>
      </c>
      <c r="AL100" s="18" t="n">
        <f aca="false">IFERROR(100*J100/H100,"")</f>
        <v>88.540869335572</v>
      </c>
      <c r="AM100" s="18" t="n">
        <f aca="false">IFERROR(100*L100/J100,"")</f>
        <v>77.6570411469145</v>
      </c>
      <c r="AN100" s="18" t="n">
        <f aca="false">IFERROR(100*M100/J100,"")</f>
        <v>19.7665480047335</v>
      </c>
      <c r="AO100" s="18" t="n">
        <f aca="false">IFERROR(100*N100/J100,"")</f>
        <v>0.553620967272586</v>
      </c>
    </row>
    <row r="101" customFormat="false" ht="15" hidden="false" customHeight="false" outlineLevel="0" collapsed="false">
      <c r="A101" s="17" t="n">
        <v>12874</v>
      </c>
      <c r="B101" s="23" t="n">
        <v>45747</v>
      </c>
      <c r="C101" s="17" t="s">
        <v>159</v>
      </c>
      <c r="D101" s="17" t="s">
        <v>108</v>
      </c>
      <c r="E101" s="17" t="s">
        <v>114</v>
      </c>
      <c r="F101" s="17" t="n">
        <v>1079094</v>
      </c>
      <c r="G101" s="17" t="n">
        <v>1078846.5</v>
      </c>
      <c r="H101" s="17" t="n">
        <v>929947</v>
      </c>
      <c r="I101" s="17" t="n">
        <v>99521</v>
      </c>
      <c r="J101" s="17" t="n">
        <v>853286</v>
      </c>
      <c r="K101" s="17" t="n">
        <v>839019</v>
      </c>
      <c r="L101" s="17" t="n">
        <v>668513</v>
      </c>
      <c r="M101" s="17" t="n">
        <v>165192</v>
      </c>
      <c r="N101" s="17" t="n">
        <v>4366</v>
      </c>
      <c r="O101" s="17" t="n">
        <v>1396</v>
      </c>
      <c r="P101" s="17" t="n">
        <v>6414</v>
      </c>
      <c r="Q101" s="17" t="n">
        <v>11</v>
      </c>
      <c r="R101" s="17" t="n">
        <v>-8</v>
      </c>
      <c r="S101" s="17" t="n">
        <v>113221</v>
      </c>
      <c r="T101" s="17" t="n">
        <v>727538</v>
      </c>
      <c r="U101" s="17" t="n">
        <v>9860</v>
      </c>
      <c r="V101" s="17" t="n">
        <v>0.913939100696902</v>
      </c>
      <c r="W101" s="17" t="n">
        <v>10.07</v>
      </c>
      <c r="X101" s="17" t="n">
        <v>3.76276007753566</v>
      </c>
      <c r="Y101" s="17" t="n">
        <v>0.998844467154037</v>
      </c>
      <c r="Z101" s="17" t="n">
        <v>15.5622111834708</v>
      </c>
      <c r="AA101" s="17" t="n">
        <v>9.22264418113714</v>
      </c>
      <c r="AB101" s="17" t="n">
        <v>5.334086909158</v>
      </c>
      <c r="AC101" s="17" t="n">
        <v>6.95594841763267</v>
      </c>
      <c r="AD101" s="17" t="n">
        <v>6.05155539741948</v>
      </c>
      <c r="AE101" s="17" t="n">
        <v>0.0292079082834231</v>
      </c>
      <c r="AF101" s="17" t="n">
        <v>-0.0137335314706834</v>
      </c>
      <c r="AG101" s="18" t="n">
        <f aca="false">IFERROR(100*O101/F101,"")</f>
        <v>0.12936778445622</v>
      </c>
      <c r="AH101" s="18" t="n">
        <f aca="false">IFERROR(100*(P101+Q101)/F101,"")</f>
        <v>0.595406887629808</v>
      </c>
      <c r="AI101" s="18" t="n">
        <f aca="false">IFERROR(100*R101/K101,"")</f>
        <v>-0.000953494497740814</v>
      </c>
      <c r="AJ101" s="18" t="n">
        <f aca="false">IF(T101&gt;0,100*S101/T101,"")</f>
        <v>15.5622111834708</v>
      </c>
      <c r="AK101" s="18" t="n">
        <f aca="false">IFERROR(100*U101/G101,"")</f>
        <v>0.913939100696902</v>
      </c>
      <c r="AL101" s="18" t="n">
        <f aca="false">IFERROR(100*J101/H101,"")</f>
        <v>91.7564119245505</v>
      </c>
      <c r="AM101" s="18" t="n">
        <f aca="false">IFERROR(100*L101/J101,"")</f>
        <v>78.3457129262639</v>
      </c>
      <c r="AN101" s="18" t="n">
        <f aca="false">IFERROR(100*M101/J101,"")</f>
        <v>19.3595113478951</v>
      </c>
      <c r="AO101" s="18" t="n">
        <f aca="false">IFERROR(100*N101/J101,"")</f>
        <v>0.511669006640212</v>
      </c>
    </row>
    <row r="102" customFormat="false" ht="15" hidden="false" customHeight="false" outlineLevel="0" collapsed="false">
      <c r="A102" s="17" t="n">
        <v>12874</v>
      </c>
      <c r="B102" s="23" t="n">
        <v>45838</v>
      </c>
      <c r="C102" s="17" t="s">
        <v>159</v>
      </c>
      <c r="D102" s="17" t="s">
        <v>108</v>
      </c>
      <c r="E102" s="17" t="s">
        <v>114</v>
      </c>
      <c r="F102" s="17" t="n">
        <v>1085692</v>
      </c>
      <c r="G102" s="17" t="n">
        <v>1081128.33333333</v>
      </c>
      <c r="H102" s="17" t="n">
        <v>934861</v>
      </c>
      <c r="I102" s="17" t="n">
        <v>100553</v>
      </c>
      <c r="J102" s="17" t="n">
        <v>846746</v>
      </c>
      <c r="K102" s="17" t="n">
        <v>841594.666666667</v>
      </c>
      <c r="L102" s="17" t="n">
        <v>669261</v>
      </c>
      <c r="M102" s="17" t="n">
        <v>156764</v>
      </c>
      <c r="N102" s="17" t="n">
        <v>4179</v>
      </c>
      <c r="O102" s="17" t="n">
        <v>1392</v>
      </c>
      <c r="P102" s="17" t="n">
        <v>2891</v>
      </c>
      <c r="Q102" s="17" t="n">
        <v>0</v>
      </c>
      <c r="R102" s="17" t="n">
        <v>36</v>
      </c>
      <c r="S102" s="17" t="n">
        <v>114896</v>
      </c>
      <c r="T102" s="17" t="n">
        <v>802927</v>
      </c>
      <c r="U102" s="17" t="n">
        <v>10148</v>
      </c>
      <c r="V102" s="17" t="n">
        <v>0.938648973217796</v>
      </c>
      <c r="W102" s="17" t="n">
        <v>10.27</v>
      </c>
      <c r="X102" s="17" t="n">
        <v>3.8021088052053</v>
      </c>
      <c r="Y102" s="17" t="n">
        <v>0.981049807144055</v>
      </c>
      <c r="Z102" s="17" t="n">
        <v>14.3096445878642</v>
      </c>
      <c r="AA102" s="17" t="n">
        <v>9.26165063388143</v>
      </c>
      <c r="AB102" s="17" t="n">
        <v>4.71061387857452</v>
      </c>
      <c r="AC102" s="17" t="n">
        <v>3.82171149995647</v>
      </c>
      <c r="AD102" s="17" t="n">
        <v>8.43443786652809</v>
      </c>
      <c r="AE102" s="17" t="n">
        <v>0.0650146933988445</v>
      </c>
      <c r="AF102" s="17" t="n">
        <v>-0.0179989266199981</v>
      </c>
      <c r="AG102" s="18" t="n">
        <f aca="false">IFERROR(100*O102/F102,"")</f>
        <v>0.12821315805956</v>
      </c>
      <c r="AH102" s="18" t="n">
        <f aca="false">IFERROR(100*(P102+Q102)/F102,"")</f>
        <v>0.266281781573411</v>
      </c>
      <c r="AI102" s="18" t="n">
        <f aca="false">IFERROR(100*R102/K102,"")</f>
        <v>0.004277593647615</v>
      </c>
      <c r="AJ102" s="18" t="n">
        <f aca="false">IF(T102&gt;0,100*S102/T102,"")</f>
        <v>14.3096445878642</v>
      </c>
      <c r="AK102" s="18" t="n">
        <f aca="false">IFERROR(100*U102/G102,"")</f>
        <v>0.938648973217796</v>
      </c>
      <c r="AL102" s="18" t="n">
        <f aca="false">IFERROR(100*J102/H102,"")</f>
        <v>90.5745346099581</v>
      </c>
      <c r="AM102" s="18" t="n">
        <f aca="false">IFERROR(100*L102/J102,"")</f>
        <v>79.0391687708002</v>
      </c>
      <c r="AN102" s="18" t="n">
        <f aca="false">IFERROR(100*M102/J102,"")</f>
        <v>18.5136983227556</v>
      </c>
      <c r="AO102" s="18" t="n">
        <f aca="false">IFERROR(100*N102/J102,"")</f>
        <v>0.493536432413026</v>
      </c>
    </row>
    <row r="103" customFormat="false" ht="15" hidden="false" customHeight="false" outlineLevel="0" collapsed="false">
      <c r="A103" s="17" t="n">
        <v>13063</v>
      </c>
      <c r="B103" s="23" t="n">
        <v>44651</v>
      </c>
      <c r="C103" s="17" t="s">
        <v>139</v>
      </c>
      <c r="D103" s="17" t="s">
        <v>108</v>
      </c>
      <c r="E103" s="17" t="s">
        <v>114</v>
      </c>
      <c r="F103" s="17" t="n">
        <v>1784835</v>
      </c>
      <c r="G103" s="17" t="n">
        <v>1805241.5</v>
      </c>
      <c r="H103" s="17" t="n">
        <v>1619076</v>
      </c>
      <c r="I103" s="17" t="n">
        <v>148181</v>
      </c>
      <c r="J103" s="17" t="n">
        <v>1223389</v>
      </c>
      <c r="K103" s="17" t="n">
        <v>1207345</v>
      </c>
      <c r="L103" s="17" t="n">
        <v>1160807</v>
      </c>
      <c r="M103" s="17" t="n">
        <v>55361</v>
      </c>
      <c r="N103" s="17" t="n">
        <v>837</v>
      </c>
      <c r="O103" s="17" t="n">
        <v>408</v>
      </c>
      <c r="P103" s="17" t="n">
        <v>3</v>
      </c>
      <c r="Q103" s="17" t="n">
        <v>1196</v>
      </c>
      <c r="R103" s="17" t="n">
        <v>-20</v>
      </c>
      <c r="S103" s="17" t="n">
        <v>0</v>
      </c>
      <c r="T103" s="17" t="n">
        <v>0</v>
      </c>
      <c r="U103" s="17" t="n">
        <v>8708</v>
      </c>
      <c r="V103" s="17" t="n">
        <v>0.482373134010048</v>
      </c>
      <c r="W103" s="17" t="n">
        <v>5.56</v>
      </c>
      <c r="X103" s="17" t="n">
        <v>3.27111477410285</v>
      </c>
      <c r="Y103" s="17" t="n">
        <v>1.21800997066346</v>
      </c>
      <c r="Z103" s="17" t="n">
        <v>0</v>
      </c>
      <c r="AA103" s="17" t="n">
        <v>8.30222401510504</v>
      </c>
      <c r="AB103" s="17"/>
      <c r="AC103" s="17"/>
      <c r="AD103" s="17"/>
      <c r="AE103" s="17"/>
      <c r="AF103" s="17"/>
      <c r="AG103" s="18" t="n">
        <f aca="false">IFERROR(100*O103/F103,"")</f>
        <v>0.022859255897604</v>
      </c>
      <c r="AH103" s="18" t="n">
        <f aca="false">IFERROR(100*(P103+Q103)/F103,"")</f>
        <v>0.0671770779932039</v>
      </c>
      <c r="AI103" s="18" t="n">
        <f aca="false">IFERROR(100*R103/K103,"")</f>
        <v>-0.00165652733891307</v>
      </c>
      <c r="AJ103" s="18" t="str">
        <f aca="false">IF(T103&gt;0,100*S103/T103,"")</f>
        <v/>
      </c>
      <c r="AK103" s="18" t="n">
        <f aca="false">IFERROR(100*U103/G103,"")</f>
        <v>0.482373134010048</v>
      </c>
      <c r="AL103" s="18" t="n">
        <f aca="false">IFERROR(100*J103/H103,"")</f>
        <v>75.5609372259239</v>
      </c>
      <c r="AM103" s="18" t="n">
        <f aca="false">IFERROR(100*L103/J103,"")</f>
        <v>94.8845379515428</v>
      </c>
      <c r="AN103" s="18" t="n">
        <f aca="false">IFERROR(100*M103/J103,"")</f>
        <v>4.52521642748137</v>
      </c>
      <c r="AO103" s="18" t="n">
        <f aca="false">IFERROR(100*N103/J103,"")</f>
        <v>0.0684165052979878</v>
      </c>
    </row>
    <row r="104" customFormat="false" ht="15" hidden="false" customHeight="false" outlineLevel="0" collapsed="false">
      <c r="A104" s="17" t="n">
        <v>13063</v>
      </c>
      <c r="B104" s="23" t="n">
        <v>44742</v>
      </c>
      <c r="C104" s="17" t="s">
        <v>139</v>
      </c>
      <c r="D104" s="17" t="s">
        <v>108</v>
      </c>
      <c r="E104" s="17" t="s">
        <v>114</v>
      </c>
      <c r="F104" s="17" t="n">
        <v>1796670</v>
      </c>
      <c r="G104" s="17" t="n">
        <v>1802384.33333333</v>
      </c>
      <c r="H104" s="17" t="n">
        <v>1641103</v>
      </c>
      <c r="I104" s="17" t="n">
        <v>138141</v>
      </c>
      <c r="J104" s="17" t="n">
        <v>1263224</v>
      </c>
      <c r="K104" s="17" t="n">
        <v>1225971.33333333</v>
      </c>
      <c r="L104" s="17" t="n">
        <v>1203684</v>
      </c>
      <c r="M104" s="17" t="n">
        <v>51462</v>
      </c>
      <c r="N104" s="17" t="n">
        <v>893</v>
      </c>
      <c r="O104" s="17" t="n">
        <v>499</v>
      </c>
      <c r="P104" s="17" t="n">
        <v>1</v>
      </c>
      <c r="Q104" s="17" t="n">
        <v>967</v>
      </c>
      <c r="R104" s="17" t="n">
        <v>-10</v>
      </c>
      <c r="S104" s="17" t="n">
        <v>0</v>
      </c>
      <c r="T104" s="17" t="n">
        <v>0</v>
      </c>
      <c r="U104" s="17" t="n">
        <v>10632</v>
      </c>
      <c r="V104" s="17" t="n">
        <v>0.589885287137242</v>
      </c>
      <c r="W104" s="17" t="n">
        <v>7.06</v>
      </c>
      <c r="X104" s="17" t="n">
        <v>3.34802863649218</v>
      </c>
      <c r="Y104" s="17" t="n">
        <v>1.17960076755983</v>
      </c>
      <c r="Z104" s="17" t="n">
        <v>0</v>
      </c>
      <c r="AA104" s="17" t="n">
        <v>7.68872413965837</v>
      </c>
      <c r="AB104" s="17"/>
      <c r="AC104" s="17"/>
      <c r="AD104" s="17"/>
      <c r="AE104" s="17"/>
      <c r="AF104" s="17"/>
      <c r="AG104" s="18" t="n">
        <f aca="false">IFERROR(100*O104/F104,"")</f>
        <v>0.0277736033884909</v>
      </c>
      <c r="AH104" s="18" t="n">
        <f aca="false">IFERROR(100*(P104+Q104)/F104,"")</f>
        <v>0.0538774510622429</v>
      </c>
      <c r="AI104" s="18" t="n">
        <f aca="false">IFERROR(100*R104/K104,"")</f>
        <v>-0.000815679757601728</v>
      </c>
      <c r="AJ104" s="18" t="str">
        <f aca="false">IF(T104&gt;0,100*S104/T104,"")</f>
        <v/>
      </c>
      <c r="AK104" s="18" t="n">
        <f aca="false">IFERROR(100*U104/G104,"")</f>
        <v>0.589885287137242</v>
      </c>
      <c r="AL104" s="18" t="n">
        <f aca="false">IFERROR(100*J104/H104,"")</f>
        <v>76.9740838935765</v>
      </c>
      <c r="AM104" s="18" t="n">
        <f aca="false">IFERROR(100*L104/J104,"")</f>
        <v>95.2866633312857</v>
      </c>
      <c r="AN104" s="18" t="n">
        <f aca="false">IFERROR(100*M104/J104,"")</f>
        <v>4.0738618012324</v>
      </c>
      <c r="AO104" s="18" t="n">
        <f aca="false">IFERROR(100*N104/J104,"")</f>
        <v>0.0706921337783323</v>
      </c>
    </row>
    <row r="105" customFormat="false" ht="15" hidden="false" customHeight="false" outlineLevel="0" collapsed="false">
      <c r="A105" s="17" t="n">
        <v>13063</v>
      </c>
      <c r="B105" s="23" t="n">
        <v>44834</v>
      </c>
      <c r="C105" s="17" t="s">
        <v>139</v>
      </c>
      <c r="D105" s="17" t="s">
        <v>108</v>
      </c>
      <c r="E105" s="17" t="s">
        <v>114</v>
      </c>
      <c r="F105" s="17" t="n">
        <v>1877331</v>
      </c>
      <c r="G105" s="17" t="n">
        <v>1821121</v>
      </c>
      <c r="H105" s="17" t="n">
        <v>1697083</v>
      </c>
      <c r="I105" s="17" t="n">
        <v>131833</v>
      </c>
      <c r="J105" s="17" t="n">
        <v>1297056</v>
      </c>
      <c r="K105" s="17" t="n">
        <v>1243742.5</v>
      </c>
      <c r="L105" s="17" t="n">
        <v>1247709</v>
      </c>
      <c r="M105" s="17" t="n">
        <v>41370</v>
      </c>
      <c r="N105" s="17" t="n">
        <v>860</v>
      </c>
      <c r="O105" s="17" t="n">
        <v>354</v>
      </c>
      <c r="P105" s="17" t="n">
        <v>61</v>
      </c>
      <c r="Q105" s="17" t="n">
        <v>969</v>
      </c>
      <c r="R105" s="17" t="n">
        <v>-214.6613</v>
      </c>
      <c r="S105" s="17" t="n">
        <v>0</v>
      </c>
      <c r="T105" s="17" t="n">
        <v>0</v>
      </c>
      <c r="U105" s="17" t="n">
        <v>14308.9756</v>
      </c>
      <c r="V105" s="17" t="n">
        <v>0.78572349668144</v>
      </c>
      <c r="W105" s="17" t="n">
        <v>9.81</v>
      </c>
      <c r="X105" s="17" t="n">
        <v>3.4335478478502</v>
      </c>
      <c r="Y105" s="17" t="n">
        <v>1.04521315964769</v>
      </c>
      <c r="Z105" s="17" t="n">
        <v>0</v>
      </c>
      <c r="AA105" s="17" t="n">
        <v>7.02236313148827</v>
      </c>
      <c r="AB105" s="17"/>
      <c r="AC105" s="17"/>
      <c r="AD105" s="17"/>
      <c r="AE105" s="17"/>
      <c r="AF105" s="17"/>
      <c r="AG105" s="18" t="n">
        <f aca="false">IFERROR(100*O105/F105,"")</f>
        <v>0.0188565575276816</v>
      </c>
      <c r="AH105" s="18" t="n">
        <f aca="false">IFERROR(100*(P105+Q105)/F105,"")</f>
        <v>0.054865125009921</v>
      </c>
      <c r="AI105" s="18" t="n">
        <f aca="false">IFERROR(100*R105/K105,"")</f>
        <v>-0.0172593040762055</v>
      </c>
      <c r="AJ105" s="18" t="str">
        <f aca="false">IF(T105&gt;0,100*S105/T105,"")</f>
        <v/>
      </c>
      <c r="AK105" s="18" t="n">
        <f aca="false">IFERROR(100*U105/G105,"")</f>
        <v>0.78572349668144</v>
      </c>
      <c r="AL105" s="18" t="n">
        <f aca="false">IFERROR(100*J105/H105,"")</f>
        <v>76.4285541720706</v>
      </c>
      <c r="AM105" s="18" t="n">
        <f aca="false">IFERROR(100*L105/J105,"")</f>
        <v>96.1954611057657</v>
      </c>
      <c r="AN105" s="18" t="n">
        <f aca="false">IFERROR(100*M105/J105,"")</f>
        <v>3.18953075272001</v>
      </c>
      <c r="AO105" s="18" t="n">
        <f aca="false">IFERROR(100*N105/J105,"")</f>
        <v>0.0663039992105198</v>
      </c>
    </row>
    <row r="106" customFormat="false" ht="15" hidden="false" customHeight="false" outlineLevel="0" collapsed="false">
      <c r="A106" s="17" t="n">
        <v>13063</v>
      </c>
      <c r="B106" s="23" t="n">
        <v>44926</v>
      </c>
      <c r="C106" s="17" t="s">
        <v>139</v>
      </c>
      <c r="D106" s="17" t="s">
        <v>108</v>
      </c>
      <c r="E106" s="17" t="s">
        <v>114</v>
      </c>
      <c r="F106" s="17" t="n">
        <v>1843469</v>
      </c>
      <c r="G106" s="17" t="n">
        <v>1825590.6</v>
      </c>
      <c r="H106" s="17" t="n">
        <v>1640586</v>
      </c>
      <c r="I106" s="17" t="n">
        <v>136120</v>
      </c>
      <c r="J106" s="17" t="n">
        <v>1335612</v>
      </c>
      <c r="K106" s="17" t="n">
        <v>1262116.4</v>
      </c>
      <c r="L106" s="17" t="n">
        <v>1281066</v>
      </c>
      <c r="M106" s="17" t="n">
        <v>46233</v>
      </c>
      <c r="N106" s="17" t="n">
        <v>839</v>
      </c>
      <c r="O106" s="17" t="n">
        <v>528</v>
      </c>
      <c r="P106" s="17" t="n">
        <v>261</v>
      </c>
      <c r="Q106" s="17" t="n">
        <v>746</v>
      </c>
      <c r="R106" s="17" t="n">
        <v>-159</v>
      </c>
      <c r="S106" s="17" t="n">
        <v>0</v>
      </c>
      <c r="T106" s="17" t="n">
        <v>0</v>
      </c>
      <c r="U106" s="17" t="n">
        <v>13598</v>
      </c>
      <c r="V106" s="17" t="n">
        <v>0.74485484313953</v>
      </c>
      <c r="W106" s="17" t="n">
        <v>9.45</v>
      </c>
      <c r="X106" s="17" t="n">
        <v>3.53048222013871</v>
      </c>
      <c r="Y106" s="17" t="n">
        <v>1.01489055204655</v>
      </c>
      <c r="Z106" s="17" t="n">
        <v>0</v>
      </c>
      <c r="AA106" s="17" t="n">
        <v>7.3839050182021</v>
      </c>
      <c r="AB106" s="17"/>
      <c r="AC106" s="17"/>
      <c r="AD106" s="17"/>
      <c r="AE106" s="17"/>
      <c r="AF106" s="17"/>
      <c r="AG106" s="18" t="n">
        <f aca="false">IFERROR(100*O106/F106,"")</f>
        <v>0.0286416533177395</v>
      </c>
      <c r="AH106" s="18" t="n">
        <f aca="false">IFERROR(100*(P106+Q106)/F106,"")</f>
        <v>0.054625274414704</v>
      </c>
      <c r="AI106" s="18" t="n">
        <f aca="false">IFERROR(100*R106/K106,"")</f>
        <v>-0.0125978871679348</v>
      </c>
      <c r="AJ106" s="18" t="str">
        <f aca="false">IF(T106&gt;0,100*S106/T106,"")</f>
        <v/>
      </c>
      <c r="AK106" s="18" t="n">
        <f aca="false">IFERROR(100*U106/G106,"")</f>
        <v>0.74485484313953</v>
      </c>
      <c r="AL106" s="18" t="n">
        <f aca="false">IFERROR(100*J106/H106,"")</f>
        <v>81.4106666764193</v>
      </c>
      <c r="AM106" s="18" t="n">
        <f aca="false">IFERROR(100*L106/J106,"")</f>
        <v>95.916029505575</v>
      </c>
      <c r="AN106" s="18" t="n">
        <f aca="false">IFERROR(100*M106/J106,"")</f>
        <v>3.46155919533517</v>
      </c>
      <c r="AO106" s="18" t="n">
        <f aca="false">IFERROR(100*N106/J106,"")</f>
        <v>0.0628176446453012</v>
      </c>
    </row>
    <row r="107" customFormat="false" ht="15" hidden="false" customHeight="false" outlineLevel="0" collapsed="false">
      <c r="A107" s="17" t="n">
        <v>13063</v>
      </c>
      <c r="B107" s="23" t="n">
        <v>45016</v>
      </c>
      <c r="C107" s="17" t="s">
        <v>139</v>
      </c>
      <c r="D107" s="17" t="s">
        <v>108</v>
      </c>
      <c r="E107" s="17" t="s">
        <v>114</v>
      </c>
      <c r="F107" s="17" t="n">
        <v>1853851</v>
      </c>
      <c r="G107" s="17" t="n">
        <v>1848660</v>
      </c>
      <c r="H107" s="17" t="n">
        <v>1620191</v>
      </c>
      <c r="I107" s="17" t="n">
        <v>141179</v>
      </c>
      <c r="J107" s="17" t="n">
        <v>1379139</v>
      </c>
      <c r="K107" s="17" t="n">
        <v>1357375.5</v>
      </c>
      <c r="L107" s="17" t="n">
        <v>1316711</v>
      </c>
      <c r="M107" s="17" t="n">
        <v>53456</v>
      </c>
      <c r="N107" s="17" t="n">
        <v>932</v>
      </c>
      <c r="O107" s="17" t="n">
        <v>519</v>
      </c>
      <c r="P107" s="17" t="n">
        <v>1178</v>
      </c>
      <c r="Q107" s="17" t="n">
        <v>892</v>
      </c>
      <c r="R107" s="17" t="n">
        <v>220</v>
      </c>
      <c r="S107" s="17" t="n">
        <v>0</v>
      </c>
      <c r="T107" s="17" t="n">
        <v>0</v>
      </c>
      <c r="U107" s="17" t="n">
        <v>7992</v>
      </c>
      <c r="V107" s="17" t="n">
        <v>0.432313134919347</v>
      </c>
      <c r="W107" s="17" t="n">
        <v>5.76</v>
      </c>
      <c r="X107" s="17" t="n">
        <v>3.32459574825263</v>
      </c>
      <c r="Y107" s="17" t="n">
        <v>1.12301950709827</v>
      </c>
      <c r="Z107" s="17" t="n">
        <v>0</v>
      </c>
      <c r="AA107" s="17" t="n">
        <v>7.61544482269611</v>
      </c>
      <c r="AB107" s="17" t="n">
        <v>3.86680001232607</v>
      </c>
      <c r="AC107" s="17" t="n">
        <v>12.7310283156053</v>
      </c>
      <c r="AD107" s="17" t="n">
        <v>0.0688664398706518</v>
      </c>
      <c r="AE107" s="17" t="n">
        <v>-0.0500599990907009</v>
      </c>
      <c r="AF107" s="17" t="n">
        <v>0.00513652154082014</v>
      </c>
      <c r="AG107" s="18" t="n">
        <f aca="false">IFERROR(100*O107/F107,"")</f>
        <v>0.0279957774384241</v>
      </c>
      <c r="AH107" s="18" t="n">
        <f aca="false">IFERROR(100*(P107+Q107)/F107,"")</f>
        <v>0.111659459147472</v>
      </c>
      <c r="AI107" s="18" t="n">
        <f aca="false">IFERROR(100*R107/K107,"")</f>
        <v>0.0162077479665723</v>
      </c>
      <c r="AJ107" s="18" t="str">
        <f aca="false">IF(T107&gt;0,100*S107/T107,"")</f>
        <v/>
      </c>
      <c r="AK107" s="18" t="n">
        <f aca="false">IFERROR(100*U107/G107,"")</f>
        <v>0.432313134919347</v>
      </c>
      <c r="AL107" s="18" t="n">
        <f aca="false">IFERROR(100*J107/H107,"")</f>
        <v>85.1220010480246</v>
      </c>
      <c r="AM107" s="18" t="n">
        <f aca="false">IFERROR(100*L107/J107,"")</f>
        <v>95.4734076840696</v>
      </c>
      <c r="AN107" s="18" t="n">
        <f aca="false">IFERROR(100*M107/J107,"")</f>
        <v>3.87604150125549</v>
      </c>
      <c r="AO107" s="18" t="n">
        <f aca="false">IFERROR(100*N107/J107,"")</f>
        <v>0.0675783949261097</v>
      </c>
    </row>
    <row r="108" customFormat="false" ht="15" hidden="false" customHeight="false" outlineLevel="0" collapsed="false">
      <c r="A108" s="17" t="n">
        <v>13063</v>
      </c>
      <c r="B108" s="23" t="n">
        <v>45107</v>
      </c>
      <c r="C108" s="17" t="s">
        <v>139</v>
      </c>
      <c r="D108" s="17" t="s">
        <v>108</v>
      </c>
      <c r="E108" s="17" t="s">
        <v>114</v>
      </c>
      <c r="F108" s="17" t="n">
        <v>1812064</v>
      </c>
      <c r="G108" s="17" t="n">
        <v>1836461.33333333</v>
      </c>
      <c r="H108" s="17" t="n">
        <v>1600851</v>
      </c>
      <c r="I108" s="17" t="n">
        <v>137010</v>
      </c>
      <c r="J108" s="17" t="n">
        <v>1384852</v>
      </c>
      <c r="K108" s="17" t="n">
        <v>1366534.33333333</v>
      </c>
      <c r="L108" s="17" t="n">
        <v>1322359</v>
      </c>
      <c r="M108" s="17" t="n">
        <v>53620</v>
      </c>
      <c r="N108" s="17" t="n">
        <v>851</v>
      </c>
      <c r="O108" s="17" t="n">
        <v>501</v>
      </c>
      <c r="P108" s="17" t="n">
        <v>0</v>
      </c>
      <c r="Q108" s="17" t="n">
        <v>711</v>
      </c>
      <c r="R108" s="17" t="n">
        <v>106</v>
      </c>
      <c r="S108" s="17" t="n">
        <v>0</v>
      </c>
      <c r="T108" s="17" t="n">
        <v>0</v>
      </c>
      <c r="U108" s="17" t="n">
        <v>1954</v>
      </c>
      <c r="V108" s="17" t="n">
        <v>0.106400279958703</v>
      </c>
      <c r="W108" s="17" t="n">
        <v>1.41</v>
      </c>
      <c r="X108" s="17" t="n">
        <v>3.22117893560772</v>
      </c>
      <c r="Y108" s="17" t="n">
        <v>1.1635900442791</v>
      </c>
      <c r="Z108" s="17" t="n">
        <v>0</v>
      </c>
      <c r="AA108" s="17" t="n">
        <v>7.56099122326805</v>
      </c>
      <c r="AB108" s="17" t="n">
        <v>0.856807315756369</v>
      </c>
      <c r="AC108" s="17" t="n">
        <v>9.62837944814221</v>
      </c>
      <c r="AD108" s="17" t="n">
        <v>-2.45274062627392</v>
      </c>
      <c r="AE108" s="17" t="n">
        <v>-0.483485007178539</v>
      </c>
      <c r="AF108" s="17" t="n">
        <v>-0.00012557329683854</v>
      </c>
      <c r="AG108" s="18" t="n">
        <f aca="false">IFERROR(100*O108/F108,"")</f>
        <v>0.0276480300916524</v>
      </c>
      <c r="AH108" s="18" t="n">
        <f aca="false">IFERROR(100*(P108+Q108)/F108,"")</f>
        <v>0.039237024740848</v>
      </c>
      <c r="AI108" s="18" t="n">
        <f aca="false">IFERROR(100*R108/K108,"")</f>
        <v>0.00775684865095474</v>
      </c>
      <c r="AJ108" s="18" t="str">
        <f aca="false">IF(T108&gt;0,100*S108/T108,"")</f>
        <v/>
      </c>
      <c r="AK108" s="18" t="n">
        <f aca="false">IFERROR(100*U108/G108,"")</f>
        <v>0.106400279958703</v>
      </c>
      <c r="AL108" s="18" t="n">
        <f aca="false">IFERROR(100*J108/H108,"")</f>
        <v>86.5072389622769</v>
      </c>
      <c r="AM108" s="18" t="n">
        <f aca="false">IFERROR(100*L108/J108,"")</f>
        <v>95.4873878219478</v>
      </c>
      <c r="AN108" s="18" t="n">
        <f aca="false">IFERROR(100*M108/J108,"")</f>
        <v>3.87189389191047</v>
      </c>
      <c r="AO108" s="18" t="n">
        <f aca="false">IFERROR(100*N108/J108,"")</f>
        <v>0.0614506098846664</v>
      </c>
    </row>
    <row r="109" customFormat="false" ht="15" hidden="false" customHeight="false" outlineLevel="0" collapsed="false">
      <c r="A109" s="17" t="n">
        <v>13063</v>
      </c>
      <c r="B109" s="23" t="n">
        <v>45199</v>
      </c>
      <c r="C109" s="17" t="s">
        <v>139</v>
      </c>
      <c r="D109" s="17" t="s">
        <v>108</v>
      </c>
      <c r="E109" s="17" t="s">
        <v>114</v>
      </c>
      <c r="F109" s="17" t="n">
        <v>1813189</v>
      </c>
      <c r="G109" s="17" t="n">
        <v>1830643.25</v>
      </c>
      <c r="H109" s="17" t="n">
        <v>1662459</v>
      </c>
      <c r="I109" s="17" t="n">
        <v>130802</v>
      </c>
      <c r="J109" s="17" t="n">
        <v>1407387</v>
      </c>
      <c r="K109" s="17" t="n">
        <v>1376747.5</v>
      </c>
      <c r="L109" s="17" t="n">
        <v>1342676</v>
      </c>
      <c r="M109" s="17" t="n">
        <v>54104</v>
      </c>
      <c r="N109" s="17" t="n">
        <v>893</v>
      </c>
      <c r="O109" s="17" t="n">
        <v>592</v>
      </c>
      <c r="P109" s="17" t="n">
        <v>398</v>
      </c>
      <c r="Q109" s="17" t="n">
        <v>700</v>
      </c>
      <c r="R109" s="17" t="n">
        <v>87.9978</v>
      </c>
      <c r="S109" s="17" t="n">
        <v>0</v>
      </c>
      <c r="T109" s="17" t="n">
        <v>0</v>
      </c>
      <c r="U109" s="17" t="n">
        <v>3754.5728</v>
      </c>
      <c r="V109" s="17" t="n">
        <v>0.205095820826914</v>
      </c>
      <c r="W109" s="17" t="n">
        <v>2.76</v>
      </c>
      <c r="X109" s="17" t="n">
        <v>3.19853630126845</v>
      </c>
      <c r="Y109" s="17" t="n">
        <v>1.18844354822092</v>
      </c>
      <c r="Z109" s="17" t="n">
        <v>0</v>
      </c>
      <c r="AA109" s="17" t="n">
        <v>7.21391978442402</v>
      </c>
      <c r="AB109" s="17" t="n">
        <v>-3.41665907610326</v>
      </c>
      <c r="AC109" s="17" t="n">
        <v>8.50626341499519</v>
      </c>
      <c r="AD109" s="17" t="n">
        <v>-2.04020663691759</v>
      </c>
      <c r="AE109" s="17" t="n">
        <v>-0.580627675854525</v>
      </c>
      <c r="AF109" s="17" t="n">
        <v>0.0137931000645496</v>
      </c>
      <c r="AG109" s="18" t="n">
        <f aca="false">IFERROR(100*O109/F109,"")</f>
        <v>0.0326496575922311</v>
      </c>
      <c r="AH109" s="18" t="n">
        <f aca="false">IFERROR(100*(P109+Q109)/F109,"")</f>
        <v>0.0605562906018071</v>
      </c>
      <c r="AI109" s="18" t="n">
        <f aca="false">IFERROR(100*R109/K109,"")</f>
        <v>0.00639171670912785</v>
      </c>
      <c r="AJ109" s="18" t="str">
        <f aca="false">IF(T109&gt;0,100*S109/T109,"")</f>
        <v/>
      </c>
      <c r="AK109" s="18" t="n">
        <f aca="false">IFERROR(100*U109/G109,"")</f>
        <v>0.205095820826914</v>
      </c>
      <c r="AL109" s="18" t="n">
        <f aca="false">IFERROR(100*J109/H109,"")</f>
        <v>84.656944923153</v>
      </c>
      <c r="AM109" s="18" t="n">
        <f aca="false">IFERROR(100*L109/J109,"")</f>
        <v>95.4020464875688</v>
      </c>
      <c r="AN109" s="18" t="n">
        <f aca="false">IFERROR(100*M109/J109,"")</f>
        <v>3.84428732111352</v>
      </c>
      <c r="AO109" s="18" t="n">
        <f aca="false">IFERROR(100*N109/J109,"")</f>
        <v>0.0634509200383406</v>
      </c>
    </row>
    <row r="110" customFormat="false" ht="15" hidden="false" customHeight="false" outlineLevel="0" collapsed="false">
      <c r="A110" s="17" t="n">
        <v>13063</v>
      </c>
      <c r="B110" s="23" t="n">
        <v>45291</v>
      </c>
      <c r="C110" s="17" t="s">
        <v>139</v>
      </c>
      <c r="D110" s="17" t="s">
        <v>108</v>
      </c>
      <c r="E110" s="17" t="s">
        <v>114</v>
      </c>
      <c r="F110" s="17" t="n">
        <v>1825832</v>
      </c>
      <c r="G110" s="17" t="n">
        <v>1829681</v>
      </c>
      <c r="H110" s="17" t="n">
        <v>1598543</v>
      </c>
      <c r="I110" s="17" t="n">
        <v>144898</v>
      </c>
      <c r="J110" s="17" t="n">
        <v>1419984</v>
      </c>
      <c r="K110" s="17" t="n">
        <v>1385394.8</v>
      </c>
      <c r="L110" s="17" t="n">
        <v>1355009</v>
      </c>
      <c r="M110" s="17" t="n">
        <v>54417</v>
      </c>
      <c r="N110" s="17" t="n">
        <v>842</v>
      </c>
      <c r="O110" s="17" t="n">
        <v>809</v>
      </c>
      <c r="P110" s="17" t="n">
        <v>1108</v>
      </c>
      <c r="Q110" s="17" t="n">
        <v>260</v>
      </c>
      <c r="R110" s="17" t="n">
        <v>51</v>
      </c>
      <c r="S110" s="17" t="n">
        <v>0</v>
      </c>
      <c r="T110" s="17" t="n">
        <v>0</v>
      </c>
      <c r="U110" s="17" t="n">
        <v>4021</v>
      </c>
      <c r="V110" s="17" t="n">
        <v>0.21976508473335</v>
      </c>
      <c r="W110" s="17" t="n">
        <v>2.91</v>
      </c>
      <c r="X110" s="17" t="n">
        <v>3.17083919363506</v>
      </c>
      <c r="Y110" s="17" t="n">
        <v>1.19367542169489</v>
      </c>
      <c r="Z110" s="17" t="n">
        <v>0</v>
      </c>
      <c r="AA110" s="17" t="n">
        <v>7.93599849274194</v>
      </c>
      <c r="AB110" s="17" t="n">
        <v>-0.95672886281245</v>
      </c>
      <c r="AC110" s="17" t="n">
        <v>6.31710406914583</v>
      </c>
      <c r="AD110" s="17" t="n">
        <v>-2.56268187099</v>
      </c>
      <c r="AE110" s="17" t="n">
        <v>-0.52508975840618</v>
      </c>
      <c r="AF110" s="17" t="n">
        <v>0.0156669139546053</v>
      </c>
      <c r="AG110" s="18" t="n">
        <f aca="false">IFERROR(100*O110/F110,"")</f>
        <v>0.0443085672723449</v>
      </c>
      <c r="AH110" s="18" t="n">
        <f aca="false">IFERROR(100*(P110+Q110)/F110,"")</f>
        <v>0.0749247466360541</v>
      </c>
      <c r="AI110" s="18" t="n">
        <f aca="false">IFERROR(100*R110/K110,"")</f>
        <v>0.0036812611105513</v>
      </c>
      <c r="AJ110" s="18" t="str">
        <f aca="false">IF(T110&gt;0,100*S110/T110,"")</f>
        <v/>
      </c>
      <c r="AK110" s="18" t="n">
        <f aca="false">IFERROR(100*U110/G110,"")</f>
        <v>0.21976508473335</v>
      </c>
      <c r="AL110" s="18" t="n">
        <f aca="false">IFERROR(100*J110/H110,"")</f>
        <v>88.8298907192362</v>
      </c>
      <c r="AM110" s="18" t="n">
        <f aca="false">IFERROR(100*L110/J110,"")</f>
        <v>95.4242442168362</v>
      </c>
      <c r="AN110" s="18" t="n">
        <f aca="false">IFERROR(100*M110/J110,"")</f>
        <v>3.83222627860596</v>
      </c>
      <c r="AO110" s="18" t="n">
        <f aca="false">IFERROR(100*N110/J110,"")</f>
        <v>0.05929644277682</v>
      </c>
    </row>
    <row r="111" customFormat="false" ht="15" hidden="false" customHeight="false" outlineLevel="0" collapsed="false">
      <c r="A111" s="17" t="n">
        <v>13063</v>
      </c>
      <c r="B111" s="23" t="n">
        <v>45382</v>
      </c>
      <c r="C111" s="17" t="s">
        <v>139</v>
      </c>
      <c r="D111" s="17" t="s">
        <v>108</v>
      </c>
      <c r="E111" s="17" t="s">
        <v>114</v>
      </c>
      <c r="F111" s="17" t="n">
        <v>1806517</v>
      </c>
      <c r="G111" s="17" t="n">
        <v>1816174.5</v>
      </c>
      <c r="H111" s="17" t="n">
        <v>1572488</v>
      </c>
      <c r="I111" s="17" t="n">
        <v>144426</v>
      </c>
      <c r="J111" s="17" t="n">
        <v>1429824</v>
      </c>
      <c r="K111" s="17" t="n">
        <v>1424904</v>
      </c>
      <c r="L111" s="17" t="n">
        <v>1360729</v>
      </c>
      <c r="M111" s="17" t="n">
        <v>57837</v>
      </c>
      <c r="N111" s="17" t="n">
        <v>758</v>
      </c>
      <c r="O111" s="17" t="n">
        <v>510</v>
      </c>
      <c r="P111" s="17" t="n">
        <v>3365</v>
      </c>
      <c r="Q111" s="17" t="n">
        <v>0</v>
      </c>
      <c r="R111" s="17" t="n">
        <v>-16</v>
      </c>
      <c r="S111" s="17" t="n">
        <v>0</v>
      </c>
      <c r="T111" s="17" t="n">
        <v>0</v>
      </c>
      <c r="U111" s="17" t="n">
        <v>5088</v>
      </c>
      <c r="V111" s="17" t="n">
        <v>0.280149291821904</v>
      </c>
      <c r="W111" s="17" t="n">
        <v>3.52</v>
      </c>
      <c r="X111" s="17" t="n">
        <v>2.96240345136222</v>
      </c>
      <c r="Y111" s="17" t="n">
        <v>1.20322501230921</v>
      </c>
      <c r="Z111" s="17" t="n">
        <v>0</v>
      </c>
      <c r="AA111" s="17" t="n">
        <v>7.994721333926</v>
      </c>
      <c r="AB111" s="17" t="n">
        <v>-2.55327963250552</v>
      </c>
      <c r="AC111" s="17" t="n">
        <v>3.67511904166296</v>
      </c>
      <c r="AD111" s="17" t="n">
        <v>-2.94428249508855</v>
      </c>
      <c r="AE111" s="17" t="n">
        <v>-0.152163843097443</v>
      </c>
      <c r="AF111" s="17" t="n">
        <v>0.000235343552964278</v>
      </c>
      <c r="AG111" s="18" t="n">
        <f aca="false">IFERROR(100*O111/F111,"")</f>
        <v>0.0282311209913884</v>
      </c>
      <c r="AH111" s="18" t="n">
        <f aca="false">IFERROR(100*(P111+Q111)/F111,"")</f>
        <v>0.186270043403965</v>
      </c>
      <c r="AI111" s="18" t="n">
        <f aca="false">IFERROR(100*R111/K111,"")</f>
        <v>-0.00112288266437599</v>
      </c>
      <c r="AJ111" s="18" t="str">
        <f aca="false">IF(T111&gt;0,100*S111/T111,"")</f>
        <v/>
      </c>
      <c r="AK111" s="18" t="n">
        <f aca="false">IFERROR(100*U111/G111,"")</f>
        <v>0.280149291821904</v>
      </c>
      <c r="AL111" s="18" t="n">
        <f aca="false">IFERROR(100*J111/H111,"")</f>
        <v>90.9274983338506</v>
      </c>
      <c r="AM111" s="18" t="n">
        <f aca="false">IFERROR(100*L111/J111,"")</f>
        <v>95.1675870596661</v>
      </c>
      <c r="AN111" s="18" t="n">
        <f aca="false">IFERROR(100*M111/J111,"")</f>
        <v>4.04504330602927</v>
      </c>
      <c r="AO111" s="18" t="n">
        <f aca="false">IFERROR(100*N111/J111,"")</f>
        <v>0.0530135177476389</v>
      </c>
    </row>
    <row r="112" customFormat="false" ht="15" hidden="false" customHeight="false" outlineLevel="0" collapsed="false">
      <c r="A112" s="17" t="n">
        <v>13063</v>
      </c>
      <c r="B112" s="23" t="n">
        <v>45473</v>
      </c>
      <c r="C112" s="17" t="s">
        <v>139</v>
      </c>
      <c r="D112" s="17" t="s">
        <v>108</v>
      </c>
      <c r="E112" s="17" t="s">
        <v>114</v>
      </c>
      <c r="F112" s="17" t="n">
        <v>1848882</v>
      </c>
      <c r="G112" s="17" t="n">
        <v>1827077</v>
      </c>
      <c r="H112" s="17" t="n">
        <v>1607298</v>
      </c>
      <c r="I112" s="17" t="n">
        <v>147977</v>
      </c>
      <c r="J112" s="17" t="n">
        <v>1470585</v>
      </c>
      <c r="K112" s="17" t="n">
        <v>1440131</v>
      </c>
      <c r="L112" s="17" t="n">
        <v>1404637</v>
      </c>
      <c r="M112" s="17" t="n">
        <v>55491</v>
      </c>
      <c r="N112" s="17" t="n">
        <v>738</v>
      </c>
      <c r="O112" s="17" t="n">
        <v>701</v>
      </c>
      <c r="P112" s="17" t="n">
        <v>5182</v>
      </c>
      <c r="Q112" s="17" t="n">
        <v>0</v>
      </c>
      <c r="R112" s="17" t="n">
        <v>-34</v>
      </c>
      <c r="S112" s="17" t="n">
        <v>0</v>
      </c>
      <c r="T112" s="17" t="n">
        <v>0</v>
      </c>
      <c r="U112" s="17" t="n">
        <v>6706</v>
      </c>
      <c r="V112" s="17" t="n">
        <v>0.367034339548908</v>
      </c>
      <c r="W112" s="17" t="n">
        <v>4.6</v>
      </c>
      <c r="X112" s="17" t="n">
        <v>2.96664932851109</v>
      </c>
      <c r="Y112" s="17" t="n">
        <v>1.12241046930303</v>
      </c>
      <c r="Z112" s="17" t="n">
        <v>0</v>
      </c>
      <c r="AA112" s="17" t="n">
        <v>8.00359352300471</v>
      </c>
      <c r="AB112" s="17" t="n">
        <v>2.03182669044801</v>
      </c>
      <c r="AC112" s="17" t="n">
        <v>6.19076984399778</v>
      </c>
      <c r="AD112" s="17" t="n">
        <v>0.402723301543984</v>
      </c>
      <c r="AE112" s="17" t="n">
        <v>0.260634059590205</v>
      </c>
      <c r="AF112" s="17" t="n">
        <v>0.0102667746389902</v>
      </c>
      <c r="AG112" s="18" t="n">
        <f aca="false">IFERROR(100*O112/F112,"")</f>
        <v>0.0379148047306426</v>
      </c>
      <c r="AH112" s="18" t="n">
        <f aca="false">IFERROR(100*(P112+Q112)/F112,"")</f>
        <v>0.280277486610828</v>
      </c>
      <c r="AI112" s="18" t="n">
        <f aca="false">IFERROR(100*R112/K112,"")</f>
        <v>-0.00236089633512507</v>
      </c>
      <c r="AJ112" s="18" t="str">
        <f aca="false">IF(T112&gt;0,100*S112/T112,"")</f>
        <v/>
      </c>
      <c r="AK112" s="18" t="n">
        <f aca="false">IFERROR(100*U112/G112,"")</f>
        <v>0.367034339548908</v>
      </c>
      <c r="AL112" s="18" t="n">
        <f aca="false">IFERROR(100*J112/H112,"")</f>
        <v>91.494234423237</v>
      </c>
      <c r="AM112" s="18" t="n">
        <f aca="false">IFERROR(100*L112/J112,"")</f>
        <v>95.5155261341575</v>
      </c>
      <c r="AN112" s="18" t="n">
        <f aca="false">IFERROR(100*M112/J112,"")</f>
        <v>3.77339630147186</v>
      </c>
      <c r="AO112" s="18" t="n">
        <f aca="false">IFERROR(100*N112/J112,"")</f>
        <v>0.0501841104050429</v>
      </c>
    </row>
    <row r="113" customFormat="false" ht="15" hidden="false" customHeight="false" outlineLevel="0" collapsed="false">
      <c r="A113" s="17" t="n">
        <v>13063</v>
      </c>
      <c r="B113" s="23" t="n">
        <v>45565</v>
      </c>
      <c r="C113" s="17" t="s">
        <v>139</v>
      </c>
      <c r="D113" s="17" t="s">
        <v>108</v>
      </c>
      <c r="E113" s="17" t="s">
        <v>114</v>
      </c>
      <c r="F113" s="17" t="n">
        <v>1856523</v>
      </c>
      <c r="G113" s="17" t="n">
        <v>1834438.5</v>
      </c>
      <c r="H113" s="17" t="n">
        <v>1649721</v>
      </c>
      <c r="I113" s="17" t="n">
        <v>158562</v>
      </c>
      <c r="J113" s="17" t="n">
        <v>1476973</v>
      </c>
      <c r="K113" s="17" t="n">
        <v>1449341.5</v>
      </c>
      <c r="L113" s="17" t="n">
        <v>1407554</v>
      </c>
      <c r="M113" s="17" t="n">
        <v>54955</v>
      </c>
      <c r="N113" s="17" t="n">
        <v>756</v>
      </c>
      <c r="O113" s="17" t="n">
        <v>503</v>
      </c>
      <c r="P113" s="17" t="n">
        <v>5182</v>
      </c>
      <c r="Q113" s="17" t="n">
        <v>0</v>
      </c>
      <c r="R113" s="17" t="n">
        <v>-43.9989</v>
      </c>
      <c r="S113" s="17" t="n">
        <v>0</v>
      </c>
      <c r="T113" s="17" t="n">
        <v>0</v>
      </c>
      <c r="U113" s="17" t="n">
        <v>8431.7892</v>
      </c>
      <c r="V113" s="17" t="n">
        <v>0.459638695982449</v>
      </c>
      <c r="W113" s="17" t="n">
        <v>5.66</v>
      </c>
      <c r="X113" s="17" t="n">
        <v>3.09312941385462</v>
      </c>
      <c r="Y113" s="17" t="n">
        <v>1.11857156495075</v>
      </c>
      <c r="Z113" s="17" t="n">
        <v>0</v>
      </c>
      <c r="AA113" s="17" t="n">
        <v>8.54080450390326</v>
      </c>
      <c r="AB113" s="17" t="n">
        <v>2.38993287517186</v>
      </c>
      <c r="AC113" s="17" t="n">
        <v>4.94434011398428</v>
      </c>
      <c r="AD113" s="17" t="n">
        <v>-0.766214384835962</v>
      </c>
      <c r="AE113" s="17" t="n">
        <v>0.254542875155535</v>
      </c>
      <c r="AF113" s="17" t="n">
        <v>-0.00555599917808815</v>
      </c>
      <c r="AG113" s="18" t="n">
        <f aca="false">IFERROR(100*O113/F113,"")</f>
        <v>0.027093658414143</v>
      </c>
      <c r="AH113" s="18" t="n">
        <f aca="false">IFERROR(100*(P113+Q113)/F113,"")</f>
        <v>0.279123932210913</v>
      </c>
      <c r="AI113" s="18" t="n">
        <f aca="false">IFERROR(100*R113/K113,"")</f>
        <v>-0.00303578556192588</v>
      </c>
      <c r="AJ113" s="18" t="str">
        <f aca="false">IF(T113&gt;0,100*S113/T113,"")</f>
        <v/>
      </c>
      <c r="AK113" s="18" t="n">
        <f aca="false">IFERROR(100*U113/G113,"")</f>
        <v>0.459638695982449</v>
      </c>
      <c r="AL113" s="18" t="n">
        <f aca="false">IFERROR(100*J113/H113,"")</f>
        <v>89.5286536329476</v>
      </c>
      <c r="AM113" s="18" t="n">
        <f aca="false">IFERROR(100*L113/J113,"")</f>
        <v>95.2999140810292</v>
      </c>
      <c r="AN113" s="18" t="n">
        <f aca="false">IFERROR(100*M113/J113,"")</f>
        <v>3.72078568802544</v>
      </c>
      <c r="AO113" s="18" t="n">
        <f aca="false">IFERROR(100*N113/J113,"")</f>
        <v>0.0511857698143433</v>
      </c>
    </row>
    <row r="114" customFormat="false" ht="15" hidden="false" customHeight="false" outlineLevel="0" collapsed="false">
      <c r="A114" s="17" t="n">
        <v>13063</v>
      </c>
      <c r="B114" s="23" t="n">
        <v>45657</v>
      </c>
      <c r="C114" s="17" t="s">
        <v>139</v>
      </c>
      <c r="D114" s="17" t="s">
        <v>108</v>
      </c>
      <c r="E114" s="17" t="s">
        <v>114</v>
      </c>
      <c r="F114" s="17" t="n">
        <v>1867411</v>
      </c>
      <c r="G114" s="17" t="n">
        <v>1841033</v>
      </c>
      <c r="H114" s="17" t="n">
        <v>1626222</v>
      </c>
      <c r="I114" s="17" t="n">
        <v>153090</v>
      </c>
      <c r="J114" s="17" t="n">
        <v>1503020</v>
      </c>
      <c r="K114" s="17" t="n">
        <v>1460077.2</v>
      </c>
      <c r="L114" s="17" t="n">
        <v>1427918</v>
      </c>
      <c r="M114" s="17" t="n">
        <v>60157</v>
      </c>
      <c r="N114" s="17" t="n">
        <v>794</v>
      </c>
      <c r="O114" s="17" t="n">
        <v>471</v>
      </c>
      <c r="P114" s="17" t="n">
        <v>4656</v>
      </c>
      <c r="Q114" s="17" t="n">
        <v>0</v>
      </c>
      <c r="R114" s="17" t="n">
        <v>-27</v>
      </c>
      <c r="S114" s="17" t="n">
        <v>0</v>
      </c>
      <c r="T114" s="17" t="n">
        <v>0</v>
      </c>
      <c r="U114" s="17" t="n">
        <v>9574</v>
      </c>
      <c r="V114" s="17" t="n">
        <v>0.520034133011195</v>
      </c>
      <c r="W114" s="17" t="n">
        <v>6.39</v>
      </c>
      <c r="X114" s="17" t="n">
        <v>3.19713072652626</v>
      </c>
      <c r="Y114" s="17" t="n">
        <v>1.10218094236936</v>
      </c>
      <c r="Z114" s="17" t="n">
        <v>0</v>
      </c>
      <c r="AA114" s="17" t="n">
        <v>8.1979810550543</v>
      </c>
      <c r="AB114" s="17" t="n">
        <v>2.27726318741264</v>
      </c>
      <c r="AC114" s="17" t="n">
        <v>5.84767152305941</v>
      </c>
      <c r="AD114" s="17" t="n">
        <v>1.73151426017317</v>
      </c>
      <c r="AE114" s="17" t="n">
        <v>0.300269048277846</v>
      </c>
      <c r="AF114" s="17" t="n">
        <v>-0.0190864817218153</v>
      </c>
      <c r="AG114" s="18" t="n">
        <f aca="false">IFERROR(100*O114/F114,"")</f>
        <v>0.0252220855505296</v>
      </c>
      <c r="AH114" s="18" t="n">
        <f aca="false">IFERROR(100*(P114+Q114)/F114,"")</f>
        <v>0.249329151429439</v>
      </c>
      <c r="AI114" s="18" t="n">
        <f aca="false">IFERROR(100*R114/K114,"")</f>
        <v>-0.00184921728796258</v>
      </c>
      <c r="AJ114" s="18" t="str">
        <f aca="false">IF(T114&gt;0,100*S114/T114,"")</f>
        <v/>
      </c>
      <c r="AK114" s="18" t="n">
        <f aca="false">IFERROR(100*U114/G114,"")</f>
        <v>0.520034133011195</v>
      </c>
      <c r="AL114" s="18" t="n">
        <f aca="false">IFERROR(100*J114/H114,"")</f>
        <v>92.4240355867772</v>
      </c>
      <c r="AM114" s="18" t="n">
        <f aca="false">IFERROR(100*L114/J114,"")</f>
        <v>95.0032601029926</v>
      </c>
      <c r="AN114" s="18" t="n">
        <f aca="false">IFERROR(100*M114/J114,"")</f>
        <v>4.00240848425171</v>
      </c>
      <c r="AO114" s="18" t="n">
        <f aca="false">IFERROR(100*N114/J114,"")</f>
        <v>0.0528269750236191</v>
      </c>
    </row>
    <row r="115" customFormat="false" ht="15" hidden="false" customHeight="false" outlineLevel="0" collapsed="false">
      <c r="A115" s="17" t="n">
        <v>13063</v>
      </c>
      <c r="B115" s="23" t="n">
        <v>45747</v>
      </c>
      <c r="C115" s="17" t="s">
        <v>139</v>
      </c>
      <c r="D115" s="17" t="s">
        <v>108</v>
      </c>
      <c r="E115" s="17" t="s">
        <v>114</v>
      </c>
      <c r="F115" s="17" t="n">
        <v>1900245</v>
      </c>
      <c r="G115" s="17" t="n">
        <v>1883828</v>
      </c>
      <c r="H115" s="17" t="n">
        <v>1610029</v>
      </c>
      <c r="I115" s="17" t="n">
        <v>160439</v>
      </c>
      <c r="J115" s="17" t="n">
        <v>1529827</v>
      </c>
      <c r="K115" s="17" t="n">
        <v>1516423.5</v>
      </c>
      <c r="L115" s="17" t="n">
        <v>1448578</v>
      </c>
      <c r="M115" s="17" t="n">
        <v>66985</v>
      </c>
      <c r="N115" s="17" t="n">
        <v>833</v>
      </c>
      <c r="O115" s="17" t="n">
        <v>1033</v>
      </c>
      <c r="P115" s="17" t="n">
        <v>6776</v>
      </c>
      <c r="Q115" s="17" t="n">
        <v>0</v>
      </c>
      <c r="R115" s="17" t="n">
        <v>184</v>
      </c>
      <c r="S115" s="17" t="n">
        <v>0</v>
      </c>
      <c r="T115" s="17" t="n">
        <v>0</v>
      </c>
      <c r="U115" s="17" t="n">
        <v>10800</v>
      </c>
      <c r="V115" s="17" t="n">
        <v>0.573300747201974</v>
      </c>
      <c r="W115" s="17" t="n">
        <v>6.89</v>
      </c>
      <c r="X115" s="17" t="n">
        <v>3.3623212139201</v>
      </c>
      <c r="Y115" s="17" t="n">
        <v>1.09940535759926</v>
      </c>
      <c r="Z115" s="17" t="n">
        <v>0</v>
      </c>
      <c r="AA115" s="17" t="n">
        <v>8.44306918318427</v>
      </c>
      <c r="AB115" s="17" t="n">
        <v>5.18832648682519</v>
      </c>
      <c r="AC115" s="17" t="n">
        <v>6.99407759276667</v>
      </c>
      <c r="AD115" s="17" t="n">
        <v>2.38736321040287</v>
      </c>
      <c r="AE115" s="17" t="n">
        <v>0.29315145538007</v>
      </c>
      <c r="AF115" s="17" t="n">
        <v>0.0261302903003135</v>
      </c>
      <c r="AG115" s="18" t="n">
        <f aca="false">IFERROR(100*O115/F115,"")</f>
        <v>0.0543614112917019</v>
      </c>
      <c r="AH115" s="18" t="n">
        <f aca="false">IFERROR(100*(P115+Q115)/F115,"")</f>
        <v>0.356585598172867</v>
      </c>
      <c r="AI115" s="18" t="n">
        <f aca="false">IFERROR(100*R115/K115,"")</f>
        <v>0.0121338135421932</v>
      </c>
      <c r="AJ115" s="18" t="str">
        <f aca="false">IF(T115&gt;0,100*S115/T115,"")</f>
        <v/>
      </c>
      <c r="AK115" s="18" t="n">
        <f aca="false">IFERROR(100*U115/G115,"")</f>
        <v>0.573300747201974</v>
      </c>
      <c r="AL115" s="18" t="n">
        <f aca="false">IFERROR(100*J115/H115,"")</f>
        <v>95.0185990438682</v>
      </c>
      <c r="AM115" s="18" t="n">
        <f aca="false">IFERROR(100*L115/J115,"")</f>
        <v>94.6890073191282</v>
      </c>
      <c r="AN115" s="18" t="n">
        <f aca="false">IFERROR(100*M115/J115,"")</f>
        <v>4.37859967172759</v>
      </c>
      <c r="AO115" s="18" t="n">
        <f aca="false">IFERROR(100*N115/J115,"")</f>
        <v>0.0544506012771379</v>
      </c>
    </row>
    <row r="116" customFormat="false" ht="15" hidden="false" customHeight="false" outlineLevel="0" collapsed="false">
      <c r="A116" s="17" t="n">
        <v>13063</v>
      </c>
      <c r="B116" s="23" t="n">
        <v>45838</v>
      </c>
      <c r="C116" s="17" t="s">
        <v>139</v>
      </c>
      <c r="D116" s="17" t="s">
        <v>108</v>
      </c>
      <c r="E116" s="17" t="s">
        <v>114</v>
      </c>
      <c r="F116" s="17" t="n">
        <v>1933479</v>
      </c>
      <c r="G116" s="17" t="n">
        <v>1900378.33333333</v>
      </c>
      <c r="H116" s="17" t="n">
        <v>1642187</v>
      </c>
      <c r="I116" s="17" t="n">
        <v>165281</v>
      </c>
      <c r="J116" s="17" t="n">
        <v>1559292</v>
      </c>
      <c r="K116" s="17" t="n">
        <v>1530713</v>
      </c>
      <c r="L116" s="17" t="n">
        <v>1474935</v>
      </c>
      <c r="M116" s="17" t="n">
        <v>74647</v>
      </c>
      <c r="N116" s="17" t="n">
        <v>870</v>
      </c>
      <c r="O116" s="17" t="n">
        <v>2263</v>
      </c>
      <c r="P116" s="17" t="n">
        <v>10952</v>
      </c>
      <c r="Q116" s="17" t="n">
        <v>183</v>
      </c>
      <c r="R116" s="17" t="n">
        <v>90</v>
      </c>
      <c r="S116" s="17" t="n">
        <v>0</v>
      </c>
      <c r="T116" s="17" t="n">
        <v>0</v>
      </c>
      <c r="U116" s="17" t="n">
        <v>11802</v>
      </c>
      <c r="V116" s="17" t="n">
        <v>0.621034232657182</v>
      </c>
      <c r="W116" s="17" t="n">
        <v>7.39</v>
      </c>
      <c r="X116" s="17" t="n">
        <v>3.40567672960564</v>
      </c>
      <c r="Y116" s="17" t="n">
        <v>1.08356869656229</v>
      </c>
      <c r="Z116" s="17" t="n">
        <v>0</v>
      </c>
      <c r="AA116" s="17" t="n">
        <v>8.548373165677</v>
      </c>
      <c r="AB116" s="17" t="n">
        <v>4.57557594265075</v>
      </c>
      <c r="AC116" s="17" t="n">
        <v>6.0320892705964</v>
      </c>
      <c r="AD116" s="17" t="n">
        <v>2.17066156991423</v>
      </c>
      <c r="AE116" s="17" t="n">
        <v>0.253999893108274</v>
      </c>
      <c r="AF116" s="17" t="n">
        <v>0.0791281008297488</v>
      </c>
      <c r="AG116" s="18" t="n">
        <f aca="false">IFERROR(100*O116/F116,"")</f>
        <v>0.117042905560391</v>
      </c>
      <c r="AH116" s="18" t="n">
        <f aca="false">IFERROR(100*(P116+Q116)/F116,"")</f>
        <v>0.575904884407847</v>
      </c>
      <c r="AI116" s="18" t="n">
        <f aca="false">IFERROR(100*R116/K116,"")</f>
        <v>0.00587961296467725</v>
      </c>
      <c r="AJ116" s="18" t="str">
        <f aca="false">IF(T116&gt;0,100*S116/T116,"")</f>
        <v/>
      </c>
      <c r="AK116" s="18" t="n">
        <f aca="false">IFERROR(100*U116/G116,"")</f>
        <v>0.621034232657182</v>
      </c>
      <c r="AL116" s="18" t="n">
        <f aca="false">IFERROR(100*J116/H116,"")</f>
        <v>94.9521583108379</v>
      </c>
      <c r="AM116" s="18" t="n">
        <f aca="false">IFERROR(100*L116/J116,"")</f>
        <v>94.5900447126003</v>
      </c>
      <c r="AN116" s="18" t="n">
        <f aca="false">IFERROR(100*M116/J116,"")</f>
        <v>4.78723677156043</v>
      </c>
      <c r="AO116" s="18" t="n">
        <f aca="false">IFERROR(100*N116/J116,"")</f>
        <v>0.0557945529124757</v>
      </c>
    </row>
    <row r="117" customFormat="false" ht="15" hidden="false" customHeight="false" outlineLevel="0" collapsed="false">
      <c r="A117" s="17" t="n">
        <v>14134</v>
      </c>
      <c r="B117" s="23" t="n">
        <v>44651</v>
      </c>
      <c r="C117" s="17" t="s">
        <v>155</v>
      </c>
      <c r="D117" s="17" t="s">
        <v>113</v>
      </c>
      <c r="E117" s="17" t="s">
        <v>118</v>
      </c>
      <c r="F117" s="17" t="n">
        <v>869402</v>
      </c>
      <c r="G117" s="17" t="n">
        <v>874789</v>
      </c>
      <c r="H117" s="17" t="n">
        <v>737795</v>
      </c>
      <c r="I117" s="17" t="n">
        <v>101808</v>
      </c>
      <c r="J117" s="17" t="n">
        <v>596388</v>
      </c>
      <c r="K117" s="17" t="n">
        <v>594142.5</v>
      </c>
      <c r="L117" s="17" t="n">
        <v>516229</v>
      </c>
      <c r="M117" s="17" t="n">
        <v>27870</v>
      </c>
      <c r="N117" s="17" t="n">
        <v>26813</v>
      </c>
      <c r="O117" s="17" t="n">
        <v>8014</v>
      </c>
      <c r="P117" s="17" t="n">
        <v>4990</v>
      </c>
      <c r="Q117" s="17" t="n">
        <v>0</v>
      </c>
      <c r="R117" s="17" t="n">
        <v>76</v>
      </c>
      <c r="S117" s="17" t="n">
        <v>99900</v>
      </c>
      <c r="T117" s="17" t="n">
        <v>568551</v>
      </c>
      <c r="U117" s="17" t="n">
        <v>-3388</v>
      </c>
      <c r="V117" s="17" t="n">
        <v>-0.387293393035349</v>
      </c>
      <c r="W117" s="17" t="n">
        <v>-3.23</v>
      </c>
      <c r="X117" s="17" t="n">
        <v>2.7424379773478</v>
      </c>
      <c r="Y117" s="17" t="n">
        <v>1.40143664862472</v>
      </c>
      <c r="Z117" s="17" t="n">
        <v>17.5709830780352</v>
      </c>
      <c r="AA117" s="17" t="n">
        <v>11.7101179891466</v>
      </c>
      <c r="AB117" s="17"/>
      <c r="AC117" s="17"/>
      <c r="AD117" s="17"/>
      <c r="AE117" s="17"/>
      <c r="AF117" s="17"/>
      <c r="AG117" s="18" t="n">
        <f aca="false">IFERROR(100*O117/F117,"")</f>
        <v>0.921783018672605</v>
      </c>
      <c r="AH117" s="18" t="n">
        <f aca="false">IFERROR(100*(P117+Q117)/F117,"")</f>
        <v>0.573957731866271</v>
      </c>
      <c r="AI117" s="18" t="n">
        <f aca="false">IFERROR(100*R117/K117,"")</f>
        <v>0.0127915441161001</v>
      </c>
      <c r="AJ117" s="18" t="n">
        <f aca="false">IF(T117&gt;0,100*S117/T117,"")</f>
        <v>17.5709830780352</v>
      </c>
      <c r="AK117" s="18" t="n">
        <f aca="false">IFERROR(100*U117/G117,"")</f>
        <v>-0.387293393035349</v>
      </c>
      <c r="AL117" s="18" t="n">
        <f aca="false">IFERROR(100*J117/H117,"")</f>
        <v>80.8338359571426</v>
      </c>
      <c r="AM117" s="18" t="n">
        <f aca="false">IFERROR(100*L117/J117,"")</f>
        <v>86.5592533719659</v>
      </c>
      <c r="AN117" s="18" t="n">
        <f aca="false">IFERROR(100*M117/J117,"")</f>
        <v>4.67313225618222</v>
      </c>
      <c r="AO117" s="18" t="n">
        <f aca="false">IFERROR(100*N117/J117,"")</f>
        <v>4.49589864316519</v>
      </c>
    </row>
    <row r="118" customFormat="false" ht="15" hidden="false" customHeight="false" outlineLevel="0" collapsed="false">
      <c r="A118" s="17" t="n">
        <v>14134</v>
      </c>
      <c r="B118" s="23" t="n">
        <v>44742</v>
      </c>
      <c r="C118" s="17" t="s">
        <v>155</v>
      </c>
      <c r="D118" s="17" t="s">
        <v>113</v>
      </c>
      <c r="E118" s="17" t="s">
        <v>118</v>
      </c>
      <c r="F118" s="17" t="n">
        <v>842061</v>
      </c>
      <c r="G118" s="17" t="n">
        <v>863879.666666667</v>
      </c>
      <c r="H118" s="17" t="n">
        <v>714430</v>
      </c>
      <c r="I118" s="17" t="n">
        <v>95205</v>
      </c>
      <c r="J118" s="17" t="n">
        <v>618484</v>
      </c>
      <c r="K118" s="17" t="n">
        <v>602256.333333333</v>
      </c>
      <c r="L118" s="17" t="n">
        <v>541392</v>
      </c>
      <c r="M118" s="17" t="n">
        <v>33956</v>
      </c>
      <c r="N118" s="17" t="n">
        <v>24559</v>
      </c>
      <c r="O118" s="17" t="n">
        <v>8858</v>
      </c>
      <c r="P118" s="17" t="n">
        <v>3228</v>
      </c>
      <c r="Q118" s="17" t="n">
        <v>0</v>
      </c>
      <c r="R118" s="17" t="n">
        <v>590</v>
      </c>
      <c r="S118" s="17" t="n">
        <v>96666</v>
      </c>
      <c r="T118" s="17" t="n">
        <v>556029</v>
      </c>
      <c r="U118" s="17" t="n">
        <v>-7850</v>
      </c>
      <c r="V118" s="17" t="n">
        <v>-0.908691372525263</v>
      </c>
      <c r="W118" s="17" t="n">
        <v>-7.73</v>
      </c>
      <c r="X118" s="17" t="n">
        <v>2.90948799338998</v>
      </c>
      <c r="Y118" s="17" t="n">
        <v>1.34312286170701</v>
      </c>
      <c r="Z118" s="17" t="n">
        <v>17.3850644480774</v>
      </c>
      <c r="AA118" s="17" t="n">
        <v>11.3061880315084</v>
      </c>
      <c r="AB118" s="17"/>
      <c r="AC118" s="17"/>
      <c r="AD118" s="17"/>
      <c r="AE118" s="17"/>
      <c r="AF118" s="17"/>
      <c r="AG118" s="18" t="n">
        <f aca="false">IFERROR(100*O118/F118,"")</f>
        <v>1.05194279274304</v>
      </c>
      <c r="AH118" s="18" t="n">
        <f aca="false">IFERROR(100*(P118+Q118)/F118,"")</f>
        <v>0.383345149579425</v>
      </c>
      <c r="AI118" s="18" t="n">
        <f aca="false">IFERROR(100*R118/K118,"")</f>
        <v>0.0979649307686815</v>
      </c>
      <c r="AJ118" s="18" t="n">
        <f aca="false">IF(T118&gt;0,100*S118/T118,"")</f>
        <v>17.3850644480773</v>
      </c>
      <c r="AK118" s="18" t="n">
        <f aca="false">IFERROR(100*U118/G118,"")</f>
        <v>-0.908691372525263</v>
      </c>
      <c r="AL118" s="18" t="n">
        <f aca="false">IFERROR(100*J118/H118,"")</f>
        <v>86.5702728048934</v>
      </c>
      <c r="AM118" s="18" t="n">
        <f aca="false">IFERROR(100*L118/J118,"")</f>
        <v>87.5353283189218</v>
      </c>
      <c r="AN118" s="18" t="n">
        <f aca="false">IFERROR(100*M118/J118,"")</f>
        <v>5.49019861467718</v>
      </c>
      <c r="AO118" s="18" t="n">
        <f aca="false">IFERROR(100*N118/J118,"")</f>
        <v>3.97083837253672</v>
      </c>
    </row>
    <row r="119" customFormat="false" ht="15" hidden="false" customHeight="false" outlineLevel="0" collapsed="false">
      <c r="A119" s="17" t="n">
        <v>14134</v>
      </c>
      <c r="B119" s="23" t="n">
        <v>44834</v>
      </c>
      <c r="C119" s="17" t="s">
        <v>155</v>
      </c>
      <c r="D119" s="17" t="s">
        <v>113</v>
      </c>
      <c r="E119" s="17" t="s">
        <v>118</v>
      </c>
      <c r="F119" s="17" t="n">
        <v>838498</v>
      </c>
      <c r="G119" s="17" t="n">
        <v>857534.25</v>
      </c>
      <c r="H119" s="17" t="n">
        <v>723891</v>
      </c>
      <c r="I119" s="17" t="n">
        <v>91539</v>
      </c>
      <c r="J119" s="17" t="n">
        <v>626781</v>
      </c>
      <c r="K119" s="17" t="n">
        <v>608387.5</v>
      </c>
      <c r="L119" s="17" t="n">
        <v>548807</v>
      </c>
      <c r="M119" s="17" t="n">
        <v>29795</v>
      </c>
      <c r="N119" s="17" t="n">
        <v>22934</v>
      </c>
      <c r="O119" s="17" t="n">
        <v>6193</v>
      </c>
      <c r="P119" s="17" t="n">
        <v>11227</v>
      </c>
      <c r="Q119" s="17" t="n">
        <v>0</v>
      </c>
      <c r="R119" s="17" t="n">
        <v>442.6556</v>
      </c>
      <c r="S119" s="17" t="n">
        <v>97016</v>
      </c>
      <c r="T119" s="17" t="n">
        <v>558333</v>
      </c>
      <c r="U119" s="17" t="n">
        <v>-4807.8798</v>
      </c>
      <c r="V119" s="17" t="n">
        <v>-0.560663297121952</v>
      </c>
      <c r="W119" s="17" t="n">
        <v>-4.85</v>
      </c>
      <c r="X119" s="17" t="n">
        <v>3.06728844867761</v>
      </c>
      <c r="Y119" s="17" t="n">
        <v>1.35533782932157</v>
      </c>
      <c r="Z119" s="17" t="n">
        <v>17.3760103737375</v>
      </c>
      <c r="AA119" s="17" t="n">
        <v>10.917020672679</v>
      </c>
      <c r="AB119" s="17"/>
      <c r="AC119" s="17"/>
      <c r="AD119" s="17"/>
      <c r="AE119" s="17"/>
      <c r="AF119" s="17"/>
      <c r="AG119" s="18" t="n">
        <f aca="false">IFERROR(100*O119/F119,"")</f>
        <v>0.738582560721671</v>
      </c>
      <c r="AH119" s="18" t="n">
        <f aca="false">IFERROR(100*(P119+Q119)/F119,"")</f>
        <v>1.33894177445862</v>
      </c>
      <c r="AI119" s="18" t="n">
        <f aca="false">IFERROR(100*R119/K119,"")</f>
        <v>0.0727588255840233</v>
      </c>
      <c r="AJ119" s="18" t="n">
        <f aca="false">IF(T119&gt;0,100*S119/T119,"")</f>
        <v>17.3760103737375</v>
      </c>
      <c r="AK119" s="18" t="n">
        <f aca="false">IFERROR(100*U119/G119,"")</f>
        <v>-0.560663297121952</v>
      </c>
      <c r="AL119" s="18" t="n">
        <f aca="false">IFERROR(100*J119/H119,"")</f>
        <v>86.5849969125186</v>
      </c>
      <c r="AM119" s="18" t="n">
        <f aca="false">IFERROR(100*L119/J119,"")</f>
        <v>87.5596101349594</v>
      </c>
      <c r="AN119" s="18" t="n">
        <f aca="false">IFERROR(100*M119/J119,"")</f>
        <v>4.75365398759694</v>
      </c>
      <c r="AO119" s="18" t="n">
        <f aca="false">IFERROR(100*N119/J119,"")</f>
        <v>3.65901327576937</v>
      </c>
    </row>
    <row r="120" customFormat="false" ht="15" hidden="false" customHeight="false" outlineLevel="0" collapsed="false">
      <c r="A120" s="17" t="n">
        <v>14134</v>
      </c>
      <c r="B120" s="23" t="n">
        <v>44926</v>
      </c>
      <c r="C120" s="17" t="s">
        <v>155</v>
      </c>
      <c r="D120" s="17" t="s">
        <v>113</v>
      </c>
      <c r="E120" s="17" t="s">
        <v>118</v>
      </c>
      <c r="F120" s="17" t="n">
        <v>838127</v>
      </c>
      <c r="G120" s="17" t="n">
        <v>853652.8</v>
      </c>
      <c r="H120" s="17" t="n">
        <v>719419</v>
      </c>
      <c r="I120" s="17" t="n">
        <v>97584</v>
      </c>
      <c r="J120" s="17" t="n">
        <v>618146</v>
      </c>
      <c r="K120" s="17" t="n">
        <v>610339.2</v>
      </c>
      <c r="L120" s="17" t="n">
        <v>543525</v>
      </c>
      <c r="M120" s="17" t="n">
        <v>28029</v>
      </c>
      <c r="N120" s="17" t="n">
        <v>22010</v>
      </c>
      <c r="O120" s="17" t="n">
        <v>12984</v>
      </c>
      <c r="P120" s="17" t="n">
        <v>5416</v>
      </c>
      <c r="Q120" s="17" t="n">
        <v>0</v>
      </c>
      <c r="R120" s="17" t="n">
        <v>467</v>
      </c>
      <c r="S120" s="17" t="n">
        <v>102079</v>
      </c>
      <c r="T120" s="17" t="n">
        <v>565338</v>
      </c>
      <c r="U120" s="17" t="n">
        <v>1893</v>
      </c>
      <c r="V120" s="17" t="n">
        <v>0.221752918751043</v>
      </c>
      <c r="W120" s="17" t="n">
        <v>1.92</v>
      </c>
      <c r="X120" s="17" t="n">
        <v>3.12340753760266</v>
      </c>
      <c r="Y120" s="17" t="n">
        <v>1.09359277581672</v>
      </c>
      <c r="Z120" s="17" t="n">
        <v>18.0562778373292</v>
      </c>
      <c r="AA120" s="17" t="n">
        <v>11.6431042073576</v>
      </c>
      <c r="AB120" s="17"/>
      <c r="AC120" s="17"/>
      <c r="AD120" s="17"/>
      <c r="AE120" s="17"/>
      <c r="AF120" s="17"/>
      <c r="AG120" s="18" t="n">
        <f aca="false">IFERROR(100*O120/F120,"")</f>
        <v>1.54916856275958</v>
      </c>
      <c r="AH120" s="18" t="n">
        <f aca="false">IFERROR(100*(P120+Q120)/F120,"")</f>
        <v>0.646202783110436</v>
      </c>
      <c r="AI120" s="18" t="n">
        <f aca="false">IFERROR(100*R120/K120,"")</f>
        <v>0.0765148297864532</v>
      </c>
      <c r="AJ120" s="18" t="n">
        <f aca="false">IF(T120&gt;0,100*S120/T120,"")</f>
        <v>18.0562778373292</v>
      </c>
      <c r="AK120" s="18" t="n">
        <f aca="false">IFERROR(100*U120/G120,"")</f>
        <v>0.221752918751043</v>
      </c>
      <c r="AL120" s="18" t="n">
        <f aca="false">IFERROR(100*J120/H120,"")</f>
        <v>85.9229461551613</v>
      </c>
      <c r="AM120" s="18" t="n">
        <f aca="false">IFERROR(100*L120/J120,"")</f>
        <v>87.9282564313285</v>
      </c>
      <c r="AN120" s="18" t="n">
        <f aca="false">IFERROR(100*M120/J120,"")</f>
        <v>4.5343656676578</v>
      </c>
      <c r="AO120" s="18" t="n">
        <f aca="false">IFERROR(100*N120/J120,"")</f>
        <v>3.56064748457484</v>
      </c>
    </row>
    <row r="121" customFormat="false" ht="15" hidden="false" customHeight="false" outlineLevel="0" collapsed="false">
      <c r="A121" s="17" t="n">
        <v>14134</v>
      </c>
      <c r="B121" s="23" t="n">
        <v>45016</v>
      </c>
      <c r="C121" s="17" t="s">
        <v>155</v>
      </c>
      <c r="D121" s="17" t="s">
        <v>113</v>
      </c>
      <c r="E121" s="17" t="s">
        <v>118</v>
      </c>
      <c r="F121" s="17" t="n">
        <v>835568</v>
      </c>
      <c r="G121" s="17" t="n">
        <v>836847.5</v>
      </c>
      <c r="H121" s="17" t="n">
        <v>701903</v>
      </c>
      <c r="I121" s="17" t="n">
        <v>99761</v>
      </c>
      <c r="J121" s="17" t="n">
        <v>632893</v>
      </c>
      <c r="K121" s="17" t="n">
        <v>625519.5</v>
      </c>
      <c r="L121" s="17" t="n">
        <v>551797</v>
      </c>
      <c r="M121" s="17" t="n">
        <v>27912</v>
      </c>
      <c r="N121" s="17" t="n">
        <v>29009</v>
      </c>
      <c r="O121" s="17" t="n">
        <v>12896</v>
      </c>
      <c r="P121" s="17" t="n">
        <v>4692</v>
      </c>
      <c r="Q121" s="17" t="n">
        <v>0</v>
      </c>
      <c r="R121" s="17" t="n">
        <v>1588</v>
      </c>
      <c r="S121" s="17" t="n">
        <v>103488</v>
      </c>
      <c r="T121" s="17" t="n">
        <v>583223</v>
      </c>
      <c r="U121" s="17" t="n">
        <v>5812</v>
      </c>
      <c r="V121" s="17" t="n">
        <v>0.694511246075301</v>
      </c>
      <c r="W121" s="17" t="n">
        <v>5.89</v>
      </c>
      <c r="X121" s="17" t="n">
        <v>3.39563138167248</v>
      </c>
      <c r="Y121" s="17" t="n">
        <v>1.10966624690114</v>
      </c>
      <c r="Z121" s="17" t="n">
        <v>17.7441561803976</v>
      </c>
      <c r="AA121" s="17" t="n">
        <v>11.939303563564</v>
      </c>
      <c r="AB121" s="17" t="n">
        <v>-3.89164046091451</v>
      </c>
      <c r="AC121" s="17" t="n">
        <v>6.12101517803847</v>
      </c>
      <c r="AD121" s="17" t="n">
        <v>-4.86476595802357</v>
      </c>
      <c r="AE121" s="17" t="n">
        <v>1.08180463911065</v>
      </c>
      <c r="AF121" s="17" t="n">
        <v>0.621598250117009</v>
      </c>
      <c r="AG121" s="18" t="n">
        <f aca="false">IFERROR(100*O121/F121,"")</f>
        <v>1.54338126878961</v>
      </c>
      <c r="AH121" s="18" t="n">
        <f aca="false">IFERROR(100*(P121+Q121)/F121,"")</f>
        <v>0.56153418991632</v>
      </c>
      <c r="AI121" s="18" t="n">
        <f aca="false">IFERROR(100*R121/K121,"")</f>
        <v>0.253868984100416</v>
      </c>
      <c r="AJ121" s="18" t="n">
        <f aca="false">IF(T121&gt;0,100*S121/T121,"")</f>
        <v>17.7441561803976</v>
      </c>
      <c r="AK121" s="18" t="n">
        <f aca="false">IFERROR(100*U121/G121,"")</f>
        <v>0.694511246075301</v>
      </c>
      <c r="AL121" s="18" t="n">
        <f aca="false">IFERROR(100*J121/H121,"")</f>
        <v>90.168157138522</v>
      </c>
      <c r="AM121" s="18" t="n">
        <f aca="false">IFERROR(100*L121/J121,"")</f>
        <v>87.1864596385171</v>
      </c>
      <c r="AN121" s="18" t="n">
        <f aca="false">IFERROR(100*M121/J121,"")</f>
        <v>4.41022416111412</v>
      </c>
      <c r="AO121" s="18" t="n">
        <f aca="false">IFERROR(100*N121/J121,"")</f>
        <v>4.58355519811406</v>
      </c>
    </row>
    <row r="122" customFormat="false" ht="15" hidden="false" customHeight="false" outlineLevel="0" collapsed="false">
      <c r="A122" s="17" t="n">
        <v>14134</v>
      </c>
      <c r="B122" s="23" t="n">
        <v>45107</v>
      </c>
      <c r="C122" s="17" t="s">
        <v>155</v>
      </c>
      <c r="D122" s="17" t="s">
        <v>113</v>
      </c>
      <c r="E122" s="17" t="s">
        <v>118</v>
      </c>
      <c r="F122" s="17" t="n">
        <v>847137</v>
      </c>
      <c r="G122" s="17" t="n">
        <v>840277.333333333</v>
      </c>
      <c r="H122" s="17" t="n">
        <v>678698</v>
      </c>
      <c r="I122" s="17" t="n">
        <v>100453</v>
      </c>
      <c r="J122" s="17" t="n">
        <v>646015</v>
      </c>
      <c r="K122" s="17" t="n">
        <v>632351.333333333</v>
      </c>
      <c r="L122" s="17" t="n">
        <v>571141</v>
      </c>
      <c r="M122" s="17" t="n">
        <v>28195</v>
      </c>
      <c r="N122" s="17" t="n">
        <v>29490</v>
      </c>
      <c r="O122" s="17" t="n">
        <v>12099</v>
      </c>
      <c r="P122" s="17" t="n">
        <v>5509</v>
      </c>
      <c r="Q122" s="17" t="n">
        <v>0</v>
      </c>
      <c r="R122" s="17" t="n">
        <v>902</v>
      </c>
      <c r="S122" s="17" t="n">
        <v>105046</v>
      </c>
      <c r="T122" s="17" t="n">
        <v>580807</v>
      </c>
      <c r="U122" s="17" t="n">
        <v>5896</v>
      </c>
      <c r="V122" s="17" t="n">
        <v>0.701673098405606</v>
      </c>
      <c r="W122" s="17" t="n">
        <v>5.94</v>
      </c>
      <c r="X122" s="17" t="n">
        <v>3.29334633797883</v>
      </c>
      <c r="Y122" s="17" t="n">
        <v>1.11359643351935</v>
      </c>
      <c r="Z122" s="17" t="n">
        <v>18.0862145256514</v>
      </c>
      <c r="AA122" s="17" t="n">
        <v>11.8579403331456</v>
      </c>
      <c r="AB122" s="17" t="n">
        <v>0.602806685026391</v>
      </c>
      <c r="AC122" s="17" t="n">
        <v>4.45136818414058</v>
      </c>
      <c r="AD122" s="17" t="n">
        <v>-5.00146970311997</v>
      </c>
      <c r="AE122" s="17" t="n">
        <v>1.61036447093087</v>
      </c>
      <c r="AF122" s="17" t="n">
        <v>0.376279560902235</v>
      </c>
      <c r="AG122" s="18" t="n">
        <f aca="false">IFERROR(100*O122/F122,"")</f>
        <v>1.42822235364528</v>
      </c>
      <c r="AH122" s="18" t="n">
        <f aca="false">IFERROR(100*(P122+Q122)/F122,"")</f>
        <v>0.650308037542924</v>
      </c>
      <c r="AI122" s="18" t="n">
        <f aca="false">IFERROR(100*R122/K122,"")</f>
        <v>0.142642223152319</v>
      </c>
      <c r="AJ122" s="18" t="n">
        <f aca="false">IF(T122&gt;0,100*S122/T122,"")</f>
        <v>18.0862145256514</v>
      </c>
      <c r="AK122" s="18" t="n">
        <f aca="false">IFERROR(100*U122/G122,"")</f>
        <v>0.701673098405606</v>
      </c>
      <c r="AL122" s="18" t="n">
        <f aca="false">IFERROR(100*J122/H122,"")</f>
        <v>95.1844561203952</v>
      </c>
      <c r="AM122" s="18" t="n">
        <f aca="false">IFERROR(100*L122/J122,"")</f>
        <v>88.4098666439634</v>
      </c>
      <c r="AN122" s="18" t="n">
        <f aca="false">IFERROR(100*M122/J122,"")</f>
        <v>4.36444974187906</v>
      </c>
      <c r="AO122" s="18" t="n">
        <f aca="false">IFERROR(100*N122/J122,"")</f>
        <v>4.56490948352592</v>
      </c>
    </row>
    <row r="123" customFormat="false" ht="15" hidden="false" customHeight="false" outlineLevel="0" collapsed="false">
      <c r="A123" s="17" t="n">
        <v>14134</v>
      </c>
      <c r="B123" s="23" t="n">
        <v>45199</v>
      </c>
      <c r="C123" s="17" t="s">
        <v>155</v>
      </c>
      <c r="D123" s="17" t="s">
        <v>113</v>
      </c>
      <c r="E123" s="17" t="s">
        <v>118</v>
      </c>
      <c r="F123" s="17" t="n">
        <v>862974</v>
      </c>
      <c r="G123" s="17" t="n">
        <v>845951.5</v>
      </c>
      <c r="H123" s="17" t="n">
        <v>683848</v>
      </c>
      <c r="I123" s="17" t="n">
        <v>97790</v>
      </c>
      <c r="J123" s="17" t="n">
        <v>659466</v>
      </c>
      <c r="K123" s="17" t="n">
        <v>639130</v>
      </c>
      <c r="L123" s="17" t="n">
        <v>579506</v>
      </c>
      <c r="M123" s="17" t="n">
        <v>26362</v>
      </c>
      <c r="N123" s="17" t="n">
        <v>28791</v>
      </c>
      <c r="O123" s="17" t="n">
        <v>12208</v>
      </c>
      <c r="P123" s="17" t="n">
        <v>7041</v>
      </c>
      <c r="Q123" s="17" t="n">
        <v>0</v>
      </c>
      <c r="R123" s="17" t="n">
        <v>703.9824</v>
      </c>
      <c r="S123" s="17" t="n">
        <v>104540</v>
      </c>
      <c r="T123" s="17" t="n">
        <v>538600</v>
      </c>
      <c r="U123" s="17" t="n">
        <v>3947.9013</v>
      </c>
      <c r="V123" s="17" t="n">
        <v>0.466681754214042</v>
      </c>
      <c r="W123" s="17" t="n">
        <v>3.99</v>
      </c>
      <c r="X123" s="17" t="n">
        <v>3.23068828096064</v>
      </c>
      <c r="Y123" s="17" t="n">
        <v>1.11332502357968</v>
      </c>
      <c r="Z123" s="17" t="n">
        <v>19.4095803936131</v>
      </c>
      <c r="AA123" s="17" t="n">
        <v>11.3317434824224</v>
      </c>
      <c r="AB123" s="17" t="n">
        <v>2.91902902571026</v>
      </c>
      <c r="AC123" s="17" t="n">
        <v>5.2147400766775</v>
      </c>
      <c r="AD123" s="17" t="n">
        <v>-5.53163390620963</v>
      </c>
      <c r="AE123" s="17" t="n">
        <v>1.02734505133599</v>
      </c>
      <c r="AF123" s="17" t="n">
        <v>0.676060290627268</v>
      </c>
      <c r="AG123" s="18" t="n">
        <f aca="false">IFERROR(100*O123/F123,"")</f>
        <v>1.41464285134894</v>
      </c>
      <c r="AH123" s="18" t="n">
        <f aca="false">IFERROR(100*(P123+Q123)/F123,"")</f>
        <v>0.815899436135967</v>
      </c>
      <c r="AI123" s="18" t="n">
        <f aca="false">IFERROR(100*R123/K123,"")</f>
        <v>0.110146981052368</v>
      </c>
      <c r="AJ123" s="18" t="n">
        <f aca="false">IF(T123&gt;0,100*S123/T123,"")</f>
        <v>19.4095803936131</v>
      </c>
      <c r="AK123" s="18" t="n">
        <f aca="false">IFERROR(100*U123/G123,"")</f>
        <v>0.466681754214042</v>
      </c>
      <c r="AL123" s="18" t="n">
        <f aca="false">IFERROR(100*J123/H123,"")</f>
        <v>96.4345878031376</v>
      </c>
      <c r="AM123" s="18" t="n">
        <f aca="false">IFERROR(100*L123/J123,"")</f>
        <v>87.8750382885547</v>
      </c>
      <c r="AN123" s="18" t="n">
        <f aca="false">IFERROR(100*M123/J123,"")</f>
        <v>3.99747674633719</v>
      </c>
      <c r="AO123" s="18" t="n">
        <f aca="false">IFERROR(100*N123/J123,"")</f>
        <v>4.36580506045801</v>
      </c>
    </row>
    <row r="124" customFormat="false" ht="15" hidden="false" customHeight="false" outlineLevel="0" collapsed="false">
      <c r="A124" s="17" t="n">
        <v>14134</v>
      </c>
      <c r="B124" s="23" t="n">
        <v>45291</v>
      </c>
      <c r="C124" s="17" t="s">
        <v>155</v>
      </c>
      <c r="D124" s="17" t="s">
        <v>113</v>
      </c>
      <c r="E124" s="17" t="s">
        <v>118</v>
      </c>
      <c r="F124" s="17" t="n">
        <v>854743</v>
      </c>
      <c r="G124" s="17" t="n">
        <v>847709.8</v>
      </c>
      <c r="H124" s="17" t="n">
        <v>681633</v>
      </c>
      <c r="I124" s="17" t="n">
        <v>105791</v>
      </c>
      <c r="J124" s="17" t="n">
        <v>640918</v>
      </c>
      <c r="K124" s="17" t="n">
        <v>639487.6</v>
      </c>
      <c r="L124" s="17" t="n">
        <v>566020</v>
      </c>
      <c r="M124" s="17" t="n">
        <v>25773</v>
      </c>
      <c r="N124" s="17" t="n">
        <v>27211</v>
      </c>
      <c r="O124" s="17" t="n">
        <v>10339</v>
      </c>
      <c r="P124" s="17" t="n">
        <v>3255</v>
      </c>
      <c r="Q124" s="17" t="n">
        <v>0</v>
      </c>
      <c r="R124" s="17" t="n">
        <v>595</v>
      </c>
      <c r="S124" s="17" t="n">
        <v>108924</v>
      </c>
      <c r="T124" s="17" t="n">
        <v>565297</v>
      </c>
      <c r="U124" s="17" t="n">
        <v>7168</v>
      </c>
      <c r="V124" s="17" t="n">
        <v>0.845572388097908</v>
      </c>
      <c r="W124" s="17" t="n">
        <v>7.15</v>
      </c>
      <c r="X124" s="17" t="n">
        <v>3.22393019720267</v>
      </c>
      <c r="Y124" s="17" t="n">
        <v>1.13509060441429</v>
      </c>
      <c r="Z124" s="17" t="n">
        <v>19.2684553429436</v>
      </c>
      <c r="AA124" s="17" t="n">
        <v>12.3769366932517</v>
      </c>
      <c r="AB124" s="17" t="n">
        <v>1.98251577624871</v>
      </c>
      <c r="AC124" s="17" t="n">
        <v>3.68391933297312</v>
      </c>
      <c r="AD124" s="17" t="n">
        <v>-5.25229386491044</v>
      </c>
      <c r="AE124" s="17" t="n">
        <v>0.623819469346866</v>
      </c>
      <c r="AF124" s="17" t="n">
        <v>-0.33956520830099</v>
      </c>
      <c r="AG124" s="18" t="n">
        <f aca="false">IFERROR(100*O124/F124,"")</f>
        <v>1.20960335445859</v>
      </c>
      <c r="AH124" s="18" t="n">
        <f aca="false">IFERROR(100*(P124+Q124)/F124,"")</f>
        <v>0.380816221952096</v>
      </c>
      <c r="AI124" s="18" t="n">
        <f aca="false">IFERROR(100*R124/K124,"")</f>
        <v>0.0930432427462237</v>
      </c>
      <c r="AJ124" s="18" t="n">
        <f aca="false">IF(T124&gt;0,100*S124/T124,"")</f>
        <v>19.2684553429436</v>
      </c>
      <c r="AK124" s="18" t="n">
        <f aca="false">IFERROR(100*U124/G124,"")</f>
        <v>0.845572388097908</v>
      </c>
      <c r="AL124" s="18" t="n">
        <f aca="false">IFERROR(100*J124/H124,"")</f>
        <v>94.0268443575942</v>
      </c>
      <c r="AM124" s="18" t="n">
        <f aca="false">IFERROR(100*L124/J124,"")</f>
        <v>88.31394967843</v>
      </c>
      <c r="AN124" s="18" t="n">
        <f aca="false">IFERROR(100*M124/J124,"")</f>
        <v>4.02126325052503</v>
      </c>
      <c r="AO124" s="18" t="n">
        <f aca="false">IFERROR(100*N124/J124,"")</f>
        <v>4.24562892600926</v>
      </c>
    </row>
    <row r="125" customFormat="false" ht="15" hidden="false" customHeight="false" outlineLevel="0" collapsed="false">
      <c r="A125" s="17" t="n">
        <v>14134</v>
      </c>
      <c r="B125" s="23" t="n">
        <v>45382</v>
      </c>
      <c r="C125" s="17" t="s">
        <v>155</v>
      </c>
      <c r="D125" s="17" t="s">
        <v>113</v>
      </c>
      <c r="E125" s="17" t="s">
        <v>118</v>
      </c>
      <c r="F125" s="17" t="n">
        <v>842231</v>
      </c>
      <c r="G125" s="17" t="n">
        <v>848487</v>
      </c>
      <c r="H125" s="17" t="n">
        <v>674131</v>
      </c>
      <c r="I125" s="17" t="n">
        <v>108189</v>
      </c>
      <c r="J125" s="17" t="n">
        <v>633180</v>
      </c>
      <c r="K125" s="17" t="n">
        <v>637049</v>
      </c>
      <c r="L125" s="17" t="n">
        <v>560872</v>
      </c>
      <c r="M125" s="17" t="n">
        <v>25471</v>
      </c>
      <c r="N125" s="17" t="n">
        <v>24735</v>
      </c>
      <c r="O125" s="17" t="n">
        <v>10903</v>
      </c>
      <c r="P125" s="17" t="n">
        <v>4407</v>
      </c>
      <c r="Q125" s="17" t="n">
        <v>0</v>
      </c>
      <c r="R125" s="17" t="n">
        <v>600</v>
      </c>
      <c r="S125" s="17" t="n">
        <v>112272</v>
      </c>
      <c r="T125" s="17" t="n">
        <v>573895</v>
      </c>
      <c r="U125" s="17" t="n">
        <v>12960</v>
      </c>
      <c r="V125" s="17" t="n">
        <v>1.52742469831594</v>
      </c>
      <c r="W125" s="17" t="n">
        <v>12.11</v>
      </c>
      <c r="X125" s="17" t="n">
        <v>3.06668550800971</v>
      </c>
      <c r="Y125" s="17" t="n">
        <v>1.15496383334913</v>
      </c>
      <c r="Z125" s="17" t="n">
        <v>19.5631605084554</v>
      </c>
      <c r="AA125" s="17" t="n">
        <v>12.8455257524361</v>
      </c>
      <c r="AB125" s="17" t="n">
        <v>0.797421634145867</v>
      </c>
      <c r="AC125" s="17" t="n">
        <v>0.0453473177930652</v>
      </c>
      <c r="AD125" s="17" t="n">
        <v>-3.95667207577115</v>
      </c>
      <c r="AE125" s="17" t="n">
        <v>0.832913452240643</v>
      </c>
      <c r="AF125" s="17" t="n">
        <v>-0.248843309488662</v>
      </c>
      <c r="AG125" s="18" t="n">
        <f aca="false">IFERROR(100*O125/F125,"")</f>
        <v>1.29453795930095</v>
      </c>
      <c r="AH125" s="18" t="n">
        <f aca="false">IFERROR(100*(P125+Q125)/F125,"")</f>
        <v>0.523253121768256</v>
      </c>
      <c r="AI125" s="18" t="n">
        <f aca="false">IFERROR(100*R125/K125,"")</f>
        <v>0.0941842778185038</v>
      </c>
      <c r="AJ125" s="18" t="n">
        <f aca="false">IF(T125&gt;0,100*S125/T125,"")</f>
        <v>19.5631605084554</v>
      </c>
      <c r="AK125" s="18" t="n">
        <f aca="false">IFERROR(100*U125/G125,"")</f>
        <v>1.52742469831594</v>
      </c>
      <c r="AL125" s="18" t="n">
        <f aca="false">IFERROR(100*J125/H125,"")</f>
        <v>93.9253646546443</v>
      </c>
      <c r="AM125" s="18" t="n">
        <f aca="false">IFERROR(100*L125/J125,"")</f>
        <v>88.5801825705171</v>
      </c>
      <c r="AN125" s="18" t="n">
        <f aca="false">IFERROR(100*M125/J125,"")</f>
        <v>4.0227107615528</v>
      </c>
      <c r="AO125" s="18" t="n">
        <f aca="false">IFERROR(100*N125/J125,"")</f>
        <v>3.90647209324363</v>
      </c>
    </row>
    <row r="126" customFormat="false" ht="15" hidden="false" customHeight="false" outlineLevel="0" collapsed="false">
      <c r="A126" s="17" t="n">
        <v>14134</v>
      </c>
      <c r="B126" s="23" t="n">
        <v>45473</v>
      </c>
      <c r="C126" s="17" t="s">
        <v>155</v>
      </c>
      <c r="D126" s="17" t="s">
        <v>113</v>
      </c>
      <c r="E126" s="17" t="s">
        <v>118</v>
      </c>
      <c r="F126" s="17" t="n">
        <v>842999</v>
      </c>
      <c r="G126" s="17" t="n">
        <v>846657.666666667</v>
      </c>
      <c r="H126" s="17" t="n">
        <v>661992</v>
      </c>
      <c r="I126" s="17" t="n">
        <v>108954</v>
      </c>
      <c r="J126" s="17" t="n">
        <v>629164</v>
      </c>
      <c r="K126" s="17" t="n">
        <v>634420.666666667</v>
      </c>
      <c r="L126" s="17" t="n">
        <v>563428</v>
      </c>
      <c r="M126" s="17" t="n">
        <v>25715</v>
      </c>
      <c r="N126" s="17" t="n">
        <v>23101</v>
      </c>
      <c r="O126" s="17" t="n">
        <v>9888</v>
      </c>
      <c r="P126" s="17" t="n">
        <v>4284</v>
      </c>
      <c r="Q126" s="17" t="n">
        <v>0</v>
      </c>
      <c r="R126" s="17" t="n">
        <v>512</v>
      </c>
      <c r="S126" s="17" t="n">
        <v>112792</v>
      </c>
      <c r="T126" s="17" t="n">
        <v>569460</v>
      </c>
      <c r="U126" s="17" t="n">
        <v>7628</v>
      </c>
      <c r="V126" s="17" t="n">
        <v>0.900954458964721</v>
      </c>
      <c r="W126" s="17" t="n">
        <v>7.09</v>
      </c>
      <c r="X126" s="17" t="n">
        <v>3.05636859777717</v>
      </c>
      <c r="Y126" s="17" t="n">
        <v>1.17521027903694</v>
      </c>
      <c r="Z126" s="17" t="n">
        <v>19.8068345450076</v>
      </c>
      <c r="AA126" s="17" t="n">
        <v>12.9245704917799</v>
      </c>
      <c r="AB126" s="17" t="n">
        <v>-0.488468807288545</v>
      </c>
      <c r="AC126" s="17" t="n">
        <v>-2.60845336408597</v>
      </c>
      <c r="AD126" s="17" t="n">
        <v>-2.46147771173629</v>
      </c>
      <c r="AE126" s="17" t="n">
        <v>0.199281360559116</v>
      </c>
      <c r="AF126" s="17" t="n">
        <v>-0.255267225584628</v>
      </c>
      <c r="AG126" s="18" t="n">
        <f aca="false">IFERROR(100*O126/F126,"")</f>
        <v>1.17295512806065</v>
      </c>
      <c r="AH126" s="18" t="n">
        <f aca="false">IFERROR(100*(P126+Q126)/F126,"")</f>
        <v>0.508185656210743</v>
      </c>
      <c r="AI126" s="18" t="n">
        <f aca="false">IFERROR(100*R126/K126,"")</f>
        <v>0.0807035500104557</v>
      </c>
      <c r="AJ126" s="18" t="n">
        <f aca="false">IF(T126&gt;0,100*S126/T126,"")</f>
        <v>19.8068345450076</v>
      </c>
      <c r="AK126" s="18" t="n">
        <f aca="false">IFERROR(100*U126/G126,"")</f>
        <v>0.900954458964721</v>
      </c>
      <c r="AL126" s="18" t="n">
        <f aca="false">IFERROR(100*J126/H126,"")</f>
        <v>95.0410276861352</v>
      </c>
      <c r="AM126" s="18" t="n">
        <f aca="false">IFERROR(100*L126/J126,"")</f>
        <v>89.5518497561844</v>
      </c>
      <c r="AN126" s="18" t="n">
        <f aca="false">IFERROR(100*M126/J126,"")</f>
        <v>4.08716964098391</v>
      </c>
      <c r="AO126" s="18" t="n">
        <f aca="false">IFERROR(100*N126/J126,"")</f>
        <v>3.67169768136766</v>
      </c>
    </row>
    <row r="127" customFormat="false" ht="15" hidden="false" customHeight="false" outlineLevel="0" collapsed="false">
      <c r="A127" s="17" t="n">
        <v>14134</v>
      </c>
      <c r="B127" s="23" t="n">
        <v>45565</v>
      </c>
      <c r="C127" s="17" t="s">
        <v>155</v>
      </c>
      <c r="D127" s="17" t="s">
        <v>113</v>
      </c>
      <c r="E127" s="17" t="s">
        <v>118</v>
      </c>
      <c r="F127" s="17" t="n">
        <v>881237</v>
      </c>
      <c r="G127" s="17" t="n">
        <v>855302.5</v>
      </c>
      <c r="H127" s="17" t="n">
        <v>697247</v>
      </c>
      <c r="I127" s="17" t="n">
        <v>113479</v>
      </c>
      <c r="J127" s="17" t="n">
        <v>626162</v>
      </c>
      <c r="K127" s="17" t="n">
        <v>632356</v>
      </c>
      <c r="L127" s="17" t="n">
        <v>553522</v>
      </c>
      <c r="M127" s="17" t="n">
        <v>25355</v>
      </c>
      <c r="N127" s="17" t="n">
        <v>21380</v>
      </c>
      <c r="O127" s="17" t="n">
        <v>8606</v>
      </c>
      <c r="P127" s="17" t="n">
        <v>4368</v>
      </c>
      <c r="Q127" s="17" t="n">
        <v>0</v>
      </c>
      <c r="R127" s="17" t="n">
        <v>930.6434</v>
      </c>
      <c r="S127" s="17" t="n">
        <v>115186</v>
      </c>
      <c r="T127" s="17" t="n">
        <v>577530</v>
      </c>
      <c r="U127" s="17" t="n">
        <v>8147.7963</v>
      </c>
      <c r="V127" s="17" t="n">
        <v>0.952621592945186</v>
      </c>
      <c r="W127" s="17" t="n">
        <v>7.47</v>
      </c>
      <c r="X127" s="17" t="n">
        <v>2.99437200701752</v>
      </c>
      <c r="Y127" s="17" t="n">
        <v>1.14027999143992</v>
      </c>
      <c r="Z127" s="17" t="n">
        <v>19.944591622946</v>
      </c>
      <c r="AA127" s="17" t="n">
        <v>12.8772396075063</v>
      </c>
      <c r="AB127" s="17" t="n">
        <v>2.11628623805584</v>
      </c>
      <c r="AC127" s="17" t="n">
        <v>-5.05014663379159</v>
      </c>
      <c r="AD127" s="17" t="n">
        <v>1.95935354055288</v>
      </c>
      <c r="AE127" s="17" t="n">
        <v>0.485939838731144</v>
      </c>
      <c r="AF127" s="17" t="n">
        <v>-0.4380610691496</v>
      </c>
      <c r="AG127" s="18" t="n">
        <f aca="false">IFERROR(100*O127/F127,"")</f>
        <v>0.97658178219934</v>
      </c>
      <c r="AH127" s="18" t="n">
        <f aca="false">IFERROR(100*(P127+Q127)/F127,"")</f>
        <v>0.495666886433502</v>
      </c>
      <c r="AI127" s="18" t="n">
        <f aca="false">IFERROR(100*R127/K127,"")</f>
        <v>0.14717080252263</v>
      </c>
      <c r="AJ127" s="18" t="n">
        <f aca="false">IF(T127&gt;0,100*S127/T127,"")</f>
        <v>19.944591622946</v>
      </c>
      <c r="AK127" s="18" t="n">
        <f aca="false">IFERROR(100*U127/G127,"")</f>
        <v>0.952621592945186</v>
      </c>
      <c r="AL127" s="18" t="n">
        <f aca="false">IFERROR(100*J127/H127,"")</f>
        <v>89.8049041444424</v>
      </c>
      <c r="AM127" s="18" t="n">
        <f aca="false">IFERROR(100*L127/J127,"")</f>
        <v>88.3991682663592</v>
      </c>
      <c r="AN127" s="18" t="n">
        <f aca="false">IFERROR(100*M127/J127,"")</f>
        <v>4.04927159425197</v>
      </c>
      <c r="AO127" s="18" t="n">
        <f aca="false">IFERROR(100*N127/J127,"")</f>
        <v>3.4144518511184</v>
      </c>
    </row>
    <row r="128" customFormat="false" ht="15" hidden="false" customHeight="false" outlineLevel="0" collapsed="false">
      <c r="A128" s="17" t="n">
        <v>14134</v>
      </c>
      <c r="B128" s="23" t="n">
        <v>45657</v>
      </c>
      <c r="C128" s="17" t="s">
        <v>155</v>
      </c>
      <c r="D128" s="17" t="s">
        <v>113</v>
      </c>
      <c r="E128" s="17" t="s">
        <v>118</v>
      </c>
      <c r="F128" s="17" t="n">
        <v>894082</v>
      </c>
      <c r="G128" s="17" t="n">
        <v>863058.4</v>
      </c>
      <c r="H128" s="17" t="n">
        <v>716959</v>
      </c>
      <c r="I128" s="17" t="n">
        <v>111729</v>
      </c>
      <c r="J128" s="17" t="n">
        <v>643373</v>
      </c>
      <c r="K128" s="17" t="n">
        <v>634559.4</v>
      </c>
      <c r="L128" s="17" t="n">
        <v>570625</v>
      </c>
      <c r="M128" s="17" t="n">
        <v>25357</v>
      </c>
      <c r="N128" s="17" t="n">
        <v>19431</v>
      </c>
      <c r="O128" s="17" t="n">
        <v>3603</v>
      </c>
      <c r="P128" s="17" t="n">
        <v>4356</v>
      </c>
      <c r="Q128" s="17" t="n">
        <v>0</v>
      </c>
      <c r="R128" s="17" t="n">
        <v>1082</v>
      </c>
      <c r="S128" s="17" t="n">
        <v>115644</v>
      </c>
      <c r="T128" s="17" t="n">
        <v>569866</v>
      </c>
      <c r="U128" s="17" t="n">
        <v>6971</v>
      </c>
      <c r="V128" s="17" t="n">
        <v>0.807708956890982</v>
      </c>
      <c r="W128" s="17" t="n">
        <v>6.36</v>
      </c>
      <c r="X128" s="17" t="n">
        <v>3.02248641444206</v>
      </c>
      <c r="Y128" s="17" t="n">
        <v>1.07915625927728</v>
      </c>
      <c r="Z128" s="17" t="n">
        <v>20.2931917327933</v>
      </c>
      <c r="AA128" s="17" t="n">
        <v>12.4965047948622</v>
      </c>
      <c r="AB128" s="17" t="n">
        <v>4.60243605387818</v>
      </c>
      <c r="AC128" s="17" t="n">
        <v>0.383044320802339</v>
      </c>
      <c r="AD128" s="17" t="n">
        <v>5.18255424840053</v>
      </c>
      <c r="AE128" s="17" t="n">
        <v>-0.0378634312069259</v>
      </c>
      <c r="AF128" s="17" t="n">
        <v>-0.806620182892673</v>
      </c>
      <c r="AG128" s="18" t="n">
        <f aca="false">IFERROR(100*O128/F128,"")</f>
        <v>0.402983171565919</v>
      </c>
      <c r="AH128" s="18" t="n">
        <f aca="false">IFERROR(100*(P128+Q128)/F128,"")</f>
        <v>0.487203634565957</v>
      </c>
      <c r="AI128" s="18" t="n">
        <f aca="false">IFERROR(100*R128/K128,"")</f>
        <v>0.170512011956643</v>
      </c>
      <c r="AJ128" s="18" t="n">
        <f aca="false">IF(T128&gt;0,100*S128/T128,"")</f>
        <v>20.2931917327933</v>
      </c>
      <c r="AK128" s="18" t="n">
        <f aca="false">IFERROR(100*U128/G128,"")</f>
        <v>0.807708956890982</v>
      </c>
      <c r="AL128" s="18" t="n">
        <f aca="false">IFERROR(100*J128/H128,"")</f>
        <v>89.7363726517137</v>
      </c>
      <c r="AM128" s="18" t="n">
        <f aca="false">IFERROR(100*L128/J128,"")</f>
        <v>88.6927179101392</v>
      </c>
      <c r="AN128" s="18" t="n">
        <f aca="false">IFERROR(100*M128/J128,"")</f>
        <v>3.94125958036784</v>
      </c>
      <c r="AO128" s="18" t="n">
        <f aca="false">IFERROR(100*N128/J128,"")</f>
        <v>3.02017647616546</v>
      </c>
    </row>
    <row r="129" customFormat="false" ht="15" hidden="false" customHeight="false" outlineLevel="0" collapsed="false">
      <c r="A129" s="17" t="n">
        <v>14134</v>
      </c>
      <c r="B129" s="23" t="n">
        <v>45747</v>
      </c>
      <c r="C129" s="17" t="s">
        <v>155</v>
      </c>
      <c r="D129" s="17" t="s">
        <v>113</v>
      </c>
      <c r="E129" s="17" t="s">
        <v>118</v>
      </c>
      <c r="F129" s="17" t="n">
        <v>879312</v>
      </c>
      <c r="G129" s="17" t="n">
        <v>886697</v>
      </c>
      <c r="H129" s="17" t="n">
        <v>701672</v>
      </c>
      <c r="I129" s="17" t="n">
        <v>113111</v>
      </c>
      <c r="J129" s="17" t="n">
        <v>628000</v>
      </c>
      <c r="K129" s="17" t="n">
        <v>635686.5</v>
      </c>
      <c r="L129" s="17" t="n">
        <v>556523</v>
      </c>
      <c r="M129" s="17" t="n">
        <v>25662</v>
      </c>
      <c r="N129" s="17" t="n">
        <v>17648</v>
      </c>
      <c r="O129" s="17" t="n">
        <v>2972</v>
      </c>
      <c r="P129" s="17" t="n">
        <v>4065</v>
      </c>
      <c r="Q129" s="17" t="n">
        <v>0</v>
      </c>
      <c r="R129" s="17" t="n">
        <v>396</v>
      </c>
      <c r="S129" s="17" t="n">
        <v>115680</v>
      </c>
      <c r="T129" s="17" t="n">
        <v>564622</v>
      </c>
      <c r="U129" s="17" t="n">
        <v>384</v>
      </c>
      <c r="V129" s="17" t="n">
        <v>0.0433067891286426</v>
      </c>
      <c r="W129" s="17" t="n">
        <v>0.34</v>
      </c>
      <c r="X129" s="17" t="n">
        <v>3.08550914447303</v>
      </c>
      <c r="Y129" s="17" t="n">
        <v>1.11974522292994</v>
      </c>
      <c r="Z129" s="17" t="n">
        <v>20.4880433281027</v>
      </c>
      <c r="AA129" s="17" t="n">
        <v>12.8635797077715</v>
      </c>
      <c r="AB129" s="17" t="n">
        <v>4.40271137015855</v>
      </c>
      <c r="AC129" s="17" t="n">
        <v>-0.818092801415082</v>
      </c>
      <c r="AD129" s="17" t="n">
        <v>4.08540773232502</v>
      </c>
      <c r="AE129" s="17" t="n">
        <v>-1.4841179091873</v>
      </c>
      <c r="AF129" s="17" t="n">
        <v>-0.95654643865754</v>
      </c>
      <c r="AG129" s="18" t="n">
        <f aca="false">IFERROR(100*O129/F129,"")</f>
        <v>0.337991520643412</v>
      </c>
      <c r="AH129" s="18" t="n">
        <f aca="false">IFERROR(100*(P129+Q129)/F129,"")</f>
        <v>0.462293247448005</v>
      </c>
      <c r="AI129" s="18" t="n">
        <f aca="false">IFERROR(100*R129/K129,"")</f>
        <v>0.0622948576066976</v>
      </c>
      <c r="AJ129" s="18" t="n">
        <f aca="false">IF(T129&gt;0,100*S129/T129,"")</f>
        <v>20.4880433281027</v>
      </c>
      <c r="AK129" s="18" t="n">
        <f aca="false">IFERROR(100*U129/G129,"")</f>
        <v>0.0433067891286426</v>
      </c>
      <c r="AL129" s="18" t="n">
        <f aca="false">IFERROR(100*J129/H129,"")</f>
        <v>89.500507359564</v>
      </c>
      <c r="AM129" s="18" t="n">
        <f aca="false">IFERROR(100*L129/J129,"")</f>
        <v>88.6183121019108</v>
      </c>
      <c r="AN129" s="18" t="n">
        <f aca="false">IFERROR(100*M129/J129,"")</f>
        <v>4.08630573248408</v>
      </c>
      <c r="AO129" s="18" t="n">
        <f aca="false">IFERROR(100*N129/J129,"")</f>
        <v>2.81019108280255</v>
      </c>
    </row>
    <row r="130" customFormat="false" ht="15" hidden="false" customHeight="false" outlineLevel="0" collapsed="false">
      <c r="A130" s="17" t="n">
        <v>14134</v>
      </c>
      <c r="B130" s="23" t="n">
        <v>45838</v>
      </c>
      <c r="C130" s="17" t="s">
        <v>155</v>
      </c>
      <c r="D130" s="17" t="s">
        <v>113</v>
      </c>
      <c r="E130" s="17" t="s">
        <v>118</v>
      </c>
      <c r="F130" s="17" t="n">
        <v>882477</v>
      </c>
      <c r="G130" s="17" t="n">
        <v>885290.333333333</v>
      </c>
      <c r="H130" s="17" t="n">
        <v>701612</v>
      </c>
      <c r="I130" s="17" t="n">
        <v>116115</v>
      </c>
      <c r="J130" s="17" t="n">
        <v>634955</v>
      </c>
      <c r="K130" s="17" t="n">
        <v>635442.666666667</v>
      </c>
      <c r="L130" s="17" t="n">
        <v>566443</v>
      </c>
      <c r="M130" s="17" t="n">
        <v>27002</v>
      </c>
      <c r="N130" s="17" t="n">
        <v>21129</v>
      </c>
      <c r="O130" s="17" t="n">
        <v>2713</v>
      </c>
      <c r="P130" s="17" t="n">
        <v>5310</v>
      </c>
      <c r="Q130" s="17" t="n">
        <v>0</v>
      </c>
      <c r="R130" s="17" t="n">
        <v>392</v>
      </c>
      <c r="S130" s="17" t="n">
        <v>118413</v>
      </c>
      <c r="T130" s="17" t="n">
        <v>574772</v>
      </c>
      <c r="U130" s="17" t="n">
        <v>5402</v>
      </c>
      <c r="V130" s="17" t="n">
        <v>0.610195299395189</v>
      </c>
      <c r="W130" s="17" t="n">
        <v>4.75</v>
      </c>
      <c r="X130" s="17" t="n">
        <v>3.10929848158763</v>
      </c>
      <c r="Y130" s="17" t="n">
        <v>1.12165429046153</v>
      </c>
      <c r="Z130" s="17" t="n">
        <v>20.6017342528864</v>
      </c>
      <c r="AA130" s="17" t="n">
        <v>13.1578500062891</v>
      </c>
      <c r="AB130" s="17" t="n">
        <v>4.68304232863859</v>
      </c>
      <c r="AC130" s="17" t="n">
        <v>0.920427742210306</v>
      </c>
      <c r="AD130" s="17" t="n">
        <v>5.98496658569891</v>
      </c>
      <c r="AE130" s="17" t="n">
        <v>-0.290759159569532</v>
      </c>
      <c r="AF130" s="17" t="n">
        <v>-0.865525019400594</v>
      </c>
      <c r="AG130" s="18" t="n">
        <f aca="false">IFERROR(100*O130/F130,"")</f>
        <v>0.307430108660056</v>
      </c>
      <c r="AH130" s="18" t="n">
        <f aca="false">IFERROR(100*(P130+Q130)/F130,"")</f>
        <v>0.601715398814927</v>
      </c>
      <c r="AI130" s="18" t="n">
        <f aca="false">IFERROR(100*R130/K130,"")</f>
        <v>0.0616892790747448</v>
      </c>
      <c r="AJ130" s="18" t="n">
        <f aca="false">IF(T130&gt;0,100*S130/T130,"")</f>
        <v>20.6017342528864</v>
      </c>
      <c r="AK130" s="18" t="n">
        <f aca="false">IFERROR(100*U130/G130,"")</f>
        <v>0.610195299395189</v>
      </c>
      <c r="AL130" s="18" t="n">
        <f aca="false">IFERROR(100*J130/H130,"")</f>
        <v>90.4994498383722</v>
      </c>
      <c r="AM130" s="18" t="n">
        <f aca="false">IFERROR(100*L130/J130,"")</f>
        <v>89.2099440117804</v>
      </c>
      <c r="AN130" s="18" t="n">
        <f aca="false">IFERROR(100*M130/J130,"")</f>
        <v>4.25258482884614</v>
      </c>
      <c r="AO130" s="18" t="n">
        <f aca="false">IFERROR(100*N130/J130,"")</f>
        <v>3.32763739162618</v>
      </c>
    </row>
    <row r="131" customFormat="false" ht="15" hidden="false" customHeight="false" outlineLevel="0" collapsed="false">
      <c r="A131" s="17" t="n">
        <v>14136</v>
      </c>
      <c r="B131" s="23" t="n">
        <v>44651</v>
      </c>
      <c r="C131" s="17" t="s">
        <v>153</v>
      </c>
      <c r="D131" s="17" t="s">
        <v>113</v>
      </c>
      <c r="E131" s="17" t="s">
        <v>111</v>
      </c>
      <c r="F131" s="17" t="n">
        <v>222692</v>
      </c>
      <c r="G131" s="17" t="n">
        <v>222501.5</v>
      </c>
      <c r="H131" s="17" t="n">
        <v>199279</v>
      </c>
      <c r="I131" s="17" t="n">
        <v>18834</v>
      </c>
      <c r="J131" s="17" t="n">
        <v>121199</v>
      </c>
      <c r="K131" s="17" t="n">
        <v>120566.5</v>
      </c>
      <c r="L131" s="17" t="n">
        <v>96809</v>
      </c>
      <c r="M131" s="17" t="n">
        <v>12518</v>
      </c>
      <c r="N131" s="17" t="n">
        <v>11422</v>
      </c>
      <c r="O131" s="17" t="n">
        <v>174</v>
      </c>
      <c r="P131" s="17" t="n">
        <v>803</v>
      </c>
      <c r="Q131" s="17" t="n">
        <v>639</v>
      </c>
      <c r="R131" s="17" t="n">
        <v>28</v>
      </c>
      <c r="S131" s="17" t="n">
        <v>23784</v>
      </c>
      <c r="T131" s="17" t="n">
        <v>137669</v>
      </c>
      <c r="U131" s="17" t="n">
        <v>444</v>
      </c>
      <c r="V131" s="17" t="n">
        <v>0.199549216522136</v>
      </c>
      <c r="W131" s="17" t="n">
        <v>2.14</v>
      </c>
      <c r="X131" s="17" t="n">
        <v>3.42236997582913</v>
      </c>
      <c r="Y131" s="17" t="n">
        <v>1.15017450639032</v>
      </c>
      <c r="Z131" s="17" t="n">
        <v>17.2762204998947</v>
      </c>
      <c r="AA131" s="17" t="n">
        <v>8.45742101198067</v>
      </c>
      <c r="AB131" s="17"/>
      <c r="AC131" s="17"/>
      <c r="AD131" s="17"/>
      <c r="AE131" s="17"/>
      <c r="AF131" s="17"/>
      <c r="AG131" s="18" t="n">
        <f aca="false">IFERROR(100*O131/F131,"")</f>
        <v>0.0781348229842114</v>
      </c>
      <c r="AH131" s="18" t="n">
        <f aca="false">IFERROR(100*(P131+Q131)/F131,"")</f>
        <v>0.647531119213982</v>
      </c>
      <c r="AI131" s="18" t="n">
        <f aca="false">IFERROR(100*R131/K131,"")</f>
        <v>0.0232236981251011</v>
      </c>
      <c r="AJ131" s="18" t="n">
        <f aca="false">IF(T131&gt;0,100*S131/T131,"")</f>
        <v>17.2762204998947</v>
      </c>
      <c r="AK131" s="18" t="n">
        <f aca="false">IFERROR(100*U131/G131,"")</f>
        <v>0.199549216522136</v>
      </c>
      <c r="AL131" s="18" t="n">
        <f aca="false">IFERROR(100*J131/H131,"")</f>
        <v>60.8187515995163</v>
      </c>
      <c r="AM131" s="18" t="n">
        <f aca="false">IFERROR(100*L131/J131,"")</f>
        <v>79.8760715847491</v>
      </c>
      <c r="AN131" s="18" t="n">
        <f aca="false">IFERROR(100*M131/J131,"")</f>
        <v>10.3284680566671</v>
      </c>
      <c r="AO131" s="18" t="n">
        <f aca="false">IFERROR(100*N131/J131,"")</f>
        <v>9.42417016642052</v>
      </c>
    </row>
    <row r="132" customFormat="false" ht="15" hidden="false" customHeight="false" outlineLevel="0" collapsed="false">
      <c r="A132" s="17" t="n">
        <v>14136</v>
      </c>
      <c r="B132" s="23" t="n">
        <v>44742</v>
      </c>
      <c r="C132" s="17" t="s">
        <v>153</v>
      </c>
      <c r="D132" s="17" t="s">
        <v>113</v>
      </c>
      <c r="E132" s="17" t="s">
        <v>111</v>
      </c>
      <c r="F132" s="17" t="n">
        <v>222750</v>
      </c>
      <c r="G132" s="17" t="n">
        <v>222584.333333333</v>
      </c>
      <c r="H132" s="17" t="n">
        <v>202215</v>
      </c>
      <c r="I132" s="17" t="n">
        <v>16002</v>
      </c>
      <c r="J132" s="17" t="n">
        <v>128959</v>
      </c>
      <c r="K132" s="17" t="n">
        <v>123364</v>
      </c>
      <c r="L132" s="17" t="n">
        <v>102631</v>
      </c>
      <c r="M132" s="17" t="n">
        <v>13764</v>
      </c>
      <c r="N132" s="17" t="n">
        <v>12183</v>
      </c>
      <c r="O132" s="17" t="n">
        <v>126</v>
      </c>
      <c r="P132" s="17" t="n">
        <v>887</v>
      </c>
      <c r="Q132" s="17" t="n">
        <v>717</v>
      </c>
      <c r="R132" s="17" t="n">
        <v>26</v>
      </c>
      <c r="S132" s="17" t="n">
        <v>24014</v>
      </c>
      <c r="T132" s="17" t="n">
        <v>143077</v>
      </c>
      <c r="U132" s="17" t="n">
        <v>694</v>
      </c>
      <c r="V132" s="17" t="n">
        <v>0.311791935041849</v>
      </c>
      <c r="W132" s="17" t="n">
        <v>3.62</v>
      </c>
      <c r="X132" s="17" t="n">
        <v>3.47918730744697</v>
      </c>
      <c r="Y132" s="17" t="n">
        <v>1.07631107561318</v>
      </c>
      <c r="Z132" s="17" t="n">
        <v>16.7839694709842</v>
      </c>
      <c r="AA132" s="17" t="n">
        <v>7.18383838383838</v>
      </c>
      <c r="AB132" s="17"/>
      <c r="AC132" s="17"/>
      <c r="AD132" s="17"/>
      <c r="AE132" s="17"/>
      <c r="AF132" s="17"/>
      <c r="AG132" s="18" t="n">
        <f aca="false">IFERROR(100*O132/F132,"")</f>
        <v>0.0565656565656566</v>
      </c>
      <c r="AH132" s="18" t="n">
        <f aca="false">IFERROR(100*(P132+Q132)/F132,"")</f>
        <v>0.720089786756453</v>
      </c>
      <c r="AI132" s="18" t="n">
        <f aca="false">IFERROR(100*R132/K132,"")</f>
        <v>0.0210758406017963</v>
      </c>
      <c r="AJ132" s="18" t="n">
        <f aca="false">IF(T132&gt;0,100*S132/T132,"")</f>
        <v>16.7839694709842</v>
      </c>
      <c r="AK132" s="18" t="n">
        <f aca="false">IFERROR(100*U132/G132,"")</f>
        <v>0.311791935041849</v>
      </c>
      <c r="AL132" s="18" t="n">
        <f aca="false">IFERROR(100*J132/H132,"")</f>
        <v>63.773211680637</v>
      </c>
      <c r="AM132" s="18" t="n">
        <f aca="false">IFERROR(100*L132/J132,"")</f>
        <v>79.5842089346226</v>
      </c>
      <c r="AN132" s="18" t="n">
        <f aca="false">IFERROR(100*M132/J132,"")</f>
        <v>10.673159686412</v>
      </c>
      <c r="AO132" s="18" t="n">
        <f aca="false">IFERROR(100*N132/J132,"")</f>
        <v>9.44718864135113</v>
      </c>
    </row>
    <row r="133" customFormat="false" ht="15" hidden="false" customHeight="false" outlineLevel="0" collapsed="false">
      <c r="A133" s="17" t="n">
        <v>14136</v>
      </c>
      <c r="B133" s="23" t="n">
        <v>44834</v>
      </c>
      <c r="C133" s="17" t="s">
        <v>153</v>
      </c>
      <c r="D133" s="17" t="s">
        <v>113</v>
      </c>
      <c r="E133" s="17" t="s">
        <v>111</v>
      </c>
      <c r="F133" s="17" t="n">
        <v>225735</v>
      </c>
      <c r="G133" s="17" t="n">
        <v>223372</v>
      </c>
      <c r="H133" s="17" t="n">
        <v>207393</v>
      </c>
      <c r="I133" s="17" t="n">
        <v>14034</v>
      </c>
      <c r="J133" s="17" t="n">
        <v>132371</v>
      </c>
      <c r="K133" s="17" t="n">
        <v>125615.75</v>
      </c>
      <c r="L133" s="17" t="n">
        <v>106837</v>
      </c>
      <c r="M133" s="17" t="n">
        <v>12989</v>
      </c>
      <c r="N133" s="17" t="n">
        <v>12223</v>
      </c>
      <c r="O133" s="17" t="n">
        <v>110</v>
      </c>
      <c r="P133" s="17" t="n">
        <v>458</v>
      </c>
      <c r="Q133" s="17" t="n">
        <v>709</v>
      </c>
      <c r="R133" s="17" t="n">
        <v>118.6637</v>
      </c>
      <c r="S133" s="17" t="n">
        <v>24249</v>
      </c>
      <c r="T133" s="17" t="n">
        <v>141681</v>
      </c>
      <c r="U133" s="17" t="n">
        <v>878.6447</v>
      </c>
      <c r="V133" s="17" t="n">
        <v>0.393354896764142</v>
      </c>
      <c r="W133" s="17" t="n">
        <v>4.91</v>
      </c>
      <c r="X133" s="17" t="n">
        <v>3.58575597517997</v>
      </c>
      <c r="Y133" s="17" t="n">
        <v>0.991153651479554</v>
      </c>
      <c r="Z133" s="17" t="n">
        <v>17.115209519978</v>
      </c>
      <c r="AA133" s="17" t="n">
        <v>6.21702438700246</v>
      </c>
      <c r="AB133" s="17"/>
      <c r="AC133" s="17"/>
      <c r="AD133" s="17"/>
      <c r="AE133" s="17"/>
      <c r="AF133" s="17"/>
      <c r="AG133" s="18" t="n">
        <f aca="false">IFERROR(100*O133/F133,"")</f>
        <v>0.0487297051852836</v>
      </c>
      <c r="AH133" s="18" t="n">
        <f aca="false">IFERROR(100*(P133+Q133)/F133,"")</f>
        <v>0.516977872283873</v>
      </c>
      <c r="AI133" s="18" t="n">
        <f aca="false">IFERROR(100*R133/K133,"")</f>
        <v>0.0944656223443318</v>
      </c>
      <c r="AJ133" s="18" t="n">
        <f aca="false">IF(T133&gt;0,100*S133/T133,"")</f>
        <v>17.115209519978</v>
      </c>
      <c r="AK133" s="18" t="n">
        <f aca="false">IFERROR(100*U133/G133,"")</f>
        <v>0.393354896764142</v>
      </c>
      <c r="AL133" s="18" t="n">
        <f aca="false">IFERROR(100*J133/H133,"")</f>
        <v>63.8261657818731</v>
      </c>
      <c r="AM133" s="18" t="n">
        <f aca="false">IFERROR(100*L133/J133,"")</f>
        <v>80.7102764200618</v>
      </c>
      <c r="AN133" s="18" t="n">
        <f aca="false">IFERROR(100*M133/J133,"")</f>
        <v>9.81257224014323</v>
      </c>
      <c r="AO133" s="18" t="n">
        <f aca="false">IFERROR(100*N133/J133,"")</f>
        <v>9.23389564179465</v>
      </c>
    </row>
    <row r="134" customFormat="false" ht="15" hidden="false" customHeight="false" outlineLevel="0" collapsed="false">
      <c r="A134" s="17" t="n">
        <v>14136</v>
      </c>
      <c r="B134" s="23" t="n">
        <v>44926</v>
      </c>
      <c r="C134" s="17" t="s">
        <v>153</v>
      </c>
      <c r="D134" s="17" t="s">
        <v>113</v>
      </c>
      <c r="E134" s="17" t="s">
        <v>111</v>
      </c>
      <c r="F134" s="17" t="n">
        <v>228201</v>
      </c>
      <c r="G134" s="17" t="n">
        <v>224337.8</v>
      </c>
      <c r="H134" s="17" t="n">
        <v>209378</v>
      </c>
      <c r="I134" s="17" t="n">
        <v>14622</v>
      </c>
      <c r="J134" s="17" t="n">
        <v>139954</v>
      </c>
      <c r="K134" s="17" t="n">
        <v>128483.4</v>
      </c>
      <c r="L134" s="17" t="n">
        <v>113932</v>
      </c>
      <c r="M134" s="17" t="n">
        <v>13222</v>
      </c>
      <c r="N134" s="17" t="n">
        <v>12457</v>
      </c>
      <c r="O134" s="17" t="n">
        <v>107</v>
      </c>
      <c r="P134" s="17" t="n">
        <v>1094</v>
      </c>
      <c r="Q134" s="17" t="n">
        <v>670</v>
      </c>
      <c r="R134" s="17" t="n">
        <v>90</v>
      </c>
      <c r="S134" s="17" t="n">
        <v>24761</v>
      </c>
      <c r="T134" s="17" t="n">
        <v>140153</v>
      </c>
      <c r="U134" s="17" t="n">
        <v>1043</v>
      </c>
      <c r="V134" s="17" t="n">
        <v>0.464923878187269</v>
      </c>
      <c r="W134" s="17" t="n">
        <v>6.05</v>
      </c>
      <c r="X134" s="17" t="n">
        <v>3.71178604169158</v>
      </c>
      <c r="Y134" s="17" t="n">
        <v>0.958171970790403</v>
      </c>
      <c r="Z134" s="17" t="n">
        <v>17.6671209321242</v>
      </c>
      <c r="AA134" s="17" t="n">
        <v>6.4075091695479</v>
      </c>
      <c r="AB134" s="17"/>
      <c r="AC134" s="17"/>
      <c r="AD134" s="17"/>
      <c r="AE134" s="17"/>
      <c r="AF134" s="17"/>
      <c r="AG134" s="18" t="n">
        <f aca="false">IFERROR(100*O134/F134,"")</f>
        <v>0.0468884886569296</v>
      </c>
      <c r="AH134" s="18" t="n">
        <f aca="false">IFERROR(100*(P134+Q134)/F134,"")</f>
        <v>0.773002747577793</v>
      </c>
      <c r="AI134" s="18" t="n">
        <f aca="false">IFERROR(100*R134/K134,"")</f>
        <v>0.0700479595029397</v>
      </c>
      <c r="AJ134" s="18" t="n">
        <f aca="false">IF(T134&gt;0,100*S134/T134,"")</f>
        <v>17.6671209321242</v>
      </c>
      <c r="AK134" s="18" t="n">
        <f aca="false">IFERROR(100*U134/G134,"")</f>
        <v>0.464923878187269</v>
      </c>
      <c r="AL134" s="18" t="n">
        <f aca="false">IFERROR(100*J134/H134,"")</f>
        <v>66.8427437457613</v>
      </c>
      <c r="AM134" s="18" t="n">
        <f aca="false">IFERROR(100*L134/J134,"")</f>
        <v>81.4067479314632</v>
      </c>
      <c r="AN134" s="18" t="n">
        <f aca="false">IFERROR(100*M134/J134,"")</f>
        <v>9.44738985666719</v>
      </c>
      <c r="AO134" s="18" t="n">
        <f aca="false">IFERROR(100*N134/J134,"")</f>
        <v>8.90078168541092</v>
      </c>
    </row>
    <row r="135" customFormat="false" ht="15" hidden="false" customHeight="false" outlineLevel="0" collapsed="false">
      <c r="A135" s="17" t="n">
        <v>14136</v>
      </c>
      <c r="B135" s="23" t="n">
        <v>45016</v>
      </c>
      <c r="C135" s="17" t="s">
        <v>153</v>
      </c>
      <c r="D135" s="17" t="s">
        <v>113</v>
      </c>
      <c r="E135" s="17" t="s">
        <v>111</v>
      </c>
      <c r="F135" s="17" t="n">
        <v>223596</v>
      </c>
      <c r="G135" s="17" t="n">
        <v>225898.5</v>
      </c>
      <c r="H135" s="17" t="n">
        <v>203232</v>
      </c>
      <c r="I135" s="17" t="n">
        <v>15756</v>
      </c>
      <c r="J135" s="17" t="n">
        <v>144100</v>
      </c>
      <c r="K135" s="17" t="n">
        <v>142027</v>
      </c>
      <c r="L135" s="17" t="n">
        <v>115852</v>
      </c>
      <c r="M135" s="17" t="n">
        <v>13072</v>
      </c>
      <c r="N135" s="17" t="n">
        <v>14836</v>
      </c>
      <c r="O135" s="17" t="n">
        <v>73</v>
      </c>
      <c r="P135" s="17" t="n">
        <v>1355</v>
      </c>
      <c r="Q135" s="17" t="n">
        <v>256</v>
      </c>
      <c r="R135" s="17" t="n">
        <v>24</v>
      </c>
      <c r="S135" s="17" t="n">
        <v>25200</v>
      </c>
      <c r="T135" s="17" t="n">
        <v>142671</v>
      </c>
      <c r="U135" s="17" t="n">
        <v>1268</v>
      </c>
      <c r="V135" s="17" t="n">
        <v>0.561314041483233</v>
      </c>
      <c r="W135" s="17" t="n">
        <v>8.35</v>
      </c>
      <c r="X135" s="17" t="n">
        <v>4.1509021946044</v>
      </c>
      <c r="Y135" s="17" t="n">
        <v>1.31991672449688</v>
      </c>
      <c r="Z135" s="17" t="n">
        <v>17.6630149084257</v>
      </c>
      <c r="AA135" s="17" t="n">
        <v>7.04663768582622</v>
      </c>
      <c r="AB135" s="17" t="n">
        <v>0.405941838952462</v>
      </c>
      <c r="AC135" s="17" t="n">
        <v>18.8953704238484</v>
      </c>
      <c r="AD135" s="17" t="n">
        <v>1.98365106207878</v>
      </c>
      <c r="AE135" s="17" t="n">
        <v>0.361764824961097</v>
      </c>
      <c r="AF135" s="17" t="n">
        <v>-0.0454866539650876</v>
      </c>
      <c r="AG135" s="18" t="n">
        <f aca="false">IFERROR(100*O135/F135,"")</f>
        <v>0.0326481690191238</v>
      </c>
      <c r="AH135" s="18" t="n">
        <f aca="false">IFERROR(100*(P135+Q135)/F135,"")</f>
        <v>0.720495894380937</v>
      </c>
      <c r="AI135" s="18" t="n">
        <f aca="false">IFERROR(100*R135/K135,"")</f>
        <v>0.0168981954135481</v>
      </c>
      <c r="AJ135" s="18" t="n">
        <f aca="false">IF(T135&gt;0,100*S135/T135,"")</f>
        <v>17.6630149084257</v>
      </c>
      <c r="AK135" s="18" t="n">
        <f aca="false">IFERROR(100*U135/G135,"")</f>
        <v>0.561314041483233</v>
      </c>
      <c r="AL135" s="18" t="n">
        <f aca="false">IFERROR(100*J135/H135,"")</f>
        <v>70.9041883168005</v>
      </c>
      <c r="AM135" s="18" t="n">
        <f aca="false">IFERROR(100*L135/J135,"")</f>
        <v>80.3969465648855</v>
      </c>
      <c r="AN135" s="18" t="n">
        <f aca="false">IFERROR(100*M135/J135,"")</f>
        <v>9.07147814018043</v>
      </c>
      <c r="AO135" s="18" t="n">
        <f aca="false">IFERROR(100*N135/J135,"")</f>
        <v>10.2956280360861</v>
      </c>
    </row>
    <row r="136" customFormat="false" ht="15" hidden="false" customHeight="false" outlineLevel="0" collapsed="false">
      <c r="A136" s="17" t="n">
        <v>14136</v>
      </c>
      <c r="B136" s="23" t="n">
        <v>45107</v>
      </c>
      <c r="C136" s="17" t="s">
        <v>153</v>
      </c>
      <c r="D136" s="17" t="s">
        <v>113</v>
      </c>
      <c r="E136" s="17" t="s">
        <v>111</v>
      </c>
      <c r="F136" s="17" t="n">
        <v>231428</v>
      </c>
      <c r="G136" s="17" t="n">
        <v>227741.666666667</v>
      </c>
      <c r="H136" s="17" t="n">
        <v>199035</v>
      </c>
      <c r="I136" s="17" t="n">
        <v>15826</v>
      </c>
      <c r="J136" s="17" t="n">
        <v>146930</v>
      </c>
      <c r="K136" s="17" t="n">
        <v>143661.333333333</v>
      </c>
      <c r="L136" s="17" t="n">
        <v>118077</v>
      </c>
      <c r="M136" s="17" t="n">
        <v>13599</v>
      </c>
      <c r="N136" s="17" t="n">
        <v>14936</v>
      </c>
      <c r="O136" s="17" t="n">
        <v>71</v>
      </c>
      <c r="P136" s="17" t="n">
        <v>1765</v>
      </c>
      <c r="Q136" s="17" t="n">
        <v>660</v>
      </c>
      <c r="R136" s="17" t="n">
        <v>42</v>
      </c>
      <c r="S136" s="17" t="n">
        <v>25905</v>
      </c>
      <c r="T136" s="17" t="n">
        <v>148720</v>
      </c>
      <c r="U136" s="17" t="n">
        <v>1500</v>
      </c>
      <c r="V136" s="17" t="n">
        <v>0.65864100406162</v>
      </c>
      <c r="W136" s="17" t="n">
        <v>9.74</v>
      </c>
      <c r="X136" s="17" t="n">
        <v>4.11601446727282</v>
      </c>
      <c r="Y136" s="17" t="n">
        <v>1.30946709317362</v>
      </c>
      <c r="Z136" s="17" t="n">
        <v>17.4186390532544</v>
      </c>
      <c r="AA136" s="17" t="n">
        <v>6.83841194669616</v>
      </c>
      <c r="AB136" s="17" t="n">
        <v>3.89584736251403</v>
      </c>
      <c r="AC136" s="17" t="n">
        <v>13.9354368442683</v>
      </c>
      <c r="AD136" s="17" t="n">
        <v>-1.57258363622876</v>
      </c>
      <c r="AE136" s="17" t="n">
        <v>0.34684906901977</v>
      </c>
      <c r="AF136" s="17" t="n">
        <v>-0.0258865684691428</v>
      </c>
      <c r="AG136" s="18" t="n">
        <f aca="false">IFERROR(100*O136/F136,"")</f>
        <v>0.0306790880965138</v>
      </c>
      <c r="AH136" s="18" t="n">
        <f aca="false">IFERROR(100*(P136+Q136)/F136,"")</f>
        <v>1.04784209343727</v>
      </c>
      <c r="AI136" s="18" t="n">
        <f aca="false">IFERROR(100*R136/K136,"")</f>
        <v>0.0292354240528651</v>
      </c>
      <c r="AJ136" s="18" t="n">
        <f aca="false">IF(T136&gt;0,100*S136/T136,"")</f>
        <v>17.4186390532544</v>
      </c>
      <c r="AK136" s="18" t="n">
        <f aca="false">IFERROR(100*U136/G136,"")</f>
        <v>0.65864100406162</v>
      </c>
      <c r="AL136" s="18" t="n">
        <f aca="false">IFERROR(100*J136/H136,"")</f>
        <v>73.8211872283769</v>
      </c>
      <c r="AM136" s="18" t="n">
        <f aca="false">IFERROR(100*L136/J136,"")</f>
        <v>80.3627577758116</v>
      </c>
      <c r="AN136" s="18" t="n">
        <f aca="false">IFERROR(100*M136/J136,"")</f>
        <v>9.25542775471313</v>
      </c>
      <c r="AO136" s="18" t="n">
        <f aca="false">IFERROR(100*N136/J136,"")</f>
        <v>10.1653848771524</v>
      </c>
    </row>
    <row r="137" customFormat="false" ht="15" hidden="false" customHeight="false" outlineLevel="0" collapsed="false">
      <c r="A137" s="17" t="n">
        <v>14136</v>
      </c>
      <c r="B137" s="23" t="n">
        <v>45199</v>
      </c>
      <c r="C137" s="17" t="s">
        <v>153</v>
      </c>
      <c r="D137" s="17" t="s">
        <v>113</v>
      </c>
      <c r="E137" s="17" t="s">
        <v>111</v>
      </c>
      <c r="F137" s="17" t="n">
        <v>226042</v>
      </c>
      <c r="G137" s="17" t="n">
        <v>227316.75</v>
      </c>
      <c r="H137" s="17" t="n">
        <v>193047</v>
      </c>
      <c r="I137" s="17" t="n">
        <v>14702</v>
      </c>
      <c r="J137" s="17" t="n">
        <v>146706</v>
      </c>
      <c r="K137" s="17" t="n">
        <v>144422.5</v>
      </c>
      <c r="L137" s="17" t="n">
        <v>117617</v>
      </c>
      <c r="M137" s="17" t="n">
        <v>14059</v>
      </c>
      <c r="N137" s="17" t="n">
        <v>14729</v>
      </c>
      <c r="O137" s="17" t="n">
        <v>83</v>
      </c>
      <c r="P137" s="17" t="n">
        <v>546</v>
      </c>
      <c r="Q137" s="17" t="n">
        <v>734</v>
      </c>
      <c r="R137" s="17" t="n">
        <v>98.6642</v>
      </c>
      <c r="S137" s="17" t="n">
        <v>26267</v>
      </c>
      <c r="T137" s="17" t="n">
        <v>148571</v>
      </c>
      <c r="U137" s="17" t="n">
        <v>1494.6293</v>
      </c>
      <c r="V137" s="17" t="n">
        <v>0.657509532403573</v>
      </c>
      <c r="W137" s="17" t="n">
        <v>9.82</v>
      </c>
      <c r="X137" s="17" t="n">
        <v>4.07799974023827</v>
      </c>
      <c r="Y137" s="17" t="n">
        <v>1.29442558586561</v>
      </c>
      <c r="Z137" s="17" t="n">
        <v>17.6797625377766</v>
      </c>
      <c r="AA137" s="17" t="n">
        <v>6.50410100777732</v>
      </c>
      <c r="AB137" s="17" t="n">
        <v>0.136000177198925</v>
      </c>
      <c r="AC137" s="17" t="n">
        <v>10.8294112758837</v>
      </c>
      <c r="AD137" s="17" t="n">
        <v>-6.91730193400935</v>
      </c>
      <c r="AE137" s="17" t="n">
        <v>0.264154635639431</v>
      </c>
      <c r="AF137" s="17" t="n">
        <v>-0.012010865323665</v>
      </c>
      <c r="AG137" s="18" t="n">
        <f aca="false">IFERROR(100*O137/F137,"")</f>
        <v>0.0367188398616186</v>
      </c>
      <c r="AH137" s="18" t="n">
        <f aca="false">IFERROR(100*(P137+Q137)/F137,"")</f>
        <v>0.566266446058697</v>
      </c>
      <c r="AI137" s="18" t="n">
        <f aca="false">IFERROR(100*R137/K137,"")</f>
        <v>0.0683163634475238</v>
      </c>
      <c r="AJ137" s="18" t="n">
        <f aca="false">IF(T137&gt;0,100*S137/T137,"")</f>
        <v>17.6797625377766</v>
      </c>
      <c r="AK137" s="18" t="n">
        <f aca="false">IFERROR(100*U137/G137,"")</f>
        <v>0.657509532403573</v>
      </c>
      <c r="AL137" s="18" t="n">
        <f aca="false">IFERROR(100*J137/H137,"")</f>
        <v>75.9949649567204</v>
      </c>
      <c r="AM137" s="18" t="n">
        <f aca="false">IFERROR(100*L137/J137,"")</f>
        <v>80.1719084427358</v>
      </c>
      <c r="AN137" s="18" t="n">
        <f aca="false">IFERROR(100*M137/J137,"")</f>
        <v>9.58311180183496</v>
      </c>
      <c r="AO137" s="18" t="n">
        <f aca="false">IFERROR(100*N137/J137,"")</f>
        <v>10.0398075061688</v>
      </c>
    </row>
    <row r="138" customFormat="false" ht="15" hidden="false" customHeight="false" outlineLevel="0" collapsed="false">
      <c r="A138" s="17" t="n">
        <v>14136</v>
      </c>
      <c r="B138" s="23" t="n">
        <v>45291</v>
      </c>
      <c r="C138" s="17" t="s">
        <v>153</v>
      </c>
      <c r="D138" s="17" t="s">
        <v>113</v>
      </c>
      <c r="E138" s="17" t="s">
        <v>111</v>
      </c>
      <c r="F138" s="17" t="n">
        <v>233858</v>
      </c>
      <c r="G138" s="17" t="n">
        <v>228625</v>
      </c>
      <c r="H138" s="17" t="n">
        <v>193772</v>
      </c>
      <c r="I138" s="17" t="n">
        <v>17016</v>
      </c>
      <c r="J138" s="17" t="n">
        <v>152988</v>
      </c>
      <c r="K138" s="17" t="n">
        <v>146135.6</v>
      </c>
      <c r="L138" s="17" t="n">
        <v>123494</v>
      </c>
      <c r="M138" s="17" t="n">
        <v>14469</v>
      </c>
      <c r="N138" s="17" t="n">
        <v>14725</v>
      </c>
      <c r="O138" s="17" t="n">
        <v>6</v>
      </c>
      <c r="P138" s="17" t="n">
        <v>1094</v>
      </c>
      <c r="Q138" s="17" t="n">
        <v>507</v>
      </c>
      <c r="R138" s="17" t="n">
        <v>93</v>
      </c>
      <c r="S138" s="17" t="n">
        <v>26490</v>
      </c>
      <c r="T138" s="17" t="n">
        <v>150796</v>
      </c>
      <c r="U138" s="17" t="n">
        <v>1359</v>
      </c>
      <c r="V138" s="17" t="n">
        <v>0.594423182066703</v>
      </c>
      <c r="W138" s="17" t="n">
        <v>8.72</v>
      </c>
      <c r="X138" s="17" t="n">
        <v>4.02120098867828</v>
      </c>
      <c r="Y138" s="17" t="n">
        <v>1.25238580803723</v>
      </c>
      <c r="Z138" s="17" t="n">
        <v>17.5667789596541</v>
      </c>
      <c r="AA138" s="17" t="n">
        <v>7.27621034987043</v>
      </c>
      <c r="AB138" s="17" t="n">
        <v>2.47895495637618</v>
      </c>
      <c r="AC138" s="17" t="n">
        <v>9.31306000543035</v>
      </c>
      <c r="AD138" s="17" t="n">
        <v>-7.45350514380689</v>
      </c>
      <c r="AE138" s="17" t="n">
        <v>0.129499303879434</v>
      </c>
      <c r="AF138" s="17" t="n">
        <v>-0.0443228291541545</v>
      </c>
      <c r="AG138" s="18" t="n">
        <f aca="false">IFERROR(100*O138/F138,"")</f>
        <v>0.00256565950277519</v>
      </c>
      <c r="AH138" s="18" t="n">
        <f aca="false">IFERROR(100*(P138+Q138)/F138,"")</f>
        <v>0.684603477323846</v>
      </c>
      <c r="AI138" s="18" t="n">
        <f aca="false">IFERROR(100*R138/K138,"")</f>
        <v>0.0636395238395025</v>
      </c>
      <c r="AJ138" s="18" t="n">
        <f aca="false">IF(T138&gt;0,100*S138/T138,"")</f>
        <v>17.5667789596541</v>
      </c>
      <c r="AK138" s="18" t="n">
        <f aca="false">IFERROR(100*U138/G138,"")</f>
        <v>0.594423182066703</v>
      </c>
      <c r="AL138" s="18" t="n">
        <f aca="false">IFERROR(100*J138/H138,"")</f>
        <v>78.9525834485891</v>
      </c>
      <c r="AM138" s="18" t="n">
        <f aca="false">IFERROR(100*L138/J138,"")</f>
        <v>80.7213637670928</v>
      </c>
      <c r="AN138" s="18" t="n">
        <f aca="false">IFERROR(100*M138/J138,"")</f>
        <v>9.45760451800141</v>
      </c>
      <c r="AO138" s="18" t="n">
        <f aca="false">IFERROR(100*N138/J138,"")</f>
        <v>9.62493790362643</v>
      </c>
    </row>
    <row r="139" customFormat="false" ht="15" hidden="false" customHeight="false" outlineLevel="0" collapsed="false">
      <c r="A139" s="17" t="n">
        <v>14136</v>
      </c>
      <c r="B139" s="23" t="n">
        <v>45382</v>
      </c>
      <c r="C139" s="17" t="s">
        <v>153</v>
      </c>
      <c r="D139" s="17" t="s">
        <v>113</v>
      </c>
      <c r="E139" s="17" t="s">
        <v>111</v>
      </c>
      <c r="F139" s="17" t="n">
        <v>239150</v>
      </c>
      <c r="G139" s="17" t="n">
        <v>236504</v>
      </c>
      <c r="H139" s="17" t="n">
        <v>196243</v>
      </c>
      <c r="I139" s="17" t="n">
        <v>17389</v>
      </c>
      <c r="J139" s="17" t="n">
        <v>153163</v>
      </c>
      <c r="K139" s="17" t="n">
        <v>153075.5</v>
      </c>
      <c r="L139" s="17" t="n">
        <v>123830</v>
      </c>
      <c r="M139" s="17" t="n">
        <v>14438</v>
      </c>
      <c r="N139" s="17" t="n">
        <v>14594</v>
      </c>
      <c r="O139" s="17" t="n">
        <v>502</v>
      </c>
      <c r="P139" s="17" t="n">
        <v>634</v>
      </c>
      <c r="Q139" s="17" t="n">
        <v>469</v>
      </c>
      <c r="R139" s="17" t="n">
        <v>328</v>
      </c>
      <c r="S139" s="17" t="n">
        <v>26776</v>
      </c>
      <c r="T139" s="17" t="n">
        <v>152584</v>
      </c>
      <c r="U139" s="17" t="n">
        <v>1604</v>
      </c>
      <c r="V139" s="17" t="n">
        <v>0.678212630653181</v>
      </c>
      <c r="W139" s="17" t="n">
        <v>9.32</v>
      </c>
      <c r="X139" s="17" t="n">
        <v>3.75432733834968</v>
      </c>
      <c r="Y139" s="17" t="n">
        <v>1.10535834372531</v>
      </c>
      <c r="Z139" s="17" t="n">
        <v>17.5483668012374</v>
      </c>
      <c r="AA139" s="17" t="n">
        <v>7.27116872255906</v>
      </c>
      <c r="AB139" s="17" t="n">
        <v>6.95629617703357</v>
      </c>
      <c r="AC139" s="17" t="n">
        <v>6.28938237335184</v>
      </c>
      <c r="AD139" s="17" t="n">
        <v>-3.43892694063926</v>
      </c>
      <c r="AE139" s="17" t="n">
        <v>0.116898589169949</v>
      </c>
      <c r="AF139" s="17" t="n">
        <v>0.177261929245564</v>
      </c>
      <c r="AG139" s="18" t="n">
        <f aca="false">IFERROR(100*O139/F139,"")</f>
        <v>0.209910098264687</v>
      </c>
      <c r="AH139" s="18" t="n">
        <f aca="false">IFERROR(100*(P139+Q139)/F139,"")</f>
        <v>0.461216809533765</v>
      </c>
      <c r="AI139" s="18" t="n">
        <f aca="false">IFERROR(100*R139/K139,"")</f>
        <v>0.214273348772338</v>
      </c>
      <c r="AJ139" s="18" t="n">
        <f aca="false">IF(T139&gt;0,100*S139/T139,"")</f>
        <v>17.5483668012374</v>
      </c>
      <c r="AK139" s="18" t="n">
        <f aca="false">IFERROR(100*U139/G139,"")</f>
        <v>0.678212630653181</v>
      </c>
      <c r="AL139" s="18" t="n">
        <f aca="false">IFERROR(100*J139/H139,"")</f>
        <v>78.0476246286492</v>
      </c>
      <c r="AM139" s="18" t="n">
        <f aca="false">IFERROR(100*L139/J139,"")</f>
        <v>80.8485077988809</v>
      </c>
      <c r="AN139" s="18" t="n">
        <f aca="false">IFERROR(100*M139/J139,"")</f>
        <v>9.42655863361256</v>
      </c>
      <c r="AO139" s="18" t="n">
        <f aca="false">IFERROR(100*N139/J139,"")</f>
        <v>9.52841090863982</v>
      </c>
    </row>
    <row r="140" customFormat="false" ht="15" hidden="false" customHeight="false" outlineLevel="0" collapsed="false">
      <c r="A140" s="17" t="n">
        <v>14136</v>
      </c>
      <c r="B140" s="23" t="n">
        <v>45473</v>
      </c>
      <c r="C140" s="17" t="s">
        <v>153</v>
      </c>
      <c r="D140" s="17" t="s">
        <v>113</v>
      </c>
      <c r="E140" s="17" t="s">
        <v>111</v>
      </c>
      <c r="F140" s="17" t="n">
        <v>234689</v>
      </c>
      <c r="G140" s="17" t="n">
        <v>235899</v>
      </c>
      <c r="H140" s="17" t="n">
        <v>196106</v>
      </c>
      <c r="I140" s="17" t="n">
        <v>18072</v>
      </c>
      <c r="J140" s="17" t="n">
        <v>155721</v>
      </c>
      <c r="K140" s="17" t="n">
        <v>153957.333333333</v>
      </c>
      <c r="L140" s="17" t="n">
        <v>125414</v>
      </c>
      <c r="M140" s="17" t="n">
        <v>15081</v>
      </c>
      <c r="N140" s="17" t="n">
        <v>14888</v>
      </c>
      <c r="O140" s="17" t="n">
        <v>483</v>
      </c>
      <c r="P140" s="17" t="n">
        <v>1456</v>
      </c>
      <c r="Q140" s="17" t="n">
        <v>271</v>
      </c>
      <c r="R140" s="17" t="n">
        <v>214</v>
      </c>
      <c r="S140" s="17" t="n">
        <v>27162</v>
      </c>
      <c r="T140" s="17" t="n">
        <v>151973</v>
      </c>
      <c r="U140" s="17" t="n">
        <v>1448</v>
      </c>
      <c r="V140" s="17" t="n">
        <v>0.61382201704967</v>
      </c>
      <c r="W140" s="17" t="n">
        <v>8.28</v>
      </c>
      <c r="X140" s="17" t="n">
        <v>3.75543484022213</v>
      </c>
      <c r="Y140" s="17" t="n">
        <v>1.10004431001599</v>
      </c>
      <c r="Z140" s="17" t="n">
        <v>17.8729116356195</v>
      </c>
      <c r="AA140" s="17" t="n">
        <v>7.70040351273387</v>
      </c>
      <c r="AB140" s="17" t="n">
        <v>1.4090775532779</v>
      </c>
      <c r="AC140" s="17" t="n">
        <v>5.98312121418363</v>
      </c>
      <c r="AD140" s="17" t="n">
        <v>-1.47160047227875</v>
      </c>
      <c r="AE140" s="17" t="n">
        <v>-0.04481898701195</v>
      </c>
      <c r="AF140" s="17" t="n">
        <v>0.175125189053246</v>
      </c>
      <c r="AG140" s="18" t="n">
        <f aca="false">IFERROR(100*O140/F140,"")</f>
        <v>0.20580427714976</v>
      </c>
      <c r="AH140" s="18" t="n">
        <f aca="false">IFERROR(100*(P140+Q140)/F140,"")</f>
        <v>0.735867467158665</v>
      </c>
      <c r="AI140" s="18" t="n">
        <f aca="false">IFERROR(100*R140/K140,"")</f>
        <v>0.13899954965878</v>
      </c>
      <c r="AJ140" s="18" t="n">
        <f aca="false">IF(T140&gt;0,100*S140/T140,"")</f>
        <v>17.8729116356195</v>
      </c>
      <c r="AK140" s="18" t="n">
        <f aca="false">IFERROR(100*U140/G140,"")</f>
        <v>0.61382201704967</v>
      </c>
      <c r="AL140" s="18" t="n">
        <f aca="false">IFERROR(100*J140/H140,"")</f>
        <v>79.4065454397112</v>
      </c>
      <c r="AM140" s="18" t="n">
        <f aca="false">IFERROR(100*L140/J140,"")</f>
        <v>80.5376281940137</v>
      </c>
      <c r="AN140" s="18" t="n">
        <f aca="false">IFERROR(100*M140/J140,"")</f>
        <v>9.68462827749629</v>
      </c>
      <c r="AO140" s="18" t="n">
        <f aca="false">IFERROR(100*N140/J140,"")</f>
        <v>9.56068866755287</v>
      </c>
    </row>
    <row r="141" customFormat="false" ht="15" hidden="false" customHeight="false" outlineLevel="0" collapsed="false">
      <c r="A141" s="17" t="n">
        <v>14136</v>
      </c>
      <c r="B141" s="23" t="n">
        <v>45565</v>
      </c>
      <c r="C141" s="17" t="s">
        <v>153</v>
      </c>
      <c r="D141" s="17" t="s">
        <v>113</v>
      </c>
      <c r="E141" s="17" t="s">
        <v>111</v>
      </c>
      <c r="F141" s="17" t="n">
        <v>238286</v>
      </c>
      <c r="G141" s="17" t="n">
        <v>236495.75</v>
      </c>
      <c r="H141" s="17" t="n">
        <v>200050</v>
      </c>
      <c r="I141" s="17" t="n">
        <v>19934</v>
      </c>
      <c r="J141" s="17" t="n">
        <v>158640</v>
      </c>
      <c r="K141" s="17" t="n">
        <v>155128</v>
      </c>
      <c r="L141" s="17" t="n">
        <v>128174</v>
      </c>
      <c r="M141" s="17" t="n">
        <v>14936</v>
      </c>
      <c r="N141" s="17" t="n">
        <v>15174</v>
      </c>
      <c r="O141" s="17" t="n">
        <v>517</v>
      </c>
      <c r="P141" s="17" t="n">
        <v>735</v>
      </c>
      <c r="Q141" s="17" t="n">
        <v>633</v>
      </c>
      <c r="R141" s="17" t="n">
        <v>350.6579</v>
      </c>
      <c r="S141" s="17" t="n">
        <v>27313</v>
      </c>
      <c r="T141" s="17" t="n">
        <v>151460</v>
      </c>
      <c r="U141" s="17" t="n">
        <v>1299.9675</v>
      </c>
      <c r="V141" s="17" t="n">
        <v>0.549679011145021</v>
      </c>
      <c r="W141" s="17" t="n">
        <v>7.18</v>
      </c>
      <c r="X141" s="17" t="n">
        <v>3.7688092309468</v>
      </c>
      <c r="Y141" s="17" t="n">
        <v>1.0047907211296</v>
      </c>
      <c r="Z141" s="17" t="n">
        <v>18.0331440644395</v>
      </c>
      <c r="AA141" s="17" t="n">
        <v>8.36557749930756</v>
      </c>
      <c r="AB141" s="17" t="n">
        <v>5.41669247308023</v>
      </c>
      <c r="AC141" s="17" t="n">
        <v>8.13463662017913</v>
      </c>
      <c r="AD141" s="17" t="n">
        <v>3.62761400073557</v>
      </c>
      <c r="AE141" s="17" t="n">
        <v>-0.107830521258553</v>
      </c>
      <c r="AF141" s="17" t="n">
        <v>0.180247326845616</v>
      </c>
      <c r="AG141" s="18" t="n">
        <f aca="false">IFERROR(100*O141/F141,"")</f>
        <v>0.216966166707234</v>
      </c>
      <c r="AH141" s="18" t="n">
        <f aca="false">IFERROR(100*(P141+Q141)/F141,"")</f>
        <v>0.574100031055119</v>
      </c>
      <c r="AI141" s="18" t="n">
        <f aca="false">IFERROR(100*R141/K141,"")</f>
        <v>0.226044234438657</v>
      </c>
      <c r="AJ141" s="18" t="n">
        <f aca="false">IF(T141&gt;0,100*S141/T141,"")</f>
        <v>18.0331440644395</v>
      </c>
      <c r="AK141" s="18" t="n">
        <f aca="false">IFERROR(100*U141/G141,"")</f>
        <v>0.549679011145021</v>
      </c>
      <c r="AL141" s="18" t="n">
        <f aca="false">IFERROR(100*J141/H141,"")</f>
        <v>79.3001749562609</v>
      </c>
      <c r="AM141" s="18" t="n">
        <f aca="false">IFERROR(100*L141/J141,"")</f>
        <v>80.7955118507312</v>
      </c>
      <c r="AN141" s="18" t="n">
        <f aca="false">IFERROR(100*M141/J141,"")</f>
        <v>9.41502773575391</v>
      </c>
      <c r="AO141" s="18" t="n">
        <f aca="false">IFERROR(100*N141/J141,"")</f>
        <v>9.56505295007564</v>
      </c>
    </row>
    <row r="142" customFormat="false" ht="15" hidden="false" customHeight="false" outlineLevel="0" collapsed="false">
      <c r="A142" s="17" t="n">
        <v>14136</v>
      </c>
      <c r="B142" s="23" t="n">
        <v>45657</v>
      </c>
      <c r="C142" s="17" t="s">
        <v>153</v>
      </c>
      <c r="D142" s="17" t="s">
        <v>113</v>
      </c>
      <c r="E142" s="17" t="s">
        <v>111</v>
      </c>
      <c r="F142" s="17" t="n">
        <v>237708</v>
      </c>
      <c r="G142" s="17" t="n">
        <v>236738.2</v>
      </c>
      <c r="H142" s="17" t="n">
        <v>204666</v>
      </c>
      <c r="I142" s="17" t="n">
        <v>18926</v>
      </c>
      <c r="J142" s="17" t="n">
        <v>157799</v>
      </c>
      <c r="K142" s="17" t="n">
        <v>155662.2</v>
      </c>
      <c r="L142" s="17" t="n">
        <v>125909</v>
      </c>
      <c r="M142" s="17" t="n">
        <v>16696</v>
      </c>
      <c r="N142" s="17" t="n">
        <v>14895</v>
      </c>
      <c r="O142" s="17" t="n">
        <v>510</v>
      </c>
      <c r="P142" s="17" t="n">
        <v>1061</v>
      </c>
      <c r="Q142" s="17" t="n">
        <v>714</v>
      </c>
      <c r="R142" s="17" t="n">
        <v>271</v>
      </c>
      <c r="S142" s="17" t="n">
        <v>27841</v>
      </c>
      <c r="T142" s="17" t="n">
        <v>151448</v>
      </c>
      <c r="U142" s="17" t="n">
        <v>1402</v>
      </c>
      <c r="V142" s="17" t="n">
        <v>0.592215367017237</v>
      </c>
      <c r="W142" s="17" t="n">
        <v>7.67</v>
      </c>
      <c r="X142" s="17" t="n">
        <v>3.83592993733623</v>
      </c>
      <c r="Y142" s="17" t="n">
        <v>1.03549452151154</v>
      </c>
      <c r="Z142" s="17" t="n">
        <v>18.3832074375363</v>
      </c>
      <c r="AA142" s="17" t="n">
        <v>7.96186918404093</v>
      </c>
      <c r="AB142" s="17" t="n">
        <v>1.64629818094741</v>
      </c>
      <c r="AC142" s="17" t="n">
        <v>3.14469108688262</v>
      </c>
      <c r="AD142" s="17" t="n">
        <v>5.62207130029107</v>
      </c>
      <c r="AE142" s="17" t="n">
        <v>-0.00220781504946632</v>
      </c>
      <c r="AF142" s="17" t="n">
        <v>0.211983282897144</v>
      </c>
      <c r="AG142" s="18" t="n">
        <f aca="false">IFERROR(100*O142/F142,"")</f>
        <v>0.214548942399919</v>
      </c>
      <c r="AH142" s="18" t="n">
        <f aca="false">IFERROR(100*(P142+Q142)/F142,"")</f>
        <v>0.746714456391876</v>
      </c>
      <c r="AI142" s="18" t="n">
        <f aca="false">IFERROR(100*R142/K142,"")</f>
        <v>0.174094931203593</v>
      </c>
      <c r="AJ142" s="18" t="n">
        <f aca="false">IF(T142&gt;0,100*S142/T142,"")</f>
        <v>18.3832074375363</v>
      </c>
      <c r="AK142" s="18" t="n">
        <f aca="false">IFERROR(100*U142/G142,"")</f>
        <v>0.592215367017237</v>
      </c>
      <c r="AL142" s="18" t="n">
        <f aca="false">IFERROR(100*J142/H142,"")</f>
        <v>77.1007397418233</v>
      </c>
      <c r="AM142" s="18" t="n">
        <f aca="false">IFERROR(100*L142/J142,"")</f>
        <v>79.7907464559345</v>
      </c>
      <c r="AN142" s="18" t="n">
        <f aca="false">IFERROR(100*M142/J142,"")</f>
        <v>10.5805486726785</v>
      </c>
      <c r="AO142" s="18" t="n">
        <f aca="false">IFERROR(100*N142/J142,"")</f>
        <v>9.43922331573711</v>
      </c>
    </row>
    <row r="143" customFormat="false" ht="15" hidden="false" customHeight="false" outlineLevel="0" collapsed="false">
      <c r="A143" s="17" t="n">
        <v>14136</v>
      </c>
      <c r="B143" s="23" t="n">
        <v>45747</v>
      </c>
      <c r="C143" s="17" t="s">
        <v>153</v>
      </c>
      <c r="D143" s="17" t="s">
        <v>113</v>
      </c>
      <c r="E143" s="17" t="s">
        <v>111</v>
      </c>
      <c r="F143" s="17" t="n">
        <v>238304</v>
      </c>
      <c r="G143" s="17" t="n">
        <v>238006</v>
      </c>
      <c r="H143" s="17" t="n">
        <v>203853</v>
      </c>
      <c r="I143" s="17" t="n">
        <v>20010</v>
      </c>
      <c r="J143" s="17" t="n">
        <v>159676</v>
      </c>
      <c r="K143" s="17" t="n">
        <v>158737.5</v>
      </c>
      <c r="L143" s="17" t="n">
        <v>129094</v>
      </c>
      <c r="M143" s="17" t="n">
        <v>15533</v>
      </c>
      <c r="N143" s="17" t="n">
        <v>14735</v>
      </c>
      <c r="O143" s="17" t="n">
        <v>519</v>
      </c>
      <c r="P143" s="17" t="n">
        <v>923</v>
      </c>
      <c r="Q143" s="17" t="n">
        <v>457</v>
      </c>
      <c r="R143" s="17" t="n">
        <v>76</v>
      </c>
      <c r="S143" s="17" t="n">
        <v>28282</v>
      </c>
      <c r="T143" s="17" t="n">
        <v>152289</v>
      </c>
      <c r="U143" s="17" t="n">
        <v>1548</v>
      </c>
      <c r="V143" s="17" t="n">
        <v>0.650403771333496</v>
      </c>
      <c r="W143" s="17" t="n">
        <v>7.95</v>
      </c>
      <c r="X143" s="17" t="n">
        <v>4.02615024053287</v>
      </c>
      <c r="Y143" s="17" t="n">
        <v>1.01580700919362</v>
      </c>
      <c r="Z143" s="17" t="n">
        <v>18.5712691001977</v>
      </c>
      <c r="AA143" s="17" t="n">
        <v>8.39683765274607</v>
      </c>
      <c r="AB143" s="17" t="n">
        <v>-0.35375287476479</v>
      </c>
      <c r="AC143" s="17" t="n">
        <v>4.25233248238806</v>
      </c>
      <c r="AD143" s="17" t="n">
        <v>3.87784532441922</v>
      </c>
      <c r="AE143" s="17" t="n">
        <v>-0.0278088593196855</v>
      </c>
      <c r="AF143" s="17" t="n">
        <v>0.0078789443027894</v>
      </c>
      <c r="AG143" s="18" t="n">
        <f aca="false">IFERROR(100*O143/F143,"")</f>
        <v>0.217789042567477</v>
      </c>
      <c r="AH143" s="18" t="n">
        <f aca="false">IFERROR(100*(P143+Q143)/F143,"")</f>
        <v>0.579092251913522</v>
      </c>
      <c r="AI143" s="18" t="n">
        <f aca="false">IFERROR(100*R143/K143,"")</f>
        <v>0.0478777856524136</v>
      </c>
      <c r="AJ143" s="18" t="n">
        <f aca="false">IF(T143&gt;0,100*S143/T143,"")</f>
        <v>18.5712691001977</v>
      </c>
      <c r="AK143" s="18" t="n">
        <f aca="false">IFERROR(100*U143/G143,"")</f>
        <v>0.650403771333496</v>
      </c>
      <c r="AL143" s="18" t="n">
        <f aca="false">IFERROR(100*J143/H143,"")</f>
        <v>78.3289919697037</v>
      </c>
      <c r="AM143" s="18" t="n">
        <f aca="false">IFERROR(100*L143/J143,"")</f>
        <v>80.8474661188908</v>
      </c>
      <c r="AN143" s="18" t="n">
        <f aca="false">IFERROR(100*M143/J143,"")</f>
        <v>9.72782384328265</v>
      </c>
      <c r="AO143" s="18" t="n">
        <f aca="false">IFERROR(100*N143/J143,"")</f>
        <v>9.22806182519602</v>
      </c>
    </row>
    <row r="144" customFormat="false" ht="15" hidden="false" customHeight="false" outlineLevel="0" collapsed="false">
      <c r="A144" s="17" t="n">
        <v>14136</v>
      </c>
      <c r="B144" s="23" t="n">
        <v>45838</v>
      </c>
      <c r="C144" s="17" t="s">
        <v>153</v>
      </c>
      <c r="D144" s="17" t="s">
        <v>113</v>
      </c>
      <c r="E144" s="17" t="s">
        <v>111</v>
      </c>
      <c r="F144" s="17" t="n">
        <v>247991</v>
      </c>
      <c r="G144" s="17" t="n">
        <v>241334.333333333</v>
      </c>
      <c r="H144" s="17" t="n">
        <v>212734</v>
      </c>
      <c r="I144" s="17" t="n">
        <v>20696</v>
      </c>
      <c r="J144" s="17" t="n">
        <v>165788</v>
      </c>
      <c r="K144" s="17" t="n">
        <v>161087.666666667</v>
      </c>
      <c r="L144" s="17" t="n">
        <v>133756</v>
      </c>
      <c r="M144" s="17" t="n">
        <v>16458</v>
      </c>
      <c r="N144" s="17" t="n">
        <v>15166</v>
      </c>
      <c r="O144" s="17" t="n">
        <v>543</v>
      </c>
      <c r="P144" s="17" t="n">
        <v>1414</v>
      </c>
      <c r="Q144" s="17" t="n">
        <v>534</v>
      </c>
      <c r="R144" s="17" t="n">
        <v>66</v>
      </c>
      <c r="S144" s="17" t="n">
        <v>28721</v>
      </c>
      <c r="T144" s="17" t="n">
        <v>162657</v>
      </c>
      <c r="U144" s="17" t="n">
        <v>1452</v>
      </c>
      <c r="V144" s="17" t="n">
        <v>0.601654965518099</v>
      </c>
      <c r="W144" s="17" t="n">
        <v>7.3</v>
      </c>
      <c r="X144" s="17" t="n">
        <v>3.86995285179615</v>
      </c>
      <c r="Y144" s="17" t="n">
        <v>1.03143773976404</v>
      </c>
      <c r="Z144" s="17" t="n">
        <v>17.6574017718266</v>
      </c>
      <c r="AA144" s="17" t="n">
        <v>8.34546414990867</v>
      </c>
      <c r="AB144" s="17" t="n">
        <v>5.66792648995054</v>
      </c>
      <c r="AC144" s="17" t="n">
        <v>6.4647671155464</v>
      </c>
      <c r="AD144" s="17" t="n">
        <v>8.47908784024967</v>
      </c>
      <c r="AE144" s="17" t="n">
        <v>-0.0121670515315709</v>
      </c>
      <c r="AF144" s="17" t="n">
        <v>0.0131552818664947</v>
      </c>
      <c r="AG144" s="18" t="n">
        <f aca="false">IFERROR(100*O144/F144,"")</f>
        <v>0.218959559016255</v>
      </c>
      <c r="AH144" s="18" t="n">
        <f aca="false">IFERROR(100*(P144+Q144)/F144,"")</f>
        <v>0.785512377465311</v>
      </c>
      <c r="AI144" s="18" t="n">
        <f aca="false">IFERROR(100*R144/K144,"")</f>
        <v>0.040971479298022</v>
      </c>
      <c r="AJ144" s="18" t="n">
        <f aca="false">IF(T144&gt;0,100*S144/T144,"")</f>
        <v>17.6574017718266</v>
      </c>
      <c r="AK144" s="18" t="n">
        <f aca="false">IFERROR(100*U144/G144,"")</f>
        <v>0.601654965518099</v>
      </c>
      <c r="AL144" s="18" t="n">
        <f aca="false">IFERROR(100*J144/H144,"")</f>
        <v>77.9320653962225</v>
      </c>
      <c r="AM144" s="18" t="n">
        <f aca="false">IFERROR(100*L144/J144,"")</f>
        <v>80.6789393683499</v>
      </c>
      <c r="AN144" s="18" t="n">
        <f aca="false">IFERROR(100*M144/J144,"")</f>
        <v>9.92713586025527</v>
      </c>
      <c r="AO144" s="18" t="n">
        <f aca="false">IFERROR(100*N144/J144,"")</f>
        <v>9.14782734576688</v>
      </c>
    </row>
    <row r="145" customFormat="false" ht="15" hidden="false" customHeight="false" outlineLevel="0" collapsed="false">
      <c r="A145" s="17" t="n">
        <v>14140</v>
      </c>
      <c r="B145" s="23" t="n">
        <v>44651</v>
      </c>
      <c r="C145" s="17" t="s">
        <v>120</v>
      </c>
      <c r="D145" s="17" t="s">
        <v>113</v>
      </c>
      <c r="E145" s="17" t="s">
        <v>114</v>
      </c>
      <c r="F145" s="17" t="n">
        <v>1414510</v>
      </c>
      <c r="G145" s="17" t="n">
        <v>1408190.5</v>
      </c>
      <c r="H145" s="17" t="n">
        <v>1199427</v>
      </c>
      <c r="I145" s="17" t="n">
        <v>123854</v>
      </c>
      <c r="J145" s="17" t="n">
        <v>957867</v>
      </c>
      <c r="K145" s="17" t="n">
        <v>938336</v>
      </c>
      <c r="L145" s="17" t="n">
        <v>866005</v>
      </c>
      <c r="M145" s="17" t="n">
        <v>82518</v>
      </c>
      <c r="N145" s="17" t="n">
        <v>1318</v>
      </c>
      <c r="O145" s="17" t="n">
        <v>5589</v>
      </c>
      <c r="P145" s="17" t="n">
        <v>785</v>
      </c>
      <c r="Q145" s="17" t="n">
        <v>0</v>
      </c>
      <c r="R145" s="17" t="n">
        <v>36</v>
      </c>
      <c r="S145" s="17" t="n">
        <v>0</v>
      </c>
      <c r="T145" s="17" t="n">
        <v>0</v>
      </c>
      <c r="U145" s="17" t="n">
        <v>9324</v>
      </c>
      <c r="V145" s="17" t="n">
        <v>0.662126324527825</v>
      </c>
      <c r="W145" s="17" t="n">
        <v>7.07</v>
      </c>
      <c r="X145" s="17" t="n">
        <v>2.96981313360941</v>
      </c>
      <c r="Y145" s="17" t="n">
        <v>1.10777383498962</v>
      </c>
      <c r="Z145" s="17" t="n">
        <v>0</v>
      </c>
      <c r="AA145" s="17" t="n">
        <v>8.75596496313211</v>
      </c>
      <c r="AB145" s="17"/>
      <c r="AC145" s="17"/>
      <c r="AD145" s="17"/>
      <c r="AE145" s="17"/>
      <c r="AF145" s="17"/>
      <c r="AG145" s="18" t="n">
        <f aca="false">IFERROR(100*O145/F145,"")</f>
        <v>0.395119157870924</v>
      </c>
      <c r="AH145" s="18" t="n">
        <f aca="false">IFERROR(100*(P145+Q145)/F145,"")</f>
        <v>0.0554962495846618</v>
      </c>
      <c r="AI145" s="18" t="n">
        <f aca="false">IFERROR(100*R145/K145,"")</f>
        <v>0.00383657879480271</v>
      </c>
      <c r="AJ145" s="18" t="str">
        <f aca="false">IF(T145&gt;0,100*S145/T145,"")</f>
        <v/>
      </c>
      <c r="AK145" s="18" t="n">
        <f aca="false">IFERROR(100*U145/G145,"")</f>
        <v>0.662126324527825</v>
      </c>
      <c r="AL145" s="18" t="n">
        <f aca="false">IFERROR(100*J145/H145,"")</f>
        <v>79.8603833330415</v>
      </c>
      <c r="AM145" s="18" t="n">
        <f aca="false">IFERROR(100*L145/J145,"")</f>
        <v>90.4097332928267</v>
      </c>
      <c r="AN145" s="18" t="n">
        <f aca="false">IFERROR(100*M145/J145,"")</f>
        <v>8.61476593305751</v>
      </c>
      <c r="AO145" s="18" t="n">
        <f aca="false">IFERROR(100*N145/J145,"")</f>
        <v>0.137597390869505</v>
      </c>
    </row>
    <row r="146" customFormat="false" ht="15" hidden="false" customHeight="false" outlineLevel="0" collapsed="false">
      <c r="A146" s="17" t="n">
        <v>14140</v>
      </c>
      <c r="B146" s="23" t="n">
        <v>44742</v>
      </c>
      <c r="C146" s="17" t="s">
        <v>120</v>
      </c>
      <c r="D146" s="17" t="s">
        <v>113</v>
      </c>
      <c r="E146" s="17" t="s">
        <v>114</v>
      </c>
      <c r="F146" s="17" t="n">
        <v>1436600</v>
      </c>
      <c r="G146" s="17" t="n">
        <v>1417660.33333333</v>
      </c>
      <c r="H146" s="17" t="n">
        <v>1234672</v>
      </c>
      <c r="I146" s="17" t="n">
        <v>117324</v>
      </c>
      <c r="J146" s="17" t="n">
        <v>965914</v>
      </c>
      <c r="K146" s="17" t="n">
        <v>947528.666666667</v>
      </c>
      <c r="L146" s="17" t="n">
        <v>868077</v>
      </c>
      <c r="M146" s="17" t="n">
        <v>88677</v>
      </c>
      <c r="N146" s="17" t="n">
        <v>1269</v>
      </c>
      <c r="O146" s="17" t="n">
        <v>2695</v>
      </c>
      <c r="P146" s="17" t="n">
        <v>499</v>
      </c>
      <c r="Q146" s="17" t="n">
        <v>0</v>
      </c>
      <c r="R146" s="17" t="n">
        <v>52</v>
      </c>
      <c r="S146" s="17" t="n">
        <v>0</v>
      </c>
      <c r="T146" s="17" t="n">
        <v>0</v>
      </c>
      <c r="U146" s="17" t="n">
        <v>10032</v>
      </c>
      <c r="V146" s="17" t="n">
        <v>0.707644826064353</v>
      </c>
      <c r="W146" s="17" t="n">
        <v>7.9</v>
      </c>
      <c r="X146" s="17" t="n">
        <v>3.03639975122093</v>
      </c>
      <c r="Y146" s="17" t="n">
        <v>1.09678501398675</v>
      </c>
      <c r="Z146" s="17" t="n">
        <v>0</v>
      </c>
      <c r="AA146" s="17" t="n">
        <v>8.16678268133092</v>
      </c>
      <c r="AB146" s="17"/>
      <c r="AC146" s="17"/>
      <c r="AD146" s="17"/>
      <c r="AE146" s="17"/>
      <c r="AF146" s="17"/>
      <c r="AG146" s="18" t="n">
        <f aca="false">IFERROR(100*O146/F146,"")</f>
        <v>0.187595712098009</v>
      </c>
      <c r="AH146" s="18" t="n">
        <f aca="false">IFERROR(100*(P146+Q146)/F146,"")</f>
        <v>0.0347347904775164</v>
      </c>
      <c r="AI146" s="18" t="n">
        <f aca="false">IFERROR(100*R146/K146,"")</f>
        <v>0.00548796061051451</v>
      </c>
      <c r="AJ146" s="18" t="str">
        <f aca="false">IF(T146&gt;0,100*S146/T146,"")</f>
        <v/>
      </c>
      <c r="AK146" s="18" t="n">
        <f aca="false">IFERROR(100*U146/G146,"")</f>
        <v>0.707644826064354</v>
      </c>
      <c r="AL146" s="18" t="n">
        <f aca="false">IFERROR(100*J146/H146,"")</f>
        <v>78.232437440875</v>
      </c>
      <c r="AM146" s="18" t="n">
        <f aca="false">IFERROR(100*L146/J146,"")</f>
        <v>89.8710444201037</v>
      </c>
      <c r="AN146" s="18" t="n">
        <f aca="false">IFERROR(100*M146/J146,"")</f>
        <v>9.18063098785192</v>
      </c>
      <c r="AO146" s="18" t="n">
        <f aca="false">IFERROR(100*N146/J146,"")</f>
        <v>0.131378155819255</v>
      </c>
    </row>
    <row r="147" customFormat="false" ht="15" hidden="false" customHeight="false" outlineLevel="0" collapsed="false">
      <c r="A147" s="17" t="n">
        <v>14140</v>
      </c>
      <c r="B147" s="23" t="n">
        <v>44834</v>
      </c>
      <c r="C147" s="17" t="s">
        <v>120</v>
      </c>
      <c r="D147" s="17" t="s">
        <v>113</v>
      </c>
      <c r="E147" s="17" t="s">
        <v>114</v>
      </c>
      <c r="F147" s="17" t="n">
        <v>1443158</v>
      </c>
      <c r="G147" s="17" t="n">
        <v>1424034.75</v>
      </c>
      <c r="H147" s="17" t="n">
        <v>1246266</v>
      </c>
      <c r="I147" s="17" t="n">
        <v>107668</v>
      </c>
      <c r="J147" s="17" t="n">
        <v>959732</v>
      </c>
      <c r="K147" s="17" t="n">
        <v>950579.5</v>
      </c>
      <c r="L147" s="17" t="n">
        <v>868686</v>
      </c>
      <c r="M147" s="17" t="n">
        <v>82112</v>
      </c>
      <c r="N147" s="17" t="n">
        <v>1215</v>
      </c>
      <c r="O147" s="17" t="n">
        <v>2457</v>
      </c>
      <c r="P147" s="17" t="n">
        <v>187</v>
      </c>
      <c r="Q147" s="17" t="n">
        <v>0</v>
      </c>
      <c r="R147" s="17" t="n">
        <v>77.3314</v>
      </c>
      <c r="S147" s="17" t="n">
        <v>0</v>
      </c>
      <c r="T147" s="17" t="n">
        <v>0</v>
      </c>
      <c r="U147" s="17" t="n">
        <v>9950.4179</v>
      </c>
      <c r="V147" s="17" t="n">
        <v>0.69874825034993</v>
      </c>
      <c r="W147" s="17" t="n">
        <v>8.14</v>
      </c>
      <c r="X147" s="17" t="n">
        <v>3.07660660567704</v>
      </c>
      <c r="Y147" s="17" t="n">
        <v>1.100515560594</v>
      </c>
      <c r="Z147" s="17" t="n">
        <v>0</v>
      </c>
      <c r="AA147" s="17" t="n">
        <v>7.46058297151109</v>
      </c>
      <c r="AB147" s="17"/>
      <c r="AC147" s="17"/>
      <c r="AD147" s="17"/>
      <c r="AE147" s="17"/>
      <c r="AF147" s="17"/>
      <c r="AG147" s="18" t="n">
        <f aca="false">IFERROR(100*O147/F147,"")</f>
        <v>0.170251628719794</v>
      </c>
      <c r="AH147" s="18" t="n">
        <f aca="false">IFERROR(100*(P147+Q147)/F147,"")</f>
        <v>0.0129576941679289</v>
      </c>
      <c r="AI147" s="18" t="n">
        <f aca="false">IFERROR(100*R147/K147,"")</f>
        <v>0.00813518490562862</v>
      </c>
      <c r="AJ147" s="18" t="str">
        <f aca="false">IF(T147&gt;0,100*S147/T147,"")</f>
        <v/>
      </c>
      <c r="AK147" s="18" t="n">
        <f aca="false">IFERROR(100*U147/G147,"")</f>
        <v>0.69874825034993</v>
      </c>
      <c r="AL147" s="18" t="n">
        <f aca="false">IFERROR(100*J147/H147,"")</f>
        <v>77.0086000901894</v>
      </c>
      <c r="AM147" s="18" t="n">
        <f aca="false">IFERROR(100*L147/J147,"")</f>
        <v>90.5133933223025</v>
      </c>
      <c r="AN147" s="18" t="n">
        <f aca="false">IFERROR(100*M147/J147,"")</f>
        <v>8.55572180567075</v>
      </c>
      <c r="AO147" s="18" t="n">
        <f aca="false">IFERROR(100*N147/J147,"")</f>
        <v>0.12659784189753</v>
      </c>
    </row>
    <row r="148" customFormat="false" ht="15" hidden="false" customHeight="false" outlineLevel="0" collapsed="false">
      <c r="A148" s="17" t="n">
        <v>14140</v>
      </c>
      <c r="B148" s="23" t="n">
        <v>44926</v>
      </c>
      <c r="C148" s="17" t="s">
        <v>120</v>
      </c>
      <c r="D148" s="17" t="s">
        <v>113</v>
      </c>
      <c r="E148" s="17" t="s">
        <v>114</v>
      </c>
      <c r="F148" s="17" t="n">
        <v>1414255</v>
      </c>
      <c r="G148" s="17" t="n">
        <v>1422078.8</v>
      </c>
      <c r="H148" s="17" t="n">
        <v>1185491</v>
      </c>
      <c r="I148" s="17" t="n">
        <v>113940</v>
      </c>
      <c r="J148" s="17" t="n">
        <v>973789</v>
      </c>
      <c r="K148" s="17" t="n">
        <v>955221.4</v>
      </c>
      <c r="L148" s="17" t="n">
        <v>878159</v>
      </c>
      <c r="M148" s="17" t="n">
        <v>86826</v>
      </c>
      <c r="N148" s="17" t="n">
        <v>1204</v>
      </c>
      <c r="O148" s="17" t="n">
        <v>2462</v>
      </c>
      <c r="P148" s="17" t="n">
        <v>734</v>
      </c>
      <c r="Q148" s="17" t="n">
        <v>0</v>
      </c>
      <c r="R148" s="17" t="n">
        <v>76</v>
      </c>
      <c r="S148" s="17" t="n">
        <v>0</v>
      </c>
      <c r="T148" s="17" t="n">
        <v>0</v>
      </c>
      <c r="U148" s="17" t="n">
        <v>10046</v>
      </c>
      <c r="V148" s="17" t="n">
        <v>0.706430614112242</v>
      </c>
      <c r="W148" s="17" t="n">
        <v>8.33</v>
      </c>
      <c r="X148" s="17" t="n">
        <v>3.11589074154043</v>
      </c>
      <c r="Y148" s="17" t="n">
        <v>1.08278076667533</v>
      </c>
      <c r="Z148" s="17" t="n">
        <v>0</v>
      </c>
      <c r="AA148" s="17" t="n">
        <v>8.05653860159589</v>
      </c>
      <c r="AB148" s="17"/>
      <c r="AC148" s="17"/>
      <c r="AD148" s="17"/>
      <c r="AE148" s="17"/>
      <c r="AF148" s="17"/>
      <c r="AG148" s="18" t="n">
        <f aca="false">IFERROR(100*O148/F148,"")</f>
        <v>0.174084588705714</v>
      </c>
      <c r="AH148" s="18" t="n">
        <f aca="false">IFERROR(100*(P148+Q148)/F148,"")</f>
        <v>0.0519001170227434</v>
      </c>
      <c r="AI148" s="18" t="n">
        <f aca="false">IFERROR(100*R148/K148,"")</f>
        <v>0.00795627066144037</v>
      </c>
      <c r="AJ148" s="18" t="str">
        <f aca="false">IF(T148&gt;0,100*S148/T148,"")</f>
        <v/>
      </c>
      <c r="AK148" s="18" t="n">
        <f aca="false">IFERROR(100*U148/G148,"")</f>
        <v>0.706430614112242</v>
      </c>
      <c r="AL148" s="18" t="n">
        <f aca="false">IFERROR(100*J148/H148,"")</f>
        <v>82.14225160714</v>
      </c>
      <c r="AM148" s="18" t="n">
        <f aca="false">IFERROR(100*L148/J148,"")</f>
        <v>90.1795974281903</v>
      </c>
      <c r="AN148" s="18" t="n">
        <f aca="false">IFERROR(100*M148/J148,"")</f>
        <v>8.91630527763201</v>
      </c>
      <c r="AO148" s="18" t="n">
        <f aca="false">IFERROR(100*N148/J148,"")</f>
        <v>0.123640747636295</v>
      </c>
    </row>
    <row r="149" customFormat="false" ht="15" hidden="false" customHeight="false" outlineLevel="0" collapsed="false">
      <c r="A149" s="17" t="n">
        <v>14140</v>
      </c>
      <c r="B149" s="23" t="n">
        <v>45016</v>
      </c>
      <c r="C149" s="17" t="s">
        <v>120</v>
      </c>
      <c r="D149" s="17" t="s">
        <v>113</v>
      </c>
      <c r="E149" s="17" t="s">
        <v>114</v>
      </c>
      <c r="F149" s="17" t="n">
        <v>1413583</v>
      </c>
      <c r="G149" s="17" t="n">
        <v>1413919</v>
      </c>
      <c r="H149" s="17" t="n">
        <v>1126353</v>
      </c>
      <c r="I149" s="17" t="n">
        <v>121200</v>
      </c>
      <c r="J149" s="17" t="n">
        <v>993363</v>
      </c>
      <c r="K149" s="17" t="n">
        <v>983576</v>
      </c>
      <c r="L149" s="17" t="n">
        <v>890367</v>
      </c>
      <c r="M149" s="17" t="n">
        <v>88947</v>
      </c>
      <c r="N149" s="17" t="n">
        <v>1356</v>
      </c>
      <c r="O149" s="17" t="n">
        <v>2395</v>
      </c>
      <c r="P149" s="17" t="n">
        <v>1113</v>
      </c>
      <c r="Q149" s="17" t="n">
        <v>0</v>
      </c>
      <c r="R149" s="17" t="n">
        <v>92</v>
      </c>
      <c r="S149" s="17" t="n">
        <v>0</v>
      </c>
      <c r="T149" s="17" t="n">
        <v>0</v>
      </c>
      <c r="U149" s="17" t="n">
        <v>6424</v>
      </c>
      <c r="V149" s="17" t="n">
        <v>0.454340029379335</v>
      </c>
      <c r="W149" s="17" t="n">
        <v>5.46</v>
      </c>
      <c r="X149" s="17" t="n">
        <v>2.94879850271109</v>
      </c>
      <c r="Y149" s="17" t="n">
        <v>0.818129928334355</v>
      </c>
      <c r="Z149" s="17" t="n">
        <v>0</v>
      </c>
      <c r="AA149" s="17" t="n">
        <v>8.57395710050277</v>
      </c>
      <c r="AB149" s="17" t="n">
        <v>-0.0655350616114436</v>
      </c>
      <c r="AC149" s="17" t="n">
        <v>3.70573367701361</v>
      </c>
      <c r="AD149" s="17" t="n">
        <v>-6.09240912535736</v>
      </c>
      <c r="AE149" s="17" t="n">
        <v>-0.20778629514849</v>
      </c>
      <c r="AF149" s="17" t="n">
        <v>-0.225691540249602</v>
      </c>
      <c r="AG149" s="18" t="n">
        <f aca="false">IFERROR(100*O149/F149,"")</f>
        <v>0.169427617621321</v>
      </c>
      <c r="AH149" s="18" t="n">
        <f aca="false">IFERROR(100*(P149+Q149)/F149,"")</f>
        <v>0.078736091195211</v>
      </c>
      <c r="AI149" s="18" t="n">
        <f aca="false">IFERROR(100*R149/K149,"")</f>
        <v>0.00935362391924976</v>
      </c>
      <c r="AJ149" s="18" t="str">
        <f aca="false">IF(T149&gt;0,100*S149/T149,"")</f>
        <v/>
      </c>
      <c r="AK149" s="18" t="n">
        <f aca="false">IFERROR(100*U149/G149,"")</f>
        <v>0.454340029379335</v>
      </c>
      <c r="AL149" s="18" t="n">
        <f aca="false">IFERROR(100*J149/H149,"")</f>
        <v>88.1928667123007</v>
      </c>
      <c r="AM149" s="18" t="n">
        <f aca="false">IFERROR(100*L149/J149,"")</f>
        <v>89.6315848285068</v>
      </c>
      <c r="AN149" s="18" t="n">
        <f aca="false">IFERROR(100*M149/J149,"")</f>
        <v>8.95412855119428</v>
      </c>
      <c r="AO149" s="18" t="n">
        <f aca="false">IFERROR(100*N149/J149,"")</f>
        <v>0.136505990257338</v>
      </c>
    </row>
    <row r="150" customFormat="false" ht="15" hidden="false" customHeight="false" outlineLevel="0" collapsed="false">
      <c r="A150" s="17" t="n">
        <v>14140</v>
      </c>
      <c r="B150" s="23" t="n">
        <v>45107</v>
      </c>
      <c r="C150" s="17" t="s">
        <v>120</v>
      </c>
      <c r="D150" s="17" t="s">
        <v>113</v>
      </c>
      <c r="E150" s="17" t="s">
        <v>114</v>
      </c>
      <c r="F150" s="17" t="n">
        <v>1455126</v>
      </c>
      <c r="G150" s="17" t="n">
        <v>1427654.66666667</v>
      </c>
      <c r="H150" s="17" t="n">
        <v>1135506</v>
      </c>
      <c r="I150" s="17" t="n">
        <v>119184</v>
      </c>
      <c r="J150" s="17" t="n">
        <v>1012877</v>
      </c>
      <c r="K150" s="17" t="n">
        <v>993343</v>
      </c>
      <c r="L150" s="17" t="n">
        <v>902092</v>
      </c>
      <c r="M150" s="17" t="n">
        <v>93803</v>
      </c>
      <c r="N150" s="17" t="n">
        <v>1397</v>
      </c>
      <c r="O150" s="17" t="n">
        <v>4474</v>
      </c>
      <c r="P150" s="17" t="n">
        <v>169</v>
      </c>
      <c r="Q150" s="17" t="n">
        <v>0</v>
      </c>
      <c r="R150" s="17" t="n">
        <v>36</v>
      </c>
      <c r="S150" s="17" t="n">
        <v>0</v>
      </c>
      <c r="T150" s="17" t="n">
        <v>0</v>
      </c>
      <c r="U150" s="17" t="n">
        <v>4850</v>
      </c>
      <c r="V150" s="17" t="n">
        <v>0.339718008369905</v>
      </c>
      <c r="W150" s="17" t="n">
        <v>4.11</v>
      </c>
      <c r="X150" s="17" t="n">
        <v>2.7602160616299</v>
      </c>
      <c r="Y150" s="17" t="n">
        <v>0.817670852433218</v>
      </c>
      <c r="Z150" s="17" t="n">
        <v>0</v>
      </c>
      <c r="AA150" s="17" t="n">
        <v>8.19063091443628</v>
      </c>
      <c r="AB150" s="17" t="n">
        <v>1.28957260197689</v>
      </c>
      <c r="AC150" s="17" t="n">
        <v>4.86202705416838</v>
      </c>
      <c r="AD150" s="17" t="n">
        <v>-8.03176876125805</v>
      </c>
      <c r="AE150" s="17" t="n">
        <v>-0.367926817694449</v>
      </c>
      <c r="AF150" s="17" t="n">
        <v>0.119869071020429</v>
      </c>
      <c r="AG150" s="18" t="n">
        <f aca="false">IFERROR(100*O150/F150,"")</f>
        <v>0.307464783118438</v>
      </c>
      <c r="AH150" s="18" t="n">
        <f aca="false">IFERROR(100*(P150+Q150)/F150,"")</f>
        <v>0.0116141145165436</v>
      </c>
      <c r="AI150" s="18" t="n">
        <f aca="false">IFERROR(100*R150/K150,"")</f>
        <v>0.00362412580548713</v>
      </c>
      <c r="AJ150" s="18" t="str">
        <f aca="false">IF(T150&gt;0,100*S150/T150,"")</f>
        <v/>
      </c>
      <c r="AK150" s="18" t="n">
        <f aca="false">IFERROR(100*U150/G150,"")</f>
        <v>0.339718008369905</v>
      </c>
      <c r="AL150" s="18" t="n">
        <f aca="false">IFERROR(100*J150/H150,"")</f>
        <v>89.2004973993973</v>
      </c>
      <c r="AM150" s="18" t="n">
        <f aca="false">IFERROR(100*L150/J150,"")</f>
        <v>89.0623441938162</v>
      </c>
      <c r="AN150" s="18" t="n">
        <f aca="false">IFERROR(100*M150/J150,"")</f>
        <v>9.26104551687915</v>
      </c>
      <c r="AO150" s="18" t="n">
        <f aca="false">IFERROR(100*N150/J150,"")</f>
        <v>0.137923953253949</v>
      </c>
    </row>
    <row r="151" customFormat="false" ht="15" hidden="false" customHeight="false" outlineLevel="0" collapsed="false">
      <c r="A151" s="17" t="n">
        <v>14140</v>
      </c>
      <c r="B151" s="23" t="n">
        <v>45199</v>
      </c>
      <c r="C151" s="17" t="s">
        <v>120</v>
      </c>
      <c r="D151" s="17" t="s">
        <v>113</v>
      </c>
      <c r="E151" s="17" t="s">
        <v>114</v>
      </c>
      <c r="F151" s="17" t="n">
        <v>1446742</v>
      </c>
      <c r="G151" s="17" t="n">
        <v>1432426.5</v>
      </c>
      <c r="H151" s="17" t="n">
        <v>1144937</v>
      </c>
      <c r="I151" s="17" t="n">
        <v>114596</v>
      </c>
      <c r="J151" s="17" t="n">
        <v>1027888</v>
      </c>
      <c r="K151" s="17" t="n">
        <v>1001979.25</v>
      </c>
      <c r="L151" s="17" t="n">
        <v>915552</v>
      </c>
      <c r="M151" s="17" t="n">
        <v>85696</v>
      </c>
      <c r="N151" s="17" t="n">
        <v>1520</v>
      </c>
      <c r="O151" s="17" t="n">
        <v>4596</v>
      </c>
      <c r="P151" s="17" t="n">
        <v>265</v>
      </c>
      <c r="Q151" s="17" t="n">
        <v>0</v>
      </c>
      <c r="R151" s="17" t="n">
        <v>50.6654</v>
      </c>
      <c r="S151" s="17" t="n">
        <v>0</v>
      </c>
      <c r="T151" s="17" t="n">
        <v>0</v>
      </c>
      <c r="U151" s="17" t="n">
        <v>4047.8988</v>
      </c>
      <c r="V151" s="17" t="n">
        <v>0.282590331859959</v>
      </c>
      <c r="W151" s="17" t="n">
        <v>3.45</v>
      </c>
      <c r="X151" s="17" t="n">
        <v>2.6996394553038</v>
      </c>
      <c r="Y151" s="17" t="n">
        <v>0.8135127562536</v>
      </c>
      <c r="Z151" s="17" t="n">
        <v>0</v>
      </c>
      <c r="AA151" s="17" t="n">
        <v>7.92097001400388</v>
      </c>
      <c r="AB151" s="17" t="n">
        <v>0.248344256138267</v>
      </c>
      <c r="AC151" s="17" t="n">
        <v>7.10156585380086</v>
      </c>
      <c r="AD151" s="17" t="n">
        <v>-8.13060775147521</v>
      </c>
      <c r="AE151" s="17" t="n">
        <v>-0.416157918489971</v>
      </c>
      <c r="AF151" s="17" t="n">
        <v>0.1474276810673</v>
      </c>
      <c r="AG151" s="18" t="n">
        <f aca="false">IFERROR(100*O151/F151,"")</f>
        <v>0.317679309787094</v>
      </c>
      <c r="AH151" s="18" t="n">
        <f aca="false">IFERROR(100*(P151+Q151)/F151,"")</f>
        <v>0.0183170185147041</v>
      </c>
      <c r="AI151" s="18" t="n">
        <f aca="false">IFERROR(100*R151/K151,"")</f>
        <v>0.00505653185931745</v>
      </c>
      <c r="AJ151" s="18" t="str">
        <f aca="false">IF(T151&gt;0,100*S151/T151,"")</f>
        <v/>
      </c>
      <c r="AK151" s="18" t="n">
        <f aca="false">IFERROR(100*U151/G151,"")</f>
        <v>0.282590331859959</v>
      </c>
      <c r="AL151" s="18" t="n">
        <f aca="false">IFERROR(100*J151/H151,"")</f>
        <v>89.776817414408</v>
      </c>
      <c r="AM151" s="18" t="n">
        <f aca="false">IFERROR(100*L151/J151,"")</f>
        <v>89.0711828526065</v>
      </c>
      <c r="AN151" s="18" t="n">
        <f aca="false">IFERROR(100*M151/J151,"")</f>
        <v>8.33709509207229</v>
      </c>
      <c r="AO151" s="18" t="n">
        <f aca="false">IFERROR(100*N151/J151,"")</f>
        <v>0.147876033186495</v>
      </c>
    </row>
    <row r="152" customFormat="false" ht="15" hidden="false" customHeight="false" outlineLevel="0" collapsed="false">
      <c r="A152" s="17" t="n">
        <v>14140</v>
      </c>
      <c r="B152" s="23" t="n">
        <v>45291</v>
      </c>
      <c r="C152" s="17" t="s">
        <v>120</v>
      </c>
      <c r="D152" s="17" t="s">
        <v>113</v>
      </c>
      <c r="E152" s="17" t="s">
        <v>114</v>
      </c>
      <c r="F152" s="17" t="n">
        <v>1504702</v>
      </c>
      <c r="G152" s="17" t="n">
        <v>1446881.6</v>
      </c>
      <c r="H152" s="17" t="n">
        <v>1190702</v>
      </c>
      <c r="I152" s="17" t="n">
        <v>126249</v>
      </c>
      <c r="J152" s="17" t="n">
        <v>1039672</v>
      </c>
      <c r="K152" s="17" t="n">
        <v>1009517.8</v>
      </c>
      <c r="L152" s="17" t="n">
        <v>927729</v>
      </c>
      <c r="M152" s="17" t="n">
        <v>93067</v>
      </c>
      <c r="N152" s="17" t="n">
        <v>1491</v>
      </c>
      <c r="O152" s="17" t="n">
        <v>4671</v>
      </c>
      <c r="P152" s="17" t="n">
        <v>1538</v>
      </c>
      <c r="Q152" s="17" t="n">
        <v>0</v>
      </c>
      <c r="R152" s="17" t="n">
        <v>67</v>
      </c>
      <c r="S152" s="17" t="n">
        <v>0</v>
      </c>
      <c r="T152" s="17" t="n">
        <v>0</v>
      </c>
      <c r="U152" s="17" t="n">
        <v>3193</v>
      </c>
      <c r="V152" s="17" t="n">
        <v>0.220681498748757</v>
      </c>
      <c r="W152" s="17" t="n">
        <v>2.68</v>
      </c>
      <c r="X152" s="17" t="n">
        <v>2.63872597463427</v>
      </c>
      <c r="Y152" s="17" t="n">
        <v>0.820739617879485</v>
      </c>
      <c r="Z152" s="17" t="n">
        <v>0</v>
      </c>
      <c r="AA152" s="17" t="n">
        <v>8.39029920874698</v>
      </c>
      <c r="AB152" s="17" t="n">
        <v>6.39538131383661</v>
      </c>
      <c r="AC152" s="17" t="n">
        <v>6.76563403365615</v>
      </c>
      <c r="AD152" s="17" t="n">
        <v>0.439564703570072</v>
      </c>
      <c r="AE152" s="17" t="n">
        <v>-0.485749115363485</v>
      </c>
      <c r="AF152" s="17" t="n">
        <v>0.136342326391096</v>
      </c>
      <c r="AG152" s="18" t="n">
        <f aca="false">IFERROR(100*O152/F152,"")</f>
        <v>0.31042691509681</v>
      </c>
      <c r="AH152" s="18" t="n">
        <f aca="false">IFERROR(100*(P152+Q152)/F152,"")</f>
        <v>0.10221292986917</v>
      </c>
      <c r="AI152" s="18" t="n">
        <f aca="false">IFERROR(100*R152/K152,"")</f>
        <v>0.00663683196076384</v>
      </c>
      <c r="AJ152" s="18" t="str">
        <f aca="false">IF(T152&gt;0,100*S152/T152,"")</f>
        <v/>
      </c>
      <c r="AK152" s="18" t="n">
        <f aca="false">IFERROR(100*U152/G152,"")</f>
        <v>0.220681498748757</v>
      </c>
      <c r="AL152" s="18" t="n">
        <f aca="false">IFERROR(100*J152/H152,"")</f>
        <v>87.3158859227582</v>
      </c>
      <c r="AM152" s="18" t="n">
        <f aca="false">IFERROR(100*L152/J152,"")</f>
        <v>89.2328542078656</v>
      </c>
      <c r="AN152" s="18" t="n">
        <f aca="false">IFERROR(100*M152/J152,"")</f>
        <v>8.95157318846713</v>
      </c>
      <c r="AO152" s="18" t="n">
        <f aca="false">IFERROR(100*N152/J152,"")</f>
        <v>0.14341061411676</v>
      </c>
    </row>
    <row r="153" customFormat="false" ht="15" hidden="false" customHeight="false" outlineLevel="0" collapsed="false">
      <c r="A153" s="17" t="n">
        <v>14140</v>
      </c>
      <c r="B153" s="23" t="n">
        <v>45382</v>
      </c>
      <c r="C153" s="17" t="s">
        <v>120</v>
      </c>
      <c r="D153" s="17" t="s">
        <v>113</v>
      </c>
      <c r="E153" s="17" t="s">
        <v>114</v>
      </c>
      <c r="F153" s="17" t="n">
        <v>1501419</v>
      </c>
      <c r="G153" s="17" t="n">
        <v>1503060.5</v>
      </c>
      <c r="H153" s="17" t="n">
        <v>1223701</v>
      </c>
      <c r="I153" s="17" t="n">
        <v>125756</v>
      </c>
      <c r="J153" s="17" t="n">
        <v>1056452</v>
      </c>
      <c r="K153" s="17" t="n">
        <v>1048062</v>
      </c>
      <c r="L153" s="17" t="n">
        <v>938480</v>
      </c>
      <c r="M153" s="17" t="n">
        <v>86843</v>
      </c>
      <c r="N153" s="17" t="n">
        <v>1578</v>
      </c>
      <c r="O153" s="17" t="n">
        <v>4548</v>
      </c>
      <c r="P153" s="17" t="n">
        <v>85</v>
      </c>
      <c r="Q153" s="17" t="n">
        <v>0</v>
      </c>
      <c r="R153" s="17" t="n">
        <v>28</v>
      </c>
      <c r="S153" s="17" t="n">
        <v>0</v>
      </c>
      <c r="T153" s="17" t="n">
        <v>0</v>
      </c>
      <c r="U153" s="17" t="n">
        <v>4000</v>
      </c>
      <c r="V153" s="17" t="n">
        <v>0.266123685640066</v>
      </c>
      <c r="W153" s="17" t="n">
        <v>3.17</v>
      </c>
      <c r="X153" s="17" t="n">
        <v>2.39161561031374</v>
      </c>
      <c r="Y153" s="17" t="n">
        <v>0.842063813594939</v>
      </c>
      <c r="Z153" s="17" t="n">
        <v>0</v>
      </c>
      <c r="AA153" s="17" t="n">
        <v>8.37580981724622</v>
      </c>
      <c r="AB153" s="17" t="n">
        <v>6.21371366237427</v>
      </c>
      <c r="AC153" s="17" t="n">
        <v>6.35105193167049</v>
      </c>
      <c r="AD153" s="17" t="n">
        <v>8.64276119475866</v>
      </c>
      <c r="AE153" s="17" t="n">
        <v>-0.188216343739269</v>
      </c>
      <c r="AF153" s="17" t="n">
        <v>0.133485826260766</v>
      </c>
      <c r="AG153" s="18" t="n">
        <f aca="false">IFERROR(100*O153/F153,"")</f>
        <v>0.302913443882088</v>
      </c>
      <c r="AH153" s="18" t="n">
        <f aca="false">IFERROR(100*(P153+Q153)/F153,"")</f>
        <v>0.00566131106639786</v>
      </c>
      <c r="AI153" s="18" t="n">
        <f aca="false">IFERROR(100*R153/K153,"")</f>
        <v>0.00267159767265677</v>
      </c>
      <c r="AJ153" s="18" t="str">
        <f aca="false">IF(T153&gt;0,100*S153/T153,"")</f>
        <v/>
      </c>
      <c r="AK153" s="18" t="n">
        <f aca="false">IFERROR(100*U153/G153,"")</f>
        <v>0.266123685640066</v>
      </c>
      <c r="AL153" s="18" t="n">
        <f aca="false">IFERROR(100*J153/H153,"")</f>
        <v>86.33252730855</v>
      </c>
      <c r="AM153" s="18" t="n">
        <f aca="false">IFERROR(100*L153/J153,"")</f>
        <v>88.8331888244804</v>
      </c>
      <c r="AN153" s="18" t="n">
        <f aca="false">IFERROR(100*M153/J153,"")</f>
        <v>8.22025042311435</v>
      </c>
      <c r="AO153" s="18" t="n">
        <f aca="false">IFERROR(100*N153/J153,"")</f>
        <v>0.149367884201081</v>
      </c>
    </row>
    <row r="154" customFormat="false" ht="15" hidden="false" customHeight="false" outlineLevel="0" collapsed="false">
      <c r="A154" s="17" t="n">
        <v>14140</v>
      </c>
      <c r="B154" s="23" t="n">
        <v>45473</v>
      </c>
      <c r="C154" s="17" t="s">
        <v>120</v>
      </c>
      <c r="D154" s="17" t="s">
        <v>113</v>
      </c>
      <c r="E154" s="17" t="s">
        <v>114</v>
      </c>
      <c r="F154" s="17" t="n">
        <v>1498757</v>
      </c>
      <c r="G154" s="17" t="n">
        <v>1501626</v>
      </c>
      <c r="H154" s="17" t="n">
        <v>1198797</v>
      </c>
      <c r="I154" s="17" t="n">
        <v>127558</v>
      </c>
      <c r="J154" s="17" t="n">
        <v>1076486</v>
      </c>
      <c r="K154" s="17" t="n">
        <v>1057536.66666667</v>
      </c>
      <c r="L154" s="17" t="n">
        <v>949990</v>
      </c>
      <c r="M154" s="17" t="n">
        <v>93355</v>
      </c>
      <c r="N154" s="17" t="n">
        <v>1569</v>
      </c>
      <c r="O154" s="17" t="n">
        <v>2046</v>
      </c>
      <c r="P154" s="17" t="n">
        <v>23</v>
      </c>
      <c r="Q154" s="17" t="n">
        <v>0</v>
      </c>
      <c r="R154" s="17" t="n">
        <v>78</v>
      </c>
      <c r="S154" s="17" t="n">
        <v>0</v>
      </c>
      <c r="T154" s="17" t="n">
        <v>0</v>
      </c>
      <c r="U154" s="17" t="n">
        <v>4380</v>
      </c>
      <c r="V154" s="17" t="n">
        <v>0.291683814744817</v>
      </c>
      <c r="W154" s="17" t="n">
        <v>3.46</v>
      </c>
      <c r="X154" s="17" t="n">
        <v>2.37450563986306</v>
      </c>
      <c r="Y154" s="17" t="n">
        <v>0.795551451667741</v>
      </c>
      <c r="Z154" s="17" t="n">
        <v>0</v>
      </c>
      <c r="AA154" s="17" t="n">
        <v>8.5109193818611</v>
      </c>
      <c r="AB154" s="17" t="n">
        <v>2.99843449983026</v>
      </c>
      <c r="AC154" s="17" t="n">
        <v>6.28003202758085</v>
      </c>
      <c r="AD154" s="17" t="n">
        <v>5.5738146694073</v>
      </c>
      <c r="AE154" s="17" t="n">
        <v>-0.0480341936250879</v>
      </c>
      <c r="AF154" s="17" t="n">
        <v>-0.17095165924312</v>
      </c>
      <c r="AG154" s="18" t="n">
        <f aca="false">IFERROR(100*O154/F154,"")</f>
        <v>0.136513123875318</v>
      </c>
      <c r="AH154" s="18" t="n">
        <f aca="false">IFERROR(100*(P154+Q154)/F154,"")</f>
        <v>0.00153460500935108</v>
      </c>
      <c r="AI154" s="18" t="n">
        <f aca="false">IFERROR(100*R154/K154,"")</f>
        <v>0.00737563078979137</v>
      </c>
      <c r="AJ154" s="18" t="str">
        <f aca="false">IF(T154&gt;0,100*S154/T154,"")</f>
        <v/>
      </c>
      <c r="AK154" s="18" t="n">
        <f aca="false">IFERROR(100*U154/G154,"")</f>
        <v>0.291683814744817</v>
      </c>
      <c r="AL154" s="18" t="n">
        <f aca="false">IFERROR(100*J154/H154,"")</f>
        <v>89.7971883479855</v>
      </c>
      <c r="AM154" s="18" t="n">
        <f aca="false">IFERROR(100*L154/J154,"")</f>
        <v>88.2491737003547</v>
      </c>
      <c r="AN154" s="18" t="n">
        <f aca="false">IFERROR(100*M154/J154,"")</f>
        <v>8.67219824503059</v>
      </c>
      <c r="AO154" s="18" t="n">
        <f aca="false">IFERROR(100*N154/J154,"")</f>
        <v>0.145752011637866</v>
      </c>
    </row>
    <row r="155" customFormat="false" ht="15" hidden="false" customHeight="false" outlineLevel="0" collapsed="false">
      <c r="A155" s="17" t="n">
        <v>14140</v>
      </c>
      <c r="B155" s="23" t="n">
        <v>45565</v>
      </c>
      <c r="C155" s="17" t="s">
        <v>120</v>
      </c>
      <c r="D155" s="17" t="s">
        <v>113</v>
      </c>
      <c r="E155" s="17" t="s">
        <v>114</v>
      </c>
      <c r="F155" s="17" t="n">
        <v>1527182</v>
      </c>
      <c r="G155" s="17" t="n">
        <v>1508015</v>
      </c>
      <c r="H155" s="17" t="n">
        <v>1238363</v>
      </c>
      <c r="I155" s="17" t="n">
        <v>137226</v>
      </c>
      <c r="J155" s="17" t="n">
        <v>1092353</v>
      </c>
      <c r="K155" s="17" t="n">
        <v>1066240.75</v>
      </c>
      <c r="L155" s="17" t="n">
        <v>974171</v>
      </c>
      <c r="M155" s="17" t="n">
        <v>88796</v>
      </c>
      <c r="N155" s="17" t="n">
        <v>1620</v>
      </c>
      <c r="O155" s="17" t="n">
        <v>2124</v>
      </c>
      <c r="P155" s="17" t="n">
        <v>25</v>
      </c>
      <c r="Q155" s="17" t="n">
        <v>0</v>
      </c>
      <c r="R155" s="17" t="n">
        <v>63.9984</v>
      </c>
      <c r="S155" s="17" t="n">
        <v>0</v>
      </c>
      <c r="T155" s="17" t="n">
        <v>0</v>
      </c>
      <c r="U155" s="17" t="n">
        <v>4358.5577</v>
      </c>
      <c r="V155" s="17" t="n">
        <v>0.289026150270389</v>
      </c>
      <c r="W155" s="17" t="n">
        <v>3.37</v>
      </c>
      <c r="X155" s="17" t="n">
        <v>2.38536873804973</v>
      </c>
      <c r="Y155" s="17" t="n">
        <v>0.783171740270773</v>
      </c>
      <c r="Z155" s="17" t="n">
        <v>0</v>
      </c>
      <c r="AA155" s="17" t="n">
        <v>8.98556949990244</v>
      </c>
      <c r="AB155" s="17" t="n">
        <v>5.56007912951999</v>
      </c>
      <c r="AC155" s="17" t="n">
        <v>6.27159768379435</v>
      </c>
      <c r="AD155" s="17" t="n">
        <v>8.15992495656965</v>
      </c>
      <c r="AE155" s="17" t="n">
        <v>0.00643581841042923</v>
      </c>
      <c r="AF155" s="17" t="n">
        <v>-0.178599619219762</v>
      </c>
      <c r="AG155" s="18" t="n">
        <f aca="false">IFERROR(100*O155/F155,"")</f>
        <v>0.139079690567333</v>
      </c>
      <c r="AH155" s="18" t="n">
        <f aca="false">IFERROR(100*(P155+Q155)/F155,"")</f>
        <v>0.00163700200761926</v>
      </c>
      <c r="AI155" s="18" t="n">
        <f aca="false">IFERROR(100*R155/K155,"")</f>
        <v>0.00600224667834164</v>
      </c>
      <c r="AJ155" s="18" t="str">
        <f aca="false">IF(T155&gt;0,100*S155/T155,"")</f>
        <v/>
      </c>
      <c r="AK155" s="18" t="n">
        <f aca="false">IFERROR(100*U155/G155,"")</f>
        <v>0.289026150270389</v>
      </c>
      <c r="AL155" s="18" t="n">
        <f aca="false">IFERROR(100*J155/H155,"")</f>
        <v>88.2094345519044</v>
      </c>
      <c r="AM155" s="18" t="n">
        <f aca="false">IFERROR(100*L155/J155,"")</f>
        <v>89.1809698879392</v>
      </c>
      <c r="AN155" s="18" t="n">
        <f aca="false">IFERROR(100*M155/J155,"")</f>
        <v>8.12887409106763</v>
      </c>
      <c r="AO155" s="18" t="n">
        <f aca="false">IFERROR(100*N155/J155,"")</f>
        <v>0.148303707684238</v>
      </c>
    </row>
    <row r="156" customFormat="false" ht="15" hidden="false" customHeight="false" outlineLevel="0" collapsed="false">
      <c r="A156" s="17" t="n">
        <v>14140</v>
      </c>
      <c r="B156" s="23" t="n">
        <v>45657</v>
      </c>
      <c r="C156" s="17" t="s">
        <v>120</v>
      </c>
      <c r="D156" s="17" t="s">
        <v>113</v>
      </c>
      <c r="E156" s="17" t="s">
        <v>114</v>
      </c>
      <c r="F156" s="17" t="n">
        <v>1558316</v>
      </c>
      <c r="G156" s="17" t="n">
        <v>1518075.2</v>
      </c>
      <c r="H156" s="17" t="n">
        <v>1234041</v>
      </c>
      <c r="I156" s="17" t="n">
        <v>133315</v>
      </c>
      <c r="J156" s="17" t="n">
        <v>1100572</v>
      </c>
      <c r="K156" s="17" t="n">
        <v>1073107</v>
      </c>
      <c r="L156" s="17" t="n">
        <v>975721</v>
      </c>
      <c r="M156" s="17" t="n">
        <v>95021</v>
      </c>
      <c r="N156" s="17" t="n">
        <v>1556</v>
      </c>
      <c r="O156" s="17" t="n">
        <v>5344</v>
      </c>
      <c r="P156" s="17" t="n">
        <v>798</v>
      </c>
      <c r="Q156" s="17" t="n">
        <v>0</v>
      </c>
      <c r="R156" s="17" t="n">
        <v>50</v>
      </c>
      <c r="S156" s="17" t="n">
        <v>0</v>
      </c>
      <c r="T156" s="17" t="n">
        <v>0</v>
      </c>
      <c r="U156" s="17" t="n">
        <v>4679</v>
      </c>
      <c r="V156" s="17" t="n">
        <v>0.30821925027166</v>
      </c>
      <c r="W156" s="17" t="n">
        <v>3.6</v>
      </c>
      <c r="X156" s="17" t="n">
        <v>2.41444487121519</v>
      </c>
      <c r="Y156" s="17" t="n">
        <v>0.783955979254424</v>
      </c>
      <c r="Z156" s="17" t="n">
        <v>0</v>
      </c>
      <c r="AA156" s="17" t="n">
        <v>8.55506842001237</v>
      </c>
      <c r="AB156" s="17" t="n">
        <v>3.56309754356676</v>
      </c>
      <c r="AC156" s="17" t="n">
        <v>5.85761663293809</v>
      </c>
      <c r="AD156" s="17" t="n">
        <v>3.63978560546636</v>
      </c>
      <c r="AE156" s="17" t="n">
        <v>0.0875377515229025</v>
      </c>
      <c r="AF156" s="17" t="n">
        <v>0.0325073806429502</v>
      </c>
      <c r="AG156" s="18" t="n">
        <f aca="false">IFERROR(100*O156/F156,"")</f>
        <v>0.34293429573976</v>
      </c>
      <c r="AH156" s="18" t="n">
        <f aca="false">IFERROR(100*(P156+Q156)/F156,"")</f>
        <v>0.0512091257485645</v>
      </c>
      <c r="AI156" s="18" t="n">
        <f aca="false">IFERROR(100*R156/K156,"")</f>
        <v>0.00465936761199023</v>
      </c>
      <c r="AJ156" s="18" t="str">
        <f aca="false">IF(T156&gt;0,100*S156/T156,"")</f>
        <v/>
      </c>
      <c r="AK156" s="18" t="n">
        <f aca="false">IFERROR(100*U156/G156,"")</f>
        <v>0.30821925027166</v>
      </c>
      <c r="AL156" s="18" t="n">
        <f aca="false">IFERROR(100*J156/H156,"")</f>
        <v>89.1843950079454</v>
      </c>
      <c r="AM156" s="18" t="n">
        <f aca="false">IFERROR(100*L156/J156,"")</f>
        <v>88.6558080707123</v>
      </c>
      <c r="AN156" s="18" t="n">
        <f aca="false">IFERROR(100*M156/J156,"")</f>
        <v>8.63378316002951</v>
      </c>
      <c r="AO156" s="18" t="n">
        <f aca="false">IFERROR(100*N156/J156,"")</f>
        <v>0.141381027320339</v>
      </c>
    </row>
    <row r="157" customFormat="false" ht="15" hidden="false" customHeight="false" outlineLevel="0" collapsed="false">
      <c r="A157" s="17" t="n">
        <v>14140</v>
      </c>
      <c r="B157" s="23" t="n">
        <v>45747</v>
      </c>
      <c r="C157" s="17" t="s">
        <v>120</v>
      </c>
      <c r="D157" s="17" t="s">
        <v>113</v>
      </c>
      <c r="E157" s="17" t="s">
        <v>114</v>
      </c>
      <c r="F157" s="17" t="n">
        <v>1555515</v>
      </c>
      <c r="G157" s="17" t="n">
        <v>1556915.5</v>
      </c>
      <c r="H157" s="17" t="n">
        <v>1282177</v>
      </c>
      <c r="I157" s="17" t="n">
        <v>138738</v>
      </c>
      <c r="J157" s="17" t="n">
        <v>1097749</v>
      </c>
      <c r="K157" s="17" t="n">
        <v>1099160.5</v>
      </c>
      <c r="L157" s="17" t="n">
        <v>973336</v>
      </c>
      <c r="M157" s="17" t="n">
        <v>92164</v>
      </c>
      <c r="N157" s="17" t="n">
        <v>1649</v>
      </c>
      <c r="O157" s="17" t="n">
        <v>6970</v>
      </c>
      <c r="P157" s="17" t="n">
        <v>643</v>
      </c>
      <c r="Q157" s="17" t="n">
        <v>0</v>
      </c>
      <c r="R157" s="17" t="n">
        <v>20</v>
      </c>
      <c r="S157" s="17" t="n">
        <v>0</v>
      </c>
      <c r="T157" s="17" t="n">
        <v>0</v>
      </c>
      <c r="U157" s="17" t="n">
        <v>3504</v>
      </c>
      <c r="V157" s="17" t="n">
        <v>0.225060383816591</v>
      </c>
      <c r="W157" s="17" t="n">
        <v>2.58</v>
      </c>
      <c r="X157" s="17" t="n">
        <v>2.54652856281624</v>
      </c>
      <c r="Y157" s="17" t="n">
        <v>0.802824689432648</v>
      </c>
      <c r="Z157" s="17" t="n">
        <v>0</v>
      </c>
      <c r="AA157" s="17" t="n">
        <v>8.9191039623533</v>
      </c>
      <c r="AB157" s="17" t="n">
        <v>3.60299156997481</v>
      </c>
      <c r="AC157" s="17" t="n">
        <v>3.90902757531815</v>
      </c>
      <c r="AD157" s="17" t="n">
        <v>4.77861830626927</v>
      </c>
      <c r="AE157" s="17" t="n">
        <v>-0.0410633018234745</v>
      </c>
      <c r="AF157" s="17" t="n">
        <v>0.145169666856157</v>
      </c>
      <c r="AG157" s="18" t="n">
        <f aca="false">IFERROR(100*O157/F157,"")</f>
        <v>0.448083110738244</v>
      </c>
      <c r="AH157" s="18" t="n">
        <f aca="false">IFERROR(100*(P157+Q157)/F157,"")</f>
        <v>0.0413367919949342</v>
      </c>
      <c r="AI157" s="18" t="n">
        <f aca="false">IFERROR(100*R157/K157,"")</f>
        <v>0.00181957048129004</v>
      </c>
      <c r="AJ157" s="18" t="str">
        <f aca="false">IF(T157&gt;0,100*S157/T157,"")</f>
        <v/>
      </c>
      <c r="AK157" s="18" t="n">
        <f aca="false">IFERROR(100*U157/G157,"")</f>
        <v>0.225060383816591</v>
      </c>
      <c r="AL157" s="18" t="n">
        <f aca="false">IFERROR(100*J157/H157,"")</f>
        <v>85.6160264924422</v>
      </c>
      <c r="AM157" s="18" t="n">
        <f aca="false">IFERROR(100*L157/J157,"")</f>
        <v>88.6665348818355</v>
      </c>
      <c r="AN157" s="18" t="n">
        <f aca="false">IFERROR(100*M157/J157,"")</f>
        <v>8.39572616326683</v>
      </c>
      <c r="AO157" s="18" t="n">
        <f aca="false">IFERROR(100*N157/J157,"")</f>
        <v>0.150216488468675</v>
      </c>
    </row>
    <row r="158" customFormat="false" ht="15" hidden="false" customHeight="false" outlineLevel="0" collapsed="false">
      <c r="A158" s="17" t="n">
        <v>14140</v>
      </c>
      <c r="B158" s="23" t="n">
        <v>45838</v>
      </c>
      <c r="C158" s="17" t="s">
        <v>120</v>
      </c>
      <c r="D158" s="17" t="s">
        <v>113</v>
      </c>
      <c r="E158" s="17" t="s">
        <v>114</v>
      </c>
      <c r="F158" s="17" t="n">
        <v>1560737</v>
      </c>
      <c r="G158" s="17" t="n">
        <v>1558189.33333333</v>
      </c>
      <c r="H158" s="17" t="n">
        <v>1280949</v>
      </c>
      <c r="I158" s="17" t="n">
        <v>142689</v>
      </c>
      <c r="J158" s="17" t="n">
        <v>1105150</v>
      </c>
      <c r="K158" s="17" t="n">
        <v>1101157</v>
      </c>
      <c r="L158" s="17" t="n">
        <v>976988</v>
      </c>
      <c r="M158" s="17" t="n">
        <v>95042</v>
      </c>
      <c r="N158" s="17" t="n">
        <v>1711</v>
      </c>
      <c r="O158" s="17" t="n">
        <v>7436</v>
      </c>
      <c r="P158" s="17" t="n">
        <v>4583</v>
      </c>
      <c r="Q158" s="17" t="n">
        <v>0</v>
      </c>
      <c r="R158" s="17" t="n">
        <v>56</v>
      </c>
      <c r="S158" s="17" t="n">
        <v>0</v>
      </c>
      <c r="T158" s="17" t="n">
        <v>0</v>
      </c>
      <c r="U158" s="17" t="n">
        <v>4974</v>
      </c>
      <c r="V158" s="17" t="n">
        <v>0.319216663443552</v>
      </c>
      <c r="W158" s="17" t="n">
        <v>3.6</v>
      </c>
      <c r="X158" s="17" t="n">
        <v>2.58054568551282</v>
      </c>
      <c r="Y158" s="17" t="n">
        <v>0.808035108356332</v>
      </c>
      <c r="Z158" s="17" t="n">
        <v>0</v>
      </c>
      <c r="AA158" s="17" t="n">
        <v>9.14241156581795</v>
      </c>
      <c r="AB158" s="17" t="n">
        <v>4.13542689041653</v>
      </c>
      <c r="AC158" s="17" t="n">
        <v>2.66273783402664</v>
      </c>
      <c r="AD158" s="17" t="n">
        <v>6.85287000217718</v>
      </c>
      <c r="AE158" s="17" t="n">
        <v>0.0275328486987358</v>
      </c>
      <c r="AF158" s="17" t="n">
        <v>0.339928454686605</v>
      </c>
      <c r="AG158" s="18" t="n">
        <f aca="false">IFERROR(100*O158/F158,"")</f>
        <v>0.476441578561923</v>
      </c>
      <c r="AH158" s="18" t="n">
        <f aca="false">IFERROR(100*(P158+Q158)/F158,"")</f>
        <v>0.293643323634924</v>
      </c>
      <c r="AI158" s="18" t="n">
        <f aca="false">IFERROR(100*R158/K158,"")</f>
        <v>0.0050855600064296</v>
      </c>
      <c r="AJ158" s="18" t="str">
        <f aca="false">IF(T158&gt;0,100*S158/T158,"")</f>
        <v/>
      </c>
      <c r="AK158" s="18" t="n">
        <f aca="false">IFERROR(100*U158/G158,"")</f>
        <v>0.319216663443553</v>
      </c>
      <c r="AL158" s="18" t="n">
        <f aca="false">IFERROR(100*J158/H158,"")</f>
        <v>86.275878274623</v>
      </c>
      <c r="AM158" s="18" t="n">
        <f aca="false">IFERROR(100*L158/J158,"")</f>
        <v>88.403203185088</v>
      </c>
      <c r="AN158" s="18" t="n">
        <f aca="false">IFERROR(100*M158/J158,"")</f>
        <v>8.59991856309098</v>
      </c>
      <c r="AO158" s="18" t="n">
        <f aca="false">IFERROR(100*N158/J158,"")</f>
        <v>0.154820612586527</v>
      </c>
    </row>
    <row r="159" customFormat="false" ht="15" hidden="false" customHeight="false" outlineLevel="0" collapsed="false">
      <c r="A159" s="17" t="n">
        <v>14158</v>
      </c>
      <c r="B159" s="23" t="n">
        <v>44651</v>
      </c>
      <c r="C159" s="17" t="s">
        <v>112</v>
      </c>
      <c r="D159" s="17" t="s">
        <v>113</v>
      </c>
      <c r="E159" s="17" t="s">
        <v>114</v>
      </c>
      <c r="F159" s="17" t="n">
        <v>1232701</v>
      </c>
      <c r="G159" s="17" t="n">
        <v>1218624</v>
      </c>
      <c r="H159" s="17" t="n">
        <v>1137254</v>
      </c>
      <c r="I159" s="17" t="n">
        <v>85105</v>
      </c>
      <c r="J159" s="17" t="n">
        <v>830963</v>
      </c>
      <c r="K159" s="17" t="n">
        <v>816273</v>
      </c>
      <c r="L159" s="17" t="n">
        <v>698008</v>
      </c>
      <c r="M159" s="17" t="n">
        <v>44549</v>
      </c>
      <c r="N159" s="17" t="n">
        <v>2157</v>
      </c>
      <c r="O159" s="17" t="n">
        <v>4405</v>
      </c>
      <c r="P159" s="17" t="n">
        <v>1620</v>
      </c>
      <c r="Q159" s="17" t="n">
        <v>229</v>
      </c>
      <c r="R159" s="17" t="n">
        <v>0</v>
      </c>
      <c r="S159" s="17" t="n">
        <v>108642</v>
      </c>
      <c r="T159" s="17" t="n">
        <v>734657</v>
      </c>
      <c r="U159" s="17" t="n">
        <v>10764</v>
      </c>
      <c r="V159" s="17" t="n">
        <v>0.88329131873326</v>
      </c>
      <c r="W159" s="17" t="n">
        <v>11.64</v>
      </c>
      <c r="X159" s="17" t="n">
        <v>3.18537352046747</v>
      </c>
      <c r="Y159" s="17" t="n">
        <v>1.00317342649432</v>
      </c>
      <c r="Z159" s="17" t="n">
        <v>14.788125615083</v>
      </c>
      <c r="AA159" s="17" t="n">
        <v>6.90394507670554</v>
      </c>
      <c r="AB159" s="17"/>
      <c r="AC159" s="17"/>
      <c r="AD159" s="17"/>
      <c r="AE159" s="17"/>
      <c r="AF159" s="17"/>
      <c r="AG159" s="18" t="n">
        <f aca="false">IFERROR(100*O159/F159,"")</f>
        <v>0.357345374101262</v>
      </c>
      <c r="AH159" s="18" t="n">
        <f aca="false">IFERROR(100*(P159+Q159)/F159,"")</f>
        <v>0.149995822182346</v>
      </c>
      <c r="AI159" s="18" t="n">
        <f aca="false">IFERROR(100*R159/K159,"")</f>
        <v>0</v>
      </c>
      <c r="AJ159" s="18" t="n">
        <f aca="false">IF(T159&gt;0,100*S159/T159,"")</f>
        <v>14.788125615083</v>
      </c>
      <c r="AK159" s="18" t="n">
        <f aca="false">IFERROR(100*U159/G159,"")</f>
        <v>0.88329131873326</v>
      </c>
      <c r="AL159" s="18" t="n">
        <f aca="false">IFERROR(100*J159/H159,"")</f>
        <v>73.0674941569781</v>
      </c>
      <c r="AM159" s="18" t="n">
        <f aca="false">IFERROR(100*L159/J159,"")</f>
        <v>83.9998892850825</v>
      </c>
      <c r="AN159" s="18" t="n">
        <f aca="false">IFERROR(100*M159/J159,"")</f>
        <v>5.36112919588477</v>
      </c>
      <c r="AO159" s="18" t="n">
        <f aca="false">IFERROR(100*N159/J159,"")</f>
        <v>0.259578344643504</v>
      </c>
    </row>
    <row r="160" customFormat="false" ht="15" hidden="false" customHeight="false" outlineLevel="0" collapsed="false">
      <c r="A160" s="17" t="n">
        <v>14158</v>
      </c>
      <c r="B160" s="23" t="n">
        <v>44742</v>
      </c>
      <c r="C160" s="17" t="s">
        <v>112</v>
      </c>
      <c r="D160" s="17" t="s">
        <v>113</v>
      </c>
      <c r="E160" s="17" t="s">
        <v>114</v>
      </c>
      <c r="F160" s="17" t="n">
        <v>1191062</v>
      </c>
      <c r="G160" s="17" t="n">
        <v>1209436.66666667</v>
      </c>
      <c r="H160" s="17" t="n">
        <v>1105727</v>
      </c>
      <c r="I160" s="17" t="n">
        <v>75600</v>
      </c>
      <c r="J160" s="17" t="n">
        <v>822966</v>
      </c>
      <c r="K160" s="17" t="n">
        <v>818504</v>
      </c>
      <c r="L160" s="17" t="n">
        <v>751338</v>
      </c>
      <c r="M160" s="17" t="n">
        <v>44278</v>
      </c>
      <c r="N160" s="17" t="n">
        <v>2085</v>
      </c>
      <c r="O160" s="17" t="n">
        <v>1416</v>
      </c>
      <c r="P160" s="17" t="n">
        <v>849</v>
      </c>
      <c r="Q160" s="17" t="n">
        <v>109</v>
      </c>
      <c r="R160" s="17" t="n">
        <v>-8</v>
      </c>
      <c r="S160" s="17" t="n">
        <v>110114</v>
      </c>
      <c r="T160" s="17" t="n">
        <v>771055</v>
      </c>
      <c r="U160" s="17" t="n">
        <v>11678</v>
      </c>
      <c r="V160" s="17" t="n">
        <v>0.965573503917802</v>
      </c>
      <c r="W160" s="17" t="n">
        <v>13.45</v>
      </c>
      <c r="X160" s="17" t="n">
        <v>3.35441193767321</v>
      </c>
      <c r="Y160" s="17" t="n">
        <v>1.01340760128608</v>
      </c>
      <c r="Z160" s="17" t="n">
        <v>14.280952720623</v>
      </c>
      <c r="AA160" s="17" t="n">
        <v>6.34727663211487</v>
      </c>
      <c r="AB160" s="17"/>
      <c r="AC160" s="17"/>
      <c r="AD160" s="17"/>
      <c r="AE160" s="17"/>
      <c r="AF160" s="17"/>
      <c r="AG160" s="18" t="n">
        <f aca="false">IFERROR(100*O160/F160,"")</f>
        <v>0.118885498823739</v>
      </c>
      <c r="AH160" s="18" t="n">
        <f aca="false">IFERROR(100*(P160+Q160)/F160,"")</f>
        <v>0.0804324208143657</v>
      </c>
      <c r="AI160" s="18" t="n">
        <f aca="false">IFERROR(100*R160/K160,"")</f>
        <v>-0.000977392902172744</v>
      </c>
      <c r="AJ160" s="18" t="n">
        <f aca="false">IF(T160&gt;0,100*S160/T160,"")</f>
        <v>14.280952720623</v>
      </c>
      <c r="AK160" s="18" t="n">
        <f aca="false">IFERROR(100*U160/G160,"")</f>
        <v>0.965573503917802</v>
      </c>
      <c r="AL160" s="18" t="n">
        <f aca="false">IFERROR(100*J160/H160,"")</f>
        <v>74.4275937912342</v>
      </c>
      <c r="AM160" s="18" t="n">
        <f aca="false">IFERROR(100*L160/J160,"")</f>
        <v>91.2963597524078</v>
      </c>
      <c r="AN160" s="18" t="n">
        <f aca="false">IFERROR(100*M160/J160,"")</f>
        <v>5.38029517622842</v>
      </c>
      <c r="AO160" s="18" t="n">
        <f aca="false">IFERROR(100*N160/J160,"")</f>
        <v>0.25335190032152</v>
      </c>
    </row>
    <row r="161" customFormat="false" ht="15" hidden="false" customHeight="false" outlineLevel="0" collapsed="false">
      <c r="A161" s="17" t="n">
        <v>14158</v>
      </c>
      <c r="B161" s="23" t="n">
        <v>44834</v>
      </c>
      <c r="C161" s="17" t="s">
        <v>112</v>
      </c>
      <c r="D161" s="17" t="s">
        <v>113</v>
      </c>
      <c r="E161" s="17" t="s">
        <v>114</v>
      </c>
      <c r="F161" s="17" t="n">
        <v>1299582</v>
      </c>
      <c r="G161" s="17" t="n">
        <v>1231973</v>
      </c>
      <c r="H161" s="17" t="n">
        <v>1199225</v>
      </c>
      <c r="I161" s="17" t="n">
        <v>65471</v>
      </c>
      <c r="J161" s="17" t="n">
        <v>942495</v>
      </c>
      <c r="K161" s="17" t="n">
        <v>849501.75</v>
      </c>
      <c r="L161" s="17" t="n">
        <v>802531</v>
      </c>
      <c r="M161" s="17" t="n">
        <v>41999</v>
      </c>
      <c r="N161" s="17" t="n">
        <v>2028</v>
      </c>
      <c r="O161" s="17" t="n">
        <v>1381</v>
      </c>
      <c r="P161" s="17" t="n">
        <v>3371</v>
      </c>
      <c r="Q161" s="17" t="n">
        <v>308</v>
      </c>
      <c r="R161" s="17" t="n">
        <v>-5.3332</v>
      </c>
      <c r="S161" s="17" t="n">
        <v>112525</v>
      </c>
      <c r="T161" s="17" t="n">
        <v>824300</v>
      </c>
      <c r="U161" s="17" t="n">
        <v>13103.6724</v>
      </c>
      <c r="V161" s="17" t="n">
        <v>1.06363308286789</v>
      </c>
      <c r="W161" s="17" t="n">
        <v>16.08</v>
      </c>
      <c r="X161" s="17" t="n">
        <v>3.42554545153671</v>
      </c>
      <c r="Y161" s="17" t="n">
        <v>0.884885330956663</v>
      </c>
      <c r="Z161" s="17" t="n">
        <v>13.6509765861944</v>
      </c>
      <c r="AA161" s="17" t="n">
        <v>5.03785063197243</v>
      </c>
      <c r="AB161" s="17"/>
      <c r="AC161" s="17"/>
      <c r="AD161" s="17"/>
      <c r="AE161" s="17"/>
      <c r="AF161" s="17"/>
      <c r="AG161" s="18" t="n">
        <f aca="false">IFERROR(100*O161/F161,"")</f>
        <v>0.106264937495287</v>
      </c>
      <c r="AH161" s="18" t="n">
        <f aca="false">IFERROR(100*(P161+Q161)/F161,"")</f>
        <v>0.283091024652542</v>
      </c>
      <c r="AI161" s="18" t="n">
        <f aca="false">IFERROR(100*R161/K161,"")</f>
        <v>-0.000627803297638881</v>
      </c>
      <c r="AJ161" s="18" t="n">
        <f aca="false">IF(T161&gt;0,100*S161/T161,"")</f>
        <v>13.6509765861943</v>
      </c>
      <c r="AK161" s="18" t="n">
        <f aca="false">IFERROR(100*U161/G161,"")</f>
        <v>1.06363308286789</v>
      </c>
      <c r="AL161" s="18" t="n">
        <f aca="false">IFERROR(100*J161/H161,"")</f>
        <v>78.5920073380725</v>
      </c>
      <c r="AM161" s="18" t="n">
        <f aca="false">IFERROR(100*L161/J161,"")</f>
        <v>85.149629441005</v>
      </c>
      <c r="AN161" s="18" t="n">
        <f aca="false">IFERROR(100*M161/J161,"")</f>
        <v>4.45615096101306</v>
      </c>
      <c r="AO161" s="18" t="n">
        <f aca="false">IFERROR(100*N161/J161,"")</f>
        <v>0.215173555297376</v>
      </c>
    </row>
    <row r="162" customFormat="false" ht="15" hidden="false" customHeight="false" outlineLevel="0" collapsed="false">
      <c r="A162" s="17" t="n">
        <v>14158</v>
      </c>
      <c r="B162" s="23" t="n">
        <v>44926</v>
      </c>
      <c r="C162" s="17" t="s">
        <v>112</v>
      </c>
      <c r="D162" s="17" t="s">
        <v>113</v>
      </c>
      <c r="E162" s="17" t="s">
        <v>114</v>
      </c>
      <c r="F162" s="17" t="n">
        <v>1335789</v>
      </c>
      <c r="G162" s="17" t="n">
        <v>1252736.2</v>
      </c>
      <c r="H162" s="17" t="n">
        <v>1204403</v>
      </c>
      <c r="I162" s="17" t="n">
        <v>71084</v>
      </c>
      <c r="J162" s="17" t="n">
        <v>960671</v>
      </c>
      <c r="K162" s="17" t="n">
        <v>871735.6</v>
      </c>
      <c r="L162" s="17" t="n">
        <v>824447</v>
      </c>
      <c r="M162" s="17" t="n">
        <v>40782</v>
      </c>
      <c r="N162" s="17" t="n">
        <v>2089</v>
      </c>
      <c r="O162" s="17" t="n">
        <v>2211</v>
      </c>
      <c r="P162" s="17" t="n">
        <v>3040</v>
      </c>
      <c r="Q162" s="17" t="n">
        <v>186</v>
      </c>
      <c r="R162" s="17" t="n">
        <v>-3</v>
      </c>
      <c r="S162" s="17" t="n">
        <v>114618</v>
      </c>
      <c r="T162" s="17" t="n">
        <v>821464</v>
      </c>
      <c r="U162" s="17" t="n">
        <v>13475</v>
      </c>
      <c r="V162" s="17" t="n">
        <v>1.07564545512455</v>
      </c>
      <c r="W162" s="17" t="n">
        <v>16.97</v>
      </c>
      <c r="X162" s="17" t="n">
        <v>3.42354879042827</v>
      </c>
      <c r="Y162" s="17" t="n">
        <v>0.868039110163625</v>
      </c>
      <c r="Z162" s="17" t="n">
        <v>13.9528938577954</v>
      </c>
      <c r="AA162" s="17" t="n">
        <v>5.3214991289792</v>
      </c>
      <c r="AB162" s="17"/>
      <c r="AC162" s="17"/>
      <c r="AD162" s="17"/>
      <c r="AE162" s="17"/>
      <c r="AF162" s="17"/>
      <c r="AG162" s="18" t="n">
        <f aca="false">IFERROR(100*O162/F162,"")</f>
        <v>0.165520153257738</v>
      </c>
      <c r="AH162" s="18" t="n">
        <f aca="false">IFERROR(100*(P162+Q162)/F162,"")</f>
        <v>0.241505207783565</v>
      </c>
      <c r="AI162" s="18" t="n">
        <f aca="false">IFERROR(100*R162/K162,"")</f>
        <v>-0.000344141044601138</v>
      </c>
      <c r="AJ162" s="18" t="n">
        <f aca="false">IF(T162&gt;0,100*S162/T162,"")</f>
        <v>13.9528938577954</v>
      </c>
      <c r="AK162" s="18" t="n">
        <f aca="false">IFERROR(100*U162/G162,"")</f>
        <v>1.07564545512455</v>
      </c>
      <c r="AL162" s="18" t="n">
        <f aca="false">IFERROR(100*J162/H162,"")</f>
        <v>79.7632520011989</v>
      </c>
      <c r="AM162" s="18" t="n">
        <f aca="false">IFERROR(100*L162/J162,"")</f>
        <v>85.8199112911704</v>
      </c>
      <c r="AN162" s="18" t="n">
        <f aca="false">IFERROR(100*M162/J162,"")</f>
        <v>4.24515781157129</v>
      </c>
      <c r="AO162" s="18" t="n">
        <f aca="false">IFERROR(100*N162/J162,"")</f>
        <v>0.217452176655692</v>
      </c>
    </row>
    <row r="163" customFormat="false" ht="15" hidden="false" customHeight="false" outlineLevel="0" collapsed="false">
      <c r="A163" s="17" t="n">
        <v>14158</v>
      </c>
      <c r="B163" s="23" t="n">
        <v>45016</v>
      </c>
      <c r="C163" s="17" t="s">
        <v>112</v>
      </c>
      <c r="D163" s="17" t="s">
        <v>113</v>
      </c>
      <c r="E163" s="17" t="s">
        <v>114</v>
      </c>
      <c r="F163" s="17" t="n">
        <v>1361586</v>
      </c>
      <c r="G163" s="17" t="n">
        <v>1348687.5</v>
      </c>
      <c r="H163" s="17" t="n">
        <v>1229192</v>
      </c>
      <c r="I163" s="17" t="n">
        <v>76684</v>
      </c>
      <c r="J163" s="17" t="n">
        <v>976616</v>
      </c>
      <c r="K163" s="17" t="n">
        <v>968643.5</v>
      </c>
      <c r="L163" s="17" t="n">
        <v>836877</v>
      </c>
      <c r="M163" s="17" t="n">
        <v>41376</v>
      </c>
      <c r="N163" s="17" t="n">
        <v>2300</v>
      </c>
      <c r="O163" s="17" t="n">
        <v>2174</v>
      </c>
      <c r="P163" s="17" t="n">
        <v>1202</v>
      </c>
      <c r="Q163" s="17" t="n">
        <v>175</v>
      </c>
      <c r="R163" s="17" t="n">
        <v>0</v>
      </c>
      <c r="S163" s="17" t="n">
        <v>116351</v>
      </c>
      <c r="T163" s="17" t="n">
        <v>850408</v>
      </c>
      <c r="U163" s="17" t="n">
        <v>12820</v>
      </c>
      <c r="V163" s="17" t="n">
        <v>0.950553779137124</v>
      </c>
      <c r="W163" s="17" t="n">
        <v>17.35</v>
      </c>
      <c r="X163" s="17" t="n">
        <v>3.20763847247988</v>
      </c>
      <c r="Y163" s="17" t="n">
        <v>0.710002703211907</v>
      </c>
      <c r="Z163" s="17" t="n">
        <v>13.6817856840481</v>
      </c>
      <c r="AA163" s="17" t="n">
        <v>5.631961550721</v>
      </c>
      <c r="AB163" s="17" t="n">
        <v>10.4554956960366</v>
      </c>
      <c r="AC163" s="17" t="n">
        <v>17.5282172611777</v>
      </c>
      <c r="AD163" s="17" t="n">
        <v>8.08420985989058</v>
      </c>
      <c r="AE163" s="17" t="n">
        <v>0.0672624604038643</v>
      </c>
      <c r="AF163" s="17" t="n">
        <v>-0.197678632521957</v>
      </c>
      <c r="AG163" s="18" t="n">
        <f aca="false">IFERROR(100*O163/F163,"")</f>
        <v>0.159666741579305</v>
      </c>
      <c r="AH163" s="18" t="n">
        <f aca="false">IFERROR(100*(P163+Q163)/F163,"")</f>
        <v>0.101132062168677</v>
      </c>
      <c r="AI163" s="18" t="n">
        <f aca="false">IFERROR(100*R163/K163,"")</f>
        <v>0</v>
      </c>
      <c r="AJ163" s="18" t="n">
        <f aca="false">IF(T163&gt;0,100*S163/T163,"")</f>
        <v>13.6817856840481</v>
      </c>
      <c r="AK163" s="18" t="n">
        <f aca="false">IFERROR(100*U163/G163,"")</f>
        <v>0.950553779137124</v>
      </c>
      <c r="AL163" s="18" t="n">
        <f aca="false">IFERROR(100*J163/H163,"")</f>
        <v>79.4518675682888</v>
      </c>
      <c r="AM163" s="18" t="n">
        <f aca="false">IFERROR(100*L163/J163,"")</f>
        <v>85.691510276301</v>
      </c>
      <c r="AN163" s="18" t="n">
        <f aca="false">IFERROR(100*M163/J163,"")</f>
        <v>4.23667029825438</v>
      </c>
      <c r="AO163" s="18" t="n">
        <f aca="false">IFERROR(100*N163/J163,"")</f>
        <v>0.235507097979144</v>
      </c>
    </row>
    <row r="164" customFormat="false" ht="15" hidden="false" customHeight="false" outlineLevel="0" collapsed="false">
      <c r="A164" s="17" t="n">
        <v>14158</v>
      </c>
      <c r="B164" s="23" t="n">
        <v>45107</v>
      </c>
      <c r="C164" s="17" t="s">
        <v>112</v>
      </c>
      <c r="D164" s="17" t="s">
        <v>113</v>
      </c>
      <c r="E164" s="17" t="s">
        <v>114</v>
      </c>
      <c r="F164" s="17" t="n">
        <v>1334466</v>
      </c>
      <c r="G164" s="17" t="n">
        <v>1343947</v>
      </c>
      <c r="H164" s="17" t="n">
        <v>1127096</v>
      </c>
      <c r="I164" s="17" t="n">
        <v>75241</v>
      </c>
      <c r="J164" s="17" t="n">
        <v>940237</v>
      </c>
      <c r="K164" s="17" t="n">
        <v>959174.666666667</v>
      </c>
      <c r="L164" s="17" t="n">
        <v>869255</v>
      </c>
      <c r="M164" s="17" t="n">
        <v>41096</v>
      </c>
      <c r="N164" s="17" t="n">
        <v>2333</v>
      </c>
      <c r="O164" s="17" t="n">
        <v>1957</v>
      </c>
      <c r="P164" s="17" t="n">
        <v>286</v>
      </c>
      <c r="Q164" s="17" t="n">
        <v>64</v>
      </c>
      <c r="R164" s="17" t="n">
        <v>6</v>
      </c>
      <c r="S164" s="17" t="n">
        <v>117546</v>
      </c>
      <c r="T164" s="17" t="n">
        <v>872412</v>
      </c>
      <c r="U164" s="17" t="n">
        <v>12292</v>
      </c>
      <c r="V164" s="17" t="n">
        <v>0.914619400913875</v>
      </c>
      <c r="W164" s="17" t="n">
        <v>16.54</v>
      </c>
      <c r="X164" s="17" t="n">
        <v>3.17333702990149</v>
      </c>
      <c r="Y164" s="17" t="n">
        <v>0.721094787803501</v>
      </c>
      <c r="Z164" s="17" t="n">
        <v>13.4736798668519</v>
      </c>
      <c r="AA164" s="17" t="n">
        <v>5.63828527665748</v>
      </c>
      <c r="AB164" s="17" t="n">
        <v>12.0400113512143</v>
      </c>
      <c r="AC164" s="17" t="n">
        <v>14.2497988981319</v>
      </c>
      <c r="AD164" s="17" t="n">
        <v>1.93257467711288</v>
      </c>
      <c r="AE164" s="17" t="n">
        <v>-0.0509541030039264</v>
      </c>
      <c r="AF164" s="17" t="n">
        <v>0.0277649216440738</v>
      </c>
      <c r="AG164" s="18" t="n">
        <f aca="false">IFERROR(100*O164/F164,"")</f>
        <v>0.146650420467813</v>
      </c>
      <c r="AH164" s="18" t="n">
        <f aca="false">IFERROR(100*(P164+Q164)/F164,"")</f>
        <v>0.0262277195522404</v>
      </c>
      <c r="AI164" s="18" t="n">
        <f aca="false">IFERROR(100*R164/K164,"")</f>
        <v>0.000625537788737818</v>
      </c>
      <c r="AJ164" s="18" t="n">
        <f aca="false">IF(T164&gt;0,100*S164/T164,"")</f>
        <v>13.4736798668519</v>
      </c>
      <c r="AK164" s="18" t="n">
        <f aca="false">IFERROR(100*U164/G164,"")</f>
        <v>0.914619400913875</v>
      </c>
      <c r="AL164" s="18" t="n">
        <f aca="false">IFERROR(100*J164/H164,"")</f>
        <v>83.4211992589806</v>
      </c>
      <c r="AM164" s="18" t="n">
        <f aca="false">IFERROR(100*L164/J164,"")</f>
        <v>92.450626810049</v>
      </c>
      <c r="AN164" s="18" t="n">
        <f aca="false">IFERROR(100*M164/J164,"")</f>
        <v>4.37081289079243</v>
      </c>
      <c r="AO164" s="18" t="n">
        <f aca="false">IFERROR(100*N164/J164,"")</f>
        <v>0.248128929195511</v>
      </c>
    </row>
    <row r="165" customFormat="false" ht="15" hidden="false" customHeight="false" outlineLevel="0" collapsed="false">
      <c r="A165" s="17" t="n">
        <v>14158</v>
      </c>
      <c r="B165" s="23" t="n">
        <v>45199</v>
      </c>
      <c r="C165" s="17" t="s">
        <v>112</v>
      </c>
      <c r="D165" s="17" t="s">
        <v>113</v>
      </c>
      <c r="E165" s="17" t="s">
        <v>114</v>
      </c>
      <c r="F165" s="17" t="n">
        <v>1395141</v>
      </c>
      <c r="G165" s="17" t="n">
        <v>1356745.5</v>
      </c>
      <c r="H165" s="17" t="n">
        <v>1225741</v>
      </c>
      <c r="I165" s="17" t="n">
        <v>65297</v>
      </c>
      <c r="J165" s="17" t="n">
        <v>1029735</v>
      </c>
      <c r="K165" s="17" t="n">
        <v>976814.75</v>
      </c>
      <c r="L165" s="17" t="n">
        <v>900510</v>
      </c>
      <c r="M165" s="17" t="n">
        <v>41125</v>
      </c>
      <c r="N165" s="17" t="n">
        <v>2184</v>
      </c>
      <c r="O165" s="17" t="n">
        <v>1882</v>
      </c>
      <c r="P165" s="17" t="n">
        <v>150</v>
      </c>
      <c r="Q165" s="17" t="n">
        <v>245</v>
      </c>
      <c r="R165" s="17" t="n">
        <v>5.3332</v>
      </c>
      <c r="S165" s="17" t="n">
        <v>118274</v>
      </c>
      <c r="T165" s="17" t="n">
        <v>897322</v>
      </c>
      <c r="U165" s="17" t="n">
        <v>11843.7039</v>
      </c>
      <c r="V165" s="17" t="n">
        <v>0.872949562021764</v>
      </c>
      <c r="W165" s="17" t="n">
        <v>16.43</v>
      </c>
      <c r="X165" s="17" t="n">
        <v>3.07647902159446</v>
      </c>
      <c r="Y165" s="17" t="n">
        <v>0.669589748818871</v>
      </c>
      <c r="Z165" s="17" t="n">
        <v>13.1807756858742</v>
      </c>
      <c r="AA165" s="17" t="n">
        <v>4.68031546632204</v>
      </c>
      <c r="AB165" s="17" t="n">
        <v>7.35305659819849</v>
      </c>
      <c r="AC165" s="17" t="n">
        <v>9.25628252669775</v>
      </c>
      <c r="AD165" s="17" t="n">
        <v>2.21109466530467</v>
      </c>
      <c r="AE165" s="17" t="n">
        <v>-0.190683520846123</v>
      </c>
      <c r="AF165" s="17" t="n">
        <v>0.0286318220437131</v>
      </c>
      <c r="AG165" s="18" t="n">
        <f aca="false">IFERROR(100*O165/F165,"")</f>
        <v>0.134896759539</v>
      </c>
      <c r="AH165" s="18" t="n">
        <f aca="false">IFERROR(100*(P165+Q165)/F165,"")</f>
        <v>0.0283125504877285</v>
      </c>
      <c r="AI165" s="18" t="n">
        <f aca="false">IFERROR(100*R165/K165,"")</f>
        <v>0.000545978651530395</v>
      </c>
      <c r="AJ165" s="18" t="n">
        <f aca="false">IF(T165&gt;0,100*S165/T165,"")</f>
        <v>13.1807756858742</v>
      </c>
      <c r="AK165" s="18" t="n">
        <f aca="false">IFERROR(100*U165/G165,"")</f>
        <v>0.872949562021765</v>
      </c>
      <c r="AL165" s="18" t="n">
        <f aca="false">IFERROR(100*J165/H165,"")</f>
        <v>84.0091830166406</v>
      </c>
      <c r="AM165" s="18" t="n">
        <f aca="false">IFERROR(100*L165/J165,"")</f>
        <v>87.4506547801133</v>
      </c>
      <c r="AN165" s="18" t="n">
        <f aca="false">IFERROR(100*M165/J165,"")</f>
        <v>3.99374596376738</v>
      </c>
      <c r="AO165" s="18" t="n">
        <f aca="false">IFERROR(100*N165/J165,"")</f>
        <v>0.212093402671561</v>
      </c>
    </row>
    <row r="166" customFormat="false" ht="15" hidden="false" customHeight="false" outlineLevel="0" collapsed="false">
      <c r="A166" s="17" t="n">
        <v>14158</v>
      </c>
      <c r="B166" s="23" t="n">
        <v>45291</v>
      </c>
      <c r="C166" s="17" t="s">
        <v>112</v>
      </c>
      <c r="D166" s="17" t="s">
        <v>113</v>
      </c>
      <c r="E166" s="17" t="s">
        <v>114</v>
      </c>
      <c r="F166" s="17" t="n">
        <v>1468468</v>
      </c>
      <c r="G166" s="17" t="n">
        <v>1379090</v>
      </c>
      <c r="H166" s="17" t="n">
        <v>1308218</v>
      </c>
      <c r="I166" s="17" t="n">
        <v>82122</v>
      </c>
      <c r="J166" s="17" t="n">
        <v>1033092</v>
      </c>
      <c r="K166" s="17" t="n">
        <v>988070.2</v>
      </c>
      <c r="L166" s="17" t="n">
        <v>908227</v>
      </c>
      <c r="M166" s="17" t="n">
        <v>40326</v>
      </c>
      <c r="N166" s="17" t="n">
        <v>2468</v>
      </c>
      <c r="O166" s="17" t="n">
        <v>1858</v>
      </c>
      <c r="P166" s="17" t="n">
        <v>3617</v>
      </c>
      <c r="Q166" s="17" t="n">
        <v>162</v>
      </c>
      <c r="R166" s="17" t="n">
        <v>4</v>
      </c>
      <c r="S166" s="17" t="n">
        <v>119652</v>
      </c>
      <c r="T166" s="17" t="n">
        <v>896064</v>
      </c>
      <c r="U166" s="17" t="n">
        <v>12134</v>
      </c>
      <c r="V166" s="17" t="n">
        <v>0.879855556925219</v>
      </c>
      <c r="W166" s="17" t="n">
        <v>16.38</v>
      </c>
      <c r="X166" s="17" t="n">
        <v>2.98715522475713</v>
      </c>
      <c r="Y166" s="17" t="n">
        <v>0.635567790671112</v>
      </c>
      <c r="Z166" s="17" t="n">
        <v>13.3530640668524</v>
      </c>
      <c r="AA166" s="17" t="n">
        <v>5.59235883928012</v>
      </c>
      <c r="AB166" s="17" t="n">
        <v>9.93263157579527</v>
      </c>
      <c r="AC166" s="17" t="n">
        <v>7.53858500985249</v>
      </c>
      <c r="AD166" s="17" t="n">
        <v>8.61962316600009</v>
      </c>
      <c r="AE166" s="17" t="n">
        <v>-0.195789898199332</v>
      </c>
      <c r="AF166" s="17" t="n">
        <v>-0.0389937325253825</v>
      </c>
      <c r="AG166" s="18" t="n">
        <f aca="false">IFERROR(100*O166/F166,"")</f>
        <v>0.126526420732355</v>
      </c>
      <c r="AH166" s="18" t="n">
        <f aca="false">IFERROR(100*(P166+Q166)/F166,"")</f>
        <v>0.257343026882438</v>
      </c>
      <c r="AI166" s="18" t="n">
        <f aca="false">IFERROR(100*R166/K166,"")</f>
        <v>0.000404829535391311</v>
      </c>
      <c r="AJ166" s="18" t="n">
        <f aca="false">IF(T166&gt;0,100*S166/T166,"")</f>
        <v>13.3530640668524</v>
      </c>
      <c r="AK166" s="18" t="n">
        <f aca="false">IFERROR(100*U166/G166,"")</f>
        <v>0.879855556925219</v>
      </c>
      <c r="AL166" s="18" t="n">
        <f aca="false">IFERROR(100*J166/H166,"")</f>
        <v>78.9694072394662</v>
      </c>
      <c r="AM166" s="18" t="n">
        <f aca="false">IFERROR(100*L166/J166,"")</f>
        <v>87.9134675324172</v>
      </c>
      <c r="AN166" s="18" t="n">
        <f aca="false">IFERROR(100*M166/J166,"")</f>
        <v>3.90342776829169</v>
      </c>
      <c r="AO166" s="18" t="n">
        <f aca="false">IFERROR(100*N166/J166,"")</f>
        <v>0.238894503103305</v>
      </c>
    </row>
    <row r="167" customFormat="false" ht="15" hidden="false" customHeight="false" outlineLevel="0" collapsed="false">
      <c r="A167" s="17" t="n">
        <v>14158</v>
      </c>
      <c r="B167" s="23" t="n">
        <v>45382</v>
      </c>
      <c r="C167" s="17" t="s">
        <v>112</v>
      </c>
      <c r="D167" s="17" t="s">
        <v>113</v>
      </c>
      <c r="E167" s="17" t="s">
        <v>114</v>
      </c>
      <c r="F167" s="17" t="n">
        <v>1416981</v>
      </c>
      <c r="G167" s="17" t="n">
        <v>1442724.5</v>
      </c>
      <c r="H167" s="17" t="n">
        <v>1175239</v>
      </c>
      <c r="I167" s="17" t="n">
        <v>79774</v>
      </c>
      <c r="J167" s="17" t="n">
        <v>1039391</v>
      </c>
      <c r="K167" s="17" t="n">
        <v>1036241.5</v>
      </c>
      <c r="L167" s="17" t="n">
        <v>909000</v>
      </c>
      <c r="M167" s="17" t="n">
        <v>40567</v>
      </c>
      <c r="N167" s="17" t="n">
        <v>2275</v>
      </c>
      <c r="O167" s="17" t="n">
        <v>1813</v>
      </c>
      <c r="P167" s="17" t="n">
        <v>2549</v>
      </c>
      <c r="Q167" s="17" t="n">
        <v>60</v>
      </c>
      <c r="R167" s="17" t="n">
        <v>-4</v>
      </c>
      <c r="S167" s="17" t="n">
        <v>120015</v>
      </c>
      <c r="T167" s="17" t="n">
        <v>899631</v>
      </c>
      <c r="U167" s="17" t="n">
        <v>10584</v>
      </c>
      <c r="V167" s="17" t="n">
        <v>0.733611995914674</v>
      </c>
      <c r="W167" s="17" t="n">
        <v>13.08</v>
      </c>
      <c r="X167" s="17" t="n">
        <v>2.72025620948649</v>
      </c>
      <c r="Y167" s="17" t="n">
        <v>0.639316676784771</v>
      </c>
      <c r="Z167" s="17" t="n">
        <v>13.3404695925329</v>
      </c>
      <c r="AA167" s="17" t="n">
        <v>5.62985671649796</v>
      </c>
      <c r="AB167" s="17" t="n">
        <v>4.0684172722105</v>
      </c>
      <c r="AC167" s="17" t="n">
        <v>6.42780785897426</v>
      </c>
      <c r="AD167" s="17" t="n">
        <v>-4.38930614582588</v>
      </c>
      <c r="AE167" s="17" t="n">
        <v>-0.21694178322245</v>
      </c>
      <c r="AF167" s="17" t="n">
        <v>-0.0317186604123736</v>
      </c>
      <c r="AG167" s="18" t="n">
        <f aca="false">IFERROR(100*O167/F167,"")</f>
        <v>0.127948081166932</v>
      </c>
      <c r="AH167" s="18" t="n">
        <f aca="false">IFERROR(100*(P167+Q167)/F167,"")</f>
        <v>0.184123852048828</v>
      </c>
      <c r="AI167" s="18" t="n">
        <f aca="false">IFERROR(100*R167/K167,"")</f>
        <v>-0.000386010403945412</v>
      </c>
      <c r="AJ167" s="18" t="n">
        <f aca="false">IF(T167&gt;0,100*S167/T167,"")</f>
        <v>13.3404695925329</v>
      </c>
      <c r="AK167" s="18" t="n">
        <f aca="false">IFERROR(100*U167/G167,"")</f>
        <v>0.733611995914674</v>
      </c>
      <c r="AL167" s="18" t="n">
        <f aca="false">IFERROR(100*J167/H167,"")</f>
        <v>88.4408192716545</v>
      </c>
      <c r="AM167" s="18" t="n">
        <f aca="false">IFERROR(100*L167/J167,"")</f>
        <v>87.4550578175105</v>
      </c>
      <c r="AN167" s="18" t="n">
        <f aca="false">IFERROR(100*M167/J167,"")</f>
        <v>3.90295855938718</v>
      </c>
      <c r="AO167" s="18" t="n">
        <f aca="false">IFERROR(100*N167/J167,"")</f>
        <v>0.21887817000532</v>
      </c>
    </row>
    <row r="168" customFormat="false" ht="15" hidden="false" customHeight="false" outlineLevel="0" collapsed="false">
      <c r="A168" s="17" t="n">
        <v>14158</v>
      </c>
      <c r="B168" s="23" t="n">
        <v>45473</v>
      </c>
      <c r="C168" s="17" t="s">
        <v>112</v>
      </c>
      <c r="D168" s="17" t="s">
        <v>113</v>
      </c>
      <c r="E168" s="17" t="s">
        <v>114</v>
      </c>
      <c r="F168" s="17" t="n">
        <v>1397831</v>
      </c>
      <c r="G168" s="17" t="n">
        <v>1427760</v>
      </c>
      <c r="H168" s="17" t="n">
        <v>1057053</v>
      </c>
      <c r="I168" s="17" t="n">
        <v>80058</v>
      </c>
      <c r="J168" s="17" t="n">
        <v>1014144</v>
      </c>
      <c r="K168" s="17" t="n">
        <v>1028875.66666667</v>
      </c>
      <c r="L168" s="17" t="n">
        <v>936491</v>
      </c>
      <c r="M168" s="17" t="n">
        <v>40549</v>
      </c>
      <c r="N168" s="17" t="n">
        <v>2209</v>
      </c>
      <c r="O168" s="17" t="n">
        <v>1771</v>
      </c>
      <c r="P168" s="17" t="n">
        <v>579</v>
      </c>
      <c r="Q168" s="17" t="n">
        <v>157</v>
      </c>
      <c r="R168" s="17" t="n">
        <v>-22</v>
      </c>
      <c r="S168" s="17" t="n">
        <v>121026</v>
      </c>
      <c r="T168" s="17" t="n">
        <v>921495</v>
      </c>
      <c r="U168" s="17" t="n">
        <v>9822</v>
      </c>
      <c r="V168" s="17" t="n">
        <v>0.687930744662969</v>
      </c>
      <c r="W168" s="17" t="n">
        <v>12.18</v>
      </c>
      <c r="X168" s="17" t="n">
        <v>2.84016956010422</v>
      </c>
      <c r="Y168" s="17" t="n">
        <v>0.679686513946737</v>
      </c>
      <c r="Z168" s="17" t="n">
        <v>13.1336578060651</v>
      </c>
      <c r="AA168" s="17" t="n">
        <v>5.72730179828606</v>
      </c>
      <c r="AB168" s="17" t="n">
        <v>4.74834128407917</v>
      </c>
      <c r="AC168" s="17" t="n">
        <v>7.86046496787511</v>
      </c>
      <c r="AD168" s="17" t="n">
        <v>-6.21446620341124</v>
      </c>
      <c r="AE168" s="17" t="n">
        <v>-0.226688656250907</v>
      </c>
      <c r="AF168" s="17" t="n">
        <v>-0.0199541317175989</v>
      </c>
      <c r="AG168" s="18" t="n">
        <f aca="false">IFERROR(100*O168/F168,"")</f>
        <v>0.126696288750214</v>
      </c>
      <c r="AH168" s="18" t="n">
        <f aca="false">IFERROR(100*(P168+Q168)/F168,"")</f>
        <v>0.0526530031169719</v>
      </c>
      <c r="AI168" s="18" t="n">
        <f aca="false">IFERROR(100*R168/K168,"")</f>
        <v>-0.00213825642035789</v>
      </c>
      <c r="AJ168" s="18" t="n">
        <f aca="false">IF(T168&gt;0,100*S168/T168,"")</f>
        <v>13.1336578060651</v>
      </c>
      <c r="AK168" s="18" t="n">
        <f aca="false">IFERROR(100*U168/G168,"")</f>
        <v>0.687930744662969</v>
      </c>
      <c r="AL168" s="18" t="n">
        <f aca="false">IFERROR(100*J168/H168,"")</f>
        <v>95.940695499658</v>
      </c>
      <c r="AM168" s="18" t="n">
        <f aca="false">IFERROR(100*L168/J168,"")</f>
        <v>92.3430005995204</v>
      </c>
      <c r="AN168" s="18" t="n">
        <f aca="false">IFERROR(100*M168/J168,"")</f>
        <v>3.99834737473179</v>
      </c>
      <c r="AO168" s="18" t="n">
        <f aca="false">IFERROR(100*N168/J168,"")</f>
        <v>0.217819165720056</v>
      </c>
    </row>
    <row r="169" customFormat="false" ht="15" hidden="false" customHeight="false" outlineLevel="0" collapsed="false">
      <c r="A169" s="17" t="n">
        <v>14158</v>
      </c>
      <c r="B169" s="23" t="n">
        <v>45565</v>
      </c>
      <c r="C169" s="17" t="s">
        <v>112</v>
      </c>
      <c r="D169" s="17" t="s">
        <v>113</v>
      </c>
      <c r="E169" s="17" t="s">
        <v>114</v>
      </c>
      <c r="F169" s="17" t="n">
        <v>1518788</v>
      </c>
      <c r="G169" s="17" t="n">
        <v>1450517</v>
      </c>
      <c r="H169" s="17" t="n">
        <v>1176600</v>
      </c>
      <c r="I169" s="17" t="n">
        <v>88128</v>
      </c>
      <c r="J169" s="17" t="n">
        <v>1127929</v>
      </c>
      <c r="K169" s="17" t="n">
        <v>1053639</v>
      </c>
      <c r="L169" s="17" t="n">
        <v>979666</v>
      </c>
      <c r="M169" s="17" t="n">
        <v>38744</v>
      </c>
      <c r="N169" s="17" t="n">
        <v>2036</v>
      </c>
      <c r="O169" s="17" t="n">
        <v>1709</v>
      </c>
      <c r="P169" s="17" t="n">
        <v>1116</v>
      </c>
      <c r="Q169" s="17" t="n">
        <v>255</v>
      </c>
      <c r="R169" s="17" t="n">
        <v>-21.3328</v>
      </c>
      <c r="S169" s="17" t="n">
        <v>121134</v>
      </c>
      <c r="T169" s="17" t="n">
        <v>951362</v>
      </c>
      <c r="U169" s="17" t="n">
        <v>8586.452</v>
      </c>
      <c r="V169" s="17" t="n">
        <v>0.591958039788572</v>
      </c>
      <c r="W169" s="17" t="n">
        <v>10.41</v>
      </c>
      <c r="X169" s="17" t="n">
        <v>2.80849544548636</v>
      </c>
      <c r="Y169" s="17" t="n">
        <v>0.65305528982764</v>
      </c>
      <c r="Z169" s="17" t="n">
        <v>12.7326927079282</v>
      </c>
      <c r="AA169" s="17" t="n">
        <v>5.80252148423612</v>
      </c>
      <c r="AB169" s="17" t="n">
        <v>8.86268843077509</v>
      </c>
      <c r="AC169" s="17" t="n">
        <v>9.53585145692824</v>
      </c>
      <c r="AD169" s="17" t="n">
        <v>-4.00908511667636</v>
      </c>
      <c r="AE169" s="17" t="n">
        <v>-0.280991522233193</v>
      </c>
      <c r="AF169" s="17" t="n">
        <v>-0.0223728259814528</v>
      </c>
      <c r="AG169" s="18" t="n">
        <f aca="false">IFERROR(100*O169/F169,"")</f>
        <v>0.112523933557547</v>
      </c>
      <c r="AH169" s="18" t="n">
        <f aca="false">IFERROR(100*(P169+Q169)/F169,"")</f>
        <v>0.090269346347219</v>
      </c>
      <c r="AI169" s="18" t="n">
        <f aca="false">IFERROR(100*R169/K169,"")</f>
        <v>-0.00202467828165055</v>
      </c>
      <c r="AJ169" s="18" t="n">
        <f aca="false">IF(T169&gt;0,100*S169/T169,"")</f>
        <v>12.7326927079282</v>
      </c>
      <c r="AK169" s="18" t="n">
        <f aca="false">IFERROR(100*U169/G169,"")</f>
        <v>0.591958039788572</v>
      </c>
      <c r="AL169" s="18" t="n">
        <f aca="false">IFERROR(100*J169/H169,"")</f>
        <v>95.8634200237974</v>
      </c>
      <c r="AM169" s="18" t="n">
        <f aca="false">IFERROR(100*L169/J169,"")</f>
        <v>86.8552896503237</v>
      </c>
      <c r="AN169" s="18" t="n">
        <f aca="false">IFERROR(100*M169/J169,"")</f>
        <v>3.43496798114066</v>
      </c>
      <c r="AO169" s="18" t="n">
        <f aca="false">IFERROR(100*N169/J169,"")</f>
        <v>0.180507815651517</v>
      </c>
    </row>
    <row r="170" customFormat="false" ht="15" hidden="false" customHeight="false" outlineLevel="0" collapsed="false">
      <c r="A170" s="17" t="n">
        <v>14158</v>
      </c>
      <c r="B170" s="23" t="n">
        <v>45657</v>
      </c>
      <c r="C170" s="17" t="s">
        <v>112</v>
      </c>
      <c r="D170" s="17" t="s">
        <v>113</v>
      </c>
      <c r="E170" s="17" t="s">
        <v>114</v>
      </c>
      <c r="F170" s="17" t="n">
        <v>1527590</v>
      </c>
      <c r="G170" s="17" t="n">
        <v>1465931.6</v>
      </c>
      <c r="H170" s="17" t="n">
        <v>1171399</v>
      </c>
      <c r="I170" s="17" t="n">
        <v>82437</v>
      </c>
      <c r="J170" s="17" t="n">
        <v>1163102</v>
      </c>
      <c r="K170" s="17" t="n">
        <v>1075531.6</v>
      </c>
      <c r="L170" s="17" t="n">
        <v>1010360</v>
      </c>
      <c r="M170" s="17" t="n">
        <v>35314</v>
      </c>
      <c r="N170" s="17" t="n">
        <v>2423</v>
      </c>
      <c r="O170" s="17" t="n">
        <v>1652</v>
      </c>
      <c r="P170" s="17" t="n">
        <v>3122</v>
      </c>
      <c r="Q170" s="17" t="n">
        <v>241</v>
      </c>
      <c r="R170" s="17" t="n">
        <v>-23</v>
      </c>
      <c r="S170" s="17" t="n">
        <v>122962</v>
      </c>
      <c r="T170" s="17" t="n">
        <v>983059</v>
      </c>
      <c r="U170" s="17" t="n">
        <v>9665</v>
      </c>
      <c r="V170" s="17" t="n">
        <v>0.659307705761988</v>
      </c>
      <c r="W170" s="17" t="n">
        <v>11.71</v>
      </c>
      <c r="X170" s="17" t="n">
        <v>2.86003880673193</v>
      </c>
      <c r="Y170" s="17" t="n">
        <v>0.660303223620972</v>
      </c>
      <c r="Z170" s="17" t="n">
        <v>12.508099717311</v>
      </c>
      <c r="AA170" s="17" t="n">
        <v>5.39653964741848</v>
      </c>
      <c r="AB170" s="17" t="n">
        <v>4.02610067090328</v>
      </c>
      <c r="AC170" s="17" t="n">
        <v>12.5845520050489</v>
      </c>
      <c r="AD170" s="17" t="n">
        <v>-10.4584251248645</v>
      </c>
      <c r="AE170" s="17" t="n">
        <v>-0.220547851163231</v>
      </c>
      <c r="AF170" s="17" t="n">
        <v>-0.0183822197360145</v>
      </c>
      <c r="AG170" s="18" t="n">
        <f aca="false">IFERROR(100*O170/F170,"")</f>
        <v>0.108144200996341</v>
      </c>
      <c r="AH170" s="18" t="n">
        <f aca="false">IFERROR(100*(P170+Q170)/F170,"")</f>
        <v>0.220150694885408</v>
      </c>
      <c r="AI170" s="18" t="n">
        <f aca="false">IFERROR(100*R170/K170,"")</f>
        <v>-0.00213847738178962</v>
      </c>
      <c r="AJ170" s="18" t="n">
        <f aca="false">IF(T170&gt;0,100*S170/T170,"")</f>
        <v>12.508099717311</v>
      </c>
      <c r="AK170" s="18" t="n">
        <f aca="false">IFERROR(100*U170/G170,"")</f>
        <v>0.659307705761988</v>
      </c>
      <c r="AL170" s="18" t="n">
        <f aca="false">IFERROR(100*J170/H170,"")</f>
        <v>99.2917016319802</v>
      </c>
      <c r="AM170" s="18" t="n">
        <f aca="false">IFERROR(100*L170/J170,"")</f>
        <v>86.8677037783445</v>
      </c>
      <c r="AN170" s="18" t="n">
        <f aca="false">IFERROR(100*M170/J170,"")</f>
        <v>3.03619115090508</v>
      </c>
      <c r="AO170" s="18" t="n">
        <f aca="false">IFERROR(100*N170/J170,"")</f>
        <v>0.208322227973127</v>
      </c>
    </row>
    <row r="171" customFormat="false" ht="15" hidden="false" customHeight="false" outlineLevel="0" collapsed="false">
      <c r="A171" s="17" t="n">
        <v>14158</v>
      </c>
      <c r="B171" s="23" t="n">
        <v>45747</v>
      </c>
      <c r="C171" s="17" t="s">
        <v>112</v>
      </c>
      <c r="D171" s="17" t="s">
        <v>113</v>
      </c>
      <c r="E171" s="17" t="s">
        <v>114</v>
      </c>
      <c r="F171" s="17" t="n">
        <v>1524011</v>
      </c>
      <c r="G171" s="17" t="n">
        <v>1525800.5</v>
      </c>
      <c r="H171" s="17" t="n">
        <v>1185295</v>
      </c>
      <c r="I171" s="17" t="n">
        <v>85660</v>
      </c>
      <c r="J171" s="17" t="n">
        <v>1167376</v>
      </c>
      <c r="K171" s="17" t="n">
        <v>1165239</v>
      </c>
      <c r="L171" s="17" t="n">
        <v>1013094</v>
      </c>
      <c r="M171" s="17" t="n">
        <v>34450</v>
      </c>
      <c r="N171" s="17" t="n">
        <v>2738</v>
      </c>
      <c r="O171" s="17" t="n">
        <v>14964</v>
      </c>
      <c r="P171" s="17" t="n">
        <v>2204</v>
      </c>
      <c r="Q171" s="17" t="n">
        <v>25</v>
      </c>
      <c r="R171" s="17" t="n">
        <v>-4</v>
      </c>
      <c r="S171" s="17" t="n">
        <v>123859</v>
      </c>
      <c r="T171" s="17" t="n">
        <v>985300</v>
      </c>
      <c r="U171" s="17" t="n">
        <v>10856</v>
      </c>
      <c r="V171" s="17" t="n">
        <v>0.711495375706064</v>
      </c>
      <c r="W171" s="17" t="n">
        <v>12.92</v>
      </c>
      <c r="X171" s="17" t="n">
        <v>2.93127630720553</v>
      </c>
      <c r="Y171" s="17" t="n">
        <v>0.694720467098861</v>
      </c>
      <c r="Z171" s="17" t="n">
        <v>12.5706891302142</v>
      </c>
      <c r="AA171" s="17" t="n">
        <v>5.62069433882039</v>
      </c>
      <c r="AB171" s="17" t="n">
        <v>7.55338286116751</v>
      </c>
      <c r="AC171" s="17" t="n">
        <v>12.3134604782993</v>
      </c>
      <c r="AD171" s="17" t="n">
        <v>0.855655743214778</v>
      </c>
      <c r="AE171" s="17" t="n">
        <v>-0.0221166202086102</v>
      </c>
      <c r="AF171" s="17" t="n">
        <v>0.853934595532908</v>
      </c>
      <c r="AG171" s="18" t="n">
        <f aca="false">IFERROR(100*O171/F171,"")</f>
        <v>0.98188267669984</v>
      </c>
      <c r="AH171" s="18" t="n">
        <f aca="false">IFERROR(100*(P171+Q171)/F171,"")</f>
        <v>0.146258786846027</v>
      </c>
      <c r="AI171" s="18" t="n">
        <f aca="false">IFERROR(100*R171/K171,"")</f>
        <v>-0.000343277216090433</v>
      </c>
      <c r="AJ171" s="18" t="n">
        <f aca="false">IF(T171&gt;0,100*S171/T171,"")</f>
        <v>12.5706891302141</v>
      </c>
      <c r="AK171" s="18" t="n">
        <f aca="false">IFERROR(100*U171/G171,"")</f>
        <v>0.711495375706064</v>
      </c>
      <c r="AL171" s="18" t="n">
        <f aca="false">IFERROR(100*J171/H171,"")</f>
        <v>98.4882244504533</v>
      </c>
      <c r="AM171" s="18" t="n">
        <f aca="false">IFERROR(100*L171/J171,"")</f>
        <v>86.7838639821274</v>
      </c>
      <c r="AN171" s="18" t="n">
        <f aca="false">IFERROR(100*M171/J171,"")</f>
        <v>2.951062896616</v>
      </c>
      <c r="AO171" s="18" t="n">
        <f aca="false">IFERROR(100*N171/J171,"")</f>
        <v>0.234543112073574</v>
      </c>
    </row>
    <row r="172" customFormat="false" ht="15" hidden="false" customHeight="false" outlineLevel="0" collapsed="false">
      <c r="A172" s="17" t="n">
        <v>14158</v>
      </c>
      <c r="B172" s="23" t="n">
        <v>45838</v>
      </c>
      <c r="C172" s="17" t="s">
        <v>112</v>
      </c>
      <c r="D172" s="17" t="s">
        <v>113</v>
      </c>
      <c r="E172" s="17" t="s">
        <v>114</v>
      </c>
      <c r="F172" s="17" t="n">
        <v>1479452</v>
      </c>
      <c r="G172" s="17" t="n">
        <v>1510351</v>
      </c>
      <c r="H172" s="17" t="n">
        <v>1107517</v>
      </c>
      <c r="I172" s="17" t="n">
        <v>86521</v>
      </c>
      <c r="J172" s="17" t="n">
        <v>1113914</v>
      </c>
      <c r="K172" s="17" t="n">
        <v>1148130.66666667</v>
      </c>
      <c r="L172" s="17" t="n">
        <v>1031319</v>
      </c>
      <c r="M172" s="17" t="n">
        <v>34247</v>
      </c>
      <c r="N172" s="17" t="n">
        <v>2362</v>
      </c>
      <c r="O172" s="17" t="n">
        <v>15189</v>
      </c>
      <c r="P172" s="17" t="n">
        <v>1302</v>
      </c>
      <c r="Q172" s="17" t="n">
        <v>72</v>
      </c>
      <c r="R172" s="17" t="n">
        <v>-12</v>
      </c>
      <c r="S172" s="17" t="n">
        <v>124743</v>
      </c>
      <c r="T172" s="17" t="n">
        <v>988186</v>
      </c>
      <c r="U172" s="17" t="n">
        <v>10646</v>
      </c>
      <c r="V172" s="17" t="n">
        <v>0.704869265488618</v>
      </c>
      <c r="W172" s="17" t="n">
        <v>12.54</v>
      </c>
      <c r="X172" s="17" t="n">
        <v>2.99867350712437</v>
      </c>
      <c r="Y172" s="17" t="n">
        <v>0.745748774142349</v>
      </c>
      <c r="Z172" s="17" t="n">
        <v>12.6234332403009</v>
      </c>
      <c r="AA172" s="17" t="n">
        <v>5.84817892030292</v>
      </c>
      <c r="AB172" s="17" t="n">
        <v>5.83911789050322</v>
      </c>
      <c r="AC172" s="17" t="n">
        <v>9.83785340148933</v>
      </c>
      <c r="AD172" s="17" t="n">
        <v>4.77402741395181</v>
      </c>
      <c r="AE172" s="17" t="n">
        <v>0.0169385208256496</v>
      </c>
      <c r="AF172" s="17" t="n">
        <v>0.899967638163265</v>
      </c>
      <c r="AG172" s="18" t="n">
        <f aca="false">IFERROR(100*O172/F172,"")</f>
        <v>1.02666392691348</v>
      </c>
      <c r="AH172" s="18" t="n">
        <f aca="false">IFERROR(100*(P172+Q172)/F172,"")</f>
        <v>0.0928722256619343</v>
      </c>
      <c r="AI172" s="18" t="n">
        <f aca="false">IFERROR(100*R172/K172,"")</f>
        <v>-0.0010451772039884</v>
      </c>
      <c r="AJ172" s="18" t="n">
        <f aca="false">IF(T172&gt;0,100*S172/T172,"")</f>
        <v>12.6234332403009</v>
      </c>
      <c r="AK172" s="18" t="n">
        <f aca="false">IFERROR(100*U172/G172,"")</f>
        <v>0.704869265488618</v>
      </c>
      <c r="AL172" s="18" t="n">
        <f aca="false">IFERROR(100*J172/H172,"")</f>
        <v>100.577598357407</v>
      </c>
      <c r="AM172" s="18" t="n">
        <f aca="false">IFERROR(100*L172/J172,"")</f>
        <v>92.5851546887821</v>
      </c>
      <c r="AN172" s="18" t="n">
        <f aca="false">IFERROR(100*M172/J172,"")</f>
        <v>3.07447433105249</v>
      </c>
      <c r="AO172" s="18" t="n">
        <f aca="false">IFERROR(100*N172/J172,"")</f>
        <v>0.212045095043244</v>
      </c>
    </row>
    <row r="173" customFormat="false" ht="15" hidden="false" customHeight="false" outlineLevel="0" collapsed="false">
      <c r="A173" s="17" t="n">
        <v>14168</v>
      </c>
      <c r="B173" s="23" t="n">
        <v>44651</v>
      </c>
      <c r="C173" s="17" t="s">
        <v>162</v>
      </c>
      <c r="D173" s="17" t="s">
        <v>113</v>
      </c>
      <c r="E173" s="17" t="s">
        <v>118</v>
      </c>
      <c r="F173" s="17" t="n">
        <v>384095</v>
      </c>
      <c r="G173" s="17" t="n">
        <v>382949</v>
      </c>
      <c r="H173" s="17" t="n">
        <v>345364</v>
      </c>
      <c r="I173" s="17" t="n">
        <v>34244</v>
      </c>
      <c r="J173" s="17" t="n">
        <v>191155</v>
      </c>
      <c r="K173" s="17" t="n">
        <v>186597</v>
      </c>
      <c r="L173" s="17" t="n">
        <v>161619</v>
      </c>
      <c r="M173" s="17" t="n">
        <v>9537</v>
      </c>
      <c r="N173" s="17" t="n">
        <v>8111</v>
      </c>
      <c r="O173" s="17" t="n">
        <v>1188</v>
      </c>
      <c r="P173" s="17" t="n">
        <v>187</v>
      </c>
      <c r="Q173" s="17" t="n">
        <v>0</v>
      </c>
      <c r="R173" s="17" t="n">
        <v>136</v>
      </c>
      <c r="S173" s="17" t="n">
        <v>38845</v>
      </c>
      <c r="T173" s="17" t="n">
        <v>195943</v>
      </c>
      <c r="U173" s="17" t="n">
        <v>520</v>
      </c>
      <c r="V173" s="17" t="n">
        <v>0.135788316459894</v>
      </c>
      <c r="W173" s="17" t="n">
        <v>1.45</v>
      </c>
      <c r="X173" s="17" t="n">
        <v>2.41845908043839</v>
      </c>
      <c r="Y173" s="17" t="n">
        <v>1.5327875284455</v>
      </c>
      <c r="Z173" s="17" t="n">
        <v>19.8246428808378</v>
      </c>
      <c r="AA173" s="17" t="n">
        <v>8.91550267511944</v>
      </c>
      <c r="AB173" s="17"/>
      <c r="AC173" s="17"/>
      <c r="AD173" s="17"/>
      <c r="AE173" s="17"/>
      <c r="AF173" s="17"/>
      <c r="AG173" s="18" t="n">
        <f aca="false">IFERROR(100*O173/F173,"")</f>
        <v>0.309298480844583</v>
      </c>
      <c r="AH173" s="18" t="n">
        <f aca="false">IFERROR(100*(P173+Q173)/F173,"")</f>
        <v>0.0486858719847954</v>
      </c>
      <c r="AI173" s="18" t="n">
        <f aca="false">IFERROR(100*R173/K173,"")</f>
        <v>0.0728843443356538</v>
      </c>
      <c r="AJ173" s="18" t="n">
        <f aca="false">IF(T173&gt;0,100*S173/T173,"")</f>
        <v>19.8246428808378</v>
      </c>
      <c r="AK173" s="18" t="n">
        <f aca="false">IFERROR(100*U173/G173,"")</f>
        <v>0.135788316459894</v>
      </c>
      <c r="AL173" s="18" t="n">
        <f aca="false">IFERROR(100*J173/H173,"")</f>
        <v>55.3488493299823</v>
      </c>
      <c r="AM173" s="18" t="n">
        <f aca="false">IFERROR(100*L173/J173,"")</f>
        <v>84.548664696189</v>
      </c>
      <c r="AN173" s="18" t="n">
        <f aca="false">IFERROR(100*M173/J173,"")</f>
        <v>4.98914493473883</v>
      </c>
      <c r="AO173" s="18" t="n">
        <f aca="false">IFERROR(100*N173/J173,"")</f>
        <v>4.24315346185033</v>
      </c>
    </row>
    <row r="174" customFormat="false" ht="15" hidden="false" customHeight="false" outlineLevel="0" collapsed="false">
      <c r="A174" s="17" t="n">
        <v>14168</v>
      </c>
      <c r="B174" s="23" t="n">
        <v>44742</v>
      </c>
      <c r="C174" s="17" t="s">
        <v>162</v>
      </c>
      <c r="D174" s="17" t="s">
        <v>113</v>
      </c>
      <c r="E174" s="17" t="s">
        <v>118</v>
      </c>
      <c r="F174" s="17" t="n">
        <v>366581</v>
      </c>
      <c r="G174" s="17" t="n">
        <v>377493</v>
      </c>
      <c r="H174" s="17" t="n">
        <v>329789</v>
      </c>
      <c r="I174" s="17" t="n">
        <v>32327</v>
      </c>
      <c r="J174" s="17" t="n">
        <v>200834</v>
      </c>
      <c r="K174" s="17" t="n">
        <v>191342.666666667</v>
      </c>
      <c r="L174" s="17" t="n">
        <v>167425</v>
      </c>
      <c r="M174" s="17" t="n">
        <v>11194</v>
      </c>
      <c r="N174" s="17" t="n">
        <v>8894</v>
      </c>
      <c r="O174" s="17" t="n">
        <v>1103</v>
      </c>
      <c r="P174" s="17" t="n">
        <v>467</v>
      </c>
      <c r="Q174" s="17" t="n">
        <v>0</v>
      </c>
      <c r="R174" s="17" t="n">
        <v>114</v>
      </c>
      <c r="S174" s="17" t="n">
        <v>39117</v>
      </c>
      <c r="T174" s="17" t="n">
        <v>209786</v>
      </c>
      <c r="U174" s="17" t="n">
        <v>1182</v>
      </c>
      <c r="V174" s="17" t="n">
        <v>0.313118388950259</v>
      </c>
      <c r="W174" s="17" t="n">
        <v>3.41</v>
      </c>
      <c r="X174" s="17" t="n">
        <v>2.67035333231684</v>
      </c>
      <c r="Y174" s="17" t="n">
        <v>1.44746407480805</v>
      </c>
      <c r="Z174" s="17" t="n">
        <v>18.6461441659596</v>
      </c>
      <c r="AA174" s="17" t="n">
        <v>8.81851487120173</v>
      </c>
      <c r="AB174" s="17"/>
      <c r="AC174" s="17"/>
      <c r="AD174" s="17"/>
      <c r="AE174" s="17"/>
      <c r="AF174" s="17"/>
      <c r="AG174" s="18" t="n">
        <f aca="false">IFERROR(100*O174/F174,"")</f>
        <v>0.300888480308581</v>
      </c>
      <c r="AH174" s="18" t="n">
        <f aca="false">IFERROR(100*(P174+Q174)/F174,"")</f>
        <v>0.127393400094386</v>
      </c>
      <c r="AI174" s="18" t="n">
        <f aca="false">IFERROR(100*R174/K174,"")</f>
        <v>0.0595789752416258</v>
      </c>
      <c r="AJ174" s="18" t="n">
        <f aca="false">IF(T174&gt;0,100*S174/T174,"")</f>
        <v>18.6461441659596</v>
      </c>
      <c r="AK174" s="18" t="n">
        <f aca="false">IFERROR(100*U174/G174,"")</f>
        <v>0.313118388950259</v>
      </c>
      <c r="AL174" s="18" t="n">
        <f aca="false">IFERROR(100*J174/H174,"")</f>
        <v>60.8977255154053</v>
      </c>
      <c r="AM174" s="18" t="n">
        <f aca="false">IFERROR(100*L174/J174,"")</f>
        <v>83.3648684983618</v>
      </c>
      <c r="AN174" s="18" t="n">
        <f aca="false">IFERROR(100*M174/J174,"")</f>
        <v>5.5737574315106</v>
      </c>
      <c r="AO174" s="18" t="n">
        <f aca="false">IFERROR(100*N174/J174,"")</f>
        <v>4.42853301731779</v>
      </c>
    </row>
    <row r="175" customFormat="false" ht="15" hidden="false" customHeight="false" outlineLevel="0" collapsed="false">
      <c r="A175" s="17" t="n">
        <v>14168</v>
      </c>
      <c r="B175" s="23" t="n">
        <v>44834</v>
      </c>
      <c r="C175" s="17" t="s">
        <v>162</v>
      </c>
      <c r="D175" s="17" t="s">
        <v>113</v>
      </c>
      <c r="E175" s="17" t="s">
        <v>118</v>
      </c>
      <c r="F175" s="17" t="n">
        <v>365479</v>
      </c>
      <c r="G175" s="17" t="n">
        <v>374489.5</v>
      </c>
      <c r="H175" s="17" t="n">
        <v>330944</v>
      </c>
      <c r="I175" s="17" t="n">
        <v>29862</v>
      </c>
      <c r="J175" s="17" t="n">
        <v>198184</v>
      </c>
      <c r="K175" s="17" t="n">
        <v>193053</v>
      </c>
      <c r="L175" s="17" t="n">
        <v>164935</v>
      </c>
      <c r="M175" s="17" t="n">
        <v>10617</v>
      </c>
      <c r="N175" s="17" t="n">
        <v>8545</v>
      </c>
      <c r="O175" s="17" t="n">
        <v>1286</v>
      </c>
      <c r="P175" s="17" t="n">
        <v>282</v>
      </c>
      <c r="Q175" s="17" t="n">
        <v>0</v>
      </c>
      <c r="R175" s="17" t="n">
        <v>69.3316</v>
      </c>
      <c r="S175" s="17" t="n">
        <v>39231</v>
      </c>
      <c r="T175" s="17" t="n">
        <v>208095</v>
      </c>
      <c r="U175" s="17" t="n">
        <v>1698.6242</v>
      </c>
      <c r="V175" s="17" t="n">
        <v>0.453583932259783</v>
      </c>
      <c r="W175" s="17" t="n">
        <v>5.07</v>
      </c>
      <c r="X175" s="17" t="n">
        <v>2.87830679115721</v>
      </c>
      <c r="Y175" s="17" t="n">
        <v>1.4693416219271</v>
      </c>
      <c r="Z175" s="17" t="n">
        <v>18.8524471995963</v>
      </c>
      <c r="AA175" s="17" t="n">
        <v>8.17064728753225</v>
      </c>
      <c r="AB175" s="17"/>
      <c r="AC175" s="17"/>
      <c r="AD175" s="17"/>
      <c r="AE175" s="17"/>
      <c r="AF175" s="17"/>
      <c r="AG175" s="18" t="n">
        <f aca="false">IFERROR(100*O175/F175,"")</f>
        <v>0.351867001934448</v>
      </c>
      <c r="AH175" s="18" t="n">
        <f aca="false">IFERROR(100*(P175+Q175)/F175,"")</f>
        <v>0.0771590159762941</v>
      </c>
      <c r="AI175" s="18" t="n">
        <f aca="false">IFERROR(100*R175/K175,"")</f>
        <v>0.0359132466213941</v>
      </c>
      <c r="AJ175" s="18" t="n">
        <f aca="false">IF(T175&gt;0,100*S175/T175,"")</f>
        <v>18.8524471995963</v>
      </c>
      <c r="AK175" s="18" t="n">
        <f aca="false">IFERROR(100*U175/G175,"")</f>
        <v>0.453583932259783</v>
      </c>
      <c r="AL175" s="18" t="n">
        <f aca="false">IFERROR(100*J175/H175,"")</f>
        <v>59.884451750145</v>
      </c>
      <c r="AM175" s="18" t="n">
        <f aca="false">IFERROR(100*L175/J175,"")</f>
        <v>83.2231663504622</v>
      </c>
      <c r="AN175" s="18" t="n">
        <f aca="false">IFERROR(100*M175/J175,"")</f>
        <v>5.35714285714286</v>
      </c>
      <c r="AO175" s="18" t="n">
        <f aca="false">IFERROR(100*N175/J175,"")</f>
        <v>4.31164978000242</v>
      </c>
    </row>
    <row r="176" customFormat="false" ht="15" hidden="false" customHeight="false" outlineLevel="0" collapsed="false">
      <c r="A176" s="17" t="n">
        <v>14168</v>
      </c>
      <c r="B176" s="23" t="n">
        <v>44926</v>
      </c>
      <c r="C176" s="17" t="s">
        <v>162</v>
      </c>
      <c r="D176" s="17" t="s">
        <v>113</v>
      </c>
      <c r="E176" s="17" t="s">
        <v>118</v>
      </c>
      <c r="F176" s="17" t="n">
        <v>368796</v>
      </c>
      <c r="G176" s="17" t="n">
        <v>373350.8</v>
      </c>
      <c r="H176" s="17" t="n">
        <v>332153</v>
      </c>
      <c r="I176" s="17" t="n">
        <v>31831</v>
      </c>
      <c r="J176" s="17" t="n">
        <v>208925</v>
      </c>
      <c r="K176" s="17" t="n">
        <v>196227.4</v>
      </c>
      <c r="L176" s="17" t="n">
        <v>173273</v>
      </c>
      <c r="M176" s="17" t="n">
        <v>11593</v>
      </c>
      <c r="N176" s="17" t="n">
        <v>9164</v>
      </c>
      <c r="O176" s="17" t="n">
        <v>1146</v>
      </c>
      <c r="P176" s="17" t="n">
        <v>204</v>
      </c>
      <c r="Q176" s="17" t="n">
        <v>0</v>
      </c>
      <c r="R176" s="17" t="n">
        <v>58</v>
      </c>
      <c r="S176" s="17" t="n">
        <v>39963</v>
      </c>
      <c r="T176" s="17" t="n">
        <v>217907</v>
      </c>
      <c r="U176" s="17" t="n">
        <v>2072</v>
      </c>
      <c r="V176" s="17" t="n">
        <v>0.554974035143356</v>
      </c>
      <c r="W176" s="17" t="n">
        <v>6.25</v>
      </c>
      <c r="X176" s="17" t="n">
        <v>3.0732840381186</v>
      </c>
      <c r="Y176" s="17" t="n">
        <v>1.42682780902238</v>
      </c>
      <c r="Z176" s="17" t="n">
        <v>18.3394750971745</v>
      </c>
      <c r="AA176" s="17" t="n">
        <v>8.6310589051942</v>
      </c>
      <c r="AB176" s="17"/>
      <c r="AC176" s="17"/>
      <c r="AD176" s="17"/>
      <c r="AE176" s="17"/>
      <c r="AF176" s="17"/>
      <c r="AG176" s="18" t="n">
        <f aca="false">IFERROR(100*O176/F176,"")</f>
        <v>0.310740897406696</v>
      </c>
      <c r="AH176" s="18" t="n">
        <f aca="false">IFERROR(100*(P176+Q176)/F176,"")</f>
        <v>0.0553151335697784</v>
      </c>
      <c r="AI176" s="18" t="n">
        <f aca="false">IFERROR(100*R176/K176,"")</f>
        <v>0.0295575439515582</v>
      </c>
      <c r="AJ176" s="18" t="n">
        <f aca="false">IF(T176&gt;0,100*S176/T176,"")</f>
        <v>18.3394750971745</v>
      </c>
      <c r="AK176" s="18" t="n">
        <f aca="false">IFERROR(100*U176/G176,"")</f>
        <v>0.554974035143356</v>
      </c>
      <c r="AL176" s="18" t="n">
        <f aca="false">IFERROR(100*J176/H176,"")</f>
        <v>62.9002297134152</v>
      </c>
      <c r="AM176" s="18" t="n">
        <f aca="false">IFERROR(100*L176/J176,"")</f>
        <v>82.9355031709944</v>
      </c>
      <c r="AN176" s="18" t="n">
        <f aca="false">IFERROR(100*M176/J176,"")</f>
        <v>5.54888117745603</v>
      </c>
      <c r="AO176" s="18" t="n">
        <f aca="false">IFERROR(100*N176/J176,"")</f>
        <v>4.38626301304296</v>
      </c>
    </row>
    <row r="177" customFormat="false" ht="15" hidden="false" customHeight="false" outlineLevel="0" collapsed="false">
      <c r="A177" s="17" t="n">
        <v>14168</v>
      </c>
      <c r="B177" s="23" t="n">
        <v>45016</v>
      </c>
      <c r="C177" s="17" t="s">
        <v>162</v>
      </c>
      <c r="D177" s="17" t="s">
        <v>113</v>
      </c>
      <c r="E177" s="17" t="s">
        <v>118</v>
      </c>
      <c r="F177" s="17" t="n">
        <v>356091</v>
      </c>
      <c r="G177" s="17" t="n">
        <v>362443.5</v>
      </c>
      <c r="H177" s="17" t="n">
        <v>318086</v>
      </c>
      <c r="I177" s="17" t="n">
        <v>33166</v>
      </c>
      <c r="J177" s="17" t="n">
        <v>213563</v>
      </c>
      <c r="K177" s="17" t="n">
        <v>211244</v>
      </c>
      <c r="L177" s="17" t="n">
        <v>178006</v>
      </c>
      <c r="M177" s="17" t="n">
        <v>11681</v>
      </c>
      <c r="N177" s="17" t="n">
        <v>9179</v>
      </c>
      <c r="O177" s="17" t="n">
        <v>977</v>
      </c>
      <c r="P177" s="17" t="n">
        <v>232</v>
      </c>
      <c r="Q177" s="17" t="n">
        <v>0</v>
      </c>
      <c r="R177" s="17" t="n">
        <v>4</v>
      </c>
      <c r="S177" s="17" t="n">
        <v>40383</v>
      </c>
      <c r="T177" s="17" t="n">
        <v>230748</v>
      </c>
      <c r="U177" s="17" t="n">
        <v>2856</v>
      </c>
      <c r="V177" s="17" t="n">
        <v>0.78798488592015</v>
      </c>
      <c r="W177" s="17" t="n">
        <v>8.79</v>
      </c>
      <c r="X177" s="17" t="n">
        <v>3.74117535947867</v>
      </c>
      <c r="Y177" s="17" t="n">
        <v>1.51664848311739</v>
      </c>
      <c r="Z177" s="17" t="n">
        <v>17.5009100837277</v>
      </c>
      <c r="AA177" s="17" t="n">
        <v>9.31391133165399</v>
      </c>
      <c r="AB177" s="17" t="n">
        <v>-7.29090459391557</v>
      </c>
      <c r="AC177" s="17" t="n">
        <v>11.7224242107191</v>
      </c>
      <c r="AD177" s="17" t="n">
        <v>-7.89833335263664</v>
      </c>
      <c r="AE177" s="17" t="n">
        <v>0.652196569460256</v>
      </c>
      <c r="AF177" s="17" t="n">
        <v>-0.0349304120082459</v>
      </c>
      <c r="AG177" s="18" t="n">
        <f aca="false">IFERROR(100*O177/F177,"")</f>
        <v>0.274368068836337</v>
      </c>
      <c r="AH177" s="18" t="n">
        <f aca="false">IFERROR(100*(P177+Q177)/F177,"")</f>
        <v>0.0651518853326818</v>
      </c>
      <c r="AI177" s="18" t="n">
        <f aca="false">IFERROR(100*R177/K177,"")</f>
        <v>0.00189354490541743</v>
      </c>
      <c r="AJ177" s="18" t="n">
        <f aca="false">IF(T177&gt;0,100*S177/T177,"")</f>
        <v>17.5009100837277</v>
      </c>
      <c r="AK177" s="18" t="n">
        <f aca="false">IFERROR(100*U177/G177,"")</f>
        <v>0.78798488592015</v>
      </c>
      <c r="AL177" s="18" t="n">
        <f aca="false">IFERROR(100*J177/H177,"")</f>
        <v>67.1400187370711</v>
      </c>
      <c r="AM177" s="18" t="n">
        <f aca="false">IFERROR(100*L177/J177,"")</f>
        <v>83.350580390798</v>
      </c>
      <c r="AN177" s="18" t="n">
        <f aca="false">IFERROR(100*M177/J177,"")</f>
        <v>5.46958040484541</v>
      </c>
      <c r="AO177" s="18" t="n">
        <f aca="false">IFERROR(100*N177/J177,"")</f>
        <v>4.29802915298998</v>
      </c>
    </row>
    <row r="178" customFormat="false" ht="15" hidden="false" customHeight="false" outlineLevel="0" collapsed="false">
      <c r="A178" s="17" t="n">
        <v>14168</v>
      </c>
      <c r="B178" s="23" t="n">
        <v>45107</v>
      </c>
      <c r="C178" s="17" t="s">
        <v>162</v>
      </c>
      <c r="D178" s="17" t="s">
        <v>113</v>
      </c>
      <c r="E178" s="17" t="s">
        <v>118</v>
      </c>
      <c r="F178" s="17" t="n">
        <v>354017</v>
      </c>
      <c r="G178" s="17" t="n">
        <v>359634.666666667</v>
      </c>
      <c r="H178" s="17" t="n">
        <v>316211</v>
      </c>
      <c r="I178" s="17" t="n">
        <v>33013</v>
      </c>
      <c r="J178" s="17" t="n">
        <v>221896</v>
      </c>
      <c r="K178" s="17" t="n">
        <v>214794.666666667</v>
      </c>
      <c r="L178" s="17" t="n">
        <v>185047</v>
      </c>
      <c r="M178" s="17" t="n">
        <v>11719</v>
      </c>
      <c r="N178" s="17" t="n">
        <v>9368</v>
      </c>
      <c r="O178" s="17" t="n">
        <v>1000</v>
      </c>
      <c r="P178" s="17" t="n">
        <v>648</v>
      </c>
      <c r="Q178" s="17" t="n">
        <v>0</v>
      </c>
      <c r="R178" s="17" t="n">
        <v>-12</v>
      </c>
      <c r="S178" s="17" t="n">
        <v>40821</v>
      </c>
      <c r="T178" s="17" t="n">
        <v>237587</v>
      </c>
      <c r="U178" s="17" t="n">
        <v>2774</v>
      </c>
      <c r="V178" s="17" t="n">
        <v>0.771338321111053</v>
      </c>
      <c r="W178" s="17" t="n">
        <v>8.49</v>
      </c>
      <c r="X178" s="17" t="n">
        <v>3.87001556218775</v>
      </c>
      <c r="Y178" s="17" t="n">
        <v>1.57551285286801</v>
      </c>
      <c r="Z178" s="17" t="n">
        <v>17.1814956205516</v>
      </c>
      <c r="AA178" s="17" t="n">
        <v>9.32525839154617</v>
      </c>
      <c r="AB178" s="17" t="n">
        <v>-3.42734620725024</v>
      </c>
      <c r="AC178" s="17" t="n">
        <v>10.4872680920561</v>
      </c>
      <c r="AD178" s="17" t="n">
        <v>-4.11717795317612</v>
      </c>
      <c r="AE178" s="17" t="n">
        <v>0.458219932160795</v>
      </c>
      <c r="AF178" s="17" t="n">
        <v>-0.0184161696568328</v>
      </c>
      <c r="AG178" s="18" t="n">
        <f aca="false">IFERROR(100*O178/F178,"")</f>
        <v>0.282472310651748</v>
      </c>
      <c r="AH178" s="18" t="n">
        <f aca="false">IFERROR(100*(P178+Q178)/F178,"")</f>
        <v>0.183042057302333</v>
      </c>
      <c r="AI178" s="18" t="n">
        <f aca="false">IFERROR(100*R178/K178,"")</f>
        <v>-0.00558673089338034</v>
      </c>
      <c r="AJ178" s="18" t="n">
        <f aca="false">IF(T178&gt;0,100*S178/T178,"")</f>
        <v>17.1814956205516</v>
      </c>
      <c r="AK178" s="18" t="n">
        <f aca="false">IFERROR(100*U178/G178,"")</f>
        <v>0.771338321111053</v>
      </c>
      <c r="AL178" s="18" t="n">
        <f aca="false">IFERROR(100*J178/H178,"")</f>
        <v>70.1733968774015</v>
      </c>
      <c r="AM178" s="18" t="n">
        <f aca="false">IFERROR(100*L178/J178,"")</f>
        <v>83.3935717633486</v>
      </c>
      <c r="AN178" s="18" t="n">
        <f aca="false">IFERROR(100*M178/J178,"")</f>
        <v>5.28130295273461</v>
      </c>
      <c r="AO178" s="18" t="n">
        <f aca="false">IFERROR(100*N178/J178,"")</f>
        <v>4.22179759887515</v>
      </c>
    </row>
    <row r="179" customFormat="false" ht="15" hidden="false" customHeight="false" outlineLevel="0" collapsed="false">
      <c r="A179" s="17" t="n">
        <v>14168</v>
      </c>
      <c r="B179" s="23" t="n">
        <v>45199</v>
      </c>
      <c r="C179" s="17" t="s">
        <v>162</v>
      </c>
      <c r="D179" s="17" t="s">
        <v>113</v>
      </c>
      <c r="E179" s="17" t="s">
        <v>118</v>
      </c>
      <c r="F179" s="17" t="n">
        <v>359023</v>
      </c>
      <c r="G179" s="17" t="n">
        <v>359481.75</v>
      </c>
      <c r="H179" s="17" t="n">
        <v>322770</v>
      </c>
      <c r="I179" s="17" t="n">
        <v>31301</v>
      </c>
      <c r="J179" s="17" t="n">
        <v>229069</v>
      </c>
      <c r="K179" s="17" t="n">
        <v>218363.25</v>
      </c>
      <c r="L179" s="17" t="n">
        <v>191581</v>
      </c>
      <c r="M179" s="17" t="n">
        <v>11392</v>
      </c>
      <c r="N179" s="17" t="n">
        <v>9903</v>
      </c>
      <c r="O179" s="17" t="n">
        <v>1133</v>
      </c>
      <c r="P179" s="17" t="n">
        <v>363</v>
      </c>
      <c r="Q179" s="17" t="n">
        <v>0</v>
      </c>
      <c r="R179" s="17" t="n">
        <v>-14.6663</v>
      </c>
      <c r="S179" s="17" t="n">
        <v>41633</v>
      </c>
      <c r="T179" s="17" t="n">
        <v>245202</v>
      </c>
      <c r="U179" s="17" t="n">
        <v>3045.2572</v>
      </c>
      <c r="V179" s="17" t="n">
        <v>0.847124283777967</v>
      </c>
      <c r="W179" s="17" t="n">
        <v>9.42</v>
      </c>
      <c r="X179" s="17" t="n">
        <v>3.93880269357462</v>
      </c>
      <c r="Y179" s="17" t="n">
        <v>1.59384290323003</v>
      </c>
      <c r="Z179" s="17" t="n">
        <v>16.9790621609938</v>
      </c>
      <c r="AA179" s="17" t="n">
        <v>8.71838294482526</v>
      </c>
      <c r="AB179" s="17" t="n">
        <v>-1.76644896149985</v>
      </c>
      <c r="AC179" s="17" t="n">
        <v>15.5840027449239</v>
      </c>
      <c r="AD179" s="17" t="n">
        <v>-2.46990427383484</v>
      </c>
      <c r="AE179" s="17" t="n">
        <v>0.393540351518184</v>
      </c>
      <c r="AF179" s="17" t="n">
        <v>-0.0362883342724873</v>
      </c>
      <c r="AG179" s="18" t="n">
        <f aca="false">IFERROR(100*O179/F179,"")</f>
        <v>0.31557866766196</v>
      </c>
      <c r="AH179" s="18" t="n">
        <f aca="false">IFERROR(100*(P179+Q179)/F179,"")</f>
        <v>0.10110772847422</v>
      </c>
      <c r="AI179" s="18" t="n">
        <f aca="false">IFERROR(100*R179/K179,"")</f>
        <v>-0.00671646900291143</v>
      </c>
      <c r="AJ179" s="18" t="n">
        <f aca="false">IF(T179&gt;0,100*S179/T179,"")</f>
        <v>16.9790621609938</v>
      </c>
      <c r="AK179" s="18" t="n">
        <f aca="false">IFERROR(100*U179/G179,"")</f>
        <v>0.847124283777966</v>
      </c>
      <c r="AL179" s="18" t="n">
        <f aca="false">IFERROR(100*J179/H179,"")</f>
        <v>70.9697307680392</v>
      </c>
      <c r="AM179" s="18" t="n">
        <f aca="false">IFERROR(100*L179/J179,"")</f>
        <v>83.634625374887</v>
      </c>
      <c r="AN179" s="18" t="n">
        <f aca="false">IFERROR(100*M179/J179,"")</f>
        <v>4.97317402180129</v>
      </c>
      <c r="AO179" s="18" t="n">
        <f aca="false">IFERROR(100*N179/J179,"")</f>
        <v>4.32315153949247</v>
      </c>
    </row>
    <row r="180" customFormat="false" ht="15" hidden="false" customHeight="false" outlineLevel="0" collapsed="false">
      <c r="A180" s="17" t="n">
        <v>14168</v>
      </c>
      <c r="B180" s="23" t="n">
        <v>45291</v>
      </c>
      <c r="C180" s="17" t="s">
        <v>162</v>
      </c>
      <c r="D180" s="17" t="s">
        <v>113</v>
      </c>
      <c r="E180" s="17" t="s">
        <v>118</v>
      </c>
      <c r="F180" s="17" t="n">
        <v>357709</v>
      </c>
      <c r="G180" s="17" t="n">
        <v>359127.2</v>
      </c>
      <c r="H180" s="17" t="n">
        <v>317592</v>
      </c>
      <c r="I180" s="17" t="n">
        <v>35301</v>
      </c>
      <c r="J180" s="17" t="n">
        <v>239389</v>
      </c>
      <c r="K180" s="17" t="n">
        <v>222568.4</v>
      </c>
      <c r="L180" s="17" t="n">
        <v>202849</v>
      </c>
      <c r="M180" s="17" t="n">
        <v>11698</v>
      </c>
      <c r="N180" s="17" t="n">
        <v>10178</v>
      </c>
      <c r="O180" s="17" t="n">
        <v>1115</v>
      </c>
      <c r="P180" s="17" t="n">
        <v>513</v>
      </c>
      <c r="Q180" s="17" t="n">
        <v>0</v>
      </c>
      <c r="R180" s="17" t="n">
        <v>-60</v>
      </c>
      <c r="S180" s="17" t="n">
        <v>42126</v>
      </c>
      <c r="T180" s="17" t="n">
        <v>251575</v>
      </c>
      <c r="U180" s="17" t="n">
        <v>2841</v>
      </c>
      <c r="V180" s="17" t="n">
        <v>0.791084607348037</v>
      </c>
      <c r="W180" s="17" t="n">
        <v>8.63</v>
      </c>
      <c r="X180" s="17" t="n">
        <v>3.99627193623627</v>
      </c>
      <c r="Y180" s="17" t="n">
        <v>1.67092055190506</v>
      </c>
      <c r="Z180" s="17" t="n">
        <v>16.7449070853622</v>
      </c>
      <c r="AA180" s="17" t="n">
        <v>9.86863623783578</v>
      </c>
      <c r="AB180" s="17" t="n">
        <v>-3.00626904847124</v>
      </c>
      <c r="AC180" s="17" t="n">
        <v>14.5813090822065</v>
      </c>
      <c r="AD180" s="17" t="n">
        <v>-4.38382311765964</v>
      </c>
      <c r="AE180" s="17" t="n">
        <v>0.236110572204681</v>
      </c>
      <c r="AF180" s="17" t="n">
        <v>0.000964986426251646</v>
      </c>
      <c r="AG180" s="18" t="n">
        <f aca="false">IFERROR(100*O180/F180,"")</f>
        <v>0.311705883832948</v>
      </c>
      <c r="AH180" s="18" t="n">
        <f aca="false">IFERROR(100*(P180+Q180)/F180,"")</f>
        <v>0.143412662247805</v>
      </c>
      <c r="AI180" s="18" t="n">
        <f aca="false">IFERROR(100*R180/K180,"")</f>
        <v>-0.0269580048200913</v>
      </c>
      <c r="AJ180" s="18" t="n">
        <f aca="false">IF(T180&gt;0,100*S180/T180,"")</f>
        <v>16.7449070853622</v>
      </c>
      <c r="AK180" s="18" t="n">
        <f aca="false">IFERROR(100*U180/G180,"")</f>
        <v>0.791084607348037</v>
      </c>
      <c r="AL180" s="18" t="n">
        <f aca="false">IFERROR(100*J180/H180,"")</f>
        <v>75.3762689236505</v>
      </c>
      <c r="AM180" s="18" t="n">
        <f aca="false">IFERROR(100*L180/J180,"")</f>
        <v>84.7361407583473</v>
      </c>
      <c r="AN180" s="18" t="n">
        <f aca="false">IFERROR(100*M180/J180,"")</f>
        <v>4.88660715404634</v>
      </c>
      <c r="AO180" s="18" t="n">
        <f aca="false">IFERROR(100*N180/J180,"")</f>
        <v>4.25165734432242</v>
      </c>
    </row>
    <row r="181" customFormat="false" ht="15" hidden="false" customHeight="false" outlineLevel="0" collapsed="false">
      <c r="A181" s="17" t="n">
        <v>14168</v>
      </c>
      <c r="B181" s="23" t="n">
        <v>45382</v>
      </c>
      <c r="C181" s="17" t="s">
        <v>162</v>
      </c>
      <c r="D181" s="17" t="s">
        <v>113</v>
      </c>
      <c r="E181" s="17" t="s">
        <v>118</v>
      </c>
      <c r="F181" s="17" t="n">
        <v>363663</v>
      </c>
      <c r="G181" s="17" t="n">
        <v>360686</v>
      </c>
      <c r="H181" s="17" t="n">
        <v>323430</v>
      </c>
      <c r="I181" s="17" t="n">
        <v>35210</v>
      </c>
      <c r="J181" s="17" t="n">
        <v>250702</v>
      </c>
      <c r="K181" s="17" t="n">
        <v>245045.5</v>
      </c>
      <c r="L181" s="17" t="n">
        <v>213218</v>
      </c>
      <c r="M181" s="17" t="n">
        <v>12376</v>
      </c>
      <c r="N181" s="17" t="n">
        <v>10104</v>
      </c>
      <c r="O181" s="17" t="n">
        <v>1095</v>
      </c>
      <c r="P181" s="17" t="n">
        <v>1276</v>
      </c>
      <c r="Q181" s="17" t="n">
        <v>1</v>
      </c>
      <c r="R181" s="17" t="n">
        <v>-100</v>
      </c>
      <c r="S181" s="17" t="n">
        <v>42718</v>
      </c>
      <c r="T181" s="17" t="n">
        <v>260623</v>
      </c>
      <c r="U181" s="17" t="n">
        <v>2840</v>
      </c>
      <c r="V181" s="17" t="n">
        <v>0.787388476403298</v>
      </c>
      <c r="W181" s="17" t="n">
        <v>8.06</v>
      </c>
      <c r="X181" s="17" t="n">
        <v>3.9809390262742</v>
      </c>
      <c r="Y181" s="17" t="n">
        <v>1.64537977359574</v>
      </c>
      <c r="Z181" s="17" t="n">
        <v>16.3907253005299</v>
      </c>
      <c r="AA181" s="17" t="n">
        <v>9.6820407905121</v>
      </c>
      <c r="AB181" s="17" t="n">
        <v>2.12642274025461</v>
      </c>
      <c r="AC181" s="17" t="n">
        <v>17.39018462936</v>
      </c>
      <c r="AD181" s="17" t="n">
        <v>1.68004879183616</v>
      </c>
      <c r="AE181" s="17" t="n">
        <v>-0.000596409516852137</v>
      </c>
      <c r="AF181" s="17" t="n">
        <v>0.0267348753729998</v>
      </c>
      <c r="AG181" s="18" t="n">
        <f aca="false">IFERROR(100*O181/F181,"")</f>
        <v>0.301102944209337</v>
      </c>
      <c r="AH181" s="18" t="n">
        <f aca="false">IFERROR(100*(P181+Q181)/F181,"")</f>
        <v>0.351149278315363</v>
      </c>
      <c r="AI181" s="18" t="n">
        <f aca="false">IFERROR(100*R181/K181,"")</f>
        <v>-0.0408087477631705</v>
      </c>
      <c r="AJ181" s="18" t="n">
        <f aca="false">IF(T181&gt;0,100*S181/T181,"")</f>
        <v>16.3907253005299</v>
      </c>
      <c r="AK181" s="18" t="n">
        <f aca="false">IFERROR(100*U181/G181,"")</f>
        <v>0.787388476403298</v>
      </c>
      <c r="AL181" s="18" t="n">
        <f aca="false">IFERROR(100*J181/H181,"")</f>
        <v>77.5135268837152</v>
      </c>
      <c r="AM181" s="18" t="n">
        <f aca="false">IFERROR(100*L181/J181,"")</f>
        <v>85.0483841373423</v>
      </c>
      <c r="AN181" s="18" t="n">
        <f aca="false">IFERROR(100*M181/J181,"")</f>
        <v>4.93653820073234</v>
      </c>
      <c r="AO181" s="18" t="n">
        <f aca="false">IFERROR(100*N181/J181,"")</f>
        <v>4.03028296543306</v>
      </c>
    </row>
    <row r="182" customFormat="false" ht="15" hidden="false" customHeight="false" outlineLevel="0" collapsed="false">
      <c r="A182" s="17" t="n">
        <v>14168</v>
      </c>
      <c r="B182" s="23" t="n">
        <v>45473</v>
      </c>
      <c r="C182" s="17" t="s">
        <v>162</v>
      </c>
      <c r="D182" s="17" t="s">
        <v>113</v>
      </c>
      <c r="E182" s="17" t="s">
        <v>118</v>
      </c>
      <c r="F182" s="17" t="n">
        <v>371774</v>
      </c>
      <c r="G182" s="17" t="n">
        <v>364382</v>
      </c>
      <c r="H182" s="17" t="n">
        <v>330926</v>
      </c>
      <c r="I182" s="17" t="n">
        <v>35832</v>
      </c>
      <c r="J182" s="17" t="n">
        <v>262207</v>
      </c>
      <c r="K182" s="17" t="n">
        <v>250766</v>
      </c>
      <c r="L182" s="17" t="n">
        <v>222296</v>
      </c>
      <c r="M182" s="17" t="n">
        <v>12486</v>
      </c>
      <c r="N182" s="17" t="n">
        <v>10566</v>
      </c>
      <c r="O182" s="17" t="n">
        <v>1042</v>
      </c>
      <c r="P182" s="17" t="n">
        <v>415</v>
      </c>
      <c r="Q182" s="17" t="n">
        <v>1</v>
      </c>
      <c r="R182" s="17" t="n">
        <v>70</v>
      </c>
      <c r="S182" s="17" t="n">
        <v>43587</v>
      </c>
      <c r="T182" s="17" t="n">
        <v>270486</v>
      </c>
      <c r="U182" s="17" t="n">
        <v>3340</v>
      </c>
      <c r="V182" s="17" t="n">
        <v>0.916620469726825</v>
      </c>
      <c r="W182" s="17" t="n">
        <v>9.42</v>
      </c>
      <c r="X182" s="17" t="n">
        <v>4.04893048233613</v>
      </c>
      <c r="Y182" s="17" t="n">
        <v>1.56174320288932</v>
      </c>
      <c r="Z182" s="17" t="n">
        <v>16.1143275437546</v>
      </c>
      <c r="AA182" s="17" t="n">
        <v>9.63811347754281</v>
      </c>
      <c r="AB182" s="17" t="n">
        <v>5.0158608202431</v>
      </c>
      <c r="AC182" s="17" t="n">
        <v>18.1666185960991</v>
      </c>
      <c r="AD182" s="17" t="n">
        <v>4.65353830195661</v>
      </c>
      <c r="AE182" s="17" t="n">
        <v>0.145282148615772</v>
      </c>
      <c r="AF182" s="17" t="n">
        <v>-0.00219450747024563</v>
      </c>
      <c r="AG182" s="18" t="n">
        <f aca="false">IFERROR(100*O182/F182,"")</f>
        <v>0.280277803181503</v>
      </c>
      <c r="AH182" s="18" t="n">
        <f aca="false">IFERROR(100*(P182+Q182)/F182,"")</f>
        <v>0.111895936778796</v>
      </c>
      <c r="AI182" s="18" t="n">
        <f aca="false">IFERROR(100*R182/K182,"")</f>
        <v>0.0279144700637247</v>
      </c>
      <c r="AJ182" s="18" t="n">
        <f aca="false">IF(T182&gt;0,100*S182/T182,"")</f>
        <v>16.1143275437546</v>
      </c>
      <c r="AK182" s="18" t="n">
        <f aca="false">IFERROR(100*U182/G182,"")</f>
        <v>0.916620469726825</v>
      </c>
      <c r="AL182" s="18" t="n">
        <f aca="false">IFERROR(100*J182/H182,"")</f>
        <v>79.2343303336698</v>
      </c>
      <c r="AM182" s="18" t="n">
        <f aca="false">IFERROR(100*L182/J182,"")</f>
        <v>84.7788197874199</v>
      </c>
      <c r="AN182" s="18" t="n">
        <f aca="false">IFERROR(100*M182/J182,"")</f>
        <v>4.76188660104421</v>
      </c>
      <c r="AO182" s="18" t="n">
        <f aca="false">IFERROR(100*N182/J182,"")</f>
        <v>4.02964070371882</v>
      </c>
    </row>
    <row r="183" customFormat="false" ht="15" hidden="false" customHeight="false" outlineLevel="0" collapsed="false">
      <c r="A183" s="17" t="n">
        <v>14168</v>
      </c>
      <c r="B183" s="23" t="n">
        <v>45565</v>
      </c>
      <c r="C183" s="17" t="s">
        <v>162</v>
      </c>
      <c r="D183" s="17" t="s">
        <v>113</v>
      </c>
      <c r="E183" s="17" t="s">
        <v>118</v>
      </c>
      <c r="F183" s="17" t="n">
        <v>371732</v>
      </c>
      <c r="G183" s="17" t="n">
        <v>366219.5</v>
      </c>
      <c r="H183" s="17" t="n">
        <v>328030</v>
      </c>
      <c r="I183" s="17" t="n">
        <v>38425</v>
      </c>
      <c r="J183" s="17" t="n">
        <v>268497</v>
      </c>
      <c r="K183" s="17" t="n">
        <v>255198.75</v>
      </c>
      <c r="L183" s="17" t="n">
        <v>228801</v>
      </c>
      <c r="M183" s="17" t="n">
        <v>11832</v>
      </c>
      <c r="N183" s="17" t="n">
        <v>10190</v>
      </c>
      <c r="O183" s="17" t="n">
        <v>865</v>
      </c>
      <c r="P183" s="17" t="n">
        <v>569</v>
      </c>
      <c r="Q183" s="17" t="n">
        <v>2</v>
      </c>
      <c r="R183" s="17" t="n">
        <v>63.9984</v>
      </c>
      <c r="S183" s="17" t="n">
        <v>44693</v>
      </c>
      <c r="T183" s="17" t="n">
        <v>271929</v>
      </c>
      <c r="U183" s="17" t="n">
        <v>3935.9016</v>
      </c>
      <c r="V183" s="17" t="n">
        <v>1.07473840142319</v>
      </c>
      <c r="W183" s="17" t="n">
        <v>10.88</v>
      </c>
      <c r="X183" s="17" t="n">
        <v>4.10567266565625</v>
      </c>
      <c r="Y183" s="17" t="n">
        <v>1.52776381114128</v>
      </c>
      <c r="Z183" s="17" t="n">
        <v>16.4355401593798</v>
      </c>
      <c r="AA183" s="17" t="n">
        <v>10.3367479797273</v>
      </c>
      <c r="AB183" s="17" t="n">
        <v>3.53988463134674</v>
      </c>
      <c r="AC183" s="17" t="n">
        <v>17.2122810157638</v>
      </c>
      <c r="AD183" s="17" t="n">
        <v>1.62964339932459</v>
      </c>
      <c r="AE183" s="17" t="n">
        <v>0.227614117645223</v>
      </c>
      <c r="AF183" s="17" t="n">
        <v>-0.0828841458021259</v>
      </c>
      <c r="AG183" s="18" t="n">
        <f aca="false">IFERROR(100*O183/F183,"")</f>
        <v>0.232694521859835</v>
      </c>
      <c r="AH183" s="18" t="n">
        <f aca="false">IFERROR(100*(P183+Q183)/F183,"")</f>
        <v>0.153605285528284</v>
      </c>
      <c r="AI183" s="18" t="n">
        <f aca="false">IFERROR(100*R183/K183,"")</f>
        <v>0.0250778657810824</v>
      </c>
      <c r="AJ183" s="18" t="n">
        <f aca="false">IF(T183&gt;0,100*S183/T183,"")</f>
        <v>16.4355401593798</v>
      </c>
      <c r="AK183" s="18" t="n">
        <f aca="false">IFERROR(100*U183/G183,"")</f>
        <v>1.07473840142319</v>
      </c>
      <c r="AL183" s="18" t="n">
        <f aca="false">IFERROR(100*J183/H183,"")</f>
        <v>81.8513550589885</v>
      </c>
      <c r="AM183" s="18" t="n">
        <f aca="false">IFERROR(100*L183/J183,"")</f>
        <v>85.2154772679024</v>
      </c>
      <c r="AN183" s="18" t="n">
        <f aca="false">IFERROR(100*M183/J183,"")</f>
        <v>4.40675314807987</v>
      </c>
      <c r="AO183" s="18" t="n">
        <f aca="false">IFERROR(100*N183/J183,"")</f>
        <v>3.7952006912554</v>
      </c>
    </row>
    <row r="184" customFormat="false" ht="15" hidden="false" customHeight="false" outlineLevel="0" collapsed="false">
      <c r="A184" s="17" t="n">
        <v>14168</v>
      </c>
      <c r="B184" s="23" t="n">
        <v>45657</v>
      </c>
      <c r="C184" s="17" t="s">
        <v>162</v>
      </c>
      <c r="D184" s="17" t="s">
        <v>113</v>
      </c>
      <c r="E184" s="17" t="s">
        <v>118</v>
      </c>
      <c r="F184" s="17" t="n">
        <v>369405</v>
      </c>
      <c r="G184" s="17" t="n">
        <v>366856.6</v>
      </c>
      <c r="H184" s="17" t="n">
        <v>325925</v>
      </c>
      <c r="I184" s="17" t="n">
        <v>37830</v>
      </c>
      <c r="J184" s="17" t="n">
        <v>276382</v>
      </c>
      <c r="K184" s="17" t="n">
        <v>259435.4</v>
      </c>
      <c r="L184" s="17" t="n">
        <v>234027</v>
      </c>
      <c r="M184" s="17" t="n">
        <v>11946</v>
      </c>
      <c r="N184" s="17" t="n">
        <v>10751</v>
      </c>
      <c r="O184" s="17" t="n">
        <v>910</v>
      </c>
      <c r="P184" s="17" t="n">
        <v>404</v>
      </c>
      <c r="Q184" s="17" t="n">
        <v>0</v>
      </c>
      <c r="R184" s="17" t="n">
        <v>85</v>
      </c>
      <c r="S184" s="17" t="n">
        <v>45235</v>
      </c>
      <c r="T184" s="17" t="n">
        <v>275496</v>
      </c>
      <c r="U184" s="17" t="n">
        <v>3617</v>
      </c>
      <c r="V184" s="17" t="n">
        <v>0.985943826552391</v>
      </c>
      <c r="W184" s="17" t="n">
        <v>9.9</v>
      </c>
      <c r="X184" s="17" t="n">
        <v>4.15092219303544</v>
      </c>
      <c r="Y184" s="17" t="n">
        <v>1.36984318805132</v>
      </c>
      <c r="Z184" s="17" t="n">
        <v>16.4194761448442</v>
      </c>
      <c r="AA184" s="17" t="n">
        <v>10.2407926259796</v>
      </c>
      <c r="AB184" s="17" t="n">
        <v>3.26969687651135</v>
      </c>
      <c r="AC184" s="17" t="n">
        <v>15.453090994156</v>
      </c>
      <c r="AD184" s="17" t="n">
        <v>2.62380664500366</v>
      </c>
      <c r="AE184" s="17" t="n">
        <v>0.194859219204354</v>
      </c>
      <c r="AF184" s="17" t="n">
        <v>-0.0653637931736445</v>
      </c>
      <c r="AG184" s="18" t="n">
        <f aca="false">IFERROR(100*O184/F184,"")</f>
        <v>0.246342090659304</v>
      </c>
      <c r="AH184" s="18" t="n">
        <f aca="false">IFERROR(100*(P184+Q184)/F184,"")</f>
        <v>0.109365060028966</v>
      </c>
      <c r="AI184" s="18" t="n">
        <f aca="false">IFERROR(100*R184/K184,"")</f>
        <v>0.0327634547945269</v>
      </c>
      <c r="AJ184" s="18" t="n">
        <f aca="false">IF(T184&gt;0,100*S184/T184,"")</f>
        <v>16.4194761448442</v>
      </c>
      <c r="AK184" s="18" t="n">
        <f aca="false">IFERROR(100*U184/G184,"")</f>
        <v>0.985943826552391</v>
      </c>
      <c r="AL184" s="18" t="n">
        <f aca="false">IFERROR(100*J184/H184,"")</f>
        <v>84.7992636342717</v>
      </c>
      <c r="AM184" s="18" t="n">
        <f aca="false">IFERROR(100*L184/J184,"")</f>
        <v>84.6751959244813</v>
      </c>
      <c r="AN184" s="18" t="n">
        <f aca="false">IFERROR(100*M184/J184,"")</f>
        <v>4.3222785854361</v>
      </c>
      <c r="AO184" s="18" t="n">
        <f aca="false">IFERROR(100*N184/J184,"")</f>
        <v>3.88990599966713</v>
      </c>
    </row>
    <row r="185" customFormat="false" ht="15" hidden="false" customHeight="false" outlineLevel="0" collapsed="false">
      <c r="A185" s="17" t="n">
        <v>14168</v>
      </c>
      <c r="B185" s="23" t="n">
        <v>45747</v>
      </c>
      <c r="C185" s="17" t="s">
        <v>162</v>
      </c>
      <c r="D185" s="17" t="s">
        <v>113</v>
      </c>
      <c r="E185" s="17" t="s">
        <v>118</v>
      </c>
      <c r="F185" s="17" t="n">
        <v>374654</v>
      </c>
      <c r="G185" s="17" t="n">
        <v>372029.5</v>
      </c>
      <c r="H185" s="17" t="n">
        <v>330872</v>
      </c>
      <c r="I185" s="17" t="n">
        <v>38318</v>
      </c>
      <c r="J185" s="17" t="n">
        <v>273066</v>
      </c>
      <c r="K185" s="17" t="n">
        <v>274724</v>
      </c>
      <c r="L185" s="17" t="n">
        <v>233845</v>
      </c>
      <c r="M185" s="17" t="n">
        <v>12139</v>
      </c>
      <c r="N185" s="17" t="n">
        <v>10316</v>
      </c>
      <c r="O185" s="17" t="n">
        <v>890</v>
      </c>
      <c r="P185" s="17" t="n">
        <v>367</v>
      </c>
      <c r="Q185" s="17" t="n">
        <v>0</v>
      </c>
      <c r="R185" s="17" t="n">
        <v>36</v>
      </c>
      <c r="S185" s="17" t="n">
        <v>45768</v>
      </c>
      <c r="T185" s="17" t="n">
        <v>273861</v>
      </c>
      <c r="U185" s="17" t="n">
        <v>3492</v>
      </c>
      <c r="V185" s="17" t="n">
        <v>0.938635242635329</v>
      </c>
      <c r="W185" s="17" t="n">
        <v>9.17</v>
      </c>
      <c r="X185" s="17" t="n">
        <v>4.15331323479868</v>
      </c>
      <c r="Y185" s="17" t="n">
        <v>1.32641925395326</v>
      </c>
      <c r="Z185" s="17" t="n">
        <v>16.7121276852126</v>
      </c>
      <c r="AA185" s="17" t="n">
        <v>10.2275699712268</v>
      </c>
      <c r="AB185" s="17" t="n">
        <v>3.0223036162601</v>
      </c>
      <c r="AC185" s="17" t="n">
        <v>8.92055109253218</v>
      </c>
      <c r="AD185" s="17" t="n">
        <v>2.30096156819095</v>
      </c>
      <c r="AE185" s="17" t="n">
        <v>0.15124676623203</v>
      </c>
      <c r="AF185" s="17" t="n">
        <v>-0.0635504290887187</v>
      </c>
      <c r="AG185" s="18" t="n">
        <f aca="false">IFERROR(100*O185/F185,"")</f>
        <v>0.237552515120618</v>
      </c>
      <c r="AH185" s="18" t="n">
        <f aca="false">IFERROR(100*(P185+Q185)/F185,"")</f>
        <v>0.0979570483699627</v>
      </c>
      <c r="AI185" s="18" t="n">
        <f aca="false">IFERROR(100*R185/K185,"")</f>
        <v>0.0131040608028421</v>
      </c>
      <c r="AJ185" s="18" t="n">
        <f aca="false">IF(T185&gt;0,100*S185/T185,"")</f>
        <v>16.7121276852126</v>
      </c>
      <c r="AK185" s="18" t="n">
        <f aca="false">IFERROR(100*U185/G185,"")</f>
        <v>0.938635242635329</v>
      </c>
      <c r="AL185" s="18" t="n">
        <f aca="false">IFERROR(100*J185/H185,"")</f>
        <v>82.5291955801639</v>
      </c>
      <c r="AM185" s="18" t="n">
        <f aca="false">IFERROR(100*L185/J185,"")</f>
        <v>85.6368057539203</v>
      </c>
      <c r="AN185" s="18" t="n">
        <f aca="false">IFERROR(100*M185/J185,"")</f>
        <v>4.44544542345074</v>
      </c>
      <c r="AO185" s="18" t="n">
        <f aca="false">IFERROR(100*N185/J185,"")</f>
        <v>3.77784125449525</v>
      </c>
    </row>
    <row r="186" customFormat="false" ht="15" hidden="false" customHeight="false" outlineLevel="0" collapsed="false">
      <c r="A186" s="17" t="n">
        <v>14168</v>
      </c>
      <c r="B186" s="23" t="n">
        <v>45838</v>
      </c>
      <c r="C186" s="17" t="s">
        <v>162</v>
      </c>
      <c r="D186" s="17" t="s">
        <v>113</v>
      </c>
      <c r="E186" s="17" t="s">
        <v>118</v>
      </c>
      <c r="F186" s="17" t="n">
        <v>376849</v>
      </c>
      <c r="G186" s="17" t="n">
        <v>373636</v>
      </c>
      <c r="H186" s="17" t="n">
        <v>332557</v>
      </c>
      <c r="I186" s="17" t="n">
        <v>38788</v>
      </c>
      <c r="J186" s="17" t="n">
        <v>288218</v>
      </c>
      <c r="K186" s="17" t="n">
        <v>279222</v>
      </c>
      <c r="L186" s="17" t="n">
        <v>247587</v>
      </c>
      <c r="M186" s="17" t="n">
        <v>11385</v>
      </c>
      <c r="N186" s="17" t="n">
        <v>10856</v>
      </c>
      <c r="O186" s="17" t="n">
        <v>1012</v>
      </c>
      <c r="P186" s="17" t="n">
        <v>93</v>
      </c>
      <c r="Q186" s="17" t="n">
        <v>0</v>
      </c>
      <c r="R186" s="17" t="n">
        <v>64</v>
      </c>
      <c r="S186" s="17" t="n">
        <v>46351</v>
      </c>
      <c r="T186" s="17" t="n">
        <v>279492</v>
      </c>
      <c r="U186" s="17" t="n">
        <v>3612</v>
      </c>
      <c r="V186" s="17" t="n">
        <v>0.966716269310238</v>
      </c>
      <c r="W186" s="17" t="n">
        <v>9.43</v>
      </c>
      <c r="X186" s="17" t="n">
        <v>4.22224321701265</v>
      </c>
      <c r="Y186" s="17" t="n">
        <v>1.27299474703176</v>
      </c>
      <c r="Z186" s="17" t="n">
        <v>16.584016716042</v>
      </c>
      <c r="AA186" s="17" t="n">
        <v>10.292716711468</v>
      </c>
      <c r="AB186" s="17" t="n">
        <v>1.36507663257786</v>
      </c>
      <c r="AC186" s="17" t="n">
        <v>9.9200250184015</v>
      </c>
      <c r="AD186" s="17" t="n">
        <v>0.4928594308093</v>
      </c>
      <c r="AE186" s="17" t="n">
        <v>0.0500957995834127</v>
      </c>
      <c r="AF186" s="17" t="n">
        <v>-0.0117352304268981</v>
      </c>
      <c r="AG186" s="18" t="n">
        <f aca="false">IFERROR(100*O186/F186,"")</f>
        <v>0.268542572754605</v>
      </c>
      <c r="AH186" s="18" t="n">
        <f aca="false">IFERROR(100*(P186+Q186)/F186,"")</f>
        <v>0.0246783194329824</v>
      </c>
      <c r="AI186" s="18" t="n">
        <f aca="false">IFERROR(100*R186/K186,"")</f>
        <v>0.0229208300205571</v>
      </c>
      <c r="AJ186" s="18" t="n">
        <f aca="false">IF(T186&gt;0,100*S186/T186,"")</f>
        <v>16.584016716042</v>
      </c>
      <c r="AK186" s="18" t="n">
        <f aca="false">IFERROR(100*U186/G186,"")</f>
        <v>0.966716269310238</v>
      </c>
      <c r="AL186" s="18" t="n">
        <f aca="false">IFERROR(100*J186/H186,"")</f>
        <v>86.6672480206401</v>
      </c>
      <c r="AM186" s="18" t="n">
        <f aca="false">IFERROR(100*L186/J186,"")</f>
        <v>85.9026847733313</v>
      </c>
      <c r="AN186" s="18" t="n">
        <f aca="false">IFERROR(100*M186/J186,"")</f>
        <v>3.95013496728171</v>
      </c>
      <c r="AO186" s="18" t="n">
        <f aca="false">IFERROR(100*N186/J186,"")</f>
        <v>3.76659334253933</v>
      </c>
    </row>
    <row r="187" customFormat="false" ht="15" hidden="false" customHeight="false" outlineLevel="0" collapsed="false">
      <c r="A187" s="17" t="n">
        <v>14240</v>
      </c>
      <c r="B187" s="23" t="n">
        <v>44651</v>
      </c>
      <c r="C187" s="17" t="s">
        <v>195</v>
      </c>
      <c r="D187" s="17" t="s">
        <v>116</v>
      </c>
      <c r="E187" s="17" t="s">
        <v>114</v>
      </c>
      <c r="F187" s="17" t="n">
        <v>1221074</v>
      </c>
      <c r="G187" s="17" t="n">
        <v>1231882</v>
      </c>
      <c r="H187" s="17" t="n">
        <v>1020645</v>
      </c>
      <c r="I187" s="17" t="n">
        <v>102113</v>
      </c>
      <c r="J187" s="17" t="n">
        <v>824670</v>
      </c>
      <c r="K187" s="17" t="n">
        <v>810960.5</v>
      </c>
      <c r="L187" s="17" t="n">
        <v>705835</v>
      </c>
      <c r="M187" s="17" t="n">
        <v>29648</v>
      </c>
      <c r="N187" s="17" t="n">
        <v>17990</v>
      </c>
      <c r="O187" s="17" t="n">
        <v>2204</v>
      </c>
      <c r="P187" s="17" t="n">
        <v>1936</v>
      </c>
      <c r="Q187" s="17" t="n">
        <v>0</v>
      </c>
      <c r="R187" s="17" t="n">
        <v>-16</v>
      </c>
      <c r="S187" s="17" t="n">
        <v>118789</v>
      </c>
      <c r="T187" s="17" t="n">
        <v>786318</v>
      </c>
      <c r="U187" s="17" t="n">
        <v>860</v>
      </c>
      <c r="V187" s="17" t="n">
        <v>0.06981188133279</v>
      </c>
      <c r="W187" s="17" t="n">
        <v>0.79</v>
      </c>
      <c r="X187" s="17" t="n">
        <v>2.81942072615102</v>
      </c>
      <c r="Y187" s="17" t="n">
        <v>1.14833812312804</v>
      </c>
      <c r="Z187" s="17" t="n">
        <v>15.1069923364339</v>
      </c>
      <c r="AA187" s="17" t="n">
        <v>8.36255624147267</v>
      </c>
      <c r="AB187" s="17"/>
      <c r="AC187" s="17"/>
      <c r="AD187" s="17"/>
      <c r="AE187" s="17"/>
      <c r="AF187" s="17"/>
      <c r="AG187" s="18" t="n">
        <f aca="false">IFERROR(100*O187/F187,"")</f>
        <v>0.180496841305277</v>
      </c>
      <c r="AH187" s="18" t="n">
        <f aca="false">IFERROR(100*(P187+Q187)/F187,"")</f>
        <v>0.158548949531314</v>
      </c>
      <c r="AI187" s="18" t="n">
        <f aca="false">IFERROR(100*R187/K187,"")</f>
        <v>-0.00197296909035644</v>
      </c>
      <c r="AJ187" s="18" t="n">
        <f aca="false">IF(T187&gt;0,100*S187/T187,"")</f>
        <v>15.1069923364339</v>
      </c>
      <c r="AK187" s="18" t="n">
        <f aca="false">IFERROR(100*U187/G187,"")</f>
        <v>0.06981188133279</v>
      </c>
      <c r="AL187" s="18" t="n">
        <f aca="false">IFERROR(100*J187/H187,"")</f>
        <v>80.7989065737842</v>
      </c>
      <c r="AM187" s="18" t="n">
        <f aca="false">IFERROR(100*L187/J187,"")</f>
        <v>85.5899935731869</v>
      </c>
      <c r="AN187" s="18" t="n">
        <f aca="false">IFERROR(100*M187/J187,"")</f>
        <v>3.59513502370645</v>
      </c>
      <c r="AO187" s="18" t="n">
        <f aca="false">IFERROR(100*N187/J187,"")</f>
        <v>2.18147865206689</v>
      </c>
    </row>
    <row r="188" customFormat="false" ht="15" hidden="false" customHeight="false" outlineLevel="0" collapsed="false">
      <c r="A188" s="17" t="n">
        <v>14240</v>
      </c>
      <c r="B188" s="23" t="n">
        <v>44742</v>
      </c>
      <c r="C188" s="17" t="s">
        <v>195</v>
      </c>
      <c r="D188" s="17" t="s">
        <v>116</v>
      </c>
      <c r="E188" s="17" t="s">
        <v>114</v>
      </c>
      <c r="F188" s="17" t="n">
        <v>1238699</v>
      </c>
      <c r="G188" s="17" t="n">
        <v>1234154.33333333</v>
      </c>
      <c r="H188" s="17" t="n">
        <v>1039863</v>
      </c>
      <c r="I188" s="17" t="n">
        <v>89585</v>
      </c>
      <c r="J188" s="17" t="n">
        <v>863984</v>
      </c>
      <c r="K188" s="17" t="n">
        <v>828635</v>
      </c>
      <c r="L188" s="17" t="n">
        <v>739584</v>
      </c>
      <c r="M188" s="17" t="n">
        <v>24677</v>
      </c>
      <c r="N188" s="17" t="n">
        <v>17572</v>
      </c>
      <c r="O188" s="17" t="n">
        <v>1924</v>
      </c>
      <c r="P188" s="17" t="n">
        <v>733</v>
      </c>
      <c r="Q188" s="17" t="n">
        <v>0</v>
      </c>
      <c r="R188" s="17" t="n">
        <v>-156</v>
      </c>
      <c r="S188" s="17" t="n">
        <v>118062</v>
      </c>
      <c r="T188" s="17" t="n">
        <v>811159</v>
      </c>
      <c r="U188" s="17" t="n">
        <v>-570</v>
      </c>
      <c r="V188" s="17" t="n">
        <v>-0.0461854716711551</v>
      </c>
      <c r="W188" s="17" t="n">
        <v>-0.55</v>
      </c>
      <c r="X188" s="17" t="n">
        <v>2.91049898615787</v>
      </c>
      <c r="Y188" s="17" t="n">
        <v>1.13937295135095</v>
      </c>
      <c r="Z188" s="17" t="n">
        <v>14.5547297139032</v>
      </c>
      <c r="AA188" s="17" t="n">
        <v>7.23218473575905</v>
      </c>
      <c r="AB188" s="17"/>
      <c r="AC188" s="17"/>
      <c r="AD188" s="17"/>
      <c r="AE188" s="17"/>
      <c r="AF188" s="17"/>
      <c r="AG188" s="18" t="n">
        <f aca="false">IFERROR(100*O188/F188,"")</f>
        <v>0.15532425552939</v>
      </c>
      <c r="AH188" s="18" t="n">
        <f aca="false">IFERROR(100*(P188+Q188)/F188,"")</f>
        <v>0.0591749892427458</v>
      </c>
      <c r="AI188" s="18" t="n">
        <f aca="false">IFERROR(100*R188/K188,"")</f>
        <v>-0.0188261417873973</v>
      </c>
      <c r="AJ188" s="18" t="n">
        <f aca="false">IF(T188&gt;0,100*S188/T188,"")</f>
        <v>14.5547297139032</v>
      </c>
      <c r="AK188" s="18" t="n">
        <f aca="false">IFERROR(100*U188/G188,"")</f>
        <v>-0.0461854716711551</v>
      </c>
      <c r="AL188" s="18" t="n">
        <f aca="false">IFERROR(100*J188/H188,"")</f>
        <v>83.0863296415009</v>
      </c>
      <c r="AM188" s="18" t="n">
        <f aca="false">IFERROR(100*L188/J188,"")</f>
        <v>85.601585214541</v>
      </c>
      <c r="AN188" s="18" t="n">
        <f aca="false">IFERROR(100*M188/J188,"")</f>
        <v>2.85618715161392</v>
      </c>
      <c r="AO188" s="18" t="n">
        <f aca="false">IFERROR(100*N188/J188,"")</f>
        <v>2.03383395988815</v>
      </c>
    </row>
    <row r="189" customFormat="false" ht="15" hidden="false" customHeight="false" outlineLevel="0" collapsed="false">
      <c r="A189" s="17" t="n">
        <v>14240</v>
      </c>
      <c r="B189" s="23" t="n">
        <v>44834</v>
      </c>
      <c r="C189" s="17" t="s">
        <v>195</v>
      </c>
      <c r="D189" s="17" t="s">
        <v>116</v>
      </c>
      <c r="E189" s="17" t="s">
        <v>114</v>
      </c>
      <c r="F189" s="17" t="n">
        <v>1313807</v>
      </c>
      <c r="G189" s="17" t="n">
        <v>1254067.5</v>
      </c>
      <c r="H189" s="17" t="n">
        <v>1060386</v>
      </c>
      <c r="I189" s="17" t="n">
        <v>76133</v>
      </c>
      <c r="J189" s="17" t="n">
        <v>932422</v>
      </c>
      <c r="K189" s="17" t="n">
        <v>854581.75</v>
      </c>
      <c r="L189" s="17" t="n">
        <v>792363</v>
      </c>
      <c r="M189" s="17" t="n">
        <v>23213</v>
      </c>
      <c r="N189" s="17" t="n">
        <v>16892</v>
      </c>
      <c r="O189" s="17" t="n">
        <v>1987</v>
      </c>
      <c r="P189" s="17" t="n">
        <v>321</v>
      </c>
      <c r="Q189" s="17" t="n">
        <v>0</v>
      </c>
      <c r="R189" s="17" t="n">
        <v>-141.3298</v>
      </c>
      <c r="S189" s="17" t="n">
        <v>118541</v>
      </c>
      <c r="T189" s="17" t="n">
        <v>858297</v>
      </c>
      <c r="U189" s="17" t="n">
        <v>71.9982</v>
      </c>
      <c r="V189" s="17" t="n">
        <v>0.00574117421909108</v>
      </c>
      <c r="W189" s="17" t="n">
        <v>0.07</v>
      </c>
      <c r="X189" s="17" t="n">
        <v>2.96943412272245</v>
      </c>
      <c r="Y189" s="17" t="n">
        <v>1.13918376014294</v>
      </c>
      <c r="Z189" s="17" t="n">
        <v>13.811186570616</v>
      </c>
      <c r="AA189" s="17" t="n">
        <v>5.79483896797627</v>
      </c>
      <c r="AB189" s="17"/>
      <c r="AC189" s="17"/>
      <c r="AD189" s="17"/>
      <c r="AE189" s="17"/>
      <c r="AF189" s="17"/>
      <c r="AG189" s="18" t="n">
        <f aca="false">IFERROR(100*O189/F189,"")</f>
        <v>0.151239870087463</v>
      </c>
      <c r="AH189" s="18" t="n">
        <f aca="false">IFERROR(100*(P189+Q189)/F189,"")</f>
        <v>0.0244328124298318</v>
      </c>
      <c r="AI189" s="18" t="n">
        <f aca="false">IFERROR(100*R189/K189,"")</f>
        <v>-0.016537891196483</v>
      </c>
      <c r="AJ189" s="18" t="n">
        <f aca="false">IF(T189&gt;0,100*S189/T189,"")</f>
        <v>13.811186570616</v>
      </c>
      <c r="AK189" s="18" t="n">
        <f aca="false">IFERROR(100*U189/G189,"")</f>
        <v>0.00574117421909108</v>
      </c>
      <c r="AL189" s="18" t="n">
        <f aca="false">IFERROR(100*J189/H189,"")</f>
        <v>87.9323189857278</v>
      </c>
      <c r="AM189" s="18" t="n">
        <f aca="false">IFERROR(100*L189/J189,"")</f>
        <v>84.9790116492318</v>
      </c>
      <c r="AN189" s="18" t="n">
        <f aca="false">IFERROR(100*M189/J189,"")</f>
        <v>2.48953799888892</v>
      </c>
      <c r="AO189" s="18" t="n">
        <f aca="false">IFERROR(100*N189/J189,"")</f>
        <v>1.81162606630903</v>
      </c>
    </row>
    <row r="190" customFormat="false" ht="15" hidden="false" customHeight="false" outlineLevel="0" collapsed="false">
      <c r="A190" s="17" t="n">
        <v>14240</v>
      </c>
      <c r="B190" s="23" t="n">
        <v>44926</v>
      </c>
      <c r="C190" s="17" t="s">
        <v>195</v>
      </c>
      <c r="D190" s="17" t="s">
        <v>116</v>
      </c>
      <c r="E190" s="17" t="s">
        <v>114</v>
      </c>
      <c r="F190" s="17" t="n">
        <v>1297773</v>
      </c>
      <c r="G190" s="17" t="n">
        <v>1262808.6</v>
      </c>
      <c r="H190" s="17" t="n">
        <v>1070008</v>
      </c>
      <c r="I190" s="17" t="n">
        <v>81085</v>
      </c>
      <c r="J190" s="17" t="n">
        <v>930014</v>
      </c>
      <c r="K190" s="17" t="n">
        <v>869668.2</v>
      </c>
      <c r="L190" s="17" t="n">
        <v>824710</v>
      </c>
      <c r="M190" s="17" t="n">
        <v>24518</v>
      </c>
      <c r="N190" s="17" t="n">
        <v>17452</v>
      </c>
      <c r="O190" s="17" t="n">
        <v>2163</v>
      </c>
      <c r="P190" s="17" t="n">
        <v>8212</v>
      </c>
      <c r="Q190" s="17" t="n">
        <v>0</v>
      </c>
      <c r="R190" s="17" t="n">
        <v>-94</v>
      </c>
      <c r="S190" s="17" t="n">
        <v>121410</v>
      </c>
      <c r="T190" s="17" t="n">
        <v>824952</v>
      </c>
      <c r="U190" s="17" t="n">
        <v>3927</v>
      </c>
      <c r="V190" s="17" t="n">
        <v>0.31097349194486</v>
      </c>
      <c r="W190" s="17" t="n">
        <v>4.22</v>
      </c>
      <c r="X190" s="17" t="n">
        <v>3.01422887354516</v>
      </c>
      <c r="Y190" s="17" t="n">
        <v>1.22148698836792</v>
      </c>
      <c r="Z190" s="17" t="n">
        <v>14.7172199109766</v>
      </c>
      <c r="AA190" s="17" t="n">
        <v>6.24801101579398</v>
      </c>
      <c r="AB190" s="17"/>
      <c r="AC190" s="17"/>
      <c r="AD190" s="17"/>
      <c r="AE190" s="17"/>
      <c r="AF190" s="17"/>
      <c r="AG190" s="18" t="n">
        <f aca="false">IFERROR(100*O190/F190,"")</f>
        <v>0.166670134145186</v>
      </c>
      <c r="AH190" s="18" t="n">
        <f aca="false">IFERROR(100*(P190+Q190)/F190,"")</f>
        <v>0.63277630217303</v>
      </c>
      <c r="AI190" s="18" t="n">
        <f aca="false">IFERROR(100*R190/K190,"")</f>
        <v>-0.0108087199232995</v>
      </c>
      <c r="AJ190" s="18" t="n">
        <f aca="false">IF(T190&gt;0,100*S190/T190,"")</f>
        <v>14.7172199109766</v>
      </c>
      <c r="AK190" s="18" t="n">
        <f aca="false">IFERROR(100*U190/G190,"")</f>
        <v>0.31097349194486</v>
      </c>
      <c r="AL190" s="18" t="n">
        <f aca="false">IFERROR(100*J190/H190,"")</f>
        <v>86.9165464183445</v>
      </c>
      <c r="AM190" s="18" t="n">
        <f aca="false">IFERROR(100*L190/J190,"")</f>
        <v>88.6771596986712</v>
      </c>
      <c r="AN190" s="18" t="n">
        <f aca="false">IFERROR(100*M190/J190,"")</f>
        <v>2.63630439971871</v>
      </c>
      <c r="AO190" s="18" t="n">
        <f aca="false">IFERROR(100*N190/J190,"")</f>
        <v>1.87653089093282</v>
      </c>
    </row>
    <row r="191" customFormat="false" ht="15" hidden="false" customHeight="false" outlineLevel="0" collapsed="false">
      <c r="A191" s="17" t="n">
        <v>14240</v>
      </c>
      <c r="B191" s="23" t="n">
        <v>45016</v>
      </c>
      <c r="C191" s="17" t="s">
        <v>195</v>
      </c>
      <c r="D191" s="17" t="s">
        <v>116</v>
      </c>
      <c r="E191" s="17" t="s">
        <v>114</v>
      </c>
      <c r="F191" s="17" t="n">
        <v>1364518</v>
      </c>
      <c r="G191" s="17" t="n">
        <v>1331145.5</v>
      </c>
      <c r="H191" s="17" t="n">
        <v>1019790</v>
      </c>
      <c r="I191" s="17" t="n">
        <v>86202</v>
      </c>
      <c r="J191" s="17" t="n">
        <v>950254</v>
      </c>
      <c r="K191" s="17" t="n">
        <v>940134</v>
      </c>
      <c r="L191" s="17" t="n">
        <v>832225</v>
      </c>
      <c r="M191" s="17" t="n">
        <v>24984</v>
      </c>
      <c r="N191" s="17" t="n">
        <v>17932</v>
      </c>
      <c r="O191" s="17" t="n">
        <v>2251</v>
      </c>
      <c r="P191" s="17" t="n">
        <v>2644</v>
      </c>
      <c r="Q191" s="17" t="n">
        <v>0</v>
      </c>
      <c r="R191" s="17" t="n">
        <v>104</v>
      </c>
      <c r="S191" s="17" t="n">
        <v>122340</v>
      </c>
      <c r="T191" s="17" t="n">
        <v>828587</v>
      </c>
      <c r="U191" s="17" t="n">
        <v>5876</v>
      </c>
      <c r="V191" s="17" t="n">
        <v>0.441424322134583</v>
      </c>
      <c r="W191" s="17" t="n">
        <v>7.03</v>
      </c>
      <c r="X191" s="17" t="n">
        <v>2.9700610541535</v>
      </c>
      <c r="Y191" s="17" t="n">
        <v>1.1672668570719</v>
      </c>
      <c r="Z191" s="17" t="n">
        <v>14.7648949355952</v>
      </c>
      <c r="AA191" s="17" t="n">
        <v>6.31739559316916</v>
      </c>
      <c r="AB191" s="17" t="n">
        <v>11.747363386658</v>
      </c>
      <c r="AC191" s="17" t="n">
        <v>15.2283943880583</v>
      </c>
      <c r="AD191" s="17" t="n">
        <v>-0.0837705568537572</v>
      </c>
      <c r="AE191" s="17" t="n">
        <v>0.371612440801793</v>
      </c>
      <c r="AF191" s="17" t="n">
        <v>-0.0155301644274346</v>
      </c>
      <c r="AG191" s="18" t="n">
        <f aca="false">IFERROR(100*O191/F191,"")</f>
        <v>0.164966676877843</v>
      </c>
      <c r="AH191" s="18" t="n">
        <f aca="false">IFERROR(100*(P191+Q191)/F191,"")</f>
        <v>0.193768055826306</v>
      </c>
      <c r="AI191" s="18" t="n">
        <f aca="false">IFERROR(100*R191/K191,"")</f>
        <v>0.0110622528277884</v>
      </c>
      <c r="AJ191" s="18" t="n">
        <f aca="false">IF(T191&gt;0,100*S191/T191,"")</f>
        <v>14.7648949355952</v>
      </c>
      <c r="AK191" s="18" t="n">
        <f aca="false">IFERROR(100*U191/G191,"")</f>
        <v>0.441424322134583</v>
      </c>
      <c r="AL191" s="18" t="n">
        <f aca="false">IFERROR(100*J191/H191,"")</f>
        <v>93.1813412565332</v>
      </c>
      <c r="AM191" s="18" t="n">
        <f aca="false">IFERROR(100*L191/J191,"")</f>
        <v>87.5792156623387</v>
      </c>
      <c r="AN191" s="18" t="n">
        <f aca="false">IFERROR(100*M191/J191,"")</f>
        <v>2.62919177398885</v>
      </c>
      <c r="AO191" s="18" t="n">
        <f aca="false">IFERROR(100*N191/J191,"")</f>
        <v>1.88707440326481</v>
      </c>
    </row>
    <row r="192" customFormat="false" ht="15" hidden="false" customHeight="false" outlineLevel="0" collapsed="false">
      <c r="A192" s="17" t="n">
        <v>14240</v>
      </c>
      <c r="B192" s="23" t="n">
        <v>45107</v>
      </c>
      <c r="C192" s="17" t="s">
        <v>195</v>
      </c>
      <c r="D192" s="17" t="s">
        <v>116</v>
      </c>
      <c r="E192" s="17" t="s">
        <v>114</v>
      </c>
      <c r="F192" s="17" t="n">
        <v>1364156</v>
      </c>
      <c r="G192" s="17" t="n">
        <v>1342149</v>
      </c>
      <c r="H192" s="17" t="n">
        <v>1068855</v>
      </c>
      <c r="I192" s="17" t="n">
        <v>84062</v>
      </c>
      <c r="J192" s="17" t="n">
        <v>961383</v>
      </c>
      <c r="K192" s="17" t="n">
        <v>947217</v>
      </c>
      <c r="L192" s="17" t="n">
        <v>840679</v>
      </c>
      <c r="M192" s="17" t="n">
        <v>25053</v>
      </c>
      <c r="N192" s="17" t="n">
        <v>18013</v>
      </c>
      <c r="O192" s="17" t="n">
        <v>2407</v>
      </c>
      <c r="P192" s="17" t="n">
        <v>439</v>
      </c>
      <c r="Q192" s="17" t="n">
        <v>0</v>
      </c>
      <c r="R192" s="17" t="n">
        <v>30</v>
      </c>
      <c r="S192" s="17" t="n">
        <v>123694</v>
      </c>
      <c r="T192" s="17" t="n">
        <v>833617</v>
      </c>
      <c r="U192" s="17" t="n">
        <v>6552</v>
      </c>
      <c r="V192" s="17" t="n">
        <v>0.488172326619474</v>
      </c>
      <c r="W192" s="17" t="n">
        <v>7.82</v>
      </c>
      <c r="X192" s="17" t="n">
        <v>2.84318350205088</v>
      </c>
      <c r="Y192" s="17" t="n">
        <v>1.1548987240257</v>
      </c>
      <c r="Z192" s="17" t="n">
        <v>14.8382290668257</v>
      </c>
      <c r="AA192" s="17" t="n">
        <v>6.16219845824085</v>
      </c>
      <c r="AB192" s="17" t="n">
        <v>10.1281263648392</v>
      </c>
      <c r="AC192" s="17" t="n">
        <v>11.2732411711328</v>
      </c>
      <c r="AD192" s="17" t="n">
        <v>2.78805958092556</v>
      </c>
      <c r="AE192" s="17" t="n">
        <v>0.534357798290629</v>
      </c>
      <c r="AF192" s="17" t="n">
        <v>0.0211218400784436</v>
      </c>
      <c r="AG192" s="18" t="n">
        <f aca="false">IFERROR(100*O192/F192,"")</f>
        <v>0.176446095607834</v>
      </c>
      <c r="AH192" s="18" t="n">
        <f aca="false">IFERROR(100*(P192+Q192)/F192,"")</f>
        <v>0.0321810702001824</v>
      </c>
      <c r="AI192" s="18" t="n">
        <f aca="false">IFERROR(100*R192/K192,"")</f>
        <v>0.00316717288646635</v>
      </c>
      <c r="AJ192" s="18" t="n">
        <f aca="false">IF(T192&gt;0,100*S192/T192,"")</f>
        <v>14.8382290668257</v>
      </c>
      <c r="AK192" s="18" t="n">
        <f aca="false">IFERROR(100*U192/G192,"")</f>
        <v>0.488172326619474</v>
      </c>
      <c r="AL192" s="18" t="n">
        <f aca="false">IFERROR(100*J192/H192,"")</f>
        <v>89.9451281979314</v>
      </c>
      <c r="AM192" s="18" t="n">
        <f aca="false">IFERROR(100*L192/J192,"")</f>
        <v>87.4447540678377</v>
      </c>
      <c r="AN192" s="18" t="n">
        <f aca="false">IFERROR(100*M192/J192,"")</f>
        <v>2.60593332730036</v>
      </c>
      <c r="AO192" s="18" t="n">
        <f aca="false">IFERROR(100*N192/J192,"")</f>
        <v>1.87365493252949</v>
      </c>
    </row>
    <row r="193" customFormat="false" ht="15" hidden="false" customHeight="false" outlineLevel="0" collapsed="false">
      <c r="A193" s="17" t="n">
        <v>14240</v>
      </c>
      <c r="B193" s="23" t="n">
        <v>45199</v>
      </c>
      <c r="C193" s="17" t="s">
        <v>195</v>
      </c>
      <c r="D193" s="17" t="s">
        <v>116</v>
      </c>
      <c r="E193" s="17" t="s">
        <v>114</v>
      </c>
      <c r="F193" s="17" t="n">
        <v>1352605</v>
      </c>
      <c r="G193" s="17" t="n">
        <v>1344763</v>
      </c>
      <c r="H193" s="17" t="n">
        <v>1054870</v>
      </c>
      <c r="I193" s="17" t="n">
        <v>75740</v>
      </c>
      <c r="J193" s="17" t="n">
        <v>967238</v>
      </c>
      <c r="K193" s="17" t="n">
        <v>952222.25</v>
      </c>
      <c r="L193" s="17" t="n">
        <v>823267</v>
      </c>
      <c r="M193" s="17" t="n">
        <v>26965</v>
      </c>
      <c r="N193" s="17" t="n">
        <v>17762</v>
      </c>
      <c r="O193" s="17" t="n">
        <v>2967</v>
      </c>
      <c r="P193" s="17" t="n">
        <v>236</v>
      </c>
      <c r="Q193" s="17" t="n">
        <v>0</v>
      </c>
      <c r="R193" s="17" t="n">
        <v>-5.3332</v>
      </c>
      <c r="S193" s="17" t="n">
        <v>125254</v>
      </c>
      <c r="T193" s="17" t="n">
        <v>826379</v>
      </c>
      <c r="U193" s="17" t="n">
        <v>7097.1559</v>
      </c>
      <c r="V193" s="17" t="n">
        <v>0.527762579725944</v>
      </c>
      <c r="W193" s="17" t="n">
        <v>8.68</v>
      </c>
      <c r="X193" s="17" t="n">
        <v>2.85113070307758</v>
      </c>
      <c r="Y193" s="17" t="n">
        <v>1.14987211007012</v>
      </c>
      <c r="Z193" s="17" t="n">
        <v>15.1569679287591</v>
      </c>
      <c r="AA193" s="17" t="n">
        <v>5.5995652832867</v>
      </c>
      <c r="AB193" s="17" t="n">
        <v>2.95309737274958</v>
      </c>
      <c r="AC193" s="17" t="n">
        <v>3.73393163181477</v>
      </c>
      <c r="AD193" s="17" t="n">
        <v>-0.520187931564542</v>
      </c>
      <c r="AE193" s="17" t="n">
        <v>0.522021405506853</v>
      </c>
      <c r="AF193" s="17" t="n">
        <v>0.0681146347384097</v>
      </c>
      <c r="AG193" s="18" t="n">
        <f aca="false">IFERROR(100*O193/F193,"")</f>
        <v>0.219354504825873</v>
      </c>
      <c r="AH193" s="18" t="n">
        <f aca="false">IFERROR(100*(P193+Q193)/F193,"")</f>
        <v>0.0174478136632646</v>
      </c>
      <c r="AI193" s="18" t="n">
        <f aca="false">IFERROR(100*R193/K193,"")</f>
        <v>-0.000560079330219389</v>
      </c>
      <c r="AJ193" s="18" t="n">
        <f aca="false">IF(T193&gt;0,100*S193/T193,"")</f>
        <v>15.1569679287591</v>
      </c>
      <c r="AK193" s="18" t="n">
        <f aca="false">IFERROR(100*U193/G193,"")</f>
        <v>0.527762579725944</v>
      </c>
      <c r="AL193" s="18" t="n">
        <f aca="false">IFERROR(100*J193/H193,"")</f>
        <v>91.6926256315944</v>
      </c>
      <c r="AM193" s="18" t="n">
        <f aca="false">IFERROR(100*L193/J193,"")</f>
        <v>85.1152456789332</v>
      </c>
      <c r="AN193" s="18" t="n">
        <f aca="false">IFERROR(100*M193/J193,"")</f>
        <v>2.78783505197273</v>
      </c>
      <c r="AO193" s="18" t="n">
        <f aca="false">IFERROR(100*N193/J193,"")</f>
        <v>1.83636292205228</v>
      </c>
    </row>
    <row r="194" customFormat="false" ht="15" hidden="false" customHeight="false" outlineLevel="0" collapsed="false">
      <c r="A194" s="17" t="n">
        <v>14240</v>
      </c>
      <c r="B194" s="23" t="n">
        <v>45291</v>
      </c>
      <c r="C194" s="17" t="s">
        <v>195</v>
      </c>
      <c r="D194" s="17" t="s">
        <v>116</v>
      </c>
      <c r="E194" s="17" t="s">
        <v>114</v>
      </c>
      <c r="F194" s="17" t="n">
        <v>1284888</v>
      </c>
      <c r="G194" s="17" t="n">
        <v>1332788</v>
      </c>
      <c r="H194" s="17" t="n">
        <v>1001876</v>
      </c>
      <c r="I194" s="17" t="n">
        <v>89997</v>
      </c>
      <c r="J194" s="17" t="n">
        <v>920895</v>
      </c>
      <c r="K194" s="17" t="n">
        <v>945956.8</v>
      </c>
      <c r="L194" s="17" t="n">
        <v>809855</v>
      </c>
      <c r="M194" s="17" t="n">
        <v>26444</v>
      </c>
      <c r="N194" s="17" t="n">
        <v>16789</v>
      </c>
      <c r="O194" s="17" t="n">
        <v>2809</v>
      </c>
      <c r="P194" s="17" t="n">
        <v>3092</v>
      </c>
      <c r="Q194" s="17" t="n">
        <v>0</v>
      </c>
      <c r="R194" s="17" t="n">
        <v>17</v>
      </c>
      <c r="S194" s="17" t="n">
        <v>124469</v>
      </c>
      <c r="T194" s="17" t="n">
        <v>795090</v>
      </c>
      <c r="U194" s="17" t="n">
        <v>6357</v>
      </c>
      <c r="V194" s="17" t="n">
        <v>0.476970080763032</v>
      </c>
      <c r="W194" s="17" t="n">
        <v>7.62</v>
      </c>
      <c r="X194" s="17" t="n">
        <v>2.84438328976009</v>
      </c>
      <c r="Y194" s="17" t="n">
        <v>1.16147877879671</v>
      </c>
      <c r="Z194" s="17" t="n">
        <v>15.654705756581</v>
      </c>
      <c r="AA194" s="17" t="n">
        <v>7.00426807628369</v>
      </c>
      <c r="AB194" s="17" t="n">
        <v>-0.992854682598576</v>
      </c>
      <c r="AC194" s="17" t="n">
        <v>-0.98052287384921</v>
      </c>
      <c r="AD194" s="17" t="n">
        <v>-6.36742902856801</v>
      </c>
      <c r="AE194" s="17" t="n">
        <v>0.165996588818172</v>
      </c>
      <c r="AF194" s="17" t="n">
        <v>0.051948142311595</v>
      </c>
      <c r="AG194" s="18" t="n">
        <f aca="false">IFERROR(100*O194/F194,"")</f>
        <v>0.218618276456781</v>
      </c>
      <c r="AH194" s="18" t="n">
        <f aca="false">IFERROR(100*(P194+Q194)/F194,"")</f>
        <v>0.240643542472184</v>
      </c>
      <c r="AI194" s="18" t="n">
        <f aca="false">IFERROR(100*R194/K194,"")</f>
        <v>0.00179712223644885</v>
      </c>
      <c r="AJ194" s="18" t="n">
        <f aca="false">IF(T194&gt;0,100*S194/T194,"")</f>
        <v>15.654705756581</v>
      </c>
      <c r="AK194" s="18" t="n">
        <f aca="false">IFERROR(100*U194/G194,"")</f>
        <v>0.476970080763032</v>
      </c>
      <c r="AL194" s="18" t="n">
        <f aca="false">IFERROR(100*J194/H194,"")</f>
        <v>91.9170635887076</v>
      </c>
      <c r="AM194" s="18" t="n">
        <f aca="false">IFERROR(100*L194/J194,"")</f>
        <v>87.9421649590887</v>
      </c>
      <c r="AN194" s="18" t="n">
        <f aca="false">IFERROR(100*M194/J194,"")</f>
        <v>2.87155430315074</v>
      </c>
      <c r="AO194" s="18" t="n">
        <f aca="false">IFERROR(100*N194/J194,"")</f>
        <v>1.82311772786257</v>
      </c>
    </row>
    <row r="195" customFormat="false" ht="15" hidden="false" customHeight="false" outlineLevel="0" collapsed="false">
      <c r="A195" s="17" t="n">
        <v>14240</v>
      </c>
      <c r="B195" s="23" t="n">
        <v>45382</v>
      </c>
      <c r="C195" s="17" t="s">
        <v>195</v>
      </c>
      <c r="D195" s="17" t="s">
        <v>116</v>
      </c>
      <c r="E195" s="17" t="s">
        <v>114</v>
      </c>
      <c r="F195" s="17" t="n">
        <v>1238358</v>
      </c>
      <c r="G195" s="17" t="n">
        <v>1261623</v>
      </c>
      <c r="H195" s="17" t="n">
        <v>983728</v>
      </c>
      <c r="I195" s="17" t="n">
        <v>87867</v>
      </c>
      <c r="J195" s="17" t="n">
        <v>920113</v>
      </c>
      <c r="K195" s="17" t="n">
        <v>920504</v>
      </c>
      <c r="L195" s="17" t="n">
        <v>804017</v>
      </c>
      <c r="M195" s="17" t="n">
        <v>26576</v>
      </c>
      <c r="N195" s="17" t="n">
        <v>15838</v>
      </c>
      <c r="O195" s="17" t="n">
        <v>3281</v>
      </c>
      <c r="P195" s="17" t="n">
        <v>2878</v>
      </c>
      <c r="Q195" s="17" t="n">
        <v>0</v>
      </c>
      <c r="R195" s="17" t="n">
        <v>-24</v>
      </c>
      <c r="S195" s="17" t="n">
        <v>125323</v>
      </c>
      <c r="T195" s="17" t="n">
        <v>779350</v>
      </c>
      <c r="U195" s="17" t="n">
        <v>6180</v>
      </c>
      <c r="V195" s="17" t="n">
        <v>0.489845223176813</v>
      </c>
      <c r="W195" s="17" t="n">
        <v>6.95</v>
      </c>
      <c r="X195" s="17" t="n">
        <v>2.8576455097097</v>
      </c>
      <c r="Y195" s="17" t="n">
        <v>1.16311800833159</v>
      </c>
      <c r="Z195" s="17" t="n">
        <v>16.0804516584333</v>
      </c>
      <c r="AA195" s="17" t="n">
        <v>7.09544412843459</v>
      </c>
      <c r="AB195" s="17" t="n">
        <v>-9.24575564411756</v>
      </c>
      <c r="AC195" s="17" t="n">
        <v>-3.17188877921061</v>
      </c>
      <c r="AD195" s="17" t="n">
        <v>-3.5362182410104</v>
      </c>
      <c r="AE195" s="17" t="n">
        <v>0.0484209010422301</v>
      </c>
      <c r="AF195" s="17" t="n">
        <v>0.0999809392396291</v>
      </c>
      <c r="AG195" s="18" t="n">
        <f aca="false">IFERROR(100*O195/F195,"")</f>
        <v>0.264947616117472</v>
      </c>
      <c r="AH195" s="18" t="n">
        <f aca="false">IFERROR(100*(P195+Q195)/F195,"")</f>
        <v>0.232404522763207</v>
      </c>
      <c r="AI195" s="18" t="n">
        <f aca="false">IFERROR(100*R195/K195,"")</f>
        <v>-0.00260726732311864</v>
      </c>
      <c r="AJ195" s="18" t="n">
        <f aca="false">IF(T195&gt;0,100*S195/T195,"")</f>
        <v>16.0804516584333</v>
      </c>
      <c r="AK195" s="18" t="n">
        <f aca="false">IFERROR(100*U195/G195,"")</f>
        <v>0.489845223176813</v>
      </c>
      <c r="AL195" s="18" t="n">
        <f aca="false">IFERROR(100*J195/H195,"")</f>
        <v>93.5332734251744</v>
      </c>
      <c r="AM195" s="18" t="n">
        <f aca="false">IFERROR(100*L195/J195,"")</f>
        <v>87.3824193332775</v>
      </c>
      <c r="AN195" s="18" t="n">
        <f aca="false">IFERROR(100*M195/J195,"")</f>
        <v>2.88834088856477</v>
      </c>
      <c r="AO195" s="18" t="n">
        <f aca="false">IFERROR(100*N195/J195,"")</f>
        <v>1.72131031731972</v>
      </c>
    </row>
    <row r="196" customFormat="false" ht="15" hidden="false" customHeight="false" outlineLevel="0" collapsed="false">
      <c r="A196" s="17" t="n">
        <v>14240</v>
      </c>
      <c r="B196" s="23" t="n">
        <v>45473</v>
      </c>
      <c r="C196" s="17" t="s">
        <v>195</v>
      </c>
      <c r="D196" s="17" t="s">
        <v>116</v>
      </c>
      <c r="E196" s="17" t="s">
        <v>114</v>
      </c>
      <c r="F196" s="17" t="n">
        <v>1270696</v>
      </c>
      <c r="G196" s="17" t="n">
        <v>1264647.33333333</v>
      </c>
      <c r="H196" s="17" t="n">
        <v>1022140</v>
      </c>
      <c r="I196" s="17" t="n">
        <v>88523</v>
      </c>
      <c r="J196" s="17" t="n">
        <v>930519</v>
      </c>
      <c r="K196" s="17" t="n">
        <v>923842.333333333</v>
      </c>
      <c r="L196" s="17" t="n">
        <v>787415</v>
      </c>
      <c r="M196" s="17" t="n">
        <v>30527</v>
      </c>
      <c r="N196" s="17" t="n">
        <v>14400</v>
      </c>
      <c r="O196" s="17" t="n">
        <v>3555</v>
      </c>
      <c r="P196" s="17" t="n">
        <v>671</v>
      </c>
      <c r="Q196" s="17" t="n">
        <v>0</v>
      </c>
      <c r="R196" s="17" t="n">
        <v>-18</v>
      </c>
      <c r="S196" s="17" t="n">
        <v>125738</v>
      </c>
      <c r="T196" s="17" t="n">
        <v>785830</v>
      </c>
      <c r="U196" s="17" t="n">
        <v>5234</v>
      </c>
      <c r="V196" s="17" t="n">
        <v>0.413870322740833</v>
      </c>
      <c r="W196" s="17" t="n">
        <v>5.89</v>
      </c>
      <c r="X196" s="17" t="n">
        <v>2.71037129489864</v>
      </c>
      <c r="Y196" s="17" t="n">
        <v>1.15043325284062</v>
      </c>
      <c r="Z196" s="17" t="n">
        <v>16.0006617207284</v>
      </c>
      <c r="AA196" s="17" t="n">
        <v>6.96649710080145</v>
      </c>
      <c r="AB196" s="17" t="n">
        <v>-6.85112259888165</v>
      </c>
      <c r="AC196" s="17" t="n">
        <v>-3.21037505343864</v>
      </c>
      <c r="AD196" s="17" t="n">
        <v>-4.37056476322794</v>
      </c>
      <c r="AE196" s="17" t="n">
        <v>-0.074302003878641</v>
      </c>
      <c r="AF196" s="17" t="n">
        <v>0.103321842592963</v>
      </c>
      <c r="AG196" s="18" t="n">
        <f aca="false">IFERROR(100*O196/F196,"")</f>
        <v>0.279767938200797</v>
      </c>
      <c r="AH196" s="18" t="n">
        <f aca="false">IFERROR(100*(P196+Q196)/F196,"")</f>
        <v>0.052805706478969</v>
      </c>
      <c r="AI196" s="18" t="n">
        <f aca="false">IFERROR(100*R196/K196,"")</f>
        <v>-0.0019483844104712</v>
      </c>
      <c r="AJ196" s="18" t="n">
        <f aca="false">IF(T196&gt;0,100*S196/T196,"")</f>
        <v>16.0006617207284</v>
      </c>
      <c r="AK196" s="18" t="n">
        <f aca="false">IFERROR(100*U196/G196,"")</f>
        <v>0.413870322740833</v>
      </c>
      <c r="AL196" s="18" t="n">
        <f aca="false">IFERROR(100*J196/H196,"")</f>
        <v>91.0363550981275</v>
      </c>
      <c r="AM196" s="18" t="n">
        <f aca="false">IFERROR(100*L196/J196,"")</f>
        <v>84.6210555614662</v>
      </c>
      <c r="AN196" s="18" t="n">
        <f aca="false">IFERROR(100*M196/J196,"")</f>
        <v>3.28064230821724</v>
      </c>
      <c r="AO196" s="18" t="n">
        <f aca="false">IFERROR(100*N196/J196,"")</f>
        <v>1.54752347883278</v>
      </c>
    </row>
    <row r="197" customFormat="false" ht="15" hidden="false" customHeight="false" outlineLevel="0" collapsed="false">
      <c r="A197" s="17" t="n">
        <v>14240</v>
      </c>
      <c r="B197" s="23" t="n">
        <v>45565</v>
      </c>
      <c r="C197" s="17" t="s">
        <v>195</v>
      </c>
      <c r="D197" s="17" t="s">
        <v>116</v>
      </c>
      <c r="E197" s="17" t="s">
        <v>114</v>
      </c>
      <c r="F197" s="17" t="n">
        <v>1215556</v>
      </c>
      <c r="G197" s="17" t="n">
        <v>1252374.5</v>
      </c>
      <c r="H197" s="17" t="n">
        <v>1013911</v>
      </c>
      <c r="I197" s="17" t="n">
        <v>96896</v>
      </c>
      <c r="J197" s="17" t="n">
        <v>912838</v>
      </c>
      <c r="K197" s="17" t="n">
        <v>921091.25</v>
      </c>
      <c r="L197" s="17" t="n">
        <v>772079</v>
      </c>
      <c r="M197" s="17" t="n">
        <v>28907</v>
      </c>
      <c r="N197" s="17" t="n">
        <v>13307</v>
      </c>
      <c r="O197" s="17" t="n">
        <v>3698</v>
      </c>
      <c r="P197" s="17" t="n">
        <v>516</v>
      </c>
      <c r="Q197" s="17" t="n">
        <v>0</v>
      </c>
      <c r="R197" s="17" t="n">
        <v>-18.6662</v>
      </c>
      <c r="S197" s="17" t="n">
        <v>125886</v>
      </c>
      <c r="T197" s="17" t="n">
        <v>762072</v>
      </c>
      <c r="U197" s="17" t="n">
        <v>5753.1895</v>
      </c>
      <c r="V197" s="17" t="n">
        <v>0.459382516970762</v>
      </c>
      <c r="W197" s="17" t="n">
        <v>6.33</v>
      </c>
      <c r="X197" s="17" t="n">
        <v>2.72606205313891</v>
      </c>
      <c r="Y197" s="17" t="n">
        <v>1.17326404027878</v>
      </c>
      <c r="Z197" s="17" t="n">
        <v>16.518911598904</v>
      </c>
      <c r="AA197" s="17" t="n">
        <v>7.97133163753871</v>
      </c>
      <c r="AB197" s="17" t="n">
        <v>-10.1322263336303</v>
      </c>
      <c r="AC197" s="17" t="n">
        <v>-5.62426207407071</v>
      </c>
      <c r="AD197" s="17" t="n">
        <v>-3.88284812346545</v>
      </c>
      <c r="AE197" s="17" t="n">
        <v>-0.068380062755182</v>
      </c>
      <c r="AF197" s="17" t="n">
        <v>0.0848684186758003</v>
      </c>
      <c r="AG197" s="18" t="n">
        <f aca="false">IFERROR(100*O197/F197,"")</f>
        <v>0.304222923501673</v>
      </c>
      <c r="AH197" s="18" t="n">
        <f aca="false">IFERROR(100*(P197+Q197)/F197,"")</f>
        <v>0.0424497102560474</v>
      </c>
      <c r="AI197" s="18" t="n">
        <f aca="false">IFERROR(100*R197/K197,"")</f>
        <v>-0.00202653103044894</v>
      </c>
      <c r="AJ197" s="18" t="n">
        <f aca="false">IF(T197&gt;0,100*S197/T197,"")</f>
        <v>16.518911598904</v>
      </c>
      <c r="AK197" s="18" t="n">
        <f aca="false">IFERROR(100*U197/G197,"")</f>
        <v>0.459382516970762</v>
      </c>
      <c r="AL197" s="18" t="n">
        <f aca="false">IFERROR(100*J197/H197,"")</f>
        <v>90.0313735623738</v>
      </c>
      <c r="AM197" s="18" t="n">
        <f aca="false">IFERROR(100*L197/J197,"")</f>
        <v>84.5800678762278</v>
      </c>
      <c r="AN197" s="18" t="n">
        <f aca="false">IFERROR(100*M197/J197,"")</f>
        <v>3.16671742412126</v>
      </c>
      <c r="AO197" s="18" t="n">
        <f aca="false">IFERROR(100*N197/J197,"")</f>
        <v>1.45776139906533</v>
      </c>
    </row>
    <row r="198" customFormat="false" ht="15" hidden="false" customHeight="false" outlineLevel="0" collapsed="false">
      <c r="A198" s="17" t="n">
        <v>14240</v>
      </c>
      <c r="B198" s="23" t="n">
        <v>45657</v>
      </c>
      <c r="C198" s="17" t="s">
        <v>195</v>
      </c>
      <c r="D198" s="17" t="s">
        <v>116</v>
      </c>
      <c r="E198" s="17" t="s">
        <v>114</v>
      </c>
      <c r="F198" s="17" t="n">
        <v>1188010</v>
      </c>
      <c r="G198" s="17" t="n">
        <v>1239501.6</v>
      </c>
      <c r="H198" s="17" t="n">
        <v>977466</v>
      </c>
      <c r="I198" s="17" t="n">
        <v>89624</v>
      </c>
      <c r="J198" s="17" t="n">
        <v>874800</v>
      </c>
      <c r="K198" s="17" t="n">
        <v>911833</v>
      </c>
      <c r="L198" s="17" t="n">
        <v>760710</v>
      </c>
      <c r="M198" s="17" t="n">
        <v>27669</v>
      </c>
      <c r="N198" s="17" t="n">
        <v>12372</v>
      </c>
      <c r="O198" s="17" t="n">
        <v>2934</v>
      </c>
      <c r="P198" s="17" t="n">
        <v>2297</v>
      </c>
      <c r="Q198" s="17" t="n">
        <v>0</v>
      </c>
      <c r="R198" s="17" t="n">
        <v>-18</v>
      </c>
      <c r="S198" s="17" t="n">
        <v>126031</v>
      </c>
      <c r="T198" s="17" t="n">
        <v>734904</v>
      </c>
      <c r="U198" s="17" t="n">
        <v>6251</v>
      </c>
      <c r="V198" s="17" t="n">
        <v>0.504315605562752</v>
      </c>
      <c r="W198" s="17" t="n">
        <v>6.9</v>
      </c>
      <c r="X198" s="17" t="n">
        <v>2.74163164808035</v>
      </c>
      <c r="Y198" s="17" t="n">
        <v>1.16849565614998</v>
      </c>
      <c r="Z198" s="17" t="n">
        <v>17.1493147404287</v>
      </c>
      <c r="AA198" s="17" t="n">
        <v>7.54404424205184</v>
      </c>
      <c r="AB198" s="17" t="n">
        <v>-7.53980113441795</v>
      </c>
      <c r="AC198" s="17" t="n">
        <v>-5.00545664815207</v>
      </c>
      <c r="AD198" s="17" t="n">
        <v>-2.43642925871066</v>
      </c>
      <c r="AE198" s="17" t="n">
        <v>0.0273455247997199</v>
      </c>
      <c r="AF198" s="17" t="n">
        <v>0.0283493416609119</v>
      </c>
      <c r="AG198" s="18" t="n">
        <f aca="false">IFERROR(100*O198/F198,"")</f>
        <v>0.246967618117693</v>
      </c>
      <c r="AH198" s="18" t="n">
        <f aca="false">IFERROR(100*(P198+Q198)/F198,"")</f>
        <v>0.193348540837198</v>
      </c>
      <c r="AI198" s="18" t="n">
        <f aca="false">IFERROR(100*R198/K198,"")</f>
        <v>-0.00197404568599733</v>
      </c>
      <c r="AJ198" s="18" t="n">
        <f aca="false">IF(T198&gt;0,100*S198/T198,"")</f>
        <v>17.1493147404287</v>
      </c>
      <c r="AK198" s="18" t="n">
        <f aca="false">IFERROR(100*U198/G198,"")</f>
        <v>0.504315605562752</v>
      </c>
      <c r="AL198" s="18" t="n">
        <f aca="false">IFERROR(100*J198/H198,"")</f>
        <v>89.4967190674663</v>
      </c>
      <c r="AM198" s="18" t="n">
        <f aca="false">IFERROR(100*L198/J198,"")</f>
        <v>86.9581618655693</v>
      </c>
      <c r="AN198" s="18" t="n">
        <f aca="false">IFERROR(100*M198/J198,"")</f>
        <v>3.16289437585734</v>
      </c>
      <c r="AO198" s="18" t="n">
        <f aca="false">IFERROR(100*N198/J198,"")</f>
        <v>1.41426611796982</v>
      </c>
    </row>
    <row r="199" customFormat="false" ht="15" hidden="false" customHeight="false" outlineLevel="0" collapsed="false">
      <c r="A199" s="17" t="n">
        <v>17115</v>
      </c>
      <c r="B199" s="23" t="n">
        <v>44651</v>
      </c>
      <c r="C199" s="17" t="s">
        <v>143</v>
      </c>
      <c r="D199" s="17" t="s">
        <v>108</v>
      </c>
      <c r="E199" s="17" t="s">
        <v>118</v>
      </c>
      <c r="F199" s="17" t="n">
        <v>836644</v>
      </c>
      <c r="G199" s="17" t="n">
        <v>839485</v>
      </c>
      <c r="H199" s="17" t="n">
        <v>738943</v>
      </c>
      <c r="I199" s="17" t="n">
        <v>83239</v>
      </c>
      <c r="J199" s="17" t="n">
        <v>656481</v>
      </c>
      <c r="K199" s="17" t="n">
        <v>646230.5</v>
      </c>
      <c r="L199" s="17" t="n">
        <v>608827</v>
      </c>
      <c r="M199" s="17" t="n">
        <v>43003</v>
      </c>
      <c r="N199" s="17" t="n">
        <v>3606</v>
      </c>
      <c r="O199" s="17" t="n">
        <v>164</v>
      </c>
      <c r="P199" s="17" t="n">
        <v>62</v>
      </c>
      <c r="Q199" s="17" t="n">
        <v>0</v>
      </c>
      <c r="R199" s="17" t="n">
        <v>960</v>
      </c>
      <c r="S199" s="17" t="n">
        <v>97613</v>
      </c>
      <c r="T199" s="17" t="n">
        <v>625465</v>
      </c>
      <c r="U199" s="17" t="n">
        <v>9360</v>
      </c>
      <c r="V199" s="17" t="n">
        <v>1.11496929665211</v>
      </c>
      <c r="W199" s="17" t="n">
        <v>11.05</v>
      </c>
      <c r="X199" s="17" t="n">
        <v>3.51263617241704</v>
      </c>
      <c r="Y199" s="17" t="n">
        <v>1.16713202666947</v>
      </c>
      <c r="Z199" s="17" t="n">
        <v>15.6064687872223</v>
      </c>
      <c r="AA199" s="17" t="n">
        <v>9.94915400098489</v>
      </c>
      <c r="AB199" s="17"/>
      <c r="AC199" s="17"/>
      <c r="AD199" s="17"/>
      <c r="AE199" s="17"/>
      <c r="AF199" s="17"/>
      <c r="AG199" s="18" t="n">
        <f aca="false">IFERROR(100*O199/F199,"")</f>
        <v>0.019602124679075</v>
      </c>
      <c r="AH199" s="18" t="n">
        <f aca="false">IFERROR(100*(P199+Q199)/F199,"")</f>
        <v>0.0074105593298942</v>
      </c>
      <c r="AI199" s="18" t="n">
        <f aca="false">IFERROR(100*R199/K199,"")</f>
        <v>0.148553805492003</v>
      </c>
      <c r="AJ199" s="18" t="n">
        <f aca="false">IF(T199&gt;0,100*S199/T199,"")</f>
        <v>15.6064687872223</v>
      </c>
      <c r="AK199" s="18" t="n">
        <f aca="false">IFERROR(100*U199/G199,"")</f>
        <v>1.11496929665211</v>
      </c>
      <c r="AL199" s="18" t="n">
        <f aca="false">IFERROR(100*J199/H199,"")</f>
        <v>88.8405465644847</v>
      </c>
      <c r="AM199" s="18" t="n">
        <f aca="false">IFERROR(100*L199/J199,"")</f>
        <v>92.7409932656086</v>
      </c>
      <c r="AN199" s="18" t="n">
        <f aca="false">IFERROR(100*M199/J199,"")</f>
        <v>6.55053230786573</v>
      </c>
      <c r="AO199" s="18" t="n">
        <f aca="false">IFERROR(100*N199/J199,"")</f>
        <v>0.549292363373807</v>
      </c>
    </row>
    <row r="200" customFormat="false" ht="15" hidden="false" customHeight="false" outlineLevel="0" collapsed="false">
      <c r="A200" s="17" t="n">
        <v>17115</v>
      </c>
      <c r="B200" s="23" t="n">
        <v>44742</v>
      </c>
      <c r="C200" s="17" t="s">
        <v>143</v>
      </c>
      <c r="D200" s="17" t="s">
        <v>108</v>
      </c>
      <c r="E200" s="17" t="s">
        <v>118</v>
      </c>
      <c r="F200" s="17" t="n">
        <v>914201</v>
      </c>
      <c r="G200" s="17" t="n">
        <v>864390.333333333</v>
      </c>
      <c r="H200" s="17" t="n">
        <v>774623</v>
      </c>
      <c r="I200" s="17" t="n">
        <v>77851</v>
      </c>
      <c r="J200" s="17" t="n">
        <v>737353</v>
      </c>
      <c r="K200" s="17" t="n">
        <v>676604.666666667</v>
      </c>
      <c r="L200" s="17" t="n">
        <v>687325</v>
      </c>
      <c r="M200" s="17" t="n">
        <v>45258</v>
      </c>
      <c r="N200" s="17" t="n">
        <v>3773</v>
      </c>
      <c r="O200" s="17" t="n">
        <v>157</v>
      </c>
      <c r="P200" s="17" t="n">
        <v>394</v>
      </c>
      <c r="Q200" s="17" t="n">
        <v>0</v>
      </c>
      <c r="R200" s="17" t="n">
        <v>392</v>
      </c>
      <c r="S200" s="17" t="n">
        <v>97538</v>
      </c>
      <c r="T200" s="17" t="n">
        <v>664350</v>
      </c>
      <c r="U200" s="17" t="n">
        <v>3572</v>
      </c>
      <c r="V200" s="17" t="n">
        <v>0.413239234898123</v>
      </c>
      <c r="W200" s="17" t="n">
        <v>4.33</v>
      </c>
      <c r="X200" s="17" t="n">
        <v>3.53120065215428</v>
      </c>
      <c r="Y200" s="17" t="n">
        <v>1.02881523503668</v>
      </c>
      <c r="Z200" s="17" t="n">
        <v>14.6817189734327</v>
      </c>
      <c r="AA200" s="17" t="n">
        <v>8.51574216173467</v>
      </c>
      <c r="AB200" s="17"/>
      <c r="AC200" s="17"/>
      <c r="AD200" s="17"/>
      <c r="AE200" s="17"/>
      <c r="AF200" s="17"/>
      <c r="AG200" s="18" t="n">
        <f aca="false">IFERROR(100*O200/F200,"")</f>
        <v>0.0171734662289803</v>
      </c>
      <c r="AH200" s="18" t="n">
        <f aca="false">IFERROR(100*(P200+Q200)/F200,"")</f>
        <v>0.0430977432752754</v>
      </c>
      <c r="AI200" s="18" t="n">
        <f aca="false">IFERROR(100*R200/K200,"")</f>
        <v>0.0579363429358552</v>
      </c>
      <c r="AJ200" s="18" t="n">
        <f aca="false">IF(T200&gt;0,100*S200/T200,"")</f>
        <v>14.6817189734327</v>
      </c>
      <c r="AK200" s="18" t="n">
        <f aca="false">IFERROR(100*U200/G200,"")</f>
        <v>0.413239234898123</v>
      </c>
      <c r="AL200" s="18" t="n">
        <f aca="false">IFERROR(100*J200/H200,"")</f>
        <v>95.188627241897</v>
      </c>
      <c r="AM200" s="18" t="n">
        <f aca="false">IFERROR(100*L200/J200,"")</f>
        <v>93.2151900107547</v>
      </c>
      <c r="AN200" s="18" t="n">
        <f aca="false">IFERROR(100*M200/J200,"")</f>
        <v>6.13790138508964</v>
      </c>
      <c r="AO200" s="18" t="n">
        <f aca="false">IFERROR(100*N200/J200,"")</f>
        <v>0.511695212469469</v>
      </c>
    </row>
    <row r="201" customFormat="false" ht="15" hidden="false" customHeight="false" outlineLevel="0" collapsed="false">
      <c r="A201" s="17" t="n">
        <v>17115</v>
      </c>
      <c r="B201" s="23" t="n">
        <v>44834</v>
      </c>
      <c r="C201" s="17" t="s">
        <v>143</v>
      </c>
      <c r="D201" s="17" t="s">
        <v>108</v>
      </c>
      <c r="E201" s="17" t="s">
        <v>118</v>
      </c>
      <c r="F201" s="17" t="n">
        <v>978552</v>
      </c>
      <c r="G201" s="17" t="n">
        <v>892930.75</v>
      </c>
      <c r="H201" s="17" t="n">
        <v>820800</v>
      </c>
      <c r="I201" s="17" t="n">
        <v>74649</v>
      </c>
      <c r="J201" s="17" t="n">
        <v>804440</v>
      </c>
      <c r="K201" s="17" t="n">
        <v>708563.5</v>
      </c>
      <c r="L201" s="17" t="n">
        <v>756417</v>
      </c>
      <c r="M201" s="17" t="n">
        <v>42975</v>
      </c>
      <c r="N201" s="17" t="n">
        <v>4081</v>
      </c>
      <c r="O201" s="17" t="n">
        <v>150</v>
      </c>
      <c r="P201" s="17" t="n">
        <v>519</v>
      </c>
      <c r="Q201" s="17" t="n">
        <v>0</v>
      </c>
      <c r="R201" s="17" t="n">
        <v>283.9929</v>
      </c>
      <c r="S201" s="17" t="n">
        <v>98280</v>
      </c>
      <c r="T201" s="17" t="n">
        <v>706881</v>
      </c>
      <c r="U201" s="17" t="n">
        <v>2669.2666</v>
      </c>
      <c r="V201" s="17" t="n">
        <v>0.298933215145743</v>
      </c>
      <c r="W201" s="17" t="n">
        <v>3.32</v>
      </c>
      <c r="X201" s="17" t="n">
        <v>3.55176061857441</v>
      </c>
      <c r="Y201" s="17" t="n">
        <v>0.945751081497688</v>
      </c>
      <c r="Z201" s="17" t="n">
        <v>13.9033302635097</v>
      </c>
      <c r="AA201" s="17" t="n">
        <v>7.62851642018002</v>
      </c>
      <c r="AB201" s="17"/>
      <c r="AC201" s="17"/>
      <c r="AD201" s="17"/>
      <c r="AE201" s="17"/>
      <c r="AF201" s="17"/>
      <c r="AG201" s="18" t="n">
        <f aca="false">IFERROR(100*O201/F201,"")</f>
        <v>0.0153287714909376</v>
      </c>
      <c r="AH201" s="18" t="n">
        <f aca="false">IFERROR(100*(P201+Q201)/F201,"")</f>
        <v>0.0530375493586442</v>
      </c>
      <c r="AI201" s="18" t="n">
        <f aca="false">IFERROR(100*R201/K201,"")</f>
        <v>0.040080091621993</v>
      </c>
      <c r="AJ201" s="18" t="n">
        <f aca="false">IF(T201&gt;0,100*S201/T201,"")</f>
        <v>13.9033302635097</v>
      </c>
      <c r="AK201" s="18" t="n">
        <f aca="false">IFERROR(100*U201/G201,"")</f>
        <v>0.298933215145743</v>
      </c>
      <c r="AL201" s="18" t="n">
        <f aca="false">IFERROR(100*J201/H201,"")</f>
        <v>98.0068226120858</v>
      </c>
      <c r="AM201" s="18" t="n">
        <f aca="false">IFERROR(100*L201/J201,"")</f>
        <v>94.0302570732435</v>
      </c>
      <c r="AN201" s="18" t="n">
        <f aca="false">IFERROR(100*M201/J201,"")</f>
        <v>5.34222564765551</v>
      </c>
      <c r="AO201" s="18" t="n">
        <f aca="false">IFERROR(100*N201/J201,"")</f>
        <v>0.507309432648799</v>
      </c>
    </row>
    <row r="202" customFormat="false" ht="15" hidden="false" customHeight="false" outlineLevel="0" collapsed="false">
      <c r="A202" s="17" t="n">
        <v>17115</v>
      </c>
      <c r="B202" s="23" t="n">
        <v>44926</v>
      </c>
      <c r="C202" s="17" t="s">
        <v>143</v>
      </c>
      <c r="D202" s="17" t="s">
        <v>108</v>
      </c>
      <c r="E202" s="17" t="s">
        <v>114</v>
      </c>
      <c r="F202" s="17" t="n">
        <v>1004795</v>
      </c>
      <c r="G202" s="17" t="n">
        <v>915303.6</v>
      </c>
      <c r="H202" s="17" t="n">
        <v>856846</v>
      </c>
      <c r="I202" s="17" t="n">
        <v>78632</v>
      </c>
      <c r="J202" s="17" t="n">
        <v>833453</v>
      </c>
      <c r="K202" s="17" t="n">
        <v>733541.4</v>
      </c>
      <c r="L202" s="17" t="n">
        <v>786913</v>
      </c>
      <c r="M202" s="17" t="n">
        <v>40984</v>
      </c>
      <c r="N202" s="17" t="n">
        <v>4504</v>
      </c>
      <c r="O202" s="17" t="n">
        <v>265</v>
      </c>
      <c r="P202" s="17" t="n">
        <v>278</v>
      </c>
      <c r="Q202" s="17" t="n">
        <v>0</v>
      </c>
      <c r="R202" s="17" t="n">
        <v>216</v>
      </c>
      <c r="S202" s="17" t="n">
        <v>102512</v>
      </c>
      <c r="T202" s="17" t="n">
        <v>734753</v>
      </c>
      <c r="U202" s="17" t="n">
        <v>5889</v>
      </c>
      <c r="V202" s="17" t="n">
        <v>0.643393077444468</v>
      </c>
      <c r="W202" s="17" t="n">
        <v>7.35</v>
      </c>
      <c r="X202" s="17" t="n">
        <v>3.57368381916725</v>
      </c>
      <c r="Y202" s="17" t="n">
        <v>0.938865178960301</v>
      </c>
      <c r="Z202" s="17" t="n">
        <v>13.9518994818667</v>
      </c>
      <c r="AA202" s="17" t="n">
        <v>7.82567588413557</v>
      </c>
      <c r="AB202" s="17"/>
      <c r="AC202" s="17"/>
      <c r="AD202" s="17"/>
      <c r="AE202" s="17"/>
      <c r="AF202" s="17"/>
      <c r="AG202" s="18" t="n">
        <f aca="false">IFERROR(100*O202/F202,"")</f>
        <v>0.0263735388810653</v>
      </c>
      <c r="AH202" s="18" t="n">
        <f aca="false">IFERROR(100*(P202+Q202)/F202,"")</f>
        <v>0.027667335128061</v>
      </c>
      <c r="AI202" s="18" t="n">
        <f aca="false">IFERROR(100*R202/K202,"")</f>
        <v>0.0294461907671469</v>
      </c>
      <c r="AJ202" s="18" t="n">
        <f aca="false">IF(T202&gt;0,100*S202/T202,"")</f>
        <v>13.9518994818667</v>
      </c>
      <c r="AK202" s="18" t="n">
        <f aca="false">IFERROR(100*U202/G202,"")</f>
        <v>0.643393077444468</v>
      </c>
      <c r="AL202" s="18" t="n">
        <f aca="false">IFERROR(100*J202/H202,"")</f>
        <v>97.2698711320354</v>
      </c>
      <c r="AM202" s="18" t="n">
        <f aca="false">IFERROR(100*L202/J202,"")</f>
        <v>94.4160018621326</v>
      </c>
      <c r="AN202" s="18" t="n">
        <f aca="false">IFERROR(100*M202/J202,"")</f>
        <v>4.91737386511297</v>
      </c>
      <c r="AO202" s="18" t="n">
        <f aca="false">IFERROR(100*N202/J202,"")</f>
        <v>0.540402398215616</v>
      </c>
    </row>
    <row r="203" customFormat="false" ht="15" hidden="false" customHeight="false" outlineLevel="0" collapsed="false">
      <c r="A203" s="17" t="n">
        <v>17115</v>
      </c>
      <c r="B203" s="23" t="n">
        <v>45016</v>
      </c>
      <c r="C203" s="17" t="s">
        <v>143</v>
      </c>
      <c r="D203" s="17" t="s">
        <v>108</v>
      </c>
      <c r="E203" s="17" t="s">
        <v>114</v>
      </c>
      <c r="F203" s="17" t="n">
        <v>1044604</v>
      </c>
      <c r="G203" s="17" t="n">
        <v>1024699.5</v>
      </c>
      <c r="H203" s="17" t="n">
        <v>888210</v>
      </c>
      <c r="I203" s="17" t="n">
        <v>82605</v>
      </c>
      <c r="J203" s="17" t="n">
        <v>860779</v>
      </c>
      <c r="K203" s="17" t="n">
        <v>847116</v>
      </c>
      <c r="L203" s="17" t="n">
        <v>814065</v>
      </c>
      <c r="M203" s="17" t="n">
        <v>41130</v>
      </c>
      <c r="N203" s="17" t="n">
        <v>4630</v>
      </c>
      <c r="O203" s="17" t="n">
        <v>259</v>
      </c>
      <c r="P203" s="17" t="n">
        <v>37</v>
      </c>
      <c r="Q203" s="17" t="n">
        <v>0</v>
      </c>
      <c r="R203" s="17" t="n">
        <v>28</v>
      </c>
      <c r="S203" s="17" t="n">
        <v>104783</v>
      </c>
      <c r="T203" s="17" t="n">
        <v>768946</v>
      </c>
      <c r="U203" s="17" t="n">
        <v>7116</v>
      </c>
      <c r="V203" s="17" t="n">
        <v>0.694447494119008</v>
      </c>
      <c r="W203" s="17" t="n">
        <v>8.83</v>
      </c>
      <c r="X203" s="17" t="n">
        <v>3.14233773367192</v>
      </c>
      <c r="Y203" s="17" t="n">
        <v>1.0281384652739</v>
      </c>
      <c r="Z203" s="17" t="n">
        <v>13.626834654189</v>
      </c>
      <c r="AA203" s="17" t="n">
        <v>7.90778132191721</v>
      </c>
      <c r="AB203" s="17" t="n">
        <v>24.8564502942709</v>
      </c>
      <c r="AC203" s="17" t="n">
        <v>31.1201695098563</v>
      </c>
      <c r="AD203" s="17" t="n">
        <v>20.2000695588158</v>
      </c>
      <c r="AE203" s="17" t="n">
        <v>-0.420521802533107</v>
      </c>
      <c r="AF203" s="17" t="n">
        <v>0.00519195996927024</v>
      </c>
      <c r="AG203" s="18" t="n">
        <f aca="false">IFERROR(100*O203/F203,"")</f>
        <v>0.0247940846483452</v>
      </c>
      <c r="AH203" s="18" t="n">
        <f aca="false">IFERROR(100*(P203+Q203)/F203,"")</f>
        <v>0.00354201209262074</v>
      </c>
      <c r="AI203" s="18" t="n">
        <f aca="false">IFERROR(100*R203/K203,"")</f>
        <v>0.00330533244561548</v>
      </c>
      <c r="AJ203" s="18" t="n">
        <f aca="false">IF(T203&gt;0,100*S203/T203,"")</f>
        <v>13.626834654189</v>
      </c>
      <c r="AK203" s="18" t="n">
        <f aca="false">IFERROR(100*U203/G203,"")</f>
        <v>0.694447494119008</v>
      </c>
      <c r="AL203" s="18" t="n">
        <f aca="false">IFERROR(100*J203/H203,"")</f>
        <v>96.9116537755711</v>
      </c>
      <c r="AM203" s="18" t="n">
        <f aca="false">IFERROR(100*L203/J203,"")</f>
        <v>94.5730553370842</v>
      </c>
      <c r="AN203" s="18" t="n">
        <f aca="false">IFERROR(100*M203/J203,"")</f>
        <v>4.77822995217123</v>
      </c>
      <c r="AO203" s="18" t="n">
        <f aca="false">IFERROR(100*N203/J203,"")</f>
        <v>0.53788486940318</v>
      </c>
    </row>
    <row r="204" customFormat="false" ht="15" hidden="false" customHeight="false" outlineLevel="0" collapsed="false">
      <c r="A204" s="17" t="n">
        <v>17115</v>
      </c>
      <c r="B204" s="23" t="n">
        <v>45107</v>
      </c>
      <c r="C204" s="17" t="s">
        <v>143</v>
      </c>
      <c r="D204" s="17" t="s">
        <v>108</v>
      </c>
      <c r="E204" s="17" t="s">
        <v>114</v>
      </c>
      <c r="F204" s="17" t="n">
        <v>1072006</v>
      </c>
      <c r="G204" s="17" t="n">
        <v>1040468.33333333</v>
      </c>
      <c r="H204" s="17" t="n">
        <v>821428</v>
      </c>
      <c r="I204" s="17" t="n">
        <v>81921</v>
      </c>
      <c r="J204" s="17" t="n">
        <v>882529</v>
      </c>
      <c r="K204" s="17" t="n">
        <v>858920.333333333</v>
      </c>
      <c r="L204" s="17" t="n">
        <v>832338</v>
      </c>
      <c r="M204" s="17" t="n">
        <v>43867</v>
      </c>
      <c r="N204" s="17" t="n">
        <v>5156</v>
      </c>
      <c r="O204" s="17" t="n">
        <v>254</v>
      </c>
      <c r="P204" s="17" t="n">
        <v>36</v>
      </c>
      <c r="Q204" s="17" t="n">
        <v>0</v>
      </c>
      <c r="R204" s="17" t="n">
        <v>22</v>
      </c>
      <c r="S204" s="17" t="n">
        <v>106192</v>
      </c>
      <c r="T204" s="17" t="n">
        <v>781267</v>
      </c>
      <c r="U204" s="17" t="n">
        <v>6060</v>
      </c>
      <c r="V204" s="17" t="n">
        <v>0.58243002750364</v>
      </c>
      <c r="W204" s="17" t="n">
        <v>7.48</v>
      </c>
      <c r="X204" s="17" t="n">
        <v>3.0071112208117</v>
      </c>
      <c r="Y204" s="17" t="n">
        <v>1.0444982544483</v>
      </c>
      <c r="Z204" s="17" t="n">
        <v>13.5922802319822</v>
      </c>
      <c r="AA204" s="17" t="n">
        <v>7.64184155685696</v>
      </c>
      <c r="AB204" s="17" t="n">
        <v>17.2615212628295</v>
      </c>
      <c r="AC204" s="17" t="n">
        <v>19.6888057687431</v>
      </c>
      <c r="AD204" s="17" t="n">
        <v>6.04229412243118</v>
      </c>
      <c r="AE204" s="17" t="n">
        <v>0.169190792605517</v>
      </c>
      <c r="AF204" s="17" t="n">
        <v>0.00652043100666952</v>
      </c>
      <c r="AG204" s="18" t="n">
        <f aca="false">IFERROR(100*O204/F204,"")</f>
        <v>0.0236938972356498</v>
      </c>
      <c r="AH204" s="18" t="n">
        <f aca="false">IFERROR(100*(P204+Q204)/F204,"")</f>
        <v>0.00335819015938344</v>
      </c>
      <c r="AI204" s="18" t="n">
        <f aca="false">IFERROR(100*R204/K204,"")</f>
        <v>0.00256135512761952</v>
      </c>
      <c r="AJ204" s="18" t="n">
        <f aca="false">IF(T204&gt;0,100*S204/T204,"")</f>
        <v>13.5922802319822</v>
      </c>
      <c r="AK204" s="18" t="n">
        <f aca="false">IFERROR(100*U204/G204,"")</f>
        <v>0.58243002750364</v>
      </c>
      <c r="AL204" s="18" t="n">
        <f aca="false">IFERROR(100*J204/H204,"")</f>
        <v>107.438387783226</v>
      </c>
      <c r="AM204" s="18" t="n">
        <f aca="false">IFERROR(100*L204/J204,"")</f>
        <v>94.3128214483603</v>
      </c>
      <c r="AN204" s="18" t="n">
        <f aca="false">IFERROR(100*M204/J204,"")</f>
        <v>4.97060153264085</v>
      </c>
      <c r="AO204" s="18" t="n">
        <f aca="false">IFERROR(100*N204/J204,"")</f>
        <v>0.584230093288719</v>
      </c>
    </row>
    <row r="205" customFormat="false" ht="15" hidden="false" customHeight="false" outlineLevel="0" collapsed="false">
      <c r="A205" s="17" t="n">
        <v>17115</v>
      </c>
      <c r="B205" s="23" t="n">
        <v>45199</v>
      </c>
      <c r="C205" s="17" t="s">
        <v>143</v>
      </c>
      <c r="D205" s="17" t="s">
        <v>108</v>
      </c>
      <c r="E205" s="17" t="s">
        <v>114</v>
      </c>
      <c r="F205" s="17" t="n">
        <v>1080866</v>
      </c>
      <c r="G205" s="17" t="n">
        <v>1050567.75</v>
      </c>
      <c r="H205" s="17" t="n">
        <v>797533</v>
      </c>
      <c r="I205" s="17" t="n">
        <v>79915</v>
      </c>
      <c r="J205" s="17" t="n">
        <v>885313</v>
      </c>
      <c r="K205" s="17" t="n">
        <v>865518.5</v>
      </c>
      <c r="L205" s="17" t="n">
        <v>833728</v>
      </c>
      <c r="M205" s="17" t="n">
        <v>44197</v>
      </c>
      <c r="N205" s="17" t="n">
        <v>5743</v>
      </c>
      <c r="O205" s="17" t="n">
        <v>244</v>
      </c>
      <c r="P205" s="17" t="n">
        <v>1158</v>
      </c>
      <c r="Q205" s="17" t="n">
        <v>0</v>
      </c>
      <c r="R205" s="17" t="n">
        <v>-94.6643</v>
      </c>
      <c r="S205" s="17" t="n">
        <v>107202</v>
      </c>
      <c r="T205" s="17" t="n">
        <v>790169</v>
      </c>
      <c r="U205" s="17" t="n">
        <v>5238.5357</v>
      </c>
      <c r="V205" s="17" t="n">
        <v>0.498638540922278</v>
      </c>
      <c r="W205" s="17" t="n">
        <v>6.49</v>
      </c>
      <c r="X205" s="17" t="n">
        <v>2.94787495581982</v>
      </c>
      <c r="Y205" s="17" t="n">
        <v>1.05623660784378</v>
      </c>
      <c r="Z205" s="17" t="n">
        <v>13.5669711163055</v>
      </c>
      <c r="AA205" s="17" t="n">
        <v>7.3936084584028</v>
      </c>
      <c r="AB205" s="17" t="n">
        <v>10.4556528421586</v>
      </c>
      <c r="AC205" s="17" t="n">
        <v>10.0533290239173</v>
      </c>
      <c r="AD205" s="17" t="n">
        <v>-2.83467348927875</v>
      </c>
      <c r="AE205" s="17" t="n">
        <v>0.199705325776534</v>
      </c>
      <c r="AF205" s="17" t="n">
        <v>0.00724571970408562</v>
      </c>
      <c r="AG205" s="18" t="n">
        <f aca="false">IFERROR(100*O205/F205,"")</f>
        <v>0.0225744911950233</v>
      </c>
      <c r="AH205" s="18" t="n">
        <f aca="false">IFERROR(100*(P205+Q205)/F205,"")</f>
        <v>0.107136314769823</v>
      </c>
      <c r="AI205" s="18" t="n">
        <f aca="false">IFERROR(100*R205/K205,"")</f>
        <v>-0.0109372936569236</v>
      </c>
      <c r="AJ205" s="18" t="n">
        <f aca="false">IF(T205&gt;0,100*S205/T205,"")</f>
        <v>13.5669711163055</v>
      </c>
      <c r="AK205" s="18" t="n">
        <f aca="false">IFERROR(100*U205/G205,"")</f>
        <v>0.498638540922277</v>
      </c>
      <c r="AL205" s="18" t="n">
        <f aca="false">IFERROR(100*J205/H205,"")</f>
        <v>111.006441112782</v>
      </c>
      <c r="AM205" s="18" t="n">
        <f aca="false">IFERROR(100*L205/J205,"")</f>
        <v>94.1732472018371</v>
      </c>
      <c r="AN205" s="18" t="n">
        <f aca="false">IFERROR(100*M205/J205,"")</f>
        <v>4.9922456803413</v>
      </c>
      <c r="AO205" s="18" t="n">
        <f aca="false">IFERROR(100*N205/J205,"")</f>
        <v>0.648697127456617</v>
      </c>
    </row>
    <row r="206" customFormat="false" ht="15" hidden="false" customHeight="false" outlineLevel="0" collapsed="false">
      <c r="A206" s="17" t="n">
        <v>17115</v>
      </c>
      <c r="B206" s="23" t="n">
        <v>45291</v>
      </c>
      <c r="C206" s="17" t="s">
        <v>143</v>
      </c>
      <c r="D206" s="17" t="s">
        <v>108</v>
      </c>
      <c r="E206" s="17" t="s">
        <v>114</v>
      </c>
      <c r="F206" s="17" t="n">
        <v>1091692</v>
      </c>
      <c r="G206" s="17" t="n">
        <v>1058792.6</v>
      </c>
      <c r="H206" s="17" t="n">
        <v>771961</v>
      </c>
      <c r="I206" s="17" t="n">
        <v>87410</v>
      </c>
      <c r="J206" s="17" t="n">
        <v>899416</v>
      </c>
      <c r="K206" s="17" t="n">
        <v>872298</v>
      </c>
      <c r="L206" s="17" t="n">
        <v>848763</v>
      </c>
      <c r="M206" s="17" t="n">
        <v>43686</v>
      </c>
      <c r="N206" s="17" t="n">
        <v>6112</v>
      </c>
      <c r="O206" s="17" t="n">
        <v>2404</v>
      </c>
      <c r="P206" s="17" t="n">
        <v>124</v>
      </c>
      <c r="Q206" s="17" t="n">
        <v>0</v>
      </c>
      <c r="R206" s="17" t="n">
        <v>-27</v>
      </c>
      <c r="S206" s="17" t="n">
        <v>110215</v>
      </c>
      <c r="T206" s="17" t="n">
        <v>806698</v>
      </c>
      <c r="U206" s="17" t="n">
        <v>7057</v>
      </c>
      <c r="V206" s="17" t="n">
        <v>0.666513914056445</v>
      </c>
      <c r="W206" s="17" t="n">
        <v>8.6</v>
      </c>
      <c r="X206" s="17" t="n">
        <v>2.88707546912739</v>
      </c>
      <c r="Y206" s="17" t="n">
        <v>0.991754649683795</v>
      </c>
      <c r="Z206" s="17" t="n">
        <v>13.662485837327</v>
      </c>
      <c r="AA206" s="17" t="n">
        <v>8.00683709324608</v>
      </c>
      <c r="AB206" s="17" t="n">
        <v>8.64823172886011</v>
      </c>
      <c r="AC206" s="17" t="n">
        <v>7.91442348878702</v>
      </c>
      <c r="AD206" s="17" t="n">
        <v>-9.9066810138578</v>
      </c>
      <c r="AE206" s="17" t="n">
        <v>0.0231208366119774</v>
      </c>
      <c r="AF206" s="17" t="n">
        <v>0.193835091391942</v>
      </c>
      <c r="AG206" s="18" t="n">
        <f aca="false">IFERROR(100*O206/F206,"")</f>
        <v>0.220208630273007</v>
      </c>
      <c r="AH206" s="18" t="n">
        <f aca="false">IFERROR(100*(P206+Q206)/F206,"")</f>
        <v>0.0113585150390403</v>
      </c>
      <c r="AI206" s="18" t="n">
        <f aca="false">IFERROR(100*R206/K206,"")</f>
        <v>-0.00309527248715462</v>
      </c>
      <c r="AJ206" s="18" t="n">
        <f aca="false">IF(T206&gt;0,100*S206/T206,"")</f>
        <v>13.662485837327</v>
      </c>
      <c r="AK206" s="18" t="n">
        <f aca="false">IFERROR(100*U206/G206,"")</f>
        <v>0.666513914056445</v>
      </c>
      <c r="AL206" s="18" t="n">
        <f aca="false">IFERROR(100*J206/H206,"")</f>
        <v>116.510549108051</v>
      </c>
      <c r="AM206" s="18" t="n">
        <f aca="false">IFERROR(100*L206/J206,"")</f>
        <v>94.3682344988304</v>
      </c>
      <c r="AN206" s="18" t="n">
        <f aca="false">IFERROR(100*M206/J206,"")</f>
        <v>4.85715175180339</v>
      </c>
      <c r="AO206" s="18" t="n">
        <f aca="false">IFERROR(100*N206/J206,"")</f>
        <v>0.679552064895443</v>
      </c>
    </row>
    <row r="207" customFormat="false" ht="15" hidden="false" customHeight="false" outlineLevel="0" collapsed="false">
      <c r="A207" s="17" t="n">
        <v>17115</v>
      </c>
      <c r="B207" s="23" t="n">
        <v>45382</v>
      </c>
      <c r="C207" s="17" t="s">
        <v>143</v>
      </c>
      <c r="D207" s="17" t="s">
        <v>108</v>
      </c>
      <c r="E207" s="17" t="s">
        <v>114</v>
      </c>
      <c r="F207" s="17" t="n">
        <v>1079745</v>
      </c>
      <c r="G207" s="17" t="n">
        <v>1085718.5</v>
      </c>
      <c r="H207" s="17" t="n">
        <v>803428</v>
      </c>
      <c r="I207" s="17" t="n">
        <v>88109</v>
      </c>
      <c r="J207" s="17" t="n">
        <v>896159</v>
      </c>
      <c r="K207" s="17" t="n">
        <v>897787.5</v>
      </c>
      <c r="L207" s="17" t="n">
        <v>845242</v>
      </c>
      <c r="M207" s="17" t="n">
        <v>43323</v>
      </c>
      <c r="N207" s="17" t="n">
        <v>6768</v>
      </c>
      <c r="O207" s="17" t="n">
        <v>2344</v>
      </c>
      <c r="P207" s="17" t="n">
        <v>1163</v>
      </c>
      <c r="Q207" s="17" t="n">
        <v>0</v>
      </c>
      <c r="R207" s="17" t="n">
        <v>32</v>
      </c>
      <c r="S207" s="17" t="n">
        <v>111750</v>
      </c>
      <c r="T207" s="17" t="n">
        <v>800567</v>
      </c>
      <c r="U207" s="17" t="n">
        <v>5804</v>
      </c>
      <c r="V207" s="17" t="n">
        <v>0.534576872366088</v>
      </c>
      <c r="W207" s="17" t="n">
        <v>6.61</v>
      </c>
      <c r="X207" s="17" t="n">
        <v>2.59385352969745</v>
      </c>
      <c r="Y207" s="17" t="n">
        <v>1.00294702167807</v>
      </c>
      <c r="Z207" s="17" t="n">
        <v>13.958856660342</v>
      </c>
      <c r="AA207" s="17" t="n">
        <v>8.16016744694349</v>
      </c>
      <c r="AB207" s="17" t="n">
        <v>3.36404991748069</v>
      </c>
      <c r="AC207" s="17" t="n">
        <v>4.11023038433791</v>
      </c>
      <c r="AD207" s="17" t="n">
        <v>-9.54526519629367</v>
      </c>
      <c r="AE207" s="17" t="n">
        <v>-0.15987062175292</v>
      </c>
      <c r="AF207" s="17" t="n">
        <v>0.192294209346996</v>
      </c>
      <c r="AG207" s="18" t="n">
        <f aca="false">IFERROR(100*O207/F207,"")</f>
        <v>0.217088293995342</v>
      </c>
      <c r="AH207" s="18" t="n">
        <f aca="false">IFERROR(100*(P207+Q207)/F207,"")</f>
        <v>0.10771061685861</v>
      </c>
      <c r="AI207" s="18" t="n">
        <f aca="false">IFERROR(100*R207/K207,"")</f>
        <v>0.00356431783690461</v>
      </c>
      <c r="AJ207" s="18" t="n">
        <f aca="false">IF(T207&gt;0,100*S207/T207,"")</f>
        <v>13.958856660342</v>
      </c>
      <c r="AK207" s="18" t="n">
        <f aca="false">IFERROR(100*U207/G207,"")</f>
        <v>0.534576872366088</v>
      </c>
      <c r="AL207" s="18" t="n">
        <f aca="false">IFERROR(100*J207/H207,"")</f>
        <v>111.541917881876</v>
      </c>
      <c r="AM207" s="18" t="n">
        <f aca="false">IFERROR(100*L207/J207,"")</f>
        <v>94.3183073539405</v>
      </c>
      <c r="AN207" s="18" t="n">
        <f aca="false">IFERROR(100*M207/J207,"")</f>
        <v>4.83429837785482</v>
      </c>
      <c r="AO207" s="18" t="n">
        <f aca="false">IFERROR(100*N207/J207,"")</f>
        <v>0.755223124467868</v>
      </c>
    </row>
    <row r="208" customFormat="false" ht="15" hidden="false" customHeight="false" outlineLevel="0" collapsed="false">
      <c r="A208" s="17" t="n">
        <v>17115</v>
      </c>
      <c r="B208" s="23" t="n">
        <v>45473</v>
      </c>
      <c r="C208" s="17" t="s">
        <v>143</v>
      </c>
      <c r="D208" s="17" t="s">
        <v>108</v>
      </c>
      <c r="E208" s="17" t="s">
        <v>114</v>
      </c>
      <c r="F208" s="17" t="n">
        <v>1071403</v>
      </c>
      <c r="G208" s="17" t="n">
        <v>1080946.66666667</v>
      </c>
      <c r="H208" s="17" t="n">
        <v>787661</v>
      </c>
      <c r="I208" s="17" t="n">
        <v>89467</v>
      </c>
      <c r="J208" s="17" t="n">
        <v>893732</v>
      </c>
      <c r="K208" s="17" t="n">
        <v>896435.666666667</v>
      </c>
      <c r="L208" s="17" t="n">
        <v>843758</v>
      </c>
      <c r="M208" s="17" t="n">
        <v>41618</v>
      </c>
      <c r="N208" s="17" t="n">
        <v>7168</v>
      </c>
      <c r="O208" s="17" t="n">
        <v>2433</v>
      </c>
      <c r="P208" s="17" t="n">
        <v>414</v>
      </c>
      <c r="Q208" s="17" t="n">
        <v>0</v>
      </c>
      <c r="R208" s="17" t="n">
        <v>94</v>
      </c>
      <c r="S208" s="17" t="n">
        <v>111503</v>
      </c>
      <c r="T208" s="17" t="n">
        <v>783329</v>
      </c>
      <c r="U208" s="17" t="n">
        <v>3996</v>
      </c>
      <c r="V208" s="17" t="n">
        <v>0.369675963044739</v>
      </c>
      <c r="W208" s="17" t="n">
        <v>4.52</v>
      </c>
      <c r="X208" s="17" t="n">
        <v>2.58286310414264</v>
      </c>
      <c r="Y208" s="17" t="n">
        <v>1.00108309873653</v>
      </c>
      <c r="Z208" s="17" t="n">
        <v>14.2345042759811</v>
      </c>
      <c r="AA208" s="17" t="n">
        <v>8.35045263080279</v>
      </c>
      <c r="AB208" s="17" t="n">
        <v>-0.0562496851696737</v>
      </c>
      <c r="AC208" s="17" t="n">
        <v>1.26942004172101</v>
      </c>
      <c r="AD208" s="17" t="n">
        <v>-4.11076807705605</v>
      </c>
      <c r="AE208" s="17" t="n">
        <v>-0.212754064458902</v>
      </c>
      <c r="AF208" s="17" t="n">
        <v>0.203391522536369</v>
      </c>
      <c r="AG208" s="18" t="n">
        <f aca="false">IFERROR(100*O208/F208,"")</f>
        <v>0.227085419772019</v>
      </c>
      <c r="AH208" s="18" t="n">
        <f aca="false">IFERROR(100*(P208+Q208)/F208,"")</f>
        <v>0.0386409222300106</v>
      </c>
      <c r="AI208" s="18" t="n">
        <f aca="false">IFERROR(100*R208/K208,"")</f>
        <v>0.0104859727803482</v>
      </c>
      <c r="AJ208" s="18" t="n">
        <f aca="false">IF(T208&gt;0,100*S208/T208,"")</f>
        <v>14.2345042759811</v>
      </c>
      <c r="AK208" s="18" t="n">
        <f aca="false">IFERROR(100*U208/G208,"")</f>
        <v>0.369675963044738</v>
      </c>
      <c r="AL208" s="18" t="n">
        <f aca="false">IFERROR(100*J208/H208,"")</f>
        <v>113.466580165833</v>
      </c>
      <c r="AM208" s="18" t="n">
        <f aca="false">IFERROR(100*L208/J208,"")</f>
        <v>94.4083908822779</v>
      </c>
      <c r="AN208" s="18" t="n">
        <f aca="false">IFERROR(100*M208/J208,"")</f>
        <v>4.65665322490411</v>
      </c>
      <c r="AO208" s="18" t="n">
        <f aca="false">IFERROR(100*N208/J208,"")</f>
        <v>0.802030138788809</v>
      </c>
    </row>
    <row r="209" customFormat="false" ht="15" hidden="false" customHeight="false" outlineLevel="0" collapsed="false">
      <c r="A209" s="17" t="n">
        <v>17115</v>
      </c>
      <c r="B209" s="23" t="n">
        <v>45565</v>
      </c>
      <c r="C209" s="17" t="s">
        <v>143</v>
      </c>
      <c r="D209" s="17" t="s">
        <v>108</v>
      </c>
      <c r="E209" s="17" t="s">
        <v>114</v>
      </c>
      <c r="F209" s="17" t="n">
        <v>1064825</v>
      </c>
      <c r="G209" s="17" t="n">
        <v>1076916.25</v>
      </c>
      <c r="H209" s="17" t="n">
        <v>811295</v>
      </c>
      <c r="I209" s="17" t="n">
        <v>93281</v>
      </c>
      <c r="J209" s="17" t="n">
        <v>883708</v>
      </c>
      <c r="K209" s="17" t="n">
        <v>893253.75</v>
      </c>
      <c r="L209" s="17" t="n">
        <v>834346</v>
      </c>
      <c r="M209" s="17" t="n">
        <v>40658</v>
      </c>
      <c r="N209" s="17" t="n">
        <v>6674</v>
      </c>
      <c r="O209" s="17" t="n">
        <v>2417</v>
      </c>
      <c r="P209" s="17" t="n">
        <v>395</v>
      </c>
      <c r="Q209" s="17" t="n">
        <v>0</v>
      </c>
      <c r="R209" s="17" t="n">
        <v>98.6642</v>
      </c>
      <c r="S209" s="17" t="n">
        <v>112090</v>
      </c>
      <c r="T209" s="17" t="n">
        <v>791420</v>
      </c>
      <c r="U209" s="17" t="n">
        <v>3454.5803</v>
      </c>
      <c r="V209" s="17" t="n">
        <v>0.320784489973106</v>
      </c>
      <c r="W209" s="17" t="n">
        <v>3.86</v>
      </c>
      <c r="X209" s="17" t="n">
        <v>2.5957196586103</v>
      </c>
      <c r="Y209" s="17" t="n">
        <v>1.00700683936323</v>
      </c>
      <c r="Z209" s="17" t="n">
        <v>14.1631497814056</v>
      </c>
      <c r="AA209" s="17" t="n">
        <v>8.76021881529829</v>
      </c>
      <c r="AB209" s="17" t="n">
        <v>-1.4840877592597</v>
      </c>
      <c r="AC209" s="17" t="n">
        <v>-0.181291814307483</v>
      </c>
      <c r="AD209" s="17" t="n">
        <v>1.72557123028139</v>
      </c>
      <c r="AE209" s="17" t="n">
        <v>-0.177854050949171</v>
      </c>
      <c r="AF209" s="17" t="n">
        <v>0.204411163724799</v>
      </c>
      <c r="AG209" s="18" t="n">
        <f aca="false">IFERROR(100*O209/F209,"")</f>
        <v>0.226985654919823</v>
      </c>
      <c r="AH209" s="18" t="n">
        <f aca="false">IFERROR(100*(P209+Q209)/F209,"")</f>
        <v>0.0370952973493297</v>
      </c>
      <c r="AI209" s="18" t="n">
        <f aca="false">IFERROR(100*R209/K209,"")</f>
        <v>0.011045483996009</v>
      </c>
      <c r="AJ209" s="18" t="n">
        <f aca="false">IF(T209&gt;0,100*S209/T209,"")</f>
        <v>14.1631497814056</v>
      </c>
      <c r="AK209" s="18" t="n">
        <f aca="false">IFERROR(100*U209/G209,"")</f>
        <v>0.320784489973106</v>
      </c>
      <c r="AL209" s="18" t="n">
        <f aca="false">IFERROR(100*J209/H209,"")</f>
        <v>108.92560659193</v>
      </c>
      <c r="AM209" s="18" t="n">
        <f aca="false">IFERROR(100*L209/J209,"")</f>
        <v>94.4142182711937</v>
      </c>
      <c r="AN209" s="18" t="n">
        <f aca="false">IFERROR(100*M209/J209,"")</f>
        <v>4.60084100177887</v>
      </c>
      <c r="AO209" s="18" t="n">
        <f aca="false">IFERROR(100*N209/J209,"")</f>
        <v>0.755226839634812</v>
      </c>
    </row>
    <row r="210" customFormat="false" ht="15" hidden="false" customHeight="false" outlineLevel="0" collapsed="false">
      <c r="A210" s="17" t="n">
        <v>17115</v>
      </c>
      <c r="B210" s="23" t="n">
        <v>45657</v>
      </c>
      <c r="C210" s="17" t="s">
        <v>143</v>
      </c>
      <c r="D210" s="17" t="s">
        <v>108</v>
      </c>
      <c r="E210" s="17" t="s">
        <v>114</v>
      </c>
      <c r="F210" s="17" t="n">
        <v>1041970</v>
      </c>
      <c r="G210" s="17" t="n">
        <v>1069927</v>
      </c>
      <c r="H210" s="17" t="n">
        <v>827656</v>
      </c>
      <c r="I210" s="17" t="n">
        <v>91891</v>
      </c>
      <c r="J210" s="17" t="n">
        <v>872561</v>
      </c>
      <c r="K210" s="17" t="n">
        <v>889115.2</v>
      </c>
      <c r="L210" s="17" t="n">
        <v>826165</v>
      </c>
      <c r="M210" s="17" t="n">
        <v>38988</v>
      </c>
      <c r="N210" s="17" t="n">
        <v>6624</v>
      </c>
      <c r="O210" s="17" t="n">
        <v>2571</v>
      </c>
      <c r="P210" s="17" t="n">
        <v>2572</v>
      </c>
      <c r="Q210" s="17" t="n">
        <v>0</v>
      </c>
      <c r="R210" s="17" t="n">
        <v>128</v>
      </c>
      <c r="S210" s="17" t="n">
        <v>112365</v>
      </c>
      <c r="T210" s="17" t="n">
        <v>754219</v>
      </c>
      <c r="U210" s="17" t="n">
        <v>3181</v>
      </c>
      <c r="V210" s="17" t="n">
        <v>0.297310003392755</v>
      </c>
      <c r="W210" s="17" t="n">
        <v>3.53</v>
      </c>
      <c r="X210" s="17" t="n">
        <v>2.65781382019634</v>
      </c>
      <c r="Y210" s="17" t="n">
        <v>0.985833655182847</v>
      </c>
      <c r="Z210" s="17" t="n">
        <v>14.8981926999983</v>
      </c>
      <c r="AA210" s="17" t="n">
        <v>8.8189679165427</v>
      </c>
      <c r="AB210" s="17" t="n">
        <v>-4.5545813287997</v>
      </c>
      <c r="AC210" s="17" t="n">
        <v>-2.98582635843703</v>
      </c>
      <c r="AD210" s="17" t="n">
        <v>7.21474271368632</v>
      </c>
      <c r="AE210" s="17" t="n">
        <v>-0.36920391066369</v>
      </c>
      <c r="AF210" s="17" t="n">
        <v>0.0265355178310647</v>
      </c>
      <c r="AG210" s="18" t="n">
        <f aca="false">IFERROR(100*O210/F210,"")</f>
        <v>0.246744148104072</v>
      </c>
      <c r="AH210" s="18" t="n">
        <f aca="false">IFERROR(100*(P210+Q210)/F210,"")</f>
        <v>0.24684012015701</v>
      </c>
      <c r="AI210" s="18" t="n">
        <f aca="false">IFERROR(100*R210/K210,"")</f>
        <v>0.0143963346931871</v>
      </c>
      <c r="AJ210" s="18" t="n">
        <f aca="false">IF(T210&gt;0,100*S210/T210,"")</f>
        <v>14.8981926999983</v>
      </c>
      <c r="AK210" s="18" t="n">
        <f aca="false">IFERROR(100*U210/G210,"")</f>
        <v>0.297310003392755</v>
      </c>
      <c r="AL210" s="18" t="n">
        <f aca="false">IFERROR(100*J210/H210,"")</f>
        <v>105.425563277497</v>
      </c>
      <c r="AM210" s="18" t="n">
        <f aca="false">IFERROR(100*L210/J210,"")</f>
        <v>94.6827786252193</v>
      </c>
      <c r="AN210" s="18" t="n">
        <f aca="false">IFERROR(100*M210/J210,"")</f>
        <v>4.46822629019633</v>
      </c>
      <c r="AO210" s="18" t="n">
        <f aca="false">IFERROR(100*N210/J210,"")</f>
        <v>0.759144632868075</v>
      </c>
    </row>
    <row r="211" customFormat="false" ht="15" hidden="false" customHeight="false" outlineLevel="0" collapsed="false">
      <c r="A211" s="17" t="n">
        <v>17115</v>
      </c>
      <c r="B211" s="23" t="n">
        <v>45747</v>
      </c>
      <c r="C211" s="17" t="s">
        <v>143</v>
      </c>
      <c r="D211" s="17" t="s">
        <v>108</v>
      </c>
      <c r="E211" s="17" t="s">
        <v>114</v>
      </c>
      <c r="F211" s="17" t="n">
        <v>1063675</v>
      </c>
      <c r="G211" s="17" t="n">
        <v>1052822.5</v>
      </c>
      <c r="H211" s="17" t="n">
        <v>802777</v>
      </c>
      <c r="I211" s="17" t="n">
        <v>95052</v>
      </c>
      <c r="J211" s="17" t="n">
        <v>878855</v>
      </c>
      <c r="K211" s="17" t="n">
        <v>875708</v>
      </c>
      <c r="L211" s="17" t="n">
        <v>833023</v>
      </c>
      <c r="M211" s="17" t="n">
        <v>38646</v>
      </c>
      <c r="N211" s="17" t="n">
        <v>6322</v>
      </c>
      <c r="O211" s="17" t="n">
        <v>2554</v>
      </c>
      <c r="P211" s="17" t="n">
        <v>381</v>
      </c>
      <c r="Q211" s="17" t="n">
        <v>0</v>
      </c>
      <c r="R211" s="17" t="n">
        <v>1652</v>
      </c>
      <c r="S211" s="17" t="n">
        <v>113512</v>
      </c>
      <c r="T211" s="17" t="n">
        <v>768232</v>
      </c>
      <c r="U211" s="17" t="n">
        <v>5752</v>
      </c>
      <c r="V211" s="17" t="n">
        <v>0.546340907417917</v>
      </c>
      <c r="W211" s="17" t="n">
        <v>6.15</v>
      </c>
      <c r="X211" s="17" t="n">
        <v>2.91572855437526</v>
      </c>
      <c r="Y211" s="17" t="n">
        <v>0.940314386332216</v>
      </c>
      <c r="Z211" s="17" t="n">
        <v>14.7757448270835</v>
      </c>
      <c r="AA211" s="17" t="n">
        <v>8.93618821538534</v>
      </c>
      <c r="AB211" s="17" t="n">
        <v>-1.48831437052267</v>
      </c>
      <c r="AC211" s="17" t="n">
        <v>-1.93090735014657</v>
      </c>
      <c r="AD211" s="17" t="n">
        <v>-0.0810277958945949</v>
      </c>
      <c r="AE211" s="17" t="n">
        <v>0.0117640350518296</v>
      </c>
      <c r="AF211" s="17" t="n">
        <v>0.0230226421458671</v>
      </c>
      <c r="AG211" s="18" t="n">
        <f aca="false">IFERROR(100*O211/F211,"")</f>
        <v>0.240110936141209</v>
      </c>
      <c r="AH211" s="18" t="n">
        <f aca="false">IFERROR(100*(P211+Q211)/F211,"")</f>
        <v>0.0358192116953017</v>
      </c>
      <c r="AI211" s="18" t="n">
        <f aca="false">IFERROR(100*R211/K211,"")</f>
        <v>0.188647357338291</v>
      </c>
      <c r="AJ211" s="18" t="n">
        <f aca="false">IF(T211&gt;0,100*S211/T211,"")</f>
        <v>14.7757448270835</v>
      </c>
      <c r="AK211" s="18" t="n">
        <f aca="false">IFERROR(100*U211/G211,"")</f>
        <v>0.546340907417917</v>
      </c>
      <c r="AL211" s="18" t="n">
        <f aca="false">IFERROR(100*J211/H211,"")</f>
        <v>109.476853472384</v>
      </c>
      <c r="AM211" s="18" t="n">
        <f aca="false">IFERROR(100*L211/J211,"")</f>
        <v>94.785032798357</v>
      </c>
      <c r="AN211" s="18" t="n">
        <f aca="false">IFERROR(100*M211/J211,"")</f>
        <v>4.39731241217266</v>
      </c>
      <c r="AO211" s="18" t="n">
        <f aca="false">IFERROR(100*N211/J211,"")</f>
        <v>0.719345056920652</v>
      </c>
    </row>
    <row r="212" customFormat="false" ht="15" hidden="false" customHeight="false" outlineLevel="0" collapsed="false">
      <c r="A212" s="17" t="n">
        <v>17115</v>
      </c>
      <c r="B212" s="23" t="n">
        <v>45838</v>
      </c>
      <c r="C212" s="17" t="s">
        <v>143</v>
      </c>
      <c r="D212" s="17" t="s">
        <v>108</v>
      </c>
      <c r="E212" s="17" t="s">
        <v>114</v>
      </c>
      <c r="F212" s="17" t="n">
        <v>1078591</v>
      </c>
      <c r="G212" s="17" t="n">
        <v>1061412</v>
      </c>
      <c r="H212" s="17" t="n">
        <v>819065</v>
      </c>
      <c r="I212" s="17" t="n">
        <v>97021</v>
      </c>
      <c r="J212" s="17" t="n">
        <v>882995</v>
      </c>
      <c r="K212" s="17" t="n">
        <v>878137</v>
      </c>
      <c r="L212" s="17" t="n">
        <v>837308</v>
      </c>
      <c r="M212" s="17" t="n">
        <v>38793</v>
      </c>
      <c r="N212" s="17" t="n">
        <v>6038</v>
      </c>
      <c r="O212" s="17" t="n">
        <v>2491</v>
      </c>
      <c r="P212" s="17" t="n">
        <v>1134</v>
      </c>
      <c r="Q212" s="17" t="n">
        <v>83</v>
      </c>
      <c r="R212" s="17" t="n">
        <v>876</v>
      </c>
      <c r="S212" s="17" t="n">
        <v>115967</v>
      </c>
      <c r="T212" s="17" t="n">
        <v>782666</v>
      </c>
      <c r="U212" s="17" t="n">
        <v>7572</v>
      </c>
      <c r="V212" s="17" t="n">
        <v>0.71338933420764</v>
      </c>
      <c r="W212" s="17" t="n">
        <v>8</v>
      </c>
      <c r="X212" s="17" t="n">
        <v>2.96659137731555</v>
      </c>
      <c r="Y212" s="17" t="n">
        <v>0.948136739166134</v>
      </c>
      <c r="Z212" s="17" t="n">
        <v>14.8169206277007</v>
      </c>
      <c r="AA212" s="17" t="n">
        <v>8.99516127985492</v>
      </c>
      <c r="AB212" s="17" t="n">
        <v>0.670896012051481</v>
      </c>
      <c r="AC212" s="17" t="n">
        <v>-1.20136685270305</v>
      </c>
      <c r="AD212" s="17" t="n">
        <v>3.9869944049534</v>
      </c>
      <c r="AE212" s="17" t="n">
        <v>0.343713371162902</v>
      </c>
      <c r="AF212" s="17" t="n">
        <v>0.0038640318736933</v>
      </c>
      <c r="AG212" s="18" t="n">
        <f aca="false">IFERROR(100*O212/F212,"")</f>
        <v>0.230949451645712</v>
      </c>
      <c r="AH212" s="18" t="n">
        <f aca="false">IFERROR(100*(P212+Q212)/F212,"")</f>
        <v>0.112832389663923</v>
      </c>
      <c r="AI212" s="18" t="n">
        <f aca="false">IFERROR(100*R212/K212,"")</f>
        <v>0.0997566438949731</v>
      </c>
      <c r="AJ212" s="18" t="n">
        <f aca="false">IF(T212&gt;0,100*S212/T212,"")</f>
        <v>14.8169206277007</v>
      </c>
      <c r="AK212" s="18" t="n">
        <f aca="false">IFERROR(100*U212/G212,"")</f>
        <v>0.71338933420764</v>
      </c>
      <c r="AL212" s="18" t="n">
        <f aca="false">IFERROR(100*J212/H212,"")</f>
        <v>107.805241342262</v>
      </c>
      <c r="AM212" s="18" t="n">
        <f aca="false">IFERROR(100*L212/J212,"")</f>
        <v>94.8259050164497</v>
      </c>
      <c r="AN212" s="18" t="n">
        <f aca="false">IFERROR(100*M212/J212,"")</f>
        <v>4.39334311066314</v>
      </c>
      <c r="AO212" s="18" t="n">
        <f aca="false">IFERROR(100*N212/J212,"")</f>
        <v>0.683809081591629</v>
      </c>
    </row>
    <row r="213" customFormat="false" ht="15" hidden="false" customHeight="false" outlineLevel="0" collapsed="false">
      <c r="A213" s="17" t="n">
        <v>17180</v>
      </c>
      <c r="B213" s="23" t="n">
        <v>44651</v>
      </c>
      <c r="C213" s="17" t="s">
        <v>127</v>
      </c>
      <c r="D213" s="17" t="s">
        <v>116</v>
      </c>
      <c r="E213" s="17" t="s">
        <v>114</v>
      </c>
      <c r="F213" s="17" t="n">
        <v>1291920</v>
      </c>
      <c r="G213" s="17" t="n">
        <v>1289504</v>
      </c>
      <c r="H213" s="17" t="n">
        <v>1121172</v>
      </c>
      <c r="I213" s="17" t="n">
        <v>126979</v>
      </c>
      <c r="J213" s="17" t="n">
        <v>1143017</v>
      </c>
      <c r="K213" s="17" t="n">
        <v>1137154</v>
      </c>
      <c r="L213" s="17" t="n">
        <v>937482</v>
      </c>
      <c r="M213" s="17" t="n">
        <v>44797</v>
      </c>
      <c r="N213" s="17" t="n">
        <v>141431</v>
      </c>
      <c r="O213" s="17" t="n">
        <v>5753</v>
      </c>
      <c r="P213" s="17" t="n">
        <v>1540</v>
      </c>
      <c r="Q213" s="17" t="n">
        <v>0</v>
      </c>
      <c r="R213" s="17" t="n">
        <v>144</v>
      </c>
      <c r="S213" s="17" t="n">
        <v>143292</v>
      </c>
      <c r="T213" s="17" t="n">
        <v>892399</v>
      </c>
      <c r="U213" s="17" t="n">
        <v>10352</v>
      </c>
      <c r="V213" s="17" t="n">
        <v>0.802789289525275</v>
      </c>
      <c r="W213" s="17" t="n">
        <v>8.11</v>
      </c>
      <c r="X213" s="17" t="n">
        <v>3.56999315523965</v>
      </c>
      <c r="Y213" s="17" t="n">
        <v>0.986162060581776</v>
      </c>
      <c r="Z213" s="17" t="n">
        <v>16.0569431386633</v>
      </c>
      <c r="AA213" s="17" t="n">
        <v>9.82870456375008</v>
      </c>
      <c r="AB213" s="17"/>
      <c r="AC213" s="17"/>
      <c r="AD213" s="17"/>
      <c r="AE213" s="17"/>
      <c r="AF213" s="17"/>
      <c r="AG213" s="18" t="n">
        <f aca="false">IFERROR(100*O213/F213,"")</f>
        <v>0.445306210910892</v>
      </c>
      <c r="AH213" s="18" t="n">
        <f aca="false">IFERROR(100*(P213+Q213)/F213,"")</f>
        <v>0.119202427394885</v>
      </c>
      <c r="AI213" s="18" t="n">
        <f aca="false">IFERROR(100*R213/K213,"")</f>
        <v>0.0126631924963549</v>
      </c>
      <c r="AJ213" s="18" t="n">
        <f aca="false">IF(T213&gt;0,100*S213/T213,"")</f>
        <v>16.0569431386633</v>
      </c>
      <c r="AK213" s="18" t="n">
        <f aca="false">IFERROR(100*U213/G213,"")</f>
        <v>0.802789289525275</v>
      </c>
      <c r="AL213" s="18" t="n">
        <f aca="false">IFERROR(100*J213/H213,"")</f>
        <v>101.948407559233</v>
      </c>
      <c r="AM213" s="18" t="n">
        <f aca="false">IFERROR(100*L213/J213,"")</f>
        <v>82.0182027038968</v>
      </c>
      <c r="AN213" s="18" t="n">
        <f aca="false">IFERROR(100*M213/J213,"")</f>
        <v>3.91918930339619</v>
      </c>
      <c r="AO213" s="18" t="n">
        <f aca="false">IFERROR(100*N213/J213,"")</f>
        <v>12.3734817592389</v>
      </c>
    </row>
    <row r="214" customFormat="false" ht="15" hidden="false" customHeight="false" outlineLevel="0" collapsed="false">
      <c r="A214" s="17" t="n">
        <v>17180</v>
      </c>
      <c r="B214" s="23" t="n">
        <v>44742</v>
      </c>
      <c r="C214" s="17" t="s">
        <v>127</v>
      </c>
      <c r="D214" s="17" t="s">
        <v>116</v>
      </c>
      <c r="E214" s="17" t="s">
        <v>114</v>
      </c>
      <c r="F214" s="17" t="n">
        <v>1369843</v>
      </c>
      <c r="G214" s="17" t="n">
        <v>1316283.66666667</v>
      </c>
      <c r="H214" s="17" t="n">
        <v>1167333</v>
      </c>
      <c r="I214" s="17" t="n">
        <v>125334</v>
      </c>
      <c r="J214" s="17" t="n">
        <v>1219641</v>
      </c>
      <c r="K214" s="17" t="n">
        <v>1164649.66666667</v>
      </c>
      <c r="L214" s="17" t="n">
        <v>984334</v>
      </c>
      <c r="M214" s="17" t="n">
        <v>44037</v>
      </c>
      <c r="N214" s="17" t="n">
        <v>170718</v>
      </c>
      <c r="O214" s="17" t="n">
        <v>5496</v>
      </c>
      <c r="P214" s="17" t="n">
        <v>692</v>
      </c>
      <c r="Q214" s="17" t="n">
        <v>0</v>
      </c>
      <c r="R214" s="17" t="n">
        <v>176</v>
      </c>
      <c r="S214" s="17" t="n">
        <v>145954</v>
      </c>
      <c r="T214" s="17" t="n">
        <v>990289</v>
      </c>
      <c r="U214" s="17" t="n">
        <v>9892</v>
      </c>
      <c r="V214" s="17" t="n">
        <v>0.751509742960674</v>
      </c>
      <c r="W214" s="17" t="n">
        <v>7.8</v>
      </c>
      <c r="X214" s="17" t="n">
        <v>3.58021996580859</v>
      </c>
      <c r="Y214" s="17" t="n">
        <v>0.920188809657924</v>
      </c>
      <c r="Z214" s="17" t="n">
        <v>14.7385258242796</v>
      </c>
      <c r="AA214" s="17" t="n">
        <v>9.149515674424</v>
      </c>
      <c r="AB214" s="17"/>
      <c r="AC214" s="17"/>
      <c r="AD214" s="17"/>
      <c r="AE214" s="17"/>
      <c r="AF214" s="17"/>
      <c r="AG214" s="18" t="n">
        <f aca="false">IFERROR(100*O214/F214,"")</f>
        <v>0.40121386173452</v>
      </c>
      <c r="AH214" s="18" t="n">
        <f aca="false">IFERROR(100*(P214+Q214)/F214,"")</f>
        <v>0.0505167380495429</v>
      </c>
      <c r="AI214" s="18" t="n">
        <f aca="false">IFERROR(100*R214/K214,"")</f>
        <v>0.0151118404991029</v>
      </c>
      <c r="AJ214" s="18" t="n">
        <f aca="false">IF(T214&gt;0,100*S214/T214,"")</f>
        <v>14.7385258242796</v>
      </c>
      <c r="AK214" s="18" t="n">
        <f aca="false">IFERROR(100*U214/G214,"")</f>
        <v>0.751509742960674</v>
      </c>
      <c r="AL214" s="18" t="n">
        <f aca="false">IFERROR(100*J214/H214,"")</f>
        <v>104.480983575381</v>
      </c>
      <c r="AM214" s="18" t="n">
        <f aca="false">IFERROR(100*L214/J214,"")</f>
        <v>80.7068637410517</v>
      </c>
      <c r="AN214" s="18" t="n">
        <f aca="false">IFERROR(100*M214/J214,"")</f>
        <v>3.61065264286786</v>
      </c>
      <c r="AO214" s="18" t="n">
        <f aca="false">IFERROR(100*N214/J214,"")</f>
        <v>13.997397594866</v>
      </c>
    </row>
    <row r="215" customFormat="false" ht="15" hidden="false" customHeight="false" outlineLevel="0" collapsed="false">
      <c r="A215" s="17" t="n">
        <v>17180</v>
      </c>
      <c r="B215" s="23" t="n">
        <v>44834</v>
      </c>
      <c r="C215" s="17" t="s">
        <v>127</v>
      </c>
      <c r="D215" s="17" t="s">
        <v>116</v>
      </c>
      <c r="E215" s="17" t="s">
        <v>114</v>
      </c>
      <c r="F215" s="17" t="n">
        <v>1483609</v>
      </c>
      <c r="G215" s="17" t="n">
        <v>1358115</v>
      </c>
      <c r="H215" s="17" t="n">
        <v>1205127</v>
      </c>
      <c r="I215" s="17" t="n">
        <v>123922</v>
      </c>
      <c r="J215" s="17" t="n">
        <v>1328039</v>
      </c>
      <c r="K215" s="17" t="n">
        <v>1205497</v>
      </c>
      <c r="L215" s="17" t="n">
        <v>1064900</v>
      </c>
      <c r="M215" s="17" t="n">
        <v>48894</v>
      </c>
      <c r="N215" s="17" t="n">
        <v>194686</v>
      </c>
      <c r="O215" s="17" t="n">
        <v>3999</v>
      </c>
      <c r="P215" s="17" t="n">
        <v>1536</v>
      </c>
      <c r="Q215" s="17" t="n">
        <v>337</v>
      </c>
      <c r="R215" s="17" t="n">
        <v>117.3304</v>
      </c>
      <c r="S215" s="17" t="n">
        <v>149267</v>
      </c>
      <c r="T215" s="17" t="n">
        <v>1068296</v>
      </c>
      <c r="U215" s="17" t="n">
        <v>10107.7473</v>
      </c>
      <c r="V215" s="17" t="n">
        <v>0.744248263217769</v>
      </c>
      <c r="W215" s="17" t="n">
        <v>8.01</v>
      </c>
      <c r="X215" s="17" t="n">
        <v>3.58156355724326</v>
      </c>
      <c r="Y215" s="17" t="n">
        <v>0.895305032457631</v>
      </c>
      <c r="Z215" s="17" t="n">
        <v>13.9724383504197</v>
      </c>
      <c r="AA215" s="17" t="n">
        <v>8.35273983913551</v>
      </c>
      <c r="AB215" s="17"/>
      <c r="AC215" s="17"/>
      <c r="AD215" s="17"/>
      <c r="AE215" s="17"/>
      <c r="AF215" s="17"/>
      <c r="AG215" s="18" t="n">
        <f aca="false">IFERROR(100*O215/F215,"")</f>
        <v>0.269545412571641</v>
      </c>
      <c r="AH215" s="18" t="n">
        <f aca="false">IFERROR(100*(P215+Q215)/F215,"")</f>
        <v>0.126246200986918</v>
      </c>
      <c r="AI215" s="18" t="n">
        <f aca="false">IFERROR(100*R215/K215,"")</f>
        <v>0.00973294831924094</v>
      </c>
      <c r="AJ215" s="18" t="n">
        <f aca="false">IF(T215&gt;0,100*S215/T215,"")</f>
        <v>13.9724383504197</v>
      </c>
      <c r="AK215" s="18" t="n">
        <f aca="false">IFERROR(100*U215/G215,"")</f>
        <v>0.744248263217769</v>
      </c>
      <c r="AL215" s="18" t="n">
        <f aca="false">IFERROR(100*J215/H215,"")</f>
        <v>110.199091050155</v>
      </c>
      <c r="AM215" s="18" t="n">
        <f aca="false">IFERROR(100*L215/J215,"")</f>
        <v>80.1858981550994</v>
      </c>
      <c r="AN215" s="18" t="n">
        <f aca="false">IFERROR(100*M215/J215,"")</f>
        <v>3.68166898713065</v>
      </c>
      <c r="AO215" s="18" t="n">
        <f aca="false">IFERROR(100*N215/J215,"")</f>
        <v>14.6596598443269</v>
      </c>
    </row>
    <row r="216" customFormat="false" ht="15" hidden="false" customHeight="false" outlineLevel="0" collapsed="false">
      <c r="A216" s="17" t="n">
        <v>17180</v>
      </c>
      <c r="B216" s="23" t="n">
        <v>44926</v>
      </c>
      <c r="C216" s="17" t="s">
        <v>127</v>
      </c>
      <c r="D216" s="17" t="s">
        <v>116</v>
      </c>
      <c r="E216" s="17" t="s">
        <v>114</v>
      </c>
      <c r="F216" s="17" t="n">
        <v>1552881</v>
      </c>
      <c r="G216" s="17" t="n">
        <v>1397068.2</v>
      </c>
      <c r="H216" s="17" t="n">
        <v>1174035</v>
      </c>
      <c r="I216" s="17" t="n">
        <v>127894</v>
      </c>
      <c r="J216" s="17" t="n">
        <v>1390042</v>
      </c>
      <c r="K216" s="17" t="n">
        <v>1242406</v>
      </c>
      <c r="L216" s="17" t="n">
        <v>1118314</v>
      </c>
      <c r="M216" s="17" t="n">
        <v>49201</v>
      </c>
      <c r="N216" s="17" t="n">
        <v>202826</v>
      </c>
      <c r="O216" s="17" t="n">
        <v>4104</v>
      </c>
      <c r="P216" s="17" t="n">
        <v>2652</v>
      </c>
      <c r="Q216" s="17" t="n">
        <v>1</v>
      </c>
      <c r="R216" s="17" t="n">
        <v>275</v>
      </c>
      <c r="S216" s="17" t="n">
        <v>153643</v>
      </c>
      <c r="T216" s="17" t="n">
        <v>1123581</v>
      </c>
      <c r="U216" s="17" t="n">
        <v>10791</v>
      </c>
      <c r="V216" s="17" t="n">
        <v>0.772403237007327</v>
      </c>
      <c r="W216" s="17" t="n">
        <v>8.53</v>
      </c>
      <c r="X216" s="17" t="n">
        <v>3.52667259637935</v>
      </c>
      <c r="Y216" s="17" t="n">
        <v>0.934719958101985</v>
      </c>
      <c r="Z216" s="17" t="n">
        <v>13.6744035365497</v>
      </c>
      <c r="AA216" s="17" t="n">
        <v>8.23591762665652</v>
      </c>
      <c r="AB216" s="17"/>
      <c r="AC216" s="17"/>
      <c r="AD216" s="17"/>
      <c r="AE216" s="17"/>
      <c r="AF216" s="17"/>
      <c r="AG216" s="18" t="n">
        <f aca="false">IFERROR(100*O216/F216,"")</f>
        <v>0.264282968237747</v>
      </c>
      <c r="AH216" s="18" t="n">
        <f aca="false">IFERROR(100*(P216+Q216)/F216,"")</f>
        <v>0.170843741407101</v>
      </c>
      <c r="AI216" s="18" t="n">
        <f aca="false">IFERROR(100*R216/K216,"")</f>
        <v>0.0221344713402865</v>
      </c>
      <c r="AJ216" s="18" t="n">
        <f aca="false">IF(T216&gt;0,100*S216/T216,"")</f>
        <v>13.6744035365497</v>
      </c>
      <c r="AK216" s="18" t="n">
        <f aca="false">IFERROR(100*U216/G216,"")</f>
        <v>0.772403237007327</v>
      </c>
      <c r="AL216" s="18" t="n">
        <f aca="false">IFERROR(100*J216/H216,"")</f>
        <v>118.398684877367</v>
      </c>
      <c r="AM216" s="18" t="n">
        <f aca="false">IFERROR(100*L216/J216,"")</f>
        <v>80.4518136862052</v>
      </c>
      <c r="AN216" s="18" t="n">
        <f aca="false">IFERROR(100*M216/J216,"")</f>
        <v>3.53953333784159</v>
      </c>
      <c r="AO216" s="18" t="n">
        <f aca="false">IFERROR(100*N216/J216,"")</f>
        <v>14.5913576712071</v>
      </c>
    </row>
    <row r="217" customFormat="false" ht="15" hidden="false" customHeight="false" outlineLevel="0" collapsed="false">
      <c r="A217" s="17" t="n">
        <v>17180</v>
      </c>
      <c r="B217" s="23" t="n">
        <v>45016</v>
      </c>
      <c r="C217" s="17" t="s">
        <v>127</v>
      </c>
      <c r="D217" s="17" t="s">
        <v>116</v>
      </c>
      <c r="E217" s="17" t="s">
        <v>114</v>
      </c>
      <c r="F217" s="17" t="n">
        <v>1570158</v>
      </c>
      <c r="G217" s="17" t="n">
        <v>1561519.5</v>
      </c>
      <c r="H217" s="17" t="n">
        <v>1147694</v>
      </c>
      <c r="I217" s="17" t="n">
        <v>131076</v>
      </c>
      <c r="J217" s="17" t="n">
        <v>1410571</v>
      </c>
      <c r="K217" s="17" t="n">
        <v>1400306.5</v>
      </c>
      <c r="L217" s="17" t="n">
        <v>1135680</v>
      </c>
      <c r="M217" s="17" t="n">
        <v>49856</v>
      </c>
      <c r="N217" s="17" t="n">
        <v>201536</v>
      </c>
      <c r="O217" s="17" t="n">
        <v>4701</v>
      </c>
      <c r="P217" s="17" t="n">
        <v>1615</v>
      </c>
      <c r="Q217" s="17" t="n">
        <v>0</v>
      </c>
      <c r="R217" s="17" t="n">
        <v>288</v>
      </c>
      <c r="S217" s="17" t="n">
        <v>155937</v>
      </c>
      <c r="T217" s="17" t="n">
        <v>1132129</v>
      </c>
      <c r="U217" s="17" t="n">
        <v>7948</v>
      </c>
      <c r="V217" s="17" t="n">
        <v>0.508991402284762</v>
      </c>
      <c r="W217" s="17" t="n">
        <v>6.14</v>
      </c>
      <c r="X217" s="17" t="n">
        <v>3.04575475622422</v>
      </c>
      <c r="Y217" s="17" t="n">
        <v>0.942880578148849</v>
      </c>
      <c r="Z217" s="17" t="n">
        <v>13.7737837295927</v>
      </c>
      <c r="AA217" s="17" t="n">
        <v>8.34794969678211</v>
      </c>
      <c r="AB217" s="17" t="n">
        <v>21.5367824633104</v>
      </c>
      <c r="AC217" s="17" t="n">
        <v>23.4077008478439</v>
      </c>
      <c r="AD217" s="17" t="n">
        <v>2.36556032437485</v>
      </c>
      <c r="AE217" s="17" t="n">
        <v>-0.293797887240513</v>
      </c>
      <c r="AF217" s="17" t="n">
        <v>-0.145909589679144</v>
      </c>
      <c r="AG217" s="18" t="n">
        <f aca="false">IFERROR(100*O217/F217,"")</f>
        <v>0.299396621231749</v>
      </c>
      <c r="AH217" s="18" t="n">
        <f aca="false">IFERROR(100*(P217+Q217)/F217,"")</f>
        <v>0.102855890935817</v>
      </c>
      <c r="AI217" s="18" t="n">
        <f aca="false">IFERROR(100*R217/K217,"")</f>
        <v>0.0205669258837262</v>
      </c>
      <c r="AJ217" s="18" t="n">
        <f aca="false">IF(T217&gt;0,100*S217/T217,"")</f>
        <v>13.7737837295927</v>
      </c>
      <c r="AK217" s="18" t="n">
        <f aca="false">IFERROR(100*U217/G217,"")</f>
        <v>0.508991402284762</v>
      </c>
      <c r="AL217" s="18" t="n">
        <f aca="false">IFERROR(100*J217/H217,"")</f>
        <v>122.904798665846</v>
      </c>
      <c r="AM217" s="18" t="n">
        <f aca="false">IFERROR(100*L217/J217,"")</f>
        <v>80.5120763151944</v>
      </c>
      <c r="AN217" s="18" t="n">
        <f aca="false">IFERROR(100*M217/J217,"")</f>
        <v>3.53445519580369</v>
      </c>
      <c r="AO217" s="18" t="n">
        <f aca="false">IFERROR(100*N217/J217,"")</f>
        <v>14.2875473832937</v>
      </c>
    </row>
    <row r="218" customFormat="false" ht="15" hidden="false" customHeight="false" outlineLevel="0" collapsed="false">
      <c r="A218" s="17" t="n">
        <v>17180</v>
      </c>
      <c r="B218" s="23" t="n">
        <v>45107</v>
      </c>
      <c r="C218" s="17" t="s">
        <v>127</v>
      </c>
      <c r="D218" s="17" t="s">
        <v>116</v>
      </c>
      <c r="E218" s="17" t="s">
        <v>114</v>
      </c>
      <c r="F218" s="17" t="n">
        <v>1616649</v>
      </c>
      <c r="G218" s="17" t="n">
        <v>1579896</v>
      </c>
      <c r="H218" s="17" t="n">
        <v>1185191</v>
      </c>
      <c r="I218" s="17" t="n">
        <v>131745</v>
      </c>
      <c r="J218" s="17" t="n">
        <v>1450822</v>
      </c>
      <c r="K218" s="17" t="n">
        <v>1417145</v>
      </c>
      <c r="L218" s="17" t="n">
        <v>1177241</v>
      </c>
      <c r="M218" s="17" t="n">
        <v>51213</v>
      </c>
      <c r="N218" s="17" t="n">
        <v>198983</v>
      </c>
      <c r="O218" s="17" t="n">
        <v>5043</v>
      </c>
      <c r="P218" s="17" t="n">
        <v>1866</v>
      </c>
      <c r="Q218" s="17" t="n">
        <v>1345</v>
      </c>
      <c r="R218" s="17" t="n">
        <v>298</v>
      </c>
      <c r="S218" s="17" t="n">
        <v>157477</v>
      </c>
      <c r="T218" s="17" t="n">
        <v>1151546</v>
      </c>
      <c r="U218" s="17" t="n">
        <v>6180</v>
      </c>
      <c r="V218" s="17" t="n">
        <v>0.391164988075164</v>
      </c>
      <c r="W218" s="17" t="n">
        <v>4.75</v>
      </c>
      <c r="X218" s="17" t="n">
        <v>2.9118152452165</v>
      </c>
      <c r="Y218" s="17" t="n">
        <v>0.947256107227489</v>
      </c>
      <c r="Z218" s="17" t="n">
        <v>13.6752678572979</v>
      </c>
      <c r="AA218" s="17" t="n">
        <v>8.14926431154815</v>
      </c>
      <c r="AB218" s="17" t="n">
        <v>18.017101229849</v>
      </c>
      <c r="AC218" s="17" t="n">
        <v>18.9548399898003</v>
      </c>
      <c r="AD218" s="17" t="n">
        <v>1.52981197310451</v>
      </c>
      <c r="AE218" s="17" t="n">
        <v>-0.360344754885509</v>
      </c>
      <c r="AF218" s="17" t="n">
        <v>-0.0892723085587842</v>
      </c>
      <c r="AG218" s="18" t="n">
        <f aca="false">IFERROR(100*O218/F218,"")</f>
        <v>0.311941553175736</v>
      </c>
      <c r="AH218" s="18" t="n">
        <f aca="false">IFERROR(100*(P218+Q218)/F218,"")</f>
        <v>0.198620727195576</v>
      </c>
      <c r="AI218" s="18" t="n">
        <f aca="false">IFERROR(100*R218/K218,"")</f>
        <v>0.0210281940097873</v>
      </c>
      <c r="AJ218" s="18" t="n">
        <f aca="false">IF(T218&gt;0,100*S218/T218,"")</f>
        <v>13.6752678572979</v>
      </c>
      <c r="AK218" s="18" t="n">
        <f aca="false">IFERROR(100*U218/G218,"")</f>
        <v>0.391164988075164</v>
      </c>
      <c r="AL218" s="18" t="n">
        <f aca="false">IFERROR(100*J218/H218,"")</f>
        <v>122.412505663644</v>
      </c>
      <c r="AM218" s="18" t="n">
        <f aca="false">IFERROR(100*L218/J218,"")</f>
        <v>81.1430347761476</v>
      </c>
      <c r="AN218" s="18" t="n">
        <f aca="false">IFERROR(100*M218/J218,"")</f>
        <v>3.52992992937797</v>
      </c>
      <c r="AO218" s="18" t="n">
        <f aca="false">IFERROR(100*N218/J218,"")</f>
        <v>13.7151904230843</v>
      </c>
    </row>
    <row r="219" customFormat="false" ht="15" hidden="false" customHeight="false" outlineLevel="0" collapsed="false">
      <c r="A219" s="17" t="n">
        <v>17180</v>
      </c>
      <c r="B219" s="23" t="n">
        <v>45199</v>
      </c>
      <c r="C219" s="17" t="s">
        <v>127</v>
      </c>
      <c r="D219" s="17" t="s">
        <v>116</v>
      </c>
      <c r="E219" s="17" t="s">
        <v>114</v>
      </c>
      <c r="F219" s="17" t="n">
        <v>1618725</v>
      </c>
      <c r="G219" s="17" t="n">
        <v>1589603.25</v>
      </c>
      <c r="H219" s="17" t="n">
        <v>1198681</v>
      </c>
      <c r="I219" s="17" t="n">
        <v>130715</v>
      </c>
      <c r="J219" s="17" t="n">
        <v>1465429</v>
      </c>
      <c r="K219" s="17" t="n">
        <v>1429216</v>
      </c>
      <c r="L219" s="17" t="n">
        <v>1192665</v>
      </c>
      <c r="M219" s="17" t="n">
        <v>53778</v>
      </c>
      <c r="N219" s="17" t="n">
        <v>195410</v>
      </c>
      <c r="O219" s="17" t="n">
        <v>5236</v>
      </c>
      <c r="P219" s="17" t="n">
        <v>2857</v>
      </c>
      <c r="Q219" s="17" t="n">
        <v>0</v>
      </c>
      <c r="R219" s="17" t="n">
        <v>311.9922</v>
      </c>
      <c r="S219" s="17" t="n">
        <v>159417</v>
      </c>
      <c r="T219" s="17" t="n">
        <v>1153897</v>
      </c>
      <c r="U219" s="17" t="n">
        <v>6297.1759</v>
      </c>
      <c r="V219" s="17" t="n">
        <v>0.396147648792238</v>
      </c>
      <c r="W219" s="17" t="n">
        <v>4.83</v>
      </c>
      <c r="X219" s="17" t="n">
        <v>2.89756095197028</v>
      </c>
      <c r="Y219" s="17" t="n">
        <v>0.965928748509822</v>
      </c>
      <c r="Z219" s="17" t="n">
        <v>13.815531195592</v>
      </c>
      <c r="AA219" s="17" t="n">
        <v>8.07518262830314</v>
      </c>
      <c r="AB219" s="17" t="n">
        <v>9.1072513040835</v>
      </c>
      <c r="AC219" s="17" t="n">
        <v>10.3453287139911</v>
      </c>
      <c r="AD219" s="17" t="n">
        <v>-0.534881385945218</v>
      </c>
      <c r="AE219" s="17" t="n">
        <v>-0.348100614425531</v>
      </c>
      <c r="AF219" s="17" t="n">
        <v>0.0539190424778577</v>
      </c>
      <c r="AG219" s="18" t="n">
        <f aca="false">IFERROR(100*O219/F219,"")</f>
        <v>0.323464455049499</v>
      </c>
      <c r="AH219" s="18" t="n">
        <f aca="false">IFERROR(100*(P219+Q219)/F219,"")</f>
        <v>0.176496934315588</v>
      </c>
      <c r="AI219" s="18" t="n">
        <f aca="false">IFERROR(100*R219/K219,"")</f>
        <v>0.0218296044824575</v>
      </c>
      <c r="AJ219" s="18" t="n">
        <f aca="false">IF(T219&gt;0,100*S219/T219,"")</f>
        <v>13.815531195592</v>
      </c>
      <c r="AK219" s="18" t="n">
        <f aca="false">IFERROR(100*U219/G219,"")</f>
        <v>0.396147648792238</v>
      </c>
      <c r="AL219" s="18" t="n">
        <f aca="false">IFERROR(100*J219/H219,"")</f>
        <v>122.253460261738</v>
      </c>
      <c r="AM219" s="18" t="n">
        <f aca="false">IFERROR(100*L219/J219,"")</f>
        <v>81.3867474985141</v>
      </c>
      <c r="AN219" s="18" t="n">
        <f aca="false">IFERROR(100*M219/J219,"")</f>
        <v>3.66977861090507</v>
      </c>
      <c r="AO219" s="18" t="n">
        <f aca="false">IFERROR(100*N219/J219,"")</f>
        <v>13.3346617270438</v>
      </c>
    </row>
    <row r="220" customFormat="false" ht="15" hidden="false" customHeight="false" outlineLevel="0" collapsed="false">
      <c r="A220" s="17" t="n">
        <v>17180</v>
      </c>
      <c r="B220" s="23" t="n">
        <v>45291</v>
      </c>
      <c r="C220" s="17" t="s">
        <v>127</v>
      </c>
      <c r="D220" s="17" t="s">
        <v>116</v>
      </c>
      <c r="E220" s="17" t="s">
        <v>114</v>
      </c>
      <c r="F220" s="17" t="n">
        <v>1636765</v>
      </c>
      <c r="G220" s="17" t="n">
        <v>1599035.6</v>
      </c>
      <c r="H220" s="17" t="n">
        <v>1188350</v>
      </c>
      <c r="I220" s="17" t="n">
        <v>136707</v>
      </c>
      <c r="J220" s="17" t="n">
        <v>1480488</v>
      </c>
      <c r="K220" s="17" t="n">
        <v>1439470.4</v>
      </c>
      <c r="L220" s="17" t="n">
        <v>1208918</v>
      </c>
      <c r="M220" s="17" t="n">
        <v>52850</v>
      </c>
      <c r="N220" s="17" t="n">
        <v>190591</v>
      </c>
      <c r="O220" s="17" t="n">
        <v>4903</v>
      </c>
      <c r="P220" s="17" t="n">
        <v>3022</v>
      </c>
      <c r="Q220" s="17" t="n">
        <v>0</v>
      </c>
      <c r="R220" s="17" t="n">
        <v>626</v>
      </c>
      <c r="S220" s="17" t="n">
        <v>161750</v>
      </c>
      <c r="T220" s="17" t="n">
        <v>1141907</v>
      </c>
      <c r="U220" s="17" t="n">
        <v>7232</v>
      </c>
      <c r="V220" s="17" t="n">
        <v>0.452272607314059</v>
      </c>
      <c r="W220" s="17" t="n">
        <v>5.49</v>
      </c>
      <c r="X220" s="17" t="n">
        <v>2.86567771971113</v>
      </c>
      <c r="Y220" s="17" t="n">
        <v>0.96326346447928</v>
      </c>
      <c r="Z220" s="17" t="n">
        <v>14.1649013448556</v>
      </c>
      <c r="AA220" s="17" t="n">
        <v>8.35226804092219</v>
      </c>
      <c r="AB220" s="17" t="n">
        <v>5.40183053305436</v>
      </c>
      <c r="AC220" s="17" t="n">
        <v>6.50670986919819</v>
      </c>
      <c r="AD220" s="17" t="n">
        <v>1.21929925428117</v>
      </c>
      <c r="AE220" s="17" t="n">
        <v>-0.320130629693269</v>
      </c>
      <c r="AF220" s="17" t="n">
        <v>0.0352713355260803</v>
      </c>
      <c r="AG220" s="18" t="n">
        <f aca="false">IFERROR(100*O220/F220,"")</f>
        <v>0.299554303763827</v>
      </c>
      <c r="AH220" s="18" t="n">
        <f aca="false">IFERROR(100*(P220+Q220)/F220,"")</f>
        <v>0.18463249153055</v>
      </c>
      <c r="AI220" s="18" t="n">
        <f aca="false">IFERROR(100*R220/K220,"")</f>
        <v>0.0434882162217438</v>
      </c>
      <c r="AJ220" s="18" t="n">
        <f aca="false">IF(T220&gt;0,100*S220/T220,"")</f>
        <v>14.1649013448556</v>
      </c>
      <c r="AK220" s="18" t="n">
        <f aca="false">IFERROR(100*U220/G220,"")</f>
        <v>0.452272607314059</v>
      </c>
      <c r="AL220" s="18" t="n">
        <f aca="false">IFERROR(100*J220/H220,"")</f>
        <v>124.583498127656</v>
      </c>
      <c r="AM220" s="18" t="n">
        <f aca="false">IFERROR(100*L220/J220,"")</f>
        <v>81.6567239991138</v>
      </c>
      <c r="AN220" s="18" t="n">
        <f aca="false">IFERROR(100*M220/J220,"")</f>
        <v>3.56976888701563</v>
      </c>
      <c r="AO220" s="18" t="n">
        <f aca="false">IFERROR(100*N220/J220,"")</f>
        <v>12.873525486191</v>
      </c>
    </row>
    <row r="221" customFormat="false" ht="15" hidden="false" customHeight="false" outlineLevel="0" collapsed="false">
      <c r="A221" s="17" t="n">
        <v>17180</v>
      </c>
      <c r="B221" s="23" t="n">
        <v>45382</v>
      </c>
      <c r="C221" s="17" t="s">
        <v>127</v>
      </c>
      <c r="D221" s="17" t="s">
        <v>116</v>
      </c>
      <c r="E221" s="17" t="s">
        <v>114</v>
      </c>
      <c r="F221" s="17" t="n">
        <v>1658628</v>
      </c>
      <c r="G221" s="17" t="n">
        <v>1647696.5</v>
      </c>
      <c r="H221" s="17" t="n">
        <v>1184689</v>
      </c>
      <c r="I221" s="17" t="n">
        <v>137543</v>
      </c>
      <c r="J221" s="17" t="n">
        <v>1488562</v>
      </c>
      <c r="K221" s="17" t="n">
        <v>1484525</v>
      </c>
      <c r="L221" s="17" t="n">
        <v>1225328</v>
      </c>
      <c r="M221" s="17" t="n">
        <v>54013</v>
      </c>
      <c r="N221" s="17" t="n">
        <v>183116</v>
      </c>
      <c r="O221" s="17" t="n">
        <v>6109</v>
      </c>
      <c r="P221" s="17" t="n">
        <v>1366</v>
      </c>
      <c r="Q221" s="17" t="n">
        <v>0</v>
      </c>
      <c r="R221" s="17" t="n">
        <v>432</v>
      </c>
      <c r="S221" s="17" t="n">
        <v>163288</v>
      </c>
      <c r="T221" s="17" t="n">
        <v>1139380</v>
      </c>
      <c r="U221" s="17" t="n">
        <v>6380</v>
      </c>
      <c r="V221" s="17" t="n">
        <v>0.387207231428846</v>
      </c>
      <c r="W221" s="17" t="n">
        <v>4.65</v>
      </c>
      <c r="X221" s="17" t="n">
        <v>2.65361488045845</v>
      </c>
      <c r="Y221" s="17" t="n">
        <v>0.985514879460849</v>
      </c>
      <c r="Z221" s="17" t="n">
        <v>14.3313029893451</v>
      </c>
      <c r="AA221" s="17" t="n">
        <v>8.29257675621056</v>
      </c>
      <c r="AB221" s="17" t="n">
        <v>5.63446481182148</v>
      </c>
      <c r="AC221" s="17" t="n">
        <v>5.52903753160954</v>
      </c>
      <c r="AD221" s="17" t="n">
        <v>3.22342017994344</v>
      </c>
      <c r="AE221" s="17" t="n">
        <v>-0.121784170855915</v>
      </c>
      <c r="AF221" s="17" t="n">
        <v>0.0689198427372667</v>
      </c>
      <c r="AG221" s="18" t="n">
        <f aca="false">IFERROR(100*O221/F221,"")</f>
        <v>0.368316463969015</v>
      </c>
      <c r="AH221" s="18" t="n">
        <f aca="false">IFERROR(100*(P221+Q221)/F221,"")</f>
        <v>0.0823572253694017</v>
      </c>
      <c r="AI221" s="18" t="n">
        <f aca="false">IFERROR(100*R221/K221,"")</f>
        <v>0.0291002172412051</v>
      </c>
      <c r="AJ221" s="18" t="n">
        <f aca="false">IF(T221&gt;0,100*S221/T221,"")</f>
        <v>14.3313029893451</v>
      </c>
      <c r="AK221" s="18" t="n">
        <f aca="false">IFERROR(100*U221/G221,"")</f>
        <v>0.387207231428846</v>
      </c>
      <c r="AL221" s="18" t="n">
        <f aca="false">IFERROR(100*J221/H221,"")</f>
        <v>125.650022917407</v>
      </c>
      <c r="AM221" s="18" t="n">
        <f aca="false">IFERROR(100*L221/J221,"")</f>
        <v>82.3162219645537</v>
      </c>
      <c r="AN221" s="18" t="n">
        <f aca="false">IFERROR(100*M221/J221,"")</f>
        <v>3.62853545905377</v>
      </c>
      <c r="AO221" s="18" t="n">
        <f aca="false">IFERROR(100*N221/J221,"")</f>
        <v>12.301536650808</v>
      </c>
    </row>
    <row r="222" customFormat="false" ht="15" hidden="false" customHeight="false" outlineLevel="0" collapsed="false">
      <c r="A222" s="17" t="n">
        <v>17180</v>
      </c>
      <c r="B222" s="23" t="n">
        <v>45473</v>
      </c>
      <c r="C222" s="17" t="s">
        <v>127</v>
      </c>
      <c r="D222" s="17" t="s">
        <v>116</v>
      </c>
      <c r="E222" s="17" t="s">
        <v>114</v>
      </c>
      <c r="F222" s="17" t="n">
        <v>1640511</v>
      </c>
      <c r="G222" s="17" t="n">
        <v>1645301.33333333</v>
      </c>
      <c r="H222" s="17" t="n">
        <v>1189680</v>
      </c>
      <c r="I222" s="17" t="n">
        <v>139135</v>
      </c>
      <c r="J222" s="17" t="n">
        <v>1460125</v>
      </c>
      <c r="K222" s="17" t="n">
        <v>1476391.66666667</v>
      </c>
      <c r="L222" s="17" t="n">
        <v>1213990</v>
      </c>
      <c r="M222" s="17" t="n">
        <v>42253</v>
      </c>
      <c r="N222" s="17" t="n">
        <v>177428</v>
      </c>
      <c r="O222" s="17" t="n">
        <v>5092</v>
      </c>
      <c r="P222" s="17" t="n">
        <v>3256</v>
      </c>
      <c r="Q222" s="17" t="n">
        <v>0</v>
      </c>
      <c r="R222" s="17" t="n">
        <v>58</v>
      </c>
      <c r="S222" s="17" t="n">
        <v>164703</v>
      </c>
      <c r="T222" s="17" t="n">
        <v>1120570</v>
      </c>
      <c r="U222" s="17" t="n">
        <v>6538</v>
      </c>
      <c r="V222" s="17" t="n">
        <v>0.39737401699871</v>
      </c>
      <c r="W222" s="17" t="n">
        <v>4.74</v>
      </c>
      <c r="X222" s="17" t="n">
        <v>2.63148893135731</v>
      </c>
      <c r="Y222" s="17" t="n">
        <v>1.01977570413492</v>
      </c>
      <c r="Z222" s="17" t="n">
        <v>14.6981446942181</v>
      </c>
      <c r="AA222" s="17" t="n">
        <v>8.48119884596934</v>
      </c>
      <c r="AB222" s="17" t="n">
        <v>1.4760161296608</v>
      </c>
      <c r="AC222" s="17" t="n">
        <v>0.641222699959054</v>
      </c>
      <c r="AD222" s="17" t="n">
        <v>0.37875751672094</v>
      </c>
      <c r="AE222" s="17" t="n">
        <v>0.00620902892354547</v>
      </c>
      <c r="AF222" s="17" t="n">
        <v>-0.00155046161950723</v>
      </c>
      <c r="AG222" s="18" t="n">
        <f aca="false">IFERROR(100*O222/F222,"")</f>
        <v>0.310391091556229</v>
      </c>
      <c r="AH222" s="18" t="n">
        <f aca="false">IFERROR(100*(P222+Q222)/F222,"")</f>
        <v>0.198474743540275</v>
      </c>
      <c r="AI222" s="18" t="n">
        <f aca="false">IFERROR(100*R222/K222,"")</f>
        <v>0.00392849684196267</v>
      </c>
      <c r="AJ222" s="18" t="n">
        <f aca="false">IF(T222&gt;0,100*S222/T222,"")</f>
        <v>14.6981446942181</v>
      </c>
      <c r="AK222" s="18" t="n">
        <f aca="false">IFERROR(100*U222/G222,"")</f>
        <v>0.39737401699871</v>
      </c>
      <c r="AL222" s="18" t="n">
        <f aca="false">IFERROR(100*J222/H222,"")</f>
        <v>122.73258355188</v>
      </c>
      <c r="AM222" s="18" t="n">
        <f aca="false">IFERROR(100*L222/J222,"")</f>
        <v>83.1428816026025</v>
      </c>
      <c r="AN222" s="18" t="n">
        <f aca="false">IFERROR(100*M222/J222,"")</f>
        <v>2.89379333961133</v>
      </c>
      <c r="AO222" s="18" t="n">
        <f aca="false">IFERROR(100*N222/J222,"")</f>
        <v>12.1515623662358</v>
      </c>
    </row>
    <row r="223" customFormat="false" ht="15" hidden="false" customHeight="false" outlineLevel="0" collapsed="false">
      <c r="A223" s="17" t="n">
        <v>17180</v>
      </c>
      <c r="B223" s="23" t="n">
        <v>45565</v>
      </c>
      <c r="C223" s="17" t="s">
        <v>127</v>
      </c>
      <c r="D223" s="17" t="s">
        <v>116</v>
      </c>
      <c r="E223" s="17" t="s">
        <v>114</v>
      </c>
      <c r="F223" s="17" t="n">
        <v>1621350</v>
      </c>
      <c r="G223" s="17" t="n">
        <v>1639313.5</v>
      </c>
      <c r="H223" s="17" t="n">
        <v>1203070</v>
      </c>
      <c r="I223" s="17" t="n">
        <v>143061</v>
      </c>
      <c r="J223" s="17" t="n">
        <v>1443161</v>
      </c>
      <c r="K223" s="17" t="n">
        <v>1468084</v>
      </c>
      <c r="L223" s="17" t="n">
        <v>1205697</v>
      </c>
      <c r="M223" s="17" t="n">
        <v>40098</v>
      </c>
      <c r="N223" s="17" t="n">
        <v>171858</v>
      </c>
      <c r="O223" s="17" t="n">
        <v>5975</v>
      </c>
      <c r="P223" s="17" t="n">
        <v>1130</v>
      </c>
      <c r="Q223" s="17" t="n">
        <v>0</v>
      </c>
      <c r="R223" s="17" t="n">
        <v>229.3276</v>
      </c>
      <c r="S223" s="17" t="n">
        <v>166027</v>
      </c>
      <c r="T223" s="17" t="n">
        <v>1099707</v>
      </c>
      <c r="U223" s="17" t="n">
        <v>6514.5038</v>
      </c>
      <c r="V223" s="17" t="n">
        <v>0.397392188864424</v>
      </c>
      <c r="W223" s="17" t="n">
        <v>4.68</v>
      </c>
      <c r="X223" s="17" t="n">
        <v>2.64602130327719</v>
      </c>
      <c r="Y223" s="17" t="n">
        <v>1.03190149955549</v>
      </c>
      <c r="Z223" s="17" t="n">
        <v>15.09738503074</v>
      </c>
      <c r="AA223" s="17" t="n">
        <v>8.82357294846887</v>
      </c>
      <c r="AB223" s="17" t="n">
        <v>0.162164666635789</v>
      </c>
      <c r="AC223" s="17" t="n">
        <v>-1.51955502450136</v>
      </c>
      <c r="AD223" s="17" t="n">
        <v>0.366152462581781</v>
      </c>
      <c r="AE223" s="17" t="n">
        <v>0.00124454007218605</v>
      </c>
      <c r="AF223" s="17" t="n">
        <v>0.0450556053939588</v>
      </c>
      <c r="AG223" s="18" t="n">
        <f aca="false">IFERROR(100*O223/F223,"")</f>
        <v>0.368520060443458</v>
      </c>
      <c r="AH223" s="18" t="n">
        <f aca="false">IFERROR(100*(P223+Q223)/F223,"")</f>
        <v>0.0696950072470472</v>
      </c>
      <c r="AI223" s="18" t="n">
        <f aca="false">IFERROR(100*R223/K223,"")</f>
        <v>0.0156208772795017</v>
      </c>
      <c r="AJ223" s="18" t="n">
        <f aca="false">IF(T223&gt;0,100*S223/T223,"")</f>
        <v>15.09738503074</v>
      </c>
      <c r="AK223" s="18" t="n">
        <f aca="false">IFERROR(100*U223/G223,"")</f>
        <v>0.397392188864424</v>
      </c>
      <c r="AL223" s="18" t="n">
        <f aca="false">IFERROR(100*J223/H223,"")</f>
        <v>119.956527882833</v>
      </c>
      <c r="AM223" s="18" t="n">
        <f aca="false">IFERROR(100*L223/J223,"")</f>
        <v>83.5455642163279</v>
      </c>
      <c r="AN223" s="18" t="n">
        <f aca="false">IFERROR(100*M223/J223,"")</f>
        <v>2.77848417466935</v>
      </c>
      <c r="AO223" s="18" t="n">
        <f aca="false">IFERROR(100*N223/J223,"")</f>
        <v>11.9084426477711</v>
      </c>
    </row>
    <row r="224" customFormat="false" ht="15" hidden="false" customHeight="false" outlineLevel="0" collapsed="false">
      <c r="A224" s="17" t="n">
        <v>17180</v>
      </c>
      <c r="B224" s="23" t="n">
        <v>45657</v>
      </c>
      <c r="C224" s="17" t="s">
        <v>127</v>
      </c>
      <c r="D224" s="17" t="s">
        <v>116</v>
      </c>
      <c r="E224" s="17" t="s">
        <v>114</v>
      </c>
      <c r="F224" s="17" t="n">
        <v>1600157</v>
      </c>
      <c r="G224" s="17" t="n">
        <v>1631482.2</v>
      </c>
      <c r="H224" s="17" t="n">
        <v>1219406</v>
      </c>
      <c r="I224" s="17" t="n">
        <v>143344</v>
      </c>
      <c r="J224" s="17" t="n">
        <v>1419052</v>
      </c>
      <c r="K224" s="17" t="n">
        <v>1458277.6</v>
      </c>
      <c r="L224" s="17" t="n">
        <v>1189538</v>
      </c>
      <c r="M224" s="17" t="n">
        <v>38804</v>
      </c>
      <c r="N224" s="17" t="n">
        <v>164696</v>
      </c>
      <c r="O224" s="17" t="n">
        <v>6126</v>
      </c>
      <c r="P224" s="17" t="n">
        <v>4396</v>
      </c>
      <c r="Q224" s="17" t="n">
        <v>0</v>
      </c>
      <c r="R224" s="17" t="n">
        <v>157</v>
      </c>
      <c r="S224" s="17" t="n">
        <v>168428</v>
      </c>
      <c r="T224" s="17" t="n">
        <v>1080442</v>
      </c>
      <c r="U224" s="17" t="n">
        <v>7573</v>
      </c>
      <c r="V224" s="17" t="n">
        <v>0.464179137228712</v>
      </c>
      <c r="W224" s="17" t="n">
        <v>5.41</v>
      </c>
      <c r="X224" s="17" t="n">
        <v>2.68012500903709</v>
      </c>
      <c r="Y224" s="17" t="n">
        <v>0.980584221015157</v>
      </c>
      <c r="Z224" s="17" t="n">
        <v>15.5888053222663</v>
      </c>
      <c r="AA224" s="17" t="n">
        <v>8.95812098437841</v>
      </c>
      <c r="AB224" s="17" t="n">
        <v>-2.23660696556928</v>
      </c>
      <c r="AC224" s="17" t="n">
        <v>-4.14971279740194</v>
      </c>
      <c r="AD224" s="17" t="n">
        <v>2.6133714814659</v>
      </c>
      <c r="AE224" s="17" t="n">
        <v>0.011906529914653</v>
      </c>
      <c r="AF224" s="17" t="n">
        <v>0.0832831303129544</v>
      </c>
      <c r="AG224" s="18" t="n">
        <f aca="false">IFERROR(100*O224/F224,"")</f>
        <v>0.382837434076781</v>
      </c>
      <c r="AH224" s="18" t="n">
        <f aca="false">IFERROR(100*(P224+Q224)/F224,"")</f>
        <v>0.274723042801425</v>
      </c>
      <c r="AI224" s="18" t="n">
        <f aca="false">IFERROR(100*R224/K224,"")</f>
        <v>0.0107661257362796</v>
      </c>
      <c r="AJ224" s="18" t="n">
        <f aca="false">IF(T224&gt;0,100*S224/T224,"")</f>
        <v>15.5888053222663</v>
      </c>
      <c r="AK224" s="18" t="n">
        <f aca="false">IFERROR(100*U224/G224,"")</f>
        <v>0.464179137228711</v>
      </c>
      <c r="AL224" s="18" t="n">
        <f aca="false">IFERROR(100*J224/H224,"")</f>
        <v>116.372397708392</v>
      </c>
      <c r="AM224" s="18" t="n">
        <f aca="false">IFERROR(100*L224/J224,"")</f>
        <v>83.8262445632718</v>
      </c>
      <c r="AN224" s="18" t="n">
        <f aca="false">IFERROR(100*M224/J224,"")</f>
        <v>2.73450162502854</v>
      </c>
      <c r="AO224" s="18" t="n">
        <f aca="false">IFERROR(100*N224/J224,"")</f>
        <v>11.6060581289481</v>
      </c>
    </row>
    <row r="225" customFormat="false" ht="15" hidden="false" customHeight="false" outlineLevel="0" collapsed="false">
      <c r="A225" s="17" t="n">
        <v>17180</v>
      </c>
      <c r="B225" s="23" t="n">
        <v>45747</v>
      </c>
      <c r="C225" s="17" t="s">
        <v>127</v>
      </c>
      <c r="D225" s="17" t="s">
        <v>116</v>
      </c>
      <c r="E225" s="17" t="s">
        <v>114</v>
      </c>
      <c r="F225" s="17" t="n">
        <v>1590319</v>
      </c>
      <c r="G225" s="17" t="n">
        <v>1595238</v>
      </c>
      <c r="H225" s="17" t="n">
        <v>1298331</v>
      </c>
      <c r="I225" s="17" t="n">
        <v>145819</v>
      </c>
      <c r="J225" s="17" t="n">
        <v>1397284</v>
      </c>
      <c r="K225" s="17" t="n">
        <v>1408168</v>
      </c>
      <c r="L225" s="17" t="n">
        <v>1173253</v>
      </c>
      <c r="M225" s="17" t="n">
        <v>39933</v>
      </c>
      <c r="N225" s="17" t="n">
        <v>158298</v>
      </c>
      <c r="O225" s="17" t="n">
        <v>5853</v>
      </c>
      <c r="P225" s="17" t="n">
        <v>9150</v>
      </c>
      <c r="Q225" s="17" t="n">
        <v>20</v>
      </c>
      <c r="R225" s="17" t="n">
        <v>264</v>
      </c>
      <c r="S225" s="17" t="n">
        <v>169341</v>
      </c>
      <c r="T225" s="17" t="n">
        <v>1059220</v>
      </c>
      <c r="U225" s="17" t="n">
        <v>4836</v>
      </c>
      <c r="V225" s="17" t="n">
        <v>0.303152256904612</v>
      </c>
      <c r="W225" s="17" t="n">
        <v>3.34</v>
      </c>
      <c r="X225" s="17" t="n">
        <v>2.76765129492949</v>
      </c>
      <c r="Y225" s="17" t="n">
        <v>0.991709630969796</v>
      </c>
      <c r="Z225" s="17" t="n">
        <v>15.9873302996545</v>
      </c>
      <c r="AA225" s="17" t="n">
        <v>9.16916668919883</v>
      </c>
      <c r="AB225" s="17" t="n">
        <v>-4.11840388562113</v>
      </c>
      <c r="AC225" s="17" t="n">
        <v>-6.13195822545517</v>
      </c>
      <c r="AD225" s="17" t="n">
        <v>9.59255973508659</v>
      </c>
      <c r="AE225" s="17" t="n">
        <v>-0.0840549745242339</v>
      </c>
      <c r="AF225" s="17" t="n">
        <v>-0.00027709576678675</v>
      </c>
      <c r="AG225" s="18" t="n">
        <f aca="false">IFERROR(100*O225/F225,"")</f>
        <v>0.368039368202229</v>
      </c>
      <c r="AH225" s="18" t="n">
        <f aca="false">IFERROR(100*(P225+Q225)/F225,"")</f>
        <v>0.576613874323328</v>
      </c>
      <c r="AI225" s="18" t="n">
        <f aca="false">IFERROR(100*R225/K225,"")</f>
        <v>0.0187477630509996</v>
      </c>
      <c r="AJ225" s="18" t="n">
        <f aca="false">IF(T225&gt;0,100*S225/T225,"")</f>
        <v>15.9873302996545</v>
      </c>
      <c r="AK225" s="18" t="n">
        <f aca="false">IFERROR(100*U225/G225,"")</f>
        <v>0.303152256904612</v>
      </c>
      <c r="AL225" s="18" t="n">
        <f aca="false">IFERROR(100*J225/H225,"")</f>
        <v>107.62155413373</v>
      </c>
      <c r="AM225" s="18" t="n">
        <f aca="false">IFERROR(100*L225/J225,"")</f>
        <v>83.9666810755723</v>
      </c>
      <c r="AN225" s="18" t="n">
        <f aca="false">IFERROR(100*M225/J225,"")</f>
        <v>2.85790147171227</v>
      </c>
      <c r="AO225" s="18" t="n">
        <f aca="false">IFERROR(100*N225/J225,"")</f>
        <v>11.3289782177424</v>
      </c>
    </row>
    <row r="226" customFormat="false" ht="15" hidden="false" customHeight="false" outlineLevel="0" collapsed="false">
      <c r="A226" s="17" t="n">
        <v>17180</v>
      </c>
      <c r="B226" s="23" t="n">
        <v>45838</v>
      </c>
      <c r="C226" s="17" t="s">
        <v>127</v>
      </c>
      <c r="D226" s="17" t="s">
        <v>116</v>
      </c>
      <c r="E226" s="17" t="s">
        <v>114</v>
      </c>
      <c r="F226" s="17" t="n">
        <v>1609518</v>
      </c>
      <c r="G226" s="17" t="n">
        <v>1599998</v>
      </c>
      <c r="H226" s="17" t="n">
        <v>1323945</v>
      </c>
      <c r="I226" s="17" t="n">
        <v>147515</v>
      </c>
      <c r="J226" s="17" t="n">
        <v>1394163</v>
      </c>
      <c r="K226" s="17" t="n">
        <v>1403499.66666667</v>
      </c>
      <c r="L226" s="17" t="n">
        <v>1170848</v>
      </c>
      <c r="M226" s="17" t="n">
        <v>41482</v>
      </c>
      <c r="N226" s="17" t="n">
        <v>155925</v>
      </c>
      <c r="O226" s="17" t="n">
        <v>5006</v>
      </c>
      <c r="P226" s="17" t="n">
        <v>3969</v>
      </c>
      <c r="Q226" s="17" t="n">
        <v>10</v>
      </c>
      <c r="R226" s="17" t="n">
        <v>314</v>
      </c>
      <c r="S226" s="17" t="n">
        <v>170695</v>
      </c>
      <c r="T226" s="17" t="n">
        <v>1059093</v>
      </c>
      <c r="U226" s="17" t="n">
        <v>5154</v>
      </c>
      <c r="V226" s="17" t="n">
        <v>0.322125402656753</v>
      </c>
      <c r="W226" s="17" t="n">
        <v>3.54</v>
      </c>
      <c r="X226" s="17" t="n">
        <v>2.82301178340663</v>
      </c>
      <c r="Y226" s="17" t="n">
        <v>0.988406664070127</v>
      </c>
      <c r="Z226" s="17" t="n">
        <v>16.1170926443665</v>
      </c>
      <c r="AA226" s="17" t="n">
        <v>9.16516621746386</v>
      </c>
      <c r="AB226" s="17" t="n">
        <v>-1.88922841724316</v>
      </c>
      <c r="AC226" s="17" t="n">
        <v>-4.51755842821676</v>
      </c>
      <c r="AD226" s="17" t="n">
        <v>11.2858079483559</v>
      </c>
      <c r="AE226" s="17" t="n">
        <v>-0.0752486143419566</v>
      </c>
      <c r="AF226" s="17" t="n">
        <v>0.000633699716686753</v>
      </c>
      <c r="AG226" s="18" t="n">
        <f aca="false">IFERROR(100*O226/F226,"")</f>
        <v>0.311024791272915</v>
      </c>
      <c r="AH226" s="18" t="n">
        <f aca="false">IFERROR(100*(P226+Q226)/F226,"")</f>
        <v>0.247216868652603</v>
      </c>
      <c r="AI226" s="18" t="n">
        <f aca="false">IFERROR(100*R226/K226,"")</f>
        <v>0.0223726451425354</v>
      </c>
      <c r="AJ226" s="18" t="n">
        <f aca="false">IF(T226&gt;0,100*S226/T226,"")</f>
        <v>16.1170926443665</v>
      </c>
      <c r="AK226" s="18" t="n">
        <f aca="false">IFERROR(100*U226/G226,"")</f>
        <v>0.322125402656753</v>
      </c>
      <c r="AL226" s="18" t="n">
        <f aca="false">IFERROR(100*J226/H226,"")</f>
        <v>105.303694639883</v>
      </c>
      <c r="AM226" s="18" t="n">
        <f aca="false">IFERROR(100*L226/J226,"")</f>
        <v>83.9821455597373</v>
      </c>
      <c r="AN226" s="18" t="n">
        <f aca="false">IFERROR(100*M226/J226,"")</f>
        <v>2.97540531487351</v>
      </c>
      <c r="AO226" s="18" t="n">
        <f aca="false">IFERROR(100*N226/J226,"")</f>
        <v>11.1841298327384</v>
      </c>
    </row>
    <row r="227" customFormat="false" ht="15" hidden="false" customHeight="false" outlineLevel="0" collapsed="false">
      <c r="A227" s="17" t="n">
        <v>17443</v>
      </c>
      <c r="B227" s="23" t="n">
        <v>44651</v>
      </c>
      <c r="C227" s="17" t="s">
        <v>132</v>
      </c>
      <c r="D227" s="17" t="s">
        <v>116</v>
      </c>
      <c r="E227" s="17" t="s">
        <v>118</v>
      </c>
      <c r="F227" s="17" t="n">
        <v>352255</v>
      </c>
      <c r="G227" s="17" t="n">
        <v>350099</v>
      </c>
      <c r="H227" s="17" t="n">
        <v>302135</v>
      </c>
      <c r="I227" s="17" t="n">
        <v>42822</v>
      </c>
      <c r="J227" s="17" t="n">
        <v>188952</v>
      </c>
      <c r="K227" s="17" t="n">
        <v>186346</v>
      </c>
      <c r="L227" s="17" t="n">
        <v>186037</v>
      </c>
      <c r="M227" s="17" t="n">
        <v>0</v>
      </c>
      <c r="N227" s="17" t="n">
        <v>1909</v>
      </c>
      <c r="O227" s="17" t="n">
        <v>842</v>
      </c>
      <c r="P227" s="17" t="n">
        <v>2524</v>
      </c>
      <c r="Q227" s="17" t="n">
        <v>0</v>
      </c>
      <c r="R227" s="17" t="n">
        <v>0</v>
      </c>
      <c r="S227" s="17" t="n">
        <v>0</v>
      </c>
      <c r="T227" s="17" t="n">
        <v>0</v>
      </c>
      <c r="U227" s="17" t="n">
        <v>2168</v>
      </c>
      <c r="V227" s="17" t="n">
        <v>0.619253411177981</v>
      </c>
      <c r="W227" s="17" t="n">
        <v>4.79</v>
      </c>
      <c r="X227" s="17" t="n">
        <v>2.01221792023435</v>
      </c>
      <c r="Y227" s="17" t="n">
        <v>0.858419069393285</v>
      </c>
      <c r="Z227" s="17" t="n">
        <v>0</v>
      </c>
      <c r="AA227" s="17" t="n">
        <v>12.1565343288243</v>
      </c>
      <c r="AB227" s="17"/>
      <c r="AC227" s="17"/>
      <c r="AD227" s="17"/>
      <c r="AE227" s="17"/>
      <c r="AF227" s="17"/>
      <c r="AG227" s="18" t="n">
        <f aca="false">IFERROR(100*O227/F227,"")</f>
        <v>0.239031383514783</v>
      </c>
      <c r="AH227" s="18" t="n">
        <f aca="false">IFERROR(100*(P227+Q227)/F227,"")</f>
        <v>0.716526380037189</v>
      </c>
      <c r="AI227" s="18" t="n">
        <f aca="false">IFERROR(100*R227/K227,"")</f>
        <v>0</v>
      </c>
      <c r="AJ227" s="18" t="str">
        <f aca="false">IF(T227&gt;0,100*S227/T227,"")</f>
        <v/>
      </c>
      <c r="AK227" s="18" t="n">
        <f aca="false">IFERROR(100*U227/G227,"")</f>
        <v>0.619253411177981</v>
      </c>
      <c r="AL227" s="18" t="n">
        <f aca="false">IFERROR(100*J227/H227,"")</f>
        <v>62.5389312724444</v>
      </c>
      <c r="AM227" s="18" t="n">
        <f aca="false">IFERROR(100*L227/J227,"")</f>
        <v>98.4572801558068</v>
      </c>
      <c r="AN227" s="18" t="n">
        <f aca="false">IFERROR(100*M227/J227,"")</f>
        <v>0</v>
      </c>
      <c r="AO227" s="18" t="n">
        <f aca="false">IFERROR(100*N227/J227,"")</f>
        <v>1.01030949659173</v>
      </c>
    </row>
    <row r="228" customFormat="false" ht="15" hidden="false" customHeight="false" outlineLevel="0" collapsed="false">
      <c r="A228" s="17" t="n">
        <v>17443</v>
      </c>
      <c r="B228" s="23" t="n">
        <v>44742</v>
      </c>
      <c r="C228" s="17" t="s">
        <v>132</v>
      </c>
      <c r="D228" s="17" t="s">
        <v>116</v>
      </c>
      <c r="E228" s="17" t="s">
        <v>118</v>
      </c>
      <c r="F228" s="17" t="n">
        <v>353376</v>
      </c>
      <c r="G228" s="17" t="n">
        <v>351191.333333333</v>
      </c>
      <c r="H228" s="17" t="n">
        <v>298828</v>
      </c>
      <c r="I228" s="17" t="n">
        <v>40397</v>
      </c>
      <c r="J228" s="17" t="n">
        <v>190487</v>
      </c>
      <c r="K228" s="17" t="n">
        <v>187726.333333333</v>
      </c>
      <c r="L228" s="17" t="n">
        <v>188077</v>
      </c>
      <c r="M228" s="17" t="n">
        <v>0</v>
      </c>
      <c r="N228" s="17" t="n">
        <v>1410</v>
      </c>
      <c r="O228" s="17" t="n">
        <v>178</v>
      </c>
      <c r="P228" s="17" t="n">
        <v>141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2122</v>
      </c>
      <c r="V228" s="17" t="n">
        <v>0.604229033746087</v>
      </c>
      <c r="W228" s="17" t="n">
        <v>4.86</v>
      </c>
      <c r="X228" s="17" t="n">
        <v>2.07853120419656</v>
      </c>
      <c r="Y228" s="17" t="n">
        <v>0.851501677279814</v>
      </c>
      <c r="Z228" s="17" t="n">
        <v>0</v>
      </c>
      <c r="AA228" s="17" t="n">
        <v>11.4317327718917</v>
      </c>
      <c r="AB228" s="17"/>
      <c r="AC228" s="17"/>
      <c r="AD228" s="17"/>
      <c r="AE228" s="17"/>
      <c r="AF228" s="17"/>
      <c r="AG228" s="18" t="n">
        <f aca="false">IFERROR(100*O228/F228,"")</f>
        <v>0.0503712759213982</v>
      </c>
      <c r="AH228" s="18" t="n">
        <f aca="false">IFERROR(100*(P228+Q228)/F228,"")</f>
        <v>0.0399008421624559</v>
      </c>
      <c r="AI228" s="18" t="n">
        <f aca="false">IFERROR(100*R228/K228,"")</f>
        <v>0</v>
      </c>
      <c r="AJ228" s="18" t="str">
        <f aca="false">IF(T228&gt;0,100*S228/T228,"")</f>
        <v/>
      </c>
      <c r="AK228" s="18" t="n">
        <f aca="false">IFERROR(100*U228/G228,"")</f>
        <v>0.604229033746087</v>
      </c>
      <c r="AL228" s="18" t="n">
        <f aca="false">IFERROR(100*J228/H228,"")</f>
        <v>63.7446959454937</v>
      </c>
      <c r="AM228" s="18" t="n">
        <f aca="false">IFERROR(100*L228/J228,"")</f>
        <v>98.7348217988629</v>
      </c>
      <c r="AN228" s="18" t="n">
        <f aca="false">IFERROR(100*M228/J228,"")</f>
        <v>0</v>
      </c>
      <c r="AO228" s="18" t="n">
        <f aca="false">IFERROR(100*N228/J228,"")</f>
        <v>0.740207993196386</v>
      </c>
    </row>
    <row r="229" customFormat="false" ht="15" hidden="false" customHeight="false" outlineLevel="0" collapsed="false">
      <c r="A229" s="17" t="n">
        <v>17443</v>
      </c>
      <c r="B229" s="23" t="n">
        <v>44834</v>
      </c>
      <c r="C229" s="17" t="s">
        <v>132</v>
      </c>
      <c r="D229" s="17" t="s">
        <v>116</v>
      </c>
      <c r="E229" s="17" t="s">
        <v>118</v>
      </c>
      <c r="F229" s="17" t="n">
        <v>357184</v>
      </c>
      <c r="G229" s="17" t="n">
        <v>352689.5</v>
      </c>
      <c r="H229" s="17" t="n">
        <v>318685</v>
      </c>
      <c r="I229" s="17" t="n">
        <v>37316</v>
      </c>
      <c r="J229" s="17" t="n">
        <v>201839</v>
      </c>
      <c r="K229" s="17" t="n">
        <v>191254.5</v>
      </c>
      <c r="L229" s="17" t="n">
        <v>199865</v>
      </c>
      <c r="M229" s="17" t="n">
        <v>0</v>
      </c>
      <c r="N229" s="17" t="n">
        <v>954</v>
      </c>
      <c r="O229" s="17" t="n">
        <v>390</v>
      </c>
      <c r="P229" s="17" t="n">
        <v>254</v>
      </c>
      <c r="Q229" s="17" t="n">
        <v>0</v>
      </c>
      <c r="R229" s="17" t="n">
        <v>0</v>
      </c>
      <c r="S229" s="17" t="n">
        <v>0</v>
      </c>
      <c r="T229" s="17" t="n">
        <v>0</v>
      </c>
      <c r="U229" s="17" t="n">
        <v>1934.6183</v>
      </c>
      <c r="V229" s="17" t="n">
        <v>0.548533001407754</v>
      </c>
      <c r="W229" s="17" t="n">
        <v>4.6</v>
      </c>
      <c r="X229" s="17" t="n">
        <v>2.10360140968621</v>
      </c>
      <c r="Y229" s="17" t="n">
        <v>0.853155237590357</v>
      </c>
      <c r="Z229" s="17" t="n">
        <v>0</v>
      </c>
      <c r="AA229" s="17" t="n">
        <v>10.4472764737502</v>
      </c>
      <c r="AB229" s="17"/>
      <c r="AC229" s="17"/>
      <c r="AD229" s="17"/>
      <c r="AE229" s="17"/>
      <c r="AF229" s="17"/>
      <c r="AG229" s="18" t="n">
        <f aca="false">IFERROR(100*O229/F229,"")</f>
        <v>0.109187421609031</v>
      </c>
      <c r="AH229" s="18" t="n">
        <f aca="false">IFERROR(100*(P229+Q229)/F229,"")</f>
        <v>0.0711118079197277</v>
      </c>
      <c r="AI229" s="18" t="n">
        <f aca="false">IFERROR(100*R229/K229,"")</f>
        <v>0</v>
      </c>
      <c r="AJ229" s="18" t="str">
        <f aca="false">IF(T229&gt;0,100*S229/T229,"")</f>
        <v/>
      </c>
      <c r="AK229" s="18" t="n">
        <f aca="false">IFERROR(100*U229/G229,"")</f>
        <v>0.548533001407754</v>
      </c>
      <c r="AL229" s="18" t="n">
        <f aca="false">IFERROR(100*J229/H229,"")</f>
        <v>63.334954578973</v>
      </c>
      <c r="AM229" s="18" t="n">
        <f aca="false">IFERROR(100*L229/J229,"")</f>
        <v>99.0219927764208</v>
      </c>
      <c r="AN229" s="18" t="n">
        <f aca="false">IFERROR(100*M229/J229,"")</f>
        <v>0</v>
      </c>
      <c r="AO229" s="18" t="n">
        <f aca="false">IFERROR(100*N229/J229,"")</f>
        <v>0.472653946957724</v>
      </c>
    </row>
    <row r="230" customFormat="false" ht="15" hidden="false" customHeight="false" outlineLevel="0" collapsed="false">
      <c r="A230" s="17" t="n">
        <v>17443</v>
      </c>
      <c r="B230" s="23" t="n">
        <v>44926</v>
      </c>
      <c r="C230" s="17" t="s">
        <v>132</v>
      </c>
      <c r="D230" s="17" t="s">
        <v>116</v>
      </c>
      <c r="E230" s="17" t="s">
        <v>118</v>
      </c>
      <c r="F230" s="17" t="n">
        <v>380965</v>
      </c>
      <c r="G230" s="17" t="n">
        <v>358344.6</v>
      </c>
      <c r="H230" s="17" t="n">
        <v>341206</v>
      </c>
      <c r="I230" s="17" t="n">
        <v>38509</v>
      </c>
      <c r="J230" s="17" t="n">
        <v>206549</v>
      </c>
      <c r="K230" s="17" t="n">
        <v>194313.4</v>
      </c>
      <c r="L230" s="17" t="n">
        <v>204563</v>
      </c>
      <c r="M230" s="17" t="n">
        <v>0</v>
      </c>
      <c r="N230" s="17" t="n">
        <v>969</v>
      </c>
      <c r="O230" s="17" t="n">
        <v>286</v>
      </c>
      <c r="P230" s="17" t="n">
        <v>523</v>
      </c>
      <c r="Q230" s="17" t="n">
        <v>0</v>
      </c>
      <c r="R230" s="17" t="n">
        <v>0</v>
      </c>
      <c r="S230" s="17" t="n">
        <v>0</v>
      </c>
      <c r="T230" s="17" t="n">
        <v>0</v>
      </c>
      <c r="U230" s="17" t="n">
        <v>1549</v>
      </c>
      <c r="V230" s="17" t="n">
        <v>0.432265478536582</v>
      </c>
      <c r="W230" s="17" t="n">
        <v>3.75</v>
      </c>
      <c r="X230" s="17" t="n">
        <v>2.04936413046113</v>
      </c>
      <c r="Y230" s="17" t="n">
        <v>0.853066342611196</v>
      </c>
      <c r="Z230" s="17" t="n">
        <v>0</v>
      </c>
      <c r="AA230" s="17" t="n">
        <v>10.1082776633024</v>
      </c>
      <c r="AB230" s="17"/>
      <c r="AC230" s="17"/>
      <c r="AD230" s="17"/>
      <c r="AE230" s="17"/>
      <c r="AF230" s="17"/>
      <c r="AG230" s="18" t="n">
        <f aca="false">IFERROR(100*O230/F230,"")</f>
        <v>0.0750725132229995</v>
      </c>
      <c r="AH230" s="18" t="n">
        <f aca="false">IFERROR(100*(P230+Q230)/F230,"")</f>
        <v>0.137282952502198</v>
      </c>
      <c r="AI230" s="18" t="n">
        <f aca="false">IFERROR(100*R230/K230,"")</f>
        <v>0</v>
      </c>
      <c r="AJ230" s="18" t="str">
        <f aca="false">IF(T230&gt;0,100*S230/T230,"")</f>
        <v/>
      </c>
      <c r="AK230" s="18" t="n">
        <f aca="false">IFERROR(100*U230/G230,"")</f>
        <v>0.432265478536582</v>
      </c>
      <c r="AL230" s="18" t="n">
        <f aca="false">IFERROR(100*J230/H230,"")</f>
        <v>60.5349847306319</v>
      </c>
      <c r="AM230" s="18" t="n">
        <f aca="false">IFERROR(100*L230/J230,"")</f>
        <v>99.0384848147413</v>
      </c>
      <c r="AN230" s="18" t="n">
        <f aca="false">IFERROR(100*M230/J230,"")</f>
        <v>0</v>
      </c>
      <c r="AO230" s="18" t="n">
        <f aca="false">IFERROR(100*N230/J230,"")</f>
        <v>0.469138073774262</v>
      </c>
    </row>
    <row r="231" customFormat="false" ht="15" hidden="false" customHeight="false" outlineLevel="0" collapsed="false">
      <c r="A231" s="17" t="n">
        <v>17443</v>
      </c>
      <c r="B231" s="23" t="n">
        <v>45016</v>
      </c>
      <c r="C231" s="17" t="s">
        <v>132</v>
      </c>
      <c r="D231" s="17" t="s">
        <v>116</v>
      </c>
      <c r="E231" s="17" t="s">
        <v>118</v>
      </c>
      <c r="F231" s="17" t="n">
        <v>371402</v>
      </c>
      <c r="G231" s="17" t="n">
        <v>376183.5</v>
      </c>
      <c r="H231" s="17" t="n">
        <v>330910</v>
      </c>
      <c r="I231" s="17" t="n">
        <v>39228</v>
      </c>
      <c r="J231" s="17" t="n">
        <v>208618</v>
      </c>
      <c r="K231" s="17" t="n">
        <v>207583.5</v>
      </c>
      <c r="L231" s="17" t="n">
        <v>206692</v>
      </c>
      <c r="M231" s="17" t="n">
        <v>0</v>
      </c>
      <c r="N231" s="17" t="n">
        <v>927</v>
      </c>
      <c r="O231" s="17" t="n">
        <v>250</v>
      </c>
      <c r="P231" s="17" t="n">
        <v>520</v>
      </c>
      <c r="Q231" s="17" t="n">
        <v>0</v>
      </c>
      <c r="R231" s="17" t="n">
        <v>0</v>
      </c>
      <c r="S231" s="17" t="n">
        <v>0</v>
      </c>
      <c r="T231" s="17" t="n">
        <v>0</v>
      </c>
      <c r="U231" s="17" t="n">
        <v>388</v>
      </c>
      <c r="V231" s="17" t="n">
        <v>0.103141153187208</v>
      </c>
      <c r="W231" s="17" t="n">
        <v>1</v>
      </c>
      <c r="X231" s="17" t="n">
        <v>1.74122890578543</v>
      </c>
      <c r="Y231" s="17" t="n">
        <v>0.829746234744845</v>
      </c>
      <c r="Z231" s="17" t="n">
        <v>0</v>
      </c>
      <c r="AA231" s="17" t="n">
        <v>10.5621402146461</v>
      </c>
      <c r="AB231" s="17" t="n">
        <v>5.43555095030588</v>
      </c>
      <c r="AC231" s="17" t="n">
        <v>10.4079342901901</v>
      </c>
      <c r="AD231" s="17" t="n">
        <v>9.52388832806528</v>
      </c>
      <c r="AE231" s="17" t="n">
        <v>-0.516112257990773</v>
      </c>
      <c r="AF231" s="17" t="n">
        <v>-0.171718875773845</v>
      </c>
      <c r="AG231" s="18" t="n">
        <f aca="false">IFERROR(100*O231/F231,"")</f>
        <v>0.0673125077409384</v>
      </c>
      <c r="AH231" s="18" t="n">
        <f aca="false">IFERROR(100*(P231+Q231)/F231,"")</f>
        <v>0.140010016101152</v>
      </c>
      <c r="AI231" s="18" t="n">
        <f aca="false">IFERROR(100*R231/K231,"")</f>
        <v>0</v>
      </c>
      <c r="AJ231" s="18" t="str">
        <f aca="false">IF(T231&gt;0,100*S231/T231,"")</f>
        <v/>
      </c>
      <c r="AK231" s="18" t="n">
        <f aca="false">IFERROR(100*U231/G231,"")</f>
        <v>0.103141153187208</v>
      </c>
      <c r="AL231" s="18" t="n">
        <f aca="false">IFERROR(100*J231/H231,"")</f>
        <v>63.0437279018464</v>
      </c>
      <c r="AM231" s="18" t="n">
        <f aca="false">IFERROR(100*L231/J231,"")</f>
        <v>99.0767814857778</v>
      </c>
      <c r="AN231" s="18" t="n">
        <f aca="false">IFERROR(100*M231/J231,"")</f>
        <v>0</v>
      </c>
      <c r="AO231" s="18" t="n">
        <f aca="false">IFERROR(100*N231/J231,"")</f>
        <v>0.444352836284501</v>
      </c>
    </row>
    <row r="232" customFormat="false" ht="15" hidden="false" customHeight="false" outlineLevel="0" collapsed="false">
      <c r="A232" s="17" t="n">
        <v>17443</v>
      </c>
      <c r="B232" s="23" t="n">
        <v>45107</v>
      </c>
      <c r="C232" s="17" t="s">
        <v>132</v>
      </c>
      <c r="D232" s="17" t="s">
        <v>116</v>
      </c>
      <c r="E232" s="17" t="s">
        <v>118</v>
      </c>
      <c r="F232" s="17" t="n">
        <v>360577</v>
      </c>
      <c r="G232" s="17" t="n">
        <v>370981.333333333</v>
      </c>
      <c r="H232" s="17" t="n">
        <v>321273</v>
      </c>
      <c r="I232" s="17" t="n">
        <v>38058</v>
      </c>
      <c r="J232" s="17" t="n">
        <v>212528</v>
      </c>
      <c r="K232" s="17" t="n">
        <v>209231.666666667</v>
      </c>
      <c r="L232" s="17" t="n">
        <v>210812</v>
      </c>
      <c r="M232" s="17" t="n">
        <v>0</v>
      </c>
      <c r="N232" s="17" t="n">
        <v>716</v>
      </c>
      <c r="O232" s="17" t="n">
        <v>109</v>
      </c>
      <c r="P232" s="17" t="n">
        <v>1208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366</v>
      </c>
      <c r="V232" s="17" t="n">
        <v>0.0986572549921649</v>
      </c>
      <c r="W232" s="17" t="n">
        <v>0.95</v>
      </c>
      <c r="X232" s="17" t="n">
        <v>1.66288900108496</v>
      </c>
      <c r="Y232" s="17" t="n">
        <v>0.82624407136942</v>
      </c>
      <c r="Z232" s="17" t="n">
        <v>0</v>
      </c>
      <c r="AA232" s="17" t="n">
        <v>10.5547497483201</v>
      </c>
      <c r="AB232" s="17" t="n">
        <v>2.03777279724713</v>
      </c>
      <c r="AC232" s="17" t="n">
        <v>11.570868353221</v>
      </c>
      <c r="AD232" s="17" t="n">
        <v>7.51100967780798</v>
      </c>
      <c r="AE232" s="17" t="n">
        <v>-0.505571778753922</v>
      </c>
      <c r="AF232" s="17" t="n">
        <v>-0.0201419490369879</v>
      </c>
      <c r="AG232" s="18" t="n">
        <f aca="false">IFERROR(100*O232/F232,"")</f>
        <v>0.0302293268844103</v>
      </c>
      <c r="AH232" s="18" t="n">
        <f aca="false">IFERROR(100*(P232+Q232)/F232,"")</f>
        <v>0.335018595196033</v>
      </c>
      <c r="AI232" s="18" t="n">
        <f aca="false">IFERROR(100*R232/K232,"")</f>
        <v>0</v>
      </c>
      <c r="AJ232" s="18" t="str">
        <f aca="false">IF(T232&gt;0,100*S232/T232,"")</f>
        <v/>
      </c>
      <c r="AK232" s="18" t="n">
        <f aca="false">IFERROR(100*U232/G232,"")</f>
        <v>0.0986572549921649</v>
      </c>
      <c r="AL232" s="18" t="n">
        <f aca="false">IFERROR(100*J232/H232,"")</f>
        <v>66.1518397126431</v>
      </c>
      <c r="AM232" s="18" t="n">
        <f aca="false">IFERROR(100*L232/J232,"")</f>
        <v>99.1925769780923</v>
      </c>
      <c r="AN232" s="18" t="n">
        <f aca="false">IFERROR(100*M232/J232,"")</f>
        <v>0</v>
      </c>
      <c r="AO232" s="18" t="n">
        <f aca="false">IFERROR(100*N232/J232,"")</f>
        <v>0.336896785364752</v>
      </c>
    </row>
    <row r="233" customFormat="false" ht="15" hidden="false" customHeight="false" outlineLevel="0" collapsed="false">
      <c r="A233" s="17" t="n">
        <v>17443</v>
      </c>
      <c r="B233" s="23" t="n">
        <v>45199</v>
      </c>
      <c r="C233" s="17" t="s">
        <v>132</v>
      </c>
      <c r="D233" s="17" t="s">
        <v>116</v>
      </c>
      <c r="E233" s="17" t="s">
        <v>118</v>
      </c>
      <c r="F233" s="17" t="n">
        <v>359919</v>
      </c>
      <c r="G233" s="17" t="n">
        <v>368215.75</v>
      </c>
      <c r="H233" s="17" t="n">
        <v>321726</v>
      </c>
      <c r="I233" s="17" t="n">
        <v>36888</v>
      </c>
      <c r="J233" s="17" t="n">
        <v>207388</v>
      </c>
      <c r="K233" s="17" t="n">
        <v>208770.75</v>
      </c>
      <c r="L233" s="17" t="n">
        <v>205626</v>
      </c>
      <c r="M233" s="17" t="n">
        <v>0</v>
      </c>
      <c r="N233" s="17" t="n">
        <v>761</v>
      </c>
      <c r="O233" s="17" t="n">
        <v>109</v>
      </c>
      <c r="P233" s="17" t="n">
        <v>310</v>
      </c>
      <c r="Q233" s="17" t="n">
        <v>897</v>
      </c>
      <c r="R233" s="17" t="n">
        <v>0</v>
      </c>
      <c r="S233" s="17" t="n">
        <v>0</v>
      </c>
      <c r="T233" s="17" t="n">
        <v>0</v>
      </c>
      <c r="U233" s="17" t="n">
        <v>250.6604</v>
      </c>
      <c r="V233" s="17" t="n">
        <v>0.0680743287053854</v>
      </c>
      <c r="W233" s="17" t="n">
        <v>0.66</v>
      </c>
      <c r="X233" s="17" t="n">
        <v>1.59052041879174</v>
      </c>
      <c r="Y233" s="17" t="n">
        <v>0.855883657685112</v>
      </c>
      <c r="Z233" s="17" t="n">
        <v>0</v>
      </c>
      <c r="AA233" s="17" t="n">
        <v>10.2489726855209</v>
      </c>
      <c r="AB233" s="17" t="n">
        <v>0.7657117900018</v>
      </c>
      <c r="AC233" s="17" t="n">
        <v>2.74922091369854</v>
      </c>
      <c r="AD233" s="17" t="n">
        <v>0.954233804540539</v>
      </c>
      <c r="AE233" s="17" t="n">
        <v>-0.480458672702368</v>
      </c>
      <c r="AF233" s="17" t="n">
        <v>-0.0789028297980954</v>
      </c>
      <c r="AG233" s="18" t="n">
        <f aca="false">IFERROR(100*O233/F233,"")</f>
        <v>0.0302845918109352</v>
      </c>
      <c r="AH233" s="18" t="n">
        <f aca="false">IFERROR(100*(P233+Q233)/F233,"")</f>
        <v>0.335353232255035</v>
      </c>
      <c r="AI233" s="18" t="n">
        <f aca="false">IFERROR(100*R233/K233,"")</f>
        <v>0</v>
      </c>
      <c r="AJ233" s="18" t="str">
        <f aca="false">IF(T233&gt;0,100*S233/T233,"")</f>
        <v/>
      </c>
      <c r="AK233" s="18" t="n">
        <f aca="false">IFERROR(100*U233/G233,"")</f>
        <v>0.0680743287053854</v>
      </c>
      <c r="AL233" s="18" t="n">
        <f aca="false">IFERROR(100*J233/H233,"")</f>
        <v>64.4610631406849</v>
      </c>
      <c r="AM233" s="18" t="n">
        <f aca="false">IFERROR(100*L233/J233,"")</f>
        <v>99.150384786005</v>
      </c>
      <c r="AN233" s="18" t="n">
        <f aca="false">IFERROR(100*M233/J233,"")</f>
        <v>0</v>
      </c>
      <c r="AO233" s="18" t="n">
        <f aca="false">IFERROR(100*N233/J233,"")</f>
        <v>0.366945049858237</v>
      </c>
    </row>
    <row r="234" customFormat="false" ht="15" hidden="false" customHeight="false" outlineLevel="0" collapsed="false">
      <c r="A234" s="17" t="n">
        <v>17443</v>
      </c>
      <c r="B234" s="23" t="n">
        <v>45291</v>
      </c>
      <c r="C234" s="17" t="s">
        <v>132</v>
      </c>
      <c r="D234" s="17" t="s">
        <v>116</v>
      </c>
      <c r="E234" s="17" t="s">
        <v>118</v>
      </c>
      <c r="F234" s="17" t="n">
        <v>351163</v>
      </c>
      <c r="G234" s="17" t="n">
        <v>364805.2</v>
      </c>
      <c r="H234" s="17" t="n">
        <v>309824</v>
      </c>
      <c r="I234" s="17" t="n">
        <v>40157</v>
      </c>
      <c r="J234" s="17" t="n">
        <v>205058</v>
      </c>
      <c r="K234" s="17" t="n">
        <v>208028.2</v>
      </c>
      <c r="L234" s="17" t="n">
        <v>203264</v>
      </c>
      <c r="M234" s="17" t="n">
        <v>0</v>
      </c>
      <c r="N234" s="17" t="n">
        <v>794</v>
      </c>
      <c r="O234" s="17" t="n">
        <v>173</v>
      </c>
      <c r="P234" s="17" t="n">
        <v>1121</v>
      </c>
      <c r="Q234" s="17" t="n">
        <v>0</v>
      </c>
      <c r="R234" s="17" t="n">
        <v>0</v>
      </c>
      <c r="S234" s="17" t="n">
        <v>0</v>
      </c>
      <c r="T234" s="17" t="n">
        <v>0</v>
      </c>
      <c r="U234" s="17" t="n">
        <v>41</v>
      </c>
      <c r="V234" s="17" t="n">
        <v>0.0112388748844589</v>
      </c>
      <c r="W234" s="17" t="n">
        <v>0.11</v>
      </c>
      <c r="X234" s="17" t="n">
        <v>1.55712530163154</v>
      </c>
      <c r="Y234" s="17" t="n">
        <v>0.833910405836398</v>
      </c>
      <c r="Z234" s="17" t="n">
        <v>0</v>
      </c>
      <c r="AA234" s="17" t="n">
        <v>11.4354302702734</v>
      </c>
      <c r="AB234" s="17" t="n">
        <v>-7.82276587088053</v>
      </c>
      <c r="AC234" s="17" t="n">
        <v>-0.72186260887247</v>
      </c>
      <c r="AD234" s="17" t="n">
        <v>-9.19737636501117</v>
      </c>
      <c r="AE234" s="17" t="n">
        <v>-0.421026603652123</v>
      </c>
      <c r="AF234" s="17" t="n">
        <v>-0.0258076419239162</v>
      </c>
      <c r="AG234" s="18" t="n">
        <f aca="false">IFERROR(100*O234/F234,"")</f>
        <v>0.0492648712990833</v>
      </c>
      <c r="AH234" s="18" t="n">
        <f aca="false">IFERROR(100*(P234+Q234)/F234,"")</f>
        <v>0.319224975296372</v>
      </c>
      <c r="AI234" s="18" t="n">
        <f aca="false">IFERROR(100*R234/K234,"")</f>
        <v>0</v>
      </c>
      <c r="AJ234" s="18" t="str">
        <f aca="false">IF(T234&gt;0,100*S234/T234,"")</f>
        <v/>
      </c>
      <c r="AK234" s="18" t="n">
        <f aca="false">IFERROR(100*U234/G234,"")</f>
        <v>0.0112388748844589</v>
      </c>
      <c r="AL234" s="18" t="n">
        <f aca="false">IFERROR(100*J234/H234,"")</f>
        <v>66.1853181160917</v>
      </c>
      <c r="AM234" s="18" t="n">
        <f aca="false">IFERROR(100*L234/J234,"")</f>
        <v>99.1251255742278</v>
      </c>
      <c r="AN234" s="18" t="n">
        <f aca="false">IFERROR(100*M234/J234,"")</f>
        <v>0</v>
      </c>
      <c r="AO234" s="18" t="n">
        <f aca="false">IFERROR(100*N234/J234,"")</f>
        <v>0.387207521774327</v>
      </c>
    </row>
    <row r="235" customFormat="false" ht="15" hidden="false" customHeight="false" outlineLevel="0" collapsed="false">
      <c r="A235" s="17" t="n">
        <v>17443</v>
      </c>
      <c r="B235" s="23" t="n">
        <v>45382</v>
      </c>
      <c r="C235" s="17" t="s">
        <v>132</v>
      </c>
      <c r="D235" s="17" t="s">
        <v>116</v>
      </c>
      <c r="E235" s="17" t="s">
        <v>118</v>
      </c>
      <c r="F235" s="17" t="n">
        <v>343636</v>
      </c>
      <c r="G235" s="17" t="n">
        <v>347399.5</v>
      </c>
      <c r="H235" s="17" t="n">
        <v>303567</v>
      </c>
      <c r="I235" s="17" t="n">
        <v>38886</v>
      </c>
      <c r="J235" s="17" t="n">
        <v>200566</v>
      </c>
      <c r="K235" s="17" t="n">
        <v>202812</v>
      </c>
      <c r="L235" s="17" t="n">
        <v>198841</v>
      </c>
      <c r="M235" s="17" t="n">
        <v>0</v>
      </c>
      <c r="N235" s="17" t="n">
        <v>725</v>
      </c>
      <c r="O235" s="17" t="n">
        <v>1048</v>
      </c>
      <c r="P235" s="17" t="n">
        <v>366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-1748</v>
      </c>
      <c r="V235" s="17" t="n">
        <v>-0.50316710300389</v>
      </c>
      <c r="W235" s="17" t="n">
        <v>-4.42</v>
      </c>
      <c r="X235" s="17" t="n">
        <v>1.18845740550462</v>
      </c>
      <c r="Y235" s="17" t="n">
        <v>0.825663372655385</v>
      </c>
      <c r="Z235" s="17" t="n">
        <v>0</v>
      </c>
      <c r="AA235" s="17" t="n">
        <v>11.3160437206812</v>
      </c>
      <c r="AB235" s="17" t="n">
        <v>-7.47599635973958</v>
      </c>
      <c r="AC235" s="17" t="n">
        <v>-3.85968612487897</v>
      </c>
      <c r="AD235" s="17" t="n">
        <v>-8.26297180502251</v>
      </c>
      <c r="AE235" s="17" t="n">
        <v>-0.606308256191098</v>
      </c>
      <c r="AF235" s="17" t="n">
        <v>0.237661359956276</v>
      </c>
      <c r="AG235" s="18" t="n">
        <f aca="false">IFERROR(100*O235/F235,"")</f>
        <v>0.304973867697215</v>
      </c>
      <c r="AH235" s="18" t="n">
        <f aca="false">IFERROR(100*(P235+Q235)/F235,"")</f>
        <v>0.106508049214867</v>
      </c>
      <c r="AI235" s="18" t="n">
        <f aca="false">IFERROR(100*R235/K235,"")</f>
        <v>0</v>
      </c>
      <c r="AJ235" s="18" t="str">
        <f aca="false">IF(T235&gt;0,100*S235/T235,"")</f>
        <v/>
      </c>
      <c r="AK235" s="18" t="n">
        <f aca="false">IFERROR(100*U235/G235,"")</f>
        <v>-0.50316710300389</v>
      </c>
      <c r="AL235" s="18" t="n">
        <f aca="false">IFERROR(100*J235/H235,"")</f>
        <v>66.0697638412607</v>
      </c>
      <c r="AM235" s="18" t="n">
        <f aca="false">IFERROR(100*L235/J235,"")</f>
        <v>99.1399339868173</v>
      </c>
      <c r="AN235" s="18" t="n">
        <f aca="false">IFERROR(100*M235/J235,"")</f>
        <v>0</v>
      </c>
      <c r="AO235" s="18" t="n">
        <f aca="false">IFERROR(100*N235/J235,"")</f>
        <v>0.361477020033306</v>
      </c>
    </row>
    <row r="236" customFormat="false" ht="15" hidden="false" customHeight="false" outlineLevel="0" collapsed="false">
      <c r="A236" s="17" t="n">
        <v>17443</v>
      </c>
      <c r="B236" s="23" t="n">
        <v>45473</v>
      </c>
      <c r="C236" s="17" t="s">
        <v>132</v>
      </c>
      <c r="D236" s="17" t="s">
        <v>116</v>
      </c>
      <c r="E236" s="17" t="s">
        <v>118</v>
      </c>
      <c r="F236" s="17" t="n">
        <v>365097</v>
      </c>
      <c r="G236" s="17" t="n">
        <v>353298.666666667</v>
      </c>
      <c r="H236" s="17" t="n">
        <v>300117</v>
      </c>
      <c r="I236" s="17" t="n">
        <v>38871</v>
      </c>
      <c r="J236" s="17" t="n">
        <v>200580</v>
      </c>
      <c r="K236" s="17" t="n">
        <v>202068</v>
      </c>
      <c r="L236" s="17" t="n">
        <v>198905</v>
      </c>
      <c r="M236" s="17" t="n">
        <v>0</v>
      </c>
      <c r="N236" s="17" t="n">
        <v>675</v>
      </c>
      <c r="O236" s="17" t="n">
        <v>1042</v>
      </c>
      <c r="P236" s="17" t="n">
        <v>375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-672</v>
      </c>
      <c r="V236" s="17" t="n">
        <v>-0.190207341097617</v>
      </c>
      <c r="W236" s="17" t="n">
        <v>-1.71</v>
      </c>
      <c r="X236" s="17" t="n">
        <v>1.18436879928444</v>
      </c>
      <c r="Y236" s="17" t="n">
        <v>0.793698275002493</v>
      </c>
      <c r="Z236" s="17" t="n">
        <v>0</v>
      </c>
      <c r="AA236" s="17" t="n">
        <v>10.6467596282632</v>
      </c>
      <c r="AB236" s="17" t="n">
        <v>1.25354639924344</v>
      </c>
      <c r="AC236" s="17" t="n">
        <v>-5.62184747421516</v>
      </c>
      <c r="AD236" s="17" t="n">
        <v>-6.5850538327217</v>
      </c>
      <c r="AE236" s="17" t="n">
        <v>-0.288864596089782</v>
      </c>
      <c r="AF236" s="17" t="n">
        <v>0.255174278184928</v>
      </c>
      <c r="AG236" s="18" t="n">
        <f aca="false">IFERROR(100*O236/F236,"")</f>
        <v>0.285403605069338</v>
      </c>
      <c r="AH236" s="18" t="n">
        <f aca="false">IFERROR(100*(P236+Q236)/F236,"")</f>
        <v>0.10271242984741</v>
      </c>
      <c r="AI236" s="18" t="n">
        <f aca="false">IFERROR(100*R236/K236,"")</f>
        <v>0</v>
      </c>
      <c r="AJ236" s="18" t="str">
        <f aca="false">IF(T236&gt;0,100*S236/T236,"")</f>
        <v/>
      </c>
      <c r="AK236" s="18" t="n">
        <f aca="false">IFERROR(100*U236/G236,"")</f>
        <v>-0.190207341097617</v>
      </c>
      <c r="AL236" s="18" t="n">
        <f aca="false">IFERROR(100*J236/H236,"")</f>
        <v>66.8339347654415</v>
      </c>
      <c r="AM236" s="18" t="n">
        <f aca="false">IFERROR(100*L236/J236,"")</f>
        <v>99.1649217269917</v>
      </c>
      <c r="AN236" s="18" t="n">
        <f aca="false">IFERROR(100*M236/J236,"")</f>
        <v>0</v>
      </c>
      <c r="AO236" s="18" t="n">
        <f aca="false">IFERROR(100*N236/J236,"")</f>
        <v>0.336524080167514</v>
      </c>
    </row>
    <row r="237" customFormat="false" ht="15" hidden="false" customHeight="false" outlineLevel="0" collapsed="false">
      <c r="A237" s="17" t="n">
        <v>17443</v>
      </c>
      <c r="B237" s="23" t="n">
        <v>45565</v>
      </c>
      <c r="C237" s="17" t="s">
        <v>132</v>
      </c>
      <c r="D237" s="17" t="s">
        <v>116</v>
      </c>
      <c r="E237" s="17" t="s">
        <v>118</v>
      </c>
      <c r="F237" s="17" t="n">
        <v>366752</v>
      </c>
      <c r="G237" s="17" t="n">
        <v>356662</v>
      </c>
      <c r="H237" s="17" t="n">
        <v>299271</v>
      </c>
      <c r="I237" s="17" t="n">
        <v>41324</v>
      </c>
      <c r="J237" s="17" t="n">
        <v>197179</v>
      </c>
      <c r="K237" s="17" t="n">
        <v>200845.75</v>
      </c>
      <c r="L237" s="17" t="n">
        <v>195221</v>
      </c>
      <c r="M237" s="17" t="n">
        <v>0</v>
      </c>
      <c r="N237" s="17" t="n">
        <v>958</v>
      </c>
      <c r="O237" s="17" t="n">
        <v>1019</v>
      </c>
      <c r="P237" s="17" t="n">
        <v>1323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-650.6504</v>
      </c>
      <c r="V237" s="17" t="n">
        <v>-0.182427732699306</v>
      </c>
      <c r="W237" s="17" t="n">
        <v>-1.63</v>
      </c>
      <c r="X237" s="17" t="n">
        <v>1.1639677406299</v>
      </c>
      <c r="Y237" s="17" t="n">
        <v>0.765294478620949</v>
      </c>
      <c r="Z237" s="17" t="n">
        <v>0</v>
      </c>
      <c r="AA237" s="17" t="n">
        <v>11.2675595497775</v>
      </c>
      <c r="AB237" s="17" t="n">
        <v>1.89848271416624</v>
      </c>
      <c r="AC237" s="17" t="n">
        <v>-4.92265704862384</v>
      </c>
      <c r="AD237" s="17" t="n">
        <v>-6.97954159750844</v>
      </c>
      <c r="AE237" s="17" t="n">
        <v>-0.250502061404692</v>
      </c>
      <c r="AF237" s="17" t="n">
        <v>0.247559837121968</v>
      </c>
      <c r="AG237" s="18" t="n">
        <f aca="false">IFERROR(100*O237/F237,"")</f>
        <v>0.277844428932903</v>
      </c>
      <c r="AH237" s="18" t="n">
        <f aca="false">IFERROR(100*(P237+Q237)/F237,"")</f>
        <v>0.360734229124858</v>
      </c>
      <c r="AI237" s="18" t="n">
        <f aca="false">IFERROR(100*R237/K237,"")</f>
        <v>0</v>
      </c>
      <c r="AJ237" s="18" t="str">
        <f aca="false">IF(T237&gt;0,100*S237/T237,"")</f>
        <v/>
      </c>
      <c r="AK237" s="18" t="n">
        <f aca="false">IFERROR(100*U237/G237,"")</f>
        <v>-0.182427732699306</v>
      </c>
      <c r="AL237" s="18" t="n">
        <f aca="false">IFERROR(100*J237/H237,"")</f>
        <v>65.8864373761574</v>
      </c>
      <c r="AM237" s="18" t="n">
        <f aca="false">IFERROR(100*L237/J237,"")</f>
        <v>99.0069936453679</v>
      </c>
      <c r="AN237" s="18" t="n">
        <f aca="false">IFERROR(100*M237/J237,"")</f>
        <v>0</v>
      </c>
      <c r="AO237" s="18" t="n">
        <f aca="false">IFERROR(100*N237/J237,"")</f>
        <v>0.485852955943584</v>
      </c>
    </row>
    <row r="238" customFormat="false" ht="15" hidden="false" customHeight="false" outlineLevel="0" collapsed="false">
      <c r="A238" s="17" t="n">
        <v>17443</v>
      </c>
      <c r="B238" s="23" t="n">
        <v>45657</v>
      </c>
      <c r="C238" s="17" t="s">
        <v>132</v>
      </c>
      <c r="D238" s="17" t="s">
        <v>116</v>
      </c>
      <c r="E238" s="17" t="s">
        <v>118</v>
      </c>
      <c r="F238" s="17" t="n">
        <v>362004</v>
      </c>
      <c r="G238" s="17" t="n">
        <v>357730.4</v>
      </c>
      <c r="H238" s="17" t="n">
        <v>296951</v>
      </c>
      <c r="I238" s="17" t="n">
        <v>38929</v>
      </c>
      <c r="J238" s="17" t="n">
        <v>198189</v>
      </c>
      <c r="K238" s="17" t="n">
        <v>200314.4</v>
      </c>
      <c r="L238" s="17" t="n">
        <v>196227</v>
      </c>
      <c r="M238" s="17" t="n">
        <v>0</v>
      </c>
      <c r="N238" s="17" t="n">
        <v>962</v>
      </c>
      <c r="O238" s="17" t="n">
        <v>1097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-809</v>
      </c>
      <c r="V238" s="17" t="n">
        <v>-0.226147959468919</v>
      </c>
      <c r="W238" s="17" t="n">
        <v>-2.04</v>
      </c>
      <c r="X238" s="17" t="n">
        <v>1.17054146452008</v>
      </c>
      <c r="Y238" s="17" t="n">
        <v>0.758871582176609</v>
      </c>
      <c r="Z238" s="17" t="n">
        <v>0</v>
      </c>
      <c r="AA238" s="17" t="n">
        <v>10.7537485773638</v>
      </c>
      <c r="AB238" s="17" t="n">
        <v>3.08717034539516</v>
      </c>
      <c r="AC238" s="17" t="n">
        <v>-3.34978396356153</v>
      </c>
      <c r="AD238" s="17" t="n">
        <v>-4.15493957859946</v>
      </c>
      <c r="AE238" s="17" t="n">
        <v>-0.237386834353377</v>
      </c>
      <c r="AF238" s="17" t="n">
        <v>0.25377045427743</v>
      </c>
      <c r="AG238" s="18" t="n">
        <f aca="false">IFERROR(100*O238/F238,"")</f>
        <v>0.303035325576513</v>
      </c>
      <c r="AH238" s="18" t="n">
        <f aca="false">IFERROR(100*(P238+Q238)/F238,"")</f>
        <v>0</v>
      </c>
      <c r="AI238" s="18" t="n">
        <f aca="false">IFERROR(100*R238/K238,"")</f>
        <v>0</v>
      </c>
      <c r="AJ238" s="18" t="str">
        <f aca="false">IF(T238&gt;0,100*S238/T238,"")</f>
        <v/>
      </c>
      <c r="AK238" s="18" t="n">
        <f aca="false">IFERROR(100*U238/G238,"")</f>
        <v>-0.226147959468918</v>
      </c>
      <c r="AL238" s="18" t="n">
        <f aca="false">IFERROR(100*J238/H238,"")</f>
        <v>66.7413142235588</v>
      </c>
      <c r="AM238" s="18" t="n">
        <f aca="false">IFERROR(100*L238/J238,"")</f>
        <v>99.0100358748467</v>
      </c>
      <c r="AN238" s="18" t="n">
        <f aca="false">IFERROR(100*M238/J238,"")</f>
        <v>0</v>
      </c>
      <c r="AO238" s="18" t="n">
        <f aca="false">IFERROR(100*N238/J238,"")</f>
        <v>0.485395254025198</v>
      </c>
    </row>
    <row r="239" customFormat="false" ht="15" hidden="false" customHeight="false" outlineLevel="0" collapsed="false">
      <c r="A239" s="17" t="n">
        <v>17443</v>
      </c>
      <c r="B239" s="23" t="n">
        <v>45747</v>
      </c>
      <c r="C239" s="17" t="s">
        <v>132</v>
      </c>
      <c r="D239" s="17" t="s">
        <v>116</v>
      </c>
      <c r="E239" s="17" t="s">
        <v>118</v>
      </c>
      <c r="F239" s="17" t="n">
        <v>363289</v>
      </c>
      <c r="G239" s="17" t="n">
        <v>362646.5</v>
      </c>
      <c r="H239" s="17" t="n">
        <v>297631</v>
      </c>
      <c r="I239" s="17" t="n">
        <v>39494</v>
      </c>
      <c r="J239" s="17" t="n">
        <v>198505</v>
      </c>
      <c r="K239" s="17" t="n">
        <v>198347</v>
      </c>
      <c r="L239" s="17" t="n">
        <v>196634</v>
      </c>
      <c r="M239" s="17" t="n">
        <v>0</v>
      </c>
      <c r="N239" s="17" t="n">
        <v>871</v>
      </c>
      <c r="O239" s="17" t="n">
        <v>931</v>
      </c>
      <c r="P239" s="17" t="n">
        <v>1910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-1956</v>
      </c>
      <c r="V239" s="17" t="n">
        <v>-0.539368227736928</v>
      </c>
      <c r="W239" s="17" t="n">
        <v>-4.99</v>
      </c>
      <c r="X239" s="17" t="n">
        <v>1.22253760700585</v>
      </c>
      <c r="Y239" s="17" t="n">
        <v>0.792927130298985</v>
      </c>
      <c r="Z239" s="17" t="n">
        <v>0</v>
      </c>
      <c r="AA239" s="17" t="n">
        <v>10.8712347469921</v>
      </c>
      <c r="AB239" s="17" t="n">
        <v>5.71913303611962</v>
      </c>
      <c r="AC239" s="17" t="n">
        <v>-1.02759191488089</v>
      </c>
      <c r="AD239" s="17" t="n">
        <v>-1.95541676137393</v>
      </c>
      <c r="AE239" s="17" t="n">
        <v>-0.0362011247330381</v>
      </c>
      <c r="AF239" s="17" t="n">
        <v>-0.0487040659691138</v>
      </c>
      <c r="AG239" s="18" t="n">
        <f aca="false">IFERROR(100*O239/F239,"")</f>
        <v>0.256269801728101</v>
      </c>
      <c r="AH239" s="18" t="n">
        <f aca="false">IFERROR(100*(P239+Q239)/F239,"")</f>
        <v>0.525752224812752</v>
      </c>
      <c r="AI239" s="18" t="n">
        <f aca="false">IFERROR(100*R239/K239,"")</f>
        <v>0</v>
      </c>
      <c r="AJ239" s="18" t="str">
        <f aca="false">IF(T239&gt;0,100*S239/T239,"")</f>
        <v/>
      </c>
      <c r="AK239" s="18" t="n">
        <f aca="false">IFERROR(100*U239/G239,"")</f>
        <v>-0.539368227736928</v>
      </c>
      <c r="AL239" s="18" t="n">
        <f aca="false">IFERROR(100*J239/H239,"")</f>
        <v>66.6950015287386</v>
      </c>
      <c r="AM239" s="18" t="n">
        <f aca="false">IFERROR(100*L239/J239,"")</f>
        <v>99.0574544721795</v>
      </c>
      <c r="AN239" s="18" t="n">
        <f aca="false">IFERROR(100*M239/J239,"")</f>
        <v>0</v>
      </c>
      <c r="AO239" s="18" t="n">
        <f aca="false">IFERROR(100*N239/J239,"")</f>
        <v>0.43877987960001</v>
      </c>
    </row>
    <row r="240" customFormat="false" ht="15" hidden="false" customHeight="false" outlineLevel="0" collapsed="false">
      <c r="A240" s="17" t="n">
        <v>17443</v>
      </c>
      <c r="B240" s="23" t="n">
        <v>45838</v>
      </c>
      <c r="C240" s="17" t="s">
        <v>132</v>
      </c>
      <c r="D240" s="17" t="s">
        <v>116</v>
      </c>
      <c r="E240" s="17" t="s">
        <v>118</v>
      </c>
      <c r="F240" s="17" t="n">
        <v>366584</v>
      </c>
      <c r="G240" s="17" t="n">
        <v>363959</v>
      </c>
      <c r="H240" s="17" t="n">
        <v>285374</v>
      </c>
      <c r="I240" s="17" t="n">
        <v>40125</v>
      </c>
      <c r="J240" s="17" t="n">
        <v>203227</v>
      </c>
      <c r="K240" s="17" t="n">
        <v>199973.666666667</v>
      </c>
      <c r="L240" s="17" t="n">
        <v>201428</v>
      </c>
      <c r="M240" s="17" t="n">
        <v>0</v>
      </c>
      <c r="N240" s="17" t="n">
        <v>799</v>
      </c>
      <c r="O240" s="17" t="n">
        <v>22</v>
      </c>
      <c r="P240" s="17" t="n">
        <v>769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-1096</v>
      </c>
      <c r="V240" s="17" t="n">
        <v>-0.301132819905539</v>
      </c>
      <c r="W240" s="17" t="n">
        <v>-2.77</v>
      </c>
      <c r="X240" s="17" t="n">
        <v>1.29920976724489</v>
      </c>
      <c r="Y240" s="17" t="n">
        <v>0.712995812564276</v>
      </c>
      <c r="Z240" s="17" t="n">
        <v>0</v>
      </c>
      <c r="AA240" s="17" t="n">
        <v>10.9456495646291</v>
      </c>
      <c r="AB240" s="17" t="n">
        <v>0.407289021821589</v>
      </c>
      <c r="AC240" s="17" t="n">
        <v>1.3196729484495</v>
      </c>
      <c r="AD240" s="17" t="n">
        <v>-4.91241749051203</v>
      </c>
      <c r="AE240" s="17" t="n">
        <v>-0.110925478807922</v>
      </c>
      <c r="AF240" s="17" t="n">
        <v>-0.279402252037018</v>
      </c>
      <c r="AG240" s="18" t="n">
        <f aca="false">IFERROR(100*O240/F240,"")</f>
        <v>0.00600135303232001</v>
      </c>
      <c r="AH240" s="18" t="n">
        <f aca="false">IFERROR(100*(P240+Q240)/F240,"")</f>
        <v>0.209774567357004</v>
      </c>
      <c r="AI240" s="18" t="n">
        <f aca="false">IFERROR(100*R240/K240,"")</f>
        <v>0</v>
      </c>
      <c r="AJ240" s="18" t="str">
        <f aca="false">IF(T240&gt;0,100*S240/T240,"")</f>
        <v/>
      </c>
      <c r="AK240" s="18" t="n">
        <f aca="false">IFERROR(100*U240/G240,"")</f>
        <v>-0.301132819905539</v>
      </c>
      <c r="AL240" s="18" t="n">
        <f aca="false">IFERROR(100*J240/H240,"")</f>
        <v>71.2142661910335</v>
      </c>
      <c r="AM240" s="18" t="n">
        <f aca="false">IFERROR(100*L240/J240,"")</f>
        <v>99.1147829766714</v>
      </c>
      <c r="AN240" s="18" t="n">
        <f aca="false">IFERROR(100*M240/J240,"")</f>
        <v>0</v>
      </c>
      <c r="AO240" s="18" t="n">
        <f aca="false">IFERROR(100*N240/J240,"")</f>
        <v>0.393156421144828</v>
      </c>
    </row>
    <row r="241" customFormat="false" ht="15" hidden="false" customHeight="false" outlineLevel="0" collapsed="false">
      <c r="A241" s="17" t="n">
        <v>17658</v>
      </c>
      <c r="B241" s="23" t="n">
        <v>44651</v>
      </c>
      <c r="C241" s="17" t="s">
        <v>144</v>
      </c>
      <c r="D241" s="17" t="s">
        <v>108</v>
      </c>
      <c r="E241" s="17" t="s">
        <v>114</v>
      </c>
      <c r="F241" s="17" t="n">
        <v>1753308</v>
      </c>
      <c r="G241" s="17" t="n">
        <v>1755281</v>
      </c>
      <c r="H241" s="17" t="n">
        <v>1508978</v>
      </c>
      <c r="I241" s="17" t="n">
        <v>215496</v>
      </c>
      <c r="J241" s="17" t="n">
        <v>1075938</v>
      </c>
      <c r="K241" s="17" t="n">
        <v>1081923</v>
      </c>
      <c r="L241" s="17" t="n">
        <v>932001</v>
      </c>
      <c r="M241" s="17" t="n">
        <v>77695</v>
      </c>
      <c r="N241" s="17" t="n">
        <v>58315</v>
      </c>
      <c r="O241" s="17" t="n">
        <v>1019</v>
      </c>
      <c r="P241" s="17" t="n">
        <v>1175</v>
      </c>
      <c r="Q241" s="17" t="n">
        <v>152</v>
      </c>
      <c r="R241" s="17" t="n">
        <v>8</v>
      </c>
      <c r="S241" s="17" t="n">
        <v>0</v>
      </c>
      <c r="T241" s="17" t="n">
        <v>0</v>
      </c>
      <c r="U241" s="17" t="n">
        <v>15056</v>
      </c>
      <c r="V241" s="17" t="n">
        <v>0.857754399438039</v>
      </c>
      <c r="W241" s="17" t="n">
        <v>6.72</v>
      </c>
      <c r="X241" s="17" t="n">
        <v>3.35985107999514</v>
      </c>
      <c r="Y241" s="17" t="n">
        <v>0.856276105128734</v>
      </c>
      <c r="Z241" s="17" t="n">
        <v>0</v>
      </c>
      <c r="AA241" s="17" t="n">
        <v>12.2908239738825</v>
      </c>
      <c r="AB241" s="17"/>
      <c r="AC241" s="17"/>
      <c r="AD241" s="17"/>
      <c r="AE241" s="17"/>
      <c r="AF241" s="17"/>
      <c r="AG241" s="18" t="n">
        <f aca="false">IFERROR(100*O241/F241,"")</f>
        <v>0.0581187104604553</v>
      </c>
      <c r="AH241" s="18" t="n">
        <f aca="false">IFERROR(100*(P241+Q241)/F241,"")</f>
        <v>0.0756855042012014</v>
      </c>
      <c r="AI241" s="18" t="n">
        <f aca="false">IFERROR(100*R241/K241,"")</f>
        <v>0.000739424154953726</v>
      </c>
      <c r="AJ241" s="18" t="str">
        <f aca="false">IF(T241&gt;0,100*S241/T241,"")</f>
        <v/>
      </c>
      <c r="AK241" s="18" t="n">
        <f aca="false">IFERROR(100*U241/G241,"")</f>
        <v>0.857754399438039</v>
      </c>
      <c r="AL241" s="18" t="n">
        <f aca="false">IFERROR(100*J241/H241,"")</f>
        <v>71.3024311818993</v>
      </c>
      <c r="AM241" s="18" t="n">
        <f aca="false">IFERROR(100*L241/J241,"")</f>
        <v>86.6221845496674</v>
      </c>
      <c r="AN241" s="18" t="n">
        <f aca="false">IFERROR(100*M241/J241,"")</f>
        <v>7.2211409951131</v>
      </c>
      <c r="AO241" s="18" t="n">
        <f aca="false">IFERROR(100*N241/J241,"")</f>
        <v>5.41992196576383</v>
      </c>
    </row>
    <row r="242" customFormat="false" ht="15" hidden="false" customHeight="false" outlineLevel="0" collapsed="false">
      <c r="A242" s="17" t="n">
        <v>17658</v>
      </c>
      <c r="B242" s="23" t="n">
        <v>44742</v>
      </c>
      <c r="C242" s="17" t="s">
        <v>144</v>
      </c>
      <c r="D242" s="17" t="s">
        <v>108</v>
      </c>
      <c r="E242" s="17" t="s">
        <v>114</v>
      </c>
      <c r="F242" s="17" t="n">
        <v>1739201</v>
      </c>
      <c r="G242" s="17" t="n">
        <v>1749921</v>
      </c>
      <c r="H242" s="17" t="n">
        <v>1514378</v>
      </c>
      <c r="I242" s="17" t="n">
        <v>193833</v>
      </c>
      <c r="J242" s="17" t="n">
        <v>1140881</v>
      </c>
      <c r="K242" s="17" t="n">
        <v>1101575.66666667</v>
      </c>
      <c r="L242" s="17" t="n">
        <v>992175</v>
      </c>
      <c r="M242" s="17" t="n">
        <v>78762</v>
      </c>
      <c r="N242" s="17" t="n">
        <v>60843</v>
      </c>
      <c r="O242" s="17" t="n">
        <v>519</v>
      </c>
      <c r="P242" s="17" t="n">
        <v>3501</v>
      </c>
      <c r="Q242" s="17" t="n">
        <v>0</v>
      </c>
      <c r="R242" s="17" t="n">
        <v>48</v>
      </c>
      <c r="S242" s="17" t="n">
        <v>0</v>
      </c>
      <c r="T242" s="17" t="n">
        <v>0</v>
      </c>
      <c r="U242" s="17" t="n">
        <v>-2206</v>
      </c>
      <c r="V242" s="17" t="n">
        <v>-0.126062833693635</v>
      </c>
      <c r="W242" s="17" t="n">
        <v>-1.03</v>
      </c>
      <c r="X242" s="17" t="n">
        <v>3.44171180472076</v>
      </c>
      <c r="Y242" s="17" t="n">
        <v>0.812179359635229</v>
      </c>
      <c r="Z242" s="17" t="n">
        <v>0</v>
      </c>
      <c r="AA242" s="17" t="n">
        <v>11.1449452938447</v>
      </c>
      <c r="AB242" s="17"/>
      <c r="AC242" s="17"/>
      <c r="AD242" s="17"/>
      <c r="AE242" s="17"/>
      <c r="AF242" s="17"/>
      <c r="AG242" s="18" t="n">
        <f aca="false">IFERROR(100*O242/F242,"")</f>
        <v>0.0298412891896911</v>
      </c>
      <c r="AH242" s="18" t="n">
        <f aca="false">IFERROR(100*(P242+Q242)/F242,"")</f>
        <v>0.201299332279593</v>
      </c>
      <c r="AI242" s="18" t="n">
        <f aca="false">IFERROR(100*R242/K242,"")</f>
        <v>0.00435739472579732</v>
      </c>
      <c r="AJ242" s="18" t="str">
        <f aca="false">IF(T242&gt;0,100*S242/T242,"")</f>
        <v/>
      </c>
      <c r="AK242" s="18" t="n">
        <f aca="false">IFERROR(100*U242/G242,"")</f>
        <v>-0.126062833693635</v>
      </c>
      <c r="AL242" s="18" t="n">
        <f aca="false">IFERROR(100*J242/H242,"")</f>
        <v>75.3366068445263</v>
      </c>
      <c r="AM242" s="18" t="n">
        <f aca="false">IFERROR(100*L242/J242,"")</f>
        <v>86.9656870436093</v>
      </c>
      <c r="AN242" s="18" t="n">
        <f aca="false">IFERROR(100*M242/J242,"")</f>
        <v>6.90361220845995</v>
      </c>
      <c r="AO242" s="18" t="n">
        <f aca="false">IFERROR(100*N242/J242,"")</f>
        <v>5.33298389577879</v>
      </c>
    </row>
    <row r="243" customFormat="false" ht="15" hidden="false" customHeight="false" outlineLevel="0" collapsed="false">
      <c r="A243" s="17" t="n">
        <v>17658</v>
      </c>
      <c r="B243" s="23" t="n">
        <v>44834</v>
      </c>
      <c r="C243" s="17" t="s">
        <v>144</v>
      </c>
      <c r="D243" s="17" t="s">
        <v>108</v>
      </c>
      <c r="E243" s="17" t="s">
        <v>114</v>
      </c>
      <c r="F243" s="17" t="n">
        <v>1739896</v>
      </c>
      <c r="G243" s="17" t="n">
        <v>1747414.75</v>
      </c>
      <c r="H243" s="17" t="n">
        <v>1532921</v>
      </c>
      <c r="I243" s="17" t="n">
        <v>175487</v>
      </c>
      <c r="J243" s="17" t="n">
        <v>1170228</v>
      </c>
      <c r="K243" s="17" t="n">
        <v>1118738.75</v>
      </c>
      <c r="L243" s="17" t="n">
        <v>1008787</v>
      </c>
      <c r="M243" s="17" t="n">
        <v>84346</v>
      </c>
      <c r="N243" s="17" t="n">
        <v>64497</v>
      </c>
      <c r="O243" s="17" t="n">
        <v>395</v>
      </c>
      <c r="P243" s="17" t="n">
        <v>2399</v>
      </c>
      <c r="Q243" s="17" t="n">
        <v>9</v>
      </c>
      <c r="R243" s="17" t="n">
        <v>47.9988</v>
      </c>
      <c r="S243" s="17" t="n">
        <v>0</v>
      </c>
      <c r="T243" s="17" t="n">
        <v>0</v>
      </c>
      <c r="U243" s="17" t="n">
        <v>-349.3246</v>
      </c>
      <c r="V243" s="17" t="n">
        <v>-0.0199909380414696</v>
      </c>
      <c r="W243" s="17" t="n">
        <v>-0.17</v>
      </c>
      <c r="X243" s="17" t="n">
        <v>3.56751582422221</v>
      </c>
      <c r="Y243" s="17" t="n">
        <v>0.760877367487362</v>
      </c>
      <c r="Z243" s="17" t="n">
        <v>0</v>
      </c>
      <c r="AA243" s="17" t="n">
        <v>10.0860626152368</v>
      </c>
      <c r="AB243" s="17"/>
      <c r="AC243" s="17"/>
      <c r="AD243" s="17"/>
      <c r="AE243" s="17"/>
      <c r="AF243" s="17"/>
      <c r="AG243" s="18" t="n">
        <f aca="false">IFERROR(100*O243/F243,"")</f>
        <v>0.0227025063567018</v>
      </c>
      <c r="AH243" s="18" t="n">
        <f aca="false">IFERROR(100*(P243+Q243)/F243,"")</f>
        <v>0.138399076726425</v>
      </c>
      <c r="AI243" s="18" t="n">
        <f aca="false">IFERROR(100*R243/K243,"")</f>
        <v>0.00429043867480232</v>
      </c>
      <c r="AJ243" s="18" t="str">
        <f aca="false">IF(T243&gt;0,100*S243/T243,"")</f>
        <v/>
      </c>
      <c r="AK243" s="18" t="n">
        <f aca="false">IFERROR(100*U243/G243,"")</f>
        <v>-0.0199909380414695</v>
      </c>
      <c r="AL243" s="18" t="n">
        <f aca="false">IFERROR(100*J243/H243,"")</f>
        <v>76.3397461447785</v>
      </c>
      <c r="AM243" s="18" t="n">
        <f aca="false">IFERROR(100*L243/J243,"")</f>
        <v>86.2043123220432</v>
      </c>
      <c r="AN243" s="18" t="n">
        <f aca="false">IFERROR(100*M243/J243,"")</f>
        <v>7.20765526034243</v>
      </c>
      <c r="AO243" s="18" t="n">
        <f aca="false">IFERROR(100*N243/J243,"")</f>
        <v>5.51149006860202</v>
      </c>
    </row>
    <row r="244" customFormat="false" ht="15" hidden="false" customHeight="false" outlineLevel="0" collapsed="false">
      <c r="A244" s="17" t="n">
        <v>17658</v>
      </c>
      <c r="B244" s="23" t="n">
        <v>44926</v>
      </c>
      <c r="C244" s="17" t="s">
        <v>144</v>
      </c>
      <c r="D244" s="17" t="s">
        <v>108</v>
      </c>
      <c r="E244" s="17" t="s">
        <v>114</v>
      </c>
      <c r="F244" s="17" t="n">
        <v>1795136</v>
      </c>
      <c r="G244" s="17" t="n">
        <v>1756959</v>
      </c>
      <c r="H244" s="17" t="n">
        <v>1531543</v>
      </c>
      <c r="I244" s="17" t="n">
        <v>187871</v>
      </c>
      <c r="J244" s="17" t="n">
        <v>1215074</v>
      </c>
      <c r="K244" s="17" t="n">
        <v>1138005.8</v>
      </c>
      <c r="L244" s="17" t="n">
        <v>1049471</v>
      </c>
      <c r="M244" s="17" t="n">
        <v>87968</v>
      </c>
      <c r="N244" s="17" t="n">
        <v>64395</v>
      </c>
      <c r="O244" s="17" t="n">
        <v>677</v>
      </c>
      <c r="P244" s="17" t="n">
        <v>1734</v>
      </c>
      <c r="Q244" s="17" t="n">
        <v>197</v>
      </c>
      <c r="R244" s="17" t="n">
        <v>533</v>
      </c>
      <c r="S244" s="17" t="n">
        <v>0</v>
      </c>
      <c r="T244" s="17" t="n">
        <v>0</v>
      </c>
      <c r="U244" s="17" t="n">
        <v>9279</v>
      </c>
      <c r="V244" s="17" t="n">
        <v>0.528128430999244</v>
      </c>
      <c r="W244" s="17" t="n">
        <v>4.61</v>
      </c>
      <c r="X244" s="17" t="n">
        <v>3.63823974585112</v>
      </c>
      <c r="Y244" s="17" t="n">
        <v>0.691892016453319</v>
      </c>
      <c r="Z244" s="17" t="n">
        <v>0</v>
      </c>
      <c r="AA244" s="17" t="n">
        <v>10.4655580412849</v>
      </c>
      <c r="AB244" s="17"/>
      <c r="AC244" s="17"/>
      <c r="AD244" s="17"/>
      <c r="AE244" s="17"/>
      <c r="AF244" s="17"/>
      <c r="AG244" s="18" t="n">
        <f aca="false">IFERROR(100*O244/F244,"")</f>
        <v>0.0377130200720168</v>
      </c>
      <c r="AH244" s="18" t="n">
        <f aca="false">IFERROR(100*(P244+Q244)/F244,"")</f>
        <v>0.107568451638205</v>
      </c>
      <c r="AI244" s="18" t="n">
        <f aca="false">IFERROR(100*R244/K244,"")</f>
        <v>0.0468363166514617</v>
      </c>
      <c r="AJ244" s="18" t="str">
        <f aca="false">IF(T244&gt;0,100*S244/T244,"")</f>
        <v/>
      </c>
      <c r="AK244" s="18" t="n">
        <f aca="false">IFERROR(100*U244/G244,"")</f>
        <v>0.528128430999244</v>
      </c>
      <c r="AL244" s="18" t="n">
        <f aca="false">IFERROR(100*J244/H244,"")</f>
        <v>79.3365906148244</v>
      </c>
      <c r="AM244" s="18" t="n">
        <f aca="false">IFERROR(100*L244/J244,"")</f>
        <v>86.3709535386322</v>
      </c>
      <c r="AN244" s="18" t="n">
        <f aca="false">IFERROR(100*M244/J244,"")</f>
        <v>7.23972367115089</v>
      </c>
      <c r="AO244" s="18" t="n">
        <f aca="false">IFERROR(100*N244/J244,"")</f>
        <v>5.29967722130504</v>
      </c>
    </row>
    <row r="245" customFormat="false" ht="15" hidden="false" customHeight="false" outlineLevel="0" collapsed="false">
      <c r="A245" s="17" t="n">
        <v>17658</v>
      </c>
      <c r="B245" s="23" t="n">
        <v>45016</v>
      </c>
      <c r="C245" s="17" t="s">
        <v>144</v>
      </c>
      <c r="D245" s="17" t="s">
        <v>108</v>
      </c>
      <c r="E245" s="17" t="s">
        <v>114</v>
      </c>
      <c r="F245" s="17" t="n">
        <v>1830565</v>
      </c>
      <c r="G245" s="17" t="n">
        <v>1812850.5</v>
      </c>
      <c r="H245" s="17" t="n">
        <v>1563995</v>
      </c>
      <c r="I245" s="17" t="n">
        <v>199630</v>
      </c>
      <c r="J245" s="17" t="n">
        <v>1233738</v>
      </c>
      <c r="K245" s="17" t="n">
        <v>1224406</v>
      </c>
      <c r="L245" s="17" t="n">
        <v>1063253</v>
      </c>
      <c r="M245" s="17" t="n">
        <v>89661</v>
      </c>
      <c r="N245" s="17" t="n">
        <v>67833</v>
      </c>
      <c r="O245" s="17" t="n">
        <v>672</v>
      </c>
      <c r="P245" s="17" t="n">
        <v>1867</v>
      </c>
      <c r="Q245" s="17" t="n">
        <v>0</v>
      </c>
      <c r="R245" s="17" t="n">
        <v>-28</v>
      </c>
      <c r="S245" s="17" t="n">
        <v>0</v>
      </c>
      <c r="T245" s="17" t="n">
        <v>0</v>
      </c>
      <c r="U245" s="17" t="n">
        <v>19664</v>
      </c>
      <c r="V245" s="17" t="n">
        <v>1.0847005861763</v>
      </c>
      <c r="W245" s="17" t="n">
        <v>10.15</v>
      </c>
      <c r="X245" s="17" t="n">
        <v>3.49825185127277</v>
      </c>
      <c r="Y245" s="17" t="n">
        <v>0.603288542624123</v>
      </c>
      <c r="Z245" s="17" t="n">
        <v>0</v>
      </c>
      <c r="AA245" s="17" t="n">
        <v>10.9053762089847</v>
      </c>
      <c r="AB245" s="17" t="n">
        <v>4.40635644165202</v>
      </c>
      <c r="AC245" s="17" t="n">
        <v>14.6662725919152</v>
      </c>
      <c r="AD245" s="17" t="n">
        <v>3.64597760868615</v>
      </c>
      <c r="AE245" s="17" t="n">
        <v>0.226946186738262</v>
      </c>
      <c r="AF245" s="17" t="n">
        <v>-0.0214087329398538</v>
      </c>
      <c r="AG245" s="18" t="n">
        <f aca="false">IFERROR(100*O245/F245,"")</f>
        <v>0.0367099775206016</v>
      </c>
      <c r="AH245" s="18" t="n">
        <f aca="false">IFERROR(100*(P245+Q245)/F245,"")</f>
        <v>0.101990369093695</v>
      </c>
      <c r="AI245" s="18" t="n">
        <f aca="false">IFERROR(100*R245/K245,"")</f>
        <v>-0.00228682316159836</v>
      </c>
      <c r="AJ245" s="18" t="str">
        <f aca="false">IF(T245&gt;0,100*S245/T245,"")</f>
        <v/>
      </c>
      <c r="AK245" s="18" t="n">
        <f aca="false">IFERROR(100*U245/G245,"")</f>
        <v>1.0847005861763</v>
      </c>
      <c r="AL245" s="18" t="n">
        <f aca="false">IFERROR(100*J245/H245,"")</f>
        <v>78.8837560222379</v>
      </c>
      <c r="AM245" s="18" t="n">
        <f aca="false">IFERROR(100*L245/J245,"")</f>
        <v>86.1814258781038</v>
      </c>
      <c r="AN245" s="18" t="n">
        <f aca="false">IFERROR(100*M245/J245,"")</f>
        <v>7.26742630931365</v>
      </c>
      <c r="AO245" s="18" t="n">
        <f aca="false">IFERROR(100*N245/J245,"")</f>
        <v>5.49816897915117</v>
      </c>
    </row>
    <row r="246" customFormat="false" ht="15" hidden="false" customHeight="false" outlineLevel="0" collapsed="false">
      <c r="A246" s="17" t="n">
        <v>17658</v>
      </c>
      <c r="B246" s="23" t="n">
        <v>45107</v>
      </c>
      <c r="C246" s="17" t="s">
        <v>144</v>
      </c>
      <c r="D246" s="17" t="s">
        <v>108</v>
      </c>
      <c r="E246" s="17" t="s">
        <v>114</v>
      </c>
      <c r="F246" s="17" t="n">
        <v>1826350</v>
      </c>
      <c r="G246" s="17" t="n">
        <v>1817350.33333333</v>
      </c>
      <c r="H246" s="17" t="n">
        <v>1452649</v>
      </c>
      <c r="I246" s="17" t="n">
        <v>198387</v>
      </c>
      <c r="J246" s="17" t="n">
        <v>1269717</v>
      </c>
      <c r="K246" s="17" t="n">
        <v>1239509.66666667</v>
      </c>
      <c r="L246" s="17" t="n">
        <v>1085469</v>
      </c>
      <c r="M246" s="17" t="n">
        <v>94739</v>
      </c>
      <c r="N246" s="17" t="n">
        <v>76379</v>
      </c>
      <c r="O246" s="17" t="n">
        <v>1369</v>
      </c>
      <c r="P246" s="17" t="n">
        <v>1757</v>
      </c>
      <c r="Q246" s="17" t="n">
        <v>0</v>
      </c>
      <c r="R246" s="17" t="n">
        <v>-176</v>
      </c>
      <c r="S246" s="17" t="n">
        <v>0</v>
      </c>
      <c r="T246" s="17" t="n">
        <v>0</v>
      </c>
      <c r="U246" s="17" t="n">
        <v>16914</v>
      </c>
      <c r="V246" s="17" t="n">
        <v>0.930695622619818</v>
      </c>
      <c r="W246" s="17" t="n">
        <v>8.66</v>
      </c>
      <c r="X246" s="17" t="n">
        <v>3.42723508377535</v>
      </c>
      <c r="Y246" s="17" t="n">
        <v>0.586666162617339</v>
      </c>
      <c r="Z246" s="17" t="n">
        <v>0</v>
      </c>
      <c r="AA246" s="17" t="n">
        <v>10.8624852848578</v>
      </c>
      <c r="AB246" s="17" t="n">
        <v>5.01086418418573</v>
      </c>
      <c r="AC246" s="17" t="n">
        <v>11.2926764491652</v>
      </c>
      <c r="AD246" s="17" t="n">
        <v>-4.07619497906071</v>
      </c>
      <c r="AE246" s="17" t="n">
        <v>1.05675845631345</v>
      </c>
      <c r="AF246" s="17" t="n">
        <v>0.0451169608719071</v>
      </c>
      <c r="AG246" s="18" t="n">
        <f aca="false">IFERROR(100*O246/F246,"")</f>
        <v>0.0749582500615983</v>
      </c>
      <c r="AH246" s="18" t="n">
        <f aca="false">IFERROR(100*(P246+Q246)/F246,"")</f>
        <v>0.0962028088811017</v>
      </c>
      <c r="AI246" s="18" t="n">
        <f aca="false">IFERROR(100*R246/K246,"")</f>
        <v>-0.0141991631637134</v>
      </c>
      <c r="AJ246" s="18" t="str">
        <f aca="false">IF(T246&gt;0,100*S246/T246,"")</f>
        <v/>
      </c>
      <c r="AK246" s="18" t="n">
        <f aca="false">IFERROR(100*U246/G246,"")</f>
        <v>0.930695622619818</v>
      </c>
      <c r="AL246" s="18" t="n">
        <f aca="false">IFERROR(100*J246/H246,"")</f>
        <v>87.407006097137</v>
      </c>
      <c r="AM246" s="18" t="n">
        <f aca="false">IFERROR(100*L246/J246,"")</f>
        <v>85.489049922148</v>
      </c>
      <c r="AN246" s="18" t="n">
        <f aca="false">IFERROR(100*M246/J246,"")</f>
        <v>7.46142644384536</v>
      </c>
      <c r="AO246" s="18" t="n">
        <f aca="false">IFERROR(100*N246/J246,"")</f>
        <v>6.01543493550138</v>
      </c>
    </row>
    <row r="247" customFormat="false" ht="15" hidden="false" customHeight="false" outlineLevel="0" collapsed="false">
      <c r="A247" s="17" t="n">
        <v>17658</v>
      </c>
      <c r="B247" s="23" t="n">
        <v>45199</v>
      </c>
      <c r="C247" s="17" t="s">
        <v>144</v>
      </c>
      <c r="D247" s="17" t="s">
        <v>108</v>
      </c>
      <c r="E247" s="17" t="s">
        <v>114</v>
      </c>
      <c r="F247" s="17" t="n">
        <v>1854542</v>
      </c>
      <c r="G247" s="17" t="n">
        <v>1826648.25</v>
      </c>
      <c r="H247" s="17" t="n">
        <v>1539926</v>
      </c>
      <c r="I247" s="17" t="n">
        <v>184915</v>
      </c>
      <c r="J247" s="17" t="n">
        <v>1292291</v>
      </c>
      <c r="K247" s="17" t="n">
        <v>1252705</v>
      </c>
      <c r="L247" s="17" t="n">
        <v>1103288</v>
      </c>
      <c r="M247" s="17" t="n">
        <v>95704</v>
      </c>
      <c r="N247" s="17" t="n">
        <v>80475</v>
      </c>
      <c r="O247" s="17" t="n">
        <v>1361</v>
      </c>
      <c r="P247" s="17" t="n">
        <v>2709</v>
      </c>
      <c r="Q247" s="17" t="n">
        <v>0</v>
      </c>
      <c r="R247" s="17" t="n">
        <v>-166.6625</v>
      </c>
      <c r="S247" s="17" t="n">
        <v>0</v>
      </c>
      <c r="T247" s="17" t="n">
        <v>0</v>
      </c>
      <c r="U247" s="17" t="n">
        <v>11978.3672</v>
      </c>
      <c r="V247" s="17" t="n">
        <v>0.655756640612116</v>
      </c>
      <c r="W247" s="17" t="n">
        <v>6.22</v>
      </c>
      <c r="X247" s="17" t="n">
        <v>3.39384266025843</v>
      </c>
      <c r="Y247" s="17" t="n">
        <v>0.638478485109004</v>
      </c>
      <c r="Z247" s="17" t="n">
        <v>0</v>
      </c>
      <c r="AA247" s="17" t="n">
        <v>9.97092543603758</v>
      </c>
      <c r="AB247" s="17" t="n">
        <v>6.58924441460869</v>
      </c>
      <c r="AC247" s="17" t="n">
        <v>10.4307023930379</v>
      </c>
      <c r="AD247" s="17" t="n">
        <v>0.456970711471749</v>
      </c>
      <c r="AE247" s="17" t="n">
        <v>0.675747578653585</v>
      </c>
      <c r="AF247" s="17" t="n">
        <v>0.050684885247263</v>
      </c>
      <c r="AG247" s="18" t="n">
        <f aca="false">IFERROR(100*O247/F247,"")</f>
        <v>0.0733873916039648</v>
      </c>
      <c r="AH247" s="18" t="n">
        <f aca="false">IFERROR(100*(P247+Q247)/F247,"")</f>
        <v>0.146073801510022</v>
      </c>
      <c r="AI247" s="18" t="n">
        <f aca="false">IFERROR(100*R247/K247,"")</f>
        <v>-0.0133042096902303</v>
      </c>
      <c r="AJ247" s="18" t="str">
        <f aca="false">IF(T247&gt;0,100*S247/T247,"")</f>
        <v/>
      </c>
      <c r="AK247" s="18" t="n">
        <f aca="false">IFERROR(100*U247/G247,"")</f>
        <v>0.655756640612116</v>
      </c>
      <c r="AL247" s="18" t="n">
        <f aca="false">IFERROR(100*J247/H247,"")</f>
        <v>83.919032472989</v>
      </c>
      <c r="AM247" s="18" t="n">
        <f aca="false">IFERROR(100*L247/J247,"")</f>
        <v>85.3745789454542</v>
      </c>
      <c r="AN247" s="18" t="n">
        <f aca="false">IFERROR(100*M247/J247,"")</f>
        <v>7.40576232443002</v>
      </c>
      <c r="AO247" s="18" t="n">
        <f aca="false">IFERROR(100*N247/J247,"")</f>
        <v>6.22731257897796</v>
      </c>
    </row>
    <row r="248" customFormat="false" ht="15" hidden="false" customHeight="false" outlineLevel="0" collapsed="false">
      <c r="A248" s="17" t="n">
        <v>17658</v>
      </c>
      <c r="B248" s="23" t="n">
        <v>45291</v>
      </c>
      <c r="C248" s="17" t="s">
        <v>144</v>
      </c>
      <c r="D248" s="17" t="s">
        <v>108</v>
      </c>
      <c r="E248" s="17" t="s">
        <v>114</v>
      </c>
      <c r="F248" s="17" t="n">
        <v>1865564</v>
      </c>
      <c r="G248" s="17" t="n">
        <v>1834431.4</v>
      </c>
      <c r="H248" s="17" t="n">
        <v>1489308</v>
      </c>
      <c r="I248" s="17" t="n">
        <v>208565</v>
      </c>
      <c r="J248" s="17" t="n">
        <v>1305177</v>
      </c>
      <c r="K248" s="17" t="n">
        <v>1263199.4</v>
      </c>
      <c r="L248" s="17" t="n">
        <v>1111057</v>
      </c>
      <c r="M248" s="17" t="n">
        <v>101314</v>
      </c>
      <c r="N248" s="17" t="n">
        <v>79258</v>
      </c>
      <c r="O248" s="17" t="n">
        <v>8793</v>
      </c>
      <c r="P248" s="17" t="n">
        <v>3070</v>
      </c>
      <c r="Q248" s="17" t="n">
        <v>0</v>
      </c>
      <c r="R248" s="17" t="n">
        <v>-127</v>
      </c>
      <c r="S248" s="17" t="n">
        <v>0</v>
      </c>
      <c r="T248" s="17" t="n">
        <v>0</v>
      </c>
      <c r="U248" s="17" t="n">
        <v>14088</v>
      </c>
      <c r="V248" s="17" t="n">
        <v>0.767976387669771</v>
      </c>
      <c r="W248" s="17" t="n">
        <v>7.19</v>
      </c>
      <c r="X248" s="17" t="n">
        <v>3.36483689960805</v>
      </c>
      <c r="Y248" s="17" t="n">
        <v>0.704655383905784</v>
      </c>
      <c r="Z248" s="17" t="n">
        <v>0</v>
      </c>
      <c r="AA248" s="17" t="n">
        <v>11.1797290256459</v>
      </c>
      <c r="AB248" s="17" t="n">
        <v>3.92326820920532</v>
      </c>
      <c r="AC248" s="17" t="n">
        <v>7.41543313411364</v>
      </c>
      <c r="AD248" s="17" t="n">
        <v>-2.75767640869372</v>
      </c>
      <c r="AE248" s="17" t="n">
        <v>0.239847956670527</v>
      </c>
      <c r="AF248" s="17" t="n">
        <v>0.433618973898707</v>
      </c>
      <c r="AG248" s="18" t="n">
        <f aca="false">IFERROR(100*O248/F248,"")</f>
        <v>0.471331993970724</v>
      </c>
      <c r="AH248" s="18" t="n">
        <f aca="false">IFERROR(100*(P248+Q248)/F248,"")</f>
        <v>0.164561494539989</v>
      </c>
      <c r="AI248" s="18" t="n">
        <f aca="false">IFERROR(100*R248/K248,"")</f>
        <v>-0.0100538363143618</v>
      </c>
      <c r="AJ248" s="18" t="str">
        <f aca="false">IF(T248&gt;0,100*S248/T248,"")</f>
        <v/>
      </c>
      <c r="AK248" s="18" t="n">
        <f aca="false">IFERROR(100*U248/G248,"")</f>
        <v>0.767976387669771</v>
      </c>
      <c r="AL248" s="18" t="n">
        <f aca="false">IFERROR(100*J248/H248,"")</f>
        <v>87.6364727779613</v>
      </c>
      <c r="AM248" s="18" t="n">
        <f aca="false">IFERROR(100*L248/J248,"")</f>
        <v>85.1269214826801</v>
      </c>
      <c r="AN248" s="18" t="n">
        <f aca="false">IFERROR(100*M248/J248,"")</f>
        <v>7.76247206317611</v>
      </c>
      <c r="AO248" s="18" t="n">
        <f aca="false">IFERROR(100*N248/J248,"")</f>
        <v>6.07258632354079</v>
      </c>
    </row>
    <row r="249" customFormat="false" ht="15" hidden="false" customHeight="false" outlineLevel="0" collapsed="false">
      <c r="A249" s="17" t="n">
        <v>17658</v>
      </c>
      <c r="B249" s="23" t="n">
        <v>45382</v>
      </c>
      <c r="C249" s="17" t="s">
        <v>144</v>
      </c>
      <c r="D249" s="17" t="s">
        <v>108</v>
      </c>
      <c r="E249" s="17" t="s">
        <v>114</v>
      </c>
      <c r="F249" s="17" t="n">
        <v>1866220</v>
      </c>
      <c r="G249" s="17" t="n">
        <v>1865892</v>
      </c>
      <c r="H249" s="17" t="n">
        <v>1503369</v>
      </c>
      <c r="I249" s="17" t="n">
        <v>208139</v>
      </c>
      <c r="J249" s="17" t="n">
        <v>1313902</v>
      </c>
      <c r="K249" s="17" t="n">
        <v>1309539.5</v>
      </c>
      <c r="L249" s="17" t="n">
        <v>1122390</v>
      </c>
      <c r="M249" s="17" t="n">
        <v>99126</v>
      </c>
      <c r="N249" s="17" t="n">
        <v>78729</v>
      </c>
      <c r="O249" s="17" t="n">
        <v>9256</v>
      </c>
      <c r="P249" s="17" t="n">
        <v>2838</v>
      </c>
      <c r="Q249" s="17" t="n">
        <v>385</v>
      </c>
      <c r="R249" s="17" t="n">
        <v>-500</v>
      </c>
      <c r="S249" s="17" t="n">
        <v>0</v>
      </c>
      <c r="T249" s="17" t="n">
        <v>0</v>
      </c>
      <c r="U249" s="17" t="n">
        <v>17880</v>
      </c>
      <c r="V249" s="17" t="n">
        <v>0.958254818606865</v>
      </c>
      <c r="W249" s="17" t="n">
        <v>8.58</v>
      </c>
      <c r="X249" s="17" t="n">
        <v>3.03780900395487</v>
      </c>
      <c r="Y249" s="17" t="n">
        <v>0.684069283706091</v>
      </c>
      <c r="Z249" s="17" t="n">
        <v>0</v>
      </c>
      <c r="AA249" s="17" t="n">
        <v>11.1529723183762</v>
      </c>
      <c r="AB249" s="17" t="n">
        <v>1.94775929835871</v>
      </c>
      <c r="AC249" s="17" t="n">
        <v>6.49765185152764</v>
      </c>
      <c r="AD249" s="17" t="n">
        <v>-3.87635510343704</v>
      </c>
      <c r="AE249" s="17" t="n">
        <v>-0.126445767569436</v>
      </c>
      <c r="AF249" s="17" t="n">
        <v>0.459265845265565</v>
      </c>
      <c r="AG249" s="18" t="n">
        <f aca="false">IFERROR(100*O249/F249,"")</f>
        <v>0.495975822786167</v>
      </c>
      <c r="AH249" s="18" t="n">
        <f aca="false">IFERROR(100*(P249+Q249)/F249,"")</f>
        <v>0.172702039416575</v>
      </c>
      <c r="AI249" s="18" t="n">
        <f aca="false">IFERROR(100*R249/K249,"")</f>
        <v>-0.0381813606996964</v>
      </c>
      <c r="AJ249" s="18" t="str">
        <f aca="false">IF(T249&gt;0,100*S249/T249,"")</f>
        <v/>
      </c>
      <c r="AK249" s="18" t="n">
        <f aca="false">IFERROR(100*U249/G249,"")</f>
        <v>0.958254818606865</v>
      </c>
      <c r="AL249" s="18" t="n">
        <f aca="false">IFERROR(100*J249/H249,"")</f>
        <v>87.397172616969</v>
      </c>
      <c r="AM249" s="18" t="n">
        <f aca="false">IFERROR(100*L249/J249,"")</f>
        <v>85.4241792766888</v>
      </c>
      <c r="AN249" s="18" t="n">
        <f aca="false">IFERROR(100*M249/J249,"")</f>
        <v>7.54439828845683</v>
      </c>
      <c r="AO249" s="18" t="n">
        <f aca="false">IFERROR(100*N249/J249,"")</f>
        <v>5.99199940330405</v>
      </c>
    </row>
    <row r="250" customFormat="false" ht="15" hidden="false" customHeight="false" outlineLevel="0" collapsed="false">
      <c r="A250" s="17" t="n">
        <v>17658</v>
      </c>
      <c r="B250" s="23" t="n">
        <v>45473</v>
      </c>
      <c r="C250" s="17" t="s">
        <v>144</v>
      </c>
      <c r="D250" s="17" t="s">
        <v>108</v>
      </c>
      <c r="E250" s="17" t="s">
        <v>114</v>
      </c>
      <c r="F250" s="17" t="n">
        <v>1912692</v>
      </c>
      <c r="G250" s="17" t="n">
        <v>1881492</v>
      </c>
      <c r="H250" s="17" t="n">
        <v>1503955</v>
      </c>
      <c r="I250" s="17" t="n">
        <v>211101</v>
      </c>
      <c r="J250" s="17" t="n">
        <v>1361231</v>
      </c>
      <c r="K250" s="17" t="n">
        <v>1326770</v>
      </c>
      <c r="L250" s="17" t="n">
        <v>1158750</v>
      </c>
      <c r="M250" s="17" t="n">
        <v>108864</v>
      </c>
      <c r="N250" s="17" t="n">
        <v>79908</v>
      </c>
      <c r="O250" s="17" t="n">
        <v>10806</v>
      </c>
      <c r="P250" s="17" t="n">
        <v>2245</v>
      </c>
      <c r="Q250" s="17" t="n">
        <v>15</v>
      </c>
      <c r="R250" s="17" t="n">
        <v>-220</v>
      </c>
      <c r="S250" s="17" t="n">
        <v>0</v>
      </c>
      <c r="T250" s="17" t="n">
        <v>0</v>
      </c>
      <c r="U250" s="17" t="n">
        <v>14626</v>
      </c>
      <c r="V250" s="17" t="n">
        <v>0.777361795851378</v>
      </c>
      <c r="W250" s="17" t="n">
        <v>6.99</v>
      </c>
      <c r="X250" s="17" t="n">
        <v>3.04141628372805</v>
      </c>
      <c r="Y250" s="17" t="n">
        <v>0.700689302550412</v>
      </c>
      <c r="Z250" s="17" t="n">
        <v>0</v>
      </c>
      <c r="AA250" s="17" t="n">
        <v>11.0368527708591</v>
      </c>
      <c r="AB250" s="17" t="n">
        <v>4.72757138555042</v>
      </c>
      <c r="AC250" s="17" t="n">
        <v>7.20743283739604</v>
      </c>
      <c r="AD250" s="17" t="n">
        <v>3.53189242549301</v>
      </c>
      <c r="AE250" s="17" t="n">
        <v>-0.15333382676844</v>
      </c>
      <c r="AF250" s="17" t="n">
        <v>0.490004639938464</v>
      </c>
      <c r="AG250" s="18" t="n">
        <f aca="false">IFERROR(100*O250/F250,"")</f>
        <v>0.564962890000063</v>
      </c>
      <c r="AH250" s="18" t="n">
        <f aca="false">IFERROR(100*(P250+Q250)/F250,"")</f>
        <v>0.118158072496774</v>
      </c>
      <c r="AI250" s="18" t="n">
        <f aca="false">IFERROR(100*R250/K250,"")</f>
        <v>-0.0165816230394115</v>
      </c>
      <c r="AJ250" s="18" t="str">
        <f aca="false">IF(T250&gt;0,100*S250/T250,"")</f>
        <v/>
      </c>
      <c r="AK250" s="18" t="n">
        <f aca="false">IFERROR(100*U250/G250,"")</f>
        <v>0.777361795851378</v>
      </c>
      <c r="AL250" s="18" t="n">
        <f aca="false">IFERROR(100*J250/H250,"")</f>
        <v>90.5100884002513</v>
      </c>
      <c r="AM250" s="18" t="n">
        <f aca="false">IFERROR(100*L250/J250,"")</f>
        <v>85.1251550985836</v>
      </c>
      <c r="AN250" s="18" t="n">
        <f aca="false">IFERROR(100*M250/J250,"")</f>
        <v>7.9974669986211</v>
      </c>
      <c r="AO250" s="18" t="n">
        <f aca="false">IFERROR(100*N250/J250,"")</f>
        <v>5.87027477334854</v>
      </c>
    </row>
    <row r="251" customFormat="false" ht="15" hidden="false" customHeight="false" outlineLevel="0" collapsed="false">
      <c r="A251" s="17" t="n">
        <v>17658</v>
      </c>
      <c r="B251" s="23" t="n">
        <v>45565</v>
      </c>
      <c r="C251" s="17" t="s">
        <v>144</v>
      </c>
      <c r="D251" s="17" t="s">
        <v>108</v>
      </c>
      <c r="E251" s="17" t="s">
        <v>114</v>
      </c>
      <c r="F251" s="17" t="n">
        <v>1980951</v>
      </c>
      <c r="G251" s="17" t="n">
        <v>1906356.75</v>
      </c>
      <c r="H251" s="17" t="n">
        <v>1559068</v>
      </c>
      <c r="I251" s="17" t="n">
        <v>230579</v>
      </c>
      <c r="J251" s="17" t="n">
        <v>1397203</v>
      </c>
      <c r="K251" s="17" t="n">
        <v>1344378.25</v>
      </c>
      <c r="L251" s="17" t="n">
        <v>1195334</v>
      </c>
      <c r="M251" s="17" t="n">
        <v>108891</v>
      </c>
      <c r="N251" s="17" t="n">
        <v>80000</v>
      </c>
      <c r="O251" s="17" t="n">
        <v>9425</v>
      </c>
      <c r="P251" s="17" t="n">
        <v>2259</v>
      </c>
      <c r="Q251" s="17" t="n">
        <v>0</v>
      </c>
      <c r="R251" s="17" t="n">
        <v>-21.3328</v>
      </c>
      <c r="S251" s="17" t="n">
        <v>0</v>
      </c>
      <c r="T251" s="17" t="n">
        <v>0</v>
      </c>
      <c r="U251" s="17" t="n">
        <v>18308.8756</v>
      </c>
      <c r="V251" s="17" t="n">
        <v>0.960411822183859</v>
      </c>
      <c r="W251" s="17" t="n">
        <v>8.53</v>
      </c>
      <c r="X251" s="17" t="n">
        <v>3.06913574640287</v>
      </c>
      <c r="Y251" s="17" t="n">
        <v>0.660677081283106</v>
      </c>
      <c r="Z251" s="17" t="n">
        <v>0</v>
      </c>
      <c r="AA251" s="17" t="n">
        <v>11.6398134027545</v>
      </c>
      <c r="AB251" s="17" t="n">
        <v>6.81618426544128</v>
      </c>
      <c r="AC251" s="17" t="n">
        <v>8.11829533750526</v>
      </c>
      <c r="AD251" s="17" t="n">
        <v>1.24304674380458</v>
      </c>
      <c r="AE251" s="17" t="n">
        <v>0.304655181571744</v>
      </c>
      <c r="AF251" s="17" t="n">
        <v>0.402394190070696</v>
      </c>
      <c r="AG251" s="18" t="n">
        <f aca="false">IFERROR(100*O251/F251,"")</f>
        <v>0.47578158167466</v>
      </c>
      <c r="AH251" s="18" t="n">
        <f aca="false">IFERROR(100*(P251+Q251)/F251,"")</f>
        <v>0.114036137188653</v>
      </c>
      <c r="AI251" s="18" t="n">
        <f aca="false">IFERROR(100*R251/K251,"")</f>
        <v>-0.00158681531778724</v>
      </c>
      <c r="AJ251" s="18" t="str">
        <f aca="false">IF(T251&gt;0,100*S251/T251,"")</f>
        <v/>
      </c>
      <c r="AK251" s="18" t="n">
        <f aca="false">IFERROR(100*U251/G251,"")</f>
        <v>0.960411822183859</v>
      </c>
      <c r="AL251" s="18" t="n">
        <f aca="false">IFERROR(100*J251/H251,"")</f>
        <v>89.6178357839427</v>
      </c>
      <c r="AM251" s="18" t="n">
        <f aca="false">IFERROR(100*L251/J251,"")</f>
        <v>85.551920515487</v>
      </c>
      <c r="AN251" s="18" t="n">
        <f aca="false">IFERROR(100*M251/J251,"")</f>
        <v>7.79349886881148</v>
      </c>
      <c r="AO251" s="18" t="n">
        <f aca="false">IFERROR(100*N251/J251,"")</f>
        <v>5.72572489466455</v>
      </c>
    </row>
    <row r="252" customFormat="false" ht="15" hidden="false" customHeight="false" outlineLevel="0" collapsed="false">
      <c r="A252" s="17" t="n">
        <v>17658</v>
      </c>
      <c r="B252" s="23" t="n">
        <v>45657</v>
      </c>
      <c r="C252" s="17" t="s">
        <v>144</v>
      </c>
      <c r="D252" s="17" t="s">
        <v>108</v>
      </c>
      <c r="E252" s="17" t="s">
        <v>114</v>
      </c>
      <c r="F252" s="17" t="n">
        <v>1989287</v>
      </c>
      <c r="G252" s="17" t="n">
        <v>1922942.8</v>
      </c>
      <c r="H252" s="17" t="n">
        <v>1532228</v>
      </c>
      <c r="I252" s="17" t="n">
        <v>221439</v>
      </c>
      <c r="J252" s="17" t="n">
        <v>1433227</v>
      </c>
      <c r="K252" s="17" t="n">
        <v>1362148</v>
      </c>
      <c r="L252" s="17" t="n">
        <v>1227698</v>
      </c>
      <c r="M252" s="17" t="n">
        <v>113712</v>
      </c>
      <c r="N252" s="17" t="n">
        <v>78309</v>
      </c>
      <c r="O252" s="17" t="n">
        <v>9730</v>
      </c>
      <c r="P252" s="17" t="n">
        <v>3180</v>
      </c>
      <c r="Q252" s="17" t="n">
        <v>0</v>
      </c>
      <c r="R252" s="17" t="n">
        <v>-60</v>
      </c>
      <c r="S252" s="17" t="n">
        <v>0</v>
      </c>
      <c r="T252" s="17" t="n">
        <v>0</v>
      </c>
      <c r="U252" s="17" t="n">
        <v>17217</v>
      </c>
      <c r="V252" s="17" t="n">
        <v>0.895346445042463</v>
      </c>
      <c r="W252" s="17" t="n">
        <v>7.97</v>
      </c>
      <c r="X252" s="17" t="n">
        <v>3.11192825873285</v>
      </c>
      <c r="Y252" s="17" t="n">
        <v>0.675398942386656</v>
      </c>
      <c r="Z252" s="17" t="n">
        <v>0</v>
      </c>
      <c r="AA252" s="17" t="n">
        <v>11.1315762883888</v>
      </c>
      <c r="AB252" s="17" t="n">
        <v>6.63193543614693</v>
      </c>
      <c r="AC252" s="17" t="n">
        <v>9.81092985855558</v>
      </c>
      <c r="AD252" s="17" t="n">
        <v>2.8818753407623</v>
      </c>
      <c r="AE252" s="17" t="n">
        <v>0.127370057372692</v>
      </c>
      <c r="AF252" s="17" t="n">
        <v>0.0177879771546087</v>
      </c>
      <c r="AG252" s="18" t="n">
        <f aca="false">IFERROR(100*O252/F252,"")</f>
        <v>0.489119971125333</v>
      </c>
      <c r="AH252" s="18" t="n">
        <f aca="false">IFERROR(100*(P252+Q252)/F252,"")</f>
        <v>0.159856270110849</v>
      </c>
      <c r="AI252" s="18" t="n">
        <f aca="false">IFERROR(100*R252/K252,"")</f>
        <v>-0.00440480770077848</v>
      </c>
      <c r="AJ252" s="18" t="str">
        <f aca="false">IF(T252&gt;0,100*S252/T252,"")</f>
        <v/>
      </c>
      <c r="AK252" s="18" t="n">
        <f aca="false">IFERROR(100*U252/G252,"")</f>
        <v>0.895346445042463</v>
      </c>
      <c r="AL252" s="18" t="n">
        <f aca="false">IFERROR(100*J252/H252,"")</f>
        <v>93.5387553288414</v>
      </c>
      <c r="AM252" s="18" t="n">
        <f aca="false">IFERROR(100*L252/J252,"")</f>
        <v>85.6597035919642</v>
      </c>
      <c r="AN252" s="18" t="n">
        <f aca="false">IFERROR(100*M252/J252,"")</f>
        <v>7.93398393973879</v>
      </c>
      <c r="AO252" s="18" t="n">
        <f aca="false">IFERROR(100*N252/J252,"")</f>
        <v>5.46382394414842</v>
      </c>
    </row>
    <row r="253" customFormat="false" ht="15" hidden="false" customHeight="false" outlineLevel="0" collapsed="false">
      <c r="A253" s="17" t="n">
        <v>17658</v>
      </c>
      <c r="B253" s="23" t="n">
        <v>45747</v>
      </c>
      <c r="C253" s="17" t="s">
        <v>144</v>
      </c>
      <c r="D253" s="17" t="s">
        <v>108</v>
      </c>
      <c r="E253" s="17" t="s">
        <v>114</v>
      </c>
      <c r="F253" s="17" t="n">
        <v>2028519</v>
      </c>
      <c r="G253" s="17" t="n">
        <v>2008903</v>
      </c>
      <c r="H253" s="17" t="n">
        <v>1589312</v>
      </c>
      <c r="I253" s="17" t="n">
        <v>229958</v>
      </c>
      <c r="J253" s="17" t="n">
        <v>1450096</v>
      </c>
      <c r="K253" s="17" t="n">
        <v>1441661.5</v>
      </c>
      <c r="L253" s="17" t="n">
        <v>1246975</v>
      </c>
      <c r="M253" s="17" t="n">
        <v>107150</v>
      </c>
      <c r="N253" s="17" t="n">
        <v>79935</v>
      </c>
      <c r="O253" s="17" t="n">
        <v>10604</v>
      </c>
      <c r="P253" s="17" t="n">
        <v>8257</v>
      </c>
      <c r="Q253" s="17" t="n">
        <v>43</v>
      </c>
      <c r="R253" s="17" t="n">
        <v>408</v>
      </c>
      <c r="S253" s="17" t="n">
        <v>0</v>
      </c>
      <c r="T253" s="17" t="n">
        <v>0</v>
      </c>
      <c r="U253" s="17" t="n">
        <v>6768</v>
      </c>
      <c r="V253" s="17" t="n">
        <v>0.336900288366337</v>
      </c>
      <c r="W253" s="17" t="n">
        <v>3</v>
      </c>
      <c r="X253" s="17" t="n">
        <v>3.17195294561779</v>
      </c>
      <c r="Y253" s="17" t="n">
        <v>0.69409197735874</v>
      </c>
      <c r="Z253" s="17" t="n">
        <v>0</v>
      </c>
      <c r="AA253" s="17" t="n">
        <v>11.3362507326774</v>
      </c>
      <c r="AB253" s="17" t="n">
        <v>8.69667027467287</v>
      </c>
      <c r="AC253" s="17" t="n">
        <v>10.3656132649163</v>
      </c>
      <c r="AD253" s="17" t="n">
        <v>5.7166936394192</v>
      </c>
      <c r="AE253" s="17" t="n">
        <v>-0.621354530240527</v>
      </c>
      <c r="AF253" s="17" t="n">
        <v>0.0267700819847524</v>
      </c>
      <c r="AG253" s="18" t="n">
        <f aca="false">IFERROR(100*O253/F253,"")</f>
        <v>0.522745904770919</v>
      </c>
      <c r="AH253" s="18" t="n">
        <f aca="false">IFERROR(100*(P253+Q253)/F253,"")</f>
        <v>0.409165504488743</v>
      </c>
      <c r="AI253" s="18" t="n">
        <f aca="false">IFERROR(100*R253/K253,"")</f>
        <v>0.0283006794590825</v>
      </c>
      <c r="AJ253" s="18" t="str">
        <f aca="false">IF(T253&gt;0,100*S253/T253,"")</f>
        <v/>
      </c>
      <c r="AK253" s="18" t="n">
        <f aca="false">IFERROR(100*U253/G253,"")</f>
        <v>0.336900288366337</v>
      </c>
      <c r="AL253" s="18" t="n">
        <f aca="false">IFERROR(100*J253/H253,"")</f>
        <v>91.2404864494826</v>
      </c>
      <c r="AM253" s="18" t="n">
        <f aca="false">IFERROR(100*L253/J253,"")</f>
        <v>85.9925825600512</v>
      </c>
      <c r="AN253" s="18" t="n">
        <f aca="false">IFERROR(100*M253/J253,"")</f>
        <v>7.38916595866756</v>
      </c>
      <c r="AO253" s="18" t="n">
        <f aca="false">IFERROR(100*N253/J253,"")</f>
        <v>5.51239366221271</v>
      </c>
    </row>
    <row r="254" customFormat="false" ht="15" hidden="false" customHeight="false" outlineLevel="0" collapsed="false">
      <c r="A254" s="17" t="n">
        <v>17658</v>
      </c>
      <c r="B254" s="23" t="n">
        <v>45838</v>
      </c>
      <c r="C254" s="17" t="s">
        <v>144</v>
      </c>
      <c r="D254" s="17" t="s">
        <v>108</v>
      </c>
      <c r="E254" s="17" t="s">
        <v>114</v>
      </c>
      <c r="F254" s="17" t="n">
        <v>2059300</v>
      </c>
      <c r="G254" s="17" t="n">
        <v>2025702</v>
      </c>
      <c r="H254" s="17" t="n">
        <v>1592193</v>
      </c>
      <c r="I254" s="17" t="n">
        <v>238741</v>
      </c>
      <c r="J254" s="17" t="n">
        <v>1472870</v>
      </c>
      <c r="K254" s="17" t="n">
        <v>1452064.33333333</v>
      </c>
      <c r="L254" s="17" t="n">
        <v>1263229</v>
      </c>
      <c r="M254" s="17" t="n">
        <v>107836</v>
      </c>
      <c r="N254" s="17" t="n">
        <v>85638</v>
      </c>
      <c r="O254" s="17" t="n">
        <v>10168</v>
      </c>
      <c r="P254" s="17" t="n">
        <v>2622</v>
      </c>
      <c r="Q254" s="17" t="n">
        <v>0</v>
      </c>
      <c r="R254" s="17" t="n">
        <v>292</v>
      </c>
      <c r="S254" s="17" t="n">
        <v>0</v>
      </c>
      <c r="T254" s="17" t="n">
        <v>0</v>
      </c>
      <c r="U254" s="17" t="n">
        <v>17406</v>
      </c>
      <c r="V254" s="17" t="n">
        <v>0.859257679559975</v>
      </c>
      <c r="W254" s="17" t="n">
        <v>7.57</v>
      </c>
      <c r="X254" s="17" t="n">
        <v>3.24068034825347</v>
      </c>
      <c r="Y254" s="17" t="n">
        <v>0.68458180287466</v>
      </c>
      <c r="Z254" s="17" t="n">
        <v>0</v>
      </c>
      <c r="AA254" s="17" t="n">
        <v>11.593308405769</v>
      </c>
      <c r="AB254" s="17" t="n">
        <v>7.66500827106507</v>
      </c>
      <c r="AC254" s="17" t="n">
        <v>8.20132659335557</v>
      </c>
      <c r="AD254" s="17" t="n">
        <v>5.86706384167079</v>
      </c>
      <c r="AE254" s="17" t="n">
        <v>0.0818958837085971</v>
      </c>
      <c r="AF254" s="17" t="n">
        <v>-0.0712028744608018</v>
      </c>
      <c r="AG254" s="18" t="n">
        <f aca="false">IFERROR(100*O254/F254,"")</f>
        <v>0.493760015539261</v>
      </c>
      <c r="AH254" s="18" t="n">
        <f aca="false">IFERROR(100*(P254+Q254)/F254,"")</f>
        <v>0.127324819113291</v>
      </c>
      <c r="AI254" s="18" t="n">
        <f aca="false">IFERROR(100*R254/K254,"")</f>
        <v>0.0201093018605925</v>
      </c>
      <c r="AJ254" s="18" t="str">
        <f aca="false">IF(T254&gt;0,100*S254/T254,"")</f>
        <v/>
      </c>
      <c r="AK254" s="18" t="n">
        <f aca="false">IFERROR(100*U254/G254,"")</f>
        <v>0.859257679559975</v>
      </c>
      <c r="AL254" s="18" t="n">
        <f aca="false">IFERROR(100*J254/H254,"")</f>
        <v>92.5057452205857</v>
      </c>
      <c r="AM254" s="18" t="n">
        <f aca="false">IFERROR(100*L254/J254,"")</f>
        <v>85.7664967037145</v>
      </c>
      <c r="AN254" s="18" t="n">
        <f aca="false">IFERROR(100*M254/J254,"")</f>
        <v>7.32148797925139</v>
      </c>
      <c r="AO254" s="18" t="n">
        <f aca="false">IFERROR(100*N254/J254,"")</f>
        <v>5.81436243524547</v>
      </c>
    </row>
    <row r="255" customFormat="false" ht="15" hidden="false" customHeight="false" outlineLevel="0" collapsed="false">
      <c r="A255" s="17" t="n">
        <v>17741</v>
      </c>
      <c r="B255" s="23" t="n">
        <v>44651</v>
      </c>
      <c r="C255" s="17" t="s">
        <v>161</v>
      </c>
      <c r="D255" s="17" t="s">
        <v>108</v>
      </c>
      <c r="E255" s="17" t="s">
        <v>114</v>
      </c>
      <c r="F255" s="17" t="n">
        <v>1002149</v>
      </c>
      <c r="G255" s="17" t="n">
        <v>1011567.5</v>
      </c>
      <c r="H255" s="17" t="n">
        <v>846927</v>
      </c>
      <c r="I255" s="17" t="n">
        <v>129919</v>
      </c>
      <c r="J255" s="17" t="n">
        <v>796765</v>
      </c>
      <c r="K255" s="17" t="n">
        <v>794653.5</v>
      </c>
      <c r="L255" s="17" t="n">
        <v>747285</v>
      </c>
      <c r="M255" s="17" t="n">
        <v>42174</v>
      </c>
      <c r="N255" s="17" t="n">
        <v>3486</v>
      </c>
      <c r="O255" s="17" t="n">
        <v>1717</v>
      </c>
      <c r="P255" s="17" t="n">
        <v>1992</v>
      </c>
      <c r="Q255" s="17" t="n">
        <v>0</v>
      </c>
      <c r="R255" s="17" t="n">
        <v>16</v>
      </c>
      <c r="S255" s="17" t="n">
        <v>0</v>
      </c>
      <c r="T255" s="17" t="n">
        <v>0</v>
      </c>
      <c r="U255" s="17" t="n">
        <v>5892</v>
      </c>
      <c r="V255" s="17" t="n">
        <v>0.582462366574648</v>
      </c>
      <c r="W255" s="17" t="n">
        <v>4.49</v>
      </c>
      <c r="X255" s="17" t="n">
        <v>3.25666940503882</v>
      </c>
      <c r="Y255" s="17" t="n">
        <v>0.971679227877731</v>
      </c>
      <c r="Z255" s="17" t="n">
        <v>0</v>
      </c>
      <c r="AA255" s="17" t="n">
        <v>12.9640402774438</v>
      </c>
      <c r="AB255" s="17"/>
      <c r="AC255" s="17"/>
      <c r="AD255" s="17"/>
      <c r="AE255" s="17"/>
      <c r="AF255" s="17"/>
      <c r="AG255" s="18" t="n">
        <f aca="false">IFERROR(100*O255/F255,"")</f>
        <v>0.171331807944727</v>
      </c>
      <c r="AH255" s="18" t="n">
        <f aca="false">IFERROR(100*(P255+Q255)/F255,"")</f>
        <v>0.198772837172915</v>
      </c>
      <c r="AI255" s="18" t="n">
        <f aca="false">IFERROR(100*R255/K255,"")</f>
        <v>0.00201345617932847</v>
      </c>
      <c r="AJ255" s="18" t="str">
        <f aca="false">IF(T255&gt;0,100*S255/T255,"")</f>
        <v/>
      </c>
      <c r="AK255" s="18" t="n">
        <f aca="false">IFERROR(100*U255/G255,"")</f>
        <v>0.582462366574648</v>
      </c>
      <c r="AL255" s="18" t="n">
        <f aca="false">IFERROR(100*J255/H255,"")</f>
        <v>94.0771754826567</v>
      </c>
      <c r="AM255" s="18" t="n">
        <f aca="false">IFERROR(100*L255/J255,"")</f>
        <v>93.78988785903</v>
      </c>
      <c r="AN255" s="18" t="n">
        <f aca="false">IFERROR(100*M255/J255,"")</f>
        <v>5.29315419226497</v>
      </c>
      <c r="AO255" s="18" t="n">
        <f aca="false">IFERROR(100*N255/J255,"")</f>
        <v>0.437519218339159</v>
      </c>
    </row>
    <row r="256" customFormat="false" ht="15" hidden="false" customHeight="false" outlineLevel="0" collapsed="false">
      <c r="A256" s="17" t="n">
        <v>17741</v>
      </c>
      <c r="B256" s="23" t="n">
        <v>44742</v>
      </c>
      <c r="C256" s="17" t="s">
        <v>161</v>
      </c>
      <c r="D256" s="17" t="s">
        <v>108</v>
      </c>
      <c r="E256" s="17" t="s">
        <v>118</v>
      </c>
      <c r="F256" s="17" t="n">
        <v>999824</v>
      </c>
      <c r="G256" s="17" t="n">
        <v>1007653</v>
      </c>
      <c r="H256" s="17" t="n">
        <v>843050</v>
      </c>
      <c r="I256" s="17" t="n">
        <v>128637</v>
      </c>
      <c r="J256" s="17" t="n">
        <v>799662</v>
      </c>
      <c r="K256" s="17" t="n">
        <v>796323</v>
      </c>
      <c r="L256" s="17" t="n">
        <v>750035</v>
      </c>
      <c r="M256" s="17" t="n">
        <v>42508</v>
      </c>
      <c r="N256" s="17" t="n">
        <v>3332</v>
      </c>
      <c r="O256" s="17" t="n">
        <v>1947</v>
      </c>
      <c r="P256" s="17" t="n">
        <v>1852</v>
      </c>
      <c r="Q256" s="17" t="n">
        <v>0</v>
      </c>
      <c r="R256" s="17" t="n">
        <v>-2</v>
      </c>
      <c r="S256" s="17" t="n">
        <v>0</v>
      </c>
      <c r="T256" s="17" t="n">
        <v>0</v>
      </c>
      <c r="U256" s="17" t="n">
        <v>5632</v>
      </c>
      <c r="V256" s="17" t="n">
        <v>0.558922565605422</v>
      </c>
      <c r="W256" s="17" t="n">
        <v>4.32</v>
      </c>
      <c r="X256" s="17" t="n">
        <v>3.35845923911319</v>
      </c>
      <c r="Y256" s="17" t="n">
        <v>0.971910632242122</v>
      </c>
      <c r="Z256" s="17" t="n">
        <v>0</v>
      </c>
      <c r="AA256" s="17" t="n">
        <v>12.8659644097361</v>
      </c>
      <c r="AB256" s="17"/>
      <c r="AC256" s="17"/>
      <c r="AD256" s="17"/>
      <c r="AE256" s="17"/>
      <c r="AF256" s="17"/>
      <c r="AG256" s="18" t="n">
        <f aca="false">IFERROR(100*O256/F256,"")</f>
        <v>0.194734273232089</v>
      </c>
      <c r="AH256" s="18" t="n">
        <f aca="false">IFERROR(100*(P256+Q256)/F256,"")</f>
        <v>0.185232600937765</v>
      </c>
      <c r="AI256" s="18" t="n">
        <f aca="false">IFERROR(100*R256/K256,"")</f>
        <v>-0.000251154368265139</v>
      </c>
      <c r="AJ256" s="18" t="str">
        <f aca="false">IF(T256&gt;0,100*S256/T256,"")</f>
        <v/>
      </c>
      <c r="AK256" s="18" t="n">
        <f aca="false">IFERROR(100*U256/G256,"")</f>
        <v>0.558922565605422</v>
      </c>
      <c r="AL256" s="18" t="n">
        <f aca="false">IFERROR(100*J256/H256,"")</f>
        <v>94.8534487871419</v>
      </c>
      <c r="AM256" s="18" t="n">
        <f aca="false">IFERROR(100*L256/J256,"")</f>
        <v>93.7940029662533</v>
      </c>
      <c r="AN256" s="18" t="n">
        <f aca="false">IFERROR(100*M256/J256,"")</f>
        <v>5.31574590264387</v>
      </c>
      <c r="AO256" s="18" t="n">
        <f aca="false">IFERROR(100*N256/J256,"")</f>
        <v>0.416676045629278</v>
      </c>
    </row>
    <row r="257" customFormat="false" ht="15" hidden="false" customHeight="false" outlineLevel="0" collapsed="false">
      <c r="A257" s="17" t="n">
        <v>17741</v>
      </c>
      <c r="B257" s="23" t="n">
        <v>44834</v>
      </c>
      <c r="C257" s="17" t="s">
        <v>161</v>
      </c>
      <c r="D257" s="17" t="s">
        <v>108</v>
      </c>
      <c r="E257" s="17" t="s">
        <v>114</v>
      </c>
      <c r="F257" s="17" t="n">
        <v>1011112</v>
      </c>
      <c r="G257" s="17" t="n">
        <v>1008517.75</v>
      </c>
      <c r="H257" s="17" t="n">
        <v>854564</v>
      </c>
      <c r="I257" s="17" t="n">
        <v>127616</v>
      </c>
      <c r="J257" s="17" t="n">
        <v>833425</v>
      </c>
      <c r="K257" s="17" t="n">
        <v>805598.5</v>
      </c>
      <c r="L257" s="17" t="n">
        <v>783810</v>
      </c>
      <c r="M257" s="17" t="n">
        <v>42271</v>
      </c>
      <c r="N257" s="17" t="n">
        <v>3280</v>
      </c>
      <c r="O257" s="17" t="n">
        <v>1945</v>
      </c>
      <c r="P257" s="17" t="n">
        <v>2126</v>
      </c>
      <c r="Q257" s="17" t="n">
        <v>0</v>
      </c>
      <c r="R257" s="17" t="n">
        <v>-7.9998</v>
      </c>
      <c r="S257" s="17" t="n">
        <v>0</v>
      </c>
      <c r="T257" s="17" t="n">
        <v>0</v>
      </c>
      <c r="U257" s="17" t="n">
        <v>7655.8086</v>
      </c>
      <c r="V257" s="17" t="n">
        <v>0.759114908984002</v>
      </c>
      <c r="W257" s="17" t="n">
        <v>5.9</v>
      </c>
      <c r="X257" s="17" t="n">
        <v>3.45947489455709</v>
      </c>
      <c r="Y257" s="17" t="n">
        <v>0.939976602573717</v>
      </c>
      <c r="Z257" s="17" t="n">
        <v>0</v>
      </c>
      <c r="AA257" s="17" t="n">
        <v>12.621351541669</v>
      </c>
      <c r="AB257" s="17"/>
      <c r="AC257" s="17"/>
      <c r="AD257" s="17"/>
      <c r="AE257" s="17"/>
      <c r="AF257" s="17"/>
      <c r="AG257" s="18" t="n">
        <f aca="false">IFERROR(100*O257/F257,"")</f>
        <v>0.192362468252775</v>
      </c>
      <c r="AH257" s="18" t="n">
        <f aca="false">IFERROR(100*(P257+Q257)/F257,"")</f>
        <v>0.210263551416658</v>
      </c>
      <c r="AI257" s="18" t="n">
        <f aca="false">IFERROR(100*R257/K257,"")</f>
        <v>-0.000993025682148117</v>
      </c>
      <c r="AJ257" s="18" t="str">
        <f aca="false">IF(T257&gt;0,100*S257/T257,"")</f>
        <v/>
      </c>
      <c r="AK257" s="18" t="n">
        <f aca="false">IFERROR(100*U257/G257,"")</f>
        <v>0.759114908984002</v>
      </c>
      <c r="AL257" s="18" t="n">
        <f aca="false">IFERROR(100*J257/H257,"")</f>
        <v>97.5263409177077</v>
      </c>
      <c r="AM257" s="18" t="n">
        <f aca="false">IFERROR(100*L257/J257,"")</f>
        <v>94.046854845967</v>
      </c>
      <c r="AN257" s="18" t="n">
        <f aca="false">IFERROR(100*M257/J257,"")</f>
        <v>5.07196208417074</v>
      </c>
      <c r="AO257" s="18" t="n">
        <f aca="false">IFERROR(100*N257/J257,"")</f>
        <v>0.393556708762036</v>
      </c>
    </row>
    <row r="258" customFormat="false" ht="15" hidden="false" customHeight="false" outlineLevel="0" collapsed="false">
      <c r="A258" s="17" t="n">
        <v>17741</v>
      </c>
      <c r="B258" s="23" t="n">
        <v>44926</v>
      </c>
      <c r="C258" s="17" t="s">
        <v>161</v>
      </c>
      <c r="D258" s="17" t="s">
        <v>108</v>
      </c>
      <c r="E258" s="17" t="s">
        <v>114</v>
      </c>
      <c r="F258" s="17" t="n">
        <v>1004289</v>
      </c>
      <c r="G258" s="17" t="n">
        <v>1007672</v>
      </c>
      <c r="H258" s="17" t="n">
        <v>828427</v>
      </c>
      <c r="I258" s="17" t="n">
        <v>130201</v>
      </c>
      <c r="J258" s="17" t="n">
        <v>848425</v>
      </c>
      <c r="K258" s="17" t="n">
        <v>814163.8</v>
      </c>
      <c r="L258" s="17" t="n">
        <v>795357</v>
      </c>
      <c r="M258" s="17" t="n">
        <v>45845</v>
      </c>
      <c r="N258" s="17" t="n">
        <v>3546</v>
      </c>
      <c r="O258" s="17" t="n">
        <v>1820</v>
      </c>
      <c r="P258" s="17" t="n">
        <v>2400</v>
      </c>
      <c r="Q258" s="17" t="n">
        <v>0</v>
      </c>
      <c r="R258" s="17" t="n">
        <v>-9</v>
      </c>
      <c r="S258" s="17" t="n">
        <v>0</v>
      </c>
      <c r="T258" s="17" t="n">
        <v>0</v>
      </c>
      <c r="U258" s="17" t="n">
        <v>8305</v>
      </c>
      <c r="V258" s="17" t="n">
        <v>0.824176914710342</v>
      </c>
      <c r="W258" s="17" t="n">
        <v>6.4</v>
      </c>
      <c r="X258" s="17" t="n">
        <v>3.5594789903923</v>
      </c>
      <c r="Y258" s="17" t="n">
        <v>0.932551492471344</v>
      </c>
      <c r="Z258" s="17" t="n">
        <v>0</v>
      </c>
      <c r="AA258" s="17" t="n">
        <v>12.9644952797452</v>
      </c>
      <c r="AB258" s="17"/>
      <c r="AC258" s="17"/>
      <c r="AD258" s="17"/>
      <c r="AE258" s="17"/>
      <c r="AF258" s="17"/>
      <c r="AG258" s="18" t="n">
        <f aca="false">IFERROR(100*O258/F258,"")</f>
        <v>0.18122273568664</v>
      </c>
      <c r="AH258" s="18" t="n">
        <f aca="false">IFERROR(100*(P258+Q258)/F258,"")</f>
        <v>0.238975036070295</v>
      </c>
      <c r="AI258" s="18" t="n">
        <f aca="false">IFERROR(100*R258/K258,"")</f>
        <v>-0.00110542866189826</v>
      </c>
      <c r="AJ258" s="18" t="str">
        <f aca="false">IF(T258&gt;0,100*S258/T258,"")</f>
        <v/>
      </c>
      <c r="AK258" s="18" t="n">
        <f aca="false">IFERROR(100*U258/G258,"")</f>
        <v>0.824176914710342</v>
      </c>
      <c r="AL258" s="18" t="n">
        <f aca="false">IFERROR(100*J258/H258,"")</f>
        <v>102.413972504518</v>
      </c>
      <c r="AM258" s="18" t="n">
        <f aca="false">IFERROR(100*L258/J258,"")</f>
        <v>93.7451159501429</v>
      </c>
      <c r="AN258" s="18" t="n">
        <f aca="false">IFERROR(100*M258/J258,"")</f>
        <v>5.40354185697027</v>
      </c>
      <c r="AO258" s="18" t="n">
        <f aca="false">IFERROR(100*N258/J258,"")</f>
        <v>0.417950909037334</v>
      </c>
    </row>
    <row r="259" customFormat="false" ht="15" hidden="false" customHeight="false" outlineLevel="0" collapsed="false">
      <c r="A259" s="17" t="n">
        <v>17741</v>
      </c>
      <c r="B259" s="23" t="n">
        <v>45016</v>
      </c>
      <c r="C259" s="17" t="s">
        <v>161</v>
      </c>
      <c r="D259" s="17" t="s">
        <v>108</v>
      </c>
      <c r="E259" s="17" t="s">
        <v>114</v>
      </c>
      <c r="F259" s="17" t="n">
        <v>1010266</v>
      </c>
      <c r="G259" s="17" t="n">
        <v>1007277.5</v>
      </c>
      <c r="H259" s="17" t="n">
        <v>833199</v>
      </c>
      <c r="I259" s="17" t="n">
        <v>132521</v>
      </c>
      <c r="J259" s="17" t="n">
        <v>842535</v>
      </c>
      <c r="K259" s="17" t="n">
        <v>845480</v>
      </c>
      <c r="L259" s="17" t="n">
        <v>791960</v>
      </c>
      <c r="M259" s="17" t="n">
        <v>43923</v>
      </c>
      <c r="N259" s="17" t="n">
        <v>3582</v>
      </c>
      <c r="O259" s="17" t="n">
        <v>1676</v>
      </c>
      <c r="P259" s="17" t="n">
        <v>2512</v>
      </c>
      <c r="Q259" s="17" t="n">
        <v>0</v>
      </c>
      <c r="R259" s="17" t="n">
        <v>-8</v>
      </c>
      <c r="S259" s="17" t="n">
        <v>0</v>
      </c>
      <c r="T259" s="17" t="n">
        <v>0</v>
      </c>
      <c r="U259" s="17" t="n">
        <v>7896</v>
      </c>
      <c r="V259" s="17" t="n">
        <v>0.783895202662623</v>
      </c>
      <c r="W259" s="17" t="n">
        <v>6.01</v>
      </c>
      <c r="X259" s="17" t="n">
        <v>3.62976174766622</v>
      </c>
      <c r="Y259" s="17" t="n">
        <v>0.970167411442848</v>
      </c>
      <c r="Z259" s="17" t="n">
        <v>0</v>
      </c>
      <c r="AA259" s="17" t="n">
        <v>13.1174363979388</v>
      </c>
      <c r="AB259" s="17" t="n">
        <v>0.8099593972553</v>
      </c>
      <c r="AC259" s="17" t="n">
        <v>5.74447923791834</v>
      </c>
      <c r="AD259" s="17" t="n">
        <v>-1.62091892217393</v>
      </c>
      <c r="AE259" s="17" t="n">
        <v>0.201432836087975</v>
      </c>
      <c r="AF259" s="17" t="n">
        <v>-0.00543490554476478</v>
      </c>
      <c r="AG259" s="18" t="n">
        <f aca="false">IFERROR(100*O259/F259,"")</f>
        <v>0.165896902399962</v>
      </c>
      <c r="AH259" s="18" t="n">
        <f aca="false">IFERROR(100*(P259+Q259)/F259,"")</f>
        <v>0.248647385935981</v>
      </c>
      <c r="AI259" s="18" t="n">
        <f aca="false">IFERROR(100*R259/K259,"")</f>
        <v>-0.000946208071154847</v>
      </c>
      <c r="AJ259" s="18" t="str">
        <f aca="false">IF(T259&gt;0,100*S259/T259,"")</f>
        <v/>
      </c>
      <c r="AK259" s="18" t="n">
        <f aca="false">IFERROR(100*U259/G259,"")</f>
        <v>0.783895202662623</v>
      </c>
      <c r="AL259" s="18" t="n">
        <f aca="false">IFERROR(100*J259/H259,"")</f>
        <v>101.120500624701</v>
      </c>
      <c r="AM259" s="18" t="n">
        <f aca="false">IFERROR(100*L259/J259,"")</f>
        <v>93.9972820120232</v>
      </c>
      <c r="AN259" s="18" t="n">
        <f aca="false">IFERROR(100*M259/J259,"")</f>
        <v>5.21319589097189</v>
      </c>
      <c r="AO259" s="18" t="n">
        <f aca="false">IFERROR(100*N259/J259,"")</f>
        <v>0.425145542915131</v>
      </c>
    </row>
    <row r="260" customFormat="false" ht="15" hidden="false" customHeight="false" outlineLevel="0" collapsed="false">
      <c r="A260" s="17" t="n">
        <v>17741</v>
      </c>
      <c r="B260" s="23" t="n">
        <v>45107</v>
      </c>
      <c r="C260" s="17" t="s">
        <v>161</v>
      </c>
      <c r="D260" s="17" t="s">
        <v>108</v>
      </c>
      <c r="E260" s="17" t="s">
        <v>114</v>
      </c>
      <c r="F260" s="17" t="n">
        <v>1036036</v>
      </c>
      <c r="G260" s="17" t="n">
        <v>1016863.66666667</v>
      </c>
      <c r="H260" s="17" t="n">
        <v>800487</v>
      </c>
      <c r="I260" s="17" t="n">
        <v>133406</v>
      </c>
      <c r="J260" s="17" t="n">
        <v>877735</v>
      </c>
      <c r="K260" s="17" t="n">
        <v>856231.666666667</v>
      </c>
      <c r="L260" s="17" t="n">
        <v>820189</v>
      </c>
      <c r="M260" s="17" t="n">
        <v>50276</v>
      </c>
      <c r="N260" s="17" t="n">
        <v>4108</v>
      </c>
      <c r="O260" s="17" t="n">
        <v>1987</v>
      </c>
      <c r="P260" s="17" t="n">
        <v>2554</v>
      </c>
      <c r="Q260" s="17" t="n">
        <v>0</v>
      </c>
      <c r="R260" s="17" t="n">
        <v>-6</v>
      </c>
      <c r="S260" s="17" t="n">
        <v>0</v>
      </c>
      <c r="T260" s="17" t="n">
        <v>0</v>
      </c>
      <c r="U260" s="17" t="n">
        <v>7036</v>
      </c>
      <c r="V260" s="17" t="n">
        <v>0.691931497863857</v>
      </c>
      <c r="W260" s="17" t="n">
        <v>5.33</v>
      </c>
      <c r="X260" s="17" t="n">
        <v>3.42548551951932</v>
      </c>
      <c r="Y260" s="17" t="n">
        <v>0.93536203979561</v>
      </c>
      <c r="Z260" s="17" t="n">
        <v>0</v>
      </c>
      <c r="AA260" s="17" t="n">
        <v>12.8765795783158</v>
      </c>
      <c r="AB260" s="17" t="n">
        <v>3.62183744339004</v>
      </c>
      <c r="AC260" s="17" t="n">
        <v>9.76324997311364</v>
      </c>
      <c r="AD260" s="17" t="n">
        <v>-5.04869224838385</v>
      </c>
      <c r="AE260" s="17" t="n">
        <v>0.133008932258435</v>
      </c>
      <c r="AF260" s="17" t="n">
        <v>-0.00294557090900358</v>
      </c>
      <c r="AG260" s="18" t="n">
        <f aca="false">IFERROR(100*O260/F260,"")</f>
        <v>0.191788702323085</v>
      </c>
      <c r="AH260" s="18" t="n">
        <f aca="false">IFERROR(100*(P260+Q260)/F260,"")</f>
        <v>0.246516530313618</v>
      </c>
      <c r="AI260" s="18" t="n">
        <f aca="false">IFERROR(100*R260/K260,"")</f>
        <v>-0.000700744930791706</v>
      </c>
      <c r="AJ260" s="18" t="str">
        <f aca="false">IF(T260&gt;0,100*S260/T260,"")</f>
        <v/>
      </c>
      <c r="AK260" s="18" t="n">
        <f aca="false">IFERROR(100*U260/G260,"")</f>
        <v>0.691931497863856</v>
      </c>
      <c r="AL260" s="18" t="n">
        <f aca="false">IFERROR(100*J260/H260,"")</f>
        <v>109.65012548611</v>
      </c>
      <c r="AM260" s="18" t="n">
        <f aca="false">IFERROR(100*L260/J260,"")</f>
        <v>93.4438070716105</v>
      </c>
      <c r="AN260" s="18" t="n">
        <f aca="false">IFERROR(100*M260/J260,"")</f>
        <v>5.72792471531841</v>
      </c>
      <c r="AO260" s="18" t="n">
        <f aca="false">IFERROR(100*N260/J260,"")</f>
        <v>0.4680228087065</v>
      </c>
    </row>
    <row r="261" customFormat="false" ht="15" hidden="false" customHeight="false" outlineLevel="0" collapsed="false">
      <c r="A261" s="17" t="n">
        <v>17741</v>
      </c>
      <c r="B261" s="23" t="n">
        <v>45199</v>
      </c>
      <c r="C261" s="17" t="s">
        <v>161</v>
      </c>
      <c r="D261" s="17" t="s">
        <v>108</v>
      </c>
      <c r="E261" s="17" t="s">
        <v>114</v>
      </c>
      <c r="F261" s="17" t="n">
        <v>1063414</v>
      </c>
      <c r="G261" s="17" t="n">
        <v>1028501.25</v>
      </c>
      <c r="H261" s="17" t="n">
        <v>803860</v>
      </c>
      <c r="I261" s="17" t="n">
        <v>132027</v>
      </c>
      <c r="J261" s="17" t="n">
        <v>905841</v>
      </c>
      <c r="K261" s="17" t="n">
        <v>868634</v>
      </c>
      <c r="L261" s="17" t="n">
        <v>844883</v>
      </c>
      <c r="M261" s="17" t="n">
        <v>52698</v>
      </c>
      <c r="N261" s="17" t="n">
        <v>4222</v>
      </c>
      <c r="O261" s="17" t="n">
        <v>2371</v>
      </c>
      <c r="P261" s="17" t="n">
        <v>3001</v>
      </c>
      <c r="Q261" s="17" t="n">
        <v>0</v>
      </c>
      <c r="R261" s="17" t="n">
        <v>-50.6654</v>
      </c>
      <c r="S261" s="17" t="n">
        <v>0</v>
      </c>
      <c r="T261" s="17" t="n">
        <v>0</v>
      </c>
      <c r="U261" s="17" t="n">
        <v>6013.183</v>
      </c>
      <c r="V261" s="17" t="n">
        <v>0.584654904405804</v>
      </c>
      <c r="W261" s="17" t="n">
        <v>4.55</v>
      </c>
      <c r="X261" s="17" t="n">
        <v>3.32134528468549</v>
      </c>
      <c r="Y261" s="17" t="n">
        <v>0.918704275915972</v>
      </c>
      <c r="Z261" s="17" t="n">
        <v>0</v>
      </c>
      <c r="AA261" s="17" t="n">
        <v>12.4153904311961</v>
      </c>
      <c r="AB261" s="17" t="n">
        <v>5.17272072727848</v>
      </c>
      <c r="AC261" s="17" t="n">
        <v>8.68896421393646</v>
      </c>
      <c r="AD261" s="17" t="n">
        <v>-5.93331804288503</v>
      </c>
      <c r="AE261" s="17" t="n">
        <v>-0.174460004578197</v>
      </c>
      <c r="AF261" s="17" t="n">
        <v>0.030598673880016</v>
      </c>
      <c r="AG261" s="18" t="n">
        <f aca="false">IFERROR(100*O261/F261,"")</f>
        <v>0.222961142132791</v>
      </c>
      <c r="AH261" s="18" t="n">
        <f aca="false">IFERROR(100*(P261+Q261)/F261,"")</f>
        <v>0.282204296727333</v>
      </c>
      <c r="AI261" s="18" t="n">
        <f aca="false">IFERROR(100*R261/K261,"")</f>
        <v>-0.00583276731051283</v>
      </c>
      <c r="AJ261" s="18" t="str">
        <f aca="false">IF(T261&gt;0,100*S261/T261,"")</f>
        <v/>
      </c>
      <c r="AK261" s="18" t="n">
        <f aca="false">IFERROR(100*U261/G261,"")</f>
        <v>0.584654904405804</v>
      </c>
      <c r="AL261" s="18" t="n">
        <f aca="false">IFERROR(100*J261/H261,"")</f>
        <v>112.686413057</v>
      </c>
      <c r="AM261" s="18" t="n">
        <f aca="false">IFERROR(100*L261/J261,"")</f>
        <v>93.2705629354379</v>
      </c>
      <c r="AN261" s="18" t="n">
        <f aca="false">IFERROR(100*M261/J261,"")</f>
        <v>5.81757725693582</v>
      </c>
      <c r="AO261" s="18" t="n">
        <f aca="false">IFERROR(100*N261/J261,"")</f>
        <v>0.466086211597841</v>
      </c>
    </row>
    <row r="262" customFormat="false" ht="15" hidden="false" customHeight="false" outlineLevel="0" collapsed="false">
      <c r="A262" s="17" t="n">
        <v>17741</v>
      </c>
      <c r="B262" s="23" t="n">
        <v>45291</v>
      </c>
      <c r="C262" s="17" t="s">
        <v>161</v>
      </c>
      <c r="D262" s="17" t="s">
        <v>108</v>
      </c>
      <c r="E262" s="17" t="s">
        <v>114</v>
      </c>
      <c r="F262" s="17" t="n">
        <v>1084657</v>
      </c>
      <c r="G262" s="17" t="n">
        <v>1039732.4</v>
      </c>
      <c r="H262" s="17" t="n">
        <v>813318</v>
      </c>
      <c r="I262" s="17" t="n">
        <v>139308</v>
      </c>
      <c r="J262" s="17" t="n">
        <v>917122</v>
      </c>
      <c r="K262" s="17" t="n">
        <v>878331.6</v>
      </c>
      <c r="L262" s="17" t="n">
        <v>853812</v>
      </c>
      <c r="M262" s="17" t="n">
        <v>54439</v>
      </c>
      <c r="N262" s="17" t="n">
        <v>4268</v>
      </c>
      <c r="O262" s="17" t="n">
        <v>6632</v>
      </c>
      <c r="P262" s="17" t="n">
        <v>2100</v>
      </c>
      <c r="Q262" s="17" t="n">
        <v>0</v>
      </c>
      <c r="R262" s="17" t="n">
        <v>-17</v>
      </c>
      <c r="S262" s="17" t="n">
        <v>0</v>
      </c>
      <c r="T262" s="17" t="n">
        <v>0</v>
      </c>
      <c r="U262" s="17" t="n">
        <v>6480</v>
      </c>
      <c r="V262" s="17" t="n">
        <v>0.623237286824956</v>
      </c>
      <c r="W262" s="17" t="n">
        <v>4.85</v>
      </c>
      <c r="X262" s="17" t="n">
        <v>3.25992794364075</v>
      </c>
      <c r="Y262" s="17" t="n">
        <v>0.951890806239519</v>
      </c>
      <c r="Z262" s="17" t="n">
        <v>0</v>
      </c>
      <c r="AA262" s="17" t="n">
        <v>12.8435072101134</v>
      </c>
      <c r="AB262" s="17" t="n">
        <v>8.00247737454061</v>
      </c>
      <c r="AC262" s="17" t="n">
        <v>8.09700327076641</v>
      </c>
      <c r="AD262" s="17" t="n">
        <v>-1.82381791032885</v>
      </c>
      <c r="AE262" s="17" t="n">
        <v>-0.200939627885386</v>
      </c>
      <c r="AF262" s="17" t="n">
        <v>0.430214797100223</v>
      </c>
      <c r="AG262" s="18" t="n">
        <f aca="false">IFERROR(100*O262/F262,"")</f>
        <v>0.611437532786863</v>
      </c>
      <c r="AH262" s="18" t="n">
        <f aca="false">IFERROR(100*(P262+Q262)/F262,"")</f>
        <v>0.193609592709953</v>
      </c>
      <c r="AI262" s="18" t="n">
        <f aca="false">IFERROR(100*R262/K262,"")</f>
        <v>-0.00193548769052599</v>
      </c>
      <c r="AJ262" s="18" t="str">
        <f aca="false">IF(T262&gt;0,100*S262/T262,"")</f>
        <v/>
      </c>
      <c r="AK262" s="18" t="n">
        <f aca="false">IFERROR(100*U262/G262,"")</f>
        <v>0.623237286824956</v>
      </c>
      <c r="AL262" s="18" t="n">
        <f aca="false">IFERROR(100*J262/H262,"")</f>
        <v>112.763027499699</v>
      </c>
      <c r="AM262" s="18" t="n">
        <f aca="false">IFERROR(100*L262/J262,"")</f>
        <v>93.0968835116811</v>
      </c>
      <c r="AN262" s="18" t="n">
        <f aca="false">IFERROR(100*M262/J262,"")</f>
        <v>5.93585150067276</v>
      </c>
      <c r="AO262" s="18" t="n">
        <f aca="false">IFERROR(100*N262/J262,"")</f>
        <v>0.465368838605987</v>
      </c>
    </row>
    <row r="263" customFormat="false" ht="15" hidden="false" customHeight="false" outlineLevel="0" collapsed="false">
      <c r="A263" s="17" t="n">
        <v>17741</v>
      </c>
      <c r="B263" s="23" t="n">
        <v>45382</v>
      </c>
      <c r="C263" s="17" t="s">
        <v>161</v>
      </c>
      <c r="D263" s="17" t="s">
        <v>108</v>
      </c>
      <c r="E263" s="17" t="s">
        <v>114</v>
      </c>
      <c r="F263" s="17" t="n">
        <v>1107414</v>
      </c>
      <c r="G263" s="17" t="n">
        <v>1096035.5</v>
      </c>
      <c r="H263" s="17" t="n">
        <v>821220</v>
      </c>
      <c r="I263" s="17" t="n">
        <v>140357</v>
      </c>
      <c r="J263" s="17" t="n">
        <v>927393</v>
      </c>
      <c r="K263" s="17" t="n">
        <v>922257.5</v>
      </c>
      <c r="L263" s="17" t="n">
        <v>863345</v>
      </c>
      <c r="M263" s="17" t="n">
        <v>56338</v>
      </c>
      <c r="N263" s="17" t="n">
        <v>4181</v>
      </c>
      <c r="O263" s="17" t="n">
        <v>7415</v>
      </c>
      <c r="P263" s="17" t="n">
        <v>2790</v>
      </c>
      <c r="Q263" s="17" t="n">
        <v>0</v>
      </c>
      <c r="R263" s="17" t="n">
        <v>192</v>
      </c>
      <c r="S263" s="17" t="n">
        <v>0</v>
      </c>
      <c r="T263" s="17" t="n">
        <v>0</v>
      </c>
      <c r="U263" s="17" t="n">
        <v>6188</v>
      </c>
      <c r="V263" s="17" t="n">
        <v>0.564580253103116</v>
      </c>
      <c r="W263" s="17" t="n">
        <v>4.43</v>
      </c>
      <c r="X263" s="17" t="n">
        <v>2.9839273577202</v>
      </c>
      <c r="Y263" s="17" t="n">
        <v>0.959463787197014</v>
      </c>
      <c r="Z263" s="17" t="n">
        <v>0</v>
      </c>
      <c r="AA263" s="17" t="n">
        <v>12.6743024740522</v>
      </c>
      <c r="AB263" s="17" t="n">
        <v>9.61608130927893</v>
      </c>
      <c r="AC263" s="17" t="n">
        <v>10.0717477612206</v>
      </c>
      <c r="AD263" s="17" t="n">
        <v>-1.43771175913557</v>
      </c>
      <c r="AE263" s="17" t="n">
        <v>-0.219314949559507</v>
      </c>
      <c r="AF263" s="17" t="n">
        <v>0.503681051283123</v>
      </c>
      <c r="AG263" s="18" t="n">
        <f aca="false">IFERROR(100*O263/F263,"")</f>
        <v>0.669577953683085</v>
      </c>
      <c r="AH263" s="18" t="n">
        <f aca="false">IFERROR(100*(P263+Q263)/F263,"")</f>
        <v>0.251938299497749</v>
      </c>
      <c r="AI263" s="18" t="n">
        <f aca="false">IFERROR(100*R263/K263,"")</f>
        <v>0.0208184807388392</v>
      </c>
      <c r="AJ263" s="18" t="str">
        <f aca="false">IF(T263&gt;0,100*S263/T263,"")</f>
        <v/>
      </c>
      <c r="AK263" s="18" t="n">
        <f aca="false">IFERROR(100*U263/G263,"")</f>
        <v>0.564580253103116</v>
      </c>
      <c r="AL263" s="18" t="n">
        <f aca="false">IFERROR(100*J263/H263,"")</f>
        <v>112.928691459049</v>
      </c>
      <c r="AM263" s="18" t="n">
        <f aca="false">IFERROR(100*L263/J263,"")</f>
        <v>93.0937585252423</v>
      </c>
      <c r="AN263" s="18" t="n">
        <f aca="false">IFERROR(100*M263/J263,"")</f>
        <v>6.07487871916221</v>
      </c>
      <c r="AO263" s="18" t="n">
        <f aca="false">IFERROR(100*N263/J263,"")</f>
        <v>0.450833681082346</v>
      </c>
    </row>
    <row r="264" customFormat="false" ht="15" hidden="false" customHeight="false" outlineLevel="0" collapsed="false">
      <c r="A264" s="17" t="n">
        <v>17741</v>
      </c>
      <c r="B264" s="23" t="n">
        <v>45473</v>
      </c>
      <c r="C264" s="17" t="s">
        <v>161</v>
      </c>
      <c r="D264" s="17" t="s">
        <v>108</v>
      </c>
      <c r="E264" s="17" t="s">
        <v>114</v>
      </c>
      <c r="F264" s="17" t="n">
        <v>1160635</v>
      </c>
      <c r="G264" s="17" t="n">
        <v>1117568.66666667</v>
      </c>
      <c r="H264" s="17" t="n">
        <v>863648</v>
      </c>
      <c r="I264" s="17" t="n">
        <v>141966</v>
      </c>
      <c r="J264" s="17" t="n">
        <v>968304</v>
      </c>
      <c r="K264" s="17" t="n">
        <v>937606.333333333</v>
      </c>
      <c r="L264" s="17" t="n">
        <v>905457</v>
      </c>
      <c r="M264" s="17" t="n">
        <v>55240</v>
      </c>
      <c r="N264" s="17" t="n">
        <v>4399</v>
      </c>
      <c r="O264" s="17" t="n">
        <v>7132</v>
      </c>
      <c r="P264" s="17" t="n">
        <v>3043</v>
      </c>
      <c r="Q264" s="17" t="n">
        <v>0</v>
      </c>
      <c r="R264" s="17" t="n">
        <v>120</v>
      </c>
      <c r="S264" s="17" t="n">
        <v>0</v>
      </c>
      <c r="T264" s="17" t="n">
        <v>0</v>
      </c>
      <c r="U264" s="17" t="n">
        <v>6446</v>
      </c>
      <c r="V264" s="17" t="n">
        <v>0.576787824521446</v>
      </c>
      <c r="W264" s="17" t="n">
        <v>4.59</v>
      </c>
      <c r="X264" s="17" t="n">
        <v>2.9973145945325</v>
      </c>
      <c r="Y264" s="17" t="n">
        <v>0.949701746558932</v>
      </c>
      <c r="Z264" s="17" t="n">
        <v>0</v>
      </c>
      <c r="AA264" s="17" t="n">
        <v>12.2317524458594</v>
      </c>
      <c r="AB264" s="17" t="n">
        <v>12.0265125922265</v>
      </c>
      <c r="AC264" s="17" t="n">
        <v>10.3184902049024</v>
      </c>
      <c r="AD264" s="17" t="n">
        <v>7.89032176662456</v>
      </c>
      <c r="AE264" s="17" t="n">
        <v>-0.11514367334241</v>
      </c>
      <c r="AF264" s="17" t="n">
        <v>0.422702502922319</v>
      </c>
      <c r="AG264" s="18" t="n">
        <f aca="false">IFERROR(100*O264/F264,"")</f>
        <v>0.614491205245405</v>
      </c>
      <c r="AH264" s="18" t="n">
        <f aca="false">IFERROR(100*(P264+Q264)/F264,"")</f>
        <v>0.26218406303446</v>
      </c>
      <c r="AI264" s="18" t="n">
        <f aca="false">IFERROR(100*R264/K264,"")</f>
        <v>0.0127985483602038</v>
      </c>
      <c r="AJ264" s="18" t="str">
        <f aca="false">IF(T264&gt;0,100*S264/T264,"")</f>
        <v/>
      </c>
      <c r="AK264" s="18" t="n">
        <f aca="false">IFERROR(100*U264/G264,"")</f>
        <v>0.576787824521446</v>
      </c>
      <c r="AL264" s="18" t="n">
        <f aca="false">IFERROR(100*J264/H264,"")</f>
        <v>112.117899885138</v>
      </c>
      <c r="AM264" s="18" t="n">
        <f aca="false">IFERROR(100*L264/J264,"")</f>
        <v>93.5095796361473</v>
      </c>
      <c r="AN264" s="18" t="n">
        <f aca="false">IFERROR(100*M264/J264,"")</f>
        <v>5.7048199738925</v>
      </c>
      <c r="AO264" s="18" t="n">
        <f aca="false">IFERROR(100*N264/J264,"")</f>
        <v>0.454299476197558</v>
      </c>
    </row>
    <row r="265" customFormat="false" ht="15" hidden="false" customHeight="false" outlineLevel="0" collapsed="false">
      <c r="A265" s="17" t="n">
        <v>17741</v>
      </c>
      <c r="B265" s="23" t="n">
        <v>45565</v>
      </c>
      <c r="C265" s="17" t="s">
        <v>161</v>
      </c>
      <c r="D265" s="17" t="s">
        <v>108</v>
      </c>
      <c r="E265" s="17" t="s">
        <v>114</v>
      </c>
      <c r="F265" s="17" t="n">
        <v>1162261</v>
      </c>
      <c r="G265" s="17" t="n">
        <v>1128741.75</v>
      </c>
      <c r="H265" s="17" t="n">
        <v>905592</v>
      </c>
      <c r="I265" s="17" t="n">
        <v>146197</v>
      </c>
      <c r="J265" s="17" t="n">
        <v>984780</v>
      </c>
      <c r="K265" s="17" t="n">
        <v>949399.75</v>
      </c>
      <c r="L265" s="17" t="n">
        <v>925810</v>
      </c>
      <c r="M265" s="17" t="n">
        <v>49845</v>
      </c>
      <c r="N265" s="17" t="n">
        <v>3969</v>
      </c>
      <c r="O265" s="17" t="n">
        <v>2723</v>
      </c>
      <c r="P265" s="17" t="n">
        <v>2027</v>
      </c>
      <c r="Q265" s="17" t="n">
        <v>0</v>
      </c>
      <c r="R265" s="17" t="n">
        <v>74.6648</v>
      </c>
      <c r="S265" s="17" t="n">
        <v>0</v>
      </c>
      <c r="T265" s="17" t="n">
        <v>0</v>
      </c>
      <c r="U265" s="17" t="n">
        <v>7034.4908</v>
      </c>
      <c r="V265" s="17" t="n">
        <v>0.623215257165778</v>
      </c>
      <c r="W265" s="17" t="n">
        <v>4.96</v>
      </c>
      <c r="X265" s="17" t="n">
        <v>3.04519795213915</v>
      </c>
      <c r="Y265" s="17" t="n">
        <v>0.944982635715591</v>
      </c>
      <c r="Z265" s="17" t="n">
        <v>0</v>
      </c>
      <c r="AA265" s="17" t="n">
        <v>12.5786720882831</v>
      </c>
      <c r="AB265" s="17" t="n">
        <v>9.29525095588359</v>
      </c>
      <c r="AC265" s="17" t="n">
        <v>8.71444326322168</v>
      </c>
      <c r="AD265" s="17" t="n">
        <v>12.655437513995</v>
      </c>
      <c r="AE265" s="17" t="n">
        <v>0.0385603527599737</v>
      </c>
      <c r="AF265" s="17" t="n">
        <v>0.0113235839313201</v>
      </c>
      <c r="AG265" s="18" t="n">
        <f aca="false">IFERROR(100*O265/F265,"")</f>
        <v>0.234284726064111</v>
      </c>
      <c r="AH265" s="18" t="n">
        <f aca="false">IFERROR(100*(P265+Q265)/F265,"")</f>
        <v>0.174401446835091</v>
      </c>
      <c r="AI265" s="18" t="n">
        <f aca="false">IFERROR(100*R265/K265,"")</f>
        <v>0.0078644217043453</v>
      </c>
      <c r="AJ265" s="18" t="str">
        <f aca="false">IF(T265&gt;0,100*S265/T265,"")</f>
        <v/>
      </c>
      <c r="AK265" s="18" t="n">
        <f aca="false">IFERROR(100*U265/G265,"")</f>
        <v>0.623215257165778</v>
      </c>
      <c r="AL265" s="18" t="n">
        <f aca="false">IFERROR(100*J265/H265,"")</f>
        <v>108.744335197307</v>
      </c>
      <c r="AM265" s="18" t="n">
        <f aca="false">IFERROR(100*L265/J265,"")</f>
        <v>94.0118605170698</v>
      </c>
      <c r="AN265" s="18" t="n">
        <f aca="false">IFERROR(100*M265/J265,"")</f>
        <v>5.06153658685189</v>
      </c>
      <c r="AO265" s="18" t="n">
        <f aca="false">IFERROR(100*N265/J265,"")</f>
        <v>0.403034180222994</v>
      </c>
    </row>
    <row r="266" customFormat="false" ht="15" hidden="false" customHeight="false" outlineLevel="0" collapsed="false">
      <c r="A266" s="17" t="n">
        <v>17741</v>
      </c>
      <c r="B266" s="23" t="n">
        <v>45657</v>
      </c>
      <c r="C266" s="17" t="s">
        <v>161</v>
      </c>
      <c r="D266" s="17" t="s">
        <v>108</v>
      </c>
      <c r="E266" s="17" t="s">
        <v>114</v>
      </c>
      <c r="F266" s="17" t="n">
        <v>1167995</v>
      </c>
      <c r="G266" s="17" t="n">
        <v>1136592.4</v>
      </c>
      <c r="H266" s="17" t="n">
        <v>895674</v>
      </c>
      <c r="I266" s="17" t="n">
        <v>147350</v>
      </c>
      <c r="J266" s="17" t="n">
        <v>992991</v>
      </c>
      <c r="K266" s="17" t="n">
        <v>958118</v>
      </c>
      <c r="L266" s="17" t="n">
        <v>934014</v>
      </c>
      <c r="M266" s="17" t="n">
        <v>50628</v>
      </c>
      <c r="N266" s="17" t="n">
        <v>3758</v>
      </c>
      <c r="O266" s="17" t="n">
        <v>3480</v>
      </c>
      <c r="P266" s="17" t="n">
        <v>2314</v>
      </c>
      <c r="Q266" s="17" t="n">
        <v>0</v>
      </c>
      <c r="R266" s="17" t="n">
        <v>57</v>
      </c>
      <c r="S266" s="17" t="n">
        <v>0</v>
      </c>
      <c r="T266" s="17" t="n">
        <v>0</v>
      </c>
      <c r="U266" s="17" t="n">
        <v>7339</v>
      </c>
      <c r="V266" s="17" t="n">
        <v>0.645702012436472</v>
      </c>
      <c r="W266" s="17" t="n">
        <v>5.13</v>
      </c>
      <c r="X266" s="17" t="n">
        <v>3.08264284192033</v>
      </c>
      <c r="Y266" s="17" t="n">
        <v>0.923875442979846</v>
      </c>
      <c r="Z266" s="17" t="n">
        <v>0</v>
      </c>
      <c r="AA266" s="17" t="n">
        <v>12.6156361970728</v>
      </c>
      <c r="AB266" s="17" t="n">
        <v>7.68335058917242</v>
      </c>
      <c r="AC266" s="17" t="n">
        <v>8.27250900098351</v>
      </c>
      <c r="AD266" s="17" t="n">
        <v>10.125928603572</v>
      </c>
      <c r="AE266" s="17" t="n">
        <v>0.0224647256115164</v>
      </c>
      <c r="AF266" s="17" t="n">
        <v>-0.313491051851585</v>
      </c>
      <c r="AG266" s="18" t="n">
        <f aca="false">IFERROR(100*O266/F266,"")</f>
        <v>0.297946480935278</v>
      </c>
      <c r="AH266" s="18" t="n">
        <f aca="false">IFERROR(100*(P266+Q266)/F266,"")</f>
        <v>0.198117286460987</v>
      </c>
      <c r="AI266" s="18" t="n">
        <f aca="false">IFERROR(100*R266/K266,"")</f>
        <v>0.00594916283798029</v>
      </c>
      <c r="AJ266" s="18" t="str">
        <f aca="false">IF(T266&gt;0,100*S266/T266,"")</f>
        <v/>
      </c>
      <c r="AK266" s="18" t="n">
        <f aca="false">IFERROR(100*U266/G266,"")</f>
        <v>0.645702012436472</v>
      </c>
      <c r="AL266" s="18" t="n">
        <f aca="false">IFERROR(100*J266/H266,"")</f>
        <v>110.86522551732</v>
      </c>
      <c r="AM266" s="18" t="n">
        <f aca="false">IFERROR(100*L266/J266,"")</f>
        <v>94.0606712447545</v>
      </c>
      <c r="AN266" s="18" t="n">
        <f aca="false">IFERROR(100*M266/J266,"")</f>
        <v>5.09853563627465</v>
      </c>
      <c r="AO266" s="18" t="n">
        <f aca="false">IFERROR(100*N266/J266,"")</f>
        <v>0.37845257409181</v>
      </c>
    </row>
    <row r="267" customFormat="false" ht="15" hidden="false" customHeight="false" outlineLevel="0" collapsed="false">
      <c r="A267" s="17" t="n">
        <v>17741</v>
      </c>
      <c r="B267" s="23" t="n">
        <v>45747</v>
      </c>
      <c r="C267" s="17" t="s">
        <v>161</v>
      </c>
      <c r="D267" s="17" t="s">
        <v>108</v>
      </c>
      <c r="E267" s="17" t="s">
        <v>114</v>
      </c>
      <c r="F267" s="17" t="n">
        <v>2702374</v>
      </c>
      <c r="G267" s="17" t="n">
        <v>1935184.5</v>
      </c>
      <c r="H267" s="17" t="n">
        <v>2270619</v>
      </c>
      <c r="I267" s="17" t="n">
        <v>244064</v>
      </c>
      <c r="J267" s="17" t="n">
        <v>2221970</v>
      </c>
      <c r="K267" s="17" t="n">
        <v>1607480.5</v>
      </c>
      <c r="L267" s="17" t="n">
        <v>1950768</v>
      </c>
      <c r="M267" s="17" t="n">
        <v>226181</v>
      </c>
      <c r="N267" s="17" t="n">
        <v>6255</v>
      </c>
      <c r="O267" s="17" t="n">
        <v>9808</v>
      </c>
      <c r="P267" s="17" t="n">
        <v>5724</v>
      </c>
      <c r="Q267" s="17" t="n">
        <v>0</v>
      </c>
      <c r="R267" s="17" t="n">
        <v>128</v>
      </c>
      <c r="S267" s="17" t="n">
        <v>0</v>
      </c>
      <c r="T267" s="17" t="n">
        <v>0</v>
      </c>
      <c r="U267" s="17" t="n">
        <v>12340</v>
      </c>
      <c r="V267" s="17" t="n">
        <v>0.637665297546565</v>
      </c>
      <c r="W267" s="17" t="n">
        <v>6.31</v>
      </c>
      <c r="X267" s="17" t="n">
        <v>4.89910008789424</v>
      </c>
      <c r="Y267" s="17" t="n">
        <v>0.716526325737971</v>
      </c>
      <c r="Z267" s="17" t="n">
        <v>0</v>
      </c>
      <c r="AA267" s="17" t="n">
        <v>9.03146640694441</v>
      </c>
      <c r="AB267" s="17" t="n">
        <v>144.025630884204</v>
      </c>
      <c r="AC267" s="17" t="n">
        <v>139.593139046769</v>
      </c>
      <c r="AD267" s="17" t="n">
        <v>176.493387886316</v>
      </c>
      <c r="AE267" s="17" t="n">
        <v>0.0730850444434489</v>
      </c>
      <c r="AF267" s="17" t="n">
        <v>-0.306637812903164</v>
      </c>
      <c r="AG267" s="18" t="n">
        <f aca="false">IFERROR(100*O267/F267,"")</f>
        <v>0.362940140779922</v>
      </c>
      <c r="AH267" s="18" t="n">
        <f aca="false">IFERROR(100*(P267+Q267)/F267,"")</f>
        <v>0.211813760789587</v>
      </c>
      <c r="AI267" s="18" t="n">
        <f aca="false">IFERROR(100*R267/K267,"")</f>
        <v>0.00796277155461606</v>
      </c>
      <c r="AJ267" s="18" t="str">
        <f aca="false">IF(T267&gt;0,100*S267/T267,"")</f>
        <v/>
      </c>
      <c r="AK267" s="18" t="n">
        <f aca="false">IFERROR(100*U267/G267,"")</f>
        <v>0.637665297546565</v>
      </c>
      <c r="AL267" s="18" t="n">
        <f aca="false">IFERROR(100*J267/H267,"")</f>
        <v>97.8574564909393</v>
      </c>
      <c r="AM267" s="18" t="n">
        <f aca="false">IFERROR(100*L267/J267,"")</f>
        <v>87.794524678551</v>
      </c>
      <c r="AN267" s="18" t="n">
        <f aca="false">IFERROR(100*M267/J267,"")</f>
        <v>10.1793003505898</v>
      </c>
      <c r="AO267" s="18" t="n">
        <f aca="false">IFERROR(100*N267/J267,"")</f>
        <v>0.281506951038943</v>
      </c>
    </row>
    <row r="268" customFormat="false" ht="15" hidden="false" customHeight="false" outlineLevel="0" collapsed="false">
      <c r="A268" s="17" t="n">
        <v>17741</v>
      </c>
      <c r="B268" s="23" t="n">
        <v>45838</v>
      </c>
      <c r="C268" s="17" t="s">
        <v>161</v>
      </c>
      <c r="D268" s="17" t="s">
        <v>108</v>
      </c>
      <c r="E268" s="17" t="s">
        <v>114</v>
      </c>
      <c r="F268" s="17" t="n">
        <v>2758302</v>
      </c>
      <c r="G268" s="17" t="n">
        <v>2209557</v>
      </c>
      <c r="H268" s="17" t="n">
        <v>2253432</v>
      </c>
      <c r="I268" s="17" t="n">
        <v>250972</v>
      </c>
      <c r="J268" s="17" t="n">
        <v>2277439</v>
      </c>
      <c r="K268" s="17" t="n">
        <v>1830800</v>
      </c>
      <c r="L268" s="17" t="n">
        <v>2016043</v>
      </c>
      <c r="M268" s="17" t="n">
        <v>210200</v>
      </c>
      <c r="N268" s="17" t="n">
        <v>6792</v>
      </c>
      <c r="O268" s="17" t="n">
        <v>14212</v>
      </c>
      <c r="P268" s="17" t="n">
        <v>5485</v>
      </c>
      <c r="Q268" s="17" t="n">
        <v>0</v>
      </c>
      <c r="R268" s="17" t="n">
        <v>-32</v>
      </c>
      <c r="S268" s="17" t="n">
        <v>0</v>
      </c>
      <c r="T268" s="17" t="n">
        <v>0</v>
      </c>
      <c r="U268" s="17" t="n">
        <v>17806</v>
      </c>
      <c r="V268" s="17" t="n">
        <v>0.805862894688845</v>
      </c>
      <c r="W268" s="17" t="n">
        <v>8.32</v>
      </c>
      <c r="X268" s="17" t="n">
        <v>4.42459457596169</v>
      </c>
      <c r="Y268" s="17" t="n">
        <v>0.702982604583482</v>
      </c>
      <c r="Z268" s="17" t="n">
        <v>0</v>
      </c>
      <c r="AA268" s="17" t="n">
        <v>9.09878613726851</v>
      </c>
      <c r="AB268" s="17" t="n">
        <v>137.654559788392</v>
      </c>
      <c r="AC268" s="17" t="n">
        <v>135.198759893587</v>
      </c>
      <c r="AD268" s="17" t="n">
        <v>160.920189706918</v>
      </c>
      <c r="AE268" s="17" t="n">
        <v>0.229075070167399</v>
      </c>
      <c r="AF268" s="17" t="n">
        <v>-0.0992466816218128</v>
      </c>
      <c r="AG268" s="18" t="n">
        <f aca="false">IFERROR(100*O268/F268,"")</f>
        <v>0.515244523623592</v>
      </c>
      <c r="AH268" s="18" t="n">
        <f aca="false">IFERROR(100*(P268+Q268)/F268,"")</f>
        <v>0.19885422263407</v>
      </c>
      <c r="AI268" s="18" t="n">
        <f aca="false">IFERROR(100*R268/K268,"")</f>
        <v>-0.00174786978370111</v>
      </c>
      <c r="AJ268" s="18" t="str">
        <f aca="false">IF(T268&gt;0,100*S268/T268,"")</f>
        <v/>
      </c>
      <c r="AK268" s="18" t="n">
        <f aca="false">IFERROR(100*U268/G268,"")</f>
        <v>0.805862894688845</v>
      </c>
      <c r="AL268" s="18" t="n">
        <f aca="false">IFERROR(100*J268/H268,"")</f>
        <v>101.065352759702</v>
      </c>
      <c r="AM268" s="18" t="n">
        <f aca="false">IFERROR(100*L268/J268,"")</f>
        <v>88.5223709614176</v>
      </c>
      <c r="AN268" s="18" t="n">
        <f aca="false">IFERROR(100*M268/J268,"")</f>
        <v>9.22966542682373</v>
      </c>
      <c r="AO268" s="18" t="n">
        <f aca="false">IFERROR(100*N268/J268,"")</f>
        <v>0.298229722069395</v>
      </c>
    </row>
    <row r="269" customFormat="false" ht="15" hidden="false" customHeight="false" outlineLevel="0" collapsed="false">
      <c r="A269" s="17" t="n">
        <v>17743</v>
      </c>
      <c r="B269" s="23" t="n">
        <v>44651</v>
      </c>
      <c r="C269" s="17" t="s">
        <v>129</v>
      </c>
      <c r="D269" s="17" t="s">
        <v>108</v>
      </c>
      <c r="E269" s="17" t="s">
        <v>114</v>
      </c>
      <c r="F269" s="17" t="n">
        <v>1158500</v>
      </c>
      <c r="G269" s="17" t="n">
        <v>1157560</v>
      </c>
      <c r="H269" s="17" t="n">
        <v>899083</v>
      </c>
      <c r="I269" s="17" t="n">
        <v>126783</v>
      </c>
      <c r="J269" s="17" t="n">
        <v>918017</v>
      </c>
      <c r="K269" s="17" t="n">
        <v>918274.5</v>
      </c>
      <c r="L269" s="17" t="n">
        <v>873409</v>
      </c>
      <c r="M269" s="17" t="n">
        <v>25760</v>
      </c>
      <c r="N269" s="17" t="n">
        <v>5293</v>
      </c>
      <c r="O269" s="17" t="n">
        <v>3568</v>
      </c>
      <c r="P269" s="17" t="n">
        <v>1605</v>
      </c>
      <c r="Q269" s="17" t="n">
        <v>35</v>
      </c>
      <c r="R269" s="17" t="n">
        <v>-28</v>
      </c>
      <c r="S269" s="17" t="n">
        <v>0</v>
      </c>
      <c r="T269" s="17" t="n">
        <v>0</v>
      </c>
      <c r="U269" s="17" t="n">
        <v>4612</v>
      </c>
      <c r="V269" s="17" t="n">
        <v>0.398424271744013</v>
      </c>
      <c r="W269" s="17" t="n">
        <v>3.56</v>
      </c>
      <c r="X269" s="17" t="n">
        <v>2.74686473547168</v>
      </c>
      <c r="Y269" s="17" t="n">
        <v>0.54432543188198</v>
      </c>
      <c r="Z269" s="17" t="n">
        <v>0</v>
      </c>
      <c r="AA269" s="17" t="n">
        <v>10.9437203280104</v>
      </c>
      <c r="AB269" s="17"/>
      <c r="AC269" s="17"/>
      <c r="AD269" s="17"/>
      <c r="AE269" s="17"/>
      <c r="AF269" s="17"/>
      <c r="AG269" s="18" t="n">
        <f aca="false">IFERROR(100*O269/F269,"")</f>
        <v>0.307984462667242</v>
      </c>
      <c r="AH269" s="18" t="n">
        <f aca="false">IFERROR(100*(P269+Q269)/F269,"")</f>
        <v>0.14156236512732</v>
      </c>
      <c r="AI269" s="18" t="n">
        <f aca="false">IFERROR(100*R269/K269,"")</f>
        <v>-0.00304919716272204</v>
      </c>
      <c r="AJ269" s="18" t="str">
        <f aca="false">IF(T269&gt;0,100*S269/T269,"")</f>
        <v/>
      </c>
      <c r="AK269" s="18" t="n">
        <f aca="false">IFERROR(100*U269/G269,"")</f>
        <v>0.398424271744013</v>
      </c>
      <c r="AL269" s="18" t="n">
        <f aca="false">IFERROR(100*J269/H269,"")</f>
        <v>102.105923479812</v>
      </c>
      <c r="AM269" s="18" t="n">
        <f aca="false">IFERROR(100*L269/J269,"")</f>
        <v>95.1408307253569</v>
      </c>
      <c r="AN269" s="18" t="n">
        <f aca="false">IFERROR(100*M269/J269,"")</f>
        <v>2.80604825400837</v>
      </c>
      <c r="AO269" s="18" t="n">
        <f aca="false">IFERROR(100*N269/J269,"")</f>
        <v>0.576568843496362</v>
      </c>
    </row>
    <row r="270" customFormat="false" ht="15" hidden="false" customHeight="false" outlineLevel="0" collapsed="false">
      <c r="A270" s="17" t="n">
        <v>17743</v>
      </c>
      <c r="B270" s="23" t="n">
        <v>44742</v>
      </c>
      <c r="C270" s="17" t="s">
        <v>129</v>
      </c>
      <c r="D270" s="17" t="s">
        <v>108</v>
      </c>
      <c r="E270" s="17" t="s">
        <v>114</v>
      </c>
      <c r="F270" s="17" t="n">
        <v>1226782</v>
      </c>
      <c r="G270" s="17" t="n">
        <v>1180634</v>
      </c>
      <c r="H270" s="17" t="n">
        <v>933270</v>
      </c>
      <c r="I270" s="17" t="n">
        <v>121930</v>
      </c>
      <c r="J270" s="17" t="n">
        <v>942050</v>
      </c>
      <c r="K270" s="17" t="n">
        <v>926199.666666667</v>
      </c>
      <c r="L270" s="17" t="n">
        <v>912536</v>
      </c>
      <c r="M270" s="17" t="n">
        <v>10654</v>
      </c>
      <c r="N270" s="17" t="n">
        <v>5546</v>
      </c>
      <c r="O270" s="17" t="n">
        <v>2944</v>
      </c>
      <c r="P270" s="17" t="n">
        <v>735</v>
      </c>
      <c r="Q270" s="17" t="n">
        <v>35</v>
      </c>
      <c r="R270" s="17" t="n">
        <v>26</v>
      </c>
      <c r="S270" s="17" t="n">
        <v>0</v>
      </c>
      <c r="T270" s="17" t="n">
        <v>0</v>
      </c>
      <c r="U270" s="17" t="n">
        <v>3570</v>
      </c>
      <c r="V270" s="17" t="n">
        <v>0.302379907744483</v>
      </c>
      <c r="W270" s="17" t="n">
        <v>2.81</v>
      </c>
      <c r="X270" s="17" t="n">
        <v>2.80121730682431</v>
      </c>
      <c r="Y270" s="17" t="n">
        <v>0.520460697415212</v>
      </c>
      <c r="Z270" s="17" t="n">
        <v>0</v>
      </c>
      <c r="AA270" s="17" t="n">
        <v>9.93901116905856</v>
      </c>
      <c r="AB270" s="17"/>
      <c r="AC270" s="17"/>
      <c r="AD270" s="17"/>
      <c r="AE270" s="17"/>
      <c r="AF270" s="17"/>
      <c r="AG270" s="18" t="n">
        <f aca="false">IFERROR(100*O270/F270,"")</f>
        <v>0.23997743690403</v>
      </c>
      <c r="AH270" s="18" t="n">
        <f aca="false">IFERROR(100*(P270+Q270)/F270,"")</f>
        <v>0.062765837777209</v>
      </c>
      <c r="AI270" s="18" t="n">
        <f aca="false">IFERROR(100*R270/K270,"")</f>
        <v>0.00280717008823511</v>
      </c>
      <c r="AJ270" s="18" t="str">
        <f aca="false">IF(T270&gt;0,100*S270/T270,"")</f>
        <v/>
      </c>
      <c r="AK270" s="18" t="n">
        <f aca="false">IFERROR(100*U270/G270,"")</f>
        <v>0.302379907744483</v>
      </c>
      <c r="AL270" s="18" t="n">
        <f aca="false">IFERROR(100*J270/H270,"")</f>
        <v>100.94077812423</v>
      </c>
      <c r="AM270" s="18" t="n">
        <f aca="false">IFERROR(100*L270/J270,"")</f>
        <v>96.8670452736054</v>
      </c>
      <c r="AN270" s="18" t="n">
        <f aca="false">IFERROR(100*M270/J270,"")</f>
        <v>1.13093784830954</v>
      </c>
      <c r="AO270" s="18" t="n">
        <f aca="false">IFERROR(100*N270/J270,"")</f>
        <v>0.588716097871663</v>
      </c>
    </row>
    <row r="271" customFormat="false" ht="15" hidden="false" customHeight="false" outlineLevel="0" collapsed="false">
      <c r="A271" s="17" t="n">
        <v>17743</v>
      </c>
      <c r="B271" s="23" t="n">
        <v>44834</v>
      </c>
      <c r="C271" s="17" t="s">
        <v>129</v>
      </c>
      <c r="D271" s="17" t="s">
        <v>108</v>
      </c>
      <c r="E271" s="17" t="s">
        <v>114</v>
      </c>
      <c r="F271" s="17" t="n">
        <v>1249583</v>
      </c>
      <c r="G271" s="17" t="n">
        <v>1197871.25</v>
      </c>
      <c r="H271" s="17" t="n">
        <v>1015664</v>
      </c>
      <c r="I271" s="17" t="n">
        <v>114993</v>
      </c>
      <c r="J271" s="17" t="n">
        <v>953891</v>
      </c>
      <c r="K271" s="17" t="n">
        <v>933122.5</v>
      </c>
      <c r="L271" s="17" t="n">
        <v>922540</v>
      </c>
      <c r="M271" s="17" t="n">
        <v>11845</v>
      </c>
      <c r="N271" s="17" t="n">
        <v>6456</v>
      </c>
      <c r="O271" s="17" t="n">
        <v>2125</v>
      </c>
      <c r="P271" s="17" t="n">
        <v>713</v>
      </c>
      <c r="Q271" s="17" t="n">
        <v>0</v>
      </c>
      <c r="R271" s="17" t="n">
        <v>-315.9921</v>
      </c>
      <c r="S271" s="17" t="n">
        <v>0</v>
      </c>
      <c r="T271" s="17" t="n">
        <v>0</v>
      </c>
      <c r="U271" s="17" t="n">
        <v>4306.559</v>
      </c>
      <c r="V271" s="17" t="n">
        <v>0.359517686061837</v>
      </c>
      <c r="W271" s="17" t="n">
        <v>3.48</v>
      </c>
      <c r="X271" s="17" t="n">
        <v>2.78915821800042</v>
      </c>
      <c r="Y271" s="17" t="n">
        <v>0.512951689448794</v>
      </c>
      <c r="Z271" s="17" t="n">
        <v>0</v>
      </c>
      <c r="AA271" s="17" t="n">
        <v>9.20250995732176</v>
      </c>
      <c r="AB271" s="17"/>
      <c r="AC271" s="17"/>
      <c r="AD271" s="17"/>
      <c r="AE271" s="17"/>
      <c r="AF271" s="17"/>
      <c r="AG271" s="18" t="n">
        <f aca="false">IFERROR(100*O271/F271,"")</f>
        <v>0.170056730925437</v>
      </c>
      <c r="AH271" s="18" t="n">
        <f aca="false">IFERROR(100*(P271+Q271)/F271,"")</f>
        <v>0.0570590348940407</v>
      </c>
      <c r="AI271" s="18" t="n">
        <f aca="false">IFERROR(100*R271/K271,"")</f>
        <v>-0.0338639460520993</v>
      </c>
      <c r="AJ271" s="18" t="str">
        <f aca="false">IF(T271&gt;0,100*S271/T271,"")</f>
        <v/>
      </c>
      <c r="AK271" s="18" t="n">
        <f aca="false">IFERROR(100*U271/G271,"")</f>
        <v>0.359517686061837</v>
      </c>
      <c r="AL271" s="18" t="n">
        <f aca="false">IFERROR(100*J271/H271,"")</f>
        <v>93.9179689346083</v>
      </c>
      <c r="AM271" s="18" t="n">
        <f aca="false">IFERROR(100*L271/J271,"")</f>
        <v>96.7133561381751</v>
      </c>
      <c r="AN271" s="18" t="n">
        <f aca="false">IFERROR(100*M271/J271,"")</f>
        <v>1.24175613356243</v>
      </c>
      <c r="AO271" s="18" t="n">
        <f aca="false">IFERROR(100*N271/J271,"")</f>
        <v>0.676806888837404</v>
      </c>
    </row>
    <row r="272" customFormat="false" ht="15" hidden="false" customHeight="false" outlineLevel="0" collapsed="false">
      <c r="A272" s="17" t="n">
        <v>17743</v>
      </c>
      <c r="B272" s="23" t="n">
        <v>44926</v>
      </c>
      <c r="C272" s="17" t="s">
        <v>129</v>
      </c>
      <c r="D272" s="17" t="s">
        <v>108</v>
      </c>
      <c r="E272" s="17" t="s">
        <v>114</v>
      </c>
      <c r="F272" s="17" t="n">
        <v>1276362</v>
      </c>
      <c r="G272" s="17" t="n">
        <v>1213569.4</v>
      </c>
      <c r="H272" s="17" t="n">
        <v>1007618</v>
      </c>
      <c r="I272" s="17" t="n">
        <v>120023</v>
      </c>
      <c r="J272" s="17" t="n">
        <v>984104</v>
      </c>
      <c r="K272" s="17" t="n">
        <v>943318.8</v>
      </c>
      <c r="L272" s="17" t="n">
        <v>953202</v>
      </c>
      <c r="M272" s="17" t="n">
        <v>11335</v>
      </c>
      <c r="N272" s="17" t="n">
        <v>6789</v>
      </c>
      <c r="O272" s="17" t="n">
        <v>2426</v>
      </c>
      <c r="P272" s="17" t="n">
        <v>2594</v>
      </c>
      <c r="Q272" s="17" t="n">
        <v>0</v>
      </c>
      <c r="R272" s="17" t="n">
        <v>-240</v>
      </c>
      <c r="S272" s="17" t="n">
        <v>0</v>
      </c>
      <c r="T272" s="17" t="n">
        <v>0</v>
      </c>
      <c r="U272" s="17" t="n">
        <v>5066</v>
      </c>
      <c r="V272" s="17" t="n">
        <v>0.417446254000801</v>
      </c>
      <c r="W272" s="17" t="n">
        <v>4.11</v>
      </c>
      <c r="X272" s="17" t="n">
        <v>2.6949216119851</v>
      </c>
      <c r="Y272" s="17" t="n">
        <v>0.497508393421834</v>
      </c>
      <c r="Z272" s="17" t="n">
        <v>0</v>
      </c>
      <c r="AA272" s="17" t="n">
        <v>9.40352345181069</v>
      </c>
      <c r="AB272" s="17"/>
      <c r="AC272" s="17"/>
      <c r="AD272" s="17"/>
      <c r="AE272" s="17"/>
      <c r="AF272" s="17"/>
      <c r="AG272" s="18" t="n">
        <f aca="false">IFERROR(100*O272/F272,"")</f>
        <v>0.190071468752595</v>
      </c>
      <c r="AH272" s="18" t="n">
        <f aca="false">IFERROR(100*(P272+Q272)/F272,"")</f>
        <v>0.203233878789873</v>
      </c>
      <c r="AI272" s="18" t="n">
        <f aca="false">IFERROR(100*R272/K272,"")</f>
        <v>-0.0254420880830532</v>
      </c>
      <c r="AJ272" s="18" t="str">
        <f aca="false">IF(T272&gt;0,100*S272/T272,"")</f>
        <v/>
      </c>
      <c r="AK272" s="18" t="n">
        <f aca="false">IFERROR(100*U272/G272,"")</f>
        <v>0.417446254000801</v>
      </c>
      <c r="AL272" s="18" t="n">
        <f aca="false">IFERROR(100*J272/H272,"")</f>
        <v>97.6663775359313</v>
      </c>
      <c r="AM272" s="18" t="n">
        <f aca="false">IFERROR(100*L272/J272,"")</f>
        <v>96.8598847276304</v>
      </c>
      <c r="AN272" s="18" t="n">
        <f aca="false">IFERROR(100*M272/J272,"")</f>
        <v>1.15180915838163</v>
      </c>
      <c r="AO272" s="18" t="n">
        <f aca="false">IFERROR(100*N272/J272,"")</f>
        <v>0.68986611171177</v>
      </c>
    </row>
    <row r="273" customFormat="false" ht="15" hidden="false" customHeight="false" outlineLevel="0" collapsed="false">
      <c r="A273" s="17" t="n">
        <v>17743</v>
      </c>
      <c r="B273" s="23" t="n">
        <v>45016</v>
      </c>
      <c r="C273" s="17" t="s">
        <v>129</v>
      </c>
      <c r="D273" s="17" t="s">
        <v>108</v>
      </c>
      <c r="E273" s="17" t="s">
        <v>114</v>
      </c>
      <c r="F273" s="17" t="n">
        <v>1303794</v>
      </c>
      <c r="G273" s="17" t="n">
        <v>1290078</v>
      </c>
      <c r="H273" s="17" t="n">
        <v>997602</v>
      </c>
      <c r="I273" s="17" t="n">
        <v>122164</v>
      </c>
      <c r="J273" s="17" t="n">
        <v>1009203</v>
      </c>
      <c r="K273" s="17" t="n">
        <v>996653.5</v>
      </c>
      <c r="L273" s="17" t="n">
        <v>979266</v>
      </c>
      <c r="M273" s="17" t="n">
        <v>10295</v>
      </c>
      <c r="N273" s="17" t="n">
        <v>7106</v>
      </c>
      <c r="O273" s="17" t="n">
        <v>2506</v>
      </c>
      <c r="P273" s="17" t="n">
        <v>3655</v>
      </c>
      <c r="Q273" s="17" t="n">
        <v>0</v>
      </c>
      <c r="R273" s="17" t="n">
        <v>-52</v>
      </c>
      <c r="S273" s="17" t="n">
        <v>0</v>
      </c>
      <c r="T273" s="17" t="n">
        <v>0</v>
      </c>
      <c r="U273" s="17" t="n">
        <v>1100</v>
      </c>
      <c r="V273" s="17" t="n">
        <v>0.0852661622010452</v>
      </c>
      <c r="W273" s="17" t="n">
        <v>0.91</v>
      </c>
      <c r="X273" s="17" t="n">
        <v>2.16823970331417</v>
      </c>
      <c r="Y273" s="17" t="n">
        <v>0.466605826578003</v>
      </c>
      <c r="Z273" s="17" t="n">
        <v>0</v>
      </c>
      <c r="AA273" s="17" t="n">
        <v>9.36988511988857</v>
      </c>
      <c r="AB273" s="17" t="n">
        <v>12.5415623651273</v>
      </c>
      <c r="AC273" s="17" t="n">
        <v>9.9329315252332</v>
      </c>
      <c r="AD273" s="17" t="n">
        <v>10.9577202549709</v>
      </c>
      <c r="AE273" s="17" t="n">
        <v>-0.313158109542968</v>
      </c>
      <c r="AF273" s="17" t="n">
        <v>-0.115776184365609</v>
      </c>
      <c r="AG273" s="18" t="n">
        <f aca="false">IFERROR(100*O273/F273,"")</f>
        <v>0.192208278301634</v>
      </c>
      <c r="AH273" s="18" t="n">
        <f aca="false">IFERROR(100*(P273+Q273)/F273,"")</f>
        <v>0.280335697203699</v>
      </c>
      <c r="AI273" s="18" t="n">
        <f aca="false">IFERROR(100*R273/K273,"")</f>
        <v>-0.00521746023066191</v>
      </c>
      <c r="AJ273" s="18" t="str">
        <f aca="false">IF(T273&gt;0,100*S273/T273,"")</f>
        <v/>
      </c>
      <c r="AK273" s="18" t="n">
        <f aca="false">IFERROR(100*U273/G273,"")</f>
        <v>0.0852661622010452</v>
      </c>
      <c r="AL273" s="18" t="n">
        <f aca="false">IFERROR(100*J273/H273,"")</f>
        <v>101.162888606879</v>
      </c>
      <c r="AM273" s="18" t="n">
        <f aca="false">IFERROR(100*L273/J273,"")</f>
        <v>97.0335997812135</v>
      </c>
      <c r="AN273" s="18" t="n">
        <f aca="false">IFERROR(100*M273/J273,"")</f>
        <v>1.02011191009143</v>
      </c>
      <c r="AO273" s="18" t="n">
        <f aca="false">IFERROR(100*N273/J273,"")</f>
        <v>0.704119983789188</v>
      </c>
    </row>
    <row r="274" customFormat="false" ht="15" hidden="false" customHeight="false" outlineLevel="0" collapsed="false">
      <c r="A274" s="17" t="n">
        <v>17743</v>
      </c>
      <c r="B274" s="23" t="n">
        <v>45107</v>
      </c>
      <c r="C274" s="17" t="s">
        <v>129</v>
      </c>
      <c r="D274" s="17" t="s">
        <v>108</v>
      </c>
      <c r="E274" s="17" t="s">
        <v>114</v>
      </c>
      <c r="F274" s="17" t="n">
        <v>1333208</v>
      </c>
      <c r="G274" s="17" t="n">
        <v>1304454.66666667</v>
      </c>
      <c r="H274" s="17" t="n">
        <v>950623</v>
      </c>
      <c r="I274" s="17" t="n">
        <v>121236</v>
      </c>
      <c r="J274" s="17" t="n">
        <v>1037097</v>
      </c>
      <c r="K274" s="17" t="n">
        <v>1010134.66666667</v>
      </c>
      <c r="L274" s="17" t="n">
        <v>1005554</v>
      </c>
      <c r="M274" s="17" t="n">
        <v>11605</v>
      </c>
      <c r="N274" s="17" t="n">
        <v>7617</v>
      </c>
      <c r="O274" s="17" t="n">
        <v>4416</v>
      </c>
      <c r="P274" s="17" t="n">
        <v>993</v>
      </c>
      <c r="Q274" s="17" t="n">
        <v>0</v>
      </c>
      <c r="R274" s="17" t="n">
        <v>-32</v>
      </c>
      <c r="S274" s="17" t="n">
        <v>0</v>
      </c>
      <c r="T274" s="17" t="n">
        <v>0</v>
      </c>
      <c r="U274" s="17" t="n">
        <v>1260</v>
      </c>
      <c r="V274" s="17" t="n">
        <v>0.0965920880347445</v>
      </c>
      <c r="W274" s="17" t="n">
        <v>1.04</v>
      </c>
      <c r="X274" s="17" t="n">
        <v>2.08643107377961</v>
      </c>
      <c r="Y274" s="17" t="n">
        <v>0.454345157685347</v>
      </c>
      <c r="Z274" s="17" t="n">
        <v>0</v>
      </c>
      <c r="AA274" s="17" t="n">
        <v>9.09355479415065</v>
      </c>
      <c r="AB274" s="17" t="n">
        <v>8.6752169497107</v>
      </c>
      <c r="AC274" s="17" t="n">
        <v>10.0893795446102</v>
      </c>
      <c r="AD274" s="17" t="n">
        <v>1.85937617195453</v>
      </c>
      <c r="AE274" s="17" t="n">
        <v>-0.205787819709739</v>
      </c>
      <c r="AF274" s="17" t="n">
        <v>0.0912536988227281</v>
      </c>
      <c r="AG274" s="18" t="n">
        <f aca="false">IFERROR(100*O274/F274,"")</f>
        <v>0.331231135726758</v>
      </c>
      <c r="AH274" s="18" t="n">
        <f aca="false">IFERROR(100*(P274+Q274)/F274,"")</f>
        <v>0.074482001308123</v>
      </c>
      <c r="AI274" s="18" t="n">
        <f aca="false">IFERROR(100*R274/K274,"")</f>
        <v>-0.00316789444575707</v>
      </c>
      <c r="AJ274" s="18" t="str">
        <f aca="false">IF(T274&gt;0,100*S274/T274,"")</f>
        <v/>
      </c>
      <c r="AK274" s="18" t="n">
        <f aca="false">IFERROR(100*U274/G274,"")</f>
        <v>0.0965920880347445</v>
      </c>
      <c r="AL274" s="18" t="n">
        <f aca="false">IFERROR(100*J274/H274,"")</f>
        <v>109.096560886913</v>
      </c>
      <c r="AM274" s="18" t="n">
        <f aca="false">IFERROR(100*L274/J274,"")</f>
        <v>96.9585294336017</v>
      </c>
      <c r="AN274" s="18" t="n">
        <f aca="false">IFERROR(100*M274/J274,"")</f>
        <v>1.11898886989356</v>
      </c>
      <c r="AO274" s="18" t="n">
        <f aca="false">IFERROR(100*N274/J274,"")</f>
        <v>0.734453961394161</v>
      </c>
    </row>
    <row r="275" customFormat="false" ht="15" hidden="false" customHeight="false" outlineLevel="0" collapsed="false">
      <c r="A275" s="17" t="n">
        <v>17743</v>
      </c>
      <c r="B275" s="23" t="n">
        <v>45199</v>
      </c>
      <c r="C275" s="17" t="s">
        <v>129</v>
      </c>
      <c r="D275" s="17" t="s">
        <v>108</v>
      </c>
      <c r="E275" s="17" t="s">
        <v>114</v>
      </c>
      <c r="F275" s="17" t="n">
        <v>1343923</v>
      </c>
      <c r="G275" s="17" t="n">
        <v>1314321.75</v>
      </c>
      <c r="H275" s="17" t="n">
        <v>962463</v>
      </c>
      <c r="I275" s="17" t="n">
        <v>114040</v>
      </c>
      <c r="J275" s="17" t="n">
        <v>1053953</v>
      </c>
      <c r="K275" s="17" t="n">
        <v>1021089.25</v>
      </c>
      <c r="L275" s="17" t="n">
        <v>1018679</v>
      </c>
      <c r="M275" s="17" t="n">
        <v>13921</v>
      </c>
      <c r="N275" s="17" t="n">
        <v>9333</v>
      </c>
      <c r="O275" s="17" t="n">
        <v>4816</v>
      </c>
      <c r="P275" s="17" t="n">
        <v>614</v>
      </c>
      <c r="Q275" s="17" t="n">
        <v>50</v>
      </c>
      <c r="R275" s="17" t="n">
        <v>21.3328</v>
      </c>
      <c r="S275" s="17" t="n">
        <v>0</v>
      </c>
      <c r="T275" s="17" t="n">
        <v>0</v>
      </c>
      <c r="U275" s="17" t="n">
        <v>547.9863</v>
      </c>
      <c r="V275" s="17" t="n">
        <v>0.0416934666112008</v>
      </c>
      <c r="W275" s="17" t="n">
        <v>0.46</v>
      </c>
      <c r="X275" s="17" t="n">
        <v>2.06213614232857</v>
      </c>
      <c r="Y275" s="17" t="n">
        <v>0.44413745204957</v>
      </c>
      <c r="Z275" s="17" t="n">
        <v>0</v>
      </c>
      <c r="AA275" s="17" t="n">
        <v>8.48560520208375</v>
      </c>
      <c r="AB275" s="17" t="n">
        <v>7.54971858612032</v>
      </c>
      <c r="AC275" s="17" t="n">
        <v>10.489877774295</v>
      </c>
      <c r="AD275" s="17" t="n">
        <v>-5.23805116652751</v>
      </c>
      <c r="AE275" s="17" t="n">
        <v>-0.317824219450636</v>
      </c>
      <c r="AF275" s="17" t="n">
        <v>0.188297133098023</v>
      </c>
      <c r="AG275" s="18" t="n">
        <f aca="false">IFERROR(100*O275/F275,"")</f>
        <v>0.35835386402346</v>
      </c>
      <c r="AH275" s="18" t="n">
        <f aca="false">IFERROR(100*(P275+Q275)/F275,"")</f>
        <v>0.049407592548085</v>
      </c>
      <c r="AI275" s="18" t="n">
        <f aca="false">IFERROR(100*R275/K275,"")</f>
        <v>0.00208921991882688</v>
      </c>
      <c r="AJ275" s="18" t="str">
        <f aca="false">IF(T275&gt;0,100*S275/T275,"")</f>
        <v/>
      </c>
      <c r="AK275" s="18" t="n">
        <f aca="false">IFERROR(100*U275/G275,"")</f>
        <v>0.0416934666112008</v>
      </c>
      <c r="AL275" s="18" t="n">
        <f aca="false">IFERROR(100*J275/H275,"")</f>
        <v>109.505819963988</v>
      </c>
      <c r="AM275" s="18" t="n">
        <f aca="false">IFERROR(100*L275/J275,"")</f>
        <v>96.6531714412313</v>
      </c>
      <c r="AN275" s="18" t="n">
        <f aca="false">IFERROR(100*M275/J275,"")</f>
        <v>1.32083688741339</v>
      </c>
      <c r="AO275" s="18" t="n">
        <f aca="false">IFERROR(100*N275/J275,"")</f>
        <v>0.885523358252218</v>
      </c>
    </row>
    <row r="276" customFormat="false" ht="15" hidden="false" customHeight="false" outlineLevel="0" collapsed="false">
      <c r="A276" s="17" t="n">
        <v>17743</v>
      </c>
      <c r="B276" s="23" t="n">
        <v>45291</v>
      </c>
      <c r="C276" s="17" t="s">
        <v>129</v>
      </c>
      <c r="D276" s="17" t="s">
        <v>108</v>
      </c>
      <c r="E276" s="17" t="s">
        <v>114</v>
      </c>
      <c r="F276" s="17" t="n">
        <v>1380826</v>
      </c>
      <c r="G276" s="17" t="n">
        <v>1327622.6</v>
      </c>
      <c r="H276" s="17" t="n">
        <v>963516</v>
      </c>
      <c r="I276" s="17" t="n">
        <v>122659</v>
      </c>
      <c r="J276" s="17" t="n">
        <v>1091678</v>
      </c>
      <c r="K276" s="17" t="n">
        <v>1035207</v>
      </c>
      <c r="L276" s="17" t="n">
        <v>1054307</v>
      </c>
      <c r="M276" s="17" t="n">
        <v>16284</v>
      </c>
      <c r="N276" s="17" t="n">
        <v>9354</v>
      </c>
      <c r="O276" s="17" t="n">
        <v>1762</v>
      </c>
      <c r="P276" s="17" t="n">
        <v>3339</v>
      </c>
      <c r="Q276" s="17" t="n">
        <v>0</v>
      </c>
      <c r="R276" s="17" t="n">
        <v>13</v>
      </c>
      <c r="S276" s="17" t="n">
        <v>0</v>
      </c>
      <c r="T276" s="17" t="n">
        <v>0</v>
      </c>
      <c r="U276" s="17" t="n">
        <v>617</v>
      </c>
      <c r="V276" s="17" t="n">
        <v>0.0464740506827769</v>
      </c>
      <c r="W276" s="17" t="n">
        <v>0.51</v>
      </c>
      <c r="X276" s="17" t="n">
        <v>2.02539734976566</v>
      </c>
      <c r="Y276" s="17" t="n">
        <v>0.429064247882617</v>
      </c>
      <c r="Z276" s="17" t="n">
        <v>0</v>
      </c>
      <c r="AA276" s="17" t="n">
        <v>8.88301639743168</v>
      </c>
      <c r="AB276" s="17" t="n">
        <v>8.18451191746543</v>
      </c>
      <c r="AC276" s="17" t="n">
        <v>10.9311617471324</v>
      </c>
      <c r="AD276" s="17" t="n">
        <v>-4.37685710259245</v>
      </c>
      <c r="AE276" s="17" t="n">
        <v>-0.370972203318024</v>
      </c>
      <c r="AF276" s="17" t="n">
        <v>-0.062466687266731</v>
      </c>
      <c r="AG276" s="18" t="n">
        <f aca="false">IFERROR(100*O276/F276,"")</f>
        <v>0.127604781485864</v>
      </c>
      <c r="AH276" s="18" t="n">
        <f aca="false">IFERROR(100*(P276+Q276)/F276,"")</f>
        <v>0.241811785119921</v>
      </c>
      <c r="AI276" s="18" t="n">
        <f aca="false">IFERROR(100*R276/K276,"")</f>
        <v>0.00125578748984503</v>
      </c>
      <c r="AJ276" s="18" t="str">
        <f aca="false">IF(T276&gt;0,100*S276/T276,"")</f>
        <v/>
      </c>
      <c r="AK276" s="18" t="n">
        <f aca="false">IFERROR(100*U276/G276,"")</f>
        <v>0.0464740506827769</v>
      </c>
      <c r="AL276" s="18" t="n">
        <f aca="false">IFERROR(100*J276/H276,"")</f>
        <v>113.301491620274</v>
      </c>
      <c r="AM276" s="18" t="n">
        <f aca="false">IFERROR(100*L276/J276,"")</f>
        <v>96.5767378292867</v>
      </c>
      <c r="AN276" s="18" t="n">
        <f aca="false">IFERROR(100*M276/J276,"")</f>
        <v>1.4916486363195</v>
      </c>
      <c r="AO276" s="18" t="n">
        <f aca="false">IFERROR(100*N276/J276,"")</f>
        <v>0.856846066330914</v>
      </c>
    </row>
    <row r="277" customFormat="false" ht="15" hidden="false" customHeight="false" outlineLevel="0" collapsed="false">
      <c r="A277" s="17" t="n">
        <v>17743</v>
      </c>
      <c r="B277" s="23" t="n">
        <v>45382</v>
      </c>
      <c r="C277" s="17" t="s">
        <v>129</v>
      </c>
      <c r="D277" s="17" t="s">
        <v>108</v>
      </c>
      <c r="E277" s="17" t="s">
        <v>114</v>
      </c>
      <c r="F277" s="17" t="n">
        <v>1393711</v>
      </c>
      <c r="G277" s="17" t="n">
        <v>1387268.5</v>
      </c>
      <c r="H277" s="17" t="n">
        <v>978717</v>
      </c>
      <c r="I277" s="17" t="n">
        <v>122061</v>
      </c>
      <c r="J277" s="17" t="n">
        <v>1099628</v>
      </c>
      <c r="K277" s="17" t="n">
        <v>1095653</v>
      </c>
      <c r="L277" s="17" t="n">
        <v>1062851</v>
      </c>
      <c r="M277" s="17" t="n">
        <v>15543</v>
      </c>
      <c r="N277" s="17" t="n">
        <v>9685</v>
      </c>
      <c r="O277" s="17" t="n">
        <v>3695</v>
      </c>
      <c r="P277" s="17" t="n">
        <v>8713</v>
      </c>
      <c r="Q277" s="17" t="n">
        <v>0</v>
      </c>
      <c r="R277" s="17" t="n">
        <v>-8</v>
      </c>
      <c r="S277" s="17" t="n">
        <v>0</v>
      </c>
      <c r="T277" s="17" t="n">
        <v>0</v>
      </c>
      <c r="U277" s="17" t="n">
        <v>-508</v>
      </c>
      <c r="V277" s="17" t="n">
        <v>-0.0366187223309691</v>
      </c>
      <c r="W277" s="17" t="n">
        <v>-0.42</v>
      </c>
      <c r="X277" s="17" t="n">
        <v>1.83483584309946</v>
      </c>
      <c r="Y277" s="17" t="n">
        <v>0.426144114191345</v>
      </c>
      <c r="Z277" s="17" t="n">
        <v>0</v>
      </c>
      <c r="AA277" s="17" t="n">
        <v>8.75798497679935</v>
      </c>
      <c r="AB277" s="17" t="n">
        <v>6.89656494814366</v>
      </c>
      <c r="AC277" s="17" t="n">
        <v>8.96004074502354</v>
      </c>
      <c r="AD277" s="17" t="n">
        <v>-1.89303950874197</v>
      </c>
      <c r="AE277" s="17" t="n">
        <v>-0.121884884532014</v>
      </c>
      <c r="AF277" s="17" t="n">
        <v>0.0729112479129117</v>
      </c>
      <c r="AG277" s="18" t="n">
        <f aca="false">IFERROR(100*O277/F277,"")</f>
        <v>0.265119526214545</v>
      </c>
      <c r="AH277" s="18" t="n">
        <f aca="false">IFERROR(100*(P277+Q277)/F277,"")</f>
        <v>0.625165475482363</v>
      </c>
      <c r="AI277" s="18" t="n">
        <f aca="false">IFERROR(100*R277/K277,"")</f>
        <v>-0.000730158179642642</v>
      </c>
      <c r="AJ277" s="18" t="str">
        <f aca="false">IF(T277&gt;0,100*S277/T277,"")</f>
        <v/>
      </c>
      <c r="AK277" s="18" t="n">
        <f aca="false">IFERROR(100*U277/G277,"")</f>
        <v>-0.0366187223309691</v>
      </c>
      <c r="AL277" s="18" t="n">
        <f aca="false">IFERROR(100*J277/H277,"")</f>
        <v>112.354030838332</v>
      </c>
      <c r="AM277" s="18" t="n">
        <f aca="false">IFERROR(100*L277/J277,"")</f>
        <v>96.6555053163434</v>
      </c>
      <c r="AN277" s="18" t="n">
        <f aca="false">IFERROR(100*M277/J277,"")</f>
        <v>1.41347801256425</v>
      </c>
      <c r="AO277" s="18" t="n">
        <f aca="false">IFERROR(100*N277/J277,"")</f>
        <v>0.880752399902513</v>
      </c>
    </row>
    <row r="278" customFormat="false" ht="15" hidden="false" customHeight="false" outlineLevel="0" collapsed="false">
      <c r="A278" s="17" t="n">
        <v>17743</v>
      </c>
      <c r="B278" s="23" t="n">
        <v>45473</v>
      </c>
      <c r="C278" s="17" t="s">
        <v>129</v>
      </c>
      <c r="D278" s="17" t="s">
        <v>108</v>
      </c>
      <c r="E278" s="17" t="s">
        <v>114</v>
      </c>
      <c r="F278" s="17" t="n">
        <v>1404406</v>
      </c>
      <c r="G278" s="17" t="n">
        <v>1392981</v>
      </c>
      <c r="H278" s="17" t="n">
        <v>980636</v>
      </c>
      <c r="I278" s="17" t="n">
        <v>121628</v>
      </c>
      <c r="J278" s="17" t="n">
        <v>1119255</v>
      </c>
      <c r="K278" s="17" t="n">
        <v>1103520.33333333</v>
      </c>
      <c r="L278" s="17" t="n">
        <v>1079649</v>
      </c>
      <c r="M278" s="17" t="n">
        <v>18094</v>
      </c>
      <c r="N278" s="17" t="n">
        <v>10298</v>
      </c>
      <c r="O278" s="17" t="n">
        <v>3998</v>
      </c>
      <c r="P278" s="17" t="n">
        <v>1402</v>
      </c>
      <c r="Q278" s="17" t="n">
        <v>0</v>
      </c>
      <c r="R278" s="17" t="n">
        <v>-6</v>
      </c>
      <c r="S278" s="17" t="n">
        <v>0</v>
      </c>
      <c r="T278" s="17" t="n">
        <v>0</v>
      </c>
      <c r="U278" s="17" t="n">
        <v>-436</v>
      </c>
      <c r="V278" s="17" t="n">
        <v>-0.0312997808297457</v>
      </c>
      <c r="W278" s="17" t="n">
        <v>-0.36</v>
      </c>
      <c r="X278" s="17" t="n">
        <v>1.85173719140557</v>
      </c>
      <c r="Y278" s="17" t="n">
        <v>0.418671348352252</v>
      </c>
      <c r="Z278" s="17" t="n">
        <v>0</v>
      </c>
      <c r="AA278" s="17" t="n">
        <v>8.66045858533786</v>
      </c>
      <c r="AB278" s="17" t="n">
        <v>5.34035199308736</v>
      </c>
      <c r="AC278" s="17" t="n">
        <v>7.92192051466738</v>
      </c>
      <c r="AD278" s="17" t="n">
        <v>3.15719270415296</v>
      </c>
      <c r="AE278" s="17" t="n">
        <v>-0.12789186886449</v>
      </c>
      <c r="AF278" s="17" t="n">
        <v>-0.0465556216660095</v>
      </c>
      <c r="AG278" s="18" t="n">
        <f aca="false">IFERROR(100*O278/F278,"")</f>
        <v>0.284675514060749</v>
      </c>
      <c r="AH278" s="18" t="n">
        <f aca="false">IFERROR(100*(P278+Q278)/F278,"")</f>
        <v>0.0998286820193021</v>
      </c>
      <c r="AI278" s="18" t="n">
        <f aca="false">IFERROR(100*R278/K278,"")</f>
        <v>-0.000543714494310783</v>
      </c>
      <c r="AJ278" s="18" t="str">
        <f aca="false">IF(T278&gt;0,100*S278/T278,"")</f>
        <v/>
      </c>
      <c r="AK278" s="18" t="n">
        <f aca="false">IFERROR(100*U278/G278,"")</f>
        <v>-0.0312997808297457</v>
      </c>
      <c r="AL278" s="18" t="n">
        <f aca="false">IFERROR(100*J278/H278,"")</f>
        <v>114.135622188049</v>
      </c>
      <c r="AM278" s="18" t="n">
        <f aca="false">IFERROR(100*L278/J278,"")</f>
        <v>96.4613961965772</v>
      </c>
      <c r="AN278" s="18" t="n">
        <f aca="false">IFERROR(100*M278/J278,"")</f>
        <v>1.61661104931405</v>
      </c>
      <c r="AO278" s="18" t="n">
        <f aca="false">IFERROR(100*N278/J278,"")</f>
        <v>0.920076300753626</v>
      </c>
    </row>
    <row r="279" customFormat="false" ht="15" hidden="false" customHeight="false" outlineLevel="0" collapsed="false">
      <c r="A279" s="17" t="n">
        <v>17743</v>
      </c>
      <c r="B279" s="23" t="n">
        <v>45565</v>
      </c>
      <c r="C279" s="17" t="s">
        <v>129</v>
      </c>
      <c r="D279" s="17" t="s">
        <v>108</v>
      </c>
      <c r="E279" s="17" t="s">
        <v>114</v>
      </c>
      <c r="F279" s="17" t="n">
        <v>1427194</v>
      </c>
      <c r="G279" s="17" t="n">
        <v>1401534.25</v>
      </c>
      <c r="H279" s="17" t="n">
        <v>1006052</v>
      </c>
      <c r="I279" s="17" t="n">
        <v>126250</v>
      </c>
      <c r="J279" s="17" t="n">
        <v>1138419</v>
      </c>
      <c r="K279" s="17" t="n">
        <v>1112245</v>
      </c>
      <c r="L279" s="17" t="n">
        <v>1102493</v>
      </c>
      <c r="M279" s="17" t="n">
        <v>14864</v>
      </c>
      <c r="N279" s="17" t="n">
        <v>10164</v>
      </c>
      <c r="O279" s="17" t="n">
        <v>1621</v>
      </c>
      <c r="P279" s="17" t="n">
        <v>779</v>
      </c>
      <c r="Q279" s="17" t="n">
        <v>0</v>
      </c>
      <c r="R279" s="17" t="n">
        <v>-33.3325</v>
      </c>
      <c r="S279" s="17" t="n">
        <v>0</v>
      </c>
      <c r="T279" s="17" t="n">
        <v>0</v>
      </c>
      <c r="U279" s="17" t="n">
        <v>821.3128</v>
      </c>
      <c r="V279" s="17" t="n">
        <v>0.0586009796050293</v>
      </c>
      <c r="W279" s="17" t="n">
        <v>0.67</v>
      </c>
      <c r="X279" s="17" t="n">
        <v>1.89647843215573</v>
      </c>
      <c r="Y279" s="17" t="n">
        <v>0.419704871404992</v>
      </c>
      <c r="Z279" s="17" t="n">
        <v>0</v>
      </c>
      <c r="AA279" s="17" t="n">
        <v>8.84602934149107</v>
      </c>
      <c r="AB279" s="17" t="n">
        <v>6.19611391426442</v>
      </c>
      <c r="AC279" s="17" t="n">
        <v>8.01420936227706</v>
      </c>
      <c r="AD279" s="17" t="n">
        <v>4.52890137075399</v>
      </c>
      <c r="AE279" s="17" t="n">
        <v>0.0169075129938285</v>
      </c>
      <c r="AF279" s="17" t="n">
        <v>-0.244774350656671</v>
      </c>
      <c r="AG279" s="18" t="n">
        <f aca="false">IFERROR(100*O279/F279,"")</f>
        <v>0.113579513366788</v>
      </c>
      <c r="AH279" s="18" t="n">
        <f aca="false">IFERROR(100*(P279+Q279)/F279,"")</f>
        <v>0.0545826285704676</v>
      </c>
      <c r="AI279" s="18" t="n">
        <f aca="false">IFERROR(100*R279/K279,"")</f>
        <v>-0.00299686669753517</v>
      </c>
      <c r="AJ279" s="18" t="str">
        <f aca="false">IF(T279&gt;0,100*S279/T279,"")</f>
        <v/>
      </c>
      <c r="AK279" s="18" t="n">
        <f aca="false">IFERROR(100*U279/G279,"")</f>
        <v>0.0586009796050293</v>
      </c>
      <c r="AL279" s="18" t="n">
        <f aca="false">IFERROR(100*J279/H279,"")</f>
        <v>113.157073391833</v>
      </c>
      <c r="AM279" s="18" t="n">
        <f aca="false">IFERROR(100*L279/J279,"")</f>
        <v>96.8442199225417</v>
      </c>
      <c r="AN279" s="18" t="n">
        <f aca="false">IFERROR(100*M279/J279,"")</f>
        <v>1.30567040781997</v>
      </c>
      <c r="AO279" s="18" t="n">
        <f aca="false">IFERROR(100*N279/J279,"")</f>
        <v>0.89281714377571</v>
      </c>
    </row>
    <row r="280" customFormat="false" ht="15" hidden="false" customHeight="false" outlineLevel="0" collapsed="false">
      <c r="A280" s="17" t="n">
        <v>17743</v>
      </c>
      <c r="B280" s="23" t="n">
        <v>45657</v>
      </c>
      <c r="C280" s="17" t="s">
        <v>129</v>
      </c>
      <c r="D280" s="17" t="s">
        <v>108</v>
      </c>
      <c r="E280" s="17" t="s">
        <v>114</v>
      </c>
      <c r="F280" s="17" t="n">
        <v>1411602</v>
      </c>
      <c r="G280" s="17" t="n">
        <v>1403547.8</v>
      </c>
      <c r="H280" s="17" t="n">
        <v>1011066</v>
      </c>
      <c r="I280" s="17" t="n">
        <v>125438</v>
      </c>
      <c r="J280" s="17" t="n">
        <v>1136109</v>
      </c>
      <c r="K280" s="17" t="n">
        <v>1117017.8</v>
      </c>
      <c r="L280" s="17" t="n">
        <v>1098486</v>
      </c>
      <c r="M280" s="17" t="n">
        <v>16652</v>
      </c>
      <c r="N280" s="17" t="n">
        <v>10324</v>
      </c>
      <c r="O280" s="17" t="n">
        <v>632</v>
      </c>
      <c r="P280" s="17" t="n">
        <v>5686</v>
      </c>
      <c r="Q280" s="17" t="n">
        <v>0</v>
      </c>
      <c r="R280" s="17" t="n">
        <v>-25</v>
      </c>
      <c r="S280" s="17" t="n">
        <v>0</v>
      </c>
      <c r="T280" s="17" t="n">
        <v>0</v>
      </c>
      <c r="U280" s="17" t="n">
        <v>1513</v>
      </c>
      <c r="V280" s="17" t="n">
        <v>0.107798252400096</v>
      </c>
      <c r="W280" s="17" t="n">
        <v>1.22</v>
      </c>
      <c r="X280" s="17" t="n">
        <v>1.92720178816881</v>
      </c>
      <c r="Y280" s="17" t="n">
        <v>0.420558238690126</v>
      </c>
      <c r="Z280" s="17" t="n">
        <v>0</v>
      </c>
      <c r="AA280" s="17" t="n">
        <v>8.88621580303797</v>
      </c>
      <c r="AB280" s="17" t="n">
        <v>2.22881087117421</v>
      </c>
      <c r="AC280" s="17" t="n">
        <v>4.06997301402061</v>
      </c>
      <c r="AD280" s="17" t="n">
        <v>4.9350503779906</v>
      </c>
      <c r="AE280" s="17" t="n">
        <v>0.0613242017173195</v>
      </c>
      <c r="AF280" s="17" t="n">
        <v>-0.0828329548661797</v>
      </c>
      <c r="AG280" s="18" t="n">
        <f aca="false">IFERROR(100*O280/F280,"")</f>
        <v>0.0447718266196846</v>
      </c>
      <c r="AH280" s="18" t="n">
        <f aca="false">IFERROR(100*(P280+Q280)/F280,"")</f>
        <v>0.402804756581529</v>
      </c>
      <c r="AI280" s="18" t="n">
        <f aca="false">IFERROR(100*R280/K280,"")</f>
        <v>-0.00223810220392191</v>
      </c>
      <c r="AJ280" s="18" t="str">
        <f aca="false">IF(T280&gt;0,100*S280/T280,"")</f>
        <v/>
      </c>
      <c r="AK280" s="18" t="n">
        <f aca="false">IFERROR(100*U280/G280,"")</f>
        <v>0.107798252400096</v>
      </c>
      <c r="AL280" s="18" t="n">
        <f aca="false">IFERROR(100*J280/H280,"")</f>
        <v>112.367441888067</v>
      </c>
      <c r="AM280" s="18" t="n">
        <f aca="false">IFERROR(100*L280/J280,"")</f>
        <v>96.6884339442782</v>
      </c>
      <c r="AN280" s="18" t="n">
        <f aca="false">IFERROR(100*M280/J280,"")</f>
        <v>1.46570443504981</v>
      </c>
      <c r="AO280" s="18" t="n">
        <f aca="false">IFERROR(100*N280/J280,"")</f>
        <v>0.908715624997249</v>
      </c>
    </row>
    <row r="281" customFormat="false" ht="15" hidden="false" customHeight="false" outlineLevel="0" collapsed="false">
      <c r="A281" s="17" t="n">
        <v>17743</v>
      </c>
      <c r="B281" s="23" t="n">
        <v>45747</v>
      </c>
      <c r="C281" s="17" t="s">
        <v>129</v>
      </c>
      <c r="D281" s="17" t="s">
        <v>108</v>
      </c>
      <c r="E281" s="17" t="s">
        <v>114</v>
      </c>
      <c r="F281" s="17" t="n">
        <v>1421036</v>
      </c>
      <c r="G281" s="17" t="n">
        <v>1416319</v>
      </c>
      <c r="H281" s="17" t="n">
        <v>1011028</v>
      </c>
      <c r="I281" s="17" t="n">
        <v>126472</v>
      </c>
      <c r="J281" s="17" t="n">
        <v>1133534</v>
      </c>
      <c r="K281" s="17" t="n">
        <v>1134821.5</v>
      </c>
      <c r="L281" s="17" t="n">
        <v>1096181</v>
      </c>
      <c r="M281" s="17" t="n">
        <v>16286</v>
      </c>
      <c r="N281" s="17" t="n">
        <v>10447</v>
      </c>
      <c r="O281" s="17" t="n">
        <v>757</v>
      </c>
      <c r="P281" s="17" t="n">
        <v>6382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-188</v>
      </c>
      <c r="V281" s="17" t="n">
        <v>-0.0132738457932147</v>
      </c>
      <c r="W281" s="17" t="n">
        <v>-0.15</v>
      </c>
      <c r="X281" s="17" t="n">
        <v>2.04173672753816</v>
      </c>
      <c r="Y281" s="17" t="n">
        <v>0.421513602591541</v>
      </c>
      <c r="Z281" s="17" t="n">
        <v>0</v>
      </c>
      <c r="AA281" s="17" t="n">
        <v>8.89998564427643</v>
      </c>
      <c r="AB281" s="17" t="n">
        <v>1.96059297802773</v>
      </c>
      <c r="AC281" s="17" t="n">
        <v>3.08340638834224</v>
      </c>
      <c r="AD281" s="17" t="n">
        <v>3.30136290674423</v>
      </c>
      <c r="AE281" s="17" t="n">
        <v>0.0233448765377544</v>
      </c>
      <c r="AF281" s="17" t="n">
        <v>-0.211848532376247</v>
      </c>
      <c r="AG281" s="18" t="n">
        <f aca="false">IFERROR(100*O281/F281,"")</f>
        <v>0.0532709938382983</v>
      </c>
      <c r="AH281" s="18" t="n">
        <f aca="false">IFERROR(100*(P281+Q281)/F281,"")</f>
        <v>0.449108959941902</v>
      </c>
      <c r="AI281" s="18" t="n">
        <f aca="false">IFERROR(100*R281/K281,"")</f>
        <v>0</v>
      </c>
      <c r="AJ281" s="18" t="str">
        <f aca="false">IF(T281&gt;0,100*S281/T281,"")</f>
        <v/>
      </c>
      <c r="AK281" s="18" t="n">
        <f aca="false">IFERROR(100*U281/G281,"")</f>
        <v>-0.0132738457932147</v>
      </c>
      <c r="AL281" s="18" t="n">
        <f aca="false">IFERROR(100*J281/H281,"")</f>
        <v>112.116974010611</v>
      </c>
      <c r="AM281" s="18" t="n">
        <f aca="false">IFERROR(100*L281/J281,"")</f>
        <v>96.7047305153617</v>
      </c>
      <c r="AN281" s="18" t="n">
        <f aca="false">IFERROR(100*M281/J281,"")</f>
        <v>1.43674561151231</v>
      </c>
      <c r="AO281" s="18" t="n">
        <f aca="false">IFERROR(100*N281/J281,"")</f>
        <v>0.921630934758022</v>
      </c>
    </row>
    <row r="282" customFormat="false" ht="15" hidden="false" customHeight="false" outlineLevel="0" collapsed="false">
      <c r="A282" s="17" t="n">
        <v>17743</v>
      </c>
      <c r="B282" s="23" t="n">
        <v>45838</v>
      </c>
      <c r="C282" s="17" t="s">
        <v>129</v>
      </c>
      <c r="D282" s="17" t="s">
        <v>108</v>
      </c>
      <c r="E282" s="17" t="s">
        <v>114</v>
      </c>
      <c r="F282" s="17" t="n">
        <v>1439697</v>
      </c>
      <c r="G282" s="17" t="n">
        <v>1424111.66666667</v>
      </c>
      <c r="H282" s="17" t="n">
        <v>1017963</v>
      </c>
      <c r="I282" s="17" t="n">
        <v>126615</v>
      </c>
      <c r="J282" s="17" t="n">
        <v>1153900</v>
      </c>
      <c r="K282" s="17" t="n">
        <v>1141181</v>
      </c>
      <c r="L282" s="17" t="n">
        <v>1110982</v>
      </c>
      <c r="M282" s="17" t="n">
        <v>22427</v>
      </c>
      <c r="N282" s="17" t="n">
        <v>10475</v>
      </c>
      <c r="O282" s="17" t="n">
        <v>407</v>
      </c>
      <c r="P282" s="17" t="n">
        <v>1517</v>
      </c>
      <c r="Q282" s="17" t="n">
        <v>0</v>
      </c>
      <c r="R282" s="17" t="n">
        <v>188</v>
      </c>
      <c r="S282" s="17" t="n">
        <v>0</v>
      </c>
      <c r="T282" s="17" t="n">
        <v>0</v>
      </c>
      <c r="U282" s="17" t="n">
        <v>960</v>
      </c>
      <c r="V282" s="17" t="n">
        <v>0.0674104441716298</v>
      </c>
      <c r="W282" s="17" t="n">
        <v>0.76</v>
      </c>
      <c r="X282" s="17" t="n">
        <v>2.0701108760452</v>
      </c>
      <c r="Y282" s="17" t="n">
        <v>0.417193864286333</v>
      </c>
      <c r="Z282" s="17" t="n">
        <v>0</v>
      </c>
      <c r="AA282" s="17" t="n">
        <v>8.79455885509243</v>
      </c>
      <c r="AB282" s="17" t="n">
        <v>2.51287733034464</v>
      </c>
      <c r="AC282" s="17" t="n">
        <v>3.09536254026115</v>
      </c>
      <c r="AD282" s="17" t="n">
        <v>3.80640727038371</v>
      </c>
      <c r="AE282" s="17" t="n">
        <v>0.0987102250013755</v>
      </c>
      <c r="AF282" s="17" t="n">
        <v>-0.256405676726921</v>
      </c>
      <c r="AG282" s="18" t="n">
        <f aca="false">IFERROR(100*O282/F282,"")</f>
        <v>0.0282698373338279</v>
      </c>
      <c r="AH282" s="18" t="n">
        <f aca="false">IFERROR(100*(P282+Q282)/F282,"")</f>
        <v>0.105369393698813</v>
      </c>
      <c r="AI282" s="18" t="n">
        <f aca="false">IFERROR(100*R282/K282,"")</f>
        <v>0.0164741614169882</v>
      </c>
      <c r="AJ282" s="18" t="str">
        <f aca="false">IF(T282&gt;0,100*S282/T282,"")</f>
        <v/>
      </c>
      <c r="AK282" s="18" t="n">
        <f aca="false">IFERROR(100*U282/G282,"")</f>
        <v>0.0674104441716298</v>
      </c>
      <c r="AL282" s="18" t="n">
        <f aca="false">IFERROR(100*J282/H282,"")</f>
        <v>113.353825237263</v>
      </c>
      <c r="AM282" s="18" t="n">
        <f aca="false">IFERROR(100*L282/J282,"")</f>
        <v>96.2806135713667</v>
      </c>
      <c r="AN282" s="18" t="n">
        <f aca="false">IFERROR(100*M282/J282,"")</f>
        <v>1.94358263281047</v>
      </c>
      <c r="AO282" s="18" t="n">
        <f aca="false">IFERROR(100*N282/J282,"")</f>
        <v>0.907790969754745</v>
      </c>
    </row>
    <row r="283" customFormat="false" ht="15" hidden="false" customHeight="false" outlineLevel="0" collapsed="false">
      <c r="A283" s="17" t="n">
        <v>17748</v>
      </c>
      <c r="B283" s="23" t="n">
        <v>44651</v>
      </c>
      <c r="C283" s="17" t="s">
        <v>196</v>
      </c>
      <c r="D283" s="17" t="s">
        <v>108</v>
      </c>
      <c r="E283" s="17" t="s">
        <v>114</v>
      </c>
      <c r="F283" s="17" t="n">
        <v>1547967</v>
      </c>
      <c r="G283" s="17" t="n">
        <v>1544095</v>
      </c>
      <c r="H283" s="17" t="n">
        <v>1360876</v>
      </c>
      <c r="I283" s="17" t="n">
        <v>122781</v>
      </c>
      <c r="J283" s="17" t="n">
        <v>1135646</v>
      </c>
      <c r="K283" s="17" t="n">
        <v>1134479</v>
      </c>
      <c r="L283" s="17" t="n">
        <v>958834</v>
      </c>
      <c r="M283" s="17" t="n">
        <v>144260</v>
      </c>
      <c r="N283" s="17" t="n">
        <v>2958</v>
      </c>
      <c r="O283" s="17" t="n">
        <v>7767</v>
      </c>
      <c r="P283" s="17" t="n">
        <v>2878</v>
      </c>
      <c r="Q283" s="17" t="n">
        <v>0</v>
      </c>
      <c r="R283" s="17" t="n">
        <v>188</v>
      </c>
      <c r="S283" s="17" t="n">
        <v>0</v>
      </c>
      <c r="T283" s="17" t="n">
        <v>0</v>
      </c>
      <c r="U283" s="17" t="n">
        <v>-4728</v>
      </c>
      <c r="V283" s="17" t="n">
        <v>-0.306198776629676</v>
      </c>
      <c r="W283" s="17" t="n">
        <v>-3.64</v>
      </c>
      <c r="X283" s="17" t="n">
        <v>3.15264453148257</v>
      </c>
      <c r="Y283" s="17" t="n">
        <v>0.813721881642695</v>
      </c>
      <c r="Z283" s="17" t="n">
        <v>0</v>
      </c>
      <c r="AA283" s="17" t="n">
        <v>7.93175823515618</v>
      </c>
      <c r="AB283" s="17"/>
      <c r="AC283" s="17"/>
      <c r="AD283" s="17"/>
      <c r="AE283" s="17"/>
      <c r="AF283" s="17"/>
      <c r="AG283" s="18" t="n">
        <f aca="false">IFERROR(100*O283/F283,"")</f>
        <v>0.501754882371523</v>
      </c>
      <c r="AH283" s="18" t="n">
        <f aca="false">IFERROR(100*(P283+Q283)/F283,"")</f>
        <v>0.185921276099555</v>
      </c>
      <c r="AI283" s="18" t="n">
        <f aca="false">IFERROR(100*R283/K283,"")</f>
        <v>0.0165714834739118</v>
      </c>
      <c r="AJ283" s="18" t="str">
        <f aca="false">IF(T283&gt;0,100*S283/T283,"")</f>
        <v/>
      </c>
      <c r="AK283" s="18" t="n">
        <f aca="false">IFERROR(100*U283/G283,"")</f>
        <v>-0.306198776629676</v>
      </c>
      <c r="AL283" s="18" t="n">
        <f aca="false">IFERROR(100*J283/H283,"")</f>
        <v>83.4496309729909</v>
      </c>
      <c r="AM283" s="18" t="n">
        <f aca="false">IFERROR(100*L283/J283,"")</f>
        <v>84.4307116830421</v>
      </c>
      <c r="AN283" s="18" t="n">
        <f aca="false">IFERROR(100*M283/J283,"")</f>
        <v>12.7029021367574</v>
      </c>
      <c r="AO283" s="18" t="n">
        <f aca="false">IFERROR(100*N283/J283,"")</f>
        <v>0.260468491061475</v>
      </c>
    </row>
    <row r="284" customFormat="false" ht="15" hidden="false" customHeight="false" outlineLevel="0" collapsed="false">
      <c r="A284" s="17" t="n">
        <v>17748</v>
      </c>
      <c r="B284" s="23" t="n">
        <v>44742</v>
      </c>
      <c r="C284" s="17" t="s">
        <v>196</v>
      </c>
      <c r="D284" s="17" t="s">
        <v>108</v>
      </c>
      <c r="E284" s="17" t="s">
        <v>114</v>
      </c>
      <c r="F284" s="17" t="n">
        <v>1555791</v>
      </c>
      <c r="G284" s="17" t="n">
        <v>1547993.66666667</v>
      </c>
      <c r="H284" s="17" t="n">
        <v>1381456</v>
      </c>
      <c r="I284" s="17" t="n">
        <v>113025</v>
      </c>
      <c r="J284" s="17" t="n">
        <v>1170439</v>
      </c>
      <c r="K284" s="17" t="n">
        <v>1146465.66666667</v>
      </c>
      <c r="L284" s="17" t="n">
        <v>984164</v>
      </c>
      <c r="M284" s="17" t="n">
        <v>151034</v>
      </c>
      <c r="N284" s="17" t="n">
        <v>2941</v>
      </c>
      <c r="O284" s="17" t="n">
        <v>7622</v>
      </c>
      <c r="P284" s="17" t="n">
        <v>1109</v>
      </c>
      <c r="Q284" s="17" t="n">
        <v>0</v>
      </c>
      <c r="R284" s="17" t="n">
        <v>200</v>
      </c>
      <c r="S284" s="17" t="n">
        <v>0</v>
      </c>
      <c r="T284" s="17" t="n">
        <v>0</v>
      </c>
      <c r="U284" s="17" t="n">
        <v>3182</v>
      </c>
      <c r="V284" s="17" t="n">
        <v>0.205556396548565</v>
      </c>
      <c r="W284" s="17" t="n">
        <v>2.56</v>
      </c>
      <c r="X284" s="17" t="n">
        <v>3.13610096670494</v>
      </c>
      <c r="Y284" s="17" t="n">
        <v>0.831653764100478</v>
      </c>
      <c r="Z284" s="17" t="n">
        <v>0</v>
      </c>
      <c r="AA284" s="17" t="n">
        <v>7.26479327878873</v>
      </c>
      <c r="AB284" s="17"/>
      <c r="AC284" s="17"/>
      <c r="AD284" s="17"/>
      <c r="AE284" s="17"/>
      <c r="AF284" s="17"/>
      <c r="AG284" s="18" t="n">
        <f aca="false">IFERROR(100*O284/F284,"")</f>
        <v>0.489911562671336</v>
      </c>
      <c r="AH284" s="18" t="n">
        <f aca="false">IFERROR(100*(P284+Q284)/F284,"")</f>
        <v>0.0712820680926937</v>
      </c>
      <c r="AI284" s="18" t="n">
        <f aca="false">IFERROR(100*R284/K284,"")</f>
        <v>0.017444918397033</v>
      </c>
      <c r="AJ284" s="18" t="str">
        <f aca="false">IF(T284&gt;0,100*S284/T284,"")</f>
        <v/>
      </c>
      <c r="AK284" s="18" t="n">
        <f aca="false">IFERROR(100*U284/G284,"")</f>
        <v>0.205556396548565</v>
      </c>
      <c r="AL284" s="18" t="n">
        <f aca="false">IFERROR(100*J284/H284,"")</f>
        <v>84.7250292445072</v>
      </c>
      <c r="AM284" s="18" t="n">
        <f aca="false">IFERROR(100*L284/J284,"")</f>
        <v>84.0850313429406</v>
      </c>
      <c r="AN284" s="18" t="n">
        <f aca="false">IFERROR(100*M284/J284,"")</f>
        <v>12.9040471139461</v>
      </c>
      <c r="AO284" s="18" t="n">
        <f aca="false">IFERROR(100*N284/J284,"")</f>
        <v>0.251273240211579</v>
      </c>
    </row>
    <row r="285" customFormat="false" ht="15" hidden="false" customHeight="false" outlineLevel="0" collapsed="false">
      <c r="A285" s="17" t="n">
        <v>17748</v>
      </c>
      <c r="B285" s="23" t="n">
        <v>44834</v>
      </c>
      <c r="C285" s="17" t="s">
        <v>196</v>
      </c>
      <c r="D285" s="17" t="s">
        <v>108</v>
      </c>
      <c r="E285" s="17" t="s">
        <v>114</v>
      </c>
      <c r="F285" s="17" t="n">
        <v>1552351</v>
      </c>
      <c r="G285" s="17" t="n">
        <v>1549083</v>
      </c>
      <c r="H285" s="17" t="n">
        <v>1377805</v>
      </c>
      <c r="I285" s="17" t="n">
        <v>102427</v>
      </c>
      <c r="J285" s="17" t="n">
        <v>1181676</v>
      </c>
      <c r="K285" s="17" t="n">
        <v>1155268.25</v>
      </c>
      <c r="L285" s="17" t="n">
        <v>1007459</v>
      </c>
      <c r="M285" s="17" t="n">
        <v>140498</v>
      </c>
      <c r="N285" s="17" t="n">
        <v>3081</v>
      </c>
      <c r="O285" s="17" t="n">
        <v>6350</v>
      </c>
      <c r="P285" s="17" t="n">
        <v>318</v>
      </c>
      <c r="Q285" s="17" t="n">
        <v>0</v>
      </c>
      <c r="R285" s="17" t="n">
        <v>261.3268</v>
      </c>
      <c r="S285" s="17" t="n">
        <v>0</v>
      </c>
      <c r="T285" s="17" t="n">
        <v>0</v>
      </c>
      <c r="U285" s="17" t="n">
        <v>5701.1908</v>
      </c>
      <c r="V285" s="17" t="n">
        <v>0.368036496430469</v>
      </c>
      <c r="W285" s="17" t="n">
        <v>4.8</v>
      </c>
      <c r="X285" s="17" t="n">
        <v>3.10802229687928</v>
      </c>
      <c r="Y285" s="17" t="n">
        <v>0.818583097228005</v>
      </c>
      <c r="Z285" s="17" t="n">
        <v>0</v>
      </c>
      <c r="AA285" s="17" t="n">
        <v>6.59818559075879</v>
      </c>
      <c r="AB285" s="17"/>
      <c r="AC285" s="17"/>
      <c r="AD285" s="17"/>
      <c r="AE285" s="17"/>
      <c r="AF285" s="17"/>
      <c r="AG285" s="18" t="n">
        <f aca="false">IFERROR(100*O285/F285,"")</f>
        <v>0.40905697229557</v>
      </c>
      <c r="AH285" s="18" t="n">
        <f aca="false">IFERROR(100*(P285+Q285)/F285,"")</f>
        <v>0.0204850578251955</v>
      </c>
      <c r="AI285" s="18" t="n">
        <f aca="false">IFERROR(100*R285/K285,"")</f>
        <v>0.0226204433472486</v>
      </c>
      <c r="AJ285" s="18" t="str">
        <f aca="false">IF(T285&gt;0,100*S285/T285,"")</f>
        <v/>
      </c>
      <c r="AK285" s="18" t="n">
        <f aca="false">IFERROR(100*U285/G285,"")</f>
        <v>0.368036496430469</v>
      </c>
      <c r="AL285" s="18" t="n">
        <f aca="false">IFERROR(100*J285/H285,"")</f>
        <v>85.7651118989988</v>
      </c>
      <c r="AM285" s="18" t="n">
        <f aca="false">IFERROR(100*L285/J285,"")</f>
        <v>85.2567878166266</v>
      </c>
      <c r="AN285" s="18" t="n">
        <f aca="false">IFERROR(100*M285/J285,"")</f>
        <v>11.8897227327965</v>
      </c>
      <c r="AO285" s="18" t="n">
        <f aca="false">IFERROR(100*N285/J285,"")</f>
        <v>0.260731367989195</v>
      </c>
    </row>
    <row r="286" customFormat="false" ht="15" hidden="false" customHeight="false" outlineLevel="0" collapsed="false">
      <c r="A286" s="17" t="n">
        <v>17748</v>
      </c>
      <c r="B286" s="23" t="n">
        <v>44926</v>
      </c>
      <c r="C286" s="17" t="s">
        <v>196</v>
      </c>
      <c r="D286" s="17" t="s">
        <v>108</v>
      </c>
      <c r="E286" s="17" t="s">
        <v>114</v>
      </c>
      <c r="F286" s="17" t="n">
        <v>1607984</v>
      </c>
      <c r="G286" s="17" t="n">
        <v>1560863.2</v>
      </c>
      <c r="H286" s="17" t="n">
        <v>1349761</v>
      </c>
      <c r="I286" s="17" t="n">
        <v>106514</v>
      </c>
      <c r="J286" s="17" t="n">
        <v>1241205</v>
      </c>
      <c r="K286" s="17" t="n">
        <v>1172455.6</v>
      </c>
      <c r="L286" s="17" t="n">
        <v>1039935</v>
      </c>
      <c r="M286" s="17" t="n">
        <v>166333</v>
      </c>
      <c r="N286" s="17" t="n">
        <v>3017</v>
      </c>
      <c r="O286" s="17" t="n">
        <v>6143</v>
      </c>
      <c r="P286" s="17" t="n">
        <v>3233</v>
      </c>
      <c r="Q286" s="17" t="n">
        <v>0</v>
      </c>
      <c r="R286" s="17" t="n">
        <v>242</v>
      </c>
      <c r="S286" s="17" t="n">
        <v>0</v>
      </c>
      <c r="T286" s="17" t="n">
        <v>0</v>
      </c>
      <c r="U286" s="17" t="n">
        <v>6228</v>
      </c>
      <c r="V286" s="17" t="n">
        <v>0.399009983706452</v>
      </c>
      <c r="W286" s="17" t="n">
        <v>5.35</v>
      </c>
      <c r="X286" s="17" t="n">
        <v>3.0347031274041</v>
      </c>
      <c r="Y286" s="17" t="n">
        <v>0.817512014534263</v>
      </c>
      <c r="Z286" s="17" t="n">
        <v>0</v>
      </c>
      <c r="AA286" s="17" t="n">
        <v>6.62407088627748</v>
      </c>
      <c r="AB286" s="17"/>
      <c r="AC286" s="17"/>
      <c r="AD286" s="17"/>
      <c r="AE286" s="17"/>
      <c r="AF286" s="17"/>
      <c r="AG286" s="18" t="n">
        <f aca="false">IFERROR(100*O286/F286,"")</f>
        <v>0.382031164489199</v>
      </c>
      <c r="AH286" s="18" t="n">
        <f aca="false">IFERROR(100*(P286+Q286)/F286,"")</f>
        <v>0.201059214519547</v>
      </c>
      <c r="AI286" s="18" t="n">
        <f aca="false">IFERROR(100*R286/K286,"")</f>
        <v>0.0206404404567644</v>
      </c>
      <c r="AJ286" s="18" t="str">
        <f aca="false">IF(T286&gt;0,100*S286/T286,"")</f>
        <v/>
      </c>
      <c r="AK286" s="18" t="n">
        <f aca="false">IFERROR(100*U286/G286,"")</f>
        <v>0.399009983706452</v>
      </c>
      <c r="AL286" s="18" t="n">
        <f aca="false">IFERROR(100*J286/H286,"")</f>
        <v>91.957390975143</v>
      </c>
      <c r="AM286" s="18" t="n">
        <f aca="false">IFERROR(100*L286/J286,"")</f>
        <v>83.7843063796875</v>
      </c>
      <c r="AN286" s="18" t="n">
        <f aca="false">IFERROR(100*M286/J286,"")</f>
        <v>13.4009289359937</v>
      </c>
      <c r="AO286" s="18" t="n">
        <f aca="false">IFERROR(100*N286/J286,"")</f>
        <v>0.24307024222429</v>
      </c>
    </row>
    <row r="287" customFormat="false" ht="15" hidden="false" customHeight="false" outlineLevel="0" collapsed="false">
      <c r="A287" s="17" t="n">
        <v>17748</v>
      </c>
      <c r="B287" s="23" t="n">
        <v>45016</v>
      </c>
      <c r="C287" s="17" t="s">
        <v>196</v>
      </c>
      <c r="D287" s="17" t="s">
        <v>108</v>
      </c>
      <c r="E287" s="17" t="s">
        <v>114</v>
      </c>
      <c r="F287" s="17" t="n">
        <v>1649776</v>
      </c>
      <c r="G287" s="17" t="n">
        <v>1628880</v>
      </c>
      <c r="H287" s="17" t="n">
        <v>1413359</v>
      </c>
      <c r="I287" s="17" t="n">
        <v>110285</v>
      </c>
      <c r="J287" s="17" t="n">
        <v>1247367</v>
      </c>
      <c r="K287" s="17" t="n">
        <v>1244286</v>
      </c>
      <c r="L287" s="17" t="n">
        <v>1051242</v>
      </c>
      <c r="M287" s="17" t="n">
        <v>161096</v>
      </c>
      <c r="N287" s="17" t="n">
        <v>3255</v>
      </c>
      <c r="O287" s="17" t="n">
        <v>6401</v>
      </c>
      <c r="P287" s="17" t="n">
        <v>2887</v>
      </c>
      <c r="Q287" s="17" t="n">
        <v>0</v>
      </c>
      <c r="R287" s="17" t="n">
        <v>4444</v>
      </c>
      <c r="S287" s="17" t="n">
        <v>0</v>
      </c>
      <c r="T287" s="17" t="n">
        <v>0</v>
      </c>
      <c r="U287" s="17" t="n">
        <v>1812</v>
      </c>
      <c r="V287" s="17" t="n">
        <v>0.111242080447915</v>
      </c>
      <c r="W287" s="17" t="n">
        <v>1.67</v>
      </c>
      <c r="X287" s="17" t="n">
        <v>2.55248226856839</v>
      </c>
      <c r="Y287" s="17" t="n">
        <v>0.788861658196826</v>
      </c>
      <c r="Z287" s="17" t="n">
        <v>0</v>
      </c>
      <c r="AA287" s="17" t="n">
        <v>6.68484691255055</v>
      </c>
      <c r="AB287" s="17" t="n">
        <v>6.57694899180668</v>
      </c>
      <c r="AC287" s="17" t="n">
        <v>9.83766067947229</v>
      </c>
      <c r="AD287" s="17" t="n">
        <v>3.85656003926882</v>
      </c>
      <c r="AE287" s="17" t="n">
        <v>0.417440857077591</v>
      </c>
      <c r="AF287" s="17" t="n">
        <v>-0.113762815569727</v>
      </c>
      <c r="AG287" s="18" t="n">
        <f aca="false">IFERROR(100*O287/F287,"")</f>
        <v>0.387992066801796</v>
      </c>
      <c r="AH287" s="18" t="n">
        <f aca="false">IFERROR(100*(P287+Q287)/F287,"")</f>
        <v>0.174993453656739</v>
      </c>
      <c r="AI287" s="18" t="n">
        <f aca="false">IFERROR(100*R287/K287,"")</f>
        <v>0.357152616038435</v>
      </c>
      <c r="AJ287" s="18" t="str">
        <f aca="false">IF(T287&gt;0,100*S287/T287,"")</f>
        <v/>
      </c>
      <c r="AK287" s="18" t="n">
        <f aca="false">IFERROR(100*U287/G287,"")</f>
        <v>0.111242080447915</v>
      </c>
      <c r="AL287" s="18" t="n">
        <f aca="false">IFERROR(100*J287/H287,"")</f>
        <v>88.2554963034869</v>
      </c>
      <c r="AM287" s="18" t="n">
        <f aca="false">IFERROR(100*L287/J287,"")</f>
        <v>84.276880821763</v>
      </c>
      <c r="AN287" s="18" t="n">
        <f aca="false">IFERROR(100*M287/J287,"")</f>
        <v>12.9148839114711</v>
      </c>
      <c r="AO287" s="18" t="n">
        <f aca="false">IFERROR(100*N287/J287,"")</f>
        <v>0.260949664373035</v>
      </c>
    </row>
    <row r="288" customFormat="false" ht="15" hidden="false" customHeight="false" outlineLevel="0" collapsed="false">
      <c r="A288" s="17" t="n">
        <v>17748</v>
      </c>
      <c r="B288" s="23" t="n">
        <v>45107</v>
      </c>
      <c r="C288" s="17" t="s">
        <v>196</v>
      </c>
      <c r="D288" s="17" t="s">
        <v>108</v>
      </c>
      <c r="E288" s="17" t="s">
        <v>114</v>
      </c>
      <c r="F288" s="17" t="n">
        <v>1638948</v>
      </c>
      <c r="G288" s="17" t="n">
        <v>1632236</v>
      </c>
      <c r="H288" s="17" t="n">
        <v>1352478</v>
      </c>
      <c r="I288" s="17" t="n">
        <v>107830</v>
      </c>
      <c r="J288" s="17" t="n">
        <v>1266653</v>
      </c>
      <c r="K288" s="17" t="n">
        <v>1251741.66666667</v>
      </c>
      <c r="L288" s="17" t="n">
        <v>1048029</v>
      </c>
      <c r="M288" s="17" t="n">
        <v>181251</v>
      </c>
      <c r="N288" s="17" t="n">
        <v>3607</v>
      </c>
      <c r="O288" s="17" t="n">
        <v>6702</v>
      </c>
      <c r="P288" s="17" t="n">
        <v>1943</v>
      </c>
      <c r="Q288" s="17" t="n">
        <v>0</v>
      </c>
      <c r="R288" s="17" t="n">
        <v>2220</v>
      </c>
      <c r="S288" s="17" t="n">
        <v>0</v>
      </c>
      <c r="T288" s="17" t="n">
        <v>0</v>
      </c>
      <c r="U288" s="17" t="n">
        <v>3038</v>
      </c>
      <c r="V288" s="17" t="n">
        <v>0.18612504564291</v>
      </c>
      <c r="W288" s="17" t="n">
        <v>2.81</v>
      </c>
      <c r="X288" s="17" t="n">
        <v>2.48237446499793</v>
      </c>
      <c r="Y288" s="17" t="n">
        <v>0.891878043947316</v>
      </c>
      <c r="Z288" s="17" t="n">
        <v>0</v>
      </c>
      <c r="AA288" s="17" t="n">
        <v>6.57922032913796</v>
      </c>
      <c r="AB288" s="17" t="n">
        <v>5.34499813921021</v>
      </c>
      <c r="AC288" s="17" t="n">
        <v>8.22033442152901</v>
      </c>
      <c r="AD288" s="17" t="n">
        <v>-2.09764190824753</v>
      </c>
      <c r="AE288" s="17" t="n">
        <v>-0.0194313509056552</v>
      </c>
      <c r="AF288" s="17" t="n">
        <v>-0.0809907183248402</v>
      </c>
      <c r="AG288" s="18" t="n">
        <f aca="false">IFERROR(100*O288/F288,"")</f>
        <v>0.408920844346495</v>
      </c>
      <c r="AH288" s="18" t="n">
        <f aca="false">IFERROR(100*(P288+Q288)/F288,"")</f>
        <v>0.118551656306362</v>
      </c>
      <c r="AI288" s="18" t="n">
        <f aca="false">IFERROR(100*R288/K288,"")</f>
        <v>0.177352888308956</v>
      </c>
      <c r="AJ288" s="18" t="str">
        <f aca="false">IF(T288&gt;0,100*S288/T288,"")</f>
        <v/>
      </c>
      <c r="AK288" s="18" t="n">
        <f aca="false">IFERROR(100*U288/G288,"")</f>
        <v>0.18612504564291</v>
      </c>
      <c r="AL288" s="18" t="n">
        <f aca="false">IFERROR(100*J288/H288,"")</f>
        <v>93.6542405865382</v>
      </c>
      <c r="AM288" s="18" t="n">
        <f aca="false">IFERROR(100*L288/J288,"")</f>
        <v>82.7400243002622</v>
      </c>
      <c r="AN288" s="18" t="n">
        <f aca="false">IFERROR(100*M288/J288,"")</f>
        <v>14.3094438650522</v>
      </c>
      <c r="AO288" s="18" t="n">
        <f aca="false">IFERROR(100*N288/J288,"")</f>
        <v>0.284766230372486</v>
      </c>
    </row>
    <row r="289" customFormat="false" ht="15" hidden="false" customHeight="false" outlineLevel="0" collapsed="false">
      <c r="A289" s="17" t="n">
        <v>17748</v>
      </c>
      <c r="B289" s="23" t="n">
        <v>45199</v>
      </c>
      <c r="C289" s="17" t="s">
        <v>196</v>
      </c>
      <c r="D289" s="17" t="s">
        <v>108</v>
      </c>
      <c r="E289" s="17" t="s">
        <v>114</v>
      </c>
      <c r="F289" s="17" t="n">
        <v>1637222</v>
      </c>
      <c r="G289" s="17" t="n">
        <v>1633482.5</v>
      </c>
      <c r="H289" s="17" t="n">
        <v>1377757</v>
      </c>
      <c r="I289" s="17" t="n">
        <v>100984</v>
      </c>
      <c r="J289" s="17" t="n">
        <v>1276766</v>
      </c>
      <c r="K289" s="17" t="n">
        <v>1257997.75</v>
      </c>
      <c r="L289" s="17" t="n">
        <v>1059712</v>
      </c>
      <c r="M289" s="17" t="n">
        <v>181024</v>
      </c>
      <c r="N289" s="17" t="n">
        <v>3627</v>
      </c>
      <c r="O289" s="17" t="n">
        <v>6912</v>
      </c>
      <c r="P289" s="17" t="n">
        <v>1286</v>
      </c>
      <c r="Q289" s="17" t="n">
        <v>0</v>
      </c>
      <c r="R289" s="17" t="n">
        <v>1490.6294</v>
      </c>
      <c r="S289" s="17" t="n">
        <v>0</v>
      </c>
      <c r="T289" s="17" t="n">
        <v>0</v>
      </c>
      <c r="U289" s="17" t="n">
        <v>4197.2284</v>
      </c>
      <c r="V289" s="17" t="n">
        <v>0.256949701022203</v>
      </c>
      <c r="W289" s="17" t="n">
        <v>3.94</v>
      </c>
      <c r="X289" s="17" t="n">
        <v>2.50725017577047</v>
      </c>
      <c r="Y289" s="17" t="n">
        <v>0.773595161525291</v>
      </c>
      <c r="Z289" s="17" t="n">
        <v>0</v>
      </c>
      <c r="AA289" s="17" t="n">
        <v>6.16800898106671</v>
      </c>
      <c r="AB289" s="17" t="n">
        <v>5.46725579459799</v>
      </c>
      <c r="AC289" s="17" t="n">
        <v>8.04704504449612</v>
      </c>
      <c r="AD289" s="17" t="n">
        <v>-0.00348380213455179</v>
      </c>
      <c r="AE289" s="17" t="n">
        <v>-0.111086795408266</v>
      </c>
      <c r="AF289" s="17" t="n">
        <v>0.0131215716037915</v>
      </c>
      <c r="AG289" s="18" t="n">
        <f aca="false">IFERROR(100*O289/F289,"")</f>
        <v>0.422178543899361</v>
      </c>
      <c r="AH289" s="18" t="n">
        <f aca="false">IFERROR(100*(P289+Q289)/F289,"")</f>
        <v>0.0785476862636832</v>
      </c>
      <c r="AI289" s="18" t="n">
        <f aca="false">IFERROR(100*R289/K289,"")</f>
        <v>0.118492215109288</v>
      </c>
      <c r="AJ289" s="18" t="str">
        <f aca="false">IF(T289&gt;0,100*S289/T289,"")</f>
        <v/>
      </c>
      <c r="AK289" s="18" t="n">
        <f aca="false">IFERROR(100*U289/G289,"")</f>
        <v>0.256949701022203</v>
      </c>
      <c r="AL289" s="18" t="n">
        <f aca="false">IFERROR(100*J289/H289,"")</f>
        <v>92.6698975218417</v>
      </c>
      <c r="AM289" s="18" t="n">
        <f aca="false">IFERROR(100*L289/J289,"")</f>
        <v>82.9997039394846</v>
      </c>
      <c r="AN289" s="18" t="n">
        <f aca="false">IFERROR(100*M289/J289,"")</f>
        <v>14.1783224177336</v>
      </c>
      <c r="AO289" s="18" t="n">
        <f aca="false">IFERROR(100*N289/J289,"")</f>
        <v>0.284077113582285</v>
      </c>
    </row>
    <row r="290" customFormat="false" ht="15" hidden="false" customHeight="false" outlineLevel="0" collapsed="false">
      <c r="A290" s="17" t="n">
        <v>17748</v>
      </c>
      <c r="B290" s="23" t="n">
        <v>45291</v>
      </c>
      <c r="C290" s="17" t="s">
        <v>196</v>
      </c>
      <c r="D290" s="17" t="s">
        <v>108</v>
      </c>
      <c r="E290" s="17" t="s">
        <v>114</v>
      </c>
      <c r="F290" s="17" t="n">
        <v>1668860</v>
      </c>
      <c r="G290" s="17" t="n">
        <v>1640558</v>
      </c>
      <c r="H290" s="17" t="n">
        <v>1336828</v>
      </c>
      <c r="I290" s="17" t="n">
        <v>114376</v>
      </c>
      <c r="J290" s="17" t="n">
        <v>1279867</v>
      </c>
      <c r="K290" s="17" t="n">
        <v>1262371.6</v>
      </c>
      <c r="L290" s="17" t="n">
        <v>1067583</v>
      </c>
      <c r="M290" s="17" t="n">
        <v>175931</v>
      </c>
      <c r="N290" s="17" t="n">
        <v>3416</v>
      </c>
      <c r="O290" s="17" t="n">
        <v>7520</v>
      </c>
      <c r="P290" s="17" t="n">
        <v>8168</v>
      </c>
      <c r="Q290" s="17" t="n">
        <v>0</v>
      </c>
      <c r="R290" s="17" t="n">
        <v>1213</v>
      </c>
      <c r="S290" s="17" t="n">
        <v>0</v>
      </c>
      <c r="T290" s="17" t="n">
        <v>0</v>
      </c>
      <c r="U290" s="17" t="n">
        <v>5286</v>
      </c>
      <c r="V290" s="17" t="n">
        <v>0.322207444052572</v>
      </c>
      <c r="W290" s="17" t="n">
        <v>4.89</v>
      </c>
      <c r="X290" s="17" t="n">
        <v>2.48310737904527</v>
      </c>
      <c r="Y290" s="17" t="n">
        <v>0.774689870119317</v>
      </c>
      <c r="Z290" s="17" t="n">
        <v>0</v>
      </c>
      <c r="AA290" s="17" t="n">
        <v>6.85354074038565</v>
      </c>
      <c r="AB290" s="17" t="n">
        <v>3.78585856575688</v>
      </c>
      <c r="AC290" s="17" t="n">
        <v>3.11487626943172</v>
      </c>
      <c r="AD290" s="17" t="n">
        <v>-0.95816963151254</v>
      </c>
      <c r="AE290" s="17" t="n">
        <v>-0.0768025396538793</v>
      </c>
      <c r="AF290" s="17" t="n">
        <v>0.0685758366972398</v>
      </c>
      <c r="AG290" s="18" t="n">
        <f aca="false">IFERROR(100*O290/F290,"")</f>
        <v>0.450607001186439</v>
      </c>
      <c r="AH290" s="18" t="n">
        <f aca="false">IFERROR(100*(P290+Q290)/F290,"")</f>
        <v>0.489435902352504</v>
      </c>
      <c r="AI290" s="18" t="n">
        <f aca="false">IFERROR(100*R290/K290,"")</f>
        <v>0.0960889804555172</v>
      </c>
      <c r="AJ290" s="18" t="str">
        <f aca="false">IF(T290&gt;0,100*S290/T290,"")</f>
        <v/>
      </c>
      <c r="AK290" s="18" t="n">
        <f aca="false">IFERROR(100*U290/G290,"")</f>
        <v>0.322207444052572</v>
      </c>
      <c r="AL290" s="18" t="n">
        <f aca="false">IFERROR(100*J290/H290,"")</f>
        <v>95.7390928376725</v>
      </c>
      <c r="AM290" s="18" t="n">
        <f aca="false">IFERROR(100*L290/J290,"")</f>
        <v>83.4135890682391</v>
      </c>
      <c r="AN290" s="18" t="n">
        <f aca="false">IFERROR(100*M290/J290,"")</f>
        <v>13.7460376742271</v>
      </c>
      <c r="AO290" s="18" t="n">
        <f aca="false">IFERROR(100*N290/J290,"")</f>
        <v>0.266902732862086</v>
      </c>
    </row>
    <row r="291" customFormat="false" ht="15" hidden="false" customHeight="false" outlineLevel="0" collapsed="false">
      <c r="A291" s="17" t="n">
        <v>17748</v>
      </c>
      <c r="B291" s="23" t="n">
        <v>45382</v>
      </c>
      <c r="C291" s="17" t="s">
        <v>196</v>
      </c>
      <c r="D291" s="17" t="s">
        <v>108</v>
      </c>
      <c r="E291" s="17" t="s">
        <v>114</v>
      </c>
      <c r="F291" s="17" t="n">
        <v>1644996</v>
      </c>
      <c r="G291" s="17" t="n">
        <v>1656928</v>
      </c>
      <c r="H291" s="17" t="n">
        <v>1346317</v>
      </c>
      <c r="I291" s="17" t="n">
        <v>112176</v>
      </c>
      <c r="J291" s="17" t="n">
        <v>1265225</v>
      </c>
      <c r="K291" s="17" t="n">
        <v>1272546</v>
      </c>
      <c r="L291" s="17" t="n">
        <v>1052324</v>
      </c>
      <c r="M291" s="17" t="n">
        <v>176024</v>
      </c>
      <c r="N291" s="17" t="n">
        <v>3218</v>
      </c>
      <c r="O291" s="17" t="n">
        <v>9414</v>
      </c>
      <c r="P291" s="17" t="n">
        <v>726</v>
      </c>
      <c r="Q291" s="17" t="n">
        <v>0</v>
      </c>
      <c r="R291" s="17" t="n">
        <v>1304</v>
      </c>
      <c r="S291" s="17" t="n">
        <v>0</v>
      </c>
      <c r="T291" s="17" t="n">
        <v>0</v>
      </c>
      <c r="U291" s="17" t="n">
        <v>3088</v>
      </c>
      <c r="V291" s="17" t="n">
        <v>0.186368991289905</v>
      </c>
      <c r="W291" s="17" t="n">
        <v>2.73</v>
      </c>
      <c r="X291" s="17" t="n">
        <v>2.34329764353995</v>
      </c>
      <c r="Y291" s="17" t="n">
        <v>0.770771997075619</v>
      </c>
      <c r="Z291" s="17" t="n">
        <v>0</v>
      </c>
      <c r="AA291" s="17" t="n">
        <v>6.81922630814908</v>
      </c>
      <c r="AB291" s="17" t="n">
        <v>-0.289736303595156</v>
      </c>
      <c r="AC291" s="17" t="n">
        <v>1.43165563943892</v>
      </c>
      <c r="AD291" s="17" t="n">
        <v>-4.74345159297814</v>
      </c>
      <c r="AE291" s="17" t="n">
        <v>0.07512691084199</v>
      </c>
      <c r="AF291" s="17" t="n">
        <v>0.184288960021369</v>
      </c>
      <c r="AG291" s="18" t="n">
        <f aca="false">IFERROR(100*O291/F291,"")</f>
        <v>0.572281026823166</v>
      </c>
      <c r="AH291" s="18" t="n">
        <f aca="false">IFERROR(100*(P291+Q291)/F291,"")</f>
        <v>0.0441338459181664</v>
      </c>
      <c r="AI291" s="18" t="n">
        <f aca="false">IFERROR(100*R291/K291,"")</f>
        <v>0.102471737760364</v>
      </c>
      <c r="AJ291" s="18" t="str">
        <f aca="false">IF(T291&gt;0,100*S291/T291,"")</f>
        <v/>
      </c>
      <c r="AK291" s="18" t="n">
        <f aca="false">IFERROR(100*U291/G291,"")</f>
        <v>0.186368991289905</v>
      </c>
      <c r="AL291" s="18" t="n">
        <f aca="false">IFERROR(100*J291/H291,"")</f>
        <v>93.9767528746944</v>
      </c>
      <c r="AM291" s="18" t="n">
        <f aca="false">IFERROR(100*L291/J291,"")</f>
        <v>83.1728743899306</v>
      </c>
      <c r="AN291" s="18" t="n">
        <f aca="false">IFERROR(100*M291/J291,"")</f>
        <v>13.9124661621451</v>
      </c>
      <c r="AO291" s="18" t="n">
        <f aca="false">IFERROR(100*N291/J291,"")</f>
        <v>0.254342113062894</v>
      </c>
    </row>
    <row r="292" customFormat="false" ht="15" hidden="false" customHeight="false" outlineLevel="0" collapsed="false">
      <c r="A292" s="17" t="n">
        <v>17748</v>
      </c>
      <c r="B292" s="23" t="n">
        <v>45473</v>
      </c>
      <c r="C292" s="17" t="s">
        <v>196</v>
      </c>
      <c r="D292" s="17" t="s">
        <v>108</v>
      </c>
      <c r="E292" s="17" t="s">
        <v>114</v>
      </c>
      <c r="F292" s="17" t="n">
        <v>1653584</v>
      </c>
      <c r="G292" s="17" t="n">
        <v>1655813.33333333</v>
      </c>
      <c r="H292" s="17" t="n">
        <v>1349536</v>
      </c>
      <c r="I292" s="17" t="n">
        <v>113727</v>
      </c>
      <c r="J292" s="17" t="n">
        <v>1269678</v>
      </c>
      <c r="K292" s="17" t="n">
        <v>1271590</v>
      </c>
      <c r="L292" s="17" t="n">
        <v>1060225</v>
      </c>
      <c r="M292" s="17" t="n">
        <v>171859</v>
      </c>
      <c r="N292" s="17" t="n">
        <v>3225</v>
      </c>
      <c r="O292" s="17" t="n">
        <v>7932</v>
      </c>
      <c r="P292" s="17" t="n">
        <v>10728</v>
      </c>
      <c r="Q292" s="17" t="n">
        <v>0</v>
      </c>
      <c r="R292" s="17" t="n">
        <v>-14</v>
      </c>
      <c r="S292" s="17" t="n">
        <v>0</v>
      </c>
      <c r="T292" s="17" t="n">
        <v>0</v>
      </c>
      <c r="U292" s="17" t="n">
        <v>4636</v>
      </c>
      <c r="V292" s="17" t="n">
        <v>0.279983250930057</v>
      </c>
      <c r="W292" s="17" t="n">
        <v>4.09</v>
      </c>
      <c r="X292" s="17" t="n">
        <v>2.36555254962579</v>
      </c>
      <c r="Y292" s="17" t="n">
        <v>0.72112771899647</v>
      </c>
      <c r="Z292" s="17" t="n">
        <v>0</v>
      </c>
      <c r="AA292" s="17" t="n">
        <v>6.87760645966579</v>
      </c>
      <c r="AB292" s="17" t="n">
        <v>0.893011858826509</v>
      </c>
      <c r="AC292" s="17" t="n">
        <v>0.238818366198168</v>
      </c>
      <c r="AD292" s="17" t="n">
        <v>-0.217526643686627</v>
      </c>
      <c r="AE292" s="17" t="n">
        <v>0.0938582052871471</v>
      </c>
      <c r="AF292" s="17" t="n">
        <v>0.0707644936829001</v>
      </c>
      <c r="AG292" s="18" t="n">
        <f aca="false">IFERROR(100*O292/F292,"")</f>
        <v>0.479685338029396</v>
      </c>
      <c r="AH292" s="18" t="n">
        <f aca="false">IFERROR(100*(P292+Q292)/F292,"")</f>
        <v>0.648772605443691</v>
      </c>
      <c r="AI292" s="18" t="n">
        <f aca="false">IFERROR(100*R292/K292,"")</f>
        <v>-0.00110098380767386</v>
      </c>
      <c r="AJ292" s="18" t="str">
        <f aca="false">IF(T292&gt;0,100*S292/T292,"")</f>
        <v/>
      </c>
      <c r="AK292" s="18" t="n">
        <f aca="false">IFERROR(100*U292/G292,"")</f>
        <v>0.279983250930057</v>
      </c>
      <c r="AL292" s="18" t="n">
        <f aca="false">IFERROR(100*J292/H292,"")</f>
        <v>94.0825587461172</v>
      </c>
      <c r="AM292" s="18" t="n">
        <f aca="false">IFERROR(100*L292/J292,"")</f>
        <v>83.5034552067532</v>
      </c>
      <c r="AN292" s="18" t="n">
        <f aca="false">IFERROR(100*M292/J292,"")</f>
        <v>13.5356365944751</v>
      </c>
      <c r="AO292" s="18" t="n">
        <f aca="false">IFERROR(100*N292/J292,"")</f>
        <v>0.254001408231063</v>
      </c>
    </row>
    <row r="293" customFormat="false" ht="15" hidden="false" customHeight="false" outlineLevel="0" collapsed="false">
      <c r="A293" s="17" t="n">
        <v>17748</v>
      </c>
      <c r="B293" s="23" t="n">
        <v>45565</v>
      </c>
      <c r="C293" s="17" t="s">
        <v>196</v>
      </c>
      <c r="D293" s="17" t="s">
        <v>108</v>
      </c>
      <c r="E293" s="17" t="s">
        <v>114</v>
      </c>
      <c r="F293" s="17" t="n">
        <v>1623796</v>
      </c>
      <c r="G293" s="17" t="n">
        <v>1647809</v>
      </c>
      <c r="H293" s="17" t="n">
        <v>1375485</v>
      </c>
      <c r="I293" s="17" t="n">
        <v>122957</v>
      </c>
      <c r="J293" s="17" t="n">
        <v>1252737</v>
      </c>
      <c r="K293" s="17" t="n">
        <v>1266876.75</v>
      </c>
      <c r="L293" s="17" t="n">
        <v>1057786</v>
      </c>
      <c r="M293" s="17" t="n">
        <v>156031</v>
      </c>
      <c r="N293" s="17" t="n">
        <v>3252</v>
      </c>
      <c r="O293" s="17" t="n">
        <v>5501</v>
      </c>
      <c r="P293" s="17" t="n">
        <v>1443</v>
      </c>
      <c r="Q293" s="17" t="n">
        <v>0</v>
      </c>
      <c r="R293" s="17" t="n">
        <v>-318.6587</v>
      </c>
      <c r="S293" s="17" t="n">
        <v>0</v>
      </c>
      <c r="T293" s="17" t="n">
        <v>0</v>
      </c>
      <c r="U293" s="17" t="n">
        <v>5878.5197</v>
      </c>
      <c r="V293" s="17" t="n">
        <v>0.356747638834355</v>
      </c>
      <c r="W293" s="17" t="n">
        <v>5.08</v>
      </c>
      <c r="X293" s="17" t="n">
        <v>2.49460134726617</v>
      </c>
      <c r="Y293" s="17" t="n">
        <v>0.709247032697206</v>
      </c>
      <c r="Z293" s="17" t="n">
        <v>0</v>
      </c>
      <c r="AA293" s="17" t="n">
        <v>7.57219502942488</v>
      </c>
      <c r="AB293" s="17" t="n">
        <v>-0.820047617244335</v>
      </c>
      <c r="AC293" s="17" t="n">
        <v>-1.8820206678436</v>
      </c>
      <c r="AD293" s="17" t="n">
        <v>-0.164905712690988</v>
      </c>
      <c r="AE293" s="17" t="n">
        <v>0.0997979378121526</v>
      </c>
      <c r="AF293" s="17" t="n">
        <v>-0.0834044614407273</v>
      </c>
      <c r="AG293" s="18" t="n">
        <f aca="false">IFERROR(100*O293/F293,"")</f>
        <v>0.338774082458634</v>
      </c>
      <c r="AH293" s="18" t="n">
        <f aca="false">IFERROR(100*(P293+Q293)/F293,"")</f>
        <v>0.0888658427536464</v>
      </c>
      <c r="AI293" s="18" t="n">
        <f aca="false">IFERROR(100*R293/K293,"")</f>
        <v>-0.0251530940164464</v>
      </c>
      <c r="AJ293" s="18" t="str">
        <f aca="false">IF(T293&gt;0,100*S293/T293,"")</f>
        <v/>
      </c>
      <c r="AK293" s="18" t="n">
        <f aca="false">IFERROR(100*U293/G293,"")</f>
        <v>0.356747638834355</v>
      </c>
      <c r="AL293" s="18" t="n">
        <f aca="false">IFERROR(100*J293/H293,"")</f>
        <v>91.0760204582384</v>
      </c>
      <c r="AM293" s="18" t="n">
        <f aca="false">IFERROR(100*L293/J293,"")</f>
        <v>84.4379945670959</v>
      </c>
      <c r="AN293" s="18" t="n">
        <f aca="false">IFERROR(100*M293/J293,"")</f>
        <v>12.4552080763959</v>
      </c>
      <c r="AO293" s="18" t="n">
        <f aca="false">IFERROR(100*N293/J293,"")</f>
        <v>0.259591598236501</v>
      </c>
    </row>
    <row r="294" customFormat="false" ht="15" hidden="false" customHeight="false" outlineLevel="0" collapsed="false">
      <c r="A294" s="17" t="n">
        <v>17748</v>
      </c>
      <c r="B294" s="23" t="n">
        <v>45657</v>
      </c>
      <c r="C294" s="17" t="s">
        <v>196</v>
      </c>
      <c r="D294" s="17" t="s">
        <v>108</v>
      </c>
      <c r="E294" s="17" t="s">
        <v>114</v>
      </c>
      <c r="F294" s="17" t="n">
        <v>1608101</v>
      </c>
      <c r="G294" s="17" t="n">
        <v>1639867.4</v>
      </c>
      <c r="H294" s="17" t="n">
        <v>1393920</v>
      </c>
      <c r="I294" s="17" t="n">
        <v>116220</v>
      </c>
      <c r="J294" s="17" t="n">
        <v>1278094</v>
      </c>
      <c r="K294" s="17" t="n">
        <v>1269120.2</v>
      </c>
      <c r="L294" s="17" t="n">
        <v>1056120</v>
      </c>
      <c r="M294" s="17" t="n">
        <v>181997</v>
      </c>
      <c r="N294" s="17" t="n">
        <v>3204</v>
      </c>
      <c r="O294" s="17" t="n">
        <v>6153</v>
      </c>
      <c r="P294" s="17" t="n">
        <v>5364</v>
      </c>
      <c r="Q294" s="17" t="n">
        <v>0</v>
      </c>
      <c r="R294" s="17" t="n">
        <v>-206</v>
      </c>
      <c r="S294" s="17" t="n">
        <v>0</v>
      </c>
      <c r="T294" s="17" t="n">
        <v>0</v>
      </c>
      <c r="U294" s="17" t="n">
        <v>5407</v>
      </c>
      <c r="V294" s="17" t="n">
        <v>0.329721781163526</v>
      </c>
      <c r="W294" s="17" t="n">
        <v>4.67</v>
      </c>
      <c r="X294" s="17" t="n">
        <v>2.48246240518063</v>
      </c>
      <c r="Y294" s="17" t="n">
        <v>0.73766092321848</v>
      </c>
      <c r="Z294" s="17" t="n">
        <v>0</v>
      </c>
      <c r="AA294" s="17" t="n">
        <v>7.22715799567316</v>
      </c>
      <c r="AB294" s="17" t="n">
        <v>-3.64074877461261</v>
      </c>
      <c r="AC294" s="17" t="n">
        <v>-0.138530019134797</v>
      </c>
      <c r="AD294" s="17" t="n">
        <v>4.27070647832033</v>
      </c>
      <c r="AE294" s="17" t="n">
        <v>0.00751433711095345</v>
      </c>
      <c r="AF294" s="17" t="n">
        <v>-0.0679817805068918</v>
      </c>
      <c r="AG294" s="18" t="n">
        <f aca="false">IFERROR(100*O294/F294,"")</f>
        <v>0.382625220679547</v>
      </c>
      <c r="AH294" s="18" t="n">
        <f aca="false">IFERROR(100*(P294+Q294)/F294,"")</f>
        <v>0.333561138261838</v>
      </c>
      <c r="AI294" s="18" t="n">
        <f aca="false">IFERROR(100*R294/K294,"")</f>
        <v>-0.016231717058794</v>
      </c>
      <c r="AJ294" s="18" t="str">
        <f aca="false">IF(T294&gt;0,100*S294/T294,"")</f>
        <v/>
      </c>
      <c r="AK294" s="18" t="n">
        <f aca="false">IFERROR(100*U294/G294,"")</f>
        <v>0.329721781163526</v>
      </c>
      <c r="AL294" s="18" t="n">
        <f aca="false">IFERROR(100*J294/H294,"")</f>
        <v>91.6906278696051</v>
      </c>
      <c r="AM294" s="18" t="n">
        <f aca="false">IFERROR(100*L294/J294,"")</f>
        <v>82.6324198376645</v>
      </c>
      <c r="AN294" s="18" t="n">
        <f aca="false">IFERROR(100*M294/J294,"")</f>
        <v>14.2397194572543</v>
      </c>
      <c r="AO294" s="18" t="n">
        <f aca="false">IFERROR(100*N294/J294,"")</f>
        <v>0.250685786804413</v>
      </c>
    </row>
    <row r="295" customFormat="false" ht="15" hidden="false" customHeight="false" outlineLevel="0" collapsed="false">
      <c r="A295" s="17" t="n">
        <v>17749</v>
      </c>
      <c r="B295" s="23" t="n">
        <v>44651</v>
      </c>
      <c r="C295" s="17" t="s">
        <v>156</v>
      </c>
      <c r="D295" s="17" t="s">
        <v>108</v>
      </c>
      <c r="E295" s="17" t="s">
        <v>114</v>
      </c>
      <c r="F295" s="17" t="n">
        <v>1206621</v>
      </c>
      <c r="G295" s="17" t="n">
        <v>1218264.5</v>
      </c>
      <c r="H295" s="17" t="n">
        <v>984705</v>
      </c>
      <c r="I295" s="17" t="n">
        <v>164326</v>
      </c>
      <c r="J295" s="17" t="n">
        <v>665780</v>
      </c>
      <c r="K295" s="17" t="n">
        <v>657281</v>
      </c>
      <c r="L295" s="17" t="n">
        <v>595069</v>
      </c>
      <c r="M295" s="17" t="n">
        <v>50144</v>
      </c>
      <c r="N295" s="17" t="n">
        <v>10017</v>
      </c>
      <c r="O295" s="17" t="n">
        <v>225</v>
      </c>
      <c r="P295" s="17" t="n">
        <v>305</v>
      </c>
      <c r="Q295" s="17" t="n">
        <v>27</v>
      </c>
      <c r="R295" s="17" t="n">
        <v>4</v>
      </c>
      <c r="S295" s="17" t="n">
        <v>0</v>
      </c>
      <c r="T295" s="17" t="n">
        <v>0</v>
      </c>
      <c r="U295" s="17" t="n">
        <v>2172</v>
      </c>
      <c r="V295" s="17" t="n">
        <v>0.178286406605462</v>
      </c>
      <c r="W295" s="17" t="n">
        <v>1.25</v>
      </c>
      <c r="X295" s="17" t="n">
        <v>2.79847262658001</v>
      </c>
      <c r="Y295" s="17" t="n">
        <v>1.44447114662501</v>
      </c>
      <c r="Z295" s="17" t="n">
        <v>0</v>
      </c>
      <c r="AA295" s="17" t="n">
        <v>13.6186921991247</v>
      </c>
      <c r="AB295" s="17"/>
      <c r="AC295" s="17"/>
      <c r="AD295" s="17"/>
      <c r="AE295" s="17"/>
      <c r="AF295" s="17"/>
      <c r="AG295" s="18" t="n">
        <f aca="false">IFERROR(100*O295/F295,"")</f>
        <v>0.0186471145454952</v>
      </c>
      <c r="AH295" s="18" t="n">
        <f aca="false">IFERROR(100*(P295+Q295)/F295,"")</f>
        <v>0.0275148534626863</v>
      </c>
      <c r="AI295" s="18" t="n">
        <f aca="false">IFERROR(100*R295/K295,"")</f>
        <v>0.000608567720655245</v>
      </c>
      <c r="AJ295" s="18" t="str">
        <f aca="false">IF(T295&gt;0,100*S295/T295,"")</f>
        <v/>
      </c>
      <c r="AK295" s="18" t="n">
        <f aca="false">IFERROR(100*U295/G295,"")</f>
        <v>0.178286406605462</v>
      </c>
      <c r="AL295" s="18" t="n">
        <f aca="false">IFERROR(100*J295/H295,"")</f>
        <v>67.6121274899589</v>
      </c>
      <c r="AM295" s="18" t="n">
        <f aca="false">IFERROR(100*L295/J295,"")</f>
        <v>89.37922436841</v>
      </c>
      <c r="AN295" s="18" t="n">
        <f aca="false">IFERROR(100*M295/J295,"")</f>
        <v>7.5316170506774</v>
      </c>
      <c r="AO295" s="18" t="n">
        <f aca="false">IFERROR(100*N295/J295,"")</f>
        <v>1.50455105290036</v>
      </c>
    </row>
    <row r="296" customFormat="false" ht="15" hidden="false" customHeight="false" outlineLevel="0" collapsed="false">
      <c r="A296" s="17" t="n">
        <v>17749</v>
      </c>
      <c r="B296" s="23" t="n">
        <v>44742</v>
      </c>
      <c r="C296" s="17" t="s">
        <v>156</v>
      </c>
      <c r="D296" s="17" t="s">
        <v>108</v>
      </c>
      <c r="E296" s="17" t="s">
        <v>114</v>
      </c>
      <c r="F296" s="17" t="n">
        <v>1233246</v>
      </c>
      <c r="G296" s="17" t="n">
        <v>1223258.33333333</v>
      </c>
      <c r="H296" s="17" t="n">
        <v>1026366</v>
      </c>
      <c r="I296" s="17" t="n">
        <v>152379</v>
      </c>
      <c r="J296" s="17" t="n">
        <v>692915</v>
      </c>
      <c r="K296" s="17" t="n">
        <v>669159</v>
      </c>
      <c r="L296" s="17" t="n">
        <v>619470</v>
      </c>
      <c r="M296" s="17" t="n">
        <v>51726</v>
      </c>
      <c r="N296" s="17" t="n">
        <v>10530</v>
      </c>
      <c r="O296" s="17" t="n">
        <v>248</v>
      </c>
      <c r="P296" s="17" t="n">
        <v>253</v>
      </c>
      <c r="Q296" s="17" t="n">
        <v>29</v>
      </c>
      <c r="R296" s="17" t="n">
        <v>16</v>
      </c>
      <c r="S296" s="17" t="n">
        <v>0</v>
      </c>
      <c r="T296" s="17" t="n">
        <v>0</v>
      </c>
      <c r="U296" s="17" t="n">
        <v>-1914</v>
      </c>
      <c r="V296" s="17" t="n">
        <v>-0.156467358353033</v>
      </c>
      <c r="W296" s="17" t="n">
        <v>-1.15</v>
      </c>
      <c r="X296" s="17" t="n">
        <v>2.83196913733009</v>
      </c>
      <c r="Y296" s="17" t="n">
        <v>1.41113989450366</v>
      </c>
      <c r="Z296" s="17" t="n">
        <v>0</v>
      </c>
      <c r="AA296" s="17" t="n">
        <v>12.355928987404</v>
      </c>
      <c r="AB296" s="17"/>
      <c r="AC296" s="17"/>
      <c r="AD296" s="17"/>
      <c r="AE296" s="17"/>
      <c r="AF296" s="17"/>
      <c r="AG296" s="18" t="n">
        <f aca="false">IFERROR(100*O296/F296,"")</f>
        <v>0.0201095320803797</v>
      </c>
      <c r="AH296" s="18" t="n">
        <f aca="false">IFERROR(100*(P296+Q296)/F296,"")</f>
        <v>0.0228664840591415</v>
      </c>
      <c r="AI296" s="18" t="n">
        <f aca="false">IFERROR(100*R296/K296,"")</f>
        <v>0.00239106101838278</v>
      </c>
      <c r="AJ296" s="18" t="str">
        <f aca="false">IF(T296&gt;0,100*S296/T296,"")</f>
        <v/>
      </c>
      <c r="AK296" s="18" t="n">
        <f aca="false">IFERROR(100*U296/G296,"")</f>
        <v>-0.156467358353033</v>
      </c>
      <c r="AL296" s="18" t="n">
        <f aca="false">IFERROR(100*J296/H296,"")</f>
        <v>67.5114920018785</v>
      </c>
      <c r="AM296" s="18" t="n">
        <f aca="false">IFERROR(100*L296/J296,"")</f>
        <v>89.400575828204</v>
      </c>
      <c r="AN296" s="18" t="n">
        <f aca="false">IFERROR(100*M296/J296,"")</f>
        <v>7.46498488270567</v>
      </c>
      <c r="AO296" s="18" t="n">
        <f aca="false">IFERROR(100*N296/J296,"")</f>
        <v>1.5196669144123</v>
      </c>
    </row>
    <row r="297" customFormat="false" ht="15" hidden="false" customHeight="false" outlineLevel="0" collapsed="false">
      <c r="A297" s="17" t="n">
        <v>17749</v>
      </c>
      <c r="B297" s="23" t="n">
        <v>44834</v>
      </c>
      <c r="C297" s="17" t="s">
        <v>156</v>
      </c>
      <c r="D297" s="17" t="s">
        <v>108</v>
      </c>
      <c r="E297" s="17" t="s">
        <v>114</v>
      </c>
      <c r="F297" s="17" t="n">
        <v>1262862</v>
      </c>
      <c r="G297" s="17" t="n">
        <v>1233159.25</v>
      </c>
      <c r="H297" s="17" t="n">
        <v>1042319</v>
      </c>
      <c r="I297" s="17" t="n">
        <v>143149</v>
      </c>
      <c r="J297" s="17" t="n">
        <v>707269</v>
      </c>
      <c r="K297" s="17" t="n">
        <v>678686.5</v>
      </c>
      <c r="L297" s="17" t="n">
        <v>639367</v>
      </c>
      <c r="M297" s="17" t="n">
        <v>46145</v>
      </c>
      <c r="N297" s="17" t="n">
        <v>10227</v>
      </c>
      <c r="O297" s="17" t="n">
        <v>237</v>
      </c>
      <c r="P297" s="17" t="n">
        <v>273</v>
      </c>
      <c r="Q297" s="17" t="n">
        <v>13</v>
      </c>
      <c r="R297" s="17" t="n">
        <v>17.3329</v>
      </c>
      <c r="S297" s="17" t="n">
        <v>0</v>
      </c>
      <c r="T297" s="17" t="n">
        <v>0</v>
      </c>
      <c r="U297" s="17" t="n">
        <v>1571.9607</v>
      </c>
      <c r="V297" s="17" t="n">
        <v>0.127474265793327</v>
      </c>
      <c r="W297" s="17" t="n">
        <v>0.98</v>
      </c>
      <c r="X297" s="17" t="n">
        <v>2.89899105262512</v>
      </c>
      <c r="Y297" s="17" t="n">
        <v>1.40540586396407</v>
      </c>
      <c r="Z297" s="17" t="n">
        <v>0</v>
      </c>
      <c r="AA297" s="17" t="n">
        <v>11.3352844570507</v>
      </c>
      <c r="AB297" s="17"/>
      <c r="AC297" s="17"/>
      <c r="AD297" s="17"/>
      <c r="AE297" s="17"/>
      <c r="AF297" s="17"/>
      <c r="AG297" s="18" t="n">
        <f aca="false">IFERROR(100*O297/F297,"")</f>
        <v>0.0187668961454221</v>
      </c>
      <c r="AH297" s="18" t="n">
        <f aca="false">IFERROR(100*(P297+Q297)/F297,"")</f>
        <v>0.022646971719792</v>
      </c>
      <c r="AI297" s="18" t="n">
        <f aca="false">IFERROR(100*R297/K297,"")</f>
        <v>0.00255388901945154</v>
      </c>
      <c r="AJ297" s="18" t="str">
        <f aca="false">IF(T297&gt;0,100*S297/T297,"")</f>
        <v/>
      </c>
      <c r="AK297" s="18" t="n">
        <f aca="false">IFERROR(100*U297/G297,"")</f>
        <v>0.127474265793327</v>
      </c>
      <c r="AL297" s="18" t="n">
        <f aca="false">IFERROR(100*J297/H297,"")</f>
        <v>67.8553302779667</v>
      </c>
      <c r="AM297" s="18" t="n">
        <f aca="false">IFERROR(100*L297/J297,"")</f>
        <v>90.3994095598704</v>
      </c>
      <c r="AN297" s="18" t="n">
        <f aca="false">IFERROR(100*M297/J297,"")</f>
        <v>6.52439170951929</v>
      </c>
      <c r="AO297" s="18" t="n">
        <f aca="false">IFERROR(100*N297/J297,"")</f>
        <v>1.44598448397993</v>
      </c>
    </row>
    <row r="298" customFormat="false" ht="15" hidden="false" customHeight="false" outlineLevel="0" collapsed="false">
      <c r="A298" s="17" t="n">
        <v>17749</v>
      </c>
      <c r="B298" s="23" t="n">
        <v>44926</v>
      </c>
      <c r="C298" s="17" t="s">
        <v>156</v>
      </c>
      <c r="D298" s="17" t="s">
        <v>108</v>
      </c>
      <c r="E298" s="17" t="s">
        <v>114</v>
      </c>
      <c r="F298" s="17" t="n">
        <v>1276951</v>
      </c>
      <c r="G298" s="17" t="n">
        <v>1241917.6</v>
      </c>
      <c r="H298" s="17" t="n">
        <v>1055695</v>
      </c>
      <c r="I298" s="17" t="n">
        <v>150442</v>
      </c>
      <c r="J298" s="17" t="n">
        <v>724813</v>
      </c>
      <c r="K298" s="17" t="n">
        <v>687911.8</v>
      </c>
      <c r="L298" s="17" t="n">
        <v>655371</v>
      </c>
      <c r="M298" s="17" t="n">
        <v>48423</v>
      </c>
      <c r="N298" s="17" t="n">
        <v>9983</v>
      </c>
      <c r="O298" s="17" t="n">
        <v>204</v>
      </c>
      <c r="P298" s="17" t="n">
        <v>965</v>
      </c>
      <c r="Q298" s="17" t="n">
        <v>0</v>
      </c>
      <c r="R298" s="17" t="n">
        <v>17</v>
      </c>
      <c r="S298" s="17" t="n">
        <v>0</v>
      </c>
      <c r="T298" s="17" t="n">
        <v>0</v>
      </c>
      <c r="U298" s="17" t="n">
        <v>7863</v>
      </c>
      <c r="V298" s="17" t="n">
        <v>0.633133792451287</v>
      </c>
      <c r="W298" s="17" t="n">
        <v>4.96</v>
      </c>
      <c r="X298" s="17" t="n">
        <v>2.95051816547678</v>
      </c>
      <c r="Y298" s="17" t="n">
        <v>1.37966620355871</v>
      </c>
      <c r="Z298" s="17" t="n">
        <v>0</v>
      </c>
      <c r="AA298" s="17" t="n">
        <v>11.7813447814364</v>
      </c>
      <c r="AB298" s="17"/>
      <c r="AC298" s="17"/>
      <c r="AD298" s="17"/>
      <c r="AE298" s="17"/>
      <c r="AF298" s="17"/>
      <c r="AG298" s="18" t="n">
        <f aca="false">IFERROR(100*O298/F298,"")</f>
        <v>0.015975554269506</v>
      </c>
      <c r="AH298" s="18" t="n">
        <f aca="false">IFERROR(100*(P298+Q298)/F298,"")</f>
        <v>0.0755706366180065</v>
      </c>
      <c r="AI298" s="18" t="n">
        <f aca="false">IFERROR(100*R298/K298,"")</f>
        <v>0.00247124704068167</v>
      </c>
      <c r="AJ298" s="18" t="str">
        <f aca="false">IF(T298&gt;0,100*S298/T298,"")</f>
        <v/>
      </c>
      <c r="AK298" s="18" t="n">
        <f aca="false">IFERROR(100*U298/G298,"")</f>
        <v>0.633133792451287</v>
      </c>
      <c r="AL298" s="18" t="n">
        <f aca="false">IFERROR(100*J298/H298,"")</f>
        <v>68.6574247296804</v>
      </c>
      <c r="AM298" s="18" t="n">
        <f aca="false">IFERROR(100*L298/J298,"")</f>
        <v>90.4193219492476</v>
      </c>
      <c r="AN298" s="18" t="n">
        <f aca="false">IFERROR(100*M298/J298,"")</f>
        <v>6.68075765749235</v>
      </c>
      <c r="AO298" s="18" t="n">
        <f aca="false">IFERROR(100*N298/J298,"")</f>
        <v>1.37732077101266</v>
      </c>
    </row>
    <row r="299" customFormat="false" ht="15" hidden="false" customHeight="false" outlineLevel="0" collapsed="false">
      <c r="A299" s="17" t="n">
        <v>17749</v>
      </c>
      <c r="B299" s="23" t="n">
        <v>45016</v>
      </c>
      <c r="C299" s="17" t="s">
        <v>156</v>
      </c>
      <c r="D299" s="17" t="s">
        <v>108</v>
      </c>
      <c r="E299" s="17" t="s">
        <v>114</v>
      </c>
      <c r="F299" s="17" t="n">
        <v>1286254</v>
      </c>
      <c r="G299" s="17" t="n">
        <v>1281602.5</v>
      </c>
      <c r="H299" s="17" t="n">
        <v>1024638</v>
      </c>
      <c r="I299" s="17" t="n">
        <v>162250</v>
      </c>
      <c r="J299" s="17" t="n">
        <v>748128</v>
      </c>
      <c r="K299" s="17" t="n">
        <v>736470.5</v>
      </c>
      <c r="L299" s="17" t="n">
        <v>677598</v>
      </c>
      <c r="M299" s="17" t="n">
        <v>49547</v>
      </c>
      <c r="N299" s="17" t="n">
        <v>9780</v>
      </c>
      <c r="O299" s="17" t="n">
        <v>210</v>
      </c>
      <c r="P299" s="17" t="n">
        <v>1358</v>
      </c>
      <c r="Q299" s="17" t="n">
        <v>0</v>
      </c>
      <c r="R299" s="17" t="n">
        <v>28</v>
      </c>
      <c r="S299" s="17" t="n">
        <v>0</v>
      </c>
      <c r="T299" s="17" t="n">
        <v>0</v>
      </c>
      <c r="U299" s="17" t="n">
        <v>16880</v>
      </c>
      <c r="V299" s="17" t="n">
        <v>1.31710105122298</v>
      </c>
      <c r="W299" s="17" t="n">
        <v>10.8</v>
      </c>
      <c r="X299" s="17" t="n">
        <v>2.9879296742975</v>
      </c>
      <c r="Y299" s="17" t="n">
        <v>1.44066256041747</v>
      </c>
      <c r="Z299" s="17" t="n">
        <v>0</v>
      </c>
      <c r="AA299" s="17" t="n">
        <v>12.6141493048807</v>
      </c>
      <c r="AB299" s="17" t="n">
        <v>6.59966965600631</v>
      </c>
      <c r="AC299" s="17" t="n">
        <v>12.3686503049055</v>
      </c>
      <c r="AD299" s="17" t="n">
        <v>4.05532621445002</v>
      </c>
      <c r="AE299" s="17" t="n">
        <v>1.13881464461752</v>
      </c>
      <c r="AF299" s="17" t="n">
        <v>-0.00232063470558803</v>
      </c>
      <c r="AG299" s="18" t="n">
        <f aca="false">IFERROR(100*O299/F299,"")</f>
        <v>0.0163264798399072</v>
      </c>
      <c r="AH299" s="18" t="n">
        <f aca="false">IFERROR(100*(P299+Q299)/F299,"")</f>
        <v>0.105577902964733</v>
      </c>
      <c r="AI299" s="18" t="n">
        <f aca="false">IFERROR(100*R299/K299,"")</f>
        <v>0.00380191738840863</v>
      </c>
      <c r="AJ299" s="18" t="str">
        <f aca="false">IF(T299&gt;0,100*S299/T299,"")</f>
        <v/>
      </c>
      <c r="AK299" s="18" t="n">
        <f aca="false">IFERROR(100*U299/G299,"")</f>
        <v>1.31710105122298</v>
      </c>
      <c r="AL299" s="18" t="n">
        <f aca="false">IFERROR(100*J299/H299,"")</f>
        <v>73.0138839277872</v>
      </c>
      <c r="AM299" s="18" t="n">
        <f aca="false">IFERROR(100*L299/J299,"")</f>
        <v>90.5724688823303</v>
      </c>
      <c r="AN299" s="18" t="n">
        <f aca="false">IFERROR(100*M299/J299,"")</f>
        <v>6.62279716839899</v>
      </c>
      <c r="AO299" s="18" t="n">
        <f aca="false">IFERROR(100*N299/J299,"")</f>
        <v>1.30726292826896</v>
      </c>
    </row>
    <row r="300" customFormat="false" ht="15" hidden="false" customHeight="false" outlineLevel="0" collapsed="false">
      <c r="A300" s="17" t="n">
        <v>17749</v>
      </c>
      <c r="B300" s="23" t="n">
        <v>45107</v>
      </c>
      <c r="C300" s="17" t="s">
        <v>156</v>
      </c>
      <c r="D300" s="17" t="s">
        <v>108</v>
      </c>
      <c r="E300" s="17" t="s">
        <v>114</v>
      </c>
      <c r="F300" s="17" t="n">
        <v>1316293</v>
      </c>
      <c r="G300" s="17" t="n">
        <v>1293166</v>
      </c>
      <c r="H300" s="17" t="n">
        <v>1027633</v>
      </c>
      <c r="I300" s="17" t="n">
        <v>161414</v>
      </c>
      <c r="J300" s="17" t="n">
        <v>776535</v>
      </c>
      <c r="K300" s="17" t="n">
        <v>749825.333333333</v>
      </c>
      <c r="L300" s="17" t="n">
        <v>702580</v>
      </c>
      <c r="M300" s="17" t="n">
        <v>52094</v>
      </c>
      <c r="N300" s="17" t="n">
        <v>10410</v>
      </c>
      <c r="O300" s="17" t="n">
        <v>293</v>
      </c>
      <c r="P300" s="17" t="n">
        <v>280</v>
      </c>
      <c r="Q300" s="17" t="n">
        <v>0</v>
      </c>
      <c r="R300" s="17" t="n">
        <v>22</v>
      </c>
      <c r="S300" s="17" t="n">
        <v>0</v>
      </c>
      <c r="T300" s="17" t="n">
        <v>0</v>
      </c>
      <c r="U300" s="17" t="n">
        <v>17236</v>
      </c>
      <c r="V300" s="17" t="n">
        <v>1.33285285879771</v>
      </c>
      <c r="W300" s="17" t="n">
        <v>10.91</v>
      </c>
      <c r="X300" s="17" t="n">
        <v>2.84287513095667</v>
      </c>
      <c r="Y300" s="17" t="n">
        <v>1.41011029766849</v>
      </c>
      <c r="Z300" s="17" t="n">
        <v>0</v>
      </c>
      <c r="AA300" s="17" t="n">
        <v>12.2627712826855</v>
      </c>
      <c r="AB300" s="17" t="n">
        <v>6.73401738177135</v>
      </c>
      <c r="AC300" s="17" t="n">
        <v>12.067858251012</v>
      </c>
      <c r="AD300" s="17" t="n">
        <v>0.12344524273018</v>
      </c>
      <c r="AE300" s="17" t="n">
        <v>1.48932021715074</v>
      </c>
      <c r="AF300" s="17" t="n">
        <v>0.00214994966114741</v>
      </c>
      <c r="AG300" s="18" t="n">
        <f aca="false">IFERROR(100*O300/F300,"")</f>
        <v>0.0222594817415272</v>
      </c>
      <c r="AH300" s="18" t="n">
        <f aca="false">IFERROR(100*(P300+Q300)/F300,"")</f>
        <v>0.0212718596847358</v>
      </c>
      <c r="AI300" s="18" t="n">
        <f aca="false">IFERROR(100*R300/K300,"")</f>
        <v>0.00293401663320702</v>
      </c>
      <c r="AJ300" s="18" t="str">
        <f aca="false">IF(T300&gt;0,100*S300/T300,"")</f>
        <v/>
      </c>
      <c r="AK300" s="18" t="n">
        <f aca="false">IFERROR(100*U300/G300,"")</f>
        <v>1.33285285879771</v>
      </c>
      <c r="AL300" s="18" t="n">
        <f aca="false">IFERROR(100*J300/H300,"")</f>
        <v>75.5654012667947</v>
      </c>
      <c r="AM300" s="18" t="n">
        <f aca="false">IFERROR(100*L300/J300,"")</f>
        <v>90.476282459902</v>
      </c>
      <c r="AN300" s="18" t="n">
        <f aca="false">IFERROR(100*M300/J300,"")</f>
        <v>6.70851925541025</v>
      </c>
      <c r="AO300" s="18" t="n">
        <f aca="false">IFERROR(100*N300/J300,"")</f>
        <v>1.34057061175607</v>
      </c>
    </row>
    <row r="301" customFormat="false" ht="15" hidden="false" customHeight="false" outlineLevel="0" collapsed="false">
      <c r="A301" s="17" t="n">
        <v>17749</v>
      </c>
      <c r="B301" s="23" t="n">
        <v>45199</v>
      </c>
      <c r="C301" s="17" t="s">
        <v>156</v>
      </c>
      <c r="D301" s="17" t="s">
        <v>108</v>
      </c>
      <c r="E301" s="17" t="s">
        <v>114</v>
      </c>
      <c r="F301" s="17" t="n">
        <v>1286435</v>
      </c>
      <c r="G301" s="17" t="n">
        <v>1291483.25</v>
      </c>
      <c r="H301" s="17" t="n">
        <v>1014838</v>
      </c>
      <c r="I301" s="17" t="n">
        <v>152647</v>
      </c>
      <c r="J301" s="17" t="n">
        <v>779799</v>
      </c>
      <c r="K301" s="17" t="n">
        <v>757318.75</v>
      </c>
      <c r="L301" s="17" t="n">
        <v>708062</v>
      </c>
      <c r="M301" s="17" t="n">
        <v>49432</v>
      </c>
      <c r="N301" s="17" t="n">
        <v>10742</v>
      </c>
      <c r="O301" s="17" t="n">
        <v>34</v>
      </c>
      <c r="P301" s="17" t="n">
        <v>1039</v>
      </c>
      <c r="Q301" s="17" t="n">
        <v>0</v>
      </c>
      <c r="R301" s="17" t="n">
        <v>11.9997</v>
      </c>
      <c r="S301" s="17" t="n">
        <v>0</v>
      </c>
      <c r="T301" s="17" t="n">
        <v>0</v>
      </c>
      <c r="U301" s="17" t="n">
        <v>12669.0166</v>
      </c>
      <c r="V301" s="17" t="n">
        <v>0.980966388840118</v>
      </c>
      <c r="W301" s="17" t="n">
        <v>8.09</v>
      </c>
      <c r="X301" s="17" t="n">
        <v>2.80780948296844</v>
      </c>
      <c r="Y301" s="17" t="n">
        <v>1.4267779261066</v>
      </c>
      <c r="Z301" s="17" t="n">
        <v>0</v>
      </c>
      <c r="AA301" s="17" t="n">
        <v>11.8658929522284</v>
      </c>
      <c r="AB301" s="17" t="n">
        <v>1.86663309213517</v>
      </c>
      <c r="AC301" s="17" t="n">
        <v>10.2549383615004</v>
      </c>
      <c r="AD301" s="17" t="n">
        <v>-2.63652490264497</v>
      </c>
      <c r="AE301" s="17" t="n">
        <v>0.853492123046791</v>
      </c>
      <c r="AF301" s="17" t="n">
        <v>-0.0161239332285238</v>
      </c>
      <c r="AG301" s="18" t="n">
        <f aca="false">IFERROR(100*O301/F301,"")</f>
        <v>0.00264296291689825</v>
      </c>
      <c r="AH301" s="18" t="n">
        <f aca="false">IFERROR(100*(P301+Q301)/F301,"")</f>
        <v>0.080765837372273</v>
      </c>
      <c r="AI301" s="18" t="n">
        <f aca="false">IFERROR(100*R301/K301,"")</f>
        <v>0.00158449794092646</v>
      </c>
      <c r="AJ301" s="18" t="str">
        <f aca="false">IF(T301&gt;0,100*S301/T301,"")</f>
        <v/>
      </c>
      <c r="AK301" s="18" t="n">
        <f aca="false">IFERROR(100*U301/G301,"")</f>
        <v>0.980966388840119</v>
      </c>
      <c r="AL301" s="18" t="n">
        <f aca="false">IFERROR(100*J301/H301,"")</f>
        <v>76.8397517633356</v>
      </c>
      <c r="AM301" s="18" t="n">
        <f aca="false">IFERROR(100*L301/J301,"")</f>
        <v>90.8005780976893</v>
      </c>
      <c r="AN301" s="18" t="n">
        <f aca="false">IFERROR(100*M301/J301,"")</f>
        <v>6.33906942686513</v>
      </c>
      <c r="AO301" s="18" t="n">
        <f aca="false">IFERROR(100*N301/J301,"")</f>
        <v>1.37753446721527</v>
      </c>
    </row>
    <row r="302" customFormat="false" ht="15" hidden="false" customHeight="false" outlineLevel="0" collapsed="false">
      <c r="A302" s="17" t="n">
        <v>17749</v>
      </c>
      <c r="B302" s="23" t="n">
        <v>45291</v>
      </c>
      <c r="C302" s="17" t="s">
        <v>156</v>
      </c>
      <c r="D302" s="17" t="s">
        <v>108</v>
      </c>
      <c r="E302" s="17" t="s">
        <v>114</v>
      </c>
      <c r="F302" s="17" t="n">
        <v>1355181</v>
      </c>
      <c r="G302" s="17" t="n">
        <v>1304222.8</v>
      </c>
      <c r="H302" s="17" t="n">
        <v>1052313</v>
      </c>
      <c r="I302" s="17" t="n">
        <v>172387</v>
      </c>
      <c r="J302" s="17" t="n">
        <v>796866</v>
      </c>
      <c r="K302" s="17" t="n">
        <v>765228.2</v>
      </c>
      <c r="L302" s="17" t="n">
        <v>724667</v>
      </c>
      <c r="M302" s="17" t="n">
        <v>48794</v>
      </c>
      <c r="N302" s="17" t="n">
        <v>10226</v>
      </c>
      <c r="O302" s="17" t="n">
        <v>247</v>
      </c>
      <c r="P302" s="17" t="n">
        <v>630</v>
      </c>
      <c r="Q302" s="17" t="n">
        <v>145</v>
      </c>
      <c r="R302" s="17" t="n">
        <v>47</v>
      </c>
      <c r="S302" s="17" t="n">
        <v>0</v>
      </c>
      <c r="T302" s="17" t="n">
        <v>0</v>
      </c>
      <c r="U302" s="17" t="n">
        <v>15856</v>
      </c>
      <c r="V302" s="17" t="n">
        <v>1.21574319970484</v>
      </c>
      <c r="W302" s="17" t="n">
        <v>9.92</v>
      </c>
      <c r="X302" s="17" t="n">
        <v>2.72937346562349</v>
      </c>
      <c r="Y302" s="17" t="n">
        <v>1.38040774735025</v>
      </c>
      <c r="Z302" s="17" t="n">
        <v>0</v>
      </c>
      <c r="AA302" s="17" t="n">
        <v>12.7205886151001</v>
      </c>
      <c r="AB302" s="17" t="n">
        <v>6.12631181619341</v>
      </c>
      <c r="AC302" s="17" t="n">
        <v>9.94090889650159</v>
      </c>
      <c r="AD302" s="17" t="n">
        <v>-0.320357679064498</v>
      </c>
      <c r="AE302" s="17" t="n">
        <v>0.582609407253549</v>
      </c>
      <c r="AF302" s="17" t="n">
        <v>0.00225079335490724</v>
      </c>
      <c r="AG302" s="18" t="n">
        <f aca="false">IFERROR(100*O302/F302,"")</f>
        <v>0.0182263476244133</v>
      </c>
      <c r="AH302" s="18" t="n">
        <f aca="false">IFERROR(100*(P302+Q302)/F302,"")</f>
        <v>0.0571879328296368</v>
      </c>
      <c r="AI302" s="18" t="n">
        <f aca="false">IFERROR(100*R302/K302,"")</f>
        <v>0.00614195869937883</v>
      </c>
      <c r="AJ302" s="18" t="str">
        <f aca="false">IF(T302&gt;0,100*S302/T302,"")</f>
        <v/>
      </c>
      <c r="AK302" s="18" t="n">
        <f aca="false">IFERROR(100*U302/G302,"")</f>
        <v>1.21574319970484</v>
      </c>
      <c r="AL302" s="18" t="n">
        <f aca="false">IFERROR(100*J302/H302,"")</f>
        <v>75.7251882282173</v>
      </c>
      <c r="AM302" s="18" t="n">
        <f aca="false">IFERROR(100*L302/J302,"")</f>
        <v>90.93963100446</v>
      </c>
      <c r="AN302" s="18" t="n">
        <f aca="false">IFERROR(100*M302/J302,"")</f>
        <v>6.12323778401889</v>
      </c>
      <c r="AO302" s="18" t="n">
        <f aca="false">IFERROR(100*N302/J302,"")</f>
        <v>1.28327723858215</v>
      </c>
    </row>
    <row r="303" customFormat="false" ht="15" hidden="false" customHeight="false" outlineLevel="0" collapsed="false">
      <c r="A303" s="17" t="n">
        <v>17749</v>
      </c>
      <c r="B303" s="23" t="n">
        <v>45382</v>
      </c>
      <c r="C303" s="17" t="s">
        <v>156</v>
      </c>
      <c r="D303" s="17" t="s">
        <v>108</v>
      </c>
      <c r="E303" s="17" t="s">
        <v>114</v>
      </c>
      <c r="F303" s="17" t="n">
        <v>1350095</v>
      </c>
      <c r="G303" s="17" t="n">
        <v>1352638</v>
      </c>
      <c r="H303" s="17" t="n">
        <v>1048039</v>
      </c>
      <c r="I303" s="17" t="n">
        <v>173084</v>
      </c>
      <c r="J303" s="17" t="n">
        <v>812727</v>
      </c>
      <c r="K303" s="17" t="n">
        <v>804796.5</v>
      </c>
      <c r="L303" s="17" t="n">
        <v>738584</v>
      </c>
      <c r="M303" s="17" t="n">
        <v>50316</v>
      </c>
      <c r="N303" s="17" t="n">
        <v>10949</v>
      </c>
      <c r="O303" s="17" t="n">
        <v>546</v>
      </c>
      <c r="P303" s="17" t="n">
        <v>361</v>
      </c>
      <c r="Q303" s="17" t="n">
        <v>3</v>
      </c>
      <c r="R303" s="17" t="n">
        <v>16</v>
      </c>
      <c r="S303" s="17" t="n">
        <v>0</v>
      </c>
      <c r="T303" s="17" t="n">
        <v>0</v>
      </c>
      <c r="U303" s="17" t="n">
        <v>16304</v>
      </c>
      <c r="V303" s="17" t="n">
        <v>1.20534836371594</v>
      </c>
      <c r="W303" s="17" t="n">
        <v>9.44</v>
      </c>
      <c r="X303" s="17" t="n">
        <v>2.50316352302883</v>
      </c>
      <c r="Y303" s="17" t="n">
        <v>1.37475437631579</v>
      </c>
      <c r="Z303" s="17" t="n">
        <v>0</v>
      </c>
      <c r="AA303" s="17" t="n">
        <v>12.8201348793974</v>
      </c>
      <c r="AB303" s="17" t="n">
        <v>4.96332761647389</v>
      </c>
      <c r="AC303" s="17" t="n">
        <v>8.63475234184525</v>
      </c>
      <c r="AD303" s="17" t="n">
        <v>2.28383097249956</v>
      </c>
      <c r="AE303" s="17" t="n">
        <v>-0.111752687507042</v>
      </c>
      <c r="AF303" s="17" t="n">
        <v>0.0241151187142686</v>
      </c>
      <c r="AG303" s="18" t="n">
        <f aca="false">IFERROR(100*O303/F303,"")</f>
        <v>0.0404415985541758</v>
      </c>
      <c r="AH303" s="18" t="n">
        <f aca="false">IFERROR(100*(P303+Q303)/F303,"")</f>
        <v>0.0269610657027839</v>
      </c>
      <c r="AI303" s="18" t="n">
        <f aca="false">IFERROR(100*R303/K303,"")</f>
        <v>0.00198808021655164</v>
      </c>
      <c r="AJ303" s="18" t="str">
        <f aca="false">IF(T303&gt;0,100*S303/T303,"")</f>
        <v/>
      </c>
      <c r="AK303" s="18" t="n">
        <f aca="false">IFERROR(100*U303/G303,"")</f>
        <v>1.20534836371594</v>
      </c>
      <c r="AL303" s="18" t="n">
        <f aca="false">IFERROR(100*J303/H303,"")</f>
        <v>77.5474004307092</v>
      </c>
      <c r="AM303" s="18" t="n">
        <f aca="false">IFERROR(100*L303/J303,"")</f>
        <v>90.8772564465066</v>
      </c>
      <c r="AN303" s="18" t="n">
        <f aca="false">IFERROR(100*M303/J303,"")</f>
        <v>6.19100878892912</v>
      </c>
      <c r="AO303" s="18" t="n">
        <f aca="false">IFERROR(100*N303/J303,"")</f>
        <v>1.34719284581415</v>
      </c>
    </row>
    <row r="304" customFormat="false" ht="15" hidden="false" customHeight="false" outlineLevel="0" collapsed="false">
      <c r="A304" s="17" t="n">
        <v>17749</v>
      </c>
      <c r="B304" s="23" t="n">
        <v>45473</v>
      </c>
      <c r="C304" s="17" t="s">
        <v>156</v>
      </c>
      <c r="D304" s="17" t="s">
        <v>108</v>
      </c>
      <c r="E304" s="17" t="s">
        <v>114</v>
      </c>
      <c r="F304" s="17" t="n">
        <v>1395226</v>
      </c>
      <c r="G304" s="17" t="n">
        <v>1366834</v>
      </c>
      <c r="H304" s="17" t="n">
        <v>1095901</v>
      </c>
      <c r="I304" s="17" t="n">
        <v>177800</v>
      </c>
      <c r="J304" s="17" t="n">
        <v>822053</v>
      </c>
      <c r="K304" s="17" t="n">
        <v>810548.666666667</v>
      </c>
      <c r="L304" s="17" t="n">
        <v>744624</v>
      </c>
      <c r="M304" s="17" t="n">
        <v>53678</v>
      </c>
      <c r="N304" s="17" t="n">
        <v>11558</v>
      </c>
      <c r="O304" s="17" t="n">
        <v>243</v>
      </c>
      <c r="P304" s="17" t="n">
        <v>1207</v>
      </c>
      <c r="Q304" s="17" t="n">
        <v>0</v>
      </c>
      <c r="R304" s="17" t="n">
        <v>20</v>
      </c>
      <c r="S304" s="17" t="n">
        <v>0</v>
      </c>
      <c r="T304" s="17" t="n">
        <v>0</v>
      </c>
      <c r="U304" s="17" t="n">
        <v>13396</v>
      </c>
      <c r="V304" s="17" t="n">
        <v>0.98007512250939</v>
      </c>
      <c r="W304" s="17" t="n">
        <v>7.68</v>
      </c>
      <c r="X304" s="17" t="n">
        <v>2.4652286426857</v>
      </c>
      <c r="Y304" s="17" t="n">
        <v>1.4044106645192</v>
      </c>
      <c r="Z304" s="17" t="n">
        <v>0</v>
      </c>
      <c r="AA304" s="17" t="n">
        <v>12.7434551821712</v>
      </c>
      <c r="AB304" s="17" t="n">
        <v>5.99661321605447</v>
      </c>
      <c r="AC304" s="17" t="n">
        <v>5.86168041363235</v>
      </c>
      <c r="AD304" s="17" t="n">
        <v>6.6432276892626</v>
      </c>
      <c r="AE304" s="17" t="n">
        <v>-0.35277773628832</v>
      </c>
      <c r="AF304" s="17" t="n">
        <v>-0.00484294850605132</v>
      </c>
      <c r="AG304" s="18" t="n">
        <f aca="false">IFERROR(100*O304/F304,"")</f>
        <v>0.0174165332354758</v>
      </c>
      <c r="AH304" s="18" t="n">
        <f aca="false">IFERROR(100*(P304+Q304)/F304,"")</f>
        <v>0.0865092823671577</v>
      </c>
      <c r="AI304" s="18" t="n">
        <f aca="false">IFERROR(100*R304/K304,"")</f>
        <v>0.00246746442533165</v>
      </c>
      <c r="AJ304" s="18" t="str">
        <f aca="false">IF(T304&gt;0,100*S304/T304,"")</f>
        <v/>
      </c>
      <c r="AK304" s="18" t="n">
        <f aca="false">IFERROR(100*U304/G304,"")</f>
        <v>0.98007512250939</v>
      </c>
      <c r="AL304" s="18" t="n">
        <f aca="false">IFERROR(100*J304/H304,"")</f>
        <v>75.0116114503044</v>
      </c>
      <c r="AM304" s="18" t="n">
        <f aca="false">IFERROR(100*L304/J304,"")</f>
        <v>90.5810209317404</v>
      </c>
      <c r="AN304" s="18" t="n">
        <f aca="false">IFERROR(100*M304/J304,"")</f>
        <v>6.5297492984029</v>
      </c>
      <c r="AO304" s="18" t="n">
        <f aca="false">IFERROR(100*N304/J304,"")</f>
        <v>1.40599207107084</v>
      </c>
    </row>
    <row r="305" customFormat="false" ht="15" hidden="false" customHeight="false" outlineLevel="0" collapsed="false">
      <c r="A305" s="17" t="n">
        <v>17749</v>
      </c>
      <c r="B305" s="23" t="n">
        <v>45565</v>
      </c>
      <c r="C305" s="17" t="s">
        <v>156</v>
      </c>
      <c r="D305" s="17" t="s">
        <v>108</v>
      </c>
      <c r="E305" s="17" t="s">
        <v>114</v>
      </c>
      <c r="F305" s="17" t="n">
        <v>1372601</v>
      </c>
      <c r="G305" s="17" t="n">
        <v>1368275.75</v>
      </c>
      <c r="H305" s="17" t="n">
        <v>1059435</v>
      </c>
      <c r="I305" s="17" t="n">
        <v>190135</v>
      </c>
      <c r="J305" s="17" t="n">
        <v>820744</v>
      </c>
      <c r="K305" s="17" t="n">
        <v>813097.5</v>
      </c>
      <c r="L305" s="17" t="n">
        <v>748076</v>
      </c>
      <c r="M305" s="17" t="n">
        <v>48457</v>
      </c>
      <c r="N305" s="17" t="n">
        <v>12482</v>
      </c>
      <c r="O305" s="17" t="n">
        <v>617</v>
      </c>
      <c r="P305" s="17" t="n">
        <v>1026</v>
      </c>
      <c r="Q305" s="17" t="n">
        <v>4</v>
      </c>
      <c r="R305" s="17" t="n">
        <v>7.9998</v>
      </c>
      <c r="S305" s="17" t="n">
        <v>0</v>
      </c>
      <c r="T305" s="17" t="n">
        <v>0</v>
      </c>
      <c r="U305" s="17" t="n">
        <v>14920.9603</v>
      </c>
      <c r="V305" s="17" t="n">
        <v>1.09049365962965</v>
      </c>
      <c r="W305" s="17" t="n">
        <v>8.37</v>
      </c>
      <c r="X305" s="17" t="n">
        <v>2.48516533343538</v>
      </c>
      <c r="Y305" s="17" t="n">
        <v>1.42870371272894</v>
      </c>
      <c r="Z305" s="17" t="n">
        <v>0</v>
      </c>
      <c r="AA305" s="17" t="n">
        <v>13.8521682557422</v>
      </c>
      <c r="AB305" s="17" t="n">
        <v>6.69804537345455</v>
      </c>
      <c r="AC305" s="17" t="n">
        <v>5.25071204246221</v>
      </c>
      <c r="AD305" s="17" t="n">
        <v>4.39449449074632</v>
      </c>
      <c r="AE305" s="17" t="n">
        <v>0.109527270789528</v>
      </c>
      <c r="AF305" s="17" t="n">
        <v>0.0423081918615115</v>
      </c>
      <c r="AG305" s="18" t="n">
        <f aca="false">IFERROR(100*O305/F305,"")</f>
        <v>0.0449511547784097</v>
      </c>
      <c r="AH305" s="18" t="n">
        <f aca="false">IFERROR(100*(P305+Q305)/F305,"")</f>
        <v>0.0750400152702788</v>
      </c>
      <c r="AI305" s="18" t="n">
        <f aca="false">IFERROR(100*R305/K305,"")</f>
        <v>0.00098386724839272</v>
      </c>
      <c r="AJ305" s="18" t="str">
        <f aca="false">IF(T305&gt;0,100*S305/T305,"")</f>
        <v/>
      </c>
      <c r="AK305" s="18" t="n">
        <f aca="false">IFERROR(100*U305/G305,"")</f>
        <v>1.09049365962965</v>
      </c>
      <c r="AL305" s="18" t="n">
        <f aca="false">IFERROR(100*J305/H305,"")</f>
        <v>77.4699722021644</v>
      </c>
      <c r="AM305" s="18" t="n">
        <f aca="false">IFERROR(100*L305/J305,"")</f>
        <v>91.1460820913708</v>
      </c>
      <c r="AN305" s="18" t="n">
        <f aca="false">IFERROR(100*M305/J305,"")</f>
        <v>5.90403341358572</v>
      </c>
      <c r="AO305" s="18" t="n">
        <f aca="false">IFERROR(100*N305/J305,"")</f>
        <v>1.52081526030041</v>
      </c>
    </row>
    <row r="306" customFormat="false" ht="15" hidden="false" customHeight="false" outlineLevel="0" collapsed="false">
      <c r="A306" s="17" t="n">
        <v>17749</v>
      </c>
      <c r="B306" s="23" t="n">
        <v>45657</v>
      </c>
      <c r="C306" s="17" t="s">
        <v>156</v>
      </c>
      <c r="D306" s="17" t="s">
        <v>108</v>
      </c>
      <c r="E306" s="17" t="s">
        <v>114</v>
      </c>
      <c r="F306" s="17" t="n">
        <v>1400586</v>
      </c>
      <c r="G306" s="17" t="n">
        <v>1374737.8</v>
      </c>
      <c r="H306" s="17" t="n">
        <v>1098984</v>
      </c>
      <c r="I306" s="17" t="n">
        <v>189574</v>
      </c>
      <c r="J306" s="17" t="n">
        <v>826652</v>
      </c>
      <c r="K306" s="17" t="n">
        <v>815808.4</v>
      </c>
      <c r="L306" s="17" t="n">
        <v>755022</v>
      </c>
      <c r="M306" s="17" t="n">
        <v>49964</v>
      </c>
      <c r="N306" s="17" t="n">
        <v>11169</v>
      </c>
      <c r="O306" s="17" t="n">
        <v>610</v>
      </c>
      <c r="P306" s="17" t="n">
        <v>895</v>
      </c>
      <c r="Q306" s="17" t="n">
        <v>0</v>
      </c>
      <c r="R306" s="17" t="n">
        <v>4</v>
      </c>
      <c r="S306" s="17" t="n">
        <v>0</v>
      </c>
      <c r="T306" s="17" t="n">
        <v>0</v>
      </c>
      <c r="U306" s="17" t="n">
        <v>15753</v>
      </c>
      <c r="V306" s="17" t="n">
        <v>1.14589123831468</v>
      </c>
      <c r="W306" s="17" t="n">
        <v>8.72</v>
      </c>
      <c r="X306" s="17" t="n">
        <v>2.51176582834264</v>
      </c>
      <c r="Y306" s="17" t="n">
        <v>1.42744468047014</v>
      </c>
      <c r="Z306" s="17" t="n">
        <v>0</v>
      </c>
      <c r="AA306" s="17" t="n">
        <v>13.5353344957039</v>
      </c>
      <c r="AB306" s="17" t="n">
        <v>3.350474955006</v>
      </c>
      <c r="AC306" s="17" t="n">
        <v>3.73789319659768</v>
      </c>
      <c r="AD306" s="17" t="n">
        <v>4.43508727916504</v>
      </c>
      <c r="AE306" s="17" t="n">
        <v>-0.0698519613901549</v>
      </c>
      <c r="AF306" s="17" t="n">
        <v>0.0253268508225225</v>
      </c>
      <c r="AG306" s="18" t="n">
        <f aca="false">IFERROR(100*O306/F306,"")</f>
        <v>0.0435531984469358</v>
      </c>
      <c r="AH306" s="18" t="n">
        <f aca="false">IFERROR(100*(P306+Q306)/F306,"")</f>
        <v>0.063901823950832</v>
      </c>
      <c r="AI306" s="18" t="n">
        <f aca="false">IFERROR(100*R306/K306,"")</f>
        <v>0.000490311205425195</v>
      </c>
      <c r="AJ306" s="18" t="str">
        <f aca="false">IF(T306&gt;0,100*S306/T306,"")</f>
        <v/>
      </c>
      <c r="AK306" s="18" t="n">
        <f aca="false">IFERROR(100*U306/G306,"")</f>
        <v>1.14589123831468</v>
      </c>
      <c r="AL306" s="18" t="n">
        <f aca="false">IFERROR(100*J306/H306,"")</f>
        <v>75.2196574290436</v>
      </c>
      <c r="AM306" s="18" t="n">
        <f aca="false">IFERROR(100*L306/J306,"")</f>
        <v>91.3349269099936</v>
      </c>
      <c r="AN306" s="18" t="n">
        <f aca="false">IFERROR(100*M306/J306,"")</f>
        <v>6.04413949279745</v>
      </c>
      <c r="AO306" s="18" t="n">
        <f aca="false">IFERROR(100*N306/J306,"")</f>
        <v>1.35111268103144</v>
      </c>
    </row>
    <row r="307" customFormat="false" ht="15" hidden="false" customHeight="false" outlineLevel="0" collapsed="false">
      <c r="A307" s="17" t="n">
        <v>17749</v>
      </c>
      <c r="B307" s="23" t="n">
        <v>45747</v>
      </c>
      <c r="C307" s="17" t="s">
        <v>156</v>
      </c>
      <c r="D307" s="17" t="s">
        <v>108</v>
      </c>
      <c r="E307" s="17" t="s">
        <v>114</v>
      </c>
      <c r="F307" s="17" t="n">
        <v>1415126</v>
      </c>
      <c r="G307" s="17" t="n">
        <v>1407856</v>
      </c>
      <c r="H307" s="17" t="n">
        <v>1106043</v>
      </c>
      <c r="I307" s="17" t="n">
        <v>197514</v>
      </c>
      <c r="J307" s="17" t="n">
        <v>833371</v>
      </c>
      <c r="K307" s="17" t="n">
        <v>830011.5</v>
      </c>
      <c r="L307" s="17" t="n">
        <v>756331</v>
      </c>
      <c r="M307" s="17" t="n">
        <v>55321</v>
      </c>
      <c r="N307" s="17" t="n">
        <v>11040</v>
      </c>
      <c r="O307" s="17" t="n">
        <v>953</v>
      </c>
      <c r="P307" s="17" t="n">
        <v>750</v>
      </c>
      <c r="Q307" s="17" t="n">
        <v>90</v>
      </c>
      <c r="R307" s="17" t="n">
        <v>4</v>
      </c>
      <c r="S307" s="17" t="n">
        <v>0</v>
      </c>
      <c r="T307" s="17" t="n">
        <v>0</v>
      </c>
      <c r="U307" s="17" t="n">
        <v>6240</v>
      </c>
      <c r="V307" s="17" t="n">
        <v>0.443227148231069</v>
      </c>
      <c r="W307" s="17" t="n">
        <v>3.22</v>
      </c>
      <c r="X307" s="17" t="n">
        <v>2.66400103962503</v>
      </c>
      <c r="Y307" s="17" t="n">
        <v>1.43729503426445</v>
      </c>
      <c r="Z307" s="17" t="n">
        <v>0</v>
      </c>
      <c r="AA307" s="17" t="n">
        <v>13.9573437276963</v>
      </c>
      <c r="AB307" s="17" t="n">
        <v>4.8167721530707</v>
      </c>
      <c r="AC307" s="17" t="n">
        <v>2.54009033783793</v>
      </c>
      <c r="AD307" s="17" t="n">
        <v>5.53452686398122</v>
      </c>
      <c r="AE307" s="17" t="n">
        <v>-0.76212121548487</v>
      </c>
      <c r="AF307" s="17" t="n">
        <v>0.0269022280732764</v>
      </c>
      <c r="AG307" s="18" t="n">
        <f aca="false">IFERROR(100*O307/F307,"")</f>
        <v>0.0673438266274523</v>
      </c>
      <c r="AH307" s="18" t="n">
        <f aca="false">IFERROR(100*(P307+Q307)/F307,"")</f>
        <v>0.0593586719486463</v>
      </c>
      <c r="AI307" s="18" t="n">
        <f aca="false">IFERROR(100*R307/K307,"")</f>
        <v>0.000481921033624233</v>
      </c>
      <c r="AJ307" s="18" t="str">
        <f aca="false">IF(T307&gt;0,100*S307/T307,"")</f>
        <v/>
      </c>
      <c r="AK307" s="18" t="n">
        <f aca="false">IFERROR(100*U307/G307,"")</f>
        <v>0.443227148231069</v>
      </c>
      <c r="AL307" s="18" t="n">
        <f aca="false">IFERROR(100*J307/H307,"")</f>
        <v>75.3470705930963</v>
      </c>
      <c r="AM307" s="18" t="n">
        <f aca="false">IFERROR(100*L307/J307,"")</f>
        <v>90.7556178460734</v>
      </c>
      <c r="AN307" s="18" t="n">
        <f aca="false">IFERROR(100*M307/J307,"")</f>
        <v>6.63821995245815</v>
      </c>
      <c r="AO307" s="18" t="n">
        <f aca="false">IFERROR(100*N307/J307,"")</f>
        <v>1.3247401217465</v>
      </c>
    </row>
    <row r="308" customFormat="false" ht="15" hidden="false" customHeight="false" outlineLevel="0" collapsed="false">
      <c r="A308" s="17" t="n">
        <v>17749</v>
      </c>
      <c r="B308" s="23" t="n">
        <v>45838</v>
      </c>
      <c r="C308" s="17" t="s">
        <v>156</v>
      </c>
      <c r="D308" s="17" t="s">
        <v>108</v>
      </c>
      <c r="E308" s="17" t="s">
        <v>114</v>
      </c>
      <c r="F308" s="17" t="n">
        <v>1447972</v>
      </c>
      <c r="G308" s="17" t="n">
        <v>1421228</v>
      </c>
      <c r="H308" s="17" t="n">
        <v>1125192</v>
      </c>
      <c r="I308" s="17" t="n">
        <v>203598</v>
      </c>
      <c r="J308" s="17" t="n">
        <v>837251</v>
      </c>
      <c r="K308" s="17" t="n">
        <v>832424.666666667</v>
      </c>
      <c r="L308" s="17" t="n">
        <v>759223</v>
      </c>
      <c r="M308" s="17" t="n">
        <v>57319</v>
      </c>
      <c r="N308" s="17" t="n">
        <v>10778</v>
      </c>
      <c r="O308" s="17" t="n">
        <v>1306</v>
      </c>
      <c r="P308" s="17" t="n">
        <v>2108</v>
      </c>
      <c r="Q308" s="17" t="n">
        <v>66</v>
      </c>
      <c r="R308" s="17" t="n">
        <v>-36</v>
      </c>
      <c r="S308" s="17" t="n">
        <v>0</v>
      </c>
      <c r="T308" s="17" t="n">
        <v>0</v>
      </c>
      <c r="U308" s="17" t="n">
        <v>12584</v>
      </c>
      <c r="V308" s="17" t="n">
        <v>0.885431471938352</v>
      </c>
      <c r="W308" s="17" t="n">
        <v>6.39</v>
      </c>
      <c r="X308" s="17" t="n">
        <v>2.6965287741223</v>
      </c>
      <c r="Y308" s="17" t="n">
        <v>1.4555969476298</v>
      </c>
      <c r="Z308" s="17" t="n">
        <v>0</v>
      </c>
      <c r="AA308" s="17" t="n">
        <v>14.0609072551127</v>
      </c>
      <c r="AB308" s="17" t="n">
        <v>3.78046280674242</v>
      </c>
      <c r="AC308" s="17" t="n">
        <v>1.84878590553164</v>
      </c>
      <c r="AD308" s="17" t="n">
        <v>2.67277792428331</v>
      </c>
      <c r="AE308" s="17" t="n">
        <v>-0.0946436505710385</v>
      </c>
      <c r="AF308" s="17" t="n">
        <v>0.0727785810346896</v>
      </c>
      <c r="AG308" s="18" t="n">
        <f aca="false">IFERROR(100*O308/F308,"")</f>
        <v>0.0901951142701654</v>
      </c>
      <c r="AH308" s="18" t="n">
        <f aca="false">IFERROR(100*(P308+Q308)/F308,"")</f>
        <v>0.150141024826447</v>
      </c>
      <c r="AI308" s="18" t="n">
        <f aca="false">IFERROR(100*R308/K308,"")</f>
        <v>-0.00432471566996653</v>
      </c>
      <c r="AJ308" s="18" t="str">
        <f aca="false">IF(T308&gt;0,100*S308/T308,"")</f>
        <v/>
      </c>
      <c r="AK308" s="18" t="n">
        <f aca="false">IFERROR(100*U308/G308,"")</f>
        <v>0.885431471938352</v>
      </c>
      <c r="AL308" s="18" t="n">
        <f aca="false">IFERROR(100*J308/H308,"")</f>
        <v>74.4096118706852</v>
      </c>
      <c r="AM308" s="18" t="n">
        <f aca="false">IFERROR(100*L308/J308,"")</f>
        <v>90.6804530541021</v>
      </c>
      <c r="AN308" s="18" t="n">
        <f aca="false">IFERROR(100*M308/J308,"")</f>
        <v>6.8460951375394</v>
      </c>
      <c r="AO308" s="18" t="n">
        <f aca="false">IFERROR(100*N308/J308,"")</f>
        <v>1.28730810712678</v>
      </c>
    </row>
    <row r="309" customFormat="false" ht="15" hidden="false" customHeight="false" outlineLevel="0" collapsed="false">
      <c r="A309" s="17" t="n">
        <v>17751</v>
      </c>
      <c r="B309" s="23" t="n">
        <v>44651</v>
      </c>
      <c r="C309" s="17" t="s">
        <v>125</v>
      </c>
      <c r="D309" s="17" t="s">
        <v>108</v>
      </c>
      <c r="E309" s="17" t="s">
        <v>114</v>
      </c>
      <c r="F309" s="17" t="n">
        <v>1361626</v>
      </c>
      <c r="G309" s="17" t="n">
        <v>1372896</v>
      </c>
      <c r="H309" s="17" t="n">
        <v>1200633</v>
      </c>
      <c r="I309" s="17" t="n">
        <v>129404</v>
      </c>
      <c r="J309" s="17" t="n">
        <v>1081029</v>
      </c>
      <c r="K309" s="17" t="n">
        <v>1065920</v>
      </c>
      <c r="L309" s="17" t="n">
        <v>913702</v>
      </c>
      <c r="M309" s="17" t="n">
        <v>117124</v>
      </c>
      <c r="N309" s="17" t="n">
        <v>1660</v>
      </c>
      <c r="O309" s="17" t="n">
        <v>2344</v>
      </c>
      <c r="P309" s="17" t="n">
        <v>1342</v>
      </c>
      <c r="Q309" s="17" t="n">
        <v>0</v>
      </c>
      <c r="R309" s="17" t="n">
        <v>8</v>
      </c>
      <c r="S309" s="17" t="n">
        <v>146579</v>
      </c>
      <c r="T309" s="17" t="n">
        <v>1064183</v>
      </c>
      <c r="U309" s="17" t="n">
        <v>6984</v>
      </c>
      <c r="V309" s="17" t="n">
        <v>0.508705684917139</v>
      </c>
      <c r="W309" s="17" t="n">
        <v>5.27</v>
      </c>
      <c r="X309" s="17" t="n">
        <v>2.98263106712459</v>
      </c>
      <c r="Y309" s="17" t="n">
        <v>1.08433723794644</v>
      </c>
      <c r="Z309" s="17" t="n">
        <v>13.7738528053916</v>
      </c>
      <c r="AA309" s="17" t="n">
        <v>9.50363756273749</v>
      </c>
      <c r="AB309" s="17"/>
      <c r="AC309" s="17"/>
      <c r="AD309" s="17"/>
      <c r="AE309" s="17"/>
      <c r="AF309" s="17"/>
      <c r="AG309" s="18" t="n">
        <f aca="false">IFERROR(100*O309/F309,"")</f>
        <v>0.172147124100157</v>
      </c>
      <c r="AH309" s="18" t="n">
        <f aca="false">IFERROR(100*(P309+Q309)/F309,"")</f>
        <v>0.0985586350436904</v>
      </c>
      <c r="AI309" s="18" t="n">
        <f aca="false">IFERROR(100*R309/K309,"")</f>
        <v>0.00075052536775743</v>
      </c>
      <c r="AJ309" s="18" t="n">
        <f aca="false">IF(T309&gt;0,100*S309/T309,"")</f>
        <v>13.7738528053916</v>
      </c>
      <c r="AK309" s="18" t="n">
        <f aca="false">IFERROR(100*U309/G309,"")</f>
        <v>0.508705684917139</v>
      </c>
      <c r="AL309" s="18" t="n">
        <f aca="false">IFERROR(100*J309/H309,"")</f>
        <v>90.0382548205821</v>
      </c>
      <c r="AM309" s="18" t="n">
        <f aca="false">IFERROR(100*L309/J309,"")</f>
        <v>84.5215068235912</v>
      </c>
      <c r="AN309" s="18" t="n">
        <f aca="false">IFERROR(100*M309/J309,"")</f>
        <v>10.8344919516498</v>
      </c>
      <c r="AO309" s="18" t="n">
        <f aca="false">IFERROR(100*N309/J309,"")</f>
        <v>0.153557397627631</v>
      </c>
    </row>
    <row r="310" customFormat="false" ht="15" hidden="false" customHeight="false" outlineLevel="0" collapsed="false">
      <c r="A310" s="17" t="n">
        <v>17751</v>
      </c>
      <c r="B310" s="23" t="n">
        <v>44742</v>
      </c>
      <c r="C310" s="17" t="s">
        <v>125</v>
      </c>
      <c r="D310" s="17" t="s">
        <v>108</v>
      </c>
      <c r="E310" s="17" t="s">
        <v>114</v>
      </c>
      <c r="F310" s="17" t="n">
        <v>1424885</v>
      </c>
      <c r="G310" s="17" t="n">
        <v>1390225.66666667</v>
      </c>
      <c r="H310" s="17" t="n">
        <v>1261975</v>
      </c>
      <c r="I310" s="17" t="n">
        <v>126112</v>
      </c>
      <c r="J310" s="17" t="n">
        <v>1131318</v>
      </c>
      <c r="K310" s="17" t="n">
        <v>1087719.33333333</v>
      </c>
      <c r="L310" s="17" t="n">
        <v>964858</v>
      </c>
      <c r="M310" s="17" t="n">
        <v>116943</v>
      </c>
      <c r="N310" s="17" t="n">
        <v>3247</v>
      </c>
      <c r="O310" s="17" t="n">
        <v>1523</v>
      </c>
      <c r="P310" s="17" t="n">
        <v>2004</v>
      </c>
      <c r="Q310" s="17" t="n">
        <v>0</v>
      </c>
      <c r="R310" s="17" t="n">
        <v>-488</v>
      </c>
      <c r="S310" s="17" t="n">
        <v>149000</v>
      </c>
      <c r="T310" s="17" t="n">
        <v>1107218</v>
      </c>
      <c r="U310" s="17" t="n">
        <v>7876</v>
      </c>
      <c r="V310" s="17" t="n">
        <v>0.566526729353532</v>
      </c>
      <c r="W310" s="17" t="n">
        <v>6.04</v>
      </c>
      <c r="X310" s="17" t="n">
        <v>3.02145916647337</v>
      </c>
      <c r="Y310" s="17" t="n">
        <v>1.05858830143249</v>
      </c>
      <c r="Z310" s="17" t="n">
        <v>13.4571511662563</v>
      </c>
      <c r="AA310" s="17" t="n">
        <v>8.85067917761784</v>
      </c>
      <c r="AB310" s="17"/>
      <c r="AC310" s="17"/>
      <c r="AD310" s="17"/>
      <c r="AE310" s="17"/>
      <c r="AF310" s="17"/>
      <c r="AG310" s="18" t="n">
        <f aca="false">IFERROR(100*O310/F310,"")</f>
        <v>0.106885818855557</v>
      </c>
      <c r="AH310" s="18" t="n">
        <f aca="false">IFERROR(100*(P310+Q310)/F310,"")</f>
        <v>0.140642929078487</v>
      </c>
      <c r="AI310" s="18" t="n">
        <f aca="false">IFERROR(100*R310/K310,"")</f>
        <v>-0.0448645146817899</v>
      </c>
      <c r="AJ310" s="18" t="n">
        <f aca="false">IF(T310&gt;0,100*S310/T310,"")</f>
        <v>13.4571511662563</v>
      </c>
      <c r="AK310" s="18" t="n">
        <f aca="false">IFERROR(100*U310/G310,"")</f>
        <v>0.566526729353532</v>
      </c>
      <c r="AL310" s="18" t="n">
        <f aca="false">IFERROR(100*J310/H310,"")</f>
        <v>89.6466253293449</v>
      </c>
      <c r="AM310" s="18" t="n">
        <f aca="false">IFERROR(100*L310/J310,"")</f>
        <v>85.2861883219396</v>
      </c>
      <c r="AN310" s="18" t="n">
        <f aca="false">IFERROR(100*M310/J310,"")</f>
        <v>10.3368814073497</v>
      </c>
      <c r="AO310" s="18" t="n">
        <f aca="false">IFERROR(100*N310/J310,"")</f>
        <v>0.287010371973221</v>
      </c>
    </row>
    <row r="311" customFormat="false" ht="15" hidden="false" customHeight="false" outlineLevel="0" collapsed="false">
      <c r="A311" s="17" t="n">
        <v>17751</v>
      </c>
      <c r="B311" s="23" t="n">
        <v>44834</v>
      </c>
      <c r="C311" s="17" t="s">
        <v>125</v>
      </c>
      <c r="D311" s="17" t="s">
        <v>108</v>
      </c>
      <c r="E311" s="17" t="s">
        <v>114</v>
      </c>
      <c r="F311" s="17" t="n">
        <v>1446107</v>
      </c>
      <c r="G311" s="17" t="n">
        <v>1404196</v>
      </c>
      <c r="H311" s="17" t="n">
        <v>1280720</v>
      </c>
      <c r="I311" s="17" t="n">
        <v>122617</v>
      </c>
      <c r="J311" s="17" t="n">
        <v>1185974</v>
      </c>
      <c r="K311" s="17" t="n">
        <v>1112283</v>
      </c>
      <c r="L311" s="17" t="n">
        <v>1020660</v>
      </c>
      <c r="M311" s="17" t="n">
        <v>111246</v>
      </c>
      <c r="N311" s="17" t="n">
        <v>3017</v>
      </c>
      <c r="O311" s="17" t="n">
        <v>1170</v>
      </c>
      <c r="P311" s="17" t="n">
        <v>807</v>
      </c>
      <c r="Q311" s="17" t="n">
        <v>0</v>
      </c>
      <c r="R311" s="17" t="n">
        <v>-387.9903</v>
      </c>
      <c r="S311" s="17" t="n">
        <v>152020</v>
      </c>
      <c r="T311" s="17" t="n">
        <v>1129884</v>
      </c>
      <c r="U311" s="17" t="n">
        <v>9211.7697</v>
      </c>
      <c r="V311" s="17" t="n">
        <v>0.656017372218693</v>
      </c>
      <c r="W311" s="17" t="n">
        <v>7.17</v>
      </c>
      <c r="X311" s="17" t="n">
        <v>3.13508164909377</v>
      </c>
      <c r="Y311" s="17" t="n">
        <v>1.01393453819392</v>
      </c>
      <c r="Z311" s="17" t="n">
        <v>13.4544785128385</v>
      </c>
      <c r="AA311" s="17" t="n">
        <v>8.47910977541772</v>
      </c>
      <c r="AB311" s="17"/>
      <c r="AC311" s="17"/>
      <c r="AD311" s="17"/>
      <c r="AE311" s="17"/>
      <c r="AF311" s="17"/>
      <c r="AG311" s="18" t="n">
        <f aca="false">IFERROR(100*O311/F311,"")</f>
        <v>0.0809068761855105</v>
      </c>
      <c r="AH311" s="18" t="n">
        <f aca="false">IFERROR(100*(P311+Q311)/F311,"")</f>
        <v>0.0558049992151342</v>
      </c>
      <c r="AI311" s="18" t="n">
        <f aca="false">IFERROR(100*R311/K311,"")</f>
        <v>-0.0348823365995884</v>
      </c>
      <c r="AJ311" s="18" t="n">
        <f aca="false">IF(T311&gt;0,100*S311/T311,"")</f>
        <v>13.4544785128385</v>
      </c>
      <c r="AK311" s="18" t="n">
        <f aca="false">IFERROR(100*U311/G311,"")</f>
        <v>0.656017372218693</v>
      </c>
      <c r="AL311" s="18" t="n">
        <f aca="false">IFERROR(100*J311/H311,"")</f>
        <v>92.6021300518458</v>
      </c>
      <c r="AM311" s="18" t="n">
        <f aca="false">IFERROR(100*L311/J311,"")</f>
        <v>86.0609085865289</v>
      </c>
      <c r="AN311" s="18" t="n">
        <f aca="false">IFERROR(100*M311/J311,"")</f>
        <v>9.38013818178139</v>
      </c>
      <c r="AO311" s="18" t="n">
        <f aca="false">IFERROR(100*N311/J311,"")</f>
        <v>0.254390062514018</v>
      </c>
    </row>
    <row r="312" customFormat="false" ht="15" hidden="false" customHeight="false" outlineLevel="0" collapsed="false">
      <c r="A312" s="17" t="n">
        <v>17751</v>
      </c>
      <c r="B312" s="23" t="n">
        <v>44926</v>
      </c>
      <c r="C312" s="17" t="s">
        <v>125</v>
      </c>
      <c r="D312" s="17" t="s">
        <v>108</v>
      </c>
      <c r="E312" s="17" t="s">
        <v>114</v>
      </c>
      <c r="F312" s="17" t="n">
        <v>1450036</v>
      </c>
      <c r="G312" s="17" t="n">
        <v>1413364</v>
      </c>
      <c r="H312" s="17" t="n">
        <v>1265376</v>
      </c>
      <c r="I312" s="17" t="n">
        <v>125470</v>
      </c>
      <c r="J312" s="17" t="n">
        <v>1210320</v>
      </c>
      <c r="K312" s="17" t="n">
        <v>1131890.4</v>
      </c>
      <c r="L312" s="17" t="n">
        <v>1045931</v>
      </c>
      <c r="M312" s="17" t="n">
        <v>116008</v>
      </c>
      <c r="N312" s="17" t="n">
        <v>1809</v>
      </c>
      <c r="O312" s="17" t="n">
        <v>6987</v>
      </c>
      <c r="P312" s="17" t="n">
        <v>2294</v>
      </c>
      <c r="Q312" s="17" t="n">
        <v>0</v>
      </c>
      <c r="R312" s="17" t="n">
        <v>-458</v>
      </c>
      <c r="S312" s="17" t="n">
        <v>155045</v>
      </c>
      <c r="T312" s="17" t="n">
        <v>1181283</v>
      </c>
      <c r="U312" s="17" t="n">
        <v>8181</v>
      </c>
      <c r="V312" s="17" t="n">
        <v>0.57883178006515</v>
      </c>
      <c r="W312" s="17" t="n">
        <v>6.4</v>
      </c>
      <c r="X312" s="17" t="n">
        <v>3.25537988746412</v>
      </c>
      <c r="Y312" s="17" t="n">
        <v>1.25644457664089</v>
      </c>
      <c r="Z312" s="17" t="n">
        <v>13.1251359750373</v>
      </c>
      <c r="AA312" s="17" t="n">
        <v>8.65288861793776</v>
      </c>
      <c r="AB312" s="17"/>
      <c r="AC312" s="17"/>
      <c r="AD312" s="17"/>
      <c r="AE312" s="17"/>
      <c r="AF312" s="17"/>
      <c r="AG312" s="18" t="n">
        <f aca="false">IFERROR(100*O312/F312,"")</f>
        <v>0.481850105790477</v>
      </c>
      <c r="AH312" s="18" t="n">
        <f aca="false">IFERROR(100*(P312+Q312)/F312,"")</f>
        <v>0.158202968753879</v>
      </c>
      <c r="AI312" s="18" t="n">
        <f aca="false">IFERROR(100*R312/K312,"")</f>
        <v>-0.0404632816039433</v>
      </c>
      <c r="AJ312" s="18" t="n">
        <f aca="false">IF(T312&gt;0,100*S312/T312,"")</f>
        <v>13.1251359750373</v>
      </c>
      <c r="AK312" s="18" t="n">
        <f aca="false">IFERROR(100*U312/G312,"")</f>
        <v>0.57883178006515</v>
      </c>
      <c r="AL312" s="18" t="n">
        <f aca="false">IFERROR(100*J312/H312,"")</f>
        <v>95.6490402852591</v>
      </c>
      <c r="AM312" s="18" t="n">
        <f aca="false">IFERROR(100*L312/J312,"")</f>
        <v>86.417724238218</v>
      </c>
      <c r="AN312" s="18" t="n">
        <f aca="false">IFERROR(100*M312/J312,"")</f>
        <v>9.58490316610483</v>
      </c>
      <c r="AO312" s="18" t="n">
        <f aca="false">IFERROR(100*N312/J312,"")</f>
        <v>0.149464604402142</v>
      </c>
    </row>
    <row r="313" customFormat="false" ht="15" hidden="false" customHeight="false" outlineLevel="0" collapsed="false">
      <c r="A313" s="17" t="n">
        <v>17751</v>
      </c>
      <c r="B313" s="23" t="n">
        <v>45016</v>
      </c>
      <c r="C313" s="17" t="s">
        <v>125</v>
      </c>
      <c r="D313" s="17" t="s">
        <v>108</v>
      </c>
      <c r="E313" s="17" t="s">
        <v>114</v>
      </c>
      <c r="F313" s="17" t="n">
        <v>1498353</v>
      </c>
      <c r="G313" s="17" t="n">
        <v>1474194.5</v>
      </c>
      <c r="H313" s="17" t="n">
        <v>1191607</v>
      </c>
      <c r="I313" s="17" t="n">
        <v>129181</v>
      </c>
      <c r="J313" s="17" t="n">
        <v>1213041</v>
      </c>
      <c r="K313" s="17" t="n">
        <v>1211680.5</v>
      </c>
      <c r="L313" s="17" t="n">
        <v>1050455</v>
      </c>
      <c r="M313" s="17" t="n">
        <v>113658</v>
      </c>
      <c r="N313" s="17" t="n">
        <v>1501</v>
      </c>
      <c r="O313" s="17" t="n">
        <v>2844</v>
      </c>
      <c r="P313" s="17" t="n">
        <v>2201</v>
      </c>
      <c r="Q313" s="17" t="n">
        <v>0</v>
      </c>
      <c r="R313" s="17" t="n">
        <v>16284</v>
      </c>
      <c r="S313" s="17" t="n">
        <v>154840</v>
      </c>
      <c r="T313" s="17" t="n">
        <v>1177854</v>
      </c>
      <c r="U313" s="17" t="n">
        <v>8512</v>
      </c>
      <c r="V313" s="17" t="n">
        <v>0.577400064916807</v>
      </c>
      <c r="W313" s="17" t="n">
        <v>6.69</v>
      </c>
      <c r="X313" s="17" t="n">
        <v>3.21523746744756</v>
      </c>
      <c r="Y313" s="17" t="n">
        <v>0.943414113785107</v>
      </c>
      <c r="Z313" s="17" t="n">
        <v>13.1459416871701</v>
      </c>
      <c r="AA313" s="17" t="n">
        <v>8.62153311002147</v>
      </c>
      <c r="AB313" s="17" t="n">
        <v>10.0414504423388</v>
      </c>
      <c r="AC313" s="17" t="n">
        <v>12.2116982985655</v>
      </c>
      <c r="AD313" s="17" t="n">
        <v>-0.751770107934735</v>
      </c>
      <c r="AE313" s="17" t="n">
        <v>0.0686943799996685</v>
      </c>
      <c r="AF313" s="17" t="n">
        <v>0.0176612855336212</v>
      </c>
      <c r="AG313" s="18" t="n">
        <f aca="false">IFERROR(100*O313/F313,"")</f>
        <v>0.189808409633778</v>
      </c>
      <c r="AH313" s="18" t="n">
        <f aca="false">IFERROR(100*(P313+Q313)/F313,"")</f>
        <v>0.146894623630079</v>
      </c>
      <c r="AI313" s="18" t="n">
        <f aca="false">IFERROR(100*R313/K313,"")</f>
        <v>1.34391863201562</v>
      </c>
      <c r="AJ313" s="18" t="n">
        <f aca="false">IF(T313&gt;0,100*S313/T313,"")</f>
        <v>13.1459416871701</v>
      </c>
      <c r="AK313" s="18" t="n">
        <f aca="false">IFERROR(100*U313/G313,"")</f>
        <v>0.577400064916807</v>
      </c>
      <c r="AL313" s="18" t="n">
        <f aca="false">IFERROR(100*J313/H313,"")</f>
        <v>101.798747405814</v>
      </c>
      <c r="AM313" s="18" t="n">
        <f aca="false">IFERROR(100*L313/J313,"")</f>
        <v>86.5968256637657</v>
      </c>
      <c r="AN313" s="18" t="n">
        <f aca="false">IFERROR(100*M313/J313,"")</f>
        <v>9.36967505632538</v>
      </c>
      <c r="AO313" s="18" t="n">
        <f aca="false">IFERROR(100*N313/J313,"")</f>
        <v>0.123738604053779</v>
      </c>
    </row>
    <row r="314" customFormat="false" ht="15" hidden="false" customHeight="false" outlineLevel="0" collapsed="false">
      <c r="A314" s="17" t="n">
        <v>17751</v>
      </c>
      <c r="B314" s="23" t="n">
        <v>45107</v>
      </c>
      <c r="C314" s="17" t="s">
        <v>125</v>
      </c>
      <c r="D314" s="17" t="s">
        <v>108</v>
      </c>
      <c r="E314" s="17" t="s">
        <v>114</v>
      </c>
      <c r="F314" s="17" t="n">
        <v>1539209</v>
      </c>
      <c r="G314" s="17" t="n">
        <v>1495866</v>
      </c>
      <c r="H314" s="17" t="n">
        <v>1218035</v>
      </c>
      <c r="I314" s="17" t="n">
        <v>129936</v>
      </c>
      <c r="J314" s="17" t="n">
        <v>1255714</v>
      </c>
      <c r="K314" s="17" t="n">
        <v>1226358.33333333</v>
      </c>
      <c r="L314" s="17" t="n">
        <v>1072258</v>
      </c>
      <c r="M314" s="17" t="n">
        <v>118420</v>
      </c>
      <c r="N314" s="17" t="n">
        <v>2111</v>
      </c>
      <c r="O314" s="17" t="n">
        <v>2725</v>
      </c>
      <c r="P314" s="17" t="n">
        <v>2912</v>
      </c>
      <c r="Q314" s="17" t="n">
        <v>0</v>
      </c>
      <c r="R314" s="17" t="n">
        <v>8392</v>
      </c>
      <c r="S314" s="17" t="n">
        <v>157173</v>
      </c>
      <c r="T314" s="17" t="n">
        <v>1233663</v>
      </c>
      <c r="U314" s="17" t="n">
        <v>8560</v>
      </c>
      <c r="V314" s="17" t="n">
        <v>0.57224377049816</v>
      </c>
      <c r="W314" s="17" t="n">
        <v>6.68</v>
      </c>
      <c r="X314" s="17" t="n">
        <v>3.14254047562197</v>
      </c>
      <c r="Y314" s="17" t="n">
        <v>0.925847764698013</v>
      </c>
      <c r="Z314" s="17" t="n">
        <v>12.7403512952889</v>
      </c>
      <c r="AA314" s="17" t="n">
        <v>8.44173858131027</v>
      </c>
      <c r="AB314" s="17" t="n">
        <v>8.02338434329788</v>
      </c>
      <c r="AC314" s="17" t="n">
        <v>10.9956705364893</v>
      </c>
      <c r="AD314" s="17" t="n">
        <v>-3.48184393510173</v>
      </c>
      <c r="AE314" s="17" t="n">
        <v>0.00571704114462779</v>
      </c>
      <c r="AF314" s="17" t="n">
        <v>0.0701531667532852</v>
      </c>
      <c r="AG314" s="18" t="n">
        <f aca="false">IFERROR(100*O314/F314,"")</f>
        <v>0.177038985608842</v>
      </c>
      <c r="AH314" s="18" t="n">
        <f aca="false">IFERROR(100*(P314+Q314)/F314,"")</f>
        <v>0.189188082969889</v>
      </c>
      <c r="AI314" s="18" t="n">
        <f aca="false">IFERROR(100*R314/K314,"")</f>
        <v>0.684302440151397</v>
      </c>
      <c r="AJ314" s="18" t="n">
        <f aca="false">IF(T314&gt;0,100*S314/T314,"")</f>
        <v>12.7403512952889</v>
      </c>
      <c r="AK314" s="18" t="n">
        <f aca="false">IFERROR(100*U314/G314,"")</f>
        <v>0.57224377049816</v>
      </c>
      <c r="AL314" s="18" t="n">
        <f aca="false">IFERROR(100*J314/H314,"")</f>
        <v>103.093425065782</v>
      </c>
      <c r="AM314" s="18" t="n">
        <f aca="false">IFERROR(100*L314/J314,"")</f>
        <v>85.3903038430725</v>
      </c>
      <c r="AN314" s="18" t="n">
        <f aca="false">IFERROR(100*M314/J314,"")</f>
        <v>9.43049133799575</v>
      </c>
      <c r="AO314" s="18" t="n">
        <f aca="false">IFERROR(100*N314/J314,"")</f>
        <v>0.168111528580553</v>
      </c>
    </row>
    <row r="315" customFormat="false" ht="15" hidden="false" customHeight="false" outlineLevel="0" collapsed="false">
      <c r="A315" s="17" t="n">
        <v>17751</v>
      </c>
      <c r="B315" s="23" t="n">
        <v>45199</v>
      </c>
      <c r="C315" s="17" t="s">
        <v>125</v>
      </c>
      <c r="D315" s="17" t="s">
        <v>108</v>
      </c>
      <c r="E315" s="17" t="s">
        <v>114</v>
      </c>
      <c r="F315" s="17" t="n">
        <v>1580361</v>
      </c>
      <c r="G315" s="17" t="n">
        <v>1516989.75</v>
      </c>
      <c r="H315" s="17" t="n">
        <v>1300135</v>
      </c>
      <c r="I315" s="17" t="n">
        <v>128888</v>
      </c>
      <c r="J315" s="17" t="n">
        <v>1284182</v>
      </c>
      <c r="K315" s="17" t="n">
        <v>1240814.25</v>
      </c>
      <c r="L315" s="17" t="n">
        <v>1091898</v>
      </c>
      <c r="M315" s="17" t="n">
        <v>120460</v>
      </c>
      <c r="N315" s="17" t="n">
        <v>2396</v>
      </c>
      <c r="O315" s="17" t="n">
        <v>2621</v>
      </c>
      <c r="P315" s="17" t="n">
        <v>4485</v>
      </c>
      <c r="Q315" s="17" t="n">
        <v>0</v>
      </c>
      <c r="R315" s="17" t="n">
        <v>5571.8607</v>
      </c>
      <c r="S315" s="17" t="n">
        <v>159945</v>
      </c>
      <c r="T315" s="17" t="n">
        <v>1269002</v>
      </c>
      <c r="U315" s="17" t="n">
        <v>8970.4424</v>
      </c>
      <c r="V315" s="17" t="n">
        <v>0.591331773995177</v>
      </c>
      <c r="W315" s="17" t="n">
        <v>6.99</v>
      </c>
      <c r="X315" s="17" t="n">
        <v>3.12643695959044</v>
      </c>
      <c r="Y315" s="17" t="n">
        <v>0.930553457375979</v>
      </c>
      <c r="Z315" s="17" t="n">
        <v>12.6039990480709</v>
      </c>
      <c r="AA315" s="17" t="n">
        <v>8.15560495355175</v>
      </c>
      <c r="AB315" s="17" t="n">
        <v>9.28382201317053</v>
      </c>
      <c r="AC315" s="17" t="n">
        <v>8.28078861762569</v>
      </c>
      <c r="AD315" s="17" t="n">
        <v>1.51594415641201</v>
      </c>
      <c r="AE315" s="17" t="n">
        <v>-0.0646855982235161</v>
      </c>
      <c r="AF315" s="17" t="n">
        <v>0.0849413066031056</v>
      </c>
      <c r="AG315" s="18" t="n">
        <f aca="false">IFERROR(100*O315/F315,"")</f>
        <v>0.165848182788616</v>
      </c>
      <c r="AH315" s="18" t="n">
        <f aca="false">IFERROR(100*(P315+Q315)/F315,"")</f>
        <v>0.283795917515049</v>
      </c>
      <c r="AI315" s="18" t="n">
        <f aca="false">IFERROR(100*R315/K315,"")</f>
        <v>0.449048735537974</v>
      </c>
      <c r="AJ315" s="18" t="n">
        <f aca="false">IF(T315&gt;0,100*S315/T315,"")</f>
        <v>12.6039990480708</v>
      </c>
      <c r="AK315" s="18" t="n">
        <f aca="false">IFERROR(100*U315/G315,"")</f>
        <v>0.591331773995177</v>
      </c>
      <c r="AL315" s="18" t="n">
        <f aca="false">IFERROR(100*J315/H315,"")</f>
        <v>98.772973575821</v>
      </c>
      <c r="AM315" s="18" t="n">
        <f aca="false">IFERROR(100*L315/J315,"")</f>
        <v>85.0267329708717</v>
      </c>
      <c r="AN315" s="18" t="n">
        <f aca="false">IFERROR(100*M315/J315,"")</f>
        <v>9.3802903326787</v>
      </c>
      <c r="AO315" s="18" t="n">
        <f aca="false">IFERROR(100*N315/J315,"")</f>
        <v>0.186577914968439</v>
      </c>
    </row>
    <row r="316" customFormat="false" ht="15" hidden="false" customHeight="false" outlineLevel="0" collapsed="false">
      <c r="A316" s="17" t="n">
        <v>17751</v>
      </c>
      <c r="B316" s="23" t="n">
        <v>45291</v>
      </c>
      <c r="C316" s="17" t="s">
        <v>125</v>
      </c>
      <c r="D316" s="17" t="s">
        <v>108</v>
      </c>
      <c r="E316" s="17" t="s">
        <v>114</v>
      </c>
      <c r="F316" s="17" t="n">
        <v>1594063</v>
      </c>
      <c r="G316" s="17" t="n">
        <v>1532404.4</v>
      </c>
      <c r="H316" s="17" t="n">
        <v>1298128</v>
      </c>
      <c r="I316" s="17" t="n">
        <v>137906</v>
      </c>
      <c r="J316" s="17" t="n">
        <v>1301332</v>
      </c>
      <c r="K316" s="17" t="n">
        <v>1252917.8</v>
      </c>
      <c r="L316" s="17" t="n">
        <v>1106344</v>
      </c>
      <c r="M316" s="17" t="n">
        <v>128172</v>
      </c>
      <c r="N316" s="17" t="n">
        <v>3312</v>
      </c>
      <c r="O316" s="17" t="n">
        <v>868</v>
      </c>
      <c r="P316" s="17" t="n">
        <v>5195</v>
      </c>
      <c r="Q316" s="17" t="n">
        <v>0</v>
      </c>
      <c r="R316" s="17" t="n">
        <v>4158</v>
      </c>
      <c r="S316" s="17" t="n">
        <v>162144</v>
      </c>
      <c r="T316" s="17" t="n">
        <v>1331620</v>
      </c>
      <c r="U316" s="17" t="n">
        <v>9141</v>
      </c>
      <c r="V316" s="17" t="n">
        <v>0.596513557387332</v>
      </c>
      <c r="W316" s="17" t="n">
        <v>7.02</v>
      </c>
      <c r="X316" s="17" t="n">
        <v>3.06166841264483</v>
      </c>
      <c r="Y316" s="17" t="n">
        <v>0.915292945996871</v>
      </c>
      <c r="Z316" s="17" t="n">
        <v>12.1764467340533</v>
      </c>
      <c r="AA316" s="17" t="n">
        <v>8.65122645717265</v>
      </c>
      <c r="AB316" s="17" t="n">
        <v>9.93264994800129</v>
      </c>
      <c r="AC316" s="17" t="n">
        <v>7.51966422103245</v>
      </c>
      <c r="AD316" s="17" t="n">
        <v>2.58832157398274</v>
      </c>
      <c r="AE316" s="17" t="n">
        <v>0.0176817773221826</v>
      </c>
      <c r="AF316" s="17" t="n">
        <v>-0.427398054648207</v>
      </c>
      <c r="AG316" s="18" t="n">
        <f aca="false">IFERROR(100*O316/F316,"")</f>
        <v>0.0544520511422698</v>
      </c>
      <c r="AH316" s="18" t="n">
        <f aca="false">IFERROR(100*(P316+Q316)/F316,"")</f>
        <v>0.325896780742041</v>
      </c>
      <c r="AI316" s="18" t="n">
        <f aca="false">IFERROR(100*R316/K316,"")</f>
        <v>0.331865346633275</v>
      </c>
      <c r="AJ316" s="18" t="n">
        <f aca="false">IF(T316&gt;0,100*S316/T316,"")</f>
        <v>12.1764467340533</v>
      </c>
      <c r="AK316" s="18" t="n">
        <f aca="false">IFERROR(100*U316/G316,"")</f>
        <v>0.596513557387332</v>
      </c>
      <c r="AL316" s="18" t="n">
        <f aca="false">IFERROR(100*J316/H316,"")</f>
        <v>100.246816954877</v>
      </c>
      <c r="AM316" s="18" t="n">
        <f aca="false">IFERROR(100*L316/J316,"")</f>
        <v>85.01627563143</v>
      </c>
      <c r="AN316" s="18" t="n">
        <f aca="false">IFERROR(100*M316/J316,"")</f>
        <v>9.84929287837385</v>
      </c>
      <c r="AO316" s="18" t="n">
        <f aca="false">IFERROR(100*N316/J316,"")</f>
        <v>0.254508457488174</v>
      </c>
    </row>
    <row r="317" customFormat="false" ht="15" hidden="false" customHeight="false" outlineLevel="0" collapsed="false">
      <c r="A317" s="17" t="n">
        <v>17751</v>
      </c>
      <c r="B317" s="23" t="n">
        <v>45382</v>
      </c>
      <c r="C317" s="17" t="s">
        <v>125</v>
      </c>
      <c r="D317" s="17" t="s">
        <v>108</v>
      </c>
      <c r="E317" s="17" t="s">
        <v>114</v>
      </c>
      <c r="F317" s="17" t="n">
        <v>1632063</v>
      </c>
      <c r="G317" s="17" t="n">
        <v>1613063</v>
      </c>
      <c r="H317" s="17" t="n">
        <v>1308912</v>
      </c>
      <c r="I317" s="17" t="n">
        <v>138475</v>
      </c>
      <c r="J317" s="17" t="n">
        <v>1332202</v>
      </c>
      <c r="K317" s="17" t="n">
        <v>1316767</v>
      </c>
      <c r="L317" s="17" t="n">
        <v>1123971</v>
      </c>
      <c r="M317" s="17" t="n">
        <v>135811</v>
      </c>
      <c r="N317" s="17" t="n">
        <v>2663</v>
      </c>
      <c r="O317" s="17" t="n">
        <v>805</v>
      </c>
      <c r="P317" s="17" t="n">
        <v>2865</v>
      </c>
      <c r="Q317" s="17" t="n">
        <v>0</v>
      </c>
      <c r="R317" s="17" t="n">
        <v>-72</v>
      </c>
      <c r="S317" s="17" t="n">
        <v>163933</v>
      </c>
      <c r="T317" s="17" t="n">
        <v>1366779</v>
      </c>
      <c r="U317" s="17" t="n">
        <v>6576</v>
      </c>
      <c r="V317" s="17" t="n">
        <v>0.407671616049714</v>
      </c>
      <c r="W317" s="17" t="n">
        <v>4.76</v>
      </c>
      <c r="X317" s="17" t="n">
        <v>2.63611632629603</v>
      </c>
      <c r="Y317" s="17" t="n">
        <v>0.904967865233651</v>
      </c>
      <c r="Z317" s="17" t="n">
        <v>11.9941117035014</v>
      </c>
      <c r="AA317" s="17" t="n">
        <v>8.48466021225896</v>
      </c>
      <c r="AB317" s="17" t="n">
        <v>8.92379833056696</v>
      </c>
      <c r="AC317" s="17" t="n">
        <v>9.82332831289297</v>
      </c>
      <c r="AD317" s="17" t="n">
        <v>9.84426912564294</v>
      </c>
      <c r="AE317" s="17" t="n">
        <v>-0.169728448867093</v>
      </c>
      <c r="AF317" s="17" t="n">
        <v>-0.140484333296039</v>
      </c>
      <c r="AG317" s="18" t="n">
        <f aca="false">IFERROR(100*O317/F317,"")</f>
        <v>0.0493240763377394</v>
      </c>
      <c r="AH317" s="18" t="n">
        <f aca="false">IFERROR(100*(P317+Q317)/F317,"")</f>
        <v>0.175544694046737</v>
      </c>
      <c r="AI317" s="18" t="n">
        <f aca="false">IFERROR(100*R317/K317,"")</f>
        <v>-0.00546793775967958</v>
      </c>
      <c r="AJ317" s="18" t="n">
        <f aca="false">IF(T317&gt;0,100*S317/T317,"")</f>
        <v>11.9941117035014</v>
      </c>
      <c r="AK317" s="18" t="n">
        <f aca="false">IFERROR(100*U317/G317,"")</f>
        <v>0.407671616049714</v>
      </c>
      <c r="AL317" s="18" t="n">
        <f aca="false">IFERROR(100*J317/H317,"")</f>
        <v>101.779340398743</v>
      </c>
      <c r="AM317" s="18" t="n">
        <f aca="false">IFERROR(100*L317/J317,"")</f>
        <v>84.3694124464608</v>
      </c>
      <c r="AN317" s="18" t="n">
        <f aca="false">IFERROR(100*M317/J317,"")</f>
        <v>10.1944750120477</v>
      </c>
      <c r="AO317" s="18" t="n">
        <f aca="false">IFERROR(100*N317/J317,"")</f>
        <v>0.199894610577075</v>
      </c>
    </row>
    <row r="318" customFormat="false" ht="15" hidden="false" customHeight="false" outlineLevel="0" collapsed="false">
      <c r="A318" s="17" t="n">
        <v>17751</v>
      </c>
      <c r="B318" s="23" t="n">
        <v>45473</v>
      </c>
      <c r="C318" s="17" t="s">
        <v>125</v>
      </c>
      <c r="D318" s="17" t="s">
        <v>108</v>
      </c>
      <c r="E318" s="17" t="s">
        <v>114</v>
      </c>
      <c r="F318" s="17" t="n">
        <v>1628666</v>
      </c>
      <c r="G318" s="17" t="n">
        <v>1618264</v>
      </c>
      <c r="H318" s="17" t="n">
        <v>1314857</v>
      </c>
      <c r="I318" s="17" t="n">
        <v>140560</v>
      </c>
      <c r="J318" s="17" t="n">
        <v>1345733</v>
      </c>
      <c r="K318" s="17" t="n">
        <v>1326422.33333333</v>
      </c>
      <c r="L318" s="17" t="n">
        <v>1148666</v>
      </c>
      <c r="M318" s="17" t="n">
        <v>134212</v>
      </c>
      <c r="N318" s="17" t="n">
        <v>4482</v>
      </c>
      <c r="O318" s="17" t="n">
        <v>4863</v>
      </c>
      <c r="P318" s="17" t="n">
        <v>4693</v>
      </c>
      <c r="Q318" s="17" t="n">
        <v>0</v>
      </c>
      <c r="R318" s="17" t="n">
        <v>-68</v>
      </c>
      <c r="S318" s="17" t="n">
        <v>166093</v>
      </c>
      <c r="T318" s="17" t="n">
        <v>1302057</v>
      </c>
      <c r="U318" s="17" t="n">
        <v>7174</v>
      </c>
      <c r="V318" s="17" t="n">
        <v>0.443314564249097</v>
      </c>
      <c r="W318" s="17" t="n">
        <v>5.16</v>
      </c>
      <c r="X318" s="17" t="n">
        <v>2.67176233579369</v>
      </c>
      <c r="Y318" s="17" t="n">
        <v>0.911993686712</v>
      </c>
      <c r="Z318" s="17" t="n">
        <v>12.7562003813965</v>
      </c>
      <c r="AA318" s="17" t="n">
        <v>8.63037602553255</v>
      </c>
      <c r="AB318" s="17" t="n">
        <v>5.81188129747163</v>
      </c>
      <c r="AC318" s="17" t="n">
        <v>7.16875020904442</v>
      </c>
      <c r="AD318" s="17" t="n">
        <v>7.94903266326501</v>
      </c>
      <c r="AE318" s="17" t="n">
        <v>-0.128929206249063</v>
      </c>
      <c r="AF318" s="17" t="n">
        <v>0.121548938495916</v>
      </c>
      <c r="AG318" s="18" t="n">
        <f aca="false">IFERROR(100*O318/F318,"")</f>
        <v>0.298587924104758</v>
      </c>
      <c r="AH318" s="18" t="n">
        <f aca="false">IFERROR(100*(P318+Q318)/F318,"")</f>
        <v>0.288149933749461</v>
      </c>
      <c r="AI318" s="18" t="n">
        <f aca="false">IFERROR(100*R318/K318,"")</f>
        <v>-0.00512657230590458</v>
      </c>
      <c r="AJ318" s="18" t="n">
        <f aca="false">IF(T318&gt;0,100*S318/T318,"")</f>
        <v>12.7562003813965</v>
      </c>
      <c r="AK318" s="18" t="n">
        <f aca="false">IFERROR(100*U318/G318,"")</f>
        <v>0.443314564249097</v>
      </c>
      <c r="AL318" s="18" t="n">
        <f aca="false">IFERROR(100*J318/H318,"")</f>
        <v>102.34824015083</v>
      </c>
      <c r="AM318" s="18" t="n">
        <f aca="false">IFERROR(100*L318/J318,"")</f>
        <v>85.3561590597838</v>
      </c>
      <c r="AN318" s="18" t="n">
        <f aca="false">IFERROR(100*M318/J318,"")</f>
        <v>9.97315217803234</v>
      </c>
      <c r="AO318" s="18" t="n">
        <f aca="false">IFERROR(100*N318/J318,"")</f>
        <v>0.333052693216262</v>
      </c>
    </row>
    <row r="319" customFormat="false" ht="15" hidden="false" customHeight="false" outlineLevel="0" collapsed="false">
      <c r="A319" s="17" t="n">
        <v>17751</v>
      </c>
      <c r="B319" s="23" t="n">
        <v>45565</v>
      </c>
      <c r="C319" s="17" t="s">
        <v>125</v>
      </c>
      <c r="D319" s="17" t="s">
        <v>108</v>
      </c>
      <c r="E319" s="17" t="s">
        <v>114</v>
      </c>
      <c r="F319" s="17" t="n">
        <v>1665363</v>
      </c>
      <c r="G319" s="17" t="n">
        <v>1630038.75</v>
      </c>
      <c r="H319" s="17" t="n">
        <v>1312346</v>
      </c>
      <c r="I319" s="17" t="n">
        <v>146041</v>
      </c>
      <c r="J319" s="17" t="n">
        <v>1372411</v>
      </c>
      <c r="K319" s="17" t="n">
        <v>1337919.5</v>
      </c>
      <c r="L319" s="17" t="n">
        <v>1170198</v>
      </c>
      <c r="M319" s="17" t="n">
        <v>136330</v>
      </c>
      <c r="N319" s="17" t="n">
        <v>2825</v>
      </c>
      <c r="O319" s="17" t="n">
        <v>5637</v>
      </c>
      <c r="P319" s="17" t="n">
        <v>2877</v>
      </c>
      <c r="Q319" s="17" t="n">
        <v>0</v>
      </c>
      <c r="R319" s="17" t="n">
        <v>-54.6653</v>
      </c>
      <c r="S319" s="17" t="n">
        <v>167940</v>
      </c>
      <c r="T319" s="17" t="n">
        <v>1326365</v>
      </c>
      <c r="U319" s="17" t="n">
        <v>7057.1569</v>
      </c>
      <c r="V319" s="17" t="n">
        <v>0.432944118659756</v>
      </c>
      <c r="W319" s="17" t="n">
        <v>5.01</v>
      </c>
      <c r="X319" s="17" t="n">
        <v>2.66147221338077</v>
      </c>
      <c r="Y319" s="17" t="n">
        <v>0.904466664869343</v>
      </c>
      <c r="Z319" s="17" t="n">
        <v>12.6616730688762</v>
      </c>
      <c r="AA319" s="17" t="n">
        <v>8.76931936160465</v>
      </c>
      <c r="AB319" s="17" t="n">
        <v>5.37864449957952</v>
      </c>
      <c r="AC319" s="17" t="n">
        <v>6.8704435975586</v>
      </c>
      <c r="AD319" s="17" t="n">
        <v>0.939210158945025</v>
      </c>
      <c r="AE319" s="17" t="n">
        <v>-0.158387655335421</v>
      </c>
      <c r="AF319" s="17" t="n">
        <v>0.172636579992832</v>
      </c>
      <c r="AG319" s="18" t="n">
        <f aca="false">IFERROR(100*O319/F319,"")</f>
        <v>0.338484762781448</v>
      </c>
      <c r="AH319" s="18" t="n">
        <f aca="false">IFERROR(100*(P319+Q319)/F319,"")</f>
        <v>0.172755129061952</v>
      </c>
      <c r="AI319" s="18" t="n">
        <f aca="false">IFERROR(100*R319/K319,"")</f>
        <v>-0.00408584372976102</v>
      </c>
      <c r="AJ319" s="18" t="n">
        <f aca="false">IF(T319&gt;0,100*S319/T319,"")</f>
        <v>12.6616730688762</v>
      </c>
      <c r="AK319" s="18" t="n">
        <f aca="false">IFERROR(100*U319/G319,"")</f>
        <v>0.432944118659756</v>
      </c>
      <c r="AL319" s="18" t="n">
        <f aca="false">IFERROR(100*J319/H319,"")</f>
        <v>104.576917977424</v>
      </c>
      <c r="AM319" s="18" t="n">
        <f aca="false">IFERROR(100*L319/J319,"")</f>
        <v>85.2658569481008</v>
      </c>
      <c r="AN319" s="18" t="n">
        <f aca="false">IFERROR(100*M319/J319,"")</f>
        <v>9.93361318147406</v>
      </c>
      <c r="AO319" s="18" t="n">
        <f aca="false">IFERROR(100*N319/J319,"")</f>
        <v>0.205842127467646</v>
      </c>
    </row>
    <row r="320" customFormat="false" ht="15" hidden="false" customHeight="false" outlineLevel="0" collapsed="false">
      <c r="A320" s="17" t="n">
        <v>17751</v>
      </c>
      <c r="B320" s="23" t="n">
        <v>45657</v>
      </c>
      <c r="C320" s="17" t="s">
        <v>125</v>
      </c>
      <c r="D320" s="17" t="s">
        <v>108</v>
      </c>
      <c r="E320" s="17" t="s">
        <v>114</v>
      </c>
      <c r="F320" s="17" t="n">
        <v>1661812</v>
      </c>
      <c r="G320" s="17" t="n">
        <v>1636393.4</v>
      </c>
      <c r="H320" s="17" t="n">
        <v>1317297</v>
      </c>
      <c r="I320" s="17" t="n">
        <v>146032</v>
      </c>
      <c r="J320" s="17" t="n">
        <v>1375193</v>
      </c>
      <c r="K320" s="17" t="n">
        <v>1345374.2</v>
      </c>
      <c r="L320" s="17" t="n">
        <v>1175847</v>
      </c>
      <c r="M320" s="17" t="n">
        <v>137238</v>
      </c>
      <c r="N320" s="17" t="n">
        <v>4607</v>
      </c>
      <c r="O320" s="17" t="n">
        <v>2670</v>
      </c>
      <c r="P320" s="17" t="n">
        <v>7110</v>
      </c>
      <c r="Q320" s="17" t="n">
        <v>0</v>
      </c>
      <c r="R320" s="17" t="n">
        <v>-229</v>
      </c>
      <c r="S320" s="17" t="n">
        <v>170160</v>
      </c>
      <c r="T320" s="17" t="n">
        <v>1350375</v>
      </c>
      <c r="U320" s="17" t="n">
        <v>6914</v>
      </c>
      <c r="V320" s="17" t="n">
        <v>0.422514537152252</v>
      </c>
      <c r="W320" s="17" t="n">
        <v>4.88</v>
      </c>
      <c r="X320" s="17" t="n">
        <v>2.720130697408</v>
      </c>
      <c r="Y320" s="17" t="n">
        <v>0.946267178497855</v>
      </c>
      <c r="Z320" s="17" t="n">
        <v>12.6009441821716</v>
      </c>
      <c r="AA320" s="17" t="n">
        <v>8.78751627741285</v>
      </c>
      <c r="AB320" s="17" t="n">
        <v>4.25008296409866</v>
      </c>
      <c r="AC320" s="17" t="n">
        <v>5.67579987274578</v>
      </c>
      <c r="AD320" s="17" t="n">
        <v>1.47666485893534</v>
      </c>
      <c r="AE320" s="17" t="n">
        <v>-0.17399902023508</v>
      </c>
      <c r="AF320" s="17" t="n">
        <v>0.106215942589873</v>
      </c>
      <c r="AG320" s="18" t="n">
        <f aca="false">IFERROR(100*O320/F320,"")</f>
        <v>0.160667993732143</v>
      </c>
      <c r="AH320" s="18" t="n">
        <f aca="false">IFERROR(100*(P320+Q320)/F320,"")</f>
        <v>0.427846230500201</v>
      </c>
      <c r="AI320" s="18" t="n">
        <f aca="false">IFERROR(100*R320/K320,"")</f>
        <v>-0.0170212867171081</v>
      </c>
      <c r="AJ320" s="18" t="n">
        <f aca="false">IF(T320&gt;0,100*S320/T320,"")</f>
        <v>12.6009441821716</v>
      </c>
      <c r="AK320" s="18" t="n">
        <f aca="false">IFERROR(100*U320/G320,"")</f>
        <v>0.422514537152252</v>
      </c>
      <c r="AL320" s="18" t="n">
        <f aca="false">IFERROR(100*J320/H320,"")</f>
        <v>104.395060491294</v>
      </c>
      <c r="AM320" s="18" t="n">
        <f aca="false">IFERROR(100*L320/J320,"")</f>
        <v>85.5041437820001</v>
      </c>
      <c r="AN320" s="18" t="n">
        <f aca="false">IFERROR(100*M320/J320,"")</f>
        <v>9.9795446893636</v>
      </c>
      <c r="AO320" s="18" t="n">
        <f aca="false">IFERROR(100*N320/J320,"")</f>
        <v>0.335007522580467</v>
      </c>
    </row>
    <row r="321" customFormat="false" ht="15" hidden="false" customHeight="false" outlineLevel="0" collapsed="false">
      <c r="A321" s="17" t="n">
        <v>17751</v>
      </c>
      <c r="B321" s="23" t="n">
        <v>45747</v>
      </c>
      <c r="C321" s="17" t="s">
        <v>125</v>
      </c>
      <c r="D321" s="17" t="s">
        <v>108</v>
      </c>
      <c r="E321" s="17" t="s">
        <v>114</v>
      </c>
      <c r="F321" s="17" t="n">
        <v>1694530</v>
      </c>
      <c r="G321" s="17" t="n">
        <v>1678171</v>
      </c>
      <c r="H321" s="17" t="n">
        <v>1333884</v>
      </c>
      <c r="I321" s="17" t="n">
        <v>150042</v>
      </c>
      <c r="J321" s="17" t="n">
        <v>1410815</v>
      </c>
      <c r="K321" s="17" t="n">
        <v>1393004</v>
      </c>
      <c r="L321" s="17" t="n">
        <v>1197971</v>
      </c>
      <c r="M321" s="17" t="n">
        <v>138929</v>
      </c>
      <c r="N321" s="17" t="n">
        <v>2198</v>
      </c>
      <c r="O321" s="17" t="n">
        <v>2675</v>
      </c>
      <c r="P321" s="17" t="n">
        <v>7685</v>
      </c>
      <c r="Q321" s="17" t="n">
        <v>0</v>
      </c>
      <c r="R321" s="17" t="n">
        <v>-100</v>
      </c>
      <c r="S321" s="17" t="n">
        <v>171902</v>
      </c>
      <c r="T321" s="17" t="n">
        <v>1387491</v>
      </c>
      <c r="U321" s="17" t="n">
        <v>6068</v>
      </c>
      <c r="V321" s="17" t="n">
        <v>0.361584129388483</v>
      </c>
      <c r="W321" s="17" t="n">
        <v>4.1</v>
      </c>
      <c r="X321" s="17" t="n">
        <v>2.79025458624727</v>
      </c>
      <c r="Y321" s="17" t="n">
        <v>0.938322884290286</v>
      </c>
      <c r="Z321" s="17" t="n">
        <v>12.3894136970979</v>
      </c>
      <c r="AA321" s="17" t="n">
        <v>8.85449062571923</v>
      </c>
      <c r="AB321" s="17" t="n">
        <v>3.82748705166407</v>
      </c>
      <c r="AC321" s="17" t="n">
        <v>5.90098198321276</v>
      </c>
      <c r="AD321" s="17" t="n">
        <v>1.90784407202318</v>
      </c>
      <c r="AE321" s="17" t="n">
        <v>-0.046087486661231</v>
      </c>
      <c r="AF321" s="17" t="n">
        <v>0.108536805440689</v>
      </c>
      <c r="AG321" s="18" t="n">
        <f aca="false">IFERROR(100*O321/F321,"")</f>
        <v>0.157860881778428</v>
      </c>
      <c r="AH321" s="18" t="n">
        <f aca="false">IFERROR(100*(P321+Q321)/F321,"")</f>
        <v>0.453518084660643</v>
      </c>
      <c r="AI321" s="18" t="n">
        <f aca="false">IFERROR(100*R321/K321,"")</f>
        <v>-0.00717873028361728</v>
      </c>
      <c r="AJ321" s="18" t="n">
        <f aca="false">IF(T321&gt;0,100*S321/T321,"")</f>
        <v>12.3894136970979</v>
      </c>
      <c r="AK321" s="18" t="n">
        <f aca="false">IFERROR(100*U321/G321,"")</f>
        <v>0.361584129388483</v>
      </c>
      <c r="AL321" s="18" t="n">
        <f aca="false">IFERROR(100*J321/H321,"")</f>
        <v>105.767443046022</v>
      </c>
      <c r="AM321" s="18" t="n">
        <f aca="false">IFERROR(100*L321/J321,"")</f>
        <v>84.9134011192112</v>
      </c>
      <c r="AN321" s="18" t="n">
        <f aca="false">IFERROR(100*M321/J321,"")</f>
        <v>9.84742861395718</v>
      </c>
      <c r="AO321" s="18" t="n">
        <f aca="false">IFERROR(100*N321/J321,"")</f>
        <v>0.155796472251854</v>
      </c>
    </row>
    <row r="322" customFormat="false" ht="15" hidden="false" customHeight="false" outlineLevel="0" collapsed="false">
      <c r="A322" s="17" t="n">
        <v>17751</v>
      </c>
      <c r="B322" s="23" t="n">
        <v>45838</v>
      </c>
      <c r="C322" s="17" t="s">
        <v>125</v>
      </c>
      <c r="D322" s="17" t="s">
        <v>108</v>
      </c>
      <c r="E322" s="17" t="s">
        <v>114</v>
      </c>
      <c r="F322" s="17" t="n">
        <v>1763462</v>
      </c>
      <c r="G322" s="17" t="n">
        <v>1706601.33333333</v>
      </c>
      <c r="H322" s="17" t="n">
        <v>1373195</v>
      </c>
      <c r="I322" s="17" t="n">
        <v>175467</v>
      </c>
      <c r="J322" s="17" t="n">
        <v>1456858</v>
      </c>
      <c r="K322" s="17" t="n">
        <v>1414288.66666667</v>
      </c>
      <c r="L322" s="17" t="n">
        <v>1232944</v>
      </c>
      <c r="M322" s="17" t="n">
        <v>149887</v>
      </c>
      <c r="N322" s="17" t="n">
        <v>2254</v>
      </c>
      <c r="O322" s="17" t="n">
        <v>2425</v>
      </c>
      <c r="P322" s="17" t="n">
        <v>6455</v>
      </c>
      <c r="Q322" s="17" t="n">
        <v>0</v>
      </c>
      <c r="R322" s="17" t="n">
        <v>-90</v>
      </c>
      <c r="S322" s="17" t="n">
        <v>196928</v>
      </c>
      <c r="T322" s="17" t="n">
        <v>1414493</v>
      </c>
      <c r="U322" s="17" t="n">
        <v>7788</v>
      </c>
      <c r="V322" s="17" t="n">
        <v>0.456345594479789</v>
      </c>
      <c r="W322" s="17" t="n">
        <v>4.95</v>
      </c>
      <c r="X322" s="17" t="n">
        <v>2.87157524616151</v>
      </c>
      <c r="Y322" s="17" t="n">
        <v>0.936055538700409</v>
      </c>
      <c r="Z322" s="17" t="n">
        <v>13.9221615094596</v>
      </c>
      <c r="AA322" s="17" t="n">
        <v>9.95014352449897</v>
      </c>
      <c r="AB322" s="17" t="n">
        <v>8.27646675254472</v>
      </c>
      <c r="AC322" s="17" t="n">
        <v>8.25758155592529</v>
      </c>
      <c r="AD322" s="17" t="n">
        <v>4.43683229431033</v>
      </c>
      <c r="AE322" s="17" t="n">
        <v>0.0130310302306921</v>
      </c>
      <c r="AF322" s="17" t="n">
        <v>-0.161074328688469</v>
      </c>
      <c r="AG322" s="18" t="n">
        <f aca="false">IFERROR(100*O322/F322,"")</f>
        <v>0.137513595416289</v>
      </c>
      <c r="AH322" s="18" t="n">
        <f aca="false">IFERROR(100*(P322+Q322)/F322,"")</f>
        <v>0.366041343675112</v>
      </c>
      <c r="AI322" s="18" t="n">
        <f aca="false">IFERROR(100*R322/K322,"")</f>
        <v>-0.00636362307930536</v>
      </c>
      <c r="AJ322" s="18" t="n">
        <f aca="false">IF(T322&gt;0,100*S322/T322,"")</f>
        <v>13.9221615094596</v>
      </c>
      <c r="AK322" s="18" t="n">
        <f aca="false">IFERROR(100*U322/G322,"")</f>
        <v>0.456345594479789</v>
      </c>
      <c r="AL322" s="18" t="n">
        <f aca="false">IFERROR(100*J322/H322,"")</f>
        <v>106.092579713733</v>
      </c>
      <c r="AM322" s="18" t="n">
        <f aca="false">IFERROR(100*L322/J322,"")</f>
        <v>84.6303483249569</v>
      </c>
      <c r="AN322" s="18" t="n">
        <f aca="false">IFERROR(100*M322/J322,"")</f>
        <v>10.2883740213528</v>
      </c>
      <c r="AO322" s="18" t="n">
        <f aca="false">IFERROR(100*N322/J322,"")</f>
        <v>0.15471652007265</v>
      </c>
    </row>
    <row r="323" customFormat="false" ht="15" hidden="false" customHeight="false" outlineLevel="0" collapsed="false">
      <c r="A323" s="17" t="n">
        <v>17897</v>
      </c>
      <c r="B323" s="23" t="n">
        <v>44651</v>
      </c>
      <c r="C323" s="17" t="s">
        <v>149</v>
      </c>
      <c r="D323" s="17" t="s">
        <v>108</v>
      </c>
      <c r="E323" s="17" t="s">
        <v>114</v>
      </c>
      <c r="F323" s="17" t="n">
        <v>1471217</v>
      </c>
      <c r="G323" s="17" t="n">
        <v>1459179.5</v>
      </c>
      <c r="H323" s="17" t="n">
        <v>1215413</v>
      </c>
      <c r="I323" s="17" t="n">
        <v>198845</v>
      </c>
      <c r="J323" s="17" t="n">
        <v>1226087</v>
      </c>
      <c r="K323" s="17" t="n">
        <v>1214656</v>
      </c>
      <c r="L323" s="17" t="n">
        <v>1160300</v>
      </c>
      <c r="M323" s="17" t="n">
        <v>58243</v>
      </c>
      <c r="N323" s="17" t="n">
        <v>2749</v>
      </c>
      <c r="O323" s="17" t="n">
        <v>3293</v>
      </c>
      <c r="P323" s="17" t="n">
        <v>1421</v>
      </c>
      <c r="Q323" s="17" t="n">
        <v>0</v>
      </c>
      <c r="R323" s="17" t="n">
        <v>48</v>
      </c>
      <c r="S323" s="17" t="n">
        <v>0</v>
      </c>
      <c r="T323" s="17" t="n">
        <v>0</v>
      </c>
      <c r="U323" s="17" t="n">
        <v>-2980</v>
      </c>
      <c r="V323" s="17" t="n">
        <v>-0.20422436033401</v>
      </c>
      <c r="W323" s="17" t="n">
        <v>-1.48</v>
      </c>
      <c r="X323" s="17" t="n">
        <v>3.238078097909</v>
      </c>
      <c r="Y323" s="17" t="n">
        <v>0.624670190614532</v>
      </c>
      <c r="Z323" s="17" t="n">
        <v>0</v>
      </c>
      <c r="AA323" s="17" t="n">
        <v>13.515681235331</v>
      </c>
      <c r="AB323" s="17"/>
      <c r="AC323" s="17"/>
      <c r="AD323" s="17"/>
      <c r="AE323" s="17"/>
      <c r="AF323" s="17"/>
      <c r="AG323" s="18" t="n">
        <f aca="false">IFERROR(100*O323/F323,"")</f>
        <v>0.223828299972064</v>
      </c>
      <c r="AH323" s="18" t="n">
        <f aca="false">IFERROR(100*(P323+Q323)/F323,"")</f>
        <v>0.096586703389099</v>
      </c>
      <c r="AI323" s="18" t="n">
        <f aca="false">IFERROR(100*R323/K323,"")</f>
        <v>0.00395173612940619</v>
      </c>
      <c r="AJ323" s="18" t="str">
        <f aca="false">IF(T323&gt;0,100*S323/T323,"")</f>
        <v/>
      </c>
      <c r="AK323" s="18" t="n">
        <f aca="false">IFERROR(100*U323/G323,"")</f>
        <v>-0.20422436033401</v>
      </c>
      <c r="AL323" s="18" t="n">
        <f aca="false">IFERROR(100*J323/H323,"")</f>
        <v>100.878219996001</v>
      </c>
      <c r="AM323" s="18" t="n">
        <f aca="false">IFERROR(100*L323/J323,"")</f>
        <v>94.634393807291</v>
      </c>
      <c r="AN323" s="18" t="n">
        <f aca="false">IFERROR(100*M323/J323,"")</f>
        <v>4.75031543438598</v>
      </c>
      <c r="AO323" s="18" t="n">
        <f aca="false">IFERROR(100*N323/J323,"")</f>
        <v>0.224209211907475</v>
      </c>
    </row>
    <row r="324" customFormat="false" ht="15" hidden="false" customHeight="false" outlineLevel="0" collapsed="false">
      <c r="A324" s="17" t="n">
        <v>17897</v>
      </c>
      <c r="B324" s="23" t="n">
        <v>44742</v>
      </c>
      <c r="C324" s="17" t="s">
        <v>149</v>
      </c>
      <c r="D324" s="17" t="s">
        <v>108</v>
      </c>
      <c r="E324" s="17" t="s">
        <v>114</v>
      </c>
      <c r="F324" s="17" t="n">
        <v>1531749</v>
      </c>
      <c r="G324" s="17" t="n">
        <v>1483369.33333333</v>
      </c>
      <c r="H324" s="17" t="n">
        <v>1250686</v>
      </c>
      <c r="I324" s="17" t="n">
        <v>191374</v>
      </c>
      <c r="J324" s="17" t="n">
        <v>1281527</v>
      </c>
      <c r="K324" s="17" t="n">
        <v>1236946.33333333</v>
      </c>
      <c r="L324" s="17" t="n">
        <v>1214666</v>
      </c>
      <c r="M324" s="17" t="n">
        <v>59285</v>
      </c>
      <c r="N324" s="17" t="n">
        <v>2829</v>
      </c>
      <c r="O324" s="17" t="n">
        <v>3935</v>
      </c>
      <c r="P324" s="17" t="n">
        <v>1718</v>
      </c>
      <c r="Q324" s="17" t="n">
        <v>0</v>
      </c>
      <c r="R324" s="17" t="n">
        <v>22</v>
      </c>
      <c r="S324" s="17" t="n">
        <v>0</v>
      </c>
      <c r="T324" s="17" t="n">
        <v>0</v>
      </c>
      <c r="U324" s="17" t="n">
        <v>-8980</v>
      </c>
      <c r="V324" s="17" t="n">
        <v>-0.605378566093227</v>
      </c>
      <c r="W324" s="17" t="n">
        <v>-4.54</v>
      </c>
      <c r="X324" s="17" t="n">
        <v>3.21931626860747</v>
      </c>
      <c r="Y324" s="17" t="n">
        <v>0.621134006540635</v>
      </c>
      <c r="Z324" s="17" t="n">
        <v>0</v>
      </c>
      <c r="AA324" s="17" t="n">
        <v>12.4938224212975</v>
      </c>
      <c r="AB324" s="17"/>
      <c r="AC324" s="17"/>
      <c r="AD324" s="17"/>
      <c r="AE324" s="17"/>
      <c r="AF324" s="17"/>
      <c r="AG324" s="18" t="n">
        <f aca="false">IFERROR(100*O324/F324,"")</f>
        <v>0.256895875238045</v>
      </c>
      <c r="AH324" s="18" t="n">
        <f aca="false">IFERROR(100*(P324+Q324)/F324,"")</f>
        <v>0.112159368147131</v>
      </c>
      <c r="AI324" s="18" t="n">
        <f aca="false">IFERROR(100*R324/K324,"")</f>
        <v>0.00177857352474737</v>
      </c>
      <c r="AJ324" s="18" t="str">
        <f aca="false">IF(T324&gt;0,100*S324/T324,"")</f>
        <v/>
      </c>
      <c r="AK324" s="18" t="n">
        <f aca="false">IFERROR(100*U324/G324,"")</f>
        <v>-0.605378566093228</v>
      </c>
      <c r="AL324" s="18" t="n">
        <f aca="false">IFERROR(100*J324/H324,"")</f>
        <v>102.465926699427</v>
      </c>
      <c r="AM324" s="18" t="n">
        <f aca="false">IFERROR(100*L324/J324,"")</f>
        <v>94.7827084407898</v>
      </c>
      <c r="AN324" s="18" t="n">
        <f aca="false">IFERROR(100*M324/J324,"")</f>
        <v>4.62612180625145</v>
      </c>
      <c r="AO324" s="18" t="n">
        <f aca="false">IFERROR(100*N324/J324,"")</f>
        <v>0.220752274435108</v>
      </c>
    </row>
    <row r="325" customFormat="false" ht="15" hidden="false" customHeight="false" outlineLevel="0" collapsed="false">
      <c r="A325" s="17" t="n">
        <v>17897</v>
      </c>
      <c r="B325" s="23" t="n">
        <v>44834</v>
      </c>
      <c r="C325" s="17" t="s">
        <v>149</v>
      </c>
      <c r="D325" s="17" t="s">
        <v>108</v>
      </c>
      <c r="E325" s="17" t="s">
        <v>114</v>
      </c>
      <c r="F325" s="17" t="n">
        <v>1589541</v>
      </c>
      <c r="G325" s="17" t="n">
        <v>1509912.25</v>
      </c>
      <c r="H325" s="17" t="n">
        <v>1347109</v>
      </c>
      <c r="I325" s="17" t="n">
        <v>185467</v>
      </c>
      <c r="J325" s="17" t="n">
        <v>1342538</v>
      </c>
      <c r="K325" s="17" t="n">
        <v>1263344.25</v>
      </c>
      <c r="L325" s="17" t="n">
        <v>1265598</v>
      </c>
      <c r="M325" s="17" t="n">
        <v>64720</v>
      </c>
      <c r="N325" s="17" t="n">
        <v>3129</v>
      </c>
      <c r="O325" s="17" t="n">
        <v>3303</v>
      </c>
      <c r="P325" s="17" t="n">
        <v>1323</v>
      </c>
      <c r="Q325" s="17" t="n">
        <v>0</v>
      </c>
      <c r="R325" s="17" t="n">
        <v>-170.6624</v>
      </c>
      <c r="S325" s="17" t="n">
        <v>0</v>
      </c>
      <c r="T325" s="17" t="n">
        <v>0</v>
      </c>
      <c r="U325" s="17" t="n">
        <v>-5617.1929</v>
      </c>
      <c r="V325" s="17" t="n">
        <v>-0.372021148911137</v>
      </c>
      <c r="W325" s="17" t="n">
        <v>-2.89</v>
      </c>
      <c r="X325" s="17" t="n">
        <v>3.22509965071587</v>
      </c>
      <c r="Y325" s="17" t="n">
        <v>0.640503285568081</v>
      </c>
      <c r="Z325" s="17" t="n">
        <v>0</v>
      </c>
      <c r="AA325" s="17" t="n">
        <v>11.6679594927089</v>
      </c>
      <c r="AB325" s="17"/>
      <c r="AC325" s="17"/>
      <c r="AD325" s="17"/>
      <c r="AE325" s="17"/>
      <c r="AF325" s="17"/>
      <c r="AG325" s="18" t="n">
        <f aca="false">IFERROR(100*O325/F325,"")</f>
        <v>0.20779583540154</v>
      </c>
      <c r="AH325" s="18" t="n">
        <f aca="false">IFERROR(100*(P325+Q325)/F325,"")</f>
        <v>0.0832315743978922</v>
      </c>
      <c r="AI325" s="18" t="n">
        <f aca="false">IFERROR(100*R325/K325,"")</f>
        <v>-0.0135087803660799</v>
      </c>
      <c r="AJ325" s="18" t="str">
        <f aca="false">IF(T325&gt;0,100*S325/T325,"")</f>
        <v/>
      </c>
      <c r="AK325" s="18" t="n">
        <f aca="false">IFERROR(100*U325/G325,"")</f>
        <v>-0.372021148911137</v>
      </c>
      <c r="AL325" s="18" t="n">
        <f aca="false">IFERROR(100*J325/H325,"")</f>
        <v>99.6606807615419</v>
      </c>
      <c r="AM325" s="18" t="n">
        <f aca="false">IFERROR(100*L325/J325,"")</f>
        <v>94.2690635199898</v>
      </c>
      <c r="AN325" s="18" t="n">
        <f aca="false">IFERROR(100*M325/J325,"")</f>
        <v>4.82072015838658</v>
      </c>
      <c r="AO325" s="18" t="n">
        <f aca="false">IFERROR(100*N325/J325,"")</f>
        <v>0.233066028671069</v>
      </c>
    </row>
    <row r="326" customFormat="false" ht="15" hidden="false" customHeight="false" outlineLevel="0" collapsed="false">
      <c r="A326" s="17" t="n">
        <v>17897</v>
      </c>
      <c r="B326" s="23" t="n">
        <v>44926</v>
      </c>
      <c r="C326" s="17" t="s">
        <v>149</v>
      </c>
      <c r="D326" s="17" t="s">
        <v>108</v>
      </c>
      <c r="E326" s="17" t="s">
        <v>114</v>
      </c>
      <c r="F326" s="17" t="n">
        <v>1640422</v>
      </c>
      <c r="G326" s="17" t="n">
        <v>1536014.2</v>
      </c>
      <c r="H326" s="17" t="n">
        <v>1346856</v>
      </c>
      <c r="I326" s="17" t="n">
        <v>195954</v>
      </c>
      <c r="J326" s="17" t="n">
        <v>1382026</v>
      </c>
      <c r="K326" s="17" t="n">
        <v>1287080.6</v>
      </c>
      <c r="L326" s="17" t="n">
        <v>1298561</v>
      </c>
      <c r="M326" s="17" t="n">
        <v>70885</v>
      </c>
      <c r="N326" s="17" t="n">
        <v>3472</v>
      </c>
      <c r="O326" s="17" t="n">
        <v>3315</v>
      </c>
      <c r="P326" s="17" t="n">
        <v>2597</v>
      </c>
      <c r="Q326" s="17" t="n">
        <v>0</v>
      </c>
      <c r="R326" s="17" t="n">
        <v>-94</v>
      </c>
      <c r="S326" s="17" t="n">
        <v>0</v>
      </c>
      <c r="T326" s="17" t="n">
        <v>0</v>
      </c>
      <c r="U326" s="17" t="n">
        <v>4447</v>
      </c>
      <c r="V326" s="17" t="n">
        <v>0.289515552655698</v>
      </c>
      <c r="W326" s="17" t="n">
        <v>2.28</v>
      </c>
      <c r="X326" s="17" t="n">
        <v>3.21087062819531</v>
      </c>
      <c r="Y326" s="17" t="n">
        <v>0.64868533587646</v>
      </c>
      <c r="Z326" s="17" t="n">
        <v>0</v>
      </c>
      <c r="AA326" s="17" t="n">
        <v>11.9453408939895</v>
      </c>
      <c r="AB326" s="17"/>
      <c r="AC326" s="17"/>
      <c r="AD326" s="17"/>
      <c r="AE326" s="17"/>
      <c r="AF326" s="17"/>
      <c r="AG326" s="18" t="n">
        <f aca="false">IFERROR(100*O326/F326,"")</f>
        <v>0.202082147154817</v>
      </c>
      <c r="AH326" s="18" t="n">
        <f aca="false">IFERROR(100*(P326+Q326)/F326,"")</f>
        <v>0.158312921918872</v>
      </c>
      <c r="AI326" s="18" t="n">
        <f aca="false">IFERROR(100*R326/K326,"")</f>
        <v>-0.00730334992229702</v>
      </c>
      <c r="AJ326" s="18" t="str">
        <f aca="false">IF(T326&gt;0,100*S326/T326,"")</f>
        <v/>
      </c>
      <c r="AK326" s="18" t="n">
        <f aca="false">IFERROR(100*U326/G326,"")</f>
        <v>0.289515552655698</v>
      </c>
      <c r="AL326" s="18" t="n">
        <f aca="false">IFERROR(100*J326/H326,"")</f>
        <v>102.611266534804</v>
      </c>
      <c r="AM326" s="18" t="n">
        <f aca="false">IFERROR(100*L326/J326,"")</f>
        <v>93.9606780190821</v>
      </c>
      <c r="AN326" s="18" t="n">
        <f aca="false">IFERROR(100*M326/J326,"")</f>
        <v>5.1290641420639</v>
      </c>
      <c r="AO326" s="18" t="n">
        <f aca="false">IFERROR(100*N326/J326,"")</f>
        <v>0.251225374920588</v>
      </c>
    </row>
    <row r="327" customFormat="false" ht="15" hidden="false" customHeight="false" outlineLevel="0" collapsed="false">
      <c r="A327" s="17" t="n">
        <v>17897</v>
      </c>
      <c r="B327" s="23" t="n">
        <v>45016</v>
      </c>
      <c r="C327" s="17" t="s">
        <v>149</v>
      </c>
      <c r="D327" s="17" t="s">
        <v>108</v>
      </c>
      <c r="E327" s="17" t="s">
        <v>114</v>
      </c>
      <c r="F327" s="17" t="n">
        <v>1665050</v>
      </c>
      <c r="G327" s="17" t="n">
        <v>1652736</v>
      </c>
      <c r="H327" s="17" t="n">
        <v>1329955</v>
      </c>
      <c r="I327" s="17" t="n">
        <v>200040</v>
      </c>
      <c r="J327" s="17" t="n">
        <v>1405330</v>
      </c>
      <c r="K327" s="17" t="n">
        <v>1393678</v>
      </c>
      <c r="L327" s="17" t="n">
        <v>1322849</v>
      </c>
      <c r="M327" s="17" t="n">
        <v>69971</v>
      </c>
      <c r="N327" s="17" t="n">
        <v>3501</v>
      </c>
      <c r="O327" s="17" t="n">
        <v>3806</v>
      </c>
      <c r="P327" s="17" t="n">
        <v>1292</v>
      </c>
      <c r="Q327" s="17" t="n">
        <v>16</v>
      </c>
      <c r="R327" s="17" t="n">
        <v>-404</v>
      </c>
      <c r="S327" s="17" t="n">
        <v>0</v>
      </c>
      <c r="T327" s="17" t="n">
        <v>0</v>
      </c>
      <c r="U327" s="17" t="n">
        <v>10856</v>
      </c>
      <c r="V327" s="17" t="n">
        <v>0.65685021685254</v>
      </c>
      <c r="W327" s="17" t="n">
        <v>5.48</v>
      </c>
      <c r="X327" s="17" t="n">
        <v>2.67608748065265</v>
      </c>
      <c r="Y327" s="17" t="n">
        <v>0.602990045042801</v>
      </c>
      <c r="Z327" s="17" t="n">
        <v>0</v>
      </c>
      <c r="AA327" s="17" t="n">
        <v>12.0140536320231</v>
      </c>
      <c r="AB327" s="17" t="n">
        <v>13.1750108923429</v>
      </c>
      <c r="AC327" s="17" t="n">
        <v>14.6191094106699</v>
      </c>
      <c r="AD327" s="17" t="n">
        <v>9.42412167715829</v>
      </c>
      <c r="AE327" s="17" t="n">
        <v>0.86107457718655</v>
      </c>
      <c r="AF327" s="17" t="n">
        <v>0.00475342430048042</v>
      </c>
      <c r="AG327" s="18" t="n">
        <f aca="false">IFERROR(100*O327/F327,"")</f>
        <v>0.228581724272544</v>
      </c>
      <c r="AH327" s="18" t="n">
        <f aca="false">IFERROR(100*(P327+Q327)/F327,"")</f>
        <v>0.0785561995135281</v>
      </c>
      <c r="AI327" s="18" t="n">
        <f aca="false">IFERROR(100*R327/K327,"")</f>
        <v>-0.0289880445841866</v>
      </c>
      <c r="AJ327" s="18" t="str">
        <f aca="false">IF(T327&gt;0,100*S327/T327,"")</f>
        <v/>
      </c>
      <c r="AK327" s="18" t="n">
        <f aca="false">IFERROR(100*U327/G327,"")</f>
        <v>0.65685021685254</v>
      </c>
      <c r="AL327" s="18" t="n">
        <f aca="false">IFERROR(100*J327/H327,"")</f>
        <v>105.667484990094</v>
      </c>
      <c r="AM327" s="18" t="n">
        <f aca="false">IFERROR(100*L327/J327,"")</f>
        <v>94.1308447126298</v>
      </c>
      <c r="AN327" s="18" t="n">
        <f aca="false">IFERROR(100*M327/J327,"")</f>
        <v>4.9789729102773</v>
      </c>
      <c r="AO327" s="18" t="n">
        <f aca="false">IFERROR(100*N327/J327,"")</f>
        <v>0.249122981790754</v>
      </c>
    </row>
    <row r="328" customFormat="false" ht="15" hidden="false" customHeight="false" outlineLevel="0" collapsed="false">
      <c r="A328" s="17" t="n">
        <v>17897</v>
      </c>
      <c r="B328" s="23" t="n">
        <v>45107</v>
      </c>
      <c r="C328" s="17" t="s">
        <v>149</v>
      </c>
      <c r="D328" s="17" t="s">
        <v>108</v>
      </c>
      <c r="E328" s="17" t="s">
        <v>114</v>
      </c>
      <c r="F328" s="17" t="n">
        <v>1670135</v>
      </c>
      <c r="G328" s="17" t="n">
        <v>1658535.66666667</v>
      </c>
      <c r="H328" s="17" t="n">
        <v>1316659</v>
      </c>
      <c r="I328" s="17" t="n">
        <v>202487</v>
      </c>
      <c r="J328" s="17" t="n">
        <v>1413161</v>
      </c>
      <c r="K328" s="17" t="n">
        <v>1400172.33333333</v>
      </c>
      <c r="L328" s="17" t="n">
        <v>1329657</v>
      </c>
      <c r="M328" s="17" t="n">
        <v>70462</v>
      </c>
      <c r="N328" s="17" t="n">
        <v>3869</v>
      </c>
      <c r="O328" s="17" t="n">
        <v>3724</v>
      </c>
      <c r="P328" s="17" t="n">
        <v>1892</v>
      </c>
      <c r="Q328" s="17" t="n">
        <v>0</v>
      </c>
      <c r="R328" s="17" t="n">
        <v>-174</v>
      </c>
      <c r="S328" s="17" t="n">
        <v>219947</v>
      </c>
      <c r="T328" s="17" t="n">
        <v>1283330</v>
      </c>
      <c r="U328" s="17" t="n">
        <v>11846</v>
      </c>
      <c r="V328" s="17" t="n">
        <v>0.7142445132825</v>
      </c>
      <c r="W328" s="17" t="n">
        <v>5.94</v>
      </c>
      <c r="X328" s="17" t="n">
        <v>2.60427667903162</v>
      </c>
      <c r="Y328" s="17" t="n">
        <v>0.59335065148274</v>
      </c>
      <c r="Z328" s="17" t="n">
        <v>17.1387717890176</v>
      </c>
      <c r="AA328" s="17" t="n">
        <v>12.1239899768582</v>
      </c>
      <c r="AB328" s="17" t="n">
        <v>9.03450891758375</v>
      </c>
      <c r="AC328" s="17" t="n">
        <v>10.2716524895691</v>
      </c>
      <c r="AD328" s="17" t="n">
        <v>5.27494511012356</v>
      </c>
      <c r="AE328" s="17" t="n">
        <v>1.31962307937573</v>
      </c>
      <c r="AF328" s="17" t="n">
        <v>-0.0339198882669317</v>
      </c>
      <c r="AG328" s="18" t="n">
        <f aca="false">IFERROR(100*O328/F328,"")</f>
        <v>0.222975986971113</v>
      </c>
      <c r="AH328" s="18" t="n">
        <f aca="false">IFERROR(100*(P328+Q328)/F328,"")</f>
        <v>0.113284255464379</v>
      </c>
      <c r="AI328" s="18" t="n">
        <f aca="false">IFERROR(100*R328/K328,"")</f>
        <v>-0.0124270417189122</v>
      </c>
      <c r="AJ328" s="18" t="n">
        <f aca="false">IF(T328&gt;0,100*S328/T328,"")</f>
        <v>17.1387717890176</v>
      </c>
      <c r="AK328" s="18" t="n">
        <f aca="false">IFERROR(100*U328/G328,"")</f>
        <v>0.7142445132825</v>
      </c>
      <c r="AL328" s="18" t="n">
        <f aca="false">IFERROR(100*J328/H328,"")</f>
        <v>107.329308499771</v>
      </c>
      <c r="AM328" s="18" t="n">
        <f aca="false">IFERROR(100*L328/J328,"")</f>
        <v>94.0909776026935</v>
      </c>
      <c r="AN328" s="18" t="n">
        <f aca="false">IFERROR(100*M328/J328,"")</f>
        <v>4.98612684612723</v>
      </c>
      <c r="AO328" s="18" t="n">
        <f aca="false">IFERROR(100*N328/J328,"")</f>
        <v>0.273783383492751</v>
      </c>
    </row>
    <row r="329" customFormat="false" ht="15" hidden="false" customHeight="false" outlineLevel="0" collapsed="false">
      <c r="A329" s="17" t="n">
        <v>17897</v>
      </c>
      <c r="B329" s="23" t="n">
        <v>45199</v>
      </c>
      <c r="C329" s="17" t="s">
        <v>149</v>
      </c>
      <c r="D329" s="17" t="s">
        <v>108</v>
      </c>
      <c r="E329" s="17" t="s">
        <v>114</v>
      </c>
      <c r="F329" s="17" t="n">
        <v>1672541</v>
      </c>
      <c r="G329" s="17" t="n">
        <v>1662037</v>
      </c>
      <c r="H329" s="17" t="n">
        <v>1315387</v>
      </c>
      <c r="I329" s="17" t="n">
        <v>196829</v>
      </c>
      <c r="J329" s="17" t="n">
        <v>1427049</v>
      </c>
      <c r="K329" s="17" t="n">
        <v>1406891.5</v>
      </c>
      <c r="L329" s="17" t="n">
        <v>1342461</v>
      </c>
      <c r="M329" s="17" t="n">
        <v>71428</v>
      </c>
      <c r="N329" s="17" t="n">
        <v>4426</v>
      </c>
      <c r="O329" s="17" t="n">
        <v>2834</v>
      </c>
      <c r="P329" s="17" t="n">
        <v>2130</v>
      </c>
      <c r="Q329" s="17" t="n">
        <v>0</v>
      </c>
      <c r="R329" s="17" t="n">
        <v>-154.6628</v>
      </c>
      <c r="S329" s="17" t="n">
        <v>218886</v>
      </c>
      <c r="T329" s="17" t="n">
        <v>1359389</v>
      </c>
      <c r="U329" s="17" t="n">
        <v>6329.1751</v>
      </c>
      <c r="V329" s="17" t="n">
        <v>0.380808315338347</v>
      </c>
      <c r="W329" s="17" t="n">
        <v>3.18</v>
      </c>
      <c r="X329" s="17" t="n">
        <v>2.57492746103926</v>
      </c>
      <c r="Y329" s="17" t="n">
        <v>0.615465902011774</v>
      </c>
      <c r="Z329" s="17" t="n">
        <v>16.1017927907317</v>
      </c>
      <c r="AA329" s="17" t="n">
        <v>11.7682615852168</v>
      </c>
      <c r="AB329" s="17" t="n">
        <v>5.22163316328423</v>
      </c>
      <c r="AC329" s="17" t="n">
        <v>6.29486837616515</v>
      </c>
      <c r="AD329" s="17" t="n">
        <v>-2.3548205824473</v>
      </c>
      <c r="AE329" s="17" t="n">
        <v>0.752829464249484</v>
      </c>
      <c r="AF329" s="17" t="n">
        <v>-0.0383530534308743</v>
      </c>
      <c r="AG329" s="18" t="n">
        <f aca="false">IFERROR(100*O329/F329,"")</f>
        <v>0.169442781970666</v>
      </c>
      <c r="AH329" s="18" t="n">
        <f aca="false">IFERROR(100*(P329+Q329)/F329,"")</f>
        <v>0.127351138178376</v>
      </c>
      <c r="AI329" s="18" t="n">
        <f aca="false">IFERROR(100*R329/K329,"")</f>
        <v>-0.0109932286889216</v>
      </c>
      <c r="AJ329" s="18" t="n">
        <f aca="false">IF(T329&gt;0,100*S329/T329,"")</f>
        <v>16.1017927907317</v>
      </c>
      <c r="AK329" s="18" t="n">
        <f aca="false">IFERROR(100*U329/G329,"")</f>
        <v>0.380808315338347</v>
      </c>
      <c r="AL329" s="18" t="n">
        <f aca="false">IFERROR(100*J329/H329,"")</f>
        <v>108.488908587359</v>
      </c>
      <c r="AM329" s="18" t="n">
        <f aca="false">IFERROR(100*L329/J329,"")</f>
        <v>94.0725230878547</v>
      </c>
      <c r="AN329" s="18" t="n">
        <f aca="false">IFERROR(100*M329/J329,"")</f>
        <v>5.00529414196709</v>
      </c>
      <c r="AO329" s="18" t="n">
        <f aca="false">IFERROR(100*N329/J329,"")</f>
        <v>0.310150527417068</v>
      </c>
    </row>
    <row r="330" customFormat="false" ht="15" hidden="false" customHeight="false" outlineLevel="0" collapsed="false">
      <c r="A330" s="17" t="n">
        <v>17897</v>
      </c>
      <c r="B330" s="23" t="n">
        <v>45291</v>
      </c>
      <c r="C330" s="17" t="s">
        <v>149</v>
      </c>
      <c r="D330" s="17" t="s">
        <v>108</v>
      </c>
      <c r="E330" s="17" t="s">
        <v>114</v>
      </c>
      <c r="F330" s="17" t="n">
        <v>1710496</v>
      </c>
      <c r="G330" s="17" t="n">
        <v>1671728.8</v>
      </c>
      <c r="H330" s="17" t="n">
        <v>1305375</v>
      </c>
      <c r="I330" s="17" t="n">
        <v>207718</v>
      </c>
      <c r="J330" s="17" t="n">
        <v>1443037</v>
      </c>
      <c r="K330" s="17" t="n">
        <v>1414120.6</v>
      </c>
      <c r="L330" s="17" t="n">
        <v>1358198</v>
      </c>
      <c r="M330" s="17" t="n">
        <v>72247</v>
      </c>
      <c r="N330" s="17" t="n">
        <v>3995</v>
      </c>
      <c r="O330" s="17" t="n">
        <v>3022</v>
      </c>
      <c r="P330" s="17" t="n">
        <v>2841</v>
      </c>
      <c r="Q330" s="17" t="n">
        <v>0</v>
      </c>
      <c r="R330" s="17" t="n">
        <v>-105</v>
      </c>
      <c r="S330" s="17" t="n">
        <v>225090</v>
      </c>
      <c r="T330" s="17" t="n">
        <v>1305806</v>
      </c>
      <c r="U330" s="17" t="n">
        <v>10933</v>
      </c>
      <c r="V330" s="17" t="n">
        <v>0.65399363820256</v>
      </c>
      <c r="W330" s="17" t="n">
        <v>5.45</v>
      </c>
      <c r="X330" s="17" t="n">
        <v>2.54413608727822</v>
      </c>
      <c r="Y330" s="17" t="n">
        <v>0.621882876184048</v>
      </c>
      <c r="Z330" s="17" t="n">
        <v>17.2376294794173</v>
      </c>
      <c r="AA330" s="17" t="n">
        <v>12.1437290703983</v>
      </c>
      <c r="AB330" s="17" t="n">
        <v>4.27170569524182</v>
      </c>
      <c r="AC330" s="17" t="n">
        <v>4.41460580336404</v>
      </c>
      <c r="AD330" s="17" t="n">
        <v>-3.07983927012242</v>
      </c>
      <c r="AE330" s="17" t="n">
        <v>0.364478085546862</v>
      </c>
      <c r="AF330" s="17" t="n">
        <v>-0.0254082467189205</v>
      </c>
      <c r="AG330" s="18" t="n">
        <f aca="false">IFERROR(100*O330/F330,"")</f>
        <v>0.176673900435897</v>
      </c>
      <c r="AH330" s="18" t="n">
        <f aca="false">IFERROR(100*(P330+Q330)/F330,"")</f>
        <v>0.166092174433615</v>
      </c>
      <c r="AI330" s="18" t="n">
        <f aca="false">IFERROR(100*R330/K330,"")</f>
        <v>-0.00742510928700141</v>
      </c>
      <c r="AJ330" s="18" t="n">
        <f aca="false">IF(T330&gt;0,100*S330/T330,"")</f>
        <v>17.2376294794173</v>
      </c>
      <c r="AK330" s="18" t="n">
        <f aca="false">IFERROR(100*U330/G330,"")</f>
        <v>0.65399363820256</v>
      </c>
      <c r="AL330" s="18" t="n">
        <f aca="false">IFERROR(100*J330/H330,"")</f>
        <v>110.545781863449</v>
      </c>
      <c r="AM330" s="18" t="n">
        <f aca="false">IFERROR(100*L330/J330,"")</f>
        <v>94.1208021693138</v>
      </c>
      <c r="AN330" s="18" t="n">
        <f aca="false">IFERROR(100*M330/J330,"")</f>
        <v>5.00659373252384</v>
      </c>
      <c r="AO330" s="18" t="n">
        <f aca="false">IFERROR(100*N330/J330,"")</f>
        <v>0.276846678221002</v>
      </c>
    </row>
    <row r="331" customFormat="false" ht="15" hidden="false" customHeight="false" outlineLevel="0" collapsed="false">
      <c r="A331" s="17" t="n">
        <v>17897</v>
      </c>
      <c r="B331" s="23" t="n">
        <v>45382</v>
      </c>
      <c r="C331" s="17" t="s">
        <v>149</v>
      </c>
      <c r="D331" s="17" t="s">
        <v>108</v>
      </c>
      <c r="E331" s="17" t="s">
        <v>114</v>
      </c>
      <c r="F331" s="17" t="n">
        <v>1717181</v>
      </c>
      <c r="G331" s="17" t="n">
        <v>1713838.5</v>
      </c>
      <c r="H331" s="17" t="n">
        <v>1296371</v>
      </c>
      <c r="I331" s="17" t="n">
        <v>211359</v>
      </c>
      <c r="J331" s="17" t="n">
        <v>1431534</v>
      </c>
      <c r="K331" s="17" t="n">
        <v>1437285.5</v>
      </c>
      <c r="L331" s="17" t="n">
        <v>1346782</v>
      </c>
      <c r="M331" s="17" t="n">
        <v>73033</v>
      </c>
      <c r="N331" s="17" t="n">
        <v>3094</v>
      </c>
      <c r="O331" s="17" t="n">
        <v>3411</v>
      </c>
      <c r="P331" s="17" t="n">
        <v>2066</v>
      </c>
      <c r="Q331" s="17" t="n">
        <v>0</v>
      </c>
      <c r="R331" s="17" t="n">
        <v>-128</v>
      </c>
      <c r="S331" s="17" t="n">
        <v>229899</v>
      </c>
      <c r="T331" s="17" t="n">
        <v>1310562</v>
      </c>
      <c r="U331" s="17" t="n">
        <v>20552</v>
      </c>
      <c r="V331" s="17" t="n">
        <v>1.19917950261941</v>
      </c>
      <c r="W331" s="17" t="n">
        <v>9.81</v>
      </c>
      <c r="X331" s="17" t="n">
        <v>2.29920093008967</v>
      </c>
      <c r="Y331" s="17" t="n">
        <v>0.608158800279979</v>
      </c>
      <c r="Z331" s="17" t="n">
        <v>17.5420163258205</v>
      </c>
      <c r="AA331" s="17" t="n">
        <v>12.3084869911792</v>
      </c>
      <c r="AB331" s="17" t="n">
        <v>3.13089697006097</v>
      </c>
      <c r="AC331" s="17" t="n">
        <v>1.86461542840473</v>
      </c>
      <c r="AD331" s="17" t="n">
        <v>-2.52519822099244</v>
      </c>
      <c r="AE331" s="17" t="n">
        <v>0.542329285766872</v>
      </c>
      <c r="AF331" s="17" t="n">
        <v>-0.0299422098590958</v>
      </c>
      <c r="AG331" s="18" t="n">
        <f aca="false">IFERROR(100*O331/F331,"")</f>
        <v>0.198639514413449</v>
      </c>
      <c r="AH331" s="18" t="n">
        <f aca="false">IFERROR(100*(P331+Q331)/F331,"")</f>
        <v>0.120313467246609</v>
      </c>
      <c r="AI331" s="18" t="n">
        <f aca="false">IFERROR(100*R331/K331,"")</f>
        <v>-0.00890567670793311</v>
      </c>
      <c r="AJ331" s="18" t="n">
        <f aca="false">IF(T331&gt;0,100*S331/T331,"")</f>
        <v>17.5420163258205</v>
      </c>
      <c r="AK331" s="18" t="n">
        <f aca="false">IFERROR(100*U331/G331,"")</f>
        <v>1.19917950261941</v>
      </c>
      <c r="AL331" s="18" t="n">
        <f aca="false">IFERROR(100*J331/H331,"")</f>
        <v>110.42625914958</v>
      </c>
      <c r="AM331" s="18" t="n">
        <f aca="false">IFERROR(100*L331/J331,"")</f>
        <v>94.0796376474467</v>
      </c>
      <c r="AN331" s="18" t="n">
        <f aca="false">IFERROR(100*M331/J331,"")</f>
        <v>5.1017300322591</v>
      </c>
      <c r="AO331" s="18" t="n">
        <f aca="false">IFERROR(100*N331/J331,"")</f>
        <v>0.216131785902396</v>
      </c>
    </row>
    <row r="332" customFormat="false" ht="15" hidden="false" customHeight="false" outlineLevel="0" collapsed="false">
      <c r="A332" s="17" t="n">
        <v>17897</v>
      </c>
      <c r="B332" s="23" t="n">
        <v>45473</v>
      </c>
      <c r="C332" s="17" t="s">
        <v>149</v>
      </c>
      <c r="D332" s="17" t="s">
        <v>108</v>
      </c>
      <c r="E332" s="17" t="s">
        <v>114</v>
      </c>
      <c r="F332" s="17" t="n">
        <v>1732333</v>
      </c>
      <c r="G332" s="17" t="n">
        <v>1720003.33333333</v>
      </c>
      <c r="H332" s="17" t="n">
        <v>1311255</v>
      </c>
      <c r="I332" s="17" t="n">
        <v>211953</v>
      </c>
      <c r="J332" s="17" t="n">
        <v>1440034</v>
      </c>
      <c r="K332" s="17" t="n">
        <v>1438201.66666667</v>
      </c>
      <c r="L332" s="17" t="n">
        <v>1352677</v>
      </c>
      <c r="M332" s="17" t="n">
        <v>74859</v>
      </c>
      <c r="N332" s="17" t="n">
        <v>3188</v>
      </c>
      <c r="O332" s="17" t="n">
        <v>4016</v>
      </c>
      <c r="P332" s="17" t="n">
        <v>2867</v>
      </c>
      <c r="Q332" s="17" t="n">
        <v>0</v>
      </c>
      <c r="R332" s="17" t="n">
        <v>-178</v>
      </c>
      <c r="S332" s="17" t="n">
        <v>231111</v>
      </c>
      <c r="T332" s="17" t="n">
        <v>1279828</v>
      </c>
      <c r="U332" s="17" t="n">
        <v>12376</v>
      </c>
      <c r="V332" s="17" t="n">
        <v>0.719533489276184</v>
      </c>
      <c r="W332" s="17" t="n">
        <v>5.88</v>
      </c>
      <c r="X332" s="17" t="n">
        <v>2.32674770453677</v>
      </c>
      <c r="Y332" s="17" t="n">
        <v>0.61338829499859</v>
      </c>
      <c r="Z332" s="17" t="n">
        <v>18.0579734151777</v>
      </c>
      <c r="AA332" s="17" t="n">
        <v>12.2351187675811</v>
      </c>
      <c r="AB332" s="17" t="n">
        <v>3.72413008529251</v>
      </c>
      <c r="AC332" s="17" t="n">
        <v>1.90162338190765</v>
      </c>
      <c r="AD332" s="17" t="n">
        <v>-0.410432769608526</v>
      </c>
      <c r="AE332" s="17" t="n">
        <v>0.00528897599368361</v>
      </c>
      <c r="AF332" s="17" t="n">
        <v>0.00885011112896347</v>
      </c>
      <c r="AG332" s="18" t="n">
        <f aca="false">IFERROR(100*O332/F332,"")</f>
        <v>0.231826098100077</v>
      </c>
      <c r="AH332" s="18" t="n">
        <f aca="false">IFERROR(100*(P332+Q332)/F332,"")</f>
        <v>0.165499358379711</v>
      </c>
      <c r="AI332" s="18" t="n">
        <f aca="false">IFERROR(100*R332/K332,"")</f>
        <v>-0.0123765674957499</v>
      </c>
      <c r="AJ332" s="18" t="n">
        <f aca="false">IF(T332&gt;0,100*S332/T332,"")</f>
        <v>18.0579734151777</v>
      </c>
      <c r="AK332" s="18" t="n">
        <f aca="false">IFERROR(100*U332/G332,"")</f>
        <v>0.719533489276184</v>
      </c>
      <c r="AL332" s="18" t="n">
        <f aca="false">IFERROR(100*J332/H332,"")</f>
        <v>109.821049300098</v>
      </c>
      <c r="AM332" s="18" t="n">
        <f aca="false">IFERROR(100*L332/J332,"")</f>
        <v>93.9336848991066</v>
      </c>
      <c r="AN332" s="18" t="n">
        <f aca="false">IFERROR(100*M332/J332,"")</f>
        <v>5.1984189262198</v>
      </c>
      <c r="AO332" s="18" t="n">
        <f aca="false">IFERROR(100*N332/J332,"")</f>
        <v>0.221383661774653</v>
      </c>
    </row>
    <row r="333" customFormat="false" ht="15" hidden="false" customHeight="false" outlineLevel="0" collapsed="false">
      <c r="A333" s="17" t="n">
        <v>17897</v>
      </c>
      <c r="B333" s="23" t="n">
        <v>45565</v>
      </c>
      <c r="C333" s="17" t="s">
        <v>149</v>
      </c>
      <c r="D333" s="17" t="s">
        <v>108</v>
      </c>
      <c r="E333" s="17" t="s">
        <v>114</v>
      </c>
      <c r="F333" s="17" t="n">
        <v>1743721</v>
      </c>
      <c r="G333" s="17" t="n">
        <v>1725932.75</v>
      </c>
      <c r="H333" s="17" t="n">
        <v>1323557</v>
      </c>
      <c r="I333" s="17" t="n">
        <v>219695</v>
      </c>
      <c r="J333" s="17" t="n">
        <v>1443445</v>
      </c>
      <c r="K333" s="17" t="n">
        <v>1439512.5</v>
      </c>
      <c r="L333" s="17" t="n">
        <v>1355336</v>
      </c>
      <c r="M333" s="17" t="n">
        <v>72858</v>
      </c>
      <c r="N333" s="17" t="n">
        <v>3119</v>
      </c>
      <c r="O333" s="17" t="n">
        <v>4826</v>
      </c>
      <c r="P333" s="17" t="n">
        <v>1719</v>
      </c>
      <c r="Q333" s="17" t="n">
        <v>0</v>
      </c>
      <c r="R333" s="17" t="n">
        <v>-62.6651</v>
      </c>
      <c r="S333" s="17" t="n">
        <v>235655</v>
      </c>
      <c r="T333" s="17" t="n">
        <v>1308457</v>
      </c>
      <c r="U333" s="17" t="n">
        <v>14294.3093</v>
      </c>
      <c r="V333" s="17" t="n">
        <v>0.828207779242847</v>
      </c>
      <c r="W333" s="17" t="n">
        <v>6.72</v>
      </c>
      <c r="X333" s="17" t="n">
        <v>2.3623944322489</v>
      </c>
      <c r="Y333" s="17" t="n">
        <v>0.608336306544413</v>
      </c>
      <c r="Z333" s="17" t="n">
        <v>18.0101447735768</v>
      </c>
      <c r="AA333" s="17" t="n">
        <v>12.599205950952</v>
      </c>
      <c r="AB333" s="17" t="n">
        <v>4.25580000729429</v>
      </c>
      <c r="AC333" s="17" t="n">
        <v>1.14894443007914</v>
      </c>
      <c r="AD333" s="17" t="n">
        <v>0.621109985122259</v>
      </c>
      <c r="AE333" s="17" t="n">
        <v>0.4473994639045</v>
      </c>
      <c r="AF333" s="17" t="n">
        <v>0.107321677481276</v>
      </c>
      <c r="AG333" s="18" t="n">
        <f aca="false">IFERROR(100*O333/F333,"")</f>
        <v>0.276764459451942</v>
      </c>
      <c r="AH333" s="18" t="n">
        <f aca="false">IFERROR(100*(P333+Q333)/F333,"")</f>
        <v>0.0985822846659529</v>
      </c>
      <c r="AI333" s="18" t="n">
        <f aca="false">IFERROR(100*R333/K333,"")</f>
        <v>-0.00435321680082667</v>
      </c>
      <c r="AJ333" s="18" t="n">
        <f aca="false">IF(T333&gt;0,100*S333/T333,"")</f>
        <v>18.0101447735768</v>
      </c>
      <c r="AK333" s="18" t="n">
        <f aca="false">IFERROR(100*U333/G333,"")</f>
        <v>0.828207779242847</v>
      </c>
      <c r="AL333" s="18" t="n">
        <f aca="false">IFERROR(100*J333/H333,"")</f>
        <v>109.058015635141</v>
      </c>
      <c r="AM333" s="18" t="n">
        <f aca="false">IFERROR(100*L333/J333,"")</f>
        <v>93.895922601831</v>
      </c>
      <c r="AN333" s="18" t="n">
        <f aca="false">IFERROR(100*M333/J333,"")</f>
        <v>5.04750787179283</v>
      </c>
      <c r="AO333" s="18" t="n">
        <f aca="false">IFERROR(100*N333/J333,"")</f>
        <v>0.216080280163082</v>
      </c>
    </row>
    <row r="334" customFormat="false" ht="15" hidden="false" customHeight="false" outlineLevel="0" collapsed="false">
      <c r="A334" s="17" t="n">
        <v>17897</v>
      </c>
      <c r="B334" s="23" t="n">
        <v>45657</v>
      </c>
      <c r="C334" s="17" t="s">
        <v>149</v>
      </c>
      <c r="D334" s="17" t="s">
        <v>108</v>
      </c>
      <c r="E334" s="17" t="s">
        <v>114</v>
      </c>
      <c r="F334" s="17" t="n">
        <v>1764971</v>
      </c>
      <c r="G334" s="17" t="n">
        <v>1733740.4</v>
      </c>
      <c r="H334" s="17" t="n">
        <v>1348133</v>
      </c>
      <c r="I334" s="17" t="n">
        <v>215583</v>
      </c>
      <c r="J334" s="17" t="n">
        <v>1469046</v>
      </c>
      <c r="K334" s="17" t="n">
        <v>1445419.2</v>
      </c>
      <c r="L334" s="17" t="n">
        <v>1368497</v>
      </c>
      <c r="M334" s="17" t="n">
        <v>82767</v>
      </c>
      <c r="N334" s="17" t="n">
        <v>3225</v>
      </c>
      <c r="O334" s="17" t="n">
        <v>4603</v>
      </c>
      <c r="P334" s="17" t="n">
        <v>2581</v>
      </c>
      <c r="Q334" s="17" t="n">
        <v>0</v>
      </c>
      <c r="R334" s="17" t="n">
        <v>-47</v>
      </c>
      <c r="S334" s="17" t="n">
        <v>235610</v>
      </c>
      <c r="T334" s="17" t="n">
        <v>1338582</v>
      </c>
      <c r="U334" s="17" t="n">
        <v>10490</v>
      </c>
      <c r="V334" s="17" t="n">
        <v>0.605050213976672</v>
      </c>
      <c r="W334" s="17" t="n">
        <v>4.92</v>
      </c>
      <c r="X334" s="17" t="n">
        <v>2.4190357229694</v>
      </c>
      <c r="Y334" s="17" t="n">
        <v>0.61046420602214</v>
      </c>
      <c r="Z334" s="17" t="n">
        <v>17.6014618454454</v>
      </c>
      <c r="AA334" s="17" t="n">
        <v>12.2145349696964</v>
      </c>
      <c r="AB334" s="17" t="n">
        <v>3.1847487512394</v>
      </c>
      <c r="AC334" s="17" t="n">
        <v>1.80237928757197</v>
      </c>
      <c r="AD334" s="17" t="n">
        <v>3.27553385042612</v>
      </c>
      <c r="AE334" s="17" t="n">
        <v>-0.0489434242258886</v>
      </c>
      <c r="AF334" s="17" t="n">
        <v>0.0841235857550943</v>
      </c>
      <c r="AG334" s="18" t="n">
        <f aca="false">IFERROR(100*O334/F334,"")</f>
        <v>0.260797486190991</v>
      </c>
      <c r="AH334" s="18" t="n">
        <f aca="false">IFERROR(100*(P334+Q334)/F334,"")</f>
        <v>0.146234697340636</v>
      </c>
      <c r="AI334" s="18" t="n">
        <f aca="false">IFERROR(100*R334/K334,"")</f>
        <v>-0.00325165183913428</v>
      </c>
      <c r="AJ334" s="18" t="n">
        <f aca="false">IF(T334&gt;0,100*S334/T334,"")</f>
        <v>17.6014618454454</v>
      </c>
      <c r="AK334" s="18" t="n">
        <f aca="false">IFERROR(100*U334/G334,"")</f>
        <v>0.605050213976672</v>
      </c>
      <c r="AL334" s="18" t="n">
        <f aca="false">IFERROR(100*J334/H334,"")</f>
        <v>108.968922205747</v>
      </c>
      <c r="AM334" s="18" t="n">
        <f aca="false">IFERROR(100*L334/J334,"")</f>
        <v>93.1554900254996</v>
      </c>
      <c r="AN334" s="18" t="n">
        <f aca="false">IFERROR(100*M334/J334,"")</f>
        <v>5.63406455618136</v>
      </c>
      <c r="AO334" s="18" t="n">
        <f aca="false">IFERROR(100*N334/J334,"")</f>
        <v>0.219530225738336</v>
      </c>
    </row>
    <row r="335" customFormat="false" ht="15" hidden="false" customHeight="false" outlineLevel="0" collapsed="false">
      <c r="A335" s="17" t="n">
        <v>17897</v>
      </c>
      <c r="B335" s="23" t="n">
        <v>45747</v>
      </c>
      <c r="C335" s="17" t="s">
        <v>149</v>
      </c>
      <c r="D335" s="17" t="s">
        <v>108</v>
      </c>
      <c r="E335" s="17" t="s">
        <v>114</v>
      </c>
      <c r="F335" s="17" t="n">
        <v>1759715</v>
      </c>
      <c r="G335" s="17" t="n">
        <v>1762343</v>
      </c>
      <c r="H335" s="17" t="n">
        <v>1345096</v>
      </c>
      <c r="I335" s="17" t="n">
        <v>219109</v>
      </c>
      <c r="J335" s="17" t="n">
        <v>1470647</v>
      </c>
      <c r="K335" s="17" t="n">
        <v>1469846.5</v>
      </c>
      <c r="L335" s="17" t="n">
        <v>1370211</v>
      </c>
      <c r="M335" s="17" t="n">
        <v>82917</v>
      </c>
      <c r="N335" s="17" t="n">
        <v>3414</v>
      </c>
      <c r="O335" s="17" t="n">
        <v>4816</v>
      </c>
      <c r="P335" s="17" t="n">
        <v>8545</v>
      </c>
      <c r="Q335" s="17" t="n">
        <v>20</v>
      </c>
      <c r="R335" s="17" t="n">
        <v>172</v>
      </c>
      <c r="S335" s="17" t="n">
        <v>237673</v>
      </c>
      <c r="T335" s="17" t="n">
        <v>1350825</v>
      </c>
      <c r="U335" s="17" t="n">
        <v>7708</v>
      </c>
      <c r="V335" s="17" t="n">
        <v>0.437372293588705</v>
      </c>
      <c r="W335" s="17" t="n">
        <v>3.55</v>
      </c>
      <c r="X335" s="17" t="n">
        <v>2.67229101981083</v>
      </c>
      <c r="Y335" s="17" t="n">
        <v>0.616327371558233</v>
      </c>
      <c r="Z335" s="17" t="n">
        <v>17.5946551181685</v>
      </c>
      <c r="AA335" s="17" t="n">
        <v>12.4513912764283</v>
      </c>
      <c r="AB335" s="17" t="n">
        <v>2.47696660980992</v>
      </c>
      <c r="AC335" s="17" t="n">
        <v>2.73224387265689</v>
      </c>
      <c r="AD335" s="17" t="n">
        <v>3.75856911331709</v>
      </c>
      <c r="AE335" s="17" t="n">
        <v>-0.761807209030707</v>
      </c>
      <c r="AF335" s="17" t="n">
        <v>0.0750411668332306</v>
      </c>
      <c r="AG335" s="18" t="n">
        <f aca="false">IFERROR(100*O335/F335,"")</f>
        <v>0.273680681246679</v>
      </c>
      <c r="AH335" s="18" t="n">
        <f aca="false">IFERROR(100*(P335+Q335)/F335,"")</f>
        <v>0.48672654378692</v>
      </c>
      <c r="AI335" s="18" t="n">
        <f aca="false">IFERROR(100*R335/K335,"")</f>
        <v>0.0117019022054344</v>
      </c>
      <c r="AJ335" s="18" t="n">
        <f aca="false">IF(T335&gt;0,100*S335/T335,"")</f>
        <v>17.5946551181685</v>
      </c>
      <c r="AK335" s="18" t="n">
        <f aca="false">IFERROR(100*U335/G335,"")</f>
        <v>0.437372293588706</v>
      </c>
      <c r="AL335" s="18" t="n">
        <f aca="false">IFERROR(100*J335/H335,"")</f>
        <v>109.333980622944</v>
      </c>
      <c r="AM335" s="18" t="n">
        <f aca="false">IFERROR(100*L335/J335,"")</f>
        <v>93.1706249018289</v>
      </c>
      <c r="AN335" s="18" t="n">
        <f aca="false">IFERROR(100*M335/J335,"")</f>
        <v>5.63813070029722</v>
      </c>
      <c r="AO335" s="18" t="n">
        <f aca="false">IFERROR(100*N335/J335,"")</f>
        <v>0.232142723576766</v>
      </c>
    </row>
    <row r="336" customFormat="false" ht="15" hidden="false" customHeight="false" outlineLevel="0" collapsed="false">
      <c r="A336" s="17" t="n">
        <v>17897</v>
      </c>
      <c r="B336" s="23" t="n">
        <v>45838</v>
      </c>
      <c r="C336" s="17" t="s">
        <v>149</v>
      </c>
      <c r="D336" s="17" t="s">
        <v>108</v>
      </c>
      <c r="E336" s="17" t="s">
        <v>114</v>
      </c>
      <c r="F336" s="17" t="n">
        <v>1790373</v>
      </c>
      <c r="G336" s="17" t="n">
        <v>1771686.33333333</v>
      </c>
      <c r="H336" s="17" t="n">
        <v>1352989</v>
      </c>
      <c r="I336" s="17" t="n">
        <v>226000</v>
      </c>
      <c r="J336" s="17" t="n">
        <v>1493755</v>
      </c>
      <c r="K336" s="17" t="n">
        <v>1477816</v>
      </c>
      <c r="L336" s="17" t="n">
        <v>1393686</v>
      </c>
      <c r="M336" s="17" t="n">
        <v>82889</v>
      </c>
      <c r="N336" s="17" t="n">
        <v>2700</v>
      </c>
      <c r="O336" s="17" t="n">
        <v>5391</v>
      </c>
      <c r="P336" s="17" t="n">
        <v>8456</v>
      </c>
      <c r="Q336" s="17" t="n">
        <v>0</v>
      </c>
      <c r="R336" s="17" t="n">
        <v>12</v>
      </c>
      <c r="S336" s="17" t="n">
        <v>244542</v>
      </c>
      <c r="T336" s="17" t="n">
        <v>1383008</v>
      </c>
      <c r="U336" s="17" t="n">
        <v>17256</v>
      </c>
      <c r="V336" s="17" t="n">
        <v>0.973987306631968</v>
      </c>
      <c r="W336" s="17" t="n">
        <v>7.84</v>
      </c>
      <c r="X336" s="17" t="n">
        <v>2.75154108647398</v>
      </c>
      <c r="Y336" s="17" t="n">
        <v>0.614357776208281</v>
      </c>
      <c r="Z336" s="17" t="n">
        <v>17.6818933802263</v>
      </c>
      <c r="AA336" s="17" t="n">
        <v>12.6230679305374</v>
      </c>
      <c r="AB336" s="17" t="n">
        <v>3.35039510302002</v>
      </c>
      <c r="AC336" s="17" t="n">
        <v>3.73053691787832</v>
      </c>
      <c r="AD336" s="17" t="n">
        <v>3.18275240132544</v>
      </c>
      <c r="AE336" s="17" t="n">
        <v>0.254453817355784</v>
      </c>
      <c r="AF336" s="17" t="n">
        <v>0.0692843408978305</v>
      </c>
      <c r="AG336" s="18" t="n">
        <f aca="false">IFERROR(100*O336/F336,"")</f>
        <v>0.301110438997907</v>
      </c>
      <c r="AH336" s="18" t="n">
        <f aca="false">IFERROR(100*(P336+Q336)/F336,"")</f>
        <v>0.472303816020461</v>
      </c>
      <c r="AI336" s="18" t="n">
        <f aca="false">IFERROR(100*R336/K336,"")</f>
        <v>0.000812009072848041</v>
      </c>
      <c r="AJ336" s="18" t="n">
        <f aca="false">IF(T336&gt;0,100*S336/T336,"")</f>
        <v>17.6818933802263</v>
      </c>
      <c r="AK336" s="18" t="n">
        <f aca="false">IFERROR(100*U336/G336,"")</f>
        <v>0.973987306631968</v>
      </c>
      <c r="AL336" s="18" t="n">
        <f aca="false">IFERROR(100*J336/H336,"")</f>
        <v>110.404075716802</v>
      </c>
      <c r="AM336" s="18" t="n">
        <f aca="false">IFERROR(100*L336/J336,"")</f>
        <v>93.3008425076401</v>
      </c>
      <c r="AN336" s="18" t="n">
        <f aca="false">IFERROR(100*M336/J336,"")</f>
        <v>5.54903581912697</v>
      </c>
      <c r="AO336" s="18" t="n">
        <f aca="false">IFERROR(100*N336/J336,"")</f>
        <v>0.180752533045915</v>
      </c>
    </row>
    <row r="337" customFormat="false" ht="15" hidden="false" customHeight="false" outlineLevel="0" collapsed="false">
      <c r="A337" s="17" t="n">
        <v>17951</v>
      </c>
      <c r="B337" s="23" t="n">
        <v>44651</v>
      </c>
      <c r="C337" s="17" t="s">
        <v>136</v>
      </c>
      <c r="D337" s="17" t="s">
        <v>116</v>
      </c>
      <c r="E337" s="17" t="s">
        <v>118</v>
      </c>
      <c r="F337" s="17" t="n">
        <v>702702</v>
      </c>
      <c r="G337" s="17" t="n">
        <v>695192</v>
      </c>
      <c r="H337" s="17" t="n">
        <v>626605</v>
      </c>
      <c r="I337" s="17" t="n">
        <v>57001</v>
      </c>
      <c r="J337" s="17" t="n">
        <v>455133</v>
      </c>
      <c r="K337" s="17" t="n">
        <v>450350</v>
      </c>
      <c r="L337" s="17" t="n">
        <v>417998</v>
      </c>
      <c r="M337" s="17" t="n">
        <v>24011</v>
      </c>
      <c r="N337" s="17" t="n">
        <v>1618</v>
      </c>
      <c r="O337" s="17" t="n">
        <v>1046</v>
      </c>
      <c r="P337" s="17" t="n">
        <v>57</v>
      </c>
      <c r="Q337" s="17" t="n">
        <v>0</v>
      </c>
      <c r="R337" s="17" t="n">
        <v>-12</v>
      </c>
      <c r="S337" s="17" t="n">
        <v>70013</v>
      </c>
      <c r="T337" s="17" t="n">
        <v>450590</v>
      </c>
      <c r="U337" s="17" t="n">
        <v>6360</v>
      </c>
      <c r="V337" s="17" t="n">
        <v>0.914855176699387</v>
      </c>
      <c r="W337" s="17" t="n">
        <v>10.65</v>
      </c>
      <c r="X337" s="17" t="n">
        <v>3.153855534702</v>
      </c>
      <c r="Y337" s="17" t="n">
        <v>0.8551346529476</v>
      </c>
      <c r="Z337" s="17" t="n">
        <v>15.5380723051999</v>
      </c>
      <c r="AA337" s="17" t="n">
        <v>8.11168888091965</v>
      </c>
      <c r="AB337" s="17"/>
      <c r="AC337" s="17"/>
      <c r="AD337" s="17"/>
      <c r="AE337" s="17"/>
      <c r="AF337" s="17"/>
      <c r="AG337" s="18" t="n">
        <f aca="false">IFERROR(100*O337/F337,"")</f>
        <v>0.148853995007841</v>
      </c>
      <c r="AH337" s="18" t="n">
        <f aca="false">IFERROR(100*(P337+Q337)/F337,"")</f>
        <v>0.00811154657308504</v>
      </c>
      <c r="AI337" s="18" t="n">
        <f aca="false">IFERROR(100*R337/K337,"")</f>
        <v>-0.00266459420450761</v>
      </c>
      <c r="AJ337" s="18" t="n">
        <f aca="false">IF(T337&gt;0,100*S337/T337,"")</f>
        <v>15.5380723051998</v>
      </c>
      <c r="AK337" s="18" t="n">
        <f aca="false">IFERROR(100*U337/G337,"")</f>
        <v>0.914855176699387</v>
      </c>
      <c r="AL337" s="18" t="n">
        <f aca="false">IFERROR(100*J337/H337,"")</f>
        <v>72.6347539518517</v>
      </c>
      <c r="AM337" s="18" t="n">
        <f aca="false">IFERROR(100*L337/J337,"")</f>
        <v>91.8408465217859</v>
      </c>
      <c r="AN337" s="18" t="n">
        <f aca="false">IFERROR(100*M337/J337,"")</f>
        <v>5.27560075845962</v>
      </c>
      <c r="AO337" s="18" t="n">
        <f aca="false">IFERROR(100*N337/J337,"")</f>
        <v>0.355500480079449</v>
      </c>
    </row>
    <row r="338" customFormat="false" ht="15" hidden="false" customHeight="false" outlineLevel="0" collapsed="false">
      <c r="A338" s="17" t="n">
        <v>17951</v>
      </c>
      <c r="B338" s="23" t="n">
        <v>44742</v>
      </c>
      <c r="C338" s="17" t="s">
        <v>136</v>
      </c>
      <c r="D338" s="17" t="s">
        <v>116</v>
      </c>
      <c r="E338" s="17" t="s">
        <v>118</v>
      </c>
      <c r="F338" s="17" t="n">
        <v>724308</v>
      </c>
      <c r="G338" s="17" t="n">
        <v>704897.333333333</v>
      </c>
      <c r="H338" s="17" t="n">
        <v>640946</v>
      </c>
      <c r="I338" s="17" t="n">
        <v>53765</v>
      </c>
      <c r="J338" s="17" t="n">
        <v>488769</v>
      </c>
      <c r="K338" s="17" t="n">
        <v>463156.333333333</v>
      </c>
      <c r="L338" s="17" t="n">
        <v>448742</v>
      </c>
      <c r="M338" s="17" t="n">
        <v>24396</v>
      </c>
      <c r="N338" s="17" t="n">
        <v>1572</v>
      </c>
      <c r="O338" s="17" t="n">
        <v>782</v>
      </c>
      <c r="P338" s="17" t="n">
        <v>31</v>
      </c>
      <c r="Q338" s="17" t="n">
        <v>0</v>
      </c>
      <c r="R338" s="17" t="n">
        <v>-4</v>
      </c>
      <c r="S338" s="17" t="n">
        <v>71850</v>
      </c>
      <c r="T338" s="17" t="n">
        <v>478791</v>
      </c>
      <c r="U338" s="17" t="n">
        <v>6656</v>
      </c>
      <c r="V338" s="17" t="n">
        <v>0.944250983121892</v>
      </c>
      <c r="W338" s="17" t="n">
        <v>11.53</v>
      </c>
      <c r="X338" s="17" t="n">
        <v>3.18151383220779</v>
      </c>
      <c r="Y338" s="17" t="n">
        <v>0.814495190979788</v>
      </c>
      <c r="Z338" s="17" t="n">
        <v>15.0065477421255</v>
      </c>
      <c r="AA338" s="17" t="n">
        <v>7.42294714403265</v>
      </c>
      <c r="AB338" s="17"/>
      <c r="AC338" s="17"/>
      <c r="AD338" s="17"/>
      <c r="AE338" s="17"/>
      <c r="AF338" s="17"/>
      <c r="AG338" s="18" t="n">
        <f aca="false">IFERROR(100*O338/F338,"")</f>
        <v>0.107965119810909</v>
      </c>
      <c r="AH338" s="18" t="n">
        <f aca="false">IFERROR(100*(P338+Q338)/F338,"")</f>
        <v>0.00427994720478029</v>
      </c>
      <c r="AI338" s="18" t="n">
        <f aca="false">IFERROR(100*R338/K338,"")</f>
        <v>-0.000863639275147556</v>
      </c>
      <c r="AJ338" s="18" t="n">
        <f aca="false">IF(T338&gt;0,100*S338/T338,"")</f>
        <v>15.0065477421255</v>
      </c>
      <c r="AK338" s="18" t="n">
        <f aca="false">IFERROR(100*U338/G338,"")</f>
        <v>0.944250983121892</v>
      </c>
      <c r="AL338" s="18" t="n">
        <f aca="false">IFERROR(100*J338/H338,"")</f>
        <v>76.257438224125</v>
      </c>
      <c r="AM338" s="18" t="n">
        <f aca="false">IFERROR(100*L338/J338,"")</f>
        <v>91.810650839149</v>
      </c>
      <c r="AN338" s="18" t="n">
        <f aca="false">IFERROR(100*M338/J338,"")</f>
        <v>4.99131491563499</v>
      </c>
      <c r="AO338" s="18" t="n">
        <f aca="false">IFERROR(100*N338/J338,"")</f>
        <v>0.321624325601665</v>
      </c>
    </row>
    <row r="339" customFormat="false" ht="15" hidden="false" customHeight="false" outlineLevel="0" collapsed="false">
      <c r="A339" s="17" t="n">
        <v>17951</v>
      </c>
      <c r="B339" s="23" t="n">
        <v>44834</v>
      </c>
      <c r="C339" s="17" t="s">
        <v>136</v>
      </c>
      <c r="D339" s="17" t="s">
        <v>116</v>
      </c>
      <c r="E339" s="17" t="s">
        <v>118</v>
      </c>
      <c r="F339" s="17" t="n">
        <v>741759</v>
      </c>
      <c r="G339" s="17" t="n">
        <v>714112.75</v>
      </c>
      <c r="H339" s="17" t="n">
        <v>644557</v>
      </c>
      <c r="I339" s="17" t="n">
        <v>52288</v>
      </c>
      <c r="J339" s="17" t="n">
        <v>517803</v>
      </c>
      <c r="K339" s="17" t="n">
        <v>476818</v>
      </c>
      <c r="L339" s="17" t="n">
        <v>482723</v>
      </c>
      <c r="M339" s="17" t="n">
        <v>21389</v>
      </c>
      <c r="N339" s="17" t="n">
        <v>1636</v>
      </c>
      <c r="O339" s="17" t="n">
        <v>393</v>
      </c>
      <c r="P339" s="17" t="n">
        <v>0</v>
      </c>
      <c r="Q339" s="17" t="n">
        <v>0</v>
      </c>
      <c r="R339" s="17" t="n">
        <v>1.3333</v>
      </c>
      <c r="S339" s="17" t="n">
        <v>74437</v>
      </c>
      <c r="T339" s="17" t="n">
        <v>513569</v>
      </c>
      <c r="U339" s="17" t="n">
        <v>7321.1503</v>
      </c>
      <c r="V339" s="17" t="n">
        <v>1.02520929643113</v>
      </c>
      <c r="W339" s="17" t="n">
        <v>12.99</v>
      </c>
      <c r="X339" s="17" t="n">
        <v>3.22552262323987</v>
      </c>
      <c r="Y339" s="17" t="n">
        <v>0.85128900373308</v>
      </c>
      <c r="Z339" s="17" t="n">
        <v>14.4940601944432</v>
      </c>
      <c r="AA339" s="17" t="n">
        <v>7.04918983119854</v>
      </c>
      <c r="AB339" s="17"/>
      <c r="AC339" s="17"/>
      <c r="AD339" s="17"/>
      <c r="AE339" s="17"/>
      <c r="AF339" s="17"/>
      <c r="AG339" s="18" t="n">
        <f aca="false">IFERROR(100*O339/F339,"")</f>
        <v>0.0529821680626727</v>
      </c>
      <c r="AH339" s="18" t="n">
        <f aca="false">IFERROR(100*(P339+Q339)/F339,"")</f>
        <v>0</v>
      </c>
      <c r="AI339" s="18" t="n">
        <f aca="false">IFERROR(100*R339/K339,"")</f>
        <v>0.000279624510819642</v>
      </c>
      <c r="AJ339" s="18" t="n">
        <f aca="false">IF(T339&gt;0,100*S339/T339,"")</f>
        <v>14.4940601944432</v>
      </c>
      <c r="AK339" s="18" t="n">
        <f aca="false">IFERROR(100*U339/G339,"")</f>
        <v>1.02520929643113</v>
      </c>
      <c r="AL339" s="18" t="n">
        <f aca="false">IFERROR(100*J339/H339,"")</f>
        <v>80.334710506596</v>
      </c>
      <c r="AM339" s="18" t="n">
        <f aca="false">IFERROR(100*L339/J339,"")</f>
        <v>93.2252227198375</v>
      </c>
      <c r="AN339" s="18" t="n">
        <f aca="false">IFERROR(100*M339/J339,"")</f>
        <v>4.13072152923023</v>
      </c>
      <c r="AO339" s="18" t="n">
        <f aca="false">IFERROR(100*N339/J339,"")</f>
        <v>0.315950274525254</v>
      </c>
    </row>
    <row r="340" customFormat="false" ht="15" hidden="false" customHeight="false" outlineLevel="0" collapsed="false">
      <c r="A340" s="17" t="n">
        <v>17951</v>
      </c>
      <c r="B340" s="23" t="n">
        <v>44926</v>
      </c>
      <c r="C340" s="17" t="s">
        <v>136</v>
      </c>
      <c r="D340" s="17" t="s">
        <v>116</v>
      </c>
      <c r="E340" s="17" t="s">
        <v>118</v>
      </c>
      <c r="F340" s="17" t="n">
        <v>761892</v>
      </c>
      <c r="G340" s="17" t="n">
        <v>723668.6</v>
      </c>
      <c r="H340" s="17" t="n">
        <v>670773</v>
      </c>
      <c r="I340" s="17" t="n">
        <v>55088</v>
      </c>
      <c r="J340" s="17" t="n">
        <v>532569</v>
      </c>
      <c r="K340" s="17" t="n">
        <v>487968.2</v>
      </c>
      <c r="L340" s="17" t="n">
        <v>498217</v>
      </c>
      <c r="M340" s="17" t="n">
        <v>21098</v>
      </c>
      <c r="N340" s="17" t="n">
        <v>1648</v>
      </c>
      <c r="O340" s="17" t="n">
        <v>69</v>
      </c>
      <c r="P340" s="17" t="n">
        <v>114</v>
      </c>
      <c r="Q340" s="17" t="n">
        <v>0</v>
      </c>
      <c r="R340" s="17" t="n">
        <v>292</v>
      </c>
      <c r="S340" s="17" t="n">
        <v>75713</v>
      </c>
      <c r="T340" s="17" t="n">
        <v>520027</v>
      </c>
      <c r="U340" s="17" t="n">
        <v>6932</v>
      </c>
      <c r="V340" s="17" t="n">
        <v>0.957897026346038</v>
      </c>
      <c r="W340" s="17" t="n">
        <v>12.35</v>
      </c>
      <c r="X340" s="17" t="n">
        <v>3.1978524844161</v>
      </c>
      <c r="Y340" s="17" t="n">
        <v>0.815293417378781</v>
      </c>
      <c r="Z340" s="17" t="n">
        <v>14.5594363369594</v>
      </c>
      <c r="AA340" s="17" t="n">
        <v>7.23042110955359</v>
      </c>
      <c r="AB340" s="17"/>
      <c r="AC340" s="17"/>
      <c r="AD340" s="17"/>
      <c r="AE340" s="17"/>
      <c r="AF340" s="17"/>
      <c r="AG340" s="18" t="n">
        <f aca="false">IFERROR(100*O340/F340,"")</f>
        <v>0.00905640169472839</v>
      </c>
      <c r="AH340" s="18" t="n">
        <f aca="false">IFERROR(100*(P340+Q340)/F340,"")</f>
        <v>0.014962750626073</v>
      </c>
      <c r="AI340" s="18" t="n">
        <f aca="false">IFERROR(100*R340/K340,"")</f>
        <v>0.0598399649813246</v>
      </c>
      <c r="AJ340" s="18" t="n">
        <f aca="false">IF(T340&gt;0,100*S340/T340,"")</f>
        <v>14.5594363369594</v>
      </c>
      <c r="AK340" s="18" t="n">
        <f aca="false">IFERROR(100*U340/G340,"")</f>
        <v>0.957897026346038</v>
      </c>
      <c r="AL340" s="18" t="n">
        <f aca="false">IFERROR(100*J340/H340,"")</f>
        <v>79.3963084381751</v>
      </c>
      <c r="AM340" s="18" t="n">
        <f aca="false">IFERROR(100*L340/J340,"")</f>
        <v>93.549755994059</v>
      </c>
      <c r="AN340" s="18" t="n">
        <f aca="false">IFERROR(100*M340/J340,"")</f>
        <v>3.96155239978294</v>
      </c>
      <c r="AO340" s="18" t="n">
        <f aca="false">IFERROR(100*N340/J340,"")</f>
        <v>0.309443471174627</v>
      </c>
    </row>
    <row r="341" customFormat="false" ht="15" hidden="false" customHeight="false" outlineLevel="0" collapsed="false">
      <c r="A341" s="17" t="n">
        <v>17951</v>
      </c>
      <c r="B341" s="23" t="n">
        <v>45016</v>
      </c>
      <c r="C341" s="17" t="s">
        <v>136</v>
      </c>
      <c r="D341" s="17" t="s">
        <v>116</v>
      </c>
      <c r="E341" s="17" t="s">
        <v>118</v>
      </c>
      <c r="F341" s="17" t="n">
        <v>753464</v>
      </c>
      <c r="G341" s="17" t="n">
        <v>757678</v>
      </c>
      <c r="H341" s="17" t="n">
        <v>678863</v>
      </c>
      <c r="I341" s="17" t="n">
        <v>57390</v>
      </c>
      <c r="J341" s="17" t="n">
        <v>536149</v>
      </c>
      <c r="K341" s="17" t="n">
        <v>534359</v>
      </c>
      <c r="L341" s="17" t="n">
        <v>498891</v>
      </c>
      <c r="M341" s="17" t="n">
        <v>22713</v>
      </c>
      <c r="N341" s="17" t="n">
        <v>1774</v>
      </c>
      <c r="O341" s="17" t="n">
        <v>68</v>
      </c>
      <c r="P341" s="17" t="n">
        <v>2194</v>
      </c>
      <c r="Q341" s="17" t="n">
        <v>0</v>
      </c>
      <c r="R341" s="17" t="n">
        <v>-812</v>
      </c>
      <c r="S341" s="17" t="n">
        <v>76686</v>
      </c>
      <c r="T341" s="17" t="n">
        <v>523004</v>
      </c>
      <c r="U341" s="17" t="n">
        <v>4316</v>
      </c>
      <c r="V341" s="17" t="n">
        <v>0.569635122043929</v>
      </c>
      <c r="W341" s="17" t="n">
        <v>7.67</v>
      </c>
      <c r="X341" s="17" t="n">
        <v>2.83578052985655</v>
      </c>
      <c r="Y341" s="17" t="n">
        <v>0.889678055913561</v>
      </c>
      <c r="Z341" s="17" t="n">
        <v>14.6626029628837</v>
      </c>
      <c r="AA341" s="17" t="n">
        <v>7.61682044530329</v>
      </c>
      <c r="AB341" s="17" t="n">
        <v>7.22383030075338</v>
      </c>
      <c r="AC341" s="17" t="n">
        <v>17.8005110594046</v>
      </c>
      <c r="AD341" s="17" t="n">
        <v>8.33986323122222</v>
      </c>
      <c r="AE341" s="17" t="n">
        <v>-0.345220054655458</v>
      </c>
      <c r="AF341" s="17" t="n">
        <v>-0.139829011730604</v>
      </c>
      <c r="AG341" s="18" t="n">
        <f aca="false">IFERROR(100*O341/F341,"")</f>
        <v>0.00902498327723687</v>
      </c>
      <c r="AH341" s="18" t="n">
        <f aca="false">IFERROR(100*(P341+Q341)/F341,"")</f>
        <v>0.291188431033201</v>
      </c>
      <c r="AI341" s="18" t="n">
        <f aca="false">IFERROR(100*R341/K341,"")</f>
        <v>-0.151957766220837</v>
      </c>
      <c r="AJ341" s="18" t="n">
        <f aca="false">IF(T341&gt;0,100*S341/T341,"")</f>
        <v>14.6626029628837</v>
      </c>
      <c r="AK341" s="18" t="n">
        <f aca="false">IFERROR(100*U341/G341,"")</f>
        <v>0.569635122043929</v>
      </c>
      <c r="AL341" s="18" t="n">
        <f aca="false">IFERROR(100*J341/H341,"")</f>
        <v>78.9774961958451</v>
      </c>
      <c r="AM341" s="18" t="n">
        <f aca="false">IFERROR(100*L341/J341,"")</f>
        <v>93.0508123674576</v>
      </c>
      <c r="AN341" s="18" t="n">
        <f aca="false">IFERROR(100*M341/J341,"")</f>
        <v>4.23632236561105</v>
      </c>
      <c r="AO341" s="18" t="n">
        <f aca="false">IFERROR(100*N341/J341,"")</f>
        <v>0.330878170060935</v>
      </c>
    </row>
    <row r="342" customFormat="false" ht="15" hidden="false" customHeight="false" outlineLevel="0" collapsed="false">
      <c r="A342" s="17" t="n">
        <v>17951</v>
      </c>
      <c r="B342" s="23" t="n">
        <v>45107</v>
      </c>
      <c r="C342" s="17" t="s">
        <v>136</v>
      </c>
      <c r="D342" s="17" t="s">
        <v>116</v>
      </c>
      <c r="E342" s="17" t="s">
        <v>118</v>
      </c>
      <c r="F342" s="17" t="n">
        <v>785855</v>
      </c>
      <c r="G342" s="17" t="n">
        <v>767070.333333333</v>
      </c>
      <c r="H342" s="17" t="n">
        <v>698423</v>
      </c>
      <c r="I342" s="17" t="n">
        <v>56939</v>
      </c>
      <c r="J342" s="17" t="n">
        <v>553850</v>
      </c>
      <c r="K342" s="17" t="n">
        <v>540856</v>
      </c>
      <c r="L342" s="17" t="n">
        <v>515478</v>
      </c>
      <c r="M342" s="17" t="n">
        <v>23611</v>
      </c>
      <c r="N342" s="17" t="n">
        <v>1822</v>
      </c>
      <c r="O342" s="17" t="n">
        <v>67</v>
      </c>
      <c r="P342" s="17" t="n">
        <v>168</v>
      </c>
      <c r="Q342" s="17" t="n">
        <v>0</v>
      </c>
      <c r="R342" s="17" t="n">
        <v>-394</v>
      </c>
      <c r="S342" s="17" t="n">
        <v>78051</v>
      </c>
      <c r="T342" s="17" t="n">
        <v>540373</v>
      </c>
      <c r="U342" s="17" t="n">
        <v>4432</v>
      </c>
      <c r="V342" s="17" t="n">
        <v>0.577782741347925</v>
      </c>
      <c r="W342" s="17" t="n">
        <v>7.85</v>
      </c>
      <c r="X342" s="17" t="n">
        <v>2.73948979123525</v>
      </c>
      <c r="Y342" s="17" t="n">
        <v>0.900785411212422</v>
      </c>
      <c r="Z342" s="17" t="n">
        <v>14.4439118904905</v>
      </c>
      <c r="AA342" s="17" t="n">
        <v>7.24548421782644</v>
      </c>
      <c r="AB342" s="17" t="n">
        <v>8.49735195524557</v>
      </c>
      <c r="AC342" s="17" t="n">
        <v>13.3152879990343</v>
      </c>
      <c r="AD342" s="17" t="n">
        <v>8.96752612544582</v>
      </c>
      <c r="AE342" s="17" t="n">
        <v>-0.366468241773967</v>
      </c>
      <c r="AF342" s="17" t="n">
        <v>-0.0994393739672103</v>
      </c>
      <c r="AG342" s="18" t="n">
        <f aca="false">IFERROR(100*O342/F342,"")</f>
        <v>0.0085257458436989</v>
      </c>
      <c r="AH342" s="18" t="n">
        <f aca="false">IFERROR(100*(P342+Q342)/F342,"")</f>
        <v>0.0213779895782301</v>
      </c>
      <c r="AI342" s="18" t="n">
        <f aca="false">IFERROR(100*R342/K342,"")</f>
        <v>-0.0728474862070496</v>
      </c>
      <c r="AJ342" s="18" t="n">
        <f aca="false">IF(T342&gt;0,100*S342/T342,"")</f>
        <v>14.4439118904905</v>
      </c>
      <c r="AK342" s="18" t="n">
        <f aca="false">IFERROR(100*U342/G342,"")</f>
        <v>0.577782741347925</v>
      </c>
      <c r="AL342" s="18" t="n">
        <f aca="false">IFERROR(100*J342/H342,"")</f>
        <v>79.3000803238152</v>
      </c>
      <c r="AM342" s="18" t="n">
        <f aca="false">IFERROR(100*L342/J342,"")</f>
        <v>93.0717703349282</v>
      </c>
      <c r="AN342" s="18" t="n">
        <f aca="false">IFERROR(100*M342/J342,"")</f>
        <v>4.26306761758599</v>
      </c>
      <c r="AO342" s="18" t="n">
        <f aca="false">IFERROR(100*N342/J342,"")</f>
        <v>0.328969937708766</v>
      </c>
    </row>
    <row r="343" customFormat="false" ht="15" hidden="false" customHeight="false" outlineLevel="0" collapsed="false">
      <c r="A343" s="17" t="n">
        <v>17951</v>
      </c>
      <c r="B343" s="23" t="n">
        <v>45199</v>
      </c>
      <c r="C343" s="17" t="s">
        <v>136</v>
      </c>
      <c r="D343" s="17" t="s">
        <v>116</v>
      </c>
      <c r="E343" s="17" t="s">
        <v>118</v>
      </c>
      <c r="F343" s="17" t="n">
        <v>774390</v>
      </c>
      <c r="G343" s="17" t="n">
        <v>768900.25</v>
      </c>
      <c r="H343" s="17" t="n">
        <v>686785</v>
      </c>
      <c r="I343" s="17" t="n">
        <v>56538</v>
      </c>
      <c r="J343" s="17" t="n">
        <v>564607</v>
      </c>
      <c r="K343" s="17" t="n">
        <v>546793.75</v>
      </c>
      <c r="L343" s="17" t="n">
        <v>525776</v>
      </c>
      <c r="M343" s="17" t="n">
        <v>24630</v>
      </c>
      <c r="N343" s="17" t="n">
        <v>1937</v>
      </c>
      <c r="O343" s="17" t="n">
        <v>179</v>
      </c>
      <c r="P343" s="17" t="n">
        <v>137</v>
      </c>
      <c r="Q343" s="17" t="n">
        <v>0</v>
      </c>
      <c r="R343" s="17" t="n">
        <v>-257.3269</v>
      </c>
      <c r="S343" s="17" t="n">
        <v>79487</v>
      </c>
      <c r="T343" s="17" t="n">
        <v>543094</v>
      </c>
      <c r="U343" s="17" t="n">
        <v>4574.5523</v>
      </c>
      <c r="V343" s="17" t="n">
        <v>0.594947433038291</v>
      </c>
      <c r="W343" s="17" t="n">
        <v>8.1</v>
      </c>
      <c r="X343" s="17" t="n">
        <v>2.73481206488146</v>
      </c>
      <c r="Y343" s="17" t="n">
        <v>0.922765746793788</v>
      </c>
      <c r="Z343" s="17" t="n">
        <v>14.6359562064762</v>
      </c>
      <c r="AA343" s="17" t="n">
        <v>7.30097237825902</v>
      </c>
      <c r="AB343" s="17" t="n">
        <v>4.39913772532588</v>
      </c>
      <c r="AC343" s="17" t="n">
        <v>9.03895883183372</v>
      </c>
      <c r="AD343" s="17" t="n">
        <v>6.5514764404079</v>
      </c>
      <c r="AE343" s="17" t="n">
        <v>-0.43026186339284</v>
      </c>
      <c r="AF343" s="17" t="n">
        <v>-0.0298672001524465</v>
      </c>
      <c r="AG343" s="18" t="n">
        <f aca="false">IFERROR(100*O343/F343,"")</f>
        <v>0.0231149679102261</v>
      </c>
      <c r="AH343" s="18" t="n">
        <f aca="false">IFERROR(100*(P343+Q343)/F343,"")</f>
        <v>0.0176913441547541</v>
      </c>
      <c r="AI343" s="18" t="n">
        <f aca="false">IFERROR(100*R343/K343,"")</f>
        <v>-0.0470610536422554</v>
      </c>
      <c r="AJ343" s="18" t="n">
        <f aca="false">IF(T343&gt;0,100*S343/T343,"")</f>
        <v>14.6359562064762</v>
      </c>
      <c r="AK343" s="18" t="n">
        <f aca="false">IFERROR(100*U343/G343,"")</f>
        <v>0.594947433038291</v>
      </c>
      <c r="AL343" s="18" t="n">
        <f aca="false">IFERROR(100*J343/H343,"")</f>
        <v>82.2101531046834</v>
      </c>
      <c r="AM343" s="18" t="n">
        <f aca="false">IFERROR(100*L343/J343,"")</f>
        <v>93.1224727996642</v>
      </c>
      <c r="AN343" s="18" t="n">
        <f aca="false">IFERROR(100*M343/J343,"")</f>
        <v>4.36232636152226</v>
      </c>
      <c r="AO343" s="18" t="n">
        <f aca="false">IFERROR(100*N343/J343,"")</f>
        <v>0.34307048973888</v>
      </c>
    </row>
    <row r="344" customFormat="false" ht="15" hidden="false" customHeight="false" outlineLevel="0" collapsed="false">
      <c r="A344" s="17" t="n">
        <v>17951</v>
      </c>
      <c r="B344" s="23" t="n">
        <v>45291</v>
      </c>
      <c r="C344" s="17" t="s">
        <v>136</v>
      </c>
      <c r="D344" s="17" t="s">
        <v>116</v>
      </c>
      <c r="E344" s="17" t="s">
        <v>118</v>
      </c>
      <c r="F344" s="17" t="n">
        <v>786047</v>
      </c>
      <c r="G344" s="17" t="n">
        <v>772329.6</v>
      </c>
      <c r="H344" s="17" t="n">
        <v>667956</v>
      </c>
      <c r="I344" s="17" t="n">
        <v>61893</v>
      </c>
      <c r="J344" s="17" t="n">
        <v>579733</v>
      </c>
      <c r="K344" s="17" t="n">
        <v>553381.6</v>
      </c>
      <c r="L344" s="17" t="n">
        <v>540903</v>
      </c>
      <c r="M344" s="17" t="n">
        <v>24625</v>
      </c>
      <c r="N344" s="17" t="n">
        <v>2014</v>
      </c>
      <c r="O344" s="17" t="n">
        <v>175</v>
      </c>
      <c r="P344" s="17" t="n">
        <v>24</v>
      </c>
      <c r="Q344" s="17" t="n">
        <v>0</v>
      </c>
      <c r="R344" s="17" t="n">
        <v>-192</v>
      </c>
      <c r="S344" s="17" t="n">
        <v>80505</v>
      </c>
      <c r="T344" s="17" t="n">
        <v>551839</v>
      </c>
      <c r="U344" s="17" t="n">
        <v>4551</v>
      </c>
      <c r="V344" s="17" t="n">
        <v>0.589256193210774</v>
      </c>
      <c r="W344" s="17" t="n">
        <v>7.91</v>
      </c>
      <c r="X344" s="17" t="n">
        <v>2.70000309550974</v>
      </c>
      <c r="Y344" s="17" t="n">
        <v>0.85332385770691</v>
      </c>
      <c r="Z344" s="17" t="n">
        <v>14.5884941078829</v>
      </c>
      <c r="AA344" s="17" t="n">
        <v>7.8739566463583</v>
      </c>
      <c r="AB344" s="17" t="n">
        <v>3.17039685414731</v>
      </c>
      <c r="AC344" s="17" t="n">
        <v>8.85594167140784</v>
      </c>
      <c r="AD344" s="17" t="n">
        <v>-0.41996323644512</v>
      </c>
      <c r="AE344" s="17" t="n">
        <v>-0.368640833135263</v>
      </c>
      <c r="AF344" s="17" t="n">
        <v>0.0132068980825114</v>
      </c>
      <c r="AG344" s="18" t="n">
        <f aca="false">IFERROR(100*O344/F344,"")</f>
        <v>0.0222632997772398</v>
      </c>
      <c r="AH344" s="18" t="n">
        <f aca="false">IFERROR(100*(P344+Q344)/F344,"")</f>
        <v>0.0030532525408786</v>
      </c>
      <c r="AI344" s="18" t="n">
        <f aca="false">IFERROR(100*R344/K344,"")</f>
        <v>-0.0346957687064406</v>
      </c>
      <c r="AJ344" s="18" t="n">
        <f aca="false">IF(T344&gt;0,100*S344/T344,"")</f>
        <v>14.5884941078829</v>
      </c>
      <c r="AK344" s="18" t="n">
        <f aca="false">IFERROR(100*U344/G344,"")</f>
        <v>0.589256193210774</v>
      </c>
      <c r="AL344" s="18" t="n">
        <f aca="false">IFERROR(100*J344/H344,"")</f>
        <v>86.7920940900299</v>
      </c>
      <c r="AM344" s="18" t="n">
        <f aca="false">IFERROR(100*L344/J344,"")</f>
        <v>93.3020890651386</v>
      </c>
      <c r="AN344" s="18" t="n">
        <f aca="false">IFERROR(100*M344/J344,"")</f>
        <v>4.24764503659443</v>
      </c>
      <c r="AO344" s="18" t="n">
        <f aca="false">IFERROR(100*N344/J344,"")</f>
        <v>0.347401303703602</v>
      </c>
    </row>
    <row r="345" customFormat="false" ht="15" hidden="false" customHeight="false" outlineLevel="0" collapsed="false">
      <c r="A345" s="17" t="n">
        <v>17951</v>
      </c>
      <c r="B345" s="23" t="n">
        <v>45382</v>
      </c>
      <c r="C345" s="17" t="s">
        <v>136</v>
      </c>
      <c r="D345" s="17" t="s">
        <v>116</v>
      </c>
      <c r="E345" s="17" t="s">
        <v>118</v>
      </c>
      <c r="F345" s="17" t="n">
        <v>794635</v>
      </c>
      <c r="G345" s="17" t="n">
        <v>790341</v>
      </c>
      <c r="H345" s="17" t="n">
        <v>661495</v>
      </c>
      <c r="I345" s="17" t="n">
        <v>61632</v>
      </c>
      <c r="J345" s="17" t="n">
        <v>585701</v>
      </c>
      <c r="K345" s="17" t="n">
        <v>582717</v>
      </c>
      <c r="L345" s="17" t="n">
        <v>544281</v>
      </c>
      <c r="M345" s="17" t="n">
        <v>27259</v>
      </c>
      <c r="N345" s="17" t="n">
        <v>1980</v>
      </c>
      <c r="O345" s="17" t="n">
        <v>174</v>
      </c>
      <c r="P345" s="17" t="n">
        <v>137</v>
      </c>
      <c r="Q345" s="17" t="n">
        <v>0</v>
      </c>
      <c r="R345" s="17" t="n">
        <v>-500</v>
      </c>
      <c r="S345" s="17" t="n">
        <v>81490</v>
      </c>
      <c r="T345" s="17" t="n">
        <v>556914</v>
      </c>
      <c r="U345" s="17" t="n">
        <v>4428</v>
      </c>
      <c r="V345" s="17" t="n">
        <v>0.560264493427521</v>
      </c>
      <c r="W345" s="17" t="n">
        <v>7.17</v>
      </c>
      <c r="X345" s="17" t="n">
        <v>2.50658748853139</v>
      </c>
      <c r="Y345" s="17" t="n">
        <v>0.852312015857921</v>
      </c>
      <c r="Z345" s="17" t="n">
        <v>14.6324208046485</v>
      </c>
      <c r="AA345" s="17" t="n">
        <v>7.75601376732714</v>
      </c>
      <c r="AB345" s="17" t="n">
        <v>5.46422921333998</v>
      </c>
      <c r="AC345" s="17" t="n">
        <v>9.24220692382154</v>
      </c>
      <c r="AD345" s="17" t="n">
        <v>-2.55839543471952</v>
      </c>
      <c r="AE345" s="17" t="n">
        <v>-0.00937062861640847</v>
      </c>
      <c r="AF345" s="17" t="n">
        <v>0.0128718624443838</v>
      </c>
      <c r="AG345" s="18" t="n">
        <f aca="false">IFERROR(100*O345/F345,"")</f>
        <v>0.0218968457216206</v>
      </c>
      <c r="AH345" s="18" t="n">
        <f aca="false">IFERROR(100*(P345+Q345)/F345,"")</f>
        <v>0.017240619907253</v>
      </c>
      <c r="AI345" s="18" t="n">
        <f aca="false">IFERROR(100*R345/K345,"")</f>
        <v>-0.0858049447673571</v>
      </c>
      <c r="AJ345" s="18" t="n">
        <f aca="false">IF(T345&gt;0,100*S345/T345,"")</f>
        <v>14.6324208046485</v>
      </c>
      <c r="AK345" s="18" t="n">
        <f aca="false">IFERROR(100*U345/G345,"")</f>
        <v>0.560264493427521</v>
      </c>
      <c r="AL345" s="18" t="n">
        <f aca="false">IFERROR(100*J345/H345,"")</f>
        <v>88.5420146788713</v>
      </c>
      <c r="AM345" s="18" t="n">
        <f aca="false">IFERROR(100*L345/J345,"")</f>
        <v>92.9281322722686</v>
      </c>
      <c r="AN345" s="18" t="n">
        <f aca="false">IFERROR(100*M345/J345,"")</f>
        <v>4.65408117793891</v>
      </c>
      <c r="AO345" s="18" t="n">
        <f aca="false">IFERROR(100*N345/J345,"")</f>
        <v>0.338056448597493</v>
      </c>
    </row>
    <row r="346" customFormat="false" ht="15" hidden="false" customHeight="false" outlineLevel="0" collapsed="false">
      <c r="A346" s="17" t="n">
        <v>17951</v>
      </c>
      <c r="B346" s="23" t="n">
        <v>45473</v>
      </c>
      <c r="C346" s="17" t="s">
        <v>136</v>
      </c>
      <c r="D346" s="17" t="s">
        <v>116</v>
      </c>
      <c r="E346" s="17" t="s">
        <v>118</v>
      </c>
      <c r="F346" s="17" t="n">
        <v>810464</v>
      </c>
      <c r="G346" s="17" t="n">
        <v>797048.666666667</v>
      </c>
      <c r="H346" s="17" t="n">
        <v>665540</v>
      </c>
      <c r="I346" s="17" t="n">
        <v>63303</v>
      </c>
      <c r="J346" s="17" t="n">
        <v>596085</v>
      </c>
      <c r="K346" s="17" t="n">
        <v>587173</v>
      </c>
      <c r="L346" s="17" t="n">
        <v>552786</v>
      </c>
      <c r="M346" s="17" t="n">
        <v>28255</v>
      </c>
      <c r="N346" s="17" t="n">
        <v>1838</v>
      </c>
      <c r="O346" s="17" t="n">
        <v>62</v>
      </c>
      <c r="P346" s="17" t="n">
        <v>1757</v>
      </c>
      <c r="Q346" s="17" t="n">
        <v>0</v>
      </c>
      <c r="R346" s="17" t="n">
        <v>-288</v>
      </c>
      <c r="S346" s="17" t="n">
        <v>82294</v>
      </c>
      <c r="T346" s="17" t="n">
        <v>562874</v>
      </c>
      <c r="U346" s="17" t="n">
        <v>3994</v>
      </c>
      <c r="V346" s="17" t="n">
        <v>0.501098636386068</v>
      </c>
      <c r="W346" s="17" t="n">
        <v>6.41</v>
      </c>
      <c r="X346" s="17" t="n">
        <v>2.46499599476084</v>
      </c>
      <c r="Y346" s="17" t="n">
        <v>0.849375508526469</v>
      </c>
      <c r="Z346" s="17" t="n">
        <v>14.6203235537616</v>
      </c>
      <c r="AA346" s="17" t="n">
        <v>7.81071090140956</v>
      </c>
      <c r="AB346" s="17" t="n">
        <v>3.13149372339681</v>
      </c>
      <c r="AC346" s="17" t="n">
        <v>7.62571093256297</v>
      </c>
      <c r="AD346" s="17" t="n">
        <v>-4.70817828164307</v>
      </c>
      <c r="AE346" s="17" t="n">
        <v>-0.0766841049618574</v>
      </c>
      <c r="AF346" s="17" t="n">
        <v>-0.000875807043209306</v>
      </c>
      <c r="AG346" s="18" t="n">
        <f aca="false">IFERROR(100*O346/F346,"")</f>
        <v>0.0076499388004896</v>
      </c>
      <c r="AH346" s="18" t="n">
        <f aca="false">IFERROR(100*(P346+Q346)/F346,"")</f>
        <v>0.2167893947171</v>
      </c>
      <c r="AI346" s="18" t="n">
        <f aca="false">IFERROR(100*R346/K346,"")</f>
        <v>-0.0490485768248881</v>
      </c>
      <c r="AJ346" s="18" t="n">
        <f aca="false">IF(T346&gt;0,100*S346/T346,"")</f>
        <v>14.6203235537616</v>
      </c>
      <c r="AK346" s="18" t="n">
        <f aca="false">IFERROR(100*U346/G346,"")</f>
        <v>0.501098636386068</v>
      </c>
      <c r="AL346" s="18" t="n">
        <f aca="false">IFERROR(100*J346/H346,"")</f>
        <v>89.5641133515642</v>
      </c>
      <c r="AM346" s="18" t="n">
        <f aca="false">IFERROR(100*L346/J346,"")</f>
        <v>92.7361030725484</v>
      </c>
      <c r="AN346" s="18" t="n">
        <f aca="false">IFERROR(100*M346/J346,"")</f>
        <v>4.74009579170756</v>
      </c>
      <c r="AO346" s="18" t="n">
        <f aca="false">IFERROR(100*N346/J346,"")</f>
        <v>0.308345286326615</v>
      </c>
    </row>
    <row r="347" customFormat="false" ht="15" hidden="false" customHeight="false" outlineLevel="0" collapsed="false">
      <c r="A347" s="17" t="n">
        <v>17951</v>
      </c>
      <c r="B347" s="23" t="n">
        <v>45565</v>
      </c>
      <c r="C347" s="17" t="s">
        <v>136</v>
      </c>
      <c r="D347" s="17" t="s">
        <v>116</v>
      </c>
      <c r="E347" s="17" t="s">
        <v>118</v>
      </c>
      <c r="F347" s="17" t="n">
        <v>819978</v>
      </c>
      <c r="G347" s="17" t="n">
        <v>802781</v>
      </c>
      <c r="H347" s="17" t="n">
        <v>688357</v>
      </c>
      <c r="I347" s="17" t="n">
        <v>67870</v>
      </c>
      <c r="J347" s="17" t="n">
        <v>599913</v>
      </c>
      <c r="K347" s="17" t="n">
        <v>590358</v>
      </c>
      <c r="L347" s="17" t="n">
        <v>550875</v>
      </c>
      <c r="M347" s="17" t="n">
        <v>30902</v>
      </c>
      <c r="N347" s="17" t="n">
        <v>1766</v>
      </c>
      <c r="O347" s="17" t="n">
        <v>61</v>
      </c>
      <c r="P347" s="17" t="n">
        <v>540</v>
      </c>
      <c r="Q347" s="17" t="n">
        <v>0</v>
      </c>
      <c r="R347" s="17" t="n">
        <v>-187.9953</v>
      </c>
      <c r="S347" s="17" t="n">
        <v>83103</v>
      </c>
      <c r="T347" s="17" t="n">
        <v>571308</v>
      </c>
      <c r="U347" s="17" t="n">
        <v>4102.5641</v>
      </c>
      <c r="V347" s="17" t="n">
        <v>0.511043995809567</v>
      </c>
      <c r="W347" s="17" t="n">
        <v>6.44</v>
      </c>
      <c r="X347" s="17" t="n">
        <v>2.48058120647071</v>
      </c>
      <c r="Y347" s="17" t="n">
        <v>0.849789886200166</v>
      </c>
      <c r="Z347" s="17" t="n">
        <v>14.5460942258817</v>
      </c>
      <c r="AA347" s="17" t="n">
        <v>8.27705133552364</v>
      </c>
      <c r="AB347" s="17" t="n">
        <v>5.8869561848681</v>
      </c>
      <c r="AC347" s="17" t="n">
        <v>6.25319912788895</v>
      </c>
      <c r="AD347" s="17" t="n">
        <v>0.22889259375205</v>
      </c>
      <c r="AE347" s="17" t="n">
        <v>-0.0839034372287237</v>
      </c>
      <c r="AF347" s="17" t="n">
        <v>-0.0156757439310462</v>
      </c>
      <c r="AG347" s="18" t="n">
        <f aca="false">IFERROR(100*O347/F347,"")</f>
        <v>0.00743922397917993</v>
      </c>
      <c r="AH347" s="18" t="n">
        <f aca="false">IFERROR(100*(P347+Q347)/F347,"")</f>
        <v>0.0658554253894617</v>
      </c>
      <c r="AI347" s="18" t="n">
        <f aca="false">IFERROR(100*R347/K347,"")</f>
        <v>-0.0318442877033935</v>
      </c>
      <c r="AJ347" s="18" t="n">
        <f aca="false">IF(T347&gt;0,100*S347/T347,"")</f>
        <v>14.5460942258817</v>
      </c>
      <c r="AK347" s="18" t="n">
        <f aca="false">IFERROR(100*U347/G347,"")</f>
        <v>0.511043995809567</v>
      </c>
      <c r="AL347" s="18" t="n">
        <f aca="false">IFERROR(100*J347/H347,"")</f>
        <v>87.1514345027362</v>
      </c>
      <c r="AM347" s="18" t="n">
        <f aca="false">IFERROR(100*L347/J347,"")</f>
        <v>91.8258147431378</v>
      </c>
      <c r="AN347" s="18" t="n">
        <f aca="false">IFERROR(100*M347/J347,"")</f>
        <v>5.15108023996813</v>
      </c>
      <c r="AO347" s="18" t="n">
        <f aca="false">IFERROR(100*N347/J347,"")</f>
        <v>0.294376017855922</v>
      </c>
    </row>
    <row r="348" customFormat="false" ht="15" hidden="false" customHeight="false" outlineLevel="0" collapsed="false">
      <c r="A348" s="17" t="n">
        <v>17951</v>
      </c>
      <c r="B348" s="23" t="n">
        <v>45657</v>
      </c>
      <c r="C348" s="17" t="s">
        <v>136</v>
      </c>
      <c r="D348" s="17" t="s">
        <v>116</v>
      </c>
      <c r="E348" s="17" t="s">
        <v>118</v>
      </c>
      <c r="F348" s="17" t="n">
        <v>821983</v>
      </c>
      <c r="G348" s="17" t="n">
        <v>806621.4</v>
      </c>
      <c r="H348" s="17" t="n">
        <v>701106</v>
      </c>
      <c r="I348" s="17" t="n">
        <v>65761</v>
      </c>
      <c r="J348" s="17" t="n">
        <v>617817</v>
      </c>
      <c r="K348" s="17" t="n">
        <v>595849.8</v>
      </c>
      <c r="L348" s="17" t="n">
        <v>567751</v>
      </c>
      <c r="M348" s="17" t="n">
        <v>30638</v>
      </c>
      <c r="N348" s="17" t="n">
        <v>1633</v>
      </c>
      <c r="O348" s="17" t="n">
        <v>60</v>
      </c>
      <c r="P348" s="17" t="n">
        <v>75</v>
      </c>
      <c r="Q348" s="17" t="n">
        <v>0</v>
      </c>
      <c r="R348" s="17" t="n">
        <v>-145</v>
      </c>
      <c r="S348" s="17" t="n">
        <v>84290</v>
      </c>
      <c r="T348" s="17" t="n">
        <v>595840</v>
      </c>
      <c r="U348" s="17" t="n">
        <v>3924</v>
      </c>
      <c r="V348" s="17" t="n">
        <v>0.486473579798404</v>
      </c>
      <c r="W348" s="17" t="n">
        <v>6.12</v>
      </c>
      <c r="X348" s="17" t="n">
        <v>2.52070855980255</v>
      </c>
      <c r="Y348" s="17" t="n">
        <v>0.843453644040226</v>
      </c>
      <c r="Z348" s="17" t="n">
        <v>14.1464151450054</v>
      </c>
      <c r="AA348" s="17" t="n">
        <v>8.00028711056068</v>
      </c>
      <c r="AB348" s="17" t="n">
        <v>4.57173680454222</v>
      </c>
      <c r="AC348" s="17" t="n">
        <v>6.5692310080675</v>
      </c>
      <c r="AD348" s="17" t="n">
        <v>4.96290174801932</v>
      </c>
      <c r="AE348" s="17" t="n">
        <v>-0.102782613412371</v>
      </c>
      <c r="AF348" s="17" t="n">
        <v>-0.0149638787429848</v>
      </c>
      <c r="AG348" s="18" t="n">
        <f aca="false">IFERROR(100*O348/F348,"")</f>
        <v>0.00729942103425497</v>
      </c>
      <c r="AH348" s="18" t="n">
        <f aca="false">IFERROR(100*(P348+Q348)/F348,"")</f>
        <v>0.00912427629281871</v>
      </c>
      <c r="AI348" s="18" t="n">
        <f aca="false">IFERROR(100*R348/K348,"")</f>
        <v>-0.0243349918049817</v>
      </c>
      <c r="AJ348" s="18" t="n">
        <f aca="false">IF(T348&gt;0,100*S348/T348,"")</f>
        <v>14.1464151450054</v>
      </c>
      <c r="AK348" s="18" t="n">
        <f aca="false">IFERROR(100*U348/G348,"")</f>
        <v>0.486473579798404</v>
      </c>
      <c r="AL348" s="18" t="n">
        <f aca="false">IFERROR(100*J348/H348,"")</f>
        <v>88.1203412893343</v>
      </c>
      <c r="AM348" s="18" t="n">
        <f aca="false">IFERROR(100*L348/J348,"")</f>
        <v>91.8963058640342</v>
      </c>
      <c r="AN348" s="18" t="n">
        <f aca="false">IFERROR(100*M348/J348,"")</f>
        <v>4.95907364154758</v>
      </c>
      <c r="AO348" s="18" t="n">
        <f aca="false">IFERROR(100*N348/J348,"")</f>
        <v>0.264317751049259</v>
      </c>
    </row>
    <row r="349" customFormat="false" ht="15" hidden="false" customHeight="false" outlineLevel="0" collapsed="false">
      <c r="A349" s="17" t="n">
        <v>17951</v>
      </c>
      <c r="B349" s="23" t="n">
        <v>45747</v>
      </c>
      <c r="C349" s="17" t="s">
        <v>136</v>
      </c>
      <c r="D349" s="17" t="s">
        <v>116</v>
      </c>
      <c r="E349" s="17" t="s">
        <v>118</v>
      </c>
      <c r="F349" s="17" t="n">
        <v>856737</v>
      </c>
      <c r="G349" s="17" t="n">
        <v>839360</v>
      </c>
      <c r="H349" s="17" t="n">
        <v>714191</v>
      </c>
      <c r="I349" s="17" t="n">
        <v>68926</v>
      </c>
      <c r="J349" s="17" t="n">
        <v>656065</v>
      </c>
      <c r="K349" s="17" t="n">
        <v>636941</v>
      </c>
      <c r="L349" s="17" t="n">
        <v>602633</v>
      </c>
      <c r="M349" s="17" t="n">
        <v>35790</v>
      </c>
      <c r="N349" s="17" t="n">
        <v>1548</v>
      </c>
      <c r="O349" s="17" t="n">
        <v>152</v>
      </c>
      <c r="P349" s="17" t="n">
        <v>25</v>
      </c>
      <c r="Q349" s="17" t="n">
        <v>0</v>
      </c>
      <c r="R349" s="17" t="n">
        <v>8</v>
      </c>
      <c r="S349" s="17" t="n">
        <v>85580</v>
      </c>
      <c r="T349" s="17" t="n">
        <v>632847</v>
      </c>
      <c r="U349" s="17" t="n">
        <v>4784</v>
      </c>
      <c r="V349" s="17" t="n">
        <v>0.569958063286313</v>
      </c>
      <c r="W349" s="17" t="n">
        <v>7.1</v>
      </c>
      <c r="X349" s="17" t="n">
        <v>2.69304314129075</v>
      </c>
      <c r="Y349" s="17" t="n">
        <v>0.834978241485219</v>
      </c>
      <c r="Z349" s="17" t="n">
        <v>13.5230158316307</v>
      </c>
      <c r="AA349" s="17" t="n">
        <v>8.04517605752991</v>
      </c>
      <c r="AB349" s="17" t="n">
        <v>7.81516041956369</v>
      </c>
      <c r="AC349" s="17" t="n">
        <v>12.0136383581384</v>
      </c>
      <c r="AD349" s="17" t="n">
        <v>7.9661977792727</v>
      </c>
      <c r="AE349" s="17" t="n">
        <v>0.00969356985879288</v>
      </c>
      <c r="AF349" s="17" t="n">
        <v>-0.00415511167721726</v>
      </c>
      <c r="AG349" s="18" t="n">
        <f aca="false">IFERROR(100*O349/F349,"")</f>
        <v>0.0177417340444034</v>
      </c>
      <c r="AH349" s="18" t="n">
        <f aca="false">IFERROR(100*(P349+Q349)/F349,"")</f>
        <v>0.00291804836256634</v>
      </c>
      <c r="AI349" s="18" t="n">
        <f aca="false">IFERROR(100*R349/K349,"")</f>
        <v>0.00125600330328869</v>
      </c>
      <c r="AJ349" s="18" t="n">
        <f aca="false">IF(T349&gt;0,100*S349/T349,"")</f>
        <v>13.5230158316307</v>
      </c>
      <c r="AK349" s="18" t="n">
        <f aca="false">IFERROR(100*U349/G349,"")</f>
        <v>0.569958063286313</v>
      </c>
      <c r="AL349" s="18" t="n">
        <f aca="false">IFERROR(100*J349/H349,"")</f>
        <v>91.8612808058349</v>
      </c>
      <c r="AM349" s="18" t="n">
        <f aca="false">IFERROR(100*L349/J349,"")</f>
        <v>91.8556850312088</v>
      </c>
      <c r="AN349" s="18" t="n">
        <f aca="false">IFERROR(100*M349/J349,"")</f>
        <v>5.45525214727199</v>
      </c>
      <c r="AO349" s="18" t="n">
        <f aca="false">IFERROR(100*N349/J349,"")</f>
        <v>0.23595223034303</v>
      </c>
    </row>
    <row r="350" customFormat="false" ht="15" hidden="false" customHeight="false" outlineLevel="0" collapsed="false">
      <c r="A350" s="17" t="n">
        <v>17951</v>
      </c>
      <c r="B350" s="23" t="n">
        <v>45838</v>
      </c>
      <c r="C350" s="17" t="s">
        <v>136</v>
      </c>
      <c r="D350" s="17" t="s">
        <v>116</v>
      </c>
      <c r="E350" s="17" t="s">
        <v>118</v>
      </c>
      <c r="F350" s="17" t="n">
        <v>905293</v>
      </c>
      <c r="G350" s="17" t="n">
        <v>861337.666666667</v>
      </c>
      <c r="H350" s="17" t="n">
        <v>747263</v>
      </c>
      <c r="I350" s="17" t="n">
        <v>70680</v>
      </c>
      <c r="J350" s="17" t="n">
        <v>694645</v>
      </c>
      <c r="K350" s="17" t="n">
        <v>656175.666666667</v>
      </c>
      <c r="L350" s="17" t="n">
        <v>636895</v>
      </c>
      <c r="M350" s="17" t="n">
        <v>39465</v>
      </c>
      <c r="N350" s="17" t="n">
        <v>1480</v>
      </c>
      <c r="O350" s="17" t="n">
        <v>150</v>
      </c>
      <c r="P350" s="17" t="n">
        <v>1481</v>
      </c>
      <c r="Q350" s="17" t="n">
        <v>0</v>
      </c>
      <c r="R350" s="17" t="n">
        <v>-4</v>
      </c>
      <c r="S350" s="17" t="n">
        <v>87411</v>
      </c>
      <c r="T350" s="17" t="n">
        <v>667552</v>
      </c>
      <c r="U350" s="17" t="n">
        <v>5576</v>
      </c>
      <c r="V350" s="17" t="n">
        <v>0.647365164184546</v>
      </c>
      <c r="W350" s="17" t="n">
        <v>8.15</v>
      </c>
      <c r="X350" s="17" t="n">
        <v>2.79825775230603</v>
      </c>
      <c r="Y350" s="17" t="n">
        <v>0.828192817914186</v>
      </c>
      <c r="Z350" s="17" t="n">
        <v>13.0942608216289</v>
      </c>
      <c r="AA350" s="17" t="n">
        <v>7.80741704619388</v>
      </c>
      <c r="AB350" s="17" t="n">
        <v>11.7005813953488</v>
      </c>
      <c r="AC350" s="17" t="n">
        <v>16.5345546356644</v>
      </c>
      <c r="AD350" s="17" t="n">
        <v>12.2792018511284</v>
      </c>
      <c r="AE350" s="17" t="n">
        <v>0.146266527798478</v>
      </c>
      <c r="AF350" s="17" t="n">
        <v>0.00891928243506619</v>
      </c>
      <c r="AG350" s="18" t="n">
        <f aca="false">IFERROR(100*O350/F350,"")</f>
        <v>0.0165692212355558</v>
      </c>
      <c r="AH350" s="18" t="n">
        <f aca="false">IFERROR(100*(P350+Q350)/F350,"")</f>
        <v>0.163593444332387</v>
      </c>
      <c r="AI350" s="18" t="n">
        <f aca="false">IFERROR(100*R350/K350,"")</f>
        <v>-0.000609592858010076</v>
      </c>
      <c r="AJ350" s="18" t="n">
        <f aca="false">IF(T350&gt;0,100*S350/T350,"")</f>
        <v>13.0942608216289</v>
      </c>
      <c r="AK350" s="18" t="n">
        <f aca="false">IFERROR(100*U350/G350,"")</f>
        <v>0.647365164184546</v>
      </c>
      <c r="AL350" s="18" t="n">
        <f aca="false">IFERROR(100*J350/H350,"")</f>
        <v>92.9585701419714</v>
      </c>
      <c r="AM350" s="18" t="n">
        <f aca="false">IFERROR(100*L350/J350,"")</f>
        <v>91.6864009674006</v>
      </c>
      <c r="AN350" s="18" t="n">
        <f aca="false">IFERROR(100*M350/J350,"")</f>
        <v>5.68131923500493</v>
      </c>
      <c r="AO350" s="18" t="n">
        <f aca="false">IFERROR(100*N350/J350,"")</f>
        <v>0.213058468714235</v>
      </c>
    </row>
    <row r="351" customFormat="false" ht="15" hidden="false" customHeight="false" outlineLevel="0" collapsed="false">
      <c r="A351" s="17" t="n">
        <v>17960</v>
      </c>
      <c r="B351" s="23" t="n">
        <v>44651</v>
      </c>
      <c r="C351" s="17" t="s">
        <v>115</v>
      </c>
      <c r="D351" s="17" t="s">
        <v>116</v>
      </c>
      <c r="E351" s="17" t="s">
        <v>114</v>
      </c>
      <c r="F351" s="17" t="n">
        <v>1150436</v>
      </c>
      <c r="G351" s="17" t="n">
        <v>1157194</v>
      </c>
      <c r="H351" s="17" t="n">
        <v>962644</v>
      </c>
      <c r="I351" s="17" t="n">
        <v>107341</v>
      </c>
      <c r="J351" s="17" t="n">
        <v>940745</v>
      </c>
      <c r="K351" s="17" t="n">
        <v>928645</v>
      </c>
      <c r="L351" s="17" t="n">
        <v>701328</v>
      </c>
      <c r="M351" s="17" t="n">
        <v>96589</v>
      </c>
      <c r="N351" s="17" t="n">
        <v>142477</v>
      </c>
      <c r="O351" s="17" t="n">
        <v>462</v>
      </c>
      <c r="P351" s="17" t="n">
        <v>1292</v>
      </c>
      <c r="Q351" s="17" t="n">
        <v>0</v>
      </c>
      <c r="R351" s="17" t="n">
        <v>28</v>
      </c>
      <c r="S351" s="17" t="n">
        <v>122928</v>
      </c>
      <c r="T351" s="17" t="n">
        <v>851368</v>
      </c>
      <c r="U351" s="17" t="n">
        <v>9640</v>
      </c>
      <c r="V351" s="17" t="n">
        <v>0.833049601017634</v>
      </c>
      <c r="W351" s="17" t="n">
        <v>8.77</v>
      </c>
      <c r="X351" s="17" t="n">
        <v>3.59463940740848</v>
      </c>
      <c r="Y351" s="17" t="n">
        <v>1.01419619556841</v>
      </c>
      <c r="Z351" s="17" t="n">
        <v>14.4388795444508</v>
      </c>
      <c r="AA351" s="17" t="n">
        <v>9.33046253768137</v>
      </c>
      <c r="AB351" s="17"/>
      <c r="AC351" s="17"/>
      <c r="AD351" s="17"/>
      <c r="AE351" s="17"/>
      <c r="AF351" s="17"/>
      <c r="AG351" s="18" t="n">
        <f aca="false">IFERROR(100*O351/F351,"")</f>
        <v>0.0401586876627644</v>
      </c>
      <c r="AH351" s="18" t="n">
        <f aca="false">IFERROR(100*(P351+Q351)/F351,"")</f>
        <v>0.112305247749549</v>
      </c>
      <c r="AI351" s="18" t="n">
        <f aca="false">IFERROR(100*R351/K351,"")</f>
        <v>0.00301514572306963</v>
      </c>
      <c r="AJ351" s="18" t="n">
        <f aca="false">IF(T351&gt;0,100*S351/T351,"")</f>
        <v>14.4388795444508</v>
      </c>
      <c r="AK351" s="18" t="n">
        <f aca="false">IFERROR(100*U351/G351,"")</f>
        <v>0.833049601017634</v>
      </c>
      <c r="AL351" s="18" t="n">
        <f aca="false">IFERROR(100*J351/H351,"")</f>
        <v>97.7251195665272</v>
      </c>
      <c r="AM351" s="18" t="n">
        <f aca="false">IFERROR(100*L351/J351,"")</f>
        <v>74.5502766424483</v>
      </c>
      <c r="AN351" s="18" t="n">
        <f aca="false">IFERROR(100*M351/J351,"")</f>
        <v>10.2672881599158</v>
      </c>
      <c r="AO351" s="18" t="n">
        <f aca="false">IFERROR(100*N351/J351,"")</f>
        <v>15.145124342941</v>
      </c>
    </row>
    <row r="352" customFormat="false" ht="15" hidden="false" customHeight="false" outlineLevel="0" collapsed="false">
      <c r="A352" s="17" t="n">
        <v>17960</v>
      </c>
      <c r="B352" s="23" t="n">
        <v>44742</v>
      </c>
      <c r="C352" s="17" t="s">
        <v>115</v>
      </c>
      <c r="D352" s="17" t="s">
        <v>116</v>
      </c>
      <c r="E352" s="17" t="s">
        <v>114</v>
      </c>
      <c r="F352" s="17" t="n">
        <v>1230052</v>
      </c>
      <c r="G352" s="17" t="n">
        <v>1181480</v>
      </c>
      <c r="H352" s="17" t="n">
        <v>1013410</v>
      </c>
      <c r="I352" s="17" t="n">
        <v>104397</v>
      </c>
      <c r="J352" s="17" t="n">
        <v>1010760</v>
      </c>
      <c r="K352" s="17" t="n">
        <v>956016.666666667</v>
      </c>
      <c r="L352" s="17" t="n">
        <v>739326</v>
      </c>
      <c r="M352" s="17" t="n">
        <v>101427</v>
      </c>
      <c r="N352" s="17" t="n">
        <v>165699</v>
      </c>
      <c r="O352" s="17" t="n">
        <v>789</v>
      </c>
      <c r="P352" s="17" t="n">
        <v>818</v>
      </c>
      <c r="Q352" s="17" t="n">
        <v>31</v>
      </c>
      <c r="R352" s="17" t="n">
        <v>16</v>
      </c>
      <c r="S352" s="17" t="n">
        <v>125753</v>
      </c>
      <c r="T352" s="17" t="n">
        <v>929399</v>
      </c>
      <c r="U352" s="17" t="n">
        <v>9342</v>
      </c>
      <c r="V352" s="17" t="n">
        <v>0.790703185834716</v>
      </c>
      <c r="W352" s="17" t="n">
        <v>8.65</v>
      </c>
      <c r="X352" s="17" t="n">
        <v>3.61237032710627</v>
      </c>
      <c r="Y352" s="17" t="n">
        <v>0.987079029641062</v>
      </c>
      <c r="Z352" s="17" t="n">
        <v>13.5305719072218</v>
      </c>
      <c r="AA352" s="17" t="n">
        <v>8.48720216706286</v>
      </c>
      <c r="AB352" s="17"/>
      <c r="AC352" s="17"/>
      <c r="AD352" s="17"/>
      <c r="AE352" s="17"/>
      <c r="AF352" s="17"/>
      <c r="AG352" s="18" t="n">
        <f aca="false">IFERROR(100*O352/F352,"")</f>
        <v>0.0641436297002078</v>
      </c>
      <c r="AH352" s="18" t="n">
        <f aca="false">IFERROR(100*(P352+Q352)/F352,"")</f>
        <v>0.0690214722629612</v>
      </c>
      <c r="AI352" s="18" t="n">
        <f aca="false">IFERROR(100*R352/K352,"")</f>
        <v>0.0016736109900455</v>
      </c>
      <c r="AJ352" s="18" t="n">
        <f aca="false">IF(T352&gt;0,100*S352/T352,"")</f>
        <v>13.5305719072218</v>
      </c>
      <c r="AK352" s="18" t="n">
        <f aca="false">IFERROR(100*U352/G352,"")</f>
        <v>0.790703185834716</v>
      </c>
      <c r="AL352" s="18" t="n">
        <f aca="false">IFERROR(100*J352/H352,"")</f>
        <v>99.7385066261434</v>
      </c>
      <c r="AM352" s="18" t="n">
        <f aca="false">IFERROR(100*L352/J352,"")</f>
        <v>73.1455538406743</v>
      </c>
      <c r="AN352" s="18" t="n">
        <f aca="false">IFERROR(100*M352/J352,"")</f>
        <v>10.0347263445328</v>
      </c>
      <c r="AO352" s="18" t="n">
        <f aca="false">IFERROR(100*N352/J352,"")</f>
        <v>16.393505876766</v>
      </c>
    </row>
    <row r="353" customFormat="false" ht="15" hidden="false" customHeight="false" outlineLevel="0" collapsed="false">
      <c r="A353" s="17" t="n">
        <v>17960</v>
      </c>
      <c r="B353" s="23" t="n">
        <v>44834</v>
      </c>
      <c r="C353" s="17" t="s">
        <v>115</v>
      </c>
      <c r="D353" s="17" t="s">
        <v>116</v>
      </c>
      <c r="E353" s="17" t="s">
        <v>114</v>
      </c>
      <c r="F353" s="17" t="n">
        <v>1278487</v>
      </c>
      <c r="G353" s="17" t="n">
        <v>1205731.75</v>
      </c>
      <c r="H353" s="17" t="n">
        <v>1016704</v>
      </c>
      <c r="I353" s="17" t="n">
        <v>101209</v>
      </c>
      <c r="J353" s="17" t="n">
        <v>1082576</v>
      </c>
      <c r="K353" s="17" t="n">
        <v>987656.5</v>
      </c>
      <c r="L353" s="17" t="n">
        <v>781834</v>
      </c>
      <c r="M353" s="17" t="n">
        <v>109964</v>
      </c>
      <c r="N353" s="17" t="n">
        <v>186516</v>
      </c>
      <c r="O353" s="17" t="n">
        <v>699</v>
      </c>
      <c r="P353" s="17" t="n">
        <v>1090</v>
      </c>
      <c r="Q353" s="17" t="n">
        <v>73</v>
      </c>
      <c r="R353" s="17" t="n">
        <v>17.3329</v>
      </c>
      <c r="S353" s="17" t="n">
        <v>128986</v>
      </c>
      <c r="T353" s="17" t="n">
        <v>997636</v>
      </c>
      <c r="U353" s="17" t="n">
        <v>9790.4219</v>
      </c>
      <c r="V353" s="17" t="n">
        <v>0.811990055001869</v>
      </c>
      <c r="W353" s="17" t="n">
        <v>9.21</v>
      </c>
      <c r="X353" s="17" t="n">
        <v>3.60711263159524</v>
      </c>
      <c r="Y353" s="17" t="n">
        <v>0.961595306010848</v>
      </c>
      <c r="Z353" s="17" t="n">
        <v>12.9291645449843</v>
      </c>
      <c r="AA353" s="17" t="n">
        <v>7.91631045133818</v>
      </c>
      <c r="AB353" s="17"/>
      <c r="AC353" s="17"/>
      <c r="AD353" s="17"/>
      <c r="AE353" s="17"/>
      <c r="AF353" s="17"/>
      <c r="AG353" s="18" t="n">
        <f aca="false">IFERROR(100*O353/F353,"")</f>
        <v>0.0546740013781916</v>
      </c>
      <c r="AH353" s="18" t="n">
        <f aca="false">IFERROR(100*(P353+Q353)/F353,"")</f>
        <v>0.0909669007193659</v>
      </c>
      <c r="AI353" s="18" t="n">
        <f aca="false">IFERROR(100*R353/K353,"")</f>
        <v>0.00175495225313659</v>
      </c>
      <c r="AJ353" s="18" t="n">
        <f aca="false">IF(T353&gt;0,100*S353/T353,"")</f>
        <v>12.9291645449843</v>
      </c>
      <c r="AK353" s="18" t="n">
        <f aca="false">IFERROR(100*U353/G353,"")</f>
        <v>0.811990055001869</v>
      </c>
      <c r="AL353" s="18" t="n">
        <f aca="false">IFERROR(100*J353/H353,"")</f>
        <v>106.478975198288</v>
      </c>
      <c r="AM353" s="18" t="n">
        <f aca="false">IFERROR(100*L353/J353,"")</f>
        <v>72.2197794889227</v>
      </c>
      <c r="AN353" s="18" t="n">
        <f aca="false">IFERROR(100*M353/J353,"")</f>
        <v>10.157624037481</v>
      </c>
      <c r="AO353" s="18" t="n">
        <f aca="false">IFERROR(100*N353/J353,"")</f>
        <v>17.2289058689644</v>
      </c>
    </row>
    <row r="354" customFormat="false" ht="15" hidden="false" customHeight="false" outlineLevel="0" collapsed="false">
      <c r="A354" s="17" t="n">
        <v>17960</v>
      </c>
      <c r="B354" s="23" t="n">
        <v>44926</v>
      </c>
      <c r="C354" s="17" t="s">
        <v>115</v>
      </c>
      <c r="D354" s="17" t="s">
        <v>116</v>
      </c>
      <c r="E354" s="17" t="s">
        <v>114</v>
      </c>
      <c r="F354" s="17" t="n">
        <v>1317746</v>
      </c>
      <c r="G354" s="17" t="n">
        <v>1228134.6</v>
      </c>
      <c r="H354" s="17" t="n">
        <v>1042080</v>
      </c>
      <c r="I354" s="17" t="n">
        <v>104375</v>
      </c>
      <c r="J354" s="17" t="n">
        <v>1117900</v>
      </c>
      <c r="K354" s="17" t="n">
        <v>1013705.2</v>
      </c>
      <c r="L354" s="17" t="n">
        <v>810216</v>
      </c>
      <c r="M354" s="17" t="n">
        <v>105990</v>
      </c>
      <c r="N354" s="17" t="n">
        <v>197482</v>
      </c>
      <c r="O354" s="17" t="n">
        <v>789</v>
      </c>
      <c r="P354" s="17" t="n">
        <v>2173</v>
      </c>
      <c r="Q354" s="17" t="n">
        <v>901</v>
      </c>
      <c r="R354" s="17" t="n">
        <v>58</v>
      </c>
      <c r="S354" s="17" t="n">
        <v>131525</v>
      </c>
      <c r="T354" s="17" t="n">
        <v>1032146</v>
      </c>
      <c r="U354" s="17" t="n">
        <v>9427</v>
      </c>
      <c r="V354" s="17" t="n">
        <v>0.767586875249667</v>
      </c>
      <c r="W354" s="17" t="n">
        <v>8.9</v>
      </c>
      <c r="X354" s="17" t="n">
        <v>3.52927271699529</v>
      </c>
      <c r="Y354" s="17" t="n">
        <v>0.959567045352894</v>
      </c>
      <c r="Z354" s="17" t="n">
        <v>12.7428677725826</v>
      </c>
      <c r="AA354" s="17" t="n">
        <v>7.92072220291316</v>
      </c>
      <c r="AB354" s="17"/>
      <c r="AC354" s="17"/>
      <c r="AD354" s="17"/>
      <c r="AE354" s="17"/>
      <c r="AF354" s="17"/>
      <c r="AG354" s="18" t="n">
        <f aca="false">IFERROR(100*O354/F354,"")</f>
        <v>0.0598749683171112</v>
      </c>
      <c r="AH354" s="18" t="n">
        <f aca="false">IFERROR(100*(P354+Q354)/F354,"")</f>
        <v>0.23327712624436</v>
      </c>
      <c r="AI354" s="18" t="n">
        <f aca="false">IFERROR(100*R354/K354,"")</f>
        <v>0.00572158453956831</v>
      </c>
      <c r="AJ354" s="18" t="n">
        <f aca="false">IF(T354&gt;0,100*S354/T354,"")</f>
        <v>12.7428677725826</v>
      </c>
      <c r="AK354" s="18" t="n">
        <f aca="false">IFERROR(100*U354/G354,"")</f>
        <v>0.767586875249667</v>
      </c>
      <c r="AL354" s="18" t="n">
        <f aca="false">IFERROR(100*J354/H354,"")</f>
        <v>107.275832949486</v>
      </c>
      <c r="AM354" s="18" t="n">
        <f aca="false">IFERROR(100*L354/J354,"")</f>
        <v>72.4766079255747</v>
      </c>
      <c r="AN354" s="18" t="n">
        <f aca="false">IFERROR(100*M354/J354,"")</f>
        <v>9.48117005098846</v>
      </c>
      <c r="AO354" s="18" t="n">
        <f aca="false">IFERROR(100*N354/J354,"")</f>
        <v>17.665444136327</v>
      </c>
    </row>
    <row r="355" customFormat="false" ht="15" hidden="false" customHeight="false" outlineLevel="0" collapsed="false">
      <c r="A355" s="17" t="n">
        <v>17960</v>
      </c>
      <c r="B355" s="23" t="n">
        <v>45016</v>
      </c>
      <c r="C355" s="17" t="s">
        <v>115</v>
      </c>
      <c r="D355" s="17" t="s">
        <v>116</v>
      </c>
      <c r="E355" s="17" t="s">
        <v>114</v>
      </c>
      <c r="F355" s="17" t="n">
        <v>1332758</v>
      </c>
      <c r="G355" s="17" t="n">
        <v>1325252</v>
      </c>
      <c r="H355" s="17" t="n">
        <v>1015763</v>
      </c>
      <c r="I355" s="17" t="n">
        <v>107964</v>
      </c>
      <c r="J355" s="17" t="n">
        <v>1141207</v>
      </c>
      <c r="K355" s="17" t="n">
        <v>1129553.5</v>
      </c>
      <c r="L355" s="17" t="n">
        <v>821435</v>
      </c>
      <c r="M355" s="17" t="n">
        <v>113261</v>
      </c>
      <c r="N355" s="17" t="n">
        <v>202345</v>
      </c>
      <c r="O355" s="17" t="n">
        <v>821</v>
      </c>
      <c r="P355" s="17" t="n">
        <v>2222</v>
      </c>
      <c r="Q355" s="17" t="n">
        <v>0</v>
      </c>
      <c r="R355" s="17" t="n">
        <v>92</v>
      </c>
      <c r="S355" s="17" t="n">
        <v>133979</v>
      </c>
      <c r="T355" s="17" t="n">
        <v>1040683</v>
      </c>
      <c r="U355" s="17" t="n">
        <v>7368</v>
      </c>
      <c r="V355" s="17" t="n">
        <v>0.555969732548979</v>
      </c>
      <c r="W355" s="17" t="n">
        <v>6.94</v>
      </c>
      <c r="X355" s="17" t="n">
        <v>2.98488627502336</v>
      </c>
      <c r="Y355" s="17" t="n">
        <v>1.00034437223045</v>
      </c>
      <c r="Z355" s="17" t="n">
        <v>12.874141309121</v>
      </c>
      <c r="AA355" s="17" t="n">
        <v>8.10079549325534</v>
      </c>
      <c r="AB355" s="17" t="n">
        <v>15.8480784676418</v>
      </c>
      <c r="AC355" s="17" t="n">
        <v>21.3088562788003</v>
      </c>
      <c r="AD355" s="17" t="n">
        <v>5.51803158800137</v>
      </c>
      <c r="AE355" s="17" t="n">
        <v>-0.277079868468655</v>
      </c>
      <c r="AF355" s="17" t="n">
        <v>0.0214428934194726</v>
      </c>
      <c r="AG355" s="18" t="n">
        <f aca="false">IFERROR(100*O355/F355,"")</f>
        <v>0.061601581082237</v>
      </c>
      <c r="AH355" s="18" t="n">
        <f aca="false">IFERROR(100*(P355+Q355)/F355,"")</f>
        <v>0.166721940517333</v>
      </c>
      <c r="AI355" s="18" t="n">
        <f aca="false">IFERROR(100*R355/K355,"")</f>
        <v>0.00814481120194838</v>
      </c>
      <c r="AJ355" s="18" t="n">
        <f aca="false">IF(T355&gt;0,100*S355/T355,"")</f>
        <v>12.874141309121</v>
      </c>
      <c r="AK355" s="18" t="n">
        <f aca="false">IFERROR(100*U355/G355,"")</f>
        <v>0.555969732548979</v>
      </c>
      <c r="AL355" s="18" t="n">
        <f aca="false">IFERROR(100*J355/H355,"")</f>
        <v>112.349731187295</v>
      </c>
      <c r="AM355" s="18" t="n">
        <f aca="false">IFERROR(100*L355/J355,"")</f>
        <v>71.979491888851</v>
      </c>
      <c r="AN355" s="18" t="n">
        <f aca="false">IFERROR(100*M355/J355,"")</f>
        <v>9.92466747925661</v>
      </c>
      <c r="AO355" s="18" t="n">
        <f aca="false">IFERROR(100*N355/J355,"")</f>
        <v>17.7307885423065</v>
      </c>
    </row>
    <row r="356" customFormat="false" ht="15" hidden="false" customHeight="false" outlineLevel="0" collapsed="false">
      <c r="A356" s="17" t="n">
        <v>17960</v>
      </c>
      <c r="B356" s="23" t="n">
        <v>45107</v>
      </c>
      <c r="C356" s="17" t="s">
        <v>115</v>
      </c>
      <c r="D356" s="17" t="s">
        <v>116</v>
      </c>
      <c r="E356" s="17" t="s">
        <v>114</v>
      </c>
      <c r="F356" s="17" t="n">
        <v>1355202</v>
      </c>
      <c r="G356" s="17" t="n">
        <v>1335235.33333333</v>
      </c>
      <c r="H356" s="17" t="n">
        <v>1044918</v>
      </c>
      <c r="I356" s="17" t="n">
        <v>108306</v>
      </c>
      <c r="J356" s="17" t="n">
        <v>1162537</v>
      </c>
      <c r="K356" s="17" t="n">
        <v>1140548</v>
      </c>
      <c r="L356" s="17" t="n">
        <v>827985</v>
      </c>
      <c r="M356" s="17" t="n">
        <v>111328</v>
      </c>
      <c r="N356" s="17" t="n">
        <v>219108</v>
      </c>
      <c r="O356" s="17" t="n">
        <v>8464</v>
      </c>
      <c r="P356" s="17" t="n">
        <v>2045</v>
      </c>
      <c r="Q356" s="17" t="n">
        <v>0</v>
      </c>
      <c r="R356" s="17" t="n">
        <v>78</v>
      </c>
      <c r="S356" s="17" t="n">
        <v>135410</v>
      </c>
      <c r="T356" s="17" t="n">
        <v>1063195</v>
      </c>
      <c r="U356" s="17" t="n">
        <v>6376</v>
      </c>
      <c r="V356" s="17" t="n">
        <v>0.47751881940412</v>
      </c>
      <c r="W356" s="17" t="n">
        <v>5.97</v>
      </c>
      <c r="X356" s="17" t="n">
        <v>2.86686073652849</v>
      </c>
      <c r="Y356" s="17" t="n">
        <v>0.968657341658803</v>
      </c>
      <c r="Z356" s="17" t="n">
        <v>12.7361396545319</v>
      </c>
      <c r="AA356" s="17" t="n">
        <v>7.99187132250395</v>
      </c>
      <c r="AB356" s="17" t="n">
        <v>10.1743666121432</v>
      </c>
      <c r="AC356" s="17" t="n">
        <v>15.016126479085</v>
      </c>
      <c r="AD356" s="17" t="n">
        <v>3.10910687678234</v>
      </c>
      <c r="AE356" s="17" t="n">
        <v>-0.313184366430596</v>
      </c>
      <c r="AF356" s="17" t="n">
        <v>0.560412709502361</v>
      </c>
      <c r="AG356" s="18" t="n">
        <f aca="false">IFERROR(100*O356/F356,"")</f>
        <v>0.624556339202569</v>
      </c>
      <c r="AH356" s="18" t="n">
        <f aca="false">IFERROR(100*(P356+Q356)/F356,"")</f>
        <v>0.150900013429732</v>
      </c>
      <c r="AI356" s="18" t="n">
        <f aca="false">IFERROR(100*R356/K356,"")</f>
        <v>0.0068388178314284</v>
      </c>
      <c r="AJ356" s="18" t="n">
        <f aca="false">IF(T356&gt;0,100*S356/T356,"")</f>
        <v>12.7361396545319</v>
      </c>
      <c r="AK356" s="18" t="n">
        <f aca="false">IFERROR(100*U356/G356,"")</f>
        <v>0.47751881940412</v>
      </c>
      <c r="AL356" s="18" t="n">
        <f aca="false">IFERROR(100*J356/H356,"")</f>
        <v>111.256289967251</v>
      </c>
      <c r="AM356" s="18" t="n">
        <f aca="false">IFERROR(100*L356/J356,"")</f>
        <v>71.2222492703458</v>
      </c>
      <c r="AN356" s="18" t="n">
        <f aca="false">IFERROR(100*M356/J356,"")</f>
        <v>9.57629735655725</v>
      </c>
      <c r="AO356" s="18" t="n">
        <f aca="false">IFERROR(100*N356/J356,"")</f>
        <v>18.8474001257594</v>
      </c>
    </row>
    <row r="357" customFormat="false" ht="15" hidden="false" customHeight="false" outlineLevel="0" collapsed="false">
      <c r="A357" s="17" t="n">
        <v>17960</v>
      </c>
      <c r="B357" s="23" t="n">
        <v>45199</v>
      </c>
      <c r="C357" s="17" t="s">
        <v>115</v>
      </c>
      <c r="D357" s="17" t="s">
        <v>116</v>
      </c>
      <c r="E357" s="17" t="s">
        <v>114</v>
      </c>
      <c r="F357" s="17" t="n">
        <v>1360683</v>
      </c>
      <c r="G357" s="17" t="n">
        <v>1341597.25</v>
      </c>
      <c r="H357" s="17" t="n">
        <v>1035461</v>
      </c>
      <c r="I357" s="17" t="n">
        <v>105758</v>
      </c>
      <c r="J357" s="17" t="n">
        <v>1168694</v>
      </c>
      <c r="K357" s="17" t="n">
        <v>1147584.5</v>
      </c>
      <c r="L357" s="17" t="n">
        <v>830148</v>
      </c>
      <c r="M357" s="17" t="n">
        <v>111087</v>
      </c>
      <c r="N357" s="17" t="n">
        <v>223391</v>
      </c>
      <c r="O357" s="17" t="n">
        <v>8539</v>
      </c>
      <c r="P357" s="17" t="n">
        <v>1539</v>
      </c>
      <c r="Q357" s="17" t="n">
        <v>0</v>
      </c>
      <c r="R357" s="17" t="n">
        <v>175.9956</v>
      </c>
      <c r="S357" s="17" t="n">
        <v>136445</v>
      </c>
      <c r="T357" s="17" t="n">
        <v>1061471</v>
      </c>
      <c r="U357" s="17" t="n">
        <v>5567.8608</v>
      </c>
      <c r="V357" s="17" t="n">
        <v>0.41501730865951</v>
      </c>
      <c r="W357" s="17" t="n">
        <v>5.22</v>
      </c>
      <c r="X357" s="17" t="n">
        <v>2.80908470351212</v>
      </c>
      <c r="Y357" s="17" t="n">
        <v>0.976987988301472</v>
      </c>
      <c r="Z357" s="17" t="n">
        <v>12.8543313948285</v>
      </c>
      <c r="AA357" s="17" t="n">
        <v>7.77242017428012</v>
      </c>
      <c r="AB357" s="17" t="n">
        <v>6.42916197036028</v>
      </c>
      <c r="AC357" s="17" t="n">
        <v>7.95491494361598</v>
      </c>
      <c r="AD357" s="17" t="n">
        <v>1.84488307314616</v>
      </c>
      <c r="AE357" s="17" t="n">
        <v>-0.396972746342359</v>
      </c>
      <c r="AF357" s="17" t="n">
        <v>0.572878485130422</v>
      </c>
      <c r="AG357" s="18" t="n">
        <f aca="false">IFERROR(100*O357/F357,"")</f>
        <v>0.627552486508614</v>
      </c>
      <c r="AH357" s="18" t="n">
        <f aca="false">IFERROR(100*(P357+Q357)/F357,"")</f>
        <v>0.113104962728277</v>
      </c>
      <c r="AI357" s="18" t="n">
        <f aca="false">IFERROR(100*R357/K357,"")</f>
        <v>0.0153361778587982</v>
      </c>
      <c r="AJ357" s="18" t="n">
        <f aca="false">IF(T357&gt;0,100*S357/T357,"")</f>
        <v>12.8543313948285</v>
      </c>
      <c r="AK357" s="18" t="n">
        <f aca="false">IFERROR(100*U357/G357,"")</f>
        <v>0.41501730865951</v>
      </c>
      <c r="AL357" s="18" t="n">
        <f aca="false">IFERROR(100*J357/H357,"")</f>
        <v>112.867022514609</v>
      </c>
      <c r="AM357" s="18" t="n">
        <f aca="false">IFERROR(100*L357/J357,"")</f>
        <v>71.0321093459879</v>
      </c>
      <c r="AN357" s="18" t="n">
        <f aca="false">IFERROR(100*M357/J357,"")</f>
        <v>9.50522549101818</v>
      </c>
      <c r="AO357" s="18" t="n">
        <f aca="false">IFERROR(100*N357/J357,"")</f>
        <v>19.1145843137725</v>
      </c>
    </row>
    <row r="358" customFormat="false" ht="15" hidden="false" customHeight="false" outlineLevel="0" collapsed="false">
      <c r="A358" s="17" t="n">
        <v>17960</v>
      </c>
      <c r="B358" s="23" t="n">
        <v>45291</v>
      </c>
      <c r="C358" s="17" t="s">
        <v>115</v>
      </c>
      <c r="D358" s="17" t="s">
        <v>116</v>
      </c>
      <c r="E358" s="17" t="s">
        <v>114</v>
      </c>
      <c r="F358" s="17" t="n">
        <v>1368285</v>
      </c>
      <c r="G358" s="17" t="n">
        <v>1346934.8</v>
      </c>
      <c r="H358" s="17" t="n">
        <v>1030269</v>
      </c>
      <c r="I358" s="17" t="n">
        <v>113530</v>
      </c>
      <c r="J358" s="17" t="n">
        <v>1165140</v>
      </c>
      <c r="K358" s="17" t="n">
        <v>1151095.6</v>
      </c>
      <c r="L358" s="17" t="n">
        <v>832768</v>
      </c>
      <c r="M358" s="17" t="n">
        <v>105296</v>
      </c>
      <c r="N358" s="17" t="n">
        <v>223057</v>
      </c>
      <c r="O358" s="17" t="n">
        <v>8829</v>
      </c>
      <c r="P358" s="17" t="n">
        <v>2370</v>
      </c>
      <c r="Q358" s="17" t="n">
        <v>284</v>
      </c>
      <c r="R358" s="17" t="n">
        <v>199</v>
      </c>
      <c r="S358" s="17" t="n">
        <v>139032</v>
      </c>
      <c r="T358" s="17" t="n">
        <v>1049389</v>
      </c>
      <c r="U358" s="17" t="n">
        <v>6972</v>
      </c>
      <c r="V358" s="17" t="n">
        <v>0.517619709580597</v>
      </c>
      <c r="W358" s="17" t="n">
        <v>6.46</v>
      </c>
      <c r="X358" s="17" t="n">
        <v>2.79041633518132</v>
      </c>
      <c r="Y358" s="17" t="n">
        <v>0.979023979950907</v>
      </c>
      <c r="Z358" s="17" t="n">
        <v>13.2488524274602</v>
      </c>
      <c r="AA358" s="17" t="n">
        <v>8.29724801485071</v>
      </c>
      <c r="AB358" s="17" t="n">
        <v>3.83526112012482</v>
      </c>
      <c r="AC358" s="17" t="n">
        <v>4.2257804812595</v>
      </c>
      <c r="AD358" s="17" t="n">
        <v>-1.13340626439429</v>
      </c>
      <c r="AE358" s="17" t="n">
        <v>-0.24996716566907</v>
      </c>
      <c r="AF358" s="17" t="n">
        <v>0.585385339294242</v>
      </c>
      <c r="AG358" s="18" t="n">
        <f aca="false">IFERROR(100*O358/F358,"")</f>
        <v>0.645260307611353</v>
      </c>
      <c r="AH358" s="18" t="n">
        <f aca="false">IFERROR(100*(P358+Q358)/F358,"")</f>
        <v>0.193965438486865</v>
      </c>
      <c r="AI358" s="18" t="n">
        <f aca="false">IFERROR(100*R358/K358,"")</f>
        <v>0.0172878777401286</v>
      </c>
      <c r="AJ358" s="18" t="n">
        <f aca="false">IF(T358&gt;0,100*S358/T358,"")</f>
        <v>13.2488524274602</v>
      </c>
      <c r="AK358" s="18" t="n">
        <f aca="false">IFERROR(100*U358/G358,"")</f>
        <v>0.517619709580597</v>
      </c>
      <c r="AL358" s="18" t="n">
        <f aca="false">IFERROR(100*J358/H358,"")</f>
        <v>113.090852971408</v>
      </c>
      <c r="AM358" s="18" t="n">
        <f aca="false">IFERROR(100*L358/J358,"")</f>
        <v>71.4736426523851</v>
      </c>
      <c r="AN358" s="18" t="n">
        <f aca="false">IFERROR(100*M358/J358,"")</f>
        <v>9.0371972466828</v>
      </c>
      <c r="AO358" s="18" t="n">
        <f aca="false">IFERROR(100*N358/J358,"")</f>
        <v>19.1442230118269</v>
      </c>
    </row>
    <row r="359" customFormat="false" ht="15" hidden="false" customHeight="false" outlineLevel="0" collapsed="false">
      <c r="A359" s="17" t="n">
        <v>17960</v>
      </c>
      <c r="B359" s="23" t="n">
        <v>45382</v>
      </c>
      <c r="C359" s="17" t="s">
        <v>115</v>
      </c>
      <c r="D359" s="17" t="s">
        <v>116</v>
      </c>
      <c r="E359" s="17" t="s">
        <v>114</v>
      </c>
      <c r="F359" s="17" t="n">
        <v>1358652</v>
      </c>
      <c r="G359" s="17" t="n">
        <v>1363468.5</v>
      </c>
      <c r="H359" s="17" t="n">
        <v>1003157</v>
      </c>
      <c r="I359" s="17" t="n">
        <v>113634</v>
      </c>
      <c r="J359" s="17" t="n">
        <v>1167672</v>
      </c>
      <c r="K359" s="17" t="n">
        <v>1166406</v>
      </c>
      <c r="L359" s="17" t="n">
        <v>831348</v>
      </c>
      <c r="M359" s="17" t="n">
        <v>110468</v>
      </c>
      <c r="N359" s="17" t="n">
        <v>221886</v>
      </c>
      <c r="O359" s="17" t="n">
        <v>9231</v>
      </c>
      <c r="P359" s="17" t="n">
        <v>2013</v>
      </c>
      <c r="Q359" s="17" t="n">
        <v>0</v>
      </c>
      <c r="R359" s="17" t="n">
        <v>700</v>
      </c>
      <c r="S359" s="17" t="n">
        <v>140190</v>
      </c>
      <c r="T359" s="17" t="n">
        <v>1049826</v>
      </c>
      <c r="U359" s="17" t="n">
        <v>5128</v>
      </c>
      <c r="V359" s="17" t="n">
        <v>0.376099631197934</v>
      </c>
      <c r="W359" s="17" t="n">
        <v>4.51</v>
      </c>
      <c r="X359" s="17" t="n">
        <v>2.71200769173513</v>
      </c>
      <c r="Y359" s="17" t="n">
        <v>0.98143999342281</v>
      </c>
      <c r="Z359" s="17" t="n">
        <v>13.3536414605849</v>
      </c>
      <c r="AA359" s="17" t="n">
        <v>8.3637311099531</v>
      </c>
      <c r="AB359" s="17" t="n">
        <v>1.94288835632575</v>
      </c>
      <c r="AC359" s="17" t="n">
        <v>2.31903589795717</v>
      </c>
      <c r="AD359" s="17" t="n">
        <v>-1.24103752548577</v>
      </c>
      <c r="AE359" s="17" t="n">
        <v>-0.179870101351046</v>
      </c>
      <c r="AF359" s="17" t="n">
        <v>0.617821847433674</v>
      </c>
      <c r="AG359" s="18" t="n">
        <f aca="false">IFERROR(100*O359/F359,"")</f>
        <v>0.679423428515911</v>
      </c>
      <c r="AH359" s="18" t="n">
        <f aca="false">IFERROR(100*(P359+Q359)/F359,"")</f>
        <v>0.148161560134604</v>
      </c>
      <c r="AI359" s="18" t="n">
        <f aca="false">IFERROR(100*R359/K359,"")</f>
        <v>0.0600134087101747</v>
      </c>
      <c r="AJ359" s="18" t="n">
        <f aca="false">IF(T359&gt;0,100*S359/T359,"")</f>
        <v>13.3536414605849</v>
      </c>
      <c r="AK359" s="18" t="n">
        <f aca="false">IFERROR(100*U359/G359,"")</f>
        <v>0.376099631197934</v>
      </c>
      <c r="AL359" s="18" t="n">
        <f aca="false">IFERROR(100*J359/H359,"")</f>
        <v>116.399726064813</v>
      </c>
      <c r="AM359" s="18" t="n">
        <f aca="false">IFERROR(100*L359/J359,"")</f>
        <v>71.1970484862187</v>
      </c>
      <c r="AN359" s="18" t="n">
        <f aca="false">IFERROR(100*M359/J359,"")</f>
        <v>9.46053343747217</v>
      </c>
      <c r="AO359" s="18" t="n">
        <f aca="false">IFERROR(100*N359/J359,"")</f>
        <v>19.0024253386225</v>
      </c>
    </row>
    <row r="360" customFormat="false" ht="15" hidden="false" customHeight="false" outlineLevel="0" collapsed="false">
      <c r="A360" s="17" t="n">
        <v>17960</v>
      </c>
      <c r="B360" s="23" t="n">
        <v>45473</v>
      </c>
      <c r="C360" s="17" t="s">
        <v>115</v>
      </c>
      <c r="D360" s="17" t="s">
        <v>116</v>
      </c>
      <c r="E360" s="17" t="s">
        <v>114</v>
      </c>
      <c r="F360" s="17" t="n">
        <v>1384318</v>
      </c>
      <c r="G360" s="17" t="n">
        <v>1370418.33333333</v>
      </c>
      <c r="H360" s="17" t="n">
        <v>1047199</v>
      </c>
      <c r="I360" s="17" t="n">
        <v>114741</v>
      </c>
      <c r="J360" s="17" t="n">
        <v>1177826</v>
      </c>
      <c r="K360" s="17" t="n">
        <v>1170212.66666667</v>
      </c>
      <c r="L360" s="17" t="n">
        <v>834712</v>
      </c>
      <c r="M360" s="17" t="n">
        <v>105881</v>
      </c>
      <c r="N360" s="17" t="n">
        <v>233313</v>
      </c>
      <c r="O360" s="17" t="n">
        <v>9254</v>
      </c>
      <c r="P360" s="17" t="n">
        <v>2898</v>
      </c>
      <c r="Q360" s="17" t="n">
        <v>0</v>
      </c>
      <c r="R360" s="17" t="n">
        <v>500</v>
      </c>
      <c r="S360" s="17" t="n">
        <v>141802</v>
      </c>
      <c r="T360" s="17" t="n">
        <v>1066941</v>
      </c>
      <c r="U360" s="17" t="n">
        <v>4872</v>
      </c>
      <c r="V360" s="17" t="n">
        <v>0.355511881408475</v>
      </c>
      <c r="W360" s="17" t="n">
        <v>4.27</v>
      </c>
      <c r="X360" s="17" t="n">
        <v>2.71137816235978</v>
      </c>
      <c r="Y360" s="17" t="n">
        <v>1.02485426540083</v>
      </c>
      <c r="Z360" s="17" t="n">
        <v>13.2905193445561</v>
      </c>
      <c r="AA360" s="17" t="n">
        <v>8.28863021357809</v>
      </c>
      <c r="AB360" s="17" t="n">
        <v>2.14846200049881</v>
      </c>
      <c r="AC360" s="17" t="n">
        <v>1.31514093744973</v>
      </c>
      <c r="AD360" s="17" t="n">
        <v>0.218294641301986</v>
      </c>
      <c r="AE360" s="17" t="n">
        <v>-0.122006937995645</v>
      </c>
      <c r="AF360" s="17" t="n">
        <v>0.0439316816134574</v>
      </c>
      <c r="AG360" s="18" t="n">
        <f aca="false">IFERROR(100*O360/F360,"")</f>
        <v>0.668488020816026</v>
      </c>
      <c r="AH360" s="18" t="n">
        <f aca="false">IFERROR(100*(P360+Q360)/F360,"")</f>
        <v>0.209344962645866</v>
      </c>
      <c r="AI360" s="18" t="n">
        <f aca="false">IFERROR(100*R360/K360,"")</f>
        <v>0.0427272763526174</v>
      </c>
      <c r="AJ360" s="18" t="n">
        <f aca="false">IF(T360&gt;0,100*S360/T360,"")</f>
        <v>13.2905193445561</v>
      </c>
      <c r="AK360" s="18" t="n">
        <f aca="false">IFERROR(100*U360/G360,"")</f>
        <v>0.355511881408475</v>
      </c>
      <c r="AL360" s="18" t="n">
        <f aca="false">IFERROR(100*J360/H360,"")</f>
        <v>112.473942392993</v>
      </c>
      <c r="AM360" s="18" t="n">
        <f aca="false">IFERROR(100*L360/J360,"")</f>
        <v>70.8688719726004</v>
      </c>
      <c r="AN360" s="18" t="n">
        <f aca="false">IFERROR(100*M360/J360,"")</f>
        <v>8.98952816460156</v>
      </c>
      <c r="AO360" s="18" t="n">
        <f aca="false">IFERROR(100*N360/J360,"")</f>
        <v>19.8087833007592</v>
      </c>
    </row>
    <row r="361" customFormat="false" ht="15" hidden="false" customHeight="false" outlineLevel="0" collapsed="false">
      <c r="A361" s="17" t="n">
        <v>17960</v>
      </c>
      <c r="B361" s="23" t="n">
        <v>45565</v>
      </c>
      <c r="C361" s="17" t="s">
        <v>115</v>
      </c>
      <c r="D361" s="17" t="s">
        <v>116</v>
      </c>
      <c r="E361" s="17" t="s">
        <v>114</v>
      </c>
      <c r="F361" s="17" t="n">
        <v>1380640</v>
      </c>
      <c r="G361" s="17" t="n">
        <v>1372973.75</v>
      </c>
      <c r="H361" s="17" t="n">
        <v>1050589</v>
      </c>
      <c r="I361" s="17" t="n">
        <v>117711</v>
      </c>
      <c r="J361" s="17" t="n">
        <v>1167764</v>
      </c>
      <c r="K361" s="17" t="n">
        <v>1169600.5</v>
      </c>
      <c r="L361" s="17" t="n">
        <v>827763</v>
      </c>
      <c r="M361" s="17" t="n">
        <v>105315</v>
      </c>
      <c r="N361" s="17" t="n">
        <v>230816</v>
      </c>
      <c r="O361" s="17" t="n">
        <v>6798</v>
      </c>
      <c r="P361" s="17" t="n">
        <v>5539</v>
      </c>
      <c r="Q361" s="17" t="n">
        <v>44</v>
      </c>
      <c r="R361" s="17" t="n">
        <v>3843.9039</v>
      </c>
      <c r="S361" s="17" t="n">
        <v>141147</v>
      </c>
      <c r="T361" s="17" t="n">
        <v>1049794</v>
      </c>
      <c r="U361" s="17" t="n">
        <v>2909.2606</v>
      </c>
      <c r="V361" s="17" t="n">
        <v>0.211894845039827</v>
      </c>
      <c r="W361" s="17" t="n">
        <v>2.53</v>
      </c>
      <c r="X361" s="17" t="n">
        <v>2.71332263065168</v>
      </c>
      <c r="Y361" s="17" t="n">
        <v>1.01304715678853</v>
      </c>
      <c r="Z361" s="17" t="n">
        <v>13.4452092505768</v>
      </c>
      <c r="AA361" s="17" t="n">
        <v>8.52582860122842</v>
      </c>
      <c r="AB361" s="17" t="n">
        <v>1.46668989029775</v>
      </c>
      <c r="AC361" s="17" t="n">
        <v>-0.0795760053529881</v>
      </c>
      <c r="AD361" s="17" t="n">
        <v>1.46099177081513</v>
      </c>
      <c r="AE361" s="17" t="n">
        <v>-0.203122463619683</v>
      </c>
      <c r="AF361" s="17" t="n">
        <v>-0.135172141161528</v>
      </c>
      <c r="AG361" s="18" t="n">
        <f aca="false">IFERROR(100*O361/F361,"")</f>
        <v>0.492380345347085</v>
      </c>
      <c r="AH361" s="18" t="n">
        <f aca="false">IFERROR(100*(P361+Q361)/F361,"")</f>
        <v>0.40437767991656</v>
      </c>
      <c r="AI361" s="18" t="n">
        <f aca="false">IFERROR(100*R361/K361,"")</f>
        <v>0.328651013743582</v>
      </c>
      <c r="AJ361" s="18" t="n">
        <f aca="false">IF(T361&gt;0,100*S361/T361,"")</f>
        <v>13.4452092505768</v>
      </c>
      <c r="AK361" s="18" t="n">
        <f aca="false">IFERROR(100*U361/G361,"")</f>
        <v>0.211894845039827</v>
      </c>
      <c r="AL361" s="18" t="n">
        <f aca="false">IFERROR(100*J361/H361,"")</f>
        <v>111.153267357644</v>
      </c>
      <c r="AM361" s="18" t="n">
        <f aca="false">IFERROR(100*L361/J361,"")</f>
        <v>70.8844424044584</v>
      </c>
      <c r="AN361" s="18" t="n">
        <f aca="false">IFERROR(100*M361/J361,"")</f>
        <v>9.01851744016771</v>
      </c>
      <c r="AO361" s="18" t="n">
        <f aca="false">IFERROR(100*N361/J361,"")</f>
        <v>19.7656375774557</v>
      </c>
    </row>
    <row r="362" customFormat="false" ht="15" hidden="false" customHeight="false" outlineLevel="0" collapsed="false">
      <c r="A362" s="17" t="n">
        <v>17960</v>
      </c>
      <c r="B362" s="23" t="n">
        <v>45657</v>
      </c>
      <c r="C362" s="17" t="s">
        <v>115</v>
      </c>
      <c r="D362" s="17" t="s">
        <v>116</v>
      </c>
      <c r="E362" s="17" t="s">
        <v>114</v>
      </c>
      <c r="F362" s="17" t="n">
        <v>1353925</v>
      </c>
      <c r="G362" s="17" t="n">
        <v>1369164</v>
      </c>
      <c r="H362" s="17" t="n">
        <v>1120519</v>
      </c>
      <c r="I362" s="17" t="n">
        <v>115328</v>
      </c>
      <c r="J362" s="17" t="n">
        <v>1150547</v>
      </c>
      <c r="K362" s="17" t="n">
        <v>1165789.8</v>
      </c>
      <c r="L362" s="17" t="n">
        <v>823641</v>
      </c>
      <c r="M362" s="17" t="n">
        <v>100058</v>
      </c>
      <c r="N362" s="17" t="n">
        <v>223027</v>
      </c>
      <c r="O362" s="17" t="n">
        <v>7247</v>
      </c>
      <c r="P362" s="17" t="n">
        <v>7584</v>
      </c>
      <c r="Q362" s="17" t="n">
        <v>0</v>
      </c>
      <c r="R362" s="17" t="n">
        <v>3353</v>
      </c>
      <c r="S362" s="17" t="n">
        <v>142367</v>
      </c>
      <c r="T362" s="17" t="n">
        <v>1039874</v>
      </c>
      <c r="U362" s="17" t="n">
        <v>3108</v>
      </c>
      <c r="V362" s="17" t="n">
        <v>0.226999833475026</v>
      </c>
      <c r="W362" s="17" t="n">
        <v>2.7</v>
      </c>
      <c r="X362" s="17" t="n">
        <v>2.75862196308081</v>
      </c>
      <c r="Y362" s="17" t="n">
        <v>1.06783990571441</v>
      </c>
      <c r="Z362" s="17" t="n">
        <v>13.6907933076507</v>
      </c>
      <c r="AA362" s="17" t="n">
        <v>8.51804937496538</v>
      </c>
      <c r="AB362" s="17" t="n">
        <v>-1.0494889588061</v>
      </c>
      <c r="AC362" s="17" t="n">
        <v>-1.25246751463344</v>
      </c>
      <c r="AD362" s="17" t="n">
        <v>8.75984815616116</v>
      </c>
      <c r="AE362" s="17" t="n">
        <v>-0.290619876105572</v>
      </c>
      <c r="AF362" s="17" t="n">
        <v>-0.110001707615046</v>
      </c>
      <c r="AG362" s="18" t="n">
        <f aca="false">IFERROR(100*O362/F362,"")</f>
        <v>0.535258599996307</v>
      </c>
      <c r="AH362" s="18" t="n">
        <f aca="false">IFERROR(100*(P362+Q362)/F362,"")</f>
        <v>0.560149195856491</v>
      </c>
      <c r="AI362" s="18" t="n">
        <f aca="false">IFERROR(100*R362/K362,"")</f>
        <v>0.287616172315112</v>
      </c>
      <c r="AJ362" s="18" t="n">
        <f aca="false">IF(T362&gt;0,100*S362/T362,"")</f>
        <v>13.6907933076507</v>
      </c>
      <c r="AK362" s="18" t="n">
        <f aca="false">IFERROR(100*U362/G362,"")</f>
        <v>0.226999833475026</v>
      </c>
      <c r="AL362" s="18" t="n">
        <f aca="false">IFERROR(100*J362/H362,"")</f>
        <v>102.67982961467</v>
      </c>
      <c r="AM362" s="18" t="n">
        <f aca="false">IFERROR(100*L362/J362,"")</f>
        <v>71.5869060542507</v>
      </c>
      <c r="AN362" s="18" t="n">
        <f aca="false">IFERROR(100*M362/J362,"")</f>
        <v>8.69655911492534</v>
      </c>
      <c r="AO362" s="18" t="n">
        <f aca="false">IFERROR(100*N362/J362,"")</f>
        <v>19.384431926727</v>
      </c>
    </row>
    <row r="363" customFormat="false" ht="15" hidden="false" customHeight="false" outlineLevel="0" collapsed="false">
      <c r="A363" s="17" t="n">
        <v>17960</v>
      </c>
      <c r="B363" s="23" t="n">
        <v>45747</v>
      </c>
      <c r="C363" s="17" t="s">
        <v>115</v>
      </c>
      <c r="D363" s="17" t="s">
        <v>116</v>
      </c>
      <c r="E363" s="17" t="s">
        <v>114</v>
      </c>
      <c r="F363" s="17" t="n">
        <v>1354203</v>
      </c>
      <c r="G363" s="17" t="n">
        <v>1354064</v>
      </c>
      <c r="H363" s="17" t="n">
        <v>1112041</v>
      </c>
      <c r="I363" s="17" t="n">
        <v>118120</v>
      </c>
      <c r="J363" s="17" t="n">
        <v>1150070</v>
      </c>
      <c r="K363" s="17" t="n">
        <v>1150308.5</v>
      </c>
      <c r="L363" s="17" t="n">
        <v>811642</v>
      </c>
      <c r="M363" s="17" t="n">
        <v>115321</v>
      </c>
      <c r="N363" s="17" t="n">
        <v>219320</v>
      </c>
      <c r="O363" s="17" t="n">
        <v>7626</v>
      </c>
      <c r="P363" s="17" t="n">
        <v>4491</v>
      </c>
      <c r="Q363" s="17" t="n">
        <v>0</v>
      </c>
      <c r="R363" s="17" t="n">
        <v>808</v>
      </c>
      <c r="S363" s="17" t="n">
        <v>143410</v>
      </c>
      <c r="T363" s="17" t="n">
        <v>1042821</v>
      </c>
      <c r="U363" s="17" t="n">
        <v>3972</v>
      </c>
      <c r="V363" s="17" t="n">
        <v>0.293339162698366</v>
      </c>
      <c r="W363" s="17" t="n">
        <v>3.4</v>
      </c>
      <c r="X363" s="17" t="n">
        <v>2.93424816317374</v>
      </c>
      <c r="Y363" s="17" t="n">
        <v>1.09436816889407</v>
      </c>
      <c r="Z363" s="17" t="n">
        <v>13.7521204502019</v>
      </c>
      <c r="AA363" s="17" t="n">
        <v>8.72247366162975</v>
      </c>
      <c r="AB363" s="17" t="n">
        <v>-0.32745692053594</v>
      </c>
      <c r="AC363" s="17" t="n">
        <v>-1.50744387122411</v>
      </c>
      <c r="AD363" s="17" t="n">
        <v>10.8541335005388</v>
      </c>
      <c r="AE363" s="17" t="n">
        <v>-0.082760468499568</v>
      </c>
      <c r="AF363" s="17" t="n">
        <v>-0.116287768648078</v>
      </c>
      <c r="AG363" s="18" t="n">
        <f aca="false">IFERROR(100*O363/F363,"")</f>
        <v>0.563135659867834</v>
      </c>
      <c r="AH363" s="18" t="n">
        <f aca="false">IFERROR(100*(P363+Q363)/F363,"")</f>
        <v>0.331634178922953</v>
      </c>
      <c r="AI363" s="18" t="n">
        <f aca="false">IFERROR(100*R363/K363,"")</f>
        <v>0.0702420263781412</v>
      </c>
      <c r="AJ363" s="18" t="n">
        <f aca="false">IF(T363&gt;0,100*S363/T363,"")</f>
        <v>13.7521204502019</v>
      </c>
      <c r="AK363" s="18" t="n">
        <f aca="false">IFERROR(100*U363/G363,"")</f>
        <v>0.293339162698366</v>
      </c>
      <c r="AL363" s="18" t="n">
        <f aca="false">IFERROR(100*J363/H363,"")</f>
        <v>103.419748012888</v>
      </c>
      <c r="AM363" s="18" t="n">
        <f aca="false">IFERROR(100*L363/J363,"")</f>
        <v>70.5732694531637</v>
      </c>
      <c r="AN363" s="18" t="n">
        <f aca="false">IFERROR(100*M363/J363,"")</f>
        <v>10.0273026859235</v>
      </c>
      <c r="AO363" s="18" t="n">
        <f aca="false">IFERROR(100*N363/J363,"")</f>
        <v>19.0701435564792</v>
      </c>
    </row>
    <row r="364" customFormat="false" ht="15" hidden="false" customHeight="false" outlineLevel="0" collapsed="false">
      <c r="A364" s="17" t="n">
        <v>17960</v>
      </c>
      <c r="B364" s="23" t="n">
        <v>45838</v>
      </c>
      <c r="C364" s="17" t="s">
        <v>115</v>
      </c>
      <c r="D364" s="17" t="s">
        <v>116</v>
      </c>
      <c r="E364" s="17" t="s">
        <v>114</v>
      </c>
      <c r="F364" s="17" t="n">
        <v>1351508</v>
      </c>
      <c r="G364" s="17" t="n">
        <v>1353212</v>
      </c>
      <c r="H364" s="17" t="n">
        <v>1099933</v>
      </c>
      <c r="I364" s="17" t="n">
        <v>119316</v>
      </c>
      <c r="J364" s="17" t="n">
        <v>1146687</v>
      </c>
      <c r="K364" s="17" t="n">
        <v>1149101.33333333</v>
      </c>
      <c r="L364" s="17" t="n">
        <v>807602</v>
      </c>
      <c r="M364" s="17" t="n">
        <v>119286</v>
      </c>
      <c r="N364" s="17" t="n">
        <v>216067</v>
      </c>
      <c r="O364" s="17" t="n">
        <v>7677</v>
      </c>
      <c r="P364" s="17" t="n">
        <v>5189</v>
      </c>
      <c r="Q364" s="17" t="n">
        <v>0</v>
      </c>
      <c r="R364" s="17" t="n">
        <v>860</v>
      </c>
      <c r="S364" s="17" t="n">
        <v>144092</v>
      </c>
      <c r="T364" s="17" t="n">
        <v>1044318</v>
      </c>
      <c r="U364" s="17" t="n">
        <v>3556</v>
      </c>
      <c r="V364" s="17" t="n">
        <v>0.262782180471353</v>
      </c>
      <c r="W364" s="17" t="n">
        <v>3.02</v>
      </c>
      <c r="X364" s="17" t="n">
        <v>2.95418789912176</v>
      </c>
      <c r="Y364" s="17" t="n">
        <v>1.1168697299263</v>
      </c>
      <c r="Z364" s="17" t="n">
        <v>13.7977129571644</v>
      </c>
      <c r="AA364" s="17" t="n">
        <v>8.82836061643734</v>
      </c>
      <c r="AB364" s="17" t="n">
        <v>-2.3701201602522</v>
      </c>
      <c r="AC364" s="17" t="n">
        <v>-2.64376911360422</v>
      </c>
      <c r="AD364" s="17" t="n">
        <v>5.03571909446057</v>
      </c>
      <c r="AE364" s="17" t="n">
        <v>-0.0927297009371225</v>
      </c>
      <c r="AF364" s="17" t="n">
        <v>-0.100455867103285</v>
      </c>
      <c r="AG364" s="18" t="n">
        <f aca="false">IFERROR(100*O364/F364,"")</f>
        <v>0.568032153712742</v>
      </c>
      <c r="AH364" s="18" t="n">
        <f aca="false">IFERROR(100*(P364+Q364)/F364,"")</f>
        <v>0.383941493502073</v>
      </c>
      <c r="AI364" s="18" t="n">
        <f aca="false">IFERROR(100*R364/K364,"")</f>
        <v>0.0748410932137114</v>
      </c>
      <c r="AJ364" s="18" t="n">
        <f aca="false">IF(T364&gt;0,100*S364/T364,"")</f>
        <v>13.7977129571644</v>
      </c>
      <c r="AK364" s="18" t="n">
        <f aca="false">IFERROR(100*U364/G364,"")</f>
        <v>0.262782180471353</v>
      </c>
      <c r="AL364" s="18" t="n">
        <f aca="false">IFERROR(100*J364/H364,"")</f>
        <v>104.250622537918</v>
      </c>
      <c r="AM364" s="18" t="n">
        <f aca="false">IFERROR(100*L364/J364,"")</f>
        <v>70.4291580876037</v>
      </c>
      <c r="AN364" s="18" t="n">
        <f aca="false">IFERROR(100*M364/J364,"")</f>
        <v>10.4026643713585</v>
      </c>
      <c r="AO364" s="18" t="n">
        <f aca="false">IFERROR(100*N364/J364,"")</f>
        <v>18.8427181959855</v>
      </c>
    </row>
    <row r="365" customFormat="false" ht="15" hidden="false" customHeight="false" outlineLevel="0" collapsed="false">
      <c r="A365" s="17" t="n">
        <v>18012</v>
      </c>
      <c r="B365" s="23" t="n">
        <v>44651</v>
      </c>
      <c r="C365" s="17" t="s">
        <v>148</v>
      </c>
      <c r="D365" s="17" t="s">
        <v>116</v>
      </c>
      <c r="E365" s="17" t="s">
        <v>114</v>
      </c>
      <c r="F365" s="17" t="n">
        <v>2361388</v>
      </c>
      <c r="G365" s="17" t="n">
        <v>2338292.5</v>
      </c>
      <c r="H365" s="17" t="n">
        <v>1985720</v>
      </c>
      <c r="I365" s="17" t="n">
        <v>235718</v>
      </c>
      <c r="J365" s="17" t="n">
        <v>1846391</v>
      </c>
      <c r="K365" s="17" t="n">
        <v>1768419</v>
      </c>
      <c r="L365" s="17" t="n">
        <v>1710167</v>
      </c>
      <c r="M365" s="17" t="n">
        <v>56828</v>
      </c>
      <c r="N365" s="17" t="n">
        <v>37005</v>
      </c>
      <c r="O365" s="17" t="n">
        <v>1611</v>
      </c>
      <c r="P365" s="17" t="n">
        <v>1160</v>
      </c>
      <c r="Q365" s="17" t="n">
        <v>0</v>
      </c>
      <c r="R365" s="17" t="n">
        <v>120</v>
      </c>
      <c r="S365" s="17" t="n">
        <v>260066</v>
      </c>
      <c r="T365" s="17" t="n">
        <v>2065988</v>
      </c>
      <c r="U365" s="17" t="n">
        <v>32500</v>
      </c>
      <c r="V365" s="17" t="n">
        <v>1.38990310237064</v>
      </c>
      <c r="W365" s="17" t="n">
        <v>13.47</v>
      </c>
      <c r="X365" s="17" t="n">
        <v>3.49821090392703</v>
      </c>
      <c r="Y365" s="17" t="n">
        <v>1.23592456852314</v>
      </c>
      <c r="Z365" s="17" t="n">
        <v>12.5879724374004</v>
      </c>
      <c r="AA365" s="17" t="n">
        <v>9.98217997211809</v>
      </c>
      <c r="AB365" s="17"/>
      <c r="AC365" s="17"/>
      <c r="AD365" s="17"/>
      <c r="AE365" s="17"/>
      <c r="AF365" s="17"/>
      <c r="AG365" s="18" t="n">
        <f aca="false">IFERROR(100*O365/F365,"")</f>
        <v>0.0682225877322998</v>
      </c>
      <c r="AH365" s="18" t="n">
        <f aca="false">IFERROR(100*(P365+Q365)/F365,"")</f>
        <v>0.0491236510052562</v>
      </c>
      <c r="AI365" s="18" t="n">
        <f aca="false">IFERROR(100*R365/K365,"")</f>
        <v>0.00678572216199894</v>
      </c>
      <c r="AJ365" s="18" t="n">
        <f aca="false">IF(T365&gt;0,100*S365/T365,"")</f>
        <v>12.5879724374004</v>
      </c>
      <c r="AK365" s="18" t="n">
        <f aca="false">IFERROR(100*U365/G365,"")</f>
        <v>1.38990310237064</v>
      </c>
      <c r="AL365" s="18" t="n">
        <f aca="false">IFERROR(100*J365/H365,"")</f>
        <v>92.9834518461817</v>
      </c>
      <c r="AM365" s="18" t="n">
        <f aca="false">IFERROR(100*L365/J365,"")</f>
        <v>92.6221477466041</v>
      </c>
      <c r="AN365" s="18" t="n">
        <f aca="false">IFERROR(100*M365/J365,"")</f>
        <v>3.07778796582089</v>
      </c>
      <c r="AO365" s="18" t="n">
        <f aca="false">IFERROR(100*N365/J365,"")</f>
        <v>2.00418004637154</v>
      </c>
    </row>
    <row r="366" customFormat="false" ht="15" hidden="false" customHeight="false" outlineLevel="0" collapsed="false">
      <c r="A366" s="17" t="n">
        <v>18012</v>
      </c>
      <c r="B366" s="23" t="n">
        <v>44742</v>
      </c>
      <c r="C366" s="17" t="s">
        <v>148</v>
      </c>
      <c r="D366" s="17" t="s">
        <v>116</v>
      </c>
      <c r="E366" s="17" t="s">
        <v>114</v>
      </c>
      <c r="F366" s="17" t="n">
        <v>2374786</v>
      </c>
      <c r="G366" s="17" t="n">
        <v>2350457</v>
      </c>
      <c r="H366" s="17" t="n">
        <v>2014310</v>
      </c>
      <c r="I366" s="17" t="n">
        <v>231360</v>
      </c>
      <c r="J366" s="17" t="n">
        <v>1892617</v>
      </c>
      <c r="K366" s="17" t="n">
        <v>1809818.33333333</v>
      </c>
      <c r="L366" s="17" t="n">
        <v>1772602</v>
      </c>
      <c r="M366" s="17" t="n">
        <v>53604</v>
      </c>
      <c r="N366" s="17" t="n">
        <v>35736</v>
      </c>
      <c r="O366" s="17" t="n">
        <v>1132</v>
      </c>
      <c r="P366" s="17" t="n">
        <v>2539</v>
      </c>
      <c r="Q366" s="17" t="n">
        <v>0</v>
      </c>
      <c r="R366" s="17" t="n">
        <v>44</v>
      </c>
      <c r="S366" s="17" t="n">
        <v>266977</v>
      </c>
      <c r="T366" s="17" t="n">
        <v>2103129</v>
      </c>
      <c r="U366" s="17" t="n">
        <v>30000</v>
      </c>
      <c r="V366" s="17" t="n">
        <v>1.27634753581963</v>
      </c>
      <c r="W366" s="17" t="n">
        <v>12.6</v>
      </c>
      <c r="X366" s="17" t="n">
        <v>3.55342846169754</v>
      </c>
      <c r="Y366" s="17" t="n">
        <v>1.20610773336602</v>
      </c>
      <c r="Z366" s="17" t="n">
        <v>12.6942760049431</v>
      </c>
      <c r="AA366" s="17" t="n">
        <v>9.74235152135814</v>
      </c>
      <c r="AB366" s="17"/>
      <c r="AC366" s="17"/>
      <c r="AD366" s="17"/>
      <c r="AE366" s="17"/>
      <c r="AF366" s="17"/>
      <c r="AG366" s="18" t="n">
        <f aca="false">IFERROR(100*O366/F366,"")</f>
        <v>0.047667452983132</v>
      </c>
      <c r="AH366" s="18" t="n">
        <f aca="false">IFERROR(100*(P366+Q366)/F366,"")</f>
        <v>0.106914896752802</v>
      </c>
      <c r="AI366" s="18" t="n">
        <f aca="false">IFERROR(100*R366/K366,"")</f>
        <v>0.00243118324030681</v>
      </c>
      <c r="AJ366" s="18" t="n">
        <f aca="false">IF(T366&gt;0,100*S366/T366,"")</f>
        <v>12.6942760049431</v>
      </c>
      <c r="AK366" s="18" t="n">
        <f aca="false">IFERROR(100*U366/G366,"")</f>
        <v>1.27634753581963</v>
      </c>
      <c r="AL366" s="18" t="n">
        <f aca="false">IFERROR(100*J366/H366,"")</f>
        <v>93.9585763859585</v>
      </c>
      <c r="AM366" s="18" t="n">
        <f aca="false">IFERROR(100*L366/J366,"")</f>
        <v>93.6587804082918</v>
      </c>
      <c r="AN366" s="18" t="n">
        <f aca="false">IFERROR(100*M366/J366,"")</f>
        <v>2.8322687580213</v>
      </c>
      <c r="AO366" s="18" t="n">
        <f aca="false">IFERROR(100*N366/J366,"")</f>
        <v>1.8881791720142</v>
      </c>
    </row>
    <row r="367" customFormat="false" ht="15" hidden="false" customHeight="false" outlineLevel="0" collapsed="false">
      <c r="A367" s="17" t="n">
        <v>18012</v>
      </c>
      <c r="B367" s="23" t="n">
        <v>44834</v>
      </c>
      <c r="C367" s="17" t="s">
        <v>148</v>
      </c>
      <c r="D367" s="17" t="s">
        <v>116</v>
      </c>
      <c r="E367" s="17" t="s">
        <v>114</v>
      </c>
      <c r="F367" s="17" t="n">
        <v>2400019</v>
      </c>
      <c r="G367" s="17" t="n">
        <v>2362847.5</v>
      </c>
      <c r="H367" s="17" t="n">
        <v>2088751</v>
      </c>
      <c r="I367" s="17" t="n">
        <v>230722</v>
      </c>
      <c r="J367" s="17" t="n">
        <v>1923861</v>
      </c>
      <c r="K367" s="17" t="n">
        <v>1838329</v>
      </c>
      <c r="L367" s="17" t="n">
        <v>1803269</v>
      </c>
      <c r="M367" s="17" t="n">
        <v>50796</v>
      </c>
      <c r="N367" s="17" t="n">
        <v>36004</v>
      </c>
      <c r="O367" s="17" t="n">
        <v>1056</v>
      </c>
      <c r="P367" s="17" t="n">
        <v>1681</v>
      </c>
      <c r="Q367" s="17" t="n">
        <v>0</v>
      </c>
      <c r="R367" s="17" t="n">
        <v>50.6654</v>
      </c>
      <c r="S367" s="17" t="n">
        <v>273566</v>
      </c>
      <c r="T367" s="17" t="n">
        <v>2125129</v>
      </c>
      <c r="U367" s="17" t="n">
        <v>28755.2811</v>
      </c>
      <c r="V367" s="17" t="n">
        <v>1.21697575065678</v>
      </c>
      <c r="W367" s="17" t="n">
        <v>12.17</v>
      </c>
      <c r="X367" s="17" t="n">
        <v>3.58161818367167</v>
      </c>
      <c r="Y367" s="17" t="n">
        <v>1.18574054986301</v>
      </c>
      <c r="Z367" s="17" t="n">
        <v>12.8729126561258</v>
      </c>
      <c r="AA367" s="17" t="n">
        <v>9.61334056105389</v>
      </c>
      <c r="AB367" s="17"/>
      <c r="AC367" s="17"/>
      <c r="AD367" s="17"/>
      <c r="AE367" s="17"/>
      <c r="AF367" s="17"/>
      <c r="AG367" s="18" t="n">
        <f aca="false">IFERROR(100*O367/F367,"")</f>
        <v>0.0439996516694243</v>
      </c>
      <c r="AH367" s="18" t="n">
        <f aca="false">IFERROR(100*(P367+Q367)/F367,"")</f>
        <v>0.0700411121745286</v>
      </c>
      <c r="AI367" s="18" t="n">
        <f aca="false">IFERROR(100*R367/K367,"")</f>
        <v>0.00275605726722475</v>
      </c>
      <c r="AJ367" s="18" t="n">
        <f aca="false">IF(T367&gt;0,100*S367/T367,"")</f>
        <v>12.8729126561258</v>
      </c>
      <c r="AK367" s="18" t="n">
        <f aca="false">IFERROR(100*U367/G367,"")</f>
        <v>1.21697575065678</v>
      </c>
      <c r="AL367" s="18" t="n">
        <f aca="false">IFERROR(100*J367/H367,"")</f>
        <v>92.1058086866266</v>
      </c>
      <c r="AM367" s="18" t="n">
        <f aca="false">IFERROR(100*L367/J367,"")</f>
        <v>93.7317716820498</v>
      </c>
      <c r="AN367" s="18" t="n">
        <f aca="false">IFERROR(100*M367/J367,"")</f>
        <v>2.64031549056819</v>
      </c>
      <c r="AO367" s="18" t="n">
        <f aca="false">IFERROR(100*N367/J367,"")</f>
        <v>1.87144497445502</v>
      </c>
    </row>
    <row r="368" customFormat="false" ht="15" hidden="false" customHeight="false" outlineLevel="0" collapsed="false">
      <c r="A368" s="17" t="n">
        <v>18012</v>
      </c>
      <c r="B368" s="23" t="n">
        <v>44926</v>
      </c>
      <c r="C368" s="17" t="s">
        <v>148</v>
      </c>
      <c r="D368" s="17" t="s">
        <v>116</v>
      </c>
      <c r="E368" s="17" t="s">
        <v>114</v>
      </c>
      <c r="F368" s="17" t="n">
        <v>2432022</v>
      </c>
      <c r="G368" s="17" t="n">
        <v>2376682.4</v>
      </c>
      <c r="H368" s="17" t="n">
        <v>2055299</v>
      </c>
      <c r="I368" s="17" t="n">
        <v>239523</v>
      </c>
      <c r="J368" s="17" t="n">
        <v>1963339</v>
      </c>
      <c r="K368" s="17" t="n">
        <v>1863331</v>
      </c>
      <c r="L368" s="17" t="n">
        <v>1858029</v>
      </c>
      <c r="M368" s="17" t="n">
        <v>45540</v>
      </c>
      <c r="N368" s="17" t="n">
        <v>34202</v>
      </c>
      <c r="O368" s="17" t="n">
        <v>1509</v>
      </c>
      <c r="P368" s="17" t="n">
        <v>1590</v>
      </c>
      <c r="Q368" s="17" t="n">
        <v>0</v>
      </c>
      <c r="R368" s="17" t="n">
        <v>51</v>
      </c>
      <c r="S368" s="17" t="n">
        <v>278931</v>
      </c>
      <c r="T368" s="17" t="n">
        <v>2151978</v>
      </c>
      <c r="U368" s="17" t="n">
        <v>27283</v>
      </c>
      <c r="V368" s="17" t="n">
        <v>1.14794471486809</v>
      </c>
      <c r="W368" s="17" t="n">
        <v>11.52</v>
      </c>
      <c r="X368" s="17" t="n">
        <v>3.56773617213357</v>
      </c>
      <c r="Y368" s="17" t="n">
        <v>1.16118510354045</v>
      </c>
      <c r="Z368" s="17" t="n">
        <v>12.9616102023348</v>
      </c>
      <c r="AA368" s="17" t="n">
        <v>9.84871847376381</v>
      </c>
      <c r="AB368" s="17"/>
      <c r="AC368" s="17"/>
      <c r="AD368" s="17"/>
      <c r="AE368" s="17"/>
      <c r="AF368" s="17"/>
      <c r="AG368" s="18" t="n">
        <f aca="false">IFERROR(100*O368/F368,"")</f>
        <v>0.0620471360867624</v>
      </c>
      <c r="AH368" s="18" t="n">
        <f aca="false">IFERROR(100*(P368+Q368)/F368,"")</f>
        <v>0.0653776980635866</v>
      </c>
      <c r="AI368" s="18" t="n">
        <f aca="false">IFERROR(100*R368/K368,"")</f>
        <v>0.00273703383886169</v>
      </c>
      <c r="AJ368" s="18" t="n">
        <f aca="false">IF(T368&gt;0,100*S368/T368,"")</f>
        <v>12.9616102023348</v>
      </c>
      <c r="AK368" s="18" t="n">
        <f aca="false">IFERROR(100*U368/G368,"")</f>
        <v>1.14794471486809</v>
      </c>
      <c r="AL368" s="18" t="n">
        <f aca="false">IFERROR(100*J368/H368,"")</f>
        <v>95.5257118307361</v>
      </c>
      <c r="AM368" s="18" t="n">
        <f aca="false">IFERROR(100*L368/J368,"")</f>
        <v>94.636178469434</v>
      </c>
      <c r="AN368" s="18" t="n">
        <f aca="false">IFERROR(100*M368/J368,"")</f>
        <v>2.31951792329292</v>
      </c>
      <c r="AO368" s="18" t="n">
        <f aca="false">IFERROR(100*N368/J368,"")</f>
        <v>1.74203232350603</v>
      </c>
    </row>
    <row r="369" customFormat="false" ht="15" hidden="false" customHeight="false" outlineLevel="0" collapsed="false">
      <c r="A369" s="17" t="n">
        <v>18012</v>
      </c>
      <c r="B369" s="23" t="n">
        <v>45016</v>
      </c>
      <c r="C369" s="17" t="s">
        <v>148</v>
      </c>
      <c r="D369" s="17" t="s">
        <v>116</v>
      </c>
      <c r="E369" s="17" t="s">
        <v>114</v>
      </c>
      <c r="F369" s="17" t="n">
        <v>2429028</v>
      </c>
      <c r="G369" s="17" t="n">
        <v>2430525</v>
      </c>
      <c r="H369" s="17" t="n">
        <v>2050411</v>
      </c>
      <c r="I369" s="17" t="n">
        <v>248764</v>
      </c>
      <c r="J369" s="17" t="n">
        <v>1975493</v>
      </c>
      <c r="K369" s="17" t="n">
        <v>1969416</v>
      </c>
      <c r="L369" s="17" t="n">
        <v>1870355</v>
      </c>
      <c r="M369" s="17" t="n">
        <v>46030</v>
      </c>
      <c r="N369" s="17" t="n">
        <v>34042</v>
      </c>
      <c r="O369" s="17" t="n">
        <v>1410</v>
      </c>
      <c r="P369" s="17" t="n">
        <v>1100</v>
      </c>
      <c r="Q369" s="17" t="n">
        <v>0</v>
      </c>
      <c r="R369" s="17" t="n">
        <v>184</v>
      </c>
      <c r="S369" s="17" t="n">
        <v>285865</v>
      </c>
      <c r="T369" s="17" t="n">
        <v>2143386</v>
      </c>
      <c r="U369" s="17" t="n">
        <v>24148</v>
      </c>
      <c r="V369" s="17" t="n">
        <v>0.993530204379712</v>
      </c>
      <c r="W369" s="17" t="n">
        <v>9.89</v>
      </c>
      <c r="X369" s="17" t="n">
        <v>3.23879774845535</v>
      </c>
      <c r="Y369" s="17" t="n">
        <v>1.26869596601962</v>
      </c>
      <c r="Z369" s="17" t="n">
        <v>13.3370750765378</v>
      </c>
      <c r="AA369" s="17" t="n">
        <v>10.2412981653567</v>
      </c>
      <c r="AB369" s="17" t="n">
        <v>2.86441702930649</v>
      </c>
      <c r="AC369" s="17" t="n">
        <v>6.99212680304442</v>
      </c>
      <c r="AD369" s="17" t="n">
        <v>3.25781076888987</v>
      </c>
      <c r="AE369" s="17" t="n">
        <v>-0.396372897990928</v>
      </c>
      <c r="AF369" s="17" t="n">
        <v>-0.0101746772100662</v>
      </c>
      <c r="AG369" s="18" t="n">
        <f aca="false">IFERROR(100*O369/F369,"")</f>
        <v>0.0580479105222336</v>
      </c>
      <c r="AH369" s="18" t="n">
        <f aca="false">IFERROR(100*(P369+Q369)/F369,"")</f>
        <v>0.0452856039535156</v>
      </c>
      <c r="AI369" s="18" t="n">
        <f aca="false">IFERROR(100*R369/K369,"")</f>
        <v>0.00934287118617905</v>
      </c>
      <c r="AJ369" s="18" t="n">
        <f aca="false">IF(T369&gt;0,100*S369/T369,"")</f>
        <v>13.3370750765378</v>
      </c>
      <c r="AK369" s="18" t="n">
        <f aca="false">IFERROR(100*U369/G369,"")</f>
        <v>0.993530204379712</v>
      </c>
      <c r="AL369" s="18" t="n">
        <f aca="false">IFERROR(100*J369/H369,"")</f>
        <v>96.346195957786</v>
      </c>
      <c r="AM369" s="18" t="n">
        <f aca="false">IFERROR(100*L369/J369,"")</f>
        <v>94.6778854696018</v>
      </c>
      <c r="AN369" s="18" t="n">
        <f aca="false">IFERROR(100*M369/J369,"")</f>
        <v>2.33005128340116</v>
      </c>
      <c r="AO369" s="18" t="n">
        <f aca="false">IFERROR(100*N369/J369,"")</f>
        <v>1.72321542015082</v>
      </c>
    </row>
    <row r="370" customFormat="false" ht="15" hidden="false" customHeight="false" outlineLevel="0" collapsed="false">
      <c r="A370" s="17" t="n">
        <v>18012</v>
      </c>
      <c r="B370" s="23" t="n">
        <v>45107</v>
      </c>
      <c r="C370" s="17" t="s">
        <v>148</v>
      </c>
      <c r="D370" s="17" t="s">
        <v>116</v>
      </c>
      <c r="E370" s="17" t="s">
        <v>114</v>
      </c>
      <c r="F370" s="17" t="n">
        <v>2459524</v>
      </c>
      <c r="G370" s="17" t="n">
        <v>2440191.33333333</v>
      </c>
      <c r="H370" s="17" t="n">
        <v>2061672</v>
      </c>
      <c r="I370" s="17" t="n">
        <v>250653</v>
      </c>
      <c r="J370" s="17" t="n">
        <v>2005386</v>
      </c>
      <c r="K370" s="17" t="n">
        <v>1981406</v>
      </c>
      <c r="L370" s="17" t="n">
        <v>1892192</v>
      </c>
      <c r="M370" s="17" t="n">
        <v>50060</v>
      </c>
      <c r="N370" s="17" t="n">
        <v>34372</v>
      </c>
      <c r="O370" s="17" t="n">
        <v>1011</v>
      </c>
      <c r="P370" s="17" t="n">
        <v>2254</v>
      </c>
      <c r="Q370" s="17" t="n">
        <v>0</v>
      </c>
      <c r="R370" s="17" t="n">
        <v>148</v>
      </c>
      <c r="S370" s="17" t="n">
        <v>291001</v>
      </c>
      <c r="T370" s="17" t="n">
        <v>2152041</v>
      </c>
      <c r="U370" s="17" t="n">
        <v>20816</v>
      </c>
      <c r="V370" s="17" t="n">
        <v>0.853047862093874</v>
      </c>
      <c r="W370" s="17" t="n">
        <v>8.45</v>
      </c>
      <c r="X370" s="17" t="n">
        <v>3.08785515504174</v>
      </c>
      <c r="Y370" s="17" t="n">
        <v>1.26768612127541</v>
      </c>
      <c r="Z370" s="17" t="n">
        <v>13.5220936775833</v>
      </c>
      <c r="AA370" s="17" t="n">
        <v>10.1911182814236</v>
      </c>
      <c r="AB370" s="17" t="n">
        <v>3.56823730643519</v>
      </c>
      <c r="AC370" s="17" t="n">
        <v>5.95836347237713</v>
      </c>
      <c r="AD370" s="17" t="n">
        <v>2.35127661581385</v>
      </c>
      <c r="AE370" s="17" t="n">
        <v>-0.423299673725756</v>
      </c>
      <c r="AF370" s="17" t="n">
        <v>-0.00656193825751839</v>
      </c>
      <c r="AG370" s="18" t="n">
        <f aca="false">IFERROR(100*O370/F370,"")</f>
        <v>0.0411055147256136</v>
      </c>
      <c r="AH370" s="18" t="n">
        <f aca="false">IFERROR(100*(P370+Q370)/F370,"")</f>
        <v>0.0916437489530495</v>
      </c>
      <c r="AI370" s="18" t="n">
        <f aca="false">IFERROR(100*R370/K370,"")</f>
        <v>0.00746944341543328</v>
      </c>
      <c r="AJ370" s="18" t="n">
        <f aca="false">IF(T370&gt;0,100*S370/T370,"")</f>
        <v>13.5220936775833</v>
      </c>
      <c r="AK370" s="18" t="n">
        <f aca="false">IFERROR(100*U370/G370,"")</f>
        <v>0.853047862093874</v>
      </c>
      <c r="AL370" s="18" t="n">
        <f aca="false">IFERROR(100*J370/H370,"")</f>
        <v>97.2698858014272</v>
      </c>
      <c r="AM370" s="18" t="n">
        <f aca="false">IFERROR(100*L370/J370,"")</f>
        <v>94.3555006367851</v>
      </c>
      <c r="AN370" s="18" t="n">
        <f aca="false">IFERROR(100*M370/J370,"")</f>
        <v>2.49627752462618</v>
      </c>
      <c r="AO370" s="18" t="n">
        <f aca="false">IFERROR(100*N370/J370,"")</f>
        <v>1.71398424044049</v>
      </c>
    </row>
    <row r="371" customFormat="false" ht="15" hidden="false" customHeight="false" outlineLevel="0" collapsed="false">
      <c r="A371" s="17" t="n">
        <v>18012</v>
      </c>
      <c r="B371" s="23" t="n">
        <v>45199</v>
      </c>
      <c r="C371" s="17" t="s">
        <v>148</v>
      </c>
      <c r="D371" s="17" t="s">
        <v>116</v>
      </c>
      <c r="E371" s="17" t="s">
        <v>114</v>
      </c>
      <c r="F371" s="17" t="n">
        <v>2450354</v>
      </c>
      <c r="G371" s="17" t="n">
        <v>2442732</v>
      </c>
      <c r="H371" s="17" t="n">
        <v>2087557</v>
      </c>
      <c r="I371" s="17" t="n">
        <v>251689</v>
      </c>
      <c r="J371" s="17" t="n">
        <v>1996300</v>
      </c>
      <c r="K371" s="17" t="n">
        <v>1985129.5</v>
      </c>
      <c r="L371" s="17" t="n">
        <v>1885157</v>
      </c>
      <c r="M371" s="17" t="n">
        <v>48455</v>
      </c>
      <c r="N371" s="17" t="n">
        <v>33439</v>
      </c>
      <c r="O371" s="17" t="n">
        <v>742</v>
      </c>
      <c r="P371" s="17" t="n">
        <v>2224</v>
      </c>
      <c r="Q371" s="17" t="n">
        <v>0</v>
      </c>
      <c r="R371" s="17" t="n">
        <v>178.6622</v>
      </c>
      <c r="S371" s="17" t="n">
        <v>296020</v>
      </c>
      <c r="T371" s="17" t="n">
        <v>2145644</v>
      </c>
      <c r="U371" s="17" t="n">
        <v>21278.1347</v>
      </c>
      <c r="V371" s="17" t="n">
        <v>0.871079377516649</v>
      </c>
      <c r="W371" s="17" t="n">
        <v>8.59</v>
      </c>
      <c r="X371" s="17" t="n">
        <v>3.04374113069113</v>
      </c>
      <c r="Y371" s="17" t="n">
        <v>1.24540399739518</v>
      </c>
      <c r="Z371" s="17" t="n">
        <v>13.7963240873137</v>
      </c>
      <c r="AA371" s="17" t="n">
        <v>10.271536275983</v>
      </c>
      <c r="AB371" s="17" t="n">
        <v>2.09727506323909</v>
      </c>
      <c r="AC371" s="17" t="n">
        <v>3.76529281481355</v>
      </c>
      <c r="AD371" s="17" t="n">
        <v>-0.0571633478571698</v>
      </c>
      <c r="AE371" s="17" t="n">
        <v>-0.345896373140132</v>
      </c>
      <c r="AF371" s="17" t="n">
        <v>-0.0137183127281938</v>
      </c>
      <c r="AG371" s="18" t="n">
        <f aca="false">IFERROR(100*O371/F371,"")</f>
        <v>0.0302813389412305</v>
      </c>
      <c r="AH371" s="18" t="n">
        <f aca="false">IFERROR(100*(P371+Q371)/F371,"")</f>
        <v>0.0907623959640117</v>
      </c>
      <c r="AI371" s="18" t="n">
        <f aca="false">IFERROR(100*R371/K371,"")</f>
        <v>0.00900002745412831</v>
      </c>
      <c r="AJ371" s="18" t="n">
        <f aca="false">IF(T371&gt;0,100*S371/T371,"")</f>
        <v>13.7963240873136</v>
      </c>
      <c r="AK371" s="18" t="n">
        <f aca="false">IFERROR(100*U371/G371,"")</f>
        <v>0.871079377516649</v>
      </c>
      <c r="AL371" s="18" t="n">
        <f aca="false">IFERROR(100*J371/H371,"")</f>
        <v>95.6285265504128</v>
      </c>
      <c r="AM371" s="18" t="n">
        <f aca="false">IFERROR(100*L371/J371,"")</f>
        <v>94.4325502179031</v>
      </c>
      <c r="AN371" s="18" t="n">
        <f aca="false">IFERROR(100*M371/J371,"")</f>
        <v>2.42724039473025</v>
      </c>
      <c r="AO371" s="18" t="n">
        <f aca="false">IFERROR(100*N371/J371,"")</f>
        <v>1.67504884035466</v>
      </c>
    </row>
    <row r="372" customFormat="false" ht="15" hidden="false" customHeight="false" outlineLevel="0" collapsed="false">
      <c r="A372" s="17" t="n">
        <v>18012</v>
      </c>
      <c r="B372" s="23" t="n">
        <v>45291</v>
      </c>
      <c r="C372" s="17" t="s">
        <v>148</v>
      </c>
      <c r="D372" s="17" t="s">
        <v>116</v>
      </c>
      <c r="E372" s="17" t="s">
        <v>114</v>
      </c>
      <c r="F372" s="17" t="n">
        <v>2515915</v>
      </c>
      <c r="G372" s="17" t="n">
        <v>2457368.6</v>
      </c>
      <c r="H372" s="17" t="n">
        <v>2106019</v>
      </c>
      <c r="I372" s="17" t="n">
        <v>266248</v>
      </c>
      <c r="J372" s="17" t="n">
        <v>1993532</v>
      </c>
      <c r="K372" s="17" t="n">
        <v>1986810</v>
      </c>
      <c r="L372" s="17" t="n">
        <v>1887130</v>
      </c>
      <c r="M372" s="17" t="n">
        <v>49841</v>
      </c>
      <c r="N372" s="17" t="n">
        <v>33148</v>
      </c>
      <c r="O372" s="17" t="n">
        <v>555</v>
      </c>
      <c r="P372" s="17" t="n">
        <v>3215</v>
      </c>
      <c r="Q372" s="17" t="n">
        <v>0</v>
      </c>
      <c r="R372" s="17" t="n">
        <v>162</v>
      </c>
      <c r="S372" s="17" t="n">
        <v>300923</v>
      </c>
      <c r="T372" s="17" t="n">
        <v>2118069</v>
      </c>
      <c r="U372" s="17" t="n">
        <v>21575</v>
      </c>
      <c r="V372" s="17" t="n">
        <v>0.877971664486964</v>
      </c>
      <c r="W372" s="17" t="n">
        <v>8.58</v>
      </c>
      <c r="X372" s="17" t="n">
        <v>3.00536889829927</v>
      </c>
      <c r="Y372" s="17" t="n">
        <v>1.20429468902431</v>
      </c>
      <c r="Z372" s="17" t="n">
        <v>14.2074219489545</v>
      </c>
      <c r="AA372" s="17" t="n">
        <v>10.5825514772955</v>
      </c>
      <c r="AB372" s="17" t="n">
        <v>3.44951649286067</v>
      </c>
      <c r="AC372" s="17" t="n">
        <v>1.53783936447043</v>
      </c>
      <c r="AD372" s="17" t="n">
        <v>2.46776746351747</v>
      </c>
      <c r="AE372" s="17" t="n">
        <v>-0.269973050381123</v>
      </c>
      <c r="AF372" s="17" t="n">
        <v>-0.0399875673016484</v>
      </c>
      <c r="AG372" s="18" t="n">
        <f aca="false">IFERROR(100*O372/F372,"")</f>
        <v>0.022059568785114</v>
      </c>
      <c r="AH372" s="18" t="n">
        <f aca="false">IFERROR(100*(P372+Q372)/F372,"")</f>
        <v>0.127786511070525</v>
      </c>
      <c r="AI372" s="18" t="n">
        <f aca="false">IFERROR(100*R372/K372,"")</f>
        <v>0.00815377414045631</v>
      </c>
      <c r="AJ372" s="18" t="n">
        <f aca="false">IF(T372&gt;0,100*S372/T372,"")</f>
        <v>14.2074219489545</v>
      </c>
      <c r="AK372" s="18" t="n">
        <f aca="false">IFERROR(100*U372/G372,"")</f>
        <v>0.877971664486964</v>
      </c>
      <c r="AL372" s="18" t="n">
        <f aca="false">IFERROR(100*J372/H372,"")</f>
        <v>94.6587851296688</v>
      </c>
      <c r="AM372" s="18" t="n">
        <f aca="false">IFERROR(100*L372/J372,"")</f>
        <v>94.6626389744434</v>
      </c>
      <c r="AN372" s="18" t="n">
        <f aca="false">IFERROR(100*M372/J372,"")</f>
        <v>2.50013543800651</v>
      </c>
      <c r="AO372" s="18" t="n">
        <f aca="false">IFERROR(100*N372/J372,"")</f>
        <v>1.66277742218334</v>
      </c>
    </row>
    <row r="373" customFormat="false" ht="15" hidden="false" customHeight="false" outlineLevel="0" collapsed="false">
      <c r="A373" s="17" t="n">
        <v>18012</v>
      </c>
      <c r="B373" s="23" t="n">
        <v>45382</v>
      </c>
      <c r="C373" s="17" t="s">
        <v>148</v>
      </c>
      <c r="D373" s="17" t="s">
        <v>116</v>
      </c>
      <c r="E373" s="17" t="s">
        <v>114</v>
      </c>
      <c r="F373" s="17" t="n">
        <v>2475597</v>
      </c>
      <c r="G373" s="17" t="n">
        <v>2495756</v>
      </c>
      <c r="H373" s="17" t="n">
        <v>2087993</v>
      </c>
      <c r="I373" s="17" t="n">
        <v>269535</v>
      </c>
      <c r="J373" s="17" t="n">
        <v>1997011</v>
      </c>
      <c r="K373" s="17" t="n">
        <v>1995271.5</v>
      </c>
      <c r="L373" s="17" t="n">
        <v>1892259</v>
      </c>
      <c r="M373" s="17" t="n">
        <v>50469</v>
      </c>
      <c r="N373" s="17" t="n">
        <v>31306</v>
      </c>
      <c r="O373" s="17" t="n">
        <v>790</v>
      </c>
      <c r="P373" s="17" t="n">
        <v>4940</v>
      </c>
      <c r="Q373" s="17" t="n">
        <v>0</v>
      </c>
      <c r="R373" s="17" t="n">
        <v>88</v>
      </c>
      <c r="S373" s="17" t="n">
        <v>305466</v>
      </c>
      <c r="T373" s="17" t="n">
        <v>2125568</v>
      </c>
      <c r="U373" s="17" t="n">
        <v>16656</v>
      </c>
      <c r="V373" s="17" t="n">
        <v>0.667372932289855</v>
      </c>
      <c r="W373" s="17" t="n">
        <v>6.22</v>
      </c>
      <c r="X373" s="17" t="n">
        <v>2.68109876927255</v>
      </c>
      <c r="Y373" s="17" t="n">
        <v>1.22122512094325</v>
      </c>
      <c r="Z373" s="17" t="n">
        <v>14.3710292966398</v>
      </c>
      <c r="AA373" s="17" t="n">
        <v>10.8876767906893</v>
      </c>
      <c r="AB373" s="17" t="n">
        <v>1.91718662773752</v>
      </c>
      <c r="AC373" s="17" t="n">
        <v>1.08924708920761</v>
      </c>
      <c r="AD373" s="17" t="n">
        <v>1.83290081842129</v>
      </c>
      <c r="AE373" s="17" t="n">
        <v>-0.326157272089857</v>
      </c>
      <c r="AF373" s="17" t="n">
        <v>-0.0261364160423162</v>
      </c>
      <c r="AG373" s="18" t="n">
        <f aca="false">IFERROR(100*O373/F373,"")</f>
        <v>0.0319114944799174</v>
      </c>
      <c r="AH373" s="18" t="n">
        <f aca="false">IFERROR(100*(P373+Q373)/F373,"")</f>
        <v>0.199547826241509</v>
      </c>
      <c r="AI373" s="18" t="n">
        <f aca="false">IFERROR(100*R373/K373,"")</f>
        <v>0.00441042735286902</v>
      </c>
      <c r="AJ373" s="18" t="n">
        <f aca="false">IF(T373&gt;0,100*S373/T373,"")</f>
        <v>14.3710292966398</v>
      </c>
      <c r="AK373" s="18" t="n">
        <f aca="false">IFERROR(100*U373/G373,"")</f>
        <v>0.667372932289855</v>
      </c>
      <c r="AL373" s="18" t="n">
        <f aca="false">IFERROR(100*J373/H373,"")</f>
        <v>95.6426099129643</v>
      </c>
      <c r="AM373" s="18" t="n">
        <f aca="false">IFERROR(100*L373/J373,"")</f>
        <v>94.7545606909526</v>
      </c>
      <c r="AN373" s="18" t="n">
        <f aca="false">IFERROR(100*M373/J373,"")</f>
        <v>2.52722694066282</v>
      </c>
      <c r="AO373" s="18" t="n">
        <f aca="false">IFERROR(100*N373/J373,"")</f>
        <v>1.56764284222771</v>
      </c>
    </row>
    <row r="374" customFormat="false" ht="15" hidden="false" customHeight="false" outlineLevel="0" collapsed="false">
      <c r="A374" s="17" t="n">
        <v>18012</v>
      </c>
      <c r="B374" s="23" t="n">
        <v>45473</v>
      </c>
      <c r="C374" s="17" t="s">
        <v>148</v>
      </c>
      <c r="D374" s="17" t="s">
        <v>116</v>
      </c>
      <c r="E374" s="17" t="s">
        <v>114</v>
      </c>
      <c r="F374" s="17" t="n">
        <v>2499818</v>
      </c>
      <c r="G374" s="17" t="n">
        <v>2497110</v>
      </c>
      <c r="H374" s="17" t="n">
        <v>2102355</v>
      </c>
      <c r="I374" s="17" t="n">
        <v>274634</v>
      </c>
      <c r="J374" s="17" t="n">
        <v>2035131</v>
      </c>
      <c r="K374" s="17" t="n">
        <v>2008558</v>
      </c>
      <c r="L374" s="17" t="n">
        <v>1928747</v>
      </c>
      <c r="M374" s="17" t="n">
        <v>51095</v>
      </c>
      <c r="N374" s="17" t="n">
        <v>30545</v>
      </c>
      <c r="O374" s="17" t="n">
        <v>990</v>
      </c>
      <c r="P374" s="17" t="n">
        <v>2843</v>
      </c>
      <c r="Q374" s="17" t="n">
        <v>0</v>
      </c>
      <c r="R374" s="17" t="n">
        <v>98</v>
      </c>
      <c r="S374" s="17" t="n">
        <v>309576</v>
      </c>
      <c r="T374" s="17" t="n">
        <v>2119776</v>
      </c>
      <c r="U374" s="17" t="n">
        <v>16442</v>
      </c>
      <c r="V374" s="17" t="n">
        <v>0.658441157978623</v>
      </c>
      <c r="W374" s="17" t="n">
        <v>6.09</v>
      </c>
      <c r="X374" s="17" t="n">
        <v>2.68205710330269</v>
      </c>
      <c r="Y374" s="17" t="n">
        <v>1.19338755097338</v>
      </c>
      <c r="Z374" s="17" t="n">
        <v>14.6041845930891</v>
      </c>
      <c r="AA374" s="17" t="n">
        <v>10.9861597924329</v>
      </c>
      <c r="AB374" s="17" t="n">
        <v>1.63828448106218</v>
      </c>
      <c r="AC374" s="17" t="n">
        <v>1.48325559268889</v>
      </c>
      <c r="AD374" s="17" t="n">
        <v>1.97330128167816</v>
      </c>
      <c r="AE374" s="17" t="n">
        <v>-0.194606704115251</v>
      </c>
      <c r="AF374" s="17" t="n">
        <v>-0.00150263163572463</v>
      </c>
      <c r="AG374" s="18" t="n">
        <f aca="false">IFERROR(100*O374/F374,"")</f>
        <v>0.0396028830898889</v>
      </c>
      <c r="AH374" s="18" t="n">
        <f aca="false">IFERROR(100*(P374+Q374)/F374,"")</f>
        <v>0.113728279418742</v>
      </c>
      <c r="AI374" s="18" t="n">
        <f aca="false">IFERROR(100*R374/K374,"")</f>
        <v>0.00487912223595236</v>
      </c>
      <c r="AJ374" s="18" t="n">
        <f aca="false">IF(T374&gt;0,100*S374/T374,"")</f>
        <v>14.6041845930891</v>
      </c>
      <c r="AK374" s="18" t="n">
        <f aca="false">IFERROR(100*U374/G374,"")</f>
        <v>0.658441157978623</v>
      </c>
      <c r="AL374" s="18" t="n">
        <f aca="false">IFERROR(100*J374/H374,"")</f>
        <v>96.8024429746641</v>
      </c>
      <c r="AM374" s="18" t="n">
        <f aca="false">IFERROR(100*L374/J374,"")</f>
        <v>94.7726215167476</v>
      </c>
      <c r="AN374" s="18" t="n">
        <f aca="false">IFERROR(100*M374/J374,"")</f>
        <v>2.51064919162452</v>
      </c>
      <c r="AO374" s="18" t="n">
        <f aca="false">IFERROR(100*N374/J374,"")</f>
        <v>1.50088618373952</v>
      </c>
    </row>
    <row r="375" customFormat="false" ht="15" hidden="false" customHeight="false" outlineLevel="0" collapsed="false">
      <c r="A375" s="17" t="n">
        <v>18012</v>
      </c>
      <c r="B375" s="23" t="n">
        <v>45565</v>
      </c>
      <c r="C375" s="17" t="s">
        <v>148</v>
      </c>
      <c r="D375" s="17" t="s">
        <v>116</v>
      </c>
      <c r="E375" s="17" t="s">
        <v>114</v>
      </c>
      <c r="F375" s="17" t="n">
        <v>2583718</v>
      </c>
      <c r="G375" s="17" t="n">
        <v>2518762</v>
      </c>
      <c r="H375" s="17" t="n">
        <v>2179694</v>
      </c>
      <c r="I375" s="17" t="n">
        <v>287158</v>
      </c>
      <c r="J375" s="17" t="n">
        <v>2078109</v>
      </c>
      <c r="K375" s="17" t="n">
        <v>2025945.75</v>
      </c>
      <c r="L375" s="17" t="n">
        <v>1973661</v>
      </c>
      <c r="M375" s="17" t="n">
        <v>48301</v>
      </c>
      <c r="N375" s="17" t="n">
        <v>28594</v>
      </c>
      <c r="O375" s="17" t="n">
        <v>551</v>
      </c>
      <c r="P375" s="17" t="n">
        <v>4359</v>
      </c>
      <c r="Q375" s="17" t="n">
        <v>0</v>
      </c>
      <c r="R375" s="17" t="n">
        <v>107.9973</v>
      </c>
      <c r="S375" s="17" t="n">
        <v>314728</v>
      </c>
      <c r="T375" s="17" t="n">
        <v>2182433</v>
      </c>
      <c r="U375" s="17" t="n">
        <v>17835.5541</v>
      </c>
      <c r="V375" s="17" t="n">
        <v>0.708107955416192</v>
      </c>
      <c r="W375" s="17" t="n">
        <v>6.5</v>
      </c>
      <c r="X375" s="17" t="n">
        <v>2.69914361948279</v>
      </c>
      <c r="Y375" s="17" t="n">
        <v>1.16726312238675</v>
      </c>
      <c r="Z375" s="17" t="n">
        <v>14.420969624268</v>
      </c>
      <c r="AA375" s="17" t="n">
        <v>11.1141386172949</v>
      </c>
      <c r="AB375" s="17" t="n">
        <v>5.44264216517287</v>
      </c>
      <c r="AC375" s="17" t="n">
        <v>4.09803135801232</v>
      </c>
      <c r="AD375" s="17" t="n">
        <v>4.41362798716394</v>
      </c>
      <c r="AE375" s="17" t="n">
        <v>-0.162971422100457</v>
      </c>
      <c r="AF375" s="17" t="n">
        <v>-0.00895548217203204</v>
      </c>
      <c r="AG375" s="18" t="n">
        <f aca="false">IFERROR(100*O375/F375,"")</f>
        <v>0.0213258567691985</v>
      </c>
      <c r="AH375" s="18" t="n">
        <f aca="false">IFERROR(100*(P375+Q375)/F375,"")</f>
        <v>0.168710362353786</v>
      </c>
      <c r="AI375" s="18" t="n">
        <f aca="false">IFERROR(100*R375/K375,"")</f>
        <v>0.00533071036082778</v>
      </c>
      <c r="AJ375" s="18" t="n">
        <f aca="false">IF(T375&gt;0,100*S375/T375,"")</f>
        <v>14.420969624268</v>
      </c>
      <c r="AK375" s="18" t="n">
        <f aca="false">IFERROR(100*U375/G375,"")</f>
        <v>0.708107955416193</v>
      </c>
      <c r="AL375" s="18" t="n">
        <f aca="false">IFERROR(100*J375/H375,"")</f>
        <v>95.3394834320781</v>
      </c>
      <c r="AM375" s="18" t="n">
        <f aca="false">IFERROR(100*L375/J375,"")</f>
        <v>94.9738921298161</v>
      </c>
      <c r="AN375" s="18" t="n">
        <f aca="false">IFERROR(100*M375/J375,"")</f>
        <v>2.32427654179834</v>
      </c>
      <c r="AO375" s="18" t="n">
        <f aca="false">IFERROR(100*N375/J375,"")</f>
        <v>1.37596247357574</v>
      </c>
    </row>
    <row r="376" customFormat="false" ht="15" hidden="false" customHeight="false" outlineLevel="0" collapsed="false">
      <c r="A376" s="17" t="n">
        <v>18012</v>
      </c>
      <c r="B376" s="23" t="n">
        <v>45657</v>
      </c>
      <c r="C376" s="17" t="s">
        <v>148</v>
      </c>
      <c r="D376" s="17" t="s">
        <v>116</v>
      </c>
      <c r="E376" s="17" t="s">
        <v>114</v>
      </c>
      <c r="F376" s="17" t="n">
        <v>2624175</v>
      </c>
      <c r="G376" s="17" t="n">
        <v>2539844.6</v>
      </c>
      <c r="H376" s="17" t="n">
        <v>2255597</v>
      </c>
      <c r="I376" s="17" t="n">
        <v>284572</v>
      </c>
      <c r="J376" s="17" t="n">
        <v>2093747</v>
      </c>
      <c r="K376" s="17" t="n">
        <v>2039506</v>
      </c>
      <c r="L376" s="17" t="n">
        <v>1993083</v>
      </c>
      <c r="M376" s="17" t="n">
        <v>49333</v>
      </c>
      <c r="N376" s="17" t="n">
        <v>27667</v>
      </c>
      <c r="O376" s="17" t="n">
        <v>1092</v>
      </c>
      <c r="P376" s="17" t="n">
        <v>1990</v>
      </c>
      <c r="Q376" s="17" t="n">
        <v>0</v>
      </c>
      <c r="R376" s="17" t="n">
        <v>111</v>
      </c>
      <c r="S376" s="17" t="n">
        <v>318797</v>
      </c>
      <c r="T376" s="17" t="n">
        <v>2269858</v>
      </c>
      <c r="U376" s="17" t="n">
        <v>16872</v>
      </c>
      <c r="V376" s="17" t="n">
        <v>0.664292610658148</v>
      </c>
      <c r="W376" s="17" t="n">
        <v>6.1</v>
      </c>
      <c r="X376" s="17" t="n">
        <v>2.72584646895489</v>
      </c>
      <c r="Y376" s="17" t="n">
        <v>1.17516586292422</v>
      </c>
      <c r="Z376" s="17" t="n">
        <v>14.0447992781927</v>
      </c>
      <c r="AA376" s="17" t="n">
        <v>10.8442462869283</v>
      </c>
      <c r="AB376" s="17" t="n">
        <v>4.30300705707467</v>
      </c>
      <c r="AC376" s="17" t="n">
        <v>5.0270073417432</v>
      </c>
      <c r="AD376" s="17" t="n">
        <v>7.10240505902369</v>
      </c>
      <c r="AE376" s="17" t="n">
        <v>-0.213679053828816</v>
      </c>
      <c r="AF376" s="17" t="n">
        <v>0.0195535096109534</v>
      </c>
      <c r="AG376" s="18" t="n">
        <f aca="false">IFERROR(100*O376/F376,"")</f>
        <v>0.0416130783960673</v>
      </c>
      <c r="AH376" s="18" t="n">
        <f aca="false">IFERROR(100*(P376+Q376)/F376,"")</f>
        <v>0.0758333571503425</v>
      </c>
      <c r="AI376" s="18" t="n">
        <f aca="false">IFERROR(100*R376/K376,"")</f>
        <v>0.00544249440795958</v>
      </c>
      <c r="AJ376" s="18" t="n">
        <f aca="false">IF(T376&gt;0,100*S376/T376,"")</f>
        <v>14.0447992781927</v>
      </c>
      <c r="AK376" s="18" t="n">
        <f aca="false">IFERROR(100*U376/G376,"")</f>
        <v>0.664292610658148</v>
      </c>
      <c r="AL376" s="18" t="n">
        <f aca="false">IFERROR(100*J376/H376,"")</f>
        <v>92.8245160815518</v>
      </c>
      <c r="AM376" s="18" t="n">
        <f aca="false">IFERROR(100*L376/J376,"")</f>
        <v>95.1921602753341</v>
      </c>
      <c r="AN376" s="18" t="n">
        <f aca="false">IFERROR(100*M376/J376,"")</f>
        <v>2.3562063611315</v>
      </c>
      <c r="AO376" s="18" t="n">
        <f aca="false">IFERROR(100*N376/J376,"")</f>
        <v>1.32141084858868</v>
      </c>
    </row>
    <row r="377" customFormat="false" ht="15" hidden="false" customHeight="false" outlineLevel="0" collapsed="false">
      <c r="A377" s="17" t="n">
        <v>18012</v>
      </c>
      <c r="B377" s="23" t="n">
        <v>45747</v>
      </c>
      <c r="C377" s="17" t="s">
        <v>148</v>
      </c>
      <c r="D377" s="17" t="s">
        <v>116</v>
      </c>
      <c r="E377" s="17" t="s">
        <v>114</v>
      </c>
      <c r="F377" s="17" t="n">
        <v>2654603</v>
      </c>
      <c r="G377" s="17" t="n">
        <v>2639389</v>
      </c>
      <c r="H377" s="17" t="n">
        <v>2299127</v>
      </c>
      <c r="I377" s="17" t="n">
        <v>293951</v>
      </c>
      <c r="J377" s="17" t="n">
        <v>2121041</v>
      </c>
      <c r="K377" s="17" t="n">
        <v>2107394</v>
      </c>
      <c r="L377" s="17" t="n">
        <v>2023412</v>
      </c>
      <c r="M377" s="17" t="n">
        <v>49493</v>
      </c>
      <c r="N377" s="17" t="n">
        <v>26074</v>
      </c>
      <c r="O377" s="17" t="n">
        <v>1089</v>
      </c>
      <c r="P377" s="17" t="n">
        <v>3239</v>
      </c>
      <c r="Q377" s="17" t="n">
        <v>0</v>
      </c>
      <c r="R377" s="17" t="n">
        <v>76</v>
      </c>
      <c r="S377" s="17" t="n">
        <v>323649</v>
      </c>
      <c r="T377" s="17" t="n">
        <v>2301197</v>
      </c>
      <c r="U377" s="17" t="n">
        <v>19688</v>
      </c>
      <c r="V377" s="17" t="n">
        <v>0.745930213394085</v>
      </c>
      <c r="W377" s="17" t="n">
        <v>6.81</v>
      </c>
      <c r="X377" s="17" t="n">
        <v>2.79975953134989</v>
      </c>
      <c r="Y377" s="17" t="n">
        <v>1.1708873142952</v>
      </c>
      <c r="Z377" s="17" t="n">
        <v>14.0643760616757</v>
      </c>
      <c r="AA377" s="17" t="n">
        <v>11.0732565283773</v>
      </c>
      <c r="AB377" s="17" t="n">
        <v>7.23082149477479</v>
      </c>
      <c r="AC377" s="17" t="n">
        <v>6.2107820137195</v>
      </c>
      <c r="AD377" s="17" t="n">
        <v>10.11181550896</v>
      </c>
      <c r="AE377" s="17" t="n">
        <v>0.0785572811042294</v>
      </c>
      <c r="AF377" s="17" t="n">
        <v>0.0091115888210508</v>
      </c>
      <c r="AG377" s="18" t="n">
        <f aca="false">IFERROR(100*O377/F377,"")</f>
        <v>0.0410230833009682</v>
      </c>
      <c r="AH377" s="18" t="n">
        <f aca="false">IFERROR(100*(P377+Q377)/F377,"")</f>
        <v>0.122014478247783</v>
      </c>
      <c r="AI377" s="18" t="n">
        <f aca="false">IFERROR(100*R377/K377,"")</f>
        <v>0.00360634983301651</v>
      </c>
      <c r="AJ377" s="18" t="n">
        <f aca="false">IF(T377&gt;0,100*S377/T377,"")</f>
        <v>14.0643760616757</v>
      </c>
      <c r="AK377" s="18" t="n">
        <f aca="false">IFERROR(100*U377/G377,"")</f>
        <v>0.745930213394085</v>
      </c>
      <c r="AL377" s="18" t="n">
        <f aca="false">IFERROR(100*J377/H377,"")</f>
        <v>92.254190394876</v>
      </c>
      <c r="AM377" s="18" t="n">
        <f aca="false">IFERROR(100*L377/J377,"")</f>
        <v>95.3971186789883</v>
      </c>
      <c r="AN377" s="18" t="n">
        <f aca="false">IFERROR(100*M377/J377,"")</f>
        <v>2.33342966967635</v>
      </c>
      <c r="AO377" s="18" t="n">
        <f aca="false">IFERROR(100*N377/J377,"")</f>
        <v>1.2293020266935</v>
      </c>
    </row>
    <row r="378" customFormat="false" ht="15" hidden="false" customHeight="false" outlineLevel="0" collapsed="false">
      <c r="A378" s="17" t="n">
        <v>18012</v>
      </c>
      <c r="B378" s="23" t="n">
        <v>45838</v>
      </c>
      <c r="C378" s="17" t="s">
        <v>148</v>
      </c>
      <c r="D378" s="17" t="s">
        <v>116</v>
      </c>
      <c r="E378" s="17" t="s">
        <v>114</v>
      </c>
      <c r="F378" s="17" t="n">
        <v>2642289</v>
      </c>
      <c r="G378" s="17" t="n">
        <v>2640355.66666667</v>
      </c>
      <c r="H378" s="17" t="n">
        <v>2262357</v>
      </c>
      <c r="I378" s="17" t="n">
        <v>301653</v>
      </c>
      <c r="J378" s="17" t="n">
        <v>2150865</v>
      </c>
      <c r="K378" s="17" t="n">
        <v>2121884.33333333</v>
      </c>
      <c r="L378" s="17" t="n">
        <v>2050812</v>
      </c>
      <c r="M378" s="17" t="n">
        <v>52326</v>
      </c>
      <c r="N378" s="17" t="n">
        <v>25170</v>
      </c>
      <c r="O378" s="17" t="n">
        <v>1020</v>
      </c>
      <c r="P378" s="17" t="n">
        <v>4968</v>
      </c>
      <c r="Q378" s="17" t="n">
        <v>0</v>
      </c>
      <c r="R378" s="17" t="n">
        <v>230</v>
      </c>
      <c r="S378" s="17" t="n">
        <v>329272</v>
      </c>
      <c r="T378" s="17" t="n">
        <v>2360657</v>
      </c>
      <c r="U378" s="17" t="n">
        <v>20880</v>
      </c>
      <c r="V378" s="17" t="n">
        <v>0.790802552231915</v>
      </c>
      <c r="W378" s="17" t="n">
        <v>7.12</v>
      </c>
      <c r="X378" s="17" t="n">
        <v>2.89560003912315</v>
      </c>
      <c r="Y378" s="17" t="n">
        <v>1.16762325854947</v>
      </c>
      <c r="Z378" s="17" t="n">
        <v>13.9483203193009</v>
      </c>
      <c r="AA378" s="17" t="n">
        <v>11.4163515043207</v>
      </c>
      <c r="AB378" s="17" t="n">
        <v>5.69925490575713</v>
      </c>
      <c r="AC378" s="17" t="n">
        <v>5.68680836761859</v>
      </c>
      <c r="AD378" s="17" t="n">
        <v>7.61060810376935</v>
      </c>
      <c r="AE378" s="17" t="n">
        <v>0.132361394253292</v>
      </c>
      <c r="AF378" s="17" t="n">
        <v>-0.000999989916583524</v>
      </c>
      <c r="AG378" s="18" t="n">
        <f aca="false">IFERROR(100*O378/F378,"")</f>
        <v>0.0386028931733054</v>
      </c>
      <c r="AH378" s="18" t="n">
        <f aca="false">IFERROR(100*(P378+Q378)/F378,"")</f>
        <v>0.188018797338217</v>
      </c>
      <c r="AI378" s="18" t="n">
        <f aca="false">IFERROR(100*R378/K378,"")</f>
        <v>0.0108394221299842</v>
      </c>
      <c r="AJ378" s="18" t="n">
        <f aca="false">IF(T378&gt;0,100*S378/T378,"")</f>
        <v>13.9483203193009</v>
      </c>
      <c r="AK378" s="18" t="n">
        <f aca="false">IFERROR(100*U378/G378,"")</f>
        <v>0.790802552231915</v>
      </c>
      <c r="AL378" s="18" t="n">
        <f aca="false">IFERROR(100*J378/H378,"")</f>
        <v>95.0718653156863</v>
      </c>
      <c r="AM378" s="18" t="n">
        <f aca="false">IFERROR(100*L378/J378,"")</f>
        <v>95.3482436136159</v>
      </c>
      <c r="AN378" s="18" t="n">
        <f aca="false">IFERROR(100*M378/J378,"")</f>
        <v>2.4327886687449</v>
      </c>
      <c r="AO378" s="18" t="n">
        <f aca="false">IFERROR(100*N378/J378,"")</f>
        <v>1.1702268622159</v>
      </c>
    </row>
    <row r="379" customFormat="false" ht="15" hidden="false" customHeight="false" outlineLevel="0" collapsed="false">
      <c r="A379" s="17" t="n">
        <v>18013</v>
      </c>
      <c r="B379" s="23" t="n">
        <v>44651</v>
      </c>
      <c r="C379" s="17" t="s">
        <v>131</v>
      </c>
      <c r="D379" s="17" t="s">
        <v>116</v>
      </c>
      <c r="E379" s="17" t="s">
        <v>114</v>
      </c>
      <c r="F379" s="17" t="n">
        <v>2600482</v>
      </c>
      <c r="G379" s="17" t="n">
        <v>2622717.5</v>
      </c>
      <c r="H379" s="17" t="n">
        <v>2300252</v>
      </c>
      <c r="I379" s="17" t="n">
        <v>212897</v>
      </c>
      <c r="J379" s="17" t="n">
        <v>1930494</v>
      </c>
      <c r="K379" s="17" t="n">
        <v>1909863</v>
      </c>
      <c r="L379" s="17" t="n">
        <v>1765339</v>
      </c>
      <c r="M379" s="17" t="n">
        <v>115058</v>
      </c>
      <c r="N379" s="17" t="n">
        <v>10633</v>
      </c>
      <c r="O379" s="17" t="n">
        <v>1382</v>
      </c>
      <c r="P379" s="17" t="n">
        <v>2301</v>
      </c>
      <c r="Q379" s="17" t="n">
        <v>210</v>
      </c>
      <c r="R379" s="17" t="n">
        <v>-104</v>
      </c>
      <c r="S379" s="17" t="n">
        <v>243884</v>
      </c>
      <c r="T379" s="17" t="n">
        <v>1702211</v>
      </c>
      <c r="U379" s="17" t="n">
        <v>19176</v>
      </c>
      <c r="V379" s="17" t="n">
        <v>0.731150038080731</v>
      </c>
      <c r="W379" s="17" t="n">
        <v>8.73</v>
      </c>
      <c r="X379" s="17" t="n">
        <v>3.00297177382644</v>
      </c>
      <c r="Y379" s="17" t="n">
        <v>0.956594529690328</v>
      </c>
      <c r="Z379" s="17" t="n">
        <v>14.3274834905896</v>
      </c>
      <c r="AA379" s="17" t="n">
        <v>8.18682844180425</v>
      </c>
      <c r="AB379" s="17"/>
      <c r="AC379" s="17"/>
      <c r="AD379" s="17"/>
      <c r="AE379" s="17"/>
      <c r="AF379" s="17"/>
      <c r="AG379" s="18" t="n">
        <f aca="false">IFERROR(100*O379/F379,"")</f>
        <v>0.0531439940749446</v>
      </c>
      <c r="AH379" s="18" t="n">
        <f aca="false">IFERROR(100*(P379+Q379)/F379,"")</f>
        <v>0.0965590225196714</v>
      </c>
      <c r="AI379" s="18" t="n">
        <f aca="false">IFERROR(100*R379/K379,"")</f>
        <v>-0.00544541676549575</v>
      </c>
      <c r="AJ379" s="18" t="n">
        <f aca="false">IF(T379&gt;0,100*S379/T379,"")</f>
        <v>14.3274834905896</v>
      </c>
      <c r="AK379" s="18" t="n">
        <f aca="false">IFERROR(100*U379/G379,"")</f>
        <v>0.731150038080731</v>
      </c>
      <c r="AL379" s="18" t="n">
        <f aca="false">IFERROR(100*J379/H379,"")</f>
        <v>83.9253264424941</v>
      </c>
      <c r="AM379" s="18" t="n">
        <f aca="false">IFERROR(100*L379/J379,"")</f>
        <v>91.4449358557965</v>
      </c>
      <c r="AN379" s="18" t="n">
        <f aca="false">IFERROR(100*M379/J379,"")</f>
        <v>5.96002888379866</v>
      </c>
      <c r="AO379" s="18" t="n">
        <f aca="false">IFERROR(100*N379/J379,"")</f>
        <v>0.55079166265215</v>
      </c>
    </row>
    <row r="380" customFormat="false" ht="15" hidden="false" customHeight="false" outlineLevel="0" collapsed="false">
      <c r="A380" s="17" t="n">
        <v>18013</v>
      </c>
      <c r="B380" s="23" t="n">
        <v>44742</v>
      </c>
      <c r="C380" s="17" t="s">
        <v>131</v>
      </c>
      <c r="D380" s="17" t="s">
        <v>116</v>
      </c>
      <c r="E380" s="17" t="s">
        <v>114</v>
      </c>
      <c r="F380" s="17" t="n">
        <v>2601325</v>
      </c>
      <c r="G380" s="17" t="n">
        <v>2615586.66666667</v>
      </c>
      <c r="H380" s="17" t="n">
        <v>2273331</v>
      </c>
      <c r="I380" s="17" t="n">
        <v>196477</v>
      </c>
      <c r="J380" s="17" t="n">
        <v>2018864</v>
      </c>
      <c r="K380" s="17" t="n">
        <v>1946196.66666667</v>
      </c>
      <c r="L380" s="17" t="n">
        <v>1844412</v>
      </c>
      <c r="M380" s="17" t="n">
        <v>113370</v>
      </c>
      <c r="N380" s="17" t="n">
        <v>12266</v>
      </c>
      <c r="O380" s="17" t="n">
        <v>1506</v>
      </c>
      <c r="P380" s="17" t="n">
        <v>3104</v>
      </c>
      <c r="Q380" s="17" t="n">
        <v>781</v>
      </c>
      <c r="R380" s="17" t="n">
        <v>-86</v>
      </c>
      <c r="S380" s="17" t="n">
        <v>248433</v>
      </c>
      <c r="T380" s="17" t="n">
        <v>1812876</v>
      </c>
      <c r="U380" s="17" t="n">
        <v>19220</v>
      </c>
      <c r="V380" s="17" t="n">
        <v>0.734825584062722</v>
      </c>
      <c r="W380" s="17" t="n">
        <v>9.07</v>
      </c>
      <c r="X380" s="17" t="n">
        <v>3.10393830317986</v>
      </c>
      <c r="Y380" s="17" t="n">
        <v>0.922548522337314</v>
      </c>
      <c r="Z380" s="17" t="n">
        <v>13.7038054450497</v>
      </c>
      <c r="AA380" s="17" t="n">
        <v>7.55295858841168</v>
      </c>
      <c r="AB380" s="17"/>
      <c r="AC380" s="17"/>
      <c r="AD380" s="17"/>
      <c r="AE380" s="17"/>
      <c r="AF380" s="17"/>
      <c r="AG380" s="18" t="n">
        <f aca="false">IFERROR(100*O380/F380,"")</f>
        <v>0.0578935734673676</v>
      </c>
      <c r="AH380" s="18" t="n">
        <f aca="false">IFERROR(100*(P380+Q380)/F380,"")</f>
        <v>0.149346967410839</v>
      </c>
      <c r="AI380" s="18" t="n">
        <f aca="false">IFERROR(100*R380/K380,"")</f>
        <v>-0.00441887510511956</v>
      </c>
      <c r="AJ380" s="18" t="n">
        <f aca="false">IF(T380&gt;0,100*S380/T380,"")</f>
        <v>13.7038054450497</v>
      </c>
      <c r="AK380" s="18" t="n">
        <f aca="false">IFERROR(100*U380/G380,"")</f>
        <v>0.734825584062721</v>
      </c>
      <c r="AL380" s="18" t="n">
        <f aca="false">IFERROR(100*J380/H380,"")</f>
        <v>88.8064254611405</v>
      </c>
      <c r="AM380" s="18" t="n">
        <f aca="false">IFERROR(100*L380/J380,"")</f>
        <v>91.3589028285214</v>
      </c>
      <c r="AN380" s="18" t="n">
        <f aca="false">IFERROR(100*M380/J380,"")</f>
        <v>5.61553428066477</v>
      </c>
      <c r="AO380" s="18" t="n">
        <f aca="false">IFERROR(100*N380/J380,"")</f>
        <v>0.607569405368564</v>
      </c>
    </row>
    <row r="381" customFormat="false" ht="15" hidden="false" customHeight="false" outlineLevel="0" collapsed="false">
      <c r="A381" s="17" t="n">
        <v>18013</v>
      </c>
      <c r="B381" s="23" t="n">
        <v>44834</v>
      </c>
      <c r="C381" s="17" t="s">
        <v>131</v>
      </c>
      <c r="D381" s="17" t="s">
        <v>116</v>
      </c>
      <c r="E381" s="17" t="s">
        <v>114</v>
      </c>
      <c r="F381" s="17" t="n">
        <v>2685566</v>
      </c>
      <c r="G381" s="17" t="n">
        <v>2633081.5</v>
      </c>
      <c r="H381" s="17" t="n">
        <v>2352806</v>
      </c>
      <c r="I381" s="17" t="n">
        <v>195855</v>
      </c>
      <c r="J381" s="17" t="n">
        <v>2114991</v>
      </c>
      <c r="K381" s="17" t="n">
        <v>1988395.25</v>
      </c>
      <c r="L381" s="17" t="n">
        <v>1943255</v>
      </c>
      <c r="M381" s="17" t="n">
        <v>102062</v>
      </c>
      <c r="N381" s="17" t="n">
        <v>16559</v>
      </c>
      <c r="O381" s="17" t="n">
        <v>1930</v>
      </c>
      <c r="P381" s="17" t="n">
        <v>2713</v>
      </c>
      <c r="Q381" s="17" t="n">
        <v>223</v>
      </c>
      <c r="R381" s="17" t="n">
        <v>-51.9987</v>
      </c>
      <c r="S381" s="17" t="n">
        <v>253032</v>
      </c>
      <c r="T381" s="17" t="n">
        <v>1881459</v>
      </c>
      <c r="U381" s="17" t="n">
        <v>17815.5546</v>
      </c>
      <c r="V381" s="17" t="n">
        <v>0.676604753783732</v>
      </c>
      <c r="W381" s="17" t="n">
        <v>8.57</v>
      </c>
      <c r="X381" s="17" t="n">
        <v>3.15593137458496</v>
      </c>
      <c r="Y381" s="17" t="n">
        <v>0.919531099659526</v>
      </c>
      <c r="Z381" s="17" t="n">
        <v>13.448711877325</v>
      </c>
      <c r="AA381" s="17" t="n">
        <v>7.2928760641146</v>
      </c>
      <c r="AB381" s="17"/>
      <c r="AC381" s="17"/>
      <c r="AD381" s="17"/>
      <c r="AE381" s="17"/>
      <c r="AF381" s="17"/>
      <c r="AG381" s="18" t="n">
        <f aca="false">IFERROR(100*O381/F381,"")</f>
        <v>0.0718656700300793</v>
      </c>
      <c r="AH381" s="18" t="n">
        <f aca="false">IFERROR(100*(P381+Q381)/F381,"")</f>
        <v>0.109325185082027</v>
      </c>
      <c r="AI381" s="18" t="n">
        <f aca="false">IFERROR(100*R381/K381,"")</f>
        <v>-0.00261510884216808</v>
      </c>
      <c r="AJ381" s="18" t="n">
        <f aca="false">IF(T381&gt;0,100*S381/T381,"")</f>
        <v>13.448711877325</v>
      </c>
      <c r="AK381" s="18" t="n">
        <f aca="false">IFERROR(100*U381/G381,"")</f>
        <v>0.676604753783732</v>
      </c>
      <c r="AL381" s="18" t="n">
        <f aca="false">IFERROR(100*J381/H381,"")</f>
        <v>89.8922818115901</v>
      </c>
      <c r="AM381" s="18" t="n">
        <f aca="false">IFERROR(100*L381/J381,"")</f>
        <v>91.8800600097116</v>
      </c>
      <c r="AN381" s="18" t="n">
        <f aca="false">IFERROR(100*M381/J381,"")</f>
        <v>4.82564701220951</v>
      </c>
      <c r="AO381" s="18" t="n">
        <f aca="false">IFERROR(100*N381/J381,"")</f>
        <v>0.782934773717713</v>
      </c>
    </row>
    <row r="382" customFormat="false" ht="15" hidden="false" customHeight="false" outlineLevel="0" collapsed="false">
      <c r="A382" s="17" t="n">
        <v>18013</v>
      </c>
      <c r="B382" s="23" t="n">
        <v>44926</v>
      </c>
      <c r="C382" s="17" t="s">
        <v>131</v>
      </c>
      <c r="D382" s="17" t="s">
        <v>116</v>
      </c>
      <c r="E382" s="17" t="s">
        <v>114</v>
      </c>
      <c r="F382" s="17" t="n">
        <v>2733504</v>
      </c>
      <c r="G382" s="17" t="n">
        <v>2653166</v>
      </c>
      <c r="H382" s="17" t="n">
        <v>2369151</v>
      </c>
      <c r="I382" s="17" t="n">
        <v>202913</v>
      </c>
      <c r="J382" s="17" t="n">
        <v>2169489</v>
      </c>
      <c r="K382" s="17" t="n">
        <v>2024614</v>
      </c>
      <c r="L382" s="17" t="n">
        <v>1987119</v>
      </c>
      <c r="M382" s="17" t="n">
        <v>109331</v>
      </c>
      <c r="N382" s="17" t="n">
        <v>20430</v>
      </c>
      <c r="O382" s="17" t="n">
        <v>1584</v>
      </c>
      <c r="P382" s="17" t="n">
        <v>2395</v>
      </c>
      <c r="Q382" s="17" t="n">
        <v>62</v>
      </c>
      <c r="R382" s="17" t="n">
        <v>-34</v>
      </c>
      <c r="S382" s="17" t="n">
        <v>257446</v>
      </c>
      <c r="T382" s="17" t="n">
        <v>1936423</v>
      </c>
      <c r="U382" s="17" t="n">
        <v>18847</v>
      </c>
      <c r="V382" s="17" t="n">
        <v>0.710358869365882</v>
      </c>
      <c r="W382" s="17" t="n">
        <v>9.11</v>
      </c>
      <c r="X382" s="17" t="n">
        <v>3.17602118840462</v>
      </c>
      <c r="Y382" s="17" t="n">
        <v>0.864166630943969</v>
      </c>
      <c r="Z382" s="17" t="n">
        <v>13.2949257471121</v>
      </c>
      <c r="AA382" s="17" t="n">
        <v>7.42318284516869</v>
      </c>
      <c r="AB382" s="17"/>
      <c r="AC382" s="17"/>
      <c r="AD382" s="17"/>
      <c r="AE382" s="17"/>
      <c r="AF382" s="17"/>
      <c r="AG382" s="18" t="n">
        <f aca="false">IFERROR(100*O382/F382,"")</f>
        <v>0.0579476013205029</v>
      </c>
      <c r="AH382" s="18" t="n">
        <f aca="false">IFERROR(100*(P382+Q382)/F382,"")</f>
        <v>0.0898846315937346</v>
      </c>
      <c r="AI382" s="18" t="n">
        <f aca="false">IFERROR(100*R382/K382,"")</f>
        <v>-0.00167933245547052</v>
      </c>
      <c r="AJ382" s="18" t="n">
        <f aca="false">IF(T382&gt;0,100*S382/T382,"")</f>
        <v>13.2949257471121</v>
      </c>
      <c r="AK382" s="18" t="n">
        <f aca="false">IFERROR(100*U382/G382,"")</f>
        <v>0.710358869365882</v>
      </c>
      <c r="AL382" s="18" t="n">
        <f aca="false">IFERROR(100*J382/H382,"")</f>
        <v>91.5724240455758</v>
      </c>
      <c r="AM382" s="18" t="n">
        <f aca="false">IFERROR(100*L382/J382,"")</f>
        <v>91.5938730272428</v>
      </c>
      <c r="AN382" s="18" t="n">
        <f aca="false">IFERROR(100*M382/J382,"")</f>
        <v>5.03948164752161</v>
      </c>
      <c r="AO382" s="18" t="n">
        <f aca="false">IFERROR(100*N382/J382,"")</f>
        <v>0.941696408693476</v>
      </c>
    </row>
    <row r="383" customFormat="false" ht="15" hidden="false" customHeight="false" outlineLevel="0" collapsed="false">
      <c r="A383" s="17" t="n">
        <v>18013</v>
      </c>
      <c r="B383" s="23" t="n">
        <v>45016</v>
      </c>
      <c r="C383" s="17" t="s">
        <v>131</v>
      </c>
      <c r="D383" s="17" t="s">
        <v>116</v>
      </c>
      <c r="E383" s="17" t="s">
        <v>114</v>
      </c>
      <c r="F383" s="17" t="n">
        <v>2733301</v>
      </c>
      <c r="G383" s="17" t="n">
        <v>2733402.5</v>
      </c>
      <c r="H383" s="17" t="n">
        <v>2369188</v>
      </c>
      <c r="I383" s="17" t="n">
        <v>210055</v>
      </c>
      <c r="J383" s="17" t="n">
        <v>2203643</v>
      </c>
      <c r="K383" s="17" t="n">
        <v>2186566</v>
      </c>
      <c r="L383" s="17" t="n">
        <v>2017963</v>
      </c>
      <c r="M383" s="17" t="n">
        <v>110218</v>
      </c>
      <c r="N383" s="17" t="n">
        <v>23888</v>
      </c>
      <c r="O383" s="17" t="n">
        <v>1023</v>
      </c>
      <c r="P383" s="17" t="n">
        <v>3732</v>
      </c>
      <c r="Q383" s="17" t="n">
        <v>0</v>
      </c>
      <c r="R383" s="17" t="n">
        <v>36</v>
      </c>
      <c r="S383" s="17" t="n">
        <v>260258</v>
      </c>
      <c r="T383" s="17" t="n">
        <v>1955300</v>
      </c>
      <c r="U383" s="17" t="n">
        <v>12120</v>
      </c>
      <c r="V383" s="17" t="n">
        <v>0.443403413877027</v>
      </c>
      <c r="W383" s="17" t="n">
        <v>5.87</v>
      </c>
      <c r="X383" s="17" t="n">
        <v>2.9811963289553</v>
      </c>
      <c r="Y383" s="17" t="n">
        <v>0.742497763930001</v>
      </c>
      <c r="Z383" s="17" t="n">
        <v>13.3103871528666</v>
      </c>
      <c r="AA383" s="17" t="n">
        <v>7.68502993267116</v>
      </c>
      <c r="AB383" s="17" t="n">
        <v>5.1074762294067</v>
      </c>
      <c r="AC383" s="17" t="n">
        <v>14.1491763248163</v>
      </c>
      <c r="AD383" s="17" t="n">
        <v>2.99688903650557</v>
      </c>
      <c r="AE383" s="17" t="n">
        <v>-0.287746624203704</v>
      </c>
      <c r="AF383" s="17" t="n">
        <v>-0.0157167220694099</v>
      </c>
      <c r="AG383" s="18" t="n">
        <f aca="false">IFERROR(100*O383/F383,"")</f>
        <v>0.0374272720055347</v>
      </c>
      <c r="AH383" s="18" t="n">
        <f aca="false">IFERROR(100*(P383+Q383)/F383,"")</f>
        <v>0.13653820051286</v>
      </c>
      <c r="AI383" s="18" t="n">
        <f aca="false">IFERROR(100*R383/K383,"")</f>
        <v>0.00164641725884332</v>
      </c>
      <c r="AJ383" s="18" t="n">
        <f aca="false">IF(T383&gt;0,100*S383/T383,"")</f>
        <v>13.3103871528666</v>
      </c>
      <c r="AK383" s="18" t="n">
        <f aca="false">IFERROR(100*U383/G383,"")</f>
        <v>0.443403413877027</v>
      </c>
      <c r="AL383" s="18" t="n">
        <f aca="false">IFERROR(100*J383/H383,"")</f>
        <v>93.0125849025067</v>
      </c>
      <c r="AM383" s="18" t="n">
        <f aca="false">IFERROR(100*L383/J383,"")</f>
        <v>91.5739527682115</v>
      </c>
      <c r="AN383" s="18" t="n">
        <f aca="false">IFERROR(100*M383/J383,"")</f>
        <v>5.0016268515363</v>
      </c>
      <c r="AO383" s="18" t="n">
        <f aca="false">IFERROR(100*N383/J383,"")</f>
        <v>1.08402313804913</v>
      </c>
    </row>
    <row r="384" customFormat="false" ht="15" hidden="false" customHeight="false" outlineLevel="0" collapsed="false">
      <c r="A384" s="17" t="n">
        <v>18013</v>
      </c>
      <c r="B384" s="23" t="n">
        <v>45107</v>
      </c>
      <c r="C384" s="17" t="s">
        <v>131</v>
      </c>
      <c r="D384" s="17" t="s">
        <v>116</v>
      </c>
      <c r="E384" s="17" t="s">
        <v>114</v>
      </c>
      <c r="F384" s="17" t="n">
        <v>2835749</v>
      </c>
      <c r="G384" s="17" t="n">
        <v>2767518</v>
      </c>
      <c r="H384" s="17" t="n">
        <v>2403310</v>
      </c>
      <c r="I384" s="17" t="n">
        <v>211459</v>
      </c>
      <c r="J384" s="17" t="n">
        <v>2261511</v>
      </c>
      <c r="K384" s="17" t="n">
        <v>2211547.66666667</v>
      </c>
      <c r="L384" s="17" t="n">
        <v>2073740</v>
      </c>
      <c r="M384" s="17" t="n">
        <v>108738</v>
      </c>
      <c r="N384" s="17" t="n">
        <v>25577</v>
      </c>
      <c r="O384" s="17" t="n">
        <v>1133</v>
      </c>
      <c r="P384" s="17" t="n">
        <v>3815</v>
      </c>
      <c r="Q384" s="17" t="n">
        <v>19</v>
      </c>
      <c r="R384" s="17" t="n">
        <v>186</v>
      </c>
      <c r="S384" s="17" t="n">
        <v>263046</v>
      </c>
      <c r="T384" s="17" t="n">
        <v>2014447</v>
      </c>
      <c r="U384" s="17" t="n">
        <v>12690</v>
      </c>
      <c r="V384" s="17" t="n">
        <v>0.458533603033476</v>
      </c>
      <c r="W384" s="17" t="n">
        <v>6.1</v>
      </c>
      <c r="X384" s="17" t="n">
        <v>2.83684674080354</v>
      </c>
      <c r="Y384" s="17" t="n">
        <v>0.720314869129533</v>
      </c>
      <c r="Z384" s="17" t="n">
        <v>13.0579757124412</v>
      </c>
      <c r="AA384" s="17" t="n">
        <v>7.45690115733092</v>
      </c>
      <c r="AB384" s="17" t="n">
        <v>9.01171518360835</v>
      </c>
      <c r="AC384" s="17" t="n">
        <v>12.0189869154138</v>
      </c>
      <c r="AD384" s="17" t="n">
        <v>5.71755718810856</v>
      </c>
      <c r="AE384" s="17" t="n">
        <v>-0.276291981029245</v>
      </c>
      <c r="AF384" s="17" t="n">
        <v>-0.0179394026292575</v>
      </c>
      <c r="AG384" s="18" t="n">
        <f aca="false">IFERROR(100*O384/F384,"")</f>
        <v>0.0399541708381101</v>
      </c>
      <c r="AH384" s="18" t="n">
        <f aca="false">IFERROR(100*(P384+Q384)/F384,"")</f>
        <v>0.135202375104426</v>
      </c>
      <c r="AI384" s="18" t="n">
        <f aca="false">IFERROR(100*R384/K384,"")</f>
        <v>0.00841039977584325</v>
      </c>
      <c r="AJ384" s="18" t="n">
        <f aca="false">IF(T384&gt;0,100*S384/T384,"")</f>
        <v>13.0579757124412</v>
      </c>
      <c r="AK384" s="18" t="n">
        <f aca="false">IFERROR(100*U384/G384,"")</f>
        <v>0.458533603033476</v>
      </c>
      <c r="AL384" s="18" t="n">
        <f aca="false">IFERROR(100*J384/H384,"")</f>
        <v>94.0998456295692</v>
      </c>
      <c r="AM384" s="18" t="n">
        <f aca="false">IFERROR(100*L384/J384,"")</f>
        <v>91.6970998593418</v>
      </c>
      <c r="AN384" s="18" t="n">
        <f aca="false">IFERROR(100*M384/J384,"")</f>
        <v>4.80820124244366</v>
      </c>
      <c r="AO384" s="18" t="n">
        <f aca="false">IFERROR(100*N384/J384,"")</f>
        <v>1.13096951551419</v>
      </c>
    </row>
    <row r="385" customFormat="false" ht="15" hidden="false" customHeight="false" outlineLevel="0" collapsed="false">
      <c r="A385" s="17" t="n">
        <v>18013</v>
      </c>
      <c r="B385" s="23" t="n">
        <v>45199</v>
      </c>
      <c r="C385" s="17" t="s">
        <v>131</v>
      </c>
      <c r="D385" s="17" t="s">
        <v>116</v>
      </c>
      <c r="E385" s="17" t="s">
        <v>114</v>
      </c>
      <c r="F385" s="17" t="n">
        <v>2857828</v>
      </c>
      <c r="G385" s="17" t="n">
        <v>2790095.5</v>
      </c>
      <c r="H385" s="17" t="n">
        <v>2426366</v>
      </c>
      <c r="I385" s="17" t="n">
        <v>208913</v>
      </c>
      <c r="J385" s="17" t="n">
        <v>2341074</v>
      </c>
      <c r="K385" s="17" t="n">
        <v>2243929.25</v>
      </c>
      <c r="L385" s="17" t="n">
        <v>2134736</v>
      </c>
      <c r="M385" s="17" t="n">
        <v>111358</v>
      </c>
      <c r="N385" s="17" t="n">
        <v>26647</v>
      </c>
      <c r="O385" s="17" t="n">
        <v>1061</v>
      </c>
      <c r="P385" s="17" t="n">
        <v>4243</v>
      </c>
      <c r="Q385" s="17" t="n">
        <v>17</v>
      </c>
      <c r="R385" s="17" t="n">
        <v>171.9957</v>
      </c>
      <c r="S385" s="17" t="n">
        <v>266161</v>
      </c>
      <c r="T385" s="17" t="n">
        <v>2092721</v>
      </c>
      <c r="U385" s="17" t="n">
        <v>12711.6822</v>
      </c>
      <c r="V385" s="17" t="n">
        <v>0.455600254543259</v>
      </c>
      <c r="W385" s="17" t="n">
        <v>6.1</v>
      </c>
      <c r="X385" s="17" t="n">
        <v>2.78616306186857</v>
      </c>
      <c r="Y385" s="17" t="n">
        <v>0.694040427598615</v>
      </c>
      <c r="Z385" s="17" t="n">
        <v>12.718417791956</v>
      </c>
      <c r="AA385" s="17" t="n">
        <v>7.31020201355715</v>
      </c>
      <c r="AB385" s="17" t="n">
        <v>6.41436479311996</v>
      </c>
      <c r="AC385" s="17" t="n">
        <v>10.689549033542</v>
      </c>
      <c r="AD385" s="17" t="n">
        <v>3.12647961625396</v>
      </c>
      <c r="AE385" s="17" t="n">
        <v>-0.221004499240474</v>
      </c>
      <c r="AF385" s="17" t="n">
        <v>-0.0347395728681788</v>
      </c>
      <c r="AG385" s="18" t="n">
        <f aca="false">IFERROR(100*O385/F385,"")</f>
        <v>0.0371260971619006</v>
      </c>
      <c r="AH385" s="18" t="n">
        <f aca="false">IFERROR(100*(P385+Q385)/F385,"")</f>
        <v>0.149064254391797</v>
      </c>
      <c r="AI385" s="18" t="n">
        <f aca="false">IFERROR(100*R385/K385,"")</f>
        <v>0.00766493417740332</v>
      </c>
      <c r="AJ385" s="18" t="n">
        <f aca="false">IF(T385&gt;0,100*S385/T385,"")</f>
        <v>12.718417791956</v>
      </c>
      <c r="AK385" s="18" t="n">
        <f aca="false">IFERROR(100*U385/G385,"")</f>
        <v>0.455600254543259</v>
      </c>
      <c r="AL385" s="18" t="n">
        <f aca="false">IFERROR(100*J385/H385,"")</f>
        <v>96.4847842411244</v>
      </c>
      <c r="AM385" s="18" t="n">
        <f aca="false">IFERROR(100*L385/J385,"")</f>
        <v>91.186182068572</v>
      </c>
      <c r="AN385" s="18" t="n">
        <f aca="false">IFERROR(100*M385/J385,"")</f>
        <v>4.75670568294723</v>
      </c>
      <c r="AO385" s="18" t="n">
        <f aca="false">IFERROR(100*N385/J385,"")</f>
        <v>1.13823826158421</v>
      </c>
    </row>
    <row r="386" customFormat="false" ht="15" hidden="false" customHeight="false" outlineLevel="0" collapsed="false">
      <c r="A386" s="17" t="n">
        <v>18013</v>
      </c>
      <c r="B386" s="23" t="n">
        <v>45291</v>
      </c>
      <c r="C386" s="17" t="s">
        <v>131</v>
      </c>
      <c r="D386" s="17" t="s">
        <v>116</v>
      </c>
      <c r="E386" s="17" t="s">
        <v>114</v>
      </c>
      <c r="F386" s="17" t="n">
        <v>2931539</v>
      </c>
      <c r="G386" s="17" t="n">
        <v>2818384.2</v>
      </c>
      <c r="H386" s="17" t="n">
        <v>2493477</v>
      </c>
      <c r="I386" s="17" t="n">
        <v>220301</v>
      </c>
      <c r="J386" s="17" t="n">
        <v>2374611</v>
      </c>
      <c r="K386" s="17" t="n">
        <v>2270065.6</v>
      </c>
      <c r="L386" s="17" t="n">
        <v>2161468</v>
      </c>
      <c r="M386" s="17" t="n">
        <v>110574</v>
      </c>
      <c r="N386" s="17" t="n">
        <v>26129</v>
      </c>
      <c r="O386" s="17" t="n">
        <v>686</v>
      </c>
      <c r="P386" s="17" t="n">
        <v>5925</v>
      </c>
      <c r="Q386" s="17" t="n">
        <v>24</v>
      </c>
      <c r="R386" s="17" t="n">
        <v>320</v>
      </c>
      <c r="S386" s="17" t="n">
        <v>268175</v>
      </c>
      <c r="T386" s="17" t="n">
        <v>2114445</v>
      </c>
      <c r="U386" s="17" t="n">
        <v>11119</v>
      </c>
      <c r="V386" s="17" t="n">
        <v>0.394516829891397</v>
      </c>
      <c r="W386" s="17" t="n">
        <v>5.28</v>
      </c>
      <c r="X386" s="17" t="n">
        <v>2.73279494803359</v>
      </c>
      <c r="Y386" s="17" t="n">
        <v>0.71005314133557</v>
      </c>
      <c r="Z386" s="17" t="n">
        <v>12.6829971931169</v>
      </c>
      <c r="AA386" s="17" t="n">
        <v>7.51485823657812</v>
      </c>
      <c r="AB386" s="17" t="n">
        <v>7.24473057292032</v>
      </c>
      <c r="AC386" s="17" t="n">
        <v>9.45485319354005</v>
      </c>
      <c r="AD386" s="17" t="n">
        <v>5.2477026580408</v>
      </c>
      <c r="AE386" s="17" t="n">
        <v>-0.315842039474486</v>
      </c>
      <c r="AF386" s="17" t="n">
        <v>-0.0345469233830782</v>
      </c>
      <c r="AG386" s="18" t="n">
        <f aca="false">IFERROR(100*O386/F386,"")</f>
        <v>0.0234006779374247</v>
      </c>
      <c r="AH386" s="18" t="n">
        <f aca="false">IFERROR(100*(P386+Q386)/F386,"")</f>
        <v>0.20293095196755</v>
      </c>
      <c r="AI386" s="18" t="n">
        <f aca="false">IFERROR(100*R386/K386,"")</f>
        <v>0.0140965089290812</v>
      </c>
      <c r="AJ386" s="18" t="n">
        <f aca="false">IF(T386&gt;0,100*S386/T386,"")</f>
        <v>12.6829971931169</v>
      </c>
      <c r="AK386" s="18" t="n">
        <f aca="false">IFERROR(100*U386/G386,"")</f>
        <v>0.394516829891397</v>
      </c>
      <c r="AL386" s="18" t="n">
        <f aca="false">IFERROR(100*J386/H386,"")</f>
        <v>95.2329217394024</v>
      </c>
      <c r="AM386" s="18" t="n">
        <f aca="false">IFERROR(100*L386/J386,"")</f>
        <v>91.0240877347911</v>
      </c>
      <c r="AN386" s="18" t="n">
        <f aca="false">IFERROR(100*M386/J386,"")</f>
        <v>4.65651005575229</v>
      </c>
      <c r="AO386" s="18" t="n">
        <f aca="false">IFERROR(100*N386/J386,"")</f>
        <v>1.10034864657832</v>
      </c>
    </row>
    <row r="387" customFormat="false" ht="15" hidden="false" customHeight="false" outlineLevel="0" collapsed="false">
      <c r="A387" s="17" t="n">
        <v>18013</v>
      </c>
      <c r="B387" s="23" t="n">
        <v>45382</v>
      </c>
      <c r="C387" s="17" t="s">
        <v>131</v>
      </c>
      <c r="D387" s="17" t="s">
        <v>116</v>
      </c>
      <c r="E387" s="17" t="s">
        <v>114</v>
      </c>
      <c r="F387" s="17" t="n">
        <v>2943126</v>
      </c>
      <c r="G387" s="17" t="n">
        <v>2937332.5</v>
      </c>
      <c r="H387" s="17" t="n">
        <v>2511525</v>
      </c>
      <c r="I387" s="17" t="n">
        <v>220450</v>
      </c>
      <c r="J387" s="17" t="n">
        <v>2386994</v>
      </c>
      <c r="K387" s="17" t="n">
        <v>2380802.5</v>
      </c>
      <c r="L387" s="17" t="n">
        <v>2170356</v>
      </c>
      <c r="M387" s="17" t="n">
        <v>113938</v>
      </c>
      <c r="N387" s="17" t="n">
        <v>28036</v>
      </c>
      <c r="O387" s="17" t="n">
        <v>990</v>
      </c>
      <c r="P387" s="17" t="n">
        <v>4721</v>
      </c>
      <c r="Q387" s="17" t="n">
        <v>357</v>
      </c>
      <c r="R387" s="17" t="n">
        <v>48</v>
      </c>
      <c r="S387" s="17" t="n">
        <v>269618</v>
      </c>
      <c r="T387" s="17" t="n">
        <v>2167712</v>
      </c>
      <c r="U387" s="17" t="n">
        <v>7708</v>
      </c>
      <c r="V387" s="17" t="n">
        <v>0.262414963236202</v>
      </c>
      <c r="W387" s="17" t="n">
        <v>3.5</v>
      </c>
      <c r="X387" s="17" t="n">
        <v>2.46666204557587</v>
      </c>
      <c r="Y387" s="17" t="n">
        <v>0.700546377577824</v>
      </c>
      <c r="Z387" s="17" t="n">
        <v>12.4379068806188</v>
      </c>
      <c r="AA387" s="17" t="n">
        <v>7.49033510627816</v>
      </c>
      <c r="AB387" s="17" t="n">
        <v>7.67661519898466</v>
      </c>
      <c r="AC387" s="17" t="n">
        <v>8.32035860618077</v>
      </c>
      <c r="AD387" s="17" t="n">
        <v>6.00783897267756</v>
      </c>
      <c r="AE387" s="17" t="n">
        <v>-0.180988450640825</v>
      </c>
      <c r="AF387" s="17" t="n">
        <v>-0.00378956842097869</v>
      </c>
      <c r="AG387" s="18" t="n">
        <f aca="false">IFERROR(100*O387/F387,"")</f>
        <v>0.033637703584556</v>
      </c>
      <c r="AH387" s="18" t="n">
        <f aca="false">IFERROR(100*(P387+Q387)/F387,"")</f>
        <v>0.172537635153915</v>
      </c>
      <c r="AI387" s="18" t="n">
        <f aca="false">IFERROR(100*R387/K387,"")</f>
        <v>0.00201612691518931</v>
      </c>
      <c r="AJ387" s="18" t="n">
        <f aca="false">IF(T387&gt;0,100*S387/T387,"")</f>
        <v>12.4379068806188</v>
      </c>
      <c r="AK387" s="18" t="n">
        <f aca="false">IFERROR(100*U387/G387,"")</f>
        <v>0.262414963236202</v>
      </c>
      <c r="AL387" s="18" t="n">
        <f aca="false">IFERROR(100*J387/H387,"")</f>
        <v>95.0416181403729</v>
      </c>
      <c r="AM387" s="18" t="n">
        <f aca="false">IFERROR(100*L387/J387,"")</f>
        <v>90.9242335757861</v>
      </c>
      <c r="AN387" s="18" t="n">
        <f aca="false">IFERROR(100*M387/J387,"")</f>
        <v>4.77328388760089</v>
      </c>
      <c r="AO387" s="18" t="n">
        <f aca="false">IFERROR(100*N387/J387,"")</f>
        <v>1.1745316494302</v>
      </c>
    </row>
    <row r="388" customFormat="false" ht="15" hidden="false" customHeight="false" outlineLevel="0" collapsed="false">
      <c r="A388" s="17" t="n">
        <v>18013</v>
      </c>
      <c r="B388" s="23" t="n">
        <v>45473</v>
      </c>
      <c r="C388" s="17" t="s">
        <v>131</v>
      </c>
      <c r="D388" s="17" t="s">
        <v>116</v>
      </c>
      <c r="E388" s="17" t="s">
        <v>114</v>
      </c>
      <c r="F388" s="17" t="n">
        <v>2913389</v>
      </c>
      <c r="G388" s="17" t="n">
        <v>2929351.33333333</v>
      </c>
      <c r="H388" s="17" t="n">
        <v>2458436</v>
      </c>
      <c r="I388" s="17" t="n">
        <v>223415</v>
      </c>
      <c r="J388" s="17" t="n">
        <v>2408662</v>
      </c>
      <c r="K388" s="17" t="n">
        <v>2390089</v>
      </c>
      <c r="L388" s="17" t="n">
        <v>2192853</v>
      </c>
      <c r="M388" s="17" t="n">
        <v>108697</v>
      </c>
      <c r="N388" s="17" t="n">
        <v>24275</v>
      </c>
      <c r="O388" s="17" t="n">
        <v>1084</v>
      </c>
      <c r="P388" s="17" t="n">
        <v>5903</v>
      </c>
      <c r="Q388" s="17" t="n">
        <v>224</v>
      </c>
      <c r="R388" s="17" t="n">
        <v>214</v>
      </c>
      <c r="S388" s="17" t="n">
        <v>269286</v>
      </c>
      <c r="T388" s="17" t="n">
        <v>2189848</v>
      </c>
      <c r="U388" s="17" t="n">
        <v>6526</v>
      </c>
      <c r="V388" s="17" t="n">
        <v>0.222779696164817</v>
      </c>
      <c r="W388" s="17" t="n">
        <v>2.95</v>
      </c>
      <c r="X388" s="17" t="n">
        <v>2.42371924301835</v>
      </c>
      <c r="Y388" s="17" t="n">
        <v>0.706242718986724</v>
      </c>
      <c r="Z388" s="17" t="n">
        <v>12.2970178752133</v>
      </c>
      <c r="AA388" s="17" t="n">
        <v>7.66856056640565</v>
      </c>
      <c r="AB388" s="17" t="n">
        <v>2.73790099194251</v>
      </c>
      <c r="AC388" s="17" t="n">
        <v>6.50675588135543</v>
      </c>
      <c r="AD388" s="17" t="n">
        <v>2.29375319871343</v>
      </c>
      <c r="AE388" s="17" t="n">
        <v>-0.23575390686866</v>
      </c>
      <c r="AF388" s="17" t="n">
        <v>-0.00274664379657878</v>
      </c>
      <c r="AG388" s="18" t="n">
        <f aca="false">IFERROR(100*O388/F388,"")</f>
        <v>0.0372075270415314</v>
      </c>
      <c r="AH388" s="18" t="n">
        <f aca="false">IFERROR(100*(P388+Q388)/F388,"")</f>
        <v>0.210304906073305</v>
      </c>
      <c r="AI388" s="18" t="n">
        <f aca="false">IFERROR(100*R388/K388,"")</f>
        <v>0.00895364147527561</v>
      </c>
      <c r="AJ388" s="18" t="n">
        <f aca="false">IF(T388&gt;0,100*S388/T388,"")</f>
        <v>12.2970178752133</v>
      </c>
      <c r="AK388" s="18" t="n">
        <f aca="false">IFERROR(100*U388/G388,"")</f>
        <v>0.222779696164817</v>
      </c>
      <c r="AL388" s="18" t="n">
        <f aca="false">IFERROR(100*J388/H388,"")</f>
        <v>97.9753794688981</v>
      </c>
      <c r="AM388" s="18" t="n">
        <f aca="false">IFERROR(100*L388/J388,"")</f>
        <v>91.040295400517</v>
      </c>
      <c r="AN388" s="18" t="n">
        <f aca="false">IFERROR(100*M388/J388,"")</f>
        <v>4.51275438396919</v>
      </c>
      <c r="AO388" s="18" t="n">
        <f aca="false">IFERROR(100*N388/J388,"")</f>
        <v>1.00782093959219</v>
      </c>
    </row>
    <row r="389" customFormat="false" ht="15" hidden="false" customHeight="false" outlineLevel="0" collapsed="false">
      <c r="A389" s="17" t="n">
        <v>18013</v>
      </c>
      <c r="B389" s="23" t="n">
        <v>45565</v>
      </c>
      <c r="C389" s="17" t="s">
        <v>131</v>
      </c>
      <c r="D389" s="17" t="s">
        <v>116</v>
      </c>
      <c r="E389" s="17" t="s">
        <v>114</v>
      </c>
      <c r="F389" s="17" t="n">
        <v>2889853</v>
      </c>
      <c r="G389" s="17" t="n">
        <v>2919476.75</v>
      </c>
      <c r="H389" s="17" t="n">
        <v>2534229</v>
      </c>
      <c r="I389" s="17" t="n">
        <v>234630</v>
      </c>
      <c r="J389" s="17" t="n">
        <v>2393581</v>
      </c>
      <c r="K389" s="17" t="n">
        <v>2390962</v>
      </c>
      <c r="L389" s="17" t="n">
        <v>2183396</v>
      </c>
      <c r="M389" s="17" t="n">
        <v>105437</v>
      </c>
      <c r="N389" s="17" t="n">
        <v>23430</v>
      </c>
      <c r="O389" s="17" t="n">
        <v>1627</v>
      </c>
      <c r="P389" s="17" t="n">
        <v>5926</v>
      </c>
      <c r="Q389" s="17" t="n">
        <v>74</v>
      </c>
      <c r="R389" s="17" t="n">
        <v>394.6568</v>
      </c>
      <c r="S389" s="17" t="n">
        <v>270892</v>
      </c>
      <c r="T389" s="17" t="n">
        <v>2147665</v>
      </c>
      <c r="U389" s="17" t="n">
        <v>7397.1484</v>
      </c>
      <c r="V389" s="17" t="n">
        <v>0.25337240311984</v>
      </c>
      <c r="W389" s="17" t="n">
        <v>3.29</v>
      </c>
      <c r="X389" s="17" t="n">
        <v>2.452484291317</v>
      </c>
      <c r="Y389" s="17" t="n">
        <v>0.701417666667642</v>
      </c>
      <c r="Z389" s="17" t="n">
        <v>12.6133265662941</v>
      </c>
      <c r="AA389" s="17" t="n">
        <v>8.1190980994535</v>
      </c>
      <c r="AB389" s="17" t="n">
        <v>1.12060627861439</v>
      </c>
      <c r="AC389" s="17" t="n">
        <v>2.24285947389959</v>
      </c>
      <c r="AD389" s="17" t="n">
        <v>4.44545464286921</v>
      </c>
      <c r="AE389" s="17" t="n">
        <v>-0.202227851423419</v>
      </c>
      <c r="AF389" s="17" t="n">
        <v>0.0191743444176538</v>
      </c>
      <c r="AG389" s="18" t="n">
        <f aca="false">IFERROR(100*O389/F389,"")</f>
        <v>0.0563004415795544</v>
      </c>
      <c r="AH389" s="18" t="n">
        <f aca="false">IFERROR(100*(P389+Q389)/F389,"")</f>
        <v>0.207623017502966</v>
      </c>
      <c r="AI389" s="18" t="n">
        <f aca="false">IFERROR(100*R389/K389,"")</f>
        <v>0.0165061929047806</v>
      </c>
      <c r="AJ389" s="18" t="n">
        <f aca="false">IF(T389&gt;0,100*S389/T389,"")</f>
        <v>12.6133265662941</v>
      </c>
      <c r="AK389" s="18" t="n">
        <f aca="false">IFERROR(100*U389/G389,"")</f>
        <v>0.25337240311984</v>
      </c>
      <c r="AL389" s="18" t="n">
        <f aca="false">IFERROR(100*J389/H389,"")</f>
        <v>94.4500674564138</v>
      </c>
      <c r="AM389" s="18" t="n">
        <f aca="false">IFERROR(100*L389/J389,"")</f>
        <v>91.2188056305594</v>
      </c>
      <c r="AN389" s="18" t="n">
        <f aca="false">IFERROR(100*M389/J389,"")</f>
        <v>4.4049898457583</v>
      </c>
      <c r="AO389" s="18" t="n">
        <f aca="false">IFERROR(100*N389/J389,"")</f>
        <v>0.978868064210069</v>
      </c>
    </row>
    <row r="390" customFormat="false" ht="15" hidden="false" customHeight="false" outlineLevel="0" collapsed="false">
      <c r="A390" s="17" t="n">
        <v>18013</v>
      </c>
      <c r="B390" s="23" t="n">
        <v>45657</v>
      </c>
      <c r="C390" s="17" t="s">
        <v>131</v>
      </c>
      <c r="D390" s="17" t="s">
        <v>116</v>
      </c>
      <c r="E390" s="17" t="s">
        <v>114</v>
      </c>
      <c r="F390" s="17" t="n">
        <v>2917813</v>
      </c>
      <c r="G390" s="17" t="n">
        <v>2919144</v>
      </c>
      <c r="H390" s="17" t="n">
        <v>2614357</v>
      </c>
      <c r="I390" s="17" t="n">
        <v>228244</v>
      </c>
      <c r="J390" s="17" t="n">
        <v>2432691</v>
      </c>
      <c r="K390" s="17" t="n">
        <v>2399307.8</v>
      </c>
      <c r="L390" s="17" t="n">
        <v>2216800</v>
      </c>
      <c r="M390" s="17" t="n">
        <v>116248</v>
      </c>
      <c r="N390" s="17" t="n">
        <v>23931</v>
      </c>
      <c r="O390" s="17" t="n">
        <v>2327</v>
      </c>
      <c r="P390" s="17" t="n">
        <v>5516</v>
      </c>
      <c r="Q390" s="17" t="n">
        <v>128</v>
      </c>
      <c r="R390" s="17" t="n">
        <v>460</v>
      </c>
      <c r="S390" s="17" t="n">
        <v>271830</v>
      </c>
      <c r="T390" s="17" t="n">
        <v>2175522</v>
      </c>
      <c r="U390" s="17" t="n">
        <v>6528</v>
      </c>
      <c r="V390" s="17" t="n">
        <v>0.223627200302554</v>
      </c>
      <c r="W390" s="17" t="n">
        <v>2.9</v>
      </c>
      <c r="X390" s="17" t="n">
        <v>2.50092550283017</v>
      </c>
      <c r="Y390" s="17" t="n">
        <v>0.723355329550691</v>
      </c>
      <c r="Z390" s="17" t="n">
        <v>12.4949322507426</v>
      </c>
      <c r="AA390" s="17" t="n">
        <v>7.82243413131685</v>
      </c>
      <c r="AB390" s="17" t="n">
        <v>-0.468218229401007</v>
      </c>
      <c r="AC390" s="17" t="n">
        <v>2.44587429267362</v>
      </c>
      <c r="AD390" s="17" t="n">
        <v>4.84784900763071</v>
      </c>
      <c r="AE390" s="17" t="n">
        <v>-0.170889629588842</v>
      </c>
      <c r="AF390" s="17" t="n">
        <v>0.0563508345823975</v>
      </c>
      <c r="AG390" s="18" t="n">
        <f aca="false">IFERROR(100*O390/F390,"")</f>
        <v>0.0797515125198222</v>
      </c>
      <c r="AH390" s="18" t="n">
        <f aca="false">IFERROR(100*(P390+Q390)/F390,"")</f>
        <v>0.193432546910991</v>
      </c>
      <c r="AI390" s="18" t="n">
        <f aca="false">IFERROR(100*R390/K390,"")</f>
        <v>0.0191721962476011</v>
      </c>
      <c r="AJ390" s="18" t="n">
        <f aca="false">IF(T390&gt;0,100*S390/T390,"")</f>
        <v>12.4949322507426</v>
      </c>
      <c r="AK390" s="18" t="n">
        <f aca="false">IFERROR(100*U390/G390,"")</f>
        <v>0.223627200302554</v>
      </c>
      <c r="AL390" s="18" t="n">
        <f aca="false">IFERROR(100*J390/H390,"")</f>
        <v>93.0512168001539</v>
      </c>
      <c r="AM390" s="18" t="n">
        <f aca="false">IFERROR(100*L390/J390,"")</f>
        <v>91.1254244784891</v>
      </c>
      <c r="AN390" s="18" t="n">
        <f aca="false">IFERROR(100*M390/J390,"")</f>
        <v>4.77857648176443</v>
      </c>
      <c r="AO390" s="18" t="n">
        <f aca="false">IFERROR(100*N390/J390,"")</f>
        <v>0.983725429986792</v>
      </c>
    </row>
    <row r="391" customFormat="false" ht="15" hidden="false" customHeight="false" outlineLevel="0" collapsed="false">
      <c r="A391" s="17" t="n">
        <v>18013</v>
      </c>
      <c r="B391" s="23" t="n">
        <v>45747</v>
      </c>
      <c r="C391" s="17" t="s">
        <v>131</v>
      </c>
      <c r="D391" s="17" t="s">
        <v>116</v>
      </c>
      <c r="E391" s="17" t="s">
        <v>114</v>
      </c>
      <c r="F391" s="17" t="n">
        <v>2886966</v>
      </c>
      <c r="G391" s="17" t="n">
        <v>2902389.5</v>
      </c>
      <c r="H391" s="17" t="n">
        <v>2567945</v>
      </c>
      <c r="I391" s="17" t="n">
        <v>233883</v>
      </c>
      <c r="J391" s="17" t="n">
        <v>2412223</v>
      </c>
      <c r="K391" s="17" t="n">
        <v>2422457</v>
      </c>
      <c r="L391" s="17" t="n">
        <v>2202612</v>
      </c>
      <c r="M391" s="17" t="n">
        <v>115671</v>
      </c>
      <c r="N391" s="17" t="n">
        <v>21720</v>
      </c>
      <c r="O391" s="17" t="n">
        <v>2219</v>
      </c>
      <c r="P391" s="17" t="n">
        <v>5622</v>
      </c>
      <c r="Q391" s="17" t="n">
        <v>52</v>
      </c>
      <c r="R391" s="17" t="n">
        <v>-796</v>
      </c>
      <c r="S391" s="17" t="n">
        <v>274878</v>
      </c>
      <c r="T391" s="17" t="n">
        <v>2165320</v>
      </c>
      <c r="U391" s="17" t="n">
        <v>10244</v>
      </c>
      <c r="V391" s="17" t="n">
        <v>0.352950560219433</v>
      </c>
      <c r="W391" s="17" t="n">
        <v>4.43</v>
      </c>
      <c r="X391" s="17" t="n">
        <v>2.79406900216728</v>
      </c>
      <c r="Y391" s="17" t="n">
        <v>0.747940799834841</v>
      </c>
      <c r="Z391" s="17" t="n">
        <v>12.6945670847727</v>
      </c>
      <c r="AA391" s="17" t="n">
        <v>8.10134237812292</v>
      </c>
      <c r="AB391" s="17" t="n">
        <v>-1.90817518516027</v>
      </c>
      <c r="AC391" s="17" t="n">
        <v>1.05693604592219</v>
      </c>
      <c r="AD391" s="17" t="n">
        <v>2.24644389365027</v>
      </c>
      <c r="AE391" s="17" t="n">
        <v>0.0905355969832314</v>
      </c>
      <c r="AF391" s="17" t="n">
        <v>0.043224995872244</v>
      </c>
      <c r="AG391" s="18" t="n">
        <f aca="false">IFERROR(100*O391/F391,"")</f>
        <v>0.0768626994568</v>
      </c>
      <c r="AH391" s="18" t="n">
        <f aca="false">IFERROR(100*(P391+Q391)/F391,"")</f>
        <v>0.196538511364526</v>
      </c>
      <c r="AI391" s="18" t="n">
        <f aca="false">IFERROR(100*R391/K391,"")</f>
        <v>-0.0328592003903475</v>
      </c>
      <c r="AJ391" s="18" t="n">
        <f aca="false">IF(T391&gt;0,100*S391/T391,"")</f>
        <v>12.6945670847727</v>
      </c>
      <c r="AK391" s="18" t="n">
        <f aca="false">IFERROR(100*U391/G391,"")</f>
        <v>0.352950560219433</v>
      </c>
      <c r="AL391" s="18" t="n">
        <f aca="false">IFERROR(100*J391/H391,"")</f>
        <v>93.9359293131278</v>
      </c>
      <c r="AM391" s="18" t="n">
        <f aca="false">IFERROR(100*L391/J391,"")</f>
        <v>91.3104634190123</v>
      </c>
      <c r="AN391" s="18" t="n">
        <f aca="false">IFERROR(100*M391/J391,"")</f>
        <v>4.79520342853874</v>
      </c>
      <c r="AO391" s="18" t="n">
        <f aca="false">IFERROR(100*N391/J391,"")</f>
        <v>0.90041426518195</v>
      </c>
    </row>
    <row r="392" customFormat="false" ht="15" hidden="false" customHeight="false" outlineLevel="0" collapsed="false">
      <c r="A392" s="17" t="n">
        <v>18013</v>
      </c>
      <c r="B392" s="23" t="n">
        <v>45838</v>
      </c>
      <c r="C392" s="17" t="s">
        <v>131</v>
      </c>
      <c r="D392" s="17" t="s">
        <v>116</v>
      </c>
      <c r="E392" s="17" t="s">
        <v>114</v>
      </c>
      <c r="F392" s="17" t="n">
        <v>2896306</v>
      </c>
      <c r="G392" s="17" t="n">
        <v>2900361.66666667</v>
      </c>
      <c r="H392" s="17" t="n">
        <v>2573471</v>
      </c>
      <c r="I392" s="17" t="n">
        <v>235044</v>
      </c>
      <c r="J392" s="17" t="n">
        <v>2423167</v>
      </c>
      <c r="K392" s="17" t="n">
        <v>2422693.66666667</v>
      </c>
      <c r="L392" s="17" t="n">
        <v>2224117</v>
      </c>
      <c r="M392" s="17" t="n">
        <v>112059</v>
      </c>
      <c r="N392" s="17" t="n">
        <v>20548</v>
      </c>
      <c r="O392" s="17" t="n">
        <v>1401</v>
      </c>
      <c r="P392" s="17" t="n">
        <v>4609</v>
      </c>
      <c r="Q392" s="17" t="n">
        <v>153</v>
      </c>
      <c r="R392" s="17" t="n">
        <v>-96</v>
      </c>
      <c r="S392" s="17" t="n">
        <v>276374</v>
      </c>
      <c r="T392" s="17" t="n">
        <v>2187218</v>
      </c>
      <c r="U392" s="17" t="n">
        <v>9750</v>
      </c>
      <c r="V392" s="17" t="n">
        <v>0.336164972529288</v>
      </c>
      <c r="W392" s="17" t="n">
        <v>4.2</v>
      </c>
      <c r="X392" s="17" t="n">
        <v>2.8369626762913</v>
      </c>
      <c r="Y392" s="17" t="n">
        <v>0.727725328052091</v>
      </c>
      <c r="Z392" s="17" t="n">
        <v>12.6358689440193</v>
      </c>
      <c r="AA392" s="17" t="n">
        <v>8.11530273389621</v>
      </c>
      <c r="AB392" s="17" t="n">
        <v>-0.586361793773504</v>
      </c>
      <c r="AC392" s="17" t="n">
        <v>0.60220155422388</v>
      </c>
      <c r="AD392" s="17" t="n">
        <v>4.67919441466038</v>
      </c>
      <c r="AE392" s="17" t="n">
        <v>0.113385276364472</v>
      </c>
      <c r="AF392" s="17" t="n">
        <v>0.0111644336559916</v>
      </c>
      <c r="AG392" s="18" t="n">
        <f aca="false">IFERROR(100*O392/F392,"")</f>
        <v>0.048371960697523</v>
      </c>
      <c r="AH392" s="18" t="n">
        <f aca="false">IFERROR(100*(P392+Q392)/F392,"")</f>
        <v>0.164416328937619</v>
      </c>
      <c r="AI392" s="18" t="n">
        <f aca="false">IFERROR(100*R392/K392,"")</f>
        <v>-0.00396253151278859</v>
      </c>
      <c r="AJ392" s="18" t="n">
        <f aca="false">IF(T392&gt;0,100*S392/T392,"")</f>
        <v>12.6358689440193</v>
      </c>
      <c r="AK392" s="18" t="n">
        <f aca="false">IFERROR(100*U392/G392,"")</f>
        <v>0.336164972529288</v>
      </c>
      <c r="AL392" s="18" t="n">
        <f aca="false">IFERROR(100*J392/H392,"")</f>
        <v>94.1594834369612</v>
      </c>
      <c r="AM392" s="18" t="n">
        <f aca="false">IFERROR(100*L392/J392,"")</f>
        <v>91.7855434644001</v>
      </c>
      <c r="AN392" s="18" t="n">
        <f aca="false">IFERROR(100*M392/J392,"")</f>
        <v>4.62448522945385</v>
      </c>
      <c r="AO392" s="18" t="n">
        <f aca="false">IFERROR(100*N392/J392,"")</f>
        <v>0.847981175049016</v>
      </c>
    </row>
    <row r="393" customFormat="false" ht="15" hidden="false" customHeight="false" outlineLevel="0" collapsed="false">
      <c r="A393" s="17" t="n">
        <v>18028</v>
      </c>
      <c r="B393" s="23" t="n">
        <v>44651</v>
      </c>
      <c r="C393" s="17" t="s">
        <v>130</v>
      </c>
      <c r="D393" s="17" t="s">
        <v>116</v>
      </c>
      <c r="E393" s="17" t="s">
        <v>118</v>
      </c>
      <c r="F393" s="17" t="n">
        <v>376087</v>
      </c>
      <c r="G393" s="17" t="n">
        <v>375750</v>
      </c>
      <c r="H393" s="17" t="n">
        <v>329792</v>
      </c>
      <c r="I393" s="17" t="n">
        <v>41683</v>
      </c>
      <c r="J393" s="17" t="n">
        <v>230734</v>
      </c>
      <c r="K393" s="17" t="n">
        <v>228446</v>
      </c>
      <c r="L393" s="17" t="n">
        <v>205024</v>
      </c>
      <c r="M393" s="17" t="n">
        <v>15550</v>
      </c>
      <c r="N393" s="17" t="n">
        <v>5989</v>
      </c>
      <c r="O393" s="17" t="n">
        <v>1080</v>
      </c>
      <c r="P393" s="17" t="n">
        <v>1113</v>
      </c>
      <c r="Q393" s="17" t="n">
        <v>46</v>
      </c>
      <c r="R393" s="17" t="n">
        <v>88</v>
      </c>
      <c r="S393" s="17" t="n">
        <v>0</v>
      </c>
      <c r="T393" s="17" t="n">
        <v>0</v>
      </c>
      <c r="U393" s="17" t="n">
        <v>3004</v>
      </c>
      <c r="V393" s="17" t="n">
        <v>0.799467731204258</v>
      </c>
      <c r="W393" s="17" t="n">
        <v>6.76</v>
      </c>
      <c r="X393" s="17" t="n">
        <v>3.14258644110362</v>
      </c>
      <c r="Y393" s="17" t="n">
        <v>0.928775126335954</v>
      </c>
      <c r="Z393" s="17" t="n">
        <v>0</v>
      </c>
      <c r="AA393" s="17" t="n">
        <v>11.0833397591515</v>
      </c>
      <c r="AB393" s="17"/>
      <c r="AC393" s="17"/>
      <c r="AD393" s="17"/>
      <c r="AE393" s="17"/>
      <c r="AF393" s="17"/>
      <c r="AG393" s="18" t="n">
        <f aca="false">IFERROR(100*O393/F393,"")</f>
        <v>0.287167596859237</v>
      </c>
      <c r="AH393" s="18" t="n">
        <f aca="false">IFERROR(100*(P393+Q393)/F393,"")</f>
        <v>0.308173374777645</v>
      </c>
      <c r="AI393" s="18" t="n">
        <f aca="false">IFERROR(100*R393/K393,"")</f>
        <v>0.038521138474738</v>
      </c>
      <c r="AJ393" s="18" t="str">
        <f aca="false">IF(T393&gt;0,100*S393/T393,"")</f>
        <v/>
      </c>
      <c r="AK393" s="18" t="n">
        <f aca="false">IFERROR(100*U393/G393,"")</f>
        <v>0.799467731204258</v>
      </c>
      <c r="AL393" s="18" t="n">
        <f aca="false">IFERROR(100*J393/H393,"")</f>
        <v>69.9634921405007</v>
      </c>
      <c r="AM393" s="18" t="n">
        <f aca="false">IFERROR(100*L393/J393,"")</f>
        <v>88.8572988809625</v>
      </c>
      <c r="AN393" s="18" t="n">
        <f aca="false">IFERROR(100*M393/J393,"")</f>
        <v>6.73936220929729</v>
      </c>
      <c r="AO393" s="18" t="n">
        <f aca="false">IFERROR(100*N393/J393,"")</f>
        <v>2.59562959945218</v>
      </c>
    </row>
    <row r="394" customFormat="false" ht="15" hidden="false" customHeight="false" outlineLevel="0" collapsed="false">
      <c r="A394" s="17" t="n">
        <v>18028</v>
      </c>
      <c r="B394" s="23" t="n">
        <v>44742</v>
      </c>
      <c r="C394" s="17" t="s">
        <v>130</v>
      </c>
      <c r="D394" s="17" t="s">
        <v>116</v>
      </c>
      <c r="E394" s="17" t="s">
        <v>118</v>
      </c>
      <c r="F394" s="17" t="n">
        <v>377551</v>
      </c>
      <c r="G394" s="17" t="n">
        <v>376350.333333333</v>
      </c>
      <c r="H394" s="17" t="n">
        <v>335244</v>
      </c>
      <c r="I394" s="17" t="n">
        <v>38122</v>
      </c>
      <c r="J394" s="17" t="n">
        <v>240579</v>
      </c>
      <c r="K394" s="17" t="n">
        <v>232490.333333333</v>
      </c>
      <c r="L394" s="17" t="n">
        <v>210223</v>
      </c>
      <c r="M394" s="17" t="n">
        <v>16916</v>
      </c>
      <c r="N394" s="17" t="n">
        <v>6431</v>
      </c>
      <c r="O394" s="17" t="n">
        <v>1077</v>
      </c>
      <c r="P394" s="17" t="n">
        <v>879</v>
      </c>
      <c r="Q394" s="17" t="n">
        <v>25</v>
      </c>
      <c r="R394" s="17" t="n">
        <v>122</v>
      </c>
      <c r="S394" s="17" t="n">
        <v>0</v>
      </c>
      <c r="T394" s="17" t="n">
        <v>0</v>
      </c>
      <c r="U394" s="17" t="n">
        <v>2648</v>
      </c>
      <c r="V394" s="17" t="n">
        <v>0.703599748815598</v>
      </c>
      <c r="W394" s="17" t="n">
        <v>6.26</v>
      </c>
      <c r="X394" s="17" t="n">
        <v>3.21951052319902</v>
      </c>
      <c r="Y394" s="17" t="n">
        <v>0.901574950432083</v>
      </c>
      <c r="Z394" s="17" t="n">
        <v>0</v>
      </c>
      <c r="AA394" s="17" t="n">
        <v>10.0971789241718</v>
      </c>
      <c r="AB394" s="17"/>
      <c r="AC394" s="17"/>
      <c r="AD394" s="17"/>
      <c r="AE394" s="17"/>
      <c r="AF394" s="17"/>
      <c r="AG394" s="18" t="n">
        <f aca="false">IFERROR(100*O394/F394,"")</f>
        <v>0.285259474878891</v>
      </c>
      <c r="AH394" s="18" t="n">
        <f aca="false">IFERROR(100*(P394+Q394)/F394,"")</f>
        <v>0.239437850780424</v>
      </c>
      <c r="AI394" s="18" t="n">
        <f aca="false">IFERROR(100*R394/K394,"")</f>
        <v>0.0524753000483174</v>
      </c>
      <c r="AJ394" s="18" t="str">
        <f aca="false">IF(T394&gt;0,100*S394/T394,"")</f>
        <v/>
      </c>
      <c r="AK394" s="18" t="n">
        <f aca="false">IFERROR(100*U394/G394,"")</f>
        <v>0.703599748815598</v>
      </c>
      <c r="AL394" s="18" t="n">
        <f aca="false">IFERROR(100*J394/H394,"")</f>
        <v>71.7623581630096</v>
      </c>
      <c r="AM394" s="18" t="n">
        <f aca="false">IFERROR(100*L394/J394,"")</f>
        <v>87.3821073327265</v>
      </c>
      <c r="AN394" s="18" t="n">
        <f aca="false">IFERROR(100*M394/J394,"")</f>
        <v>7.03137015283961</v>
      </c>
      <c r="AO394" s="18" t="n">
        <f aca="false">IFERROR(100*N394/J394,"")</f>
        <v>2.67313439660153</v>
      </c>
    </row>
    <row r="395" customFormat="false" ht="15" hidden="false" customHeight="false" outlineLevel="0" collapsed="false">
      <c r="A395" s="17" t="n">
        <v>18028</v>
      </c>
      <c r="B395" s="23" t="n">
        <v>44834</v>
      </c>
      <c r="C395" s="17" t="s">
        <v>130</v>
      </c>
      <c r="D395" s="17" t="s">
        <v>116</v>
      </c>
      <c r="E395" s="17" t="s">
        <v>118</v>
      </c>
      <c r="F395" s="17" t="n">
        <v>379383</v>
      </c>
      <c r="G395" s="17" t="n">
        <v>377108.5</v>
      </c>
      <c r="H395" s="17" t="n">
        <v>337295</v>
      </c>
      <c r="I395" s="17" t="n">
        <v>34470</v>
      </c>
      <c r="J395" s="17" t="n">
        <v>245095</v>
      </c>
      <c r="K395" s="17" t="n">
        <v>235641.5</v>
      </c>
      <c r="L395" s="17" t="n">
        <v>213616</v>
      </c>
      <c r="M395" s="17" t="n">
        <v>16788</v>
      </c>
      <c r="N395" s="17" t="n">
        <v>8019</v>
      </c>
      <c r="O395" s="17" t="n">
        <v>1067</v>
      </c>
      <c r="P395" s="17" t="n">
        <v>351</v>
      </c>
      <c r="Q395" s="17" t="n">
        <v>294</v>
      </c>
      <c r="R395" s="17" t="n">
        <v>146.663</v>
      </c>
      <c r="S395" s="17" t="n">
        <v>0</v>
      </c>
      <c r="T395" s="17" t="n">
        <v>0</v>
      </c>
      <c r="U395" s="17" t="n">
        <v>2682.5996</v>
      </c>
      <c r="V395" s="17" t="n">
        <v>0.711360152316906</v>
      </c>
      <c r="W395" s="17" t="n">
        <v>6.65</v>
      </c>
      <c r="X395" s="17" t="n">
        <v>3.34674640434086</v>
      </c>
      <c r="Y395" s="17" t="n">
        <v>0.927803504763459</v>
      </c>
      <c r="Z395" s="17" t="n">
        <v>0</v>
      </c>
      <c r="AA395" s="17" t="n">
        <v>9.08580510987577</v>
      </c>
      <c r="AB395" s="17"/>
      <c r="AC395" s="17"/>
      <c r="AD395" s="17"/>
      <c r="AE395" s="17"/>
      <c r="AF395" s="17"/>
      <c r="AG395" s="18" t="n">
        <f aca="false">IFERROR(100*O395/F395,"")</f>
        <v>0.281246128582462</v>
      </c>
      <c r="AH395" s="18" t="n">
        <f aca="false">IFERROR(100*(P395+Q395)/F395,"")</f>
        <v>0.170012889349286</v>
      </c>
      <c r="AI395" s="18" t="n">
        <f aca="false">IFERROR(100*R395/K395,"")</f>
        <v>0.0622398855889137</v>
      </c>
      <c r="AJ395" s="18" t="str">
        <f aca="false">IF(T395&gt;0,100*S395/T395,"")</f>
        <v/>
      </c>
      <c r="AK395" s="18" t="n">
        <f aca="false">IFERROR(100*U395/G395,"")</f>
        <v>0.711360152316906</v>
      </c>
      <c r="AL395" s="18" t="n">
        <f aca="false">IFERROR(100*J395/H395,"")</f>
        <v>72.6648779258513</v>
      </c>
      <c r="AM395" s="18" t="n">
        <f aca="false">IFERROR(100*L395/J395,"")</f>
        <v>87.1564087394684</v>
      </c>
      <c r="AN395" s="18" t="n">
        <f aca="false">IFERROR(100*M395/J395,"")</f>
        <v>6.84958893490279</v>
      </c>
      <c r="AO395" s="18" t="n">
        <f aca="false">IFERROR(100*N395/J395,"")</f>
        <v>3.27179257022787</v>
      </c>
    </row>
    <row r="396" customFormat="false" ht="15" hidden="false" customHeight="false" outlineLevel="0" collapsed="false">
      <c r="A396" s="17" t="n">
        <v>18028</v>
      </c>
      <c r="B396" s="23" t="n">
        <v>44926</v>
      </c>
      <c r="C396" s="17" t="s">
        <v>130</v>
      </c>
      <c r="D396" s="17" t="s">
        <v>116</v>
      </c>
      <c r="E396" s="17" t="s">
        <v>118</v>
      </c>
      <c r="F396" s="17" t="n">
        <v>382131</v>
      </c>
      <c r="G396" s="17" t="n">
        <v>378113</v>
      </c>
      <c r="H396" s="17" t="n">
        <v>329968</v>
      </c>
      <c r="I396" s="17" t="n">
        <v>35637</v>
      </c>
      <c r="J396" s="17" t="n">
        <v>252236</v>
      </c>
      <c r="K396" s="17" t="n">
        <v>238960.4</v>
      </c>
      <c r="L396" s="17" t="n">
        <v>218425</v>
      </c>
      <c r="M396" s="17" t="n">
        <v>18569</v>
      </c>
      <c r="N396" s="17" t="n">
        <v>8838</v>
      </c>
      <c r="O396" s="17" t="n">
        <v>1059</v>
      </c>
      <c r="P396" s="17" t="n">
        <v>820</v>
      </c>
      <c r="Q396" s="17" t="n">
        <v>456</v>
      </c>
      <c r="R396" s="17" t="n">
        <v>220</v>
      </c>
      <c r="S396" s="17" t="n">
        <v>0</v>
      </c>
      <c r="T396" s="17" t="n">
        <v>0</v>
      </c>
      <c r="U396" s="17" t="n">
        <v>2554</v>
      </c>
      <c r="V396" s="17" t="n">
        <v>0.675459452597504</v>
      </c>
      <c r="W396" s="17" t="n">
        <v>6.48</v>
      </c>
      <c r="X396" s="17" t="n">
        <v>3.44182797024617</v>
      </c>
      <c r="Y396" s="17" t="n">
        <v>0.959418956849934</v>
      </c>
      <c r="Z396" s="17" t="n">
        <v>0</v>
      </c>
      <c r="AA396" s="17" t="n">
        <v>9.32585945657379</v>
      </c>
      <c r="AB396" s="17"/>
      <c r="AC396" s="17"/>
      <c r="AD396" s="17"/>
      <c r="AE396" s="17"/>
      <c r="AF396" s="17"/>
      <c r="AG396" s="18" t="n">
        <f aca="false">IFERROR(100*O396/F396,"")</f>
        <v>0.277130094130024</v>
      </c>
      <c r="AH396" s="18" t="n">
        <f aca="false">IFERROR(100*(P396+Q396)/F396,"")</f>
        <v>0.333916902842219</v>
      </c>
      <c r="AI396" s="18" t="n">
        <f aca="false">IFERROR(100*R396/K396,"")</f>
        <v>0.0920654635663482</v>
      </c>
      <c r="AJ396" s="18" t="str">
        <f aca="false">IF(T396&gt;0,100*S396/T396,"")</f>
        <v/>
      </c>
      <c r="AK396" s="18" t="n">
        <f aca="false">IFERROR(100*U396/G396,"")</f>
        <v>0.675459452597504</v>
      </c>
      <c r="AL396" s="18" t="n">
        <f aca="false">IFERROR(100*J396/H396,"")</f>
        <v>76.4425641274305</v>
      </c>
      <c r="AM396" s="18" t="n">
        <f aca="false">IFERROR(100*L396/J396,"")</f>
        <v>86.5954899379946</v>
      </c>
      <c r="AN396" s="18" t="n">
        <f aca="false">IFERROR(100*M396/J396,"")</f>
        <v>7.36175645030844</v>
      </c>
      <c r="AO396" s="18" t="n">
        <f aca="false">IFERROR(100*N396/J396,"")</f>
        <v>3.50386146307426</v>
      </c>
    </row>
    <row r="397" customFormat="false" ht="15" hidden="false" customHeight="false" outlineLevel="0" collapsed="false">
      <c r="A397" s="17" t="n">
        <v>18028</v>
      </c>
      <c r="B397" s="23" t="n">
        <v>45016</v>
      </c>
      <c r="C397" s="17" t="s">
        <v>130</v>
      </c>
      <c r="D397" s="17" t="s">
        <v>116</v>
      </c>
      <c r="E397" s="17" t="s">
        <v>118</v>
      </c>
      <c r="F397" s="17" t="n">
        <v>384151</v>
      </c>
      <c r="G397" s="17" t="n">
        <v>383141</v>
      </c>
      <c r="H397" s="17" t="n">
        <v>321675</v>
      </c>
      <c r="I397" s="17" t="n">
        <v>38054</v>
      </c>
      <c r="J397" s="17" t="n">
        <v>253368</v>
      </c>
      <c r="K397" s="17" t="n">
        <v>252802</v>
      </c>
      <c r="L397" s="17" t="n">
        <v>222649</v>
      </c>
      <c r="M397" s="17" t="n">
        <v>15846</v>
      </c>
      <c r="N397" s="17" t="n">
        <v>8663</v>
      </c>
      <c r="O397" s="17" t="n">
        <v>1519</v>
      </c>
      <c r="P397" s="17" t="n">
        <v>1473</v>
      </c>
      <c r="Q397" s="17" t="n">
        <v>163</v>
      </c>
      <c r="R397" s="17" t="n">
        <v>348</v>
      </c>
      <c r="S397" s="17" t="n">
        <v>0</v>
      </c>
      <c r="T397" s="17" t="n">
        <v>0</v>
      </c>
      <c r="U397" s="17" t="n">
        <v>2332</v>
      </c>
      <c r="V397" s="17" t="n">
        <v>0.60865321121989</v>
      </c>
      <c r="W397" s="17" t="n">
        <v>6.33</v>
      </c>
      <c r="X397" s="17" t="n">
        <v>3.57814376005256</v>
      </c>
      <c r="Y397" s="17" t="n">
        <v>0.977234694199741</v>
      </c>
      <c r="Z397" s="17" t="n">
        <v>0</v>
      </c>
      <c r="AA397" s="17" t="n">
        <v>9.90600050500975</v>
      </c>
      <c r="AB397" s="17" t="n">
        <v>2.14418472321565</v>
      </c>
      <c r="AC397" s="17" t="n">
        <v>9.80956426014372</v>
      </c>
      <c r="AD397" s="17" t="n">
        <v>-2.46124830196003</v>
      </c>
      <c r="AE397" s="17" t="n">
        <v>-0.190814519984368</v>
      </c>
      <c r="AF397" s="17" t="n">
        <v>0.108249830142124</v>
      </c>
      <c r="AG397" s="18" t="n">
        <f aca="false">IFERROR(100*O397/F397,"")</f>
        <v>0.395417427001361</v>
      </c>
      <c r="AH397" s="18" t="n">
        <f aca="false">IFERROR(100*(P397+Q397)/F397,"")</f>
        <v>0.425874200509695</v>
      </c>
      <c r="AI397" s="18" t="n">
        <f aca="false">IFERROR(100*R397/K397,"")</f>
        <v>0.137657138788459</v>
      </c>
      <c r="AJ397" s="18" t="str">
        <f aca="false">IF(T397&gt;0,100*S397/T397,"")</f>
        <v/>
      </c>
      <c r="AK397" s="18" t="n">
        <f aca="false">IFERROR(100*U397/G397,"")</f>
        <v>0.60865321121989</v>
      </c>
      <c r="AL397" s="18" t="n">
        <f aca="false">IFERROR(100*J397/H397,"")</f>
        <v>78.7652133364421</v>
      </c>
      <c r="AM397" s="18" t="n">
        <f aca="false">IFERROR(100*L397/J397,"")</f>
        <v>87.8757380568975</v>
      </c>
      <c r="AN397" s="18" t="n">
        <f aca="false">IFERROR(100*M397/J397,"")</f>
        <v>6.25414416974519</v>
      </c>
      <c r="AO397" s="18" t="n">
        <f aca="false">IFERROR(100*N397/J397,"")</f>
        <v>3.41913738120047</v>
      </c>
    </row>
    <row r="398" customFormat="false" ht="15" hidden="false" customHeight="false" outlineLevel="0" collapsed="false">
      <c r="A398" s="17" t="n">
        <v>18028</v>
      </c>
      <c r="B398" s="23" t="n">
        <v>45107</v>
      </c>
      <c r="C398" s="17" t="s">
        <v>130</v>
      </c>
      <c r="D398" s="17" t="s">
        <v>116</v>
      </c>
      <c r="E398" s="17" t="s">
        <v>118</v>
      </c>
      <c r="F398" s="17" t="n">
        <v>385140</v>
      </c>
      <c r="G398" s="17" t="n">
        <v>383807.333333333</v>
      </c>
      <c r="H398" s="17" t="n">
        <v>318025</v>
      </c>
      <c r="I398" s="17" t="n">
        <v>37896</v>
      </c>
      <c r="J398" s="17" t="n">
        <v>257736</v>
      </c>
      <c r="K398" s="17" t="n">
        <v>254446.666666667</v>
      </c>
      <c r="L398" s="17" t="n">
        <v>228527</v>
      </c>
      <c r="M398" s="17" t="n">
        <v>15285</v>
      </c>
      <c r="N398" s="17" t="n">
        <v>7701</v>
      </c>
      <c r="O398" s="17" t="n">
        <v>855</v>
      </c>
      <c r="P398" s="17" t="n">
        <v>417</v>
      </c>
      <c r="Q398" s="17" t="n">
        <v>20</v>
      </c>
      <c r="R398" s="17" t="n">
        <v>468</v>
      </c>
      <c r="S398" s="17" t="n">
        <v>0</v>
      </c>
      <c r="T398" s="17" t="n">
        <v>0</v>
      </c>
      <c r="U398" s="17" t="n">
        <v>2208</v>
      </c>
      <c r="V398" s="17" t="n">
        <v>0.575288643086549</v>
      </c>
      <c r="W398" s="17" t="n">
        <v>5.94</v>
      </c>
      <c r="X398" s="17" t="n">
        <v>3.49800968810121</v>
      </c>
      <c r="Y398" s="17" t="n">
        <v>0.946317161746904</v>
      </c>
      <c r="Z398" s="17" t="n">
        <v>0</v>
      </c>
      <c r="AA398" s="17" t="n">
        <v>9.83953886898271</v>
      </c>
      <c r="AB398" s="17" t="n">
        <v>2.01005956811133</v>
      </c>
      <c r="AC398" s="17" t="n">
        <v>7.13154514733205</v>
      </c>
      <c r="AD398" s="17" t="n">
        <v>-5.13625896362053</v>
      </c>
      <c r="AE398" s="17" t="n">
        <v>-0.12831110572905</v>
      </c>
      <c r="AF398" s="17" t="n">
        <v>-0.0632622790539957</v>
      </c>
      <c r="AG398" s="18" t="n">
        <f aca="false">IFERROR(100*O398/F398,"")</f>
        <v>0.221997195824895</v>
      </c>
      <c r="AH398" s="18" t="n">
        <f aca="false">IFERROR(100*(P398+Q398)/F398,"")</f>
        <v>0.113465233421613</v>
      </c>
      <c r="AI398" s="18" t="n">
        <f aca="false">IFERROR(100*R398/K398,"")</f>
        <v>0.183928524641706</v>
      </c>
      <c r="AJ398" s="18" t="str">
        <f aca="false">IF(T398&gt;0,100*S398/T398,"")</f>
        <v/>
      </c>
      <c r="AK398" s="18" t="n">
        <f aca="false">IFERROR(100*U398/G398,"")</f>
        <v>0.575288643086549</v>
      </c>
      <c r="AL398" s="18" t="n">
        <f aca="false">IFERROR(100*J398/H398,"")</f>
        <v>81.0426853234809</v>
      </c>
      <c r="AM398" s="18" t="n">
        <f aca="false">IFERROR(100*L398/J398,"")</f>
        <v>88.6670857000962</v>
      </c>
      <c r="AN398" s="18" t="n">
        <f aca="false">IFERROR(100*M398/J398,"")</f>
        <v>5.93048700996368</v>
      </c>
      <c r="AO398" s="18" t="n">
        <f aca="false">IFERROR(100*N398/J398,"")</f>
        <v>2.98794114908278</v>
      </c>
    </row>
    <row r="399" customFormat="false" ht="15" hidden="false" customHeight="false" outlineLevel="0" collapsed="false">
      <c r="A399" s="17" t="n">
        <v>18028</v>
      </c>
      <c r="B399" s="23" t="n">
        <v>45199</v>
      </c>
      <c r="C399" s="17" t="s">
        <v>130</v>
      </c>
      <c r="D399" s="17" t="s">
        <v>116</v>
      </c>
      <c r="E399" s="17" t="s">
        <v>118</v>
      </c>
      <c r="F399" s="17" t="n">
        <v>381526</v>
      </c>
      <c r="G399" s="17" t="n">
        <v>383237</v>
      </c>
      <c r="H399" s="17" t="n">
        <v>312777</v>
      </c>
      <c r="I399" s="17" t="n">
        <v>35629</v>
      </c>
      <c r="J399" s="17" t="n">
        <v>261805</v>
      </c>
      <c r="K399" s="17" t="n">
        <v>256286.25</v>
      </c>
      <c r="L399" s="17" t="n">
        <v>235366</v>
      </c>
      <c r="M399" s="17" t="n">
        <v>14223</v>
      </c>
      <c r="N399" s="17" t="n">
        <v>6237</v>
      </c>
      <c r="O399" s="17" t="n">
        <v>831</v>
      </c>
      <c r="P399" s="17" t="n">
        <v>925</v>
      </c>
      <c r="Q399" s="17" t="n">
        <v>233</v>
      </c>
      <c r="R399" s="17" t="n">
        <v>431.9892</v>
      </c>
      <c r="S399" s="17" t="n">
        <v>0</v>
      </c>
      <c r="T399" s="17" t="n">
        <v>0</v>
      </c>
      <c r="U399" s="17" t="n">
        <v>2209.2781</v>
      </c>
      <c r="V399" s="17" t="n">
        <v>0.57647828889173</v>
      </c>
      <c r="W399" s="17" t="n">
        <v>6</v>
      </c>
      <c r="X399" s="17" t="n">
        <v>3.46173527125438</v>
      </c>
      <c r="Y399" s="17" t="n">
        <v>0.904108019327362</v>
      </c>
      <c r="Z399" s="17" t="n">
        <v>0</v>
      </c>
      <c r="AA399" s="17" t="n">
        <v>9.33855097686658</v>
      </c>
      <c r="AB399" s="17" t="n">
        <v>0.564864530039566</v>
      </c>
      <c r="AC399" s="17" t="n">
        <v>6.81776454028029</v>
      </c>
      <c r="AD399" s="17" t="n">
        <v>-7.2690078418002</v>
      </c>
      <c r="AE399" s="17" t="n">
        <v>-0.134881863425176</v>
      </c>
      <c r="AF399" s="17" t="n">
        <v>-0.0634365952872208</v>
      </c>
      <c r="AG399" s="18" t="n">
        <f aca="false">IFERROR(100*O399/F399,"")</f>
        <v>0.217809533295241</v>
      </c>
      <c r="AH399" s="18" t="n">
        <f aca="false">IFERROR(100*(P399+Q399)/F399,"")</f>
        <v>0.30351797780492</v>
      </c>
      <c r="AI399" s="18" t="n">
        <f aca="false">IFERROR(100*R399/K399,"")</f>
        <v>0.168557306527369</v>
      </c>
      <c r="AJ399" s="18" t="str">
        <f aca="false">IF(T399&gt;0,100*S399/T399,"")</f>
        <v/>
      </c>
      <c r="AK399" s="18" t="n">
        <f aca="false">IFERROR(100*U399/G399,"")</f>
        <v>0.57647828889173</v>
      </c>
      <c r="AL399" s="18" t="n">
        <f aca="false">IFERROR(100*J399/H399,"")</f>
        <v>83.7034053015407</v>
      </c>
      <c r="AM399" s="18" t="n">
        <f aca="false">IFERROR(100*L399/J399,"")</f>
        <v>89.9012623899467</v>
      </c>
      <c r="AN399" s="18" t="n">
        <f aca="false">IFERROR(100*M399/J399,"")</f>
        <v>5.43266935314452</v>
      </c>
      <c r="AO399" s="18" t="n">
        <f aca="false">IFERROR(100*N399/J399,"")</f>
        <v>2.38230744256221</v>
      </c>
    </row>
    <row r="400" customFormat="false" ht="15" hidden="false" customHeight="false" outlineLevel="0" collapsed="false">
      <c r="A400" s="17" t="n">
        <v>18028</v>
      </c>
      <c r="B400" s="23" t="n">
        <v>45291</v>
      </c>
      <c r="C400" s="17" t="s">
        <v>130</v>
      </c>
      <c r="D400" s="17" t="s">
        <v>116</v>
      </c>
      <c r="E400" s="17" t="s">
        <v>118</v>
      </c>
      <c r="F400" s="17" t="n">
        <v>392854</v>
      </c>
      <c r="G400" s="17" t="n">
        <v>385160.4</v>
      </c>
      <c r="H400" s="17" t="n">
        <v>313497</v>
      </c>
      <c r="I400" s="17" t="n">
        <v>40632</v>
      </c>
      <c r="J400" s="17" t="n">
        <v>265068</v>
      </c>
      <c r="K400" s="17" t="n">
        <v>258042.6</v>
      </c>
      <c r="L400" s="17" t="n">
        <v>237654</v>
      </c>
      <c r="M400" s="17" t="n">
        <v>15393</v>
      </c>
      <c r="N400" s="17" t="n">
        <v>6367</v>
      </c>
      <c r="O400" s="17" t="n">
        <v>817</v>
      </c>
      <c r="P400" s="17" t="n">
        <v>1644</v>
      </c>
      <c r="Q400" s="17" t="n">
        <v>104</v>
      </c>
      <c r="R400" s="17" t="n">
        <v>383</v>
      </c>
      <c r="S400" s="17" t="n">
        <v>0</v>
      </c>
      <c r="T400" s="17" t="n">
        <v>0</v>
      </c>
      <c r="U400" s="17" t="n">
        <v>2351</v>
      </c>
      <c r="V400" s="17" t="n">
        <v>0.610395045804294</v>
      </c>
      <c r="W400" s="17" t="n">
        <v>6.26</v>
      </c>
      <c r="X400" s="17" t="n">
        <v>3.41924397656439</v>
      </c>
      <c r="Y400" s="17" t="n">
        <v>0.877133414821857</v>
      </c>
      <c r="Z400" s="17" t="n">
        <v>0</v>
      </c>
      <c r="AA400" s="17" t="n">
        <v>10.3427736512801</v>
      </c>
      <c r="AB400" s="17" t="n">
        <v>2.80610575954319</v>
      </c>
      <c r="AC400" s="17" t="n">
        <v>5.08729919599105</v>
      </c>
      <c r="AD400" s="17" t="n">
        <v>-4.99169616447656</v>
      </c>
      <c r="AE400" s="17" t="n">
        <v>-0.0650644067932105</v>
      </c>
      <c r="AF400" s="17" t="n">
        <v>-0.0691647940439864</v>
      </c>
      <c r="AG400" s="18" t="n">
        <f aca="false">IFERROR(100*O400/F400,"")</f>
        <v>0.207965300086037</v>
      </c>
      <c r="AH400" s="18" t="n">
        <f aca="false">IFERROR(100*(P400+Q400)/F400,"")</f>
        <v>0.444949014137568</v>
      </c>
      <c r="AI400" s="18" t="n">
        <f aca="false">IFERROR(100*R400/K400,"")</f>
        <v>0.148425105002042</v>
      </c>
      <c r="AJ400" s="18" t="str">
        <f aca="false">IF(T400&gt;0,100*S400/T400,"")</f>
        <v/>
      </c>
      <c r="AK400" s="18" t="n">
        <f aca="false">IFERROR(100*U400/G400,"")</f>
        <v>0.610395045804294</v>
      </c>
      <c r="AL400" s="18" t="n">
        <f aca="false">IFERROR(100*J400/H400,"")</f>
        <v>84.5520052823472</v>
      </c>
      <c r="AM400" s="18" t="n">
        <f aca="false">IFERROR(100*L400/J400,"")</f>
        <v>89.6577482004618</v>
      </c>
      <c r="AN400" s="18" t="n">
        <f aca="false">IFERROR(100*M400/J400,"")</f>
        <v>5.80718909864639</v>
      </c>
      <c r="AO400" s="18" t="n">
        <f aca="false">IFERROR(100*N400/J400,"")</f>
        <v>2.40202514071861</v>
      </c>
    </row>
    <row r="401" customFormat="false" ht="15" hidden="false" customHeight="false" outlineLevel="0" collapsed="false">
      <c r="A401" s="17" t="n">
        <v>18028</v>
      </c>
      <c r="B401" s="23" t="n">
        <v>45382</v>
      </c>
      <c r="C401" s="17" t="s">
        <v>130</v>
      </c>
      <c r="D401" s="17" t="s">
        <v>116</v>
      </c>
      <c r="E401" s="17" t="s">
        <v>118</v>
      </c>
      <c r="F401" s="17" t="n">
        <v>397277</v>
      </c>
      <c r="G401" s="17" t="n">
        <v>395065.5</v>
      </c>
      <c r="H401" s="17" t="n">
        <v>325871</v>
      </c>
      <c r="I401" s="17" t="n">
        <v>40522</v>
      </c>
      <c r="J401" s="17" t="n">
        <v>267508</v>
      </c>
      <c r="K401" s="17" t="n">
        <v>266288</v>
      </c>
      <c r="L401" s="17" t="n">
        <v>240691</v>
      </c>
      <c r="M401" s="17" t="n">
        <v>14766</v>
      </c>
      <c r="N401" s="17" t="n">
        <v>6592</v>
      </c>
      <c r="O401" s="17" t="n">
        <v>704</v>
      </c>
      <c r="P401" s="17" t="n">
        <v>2237</v>
      </c>
      <c r="Q401" s="17" t="n">
        <v>59</v>
      </c>
      <c r="R401" s="17" t="n">
        <v>396</v>
      </c>
      <c r="S401" s="17" t="n">
        <v>0</v>
      </c>
      <c r="T401" s="17" t="n">
        <v>0</v>
      </c>
      <c r="U401" s="17" t="n">
        <v>1572</v>
      </c>
      <c r="V401" s="17" t="n">
        <v>0.397908701215368</v>
      </c>
      <c r="W401" s="17" t="n">
        <v>3.87</v>
      </c>
      <c r="X401" s="17" t="n">
        <v>3.21726110492571</v>
      </c>
      <c r="Y401" s="17" t="n">
        <v>0.844460726408182</v>
      </c>
      <c r="Z401" s="17" t="n">
        <v>0</v>
      </c>
      <c r="AA401" s="17" t="n">
        <v>10.1999360647609</v>
      </c>
      <c r="AB401" s="17" t="n">
        <v>3.41688554761019</v>
      </c>
      <c r="AC401" s="17" t="n">
        <v>5.58081525685958</v>
      </c>
      <c r="AD401" s="17" t="n">
        <v>1.30442216522888</v>
      </c>
      <c r="AE401" s="17" t="n">
        <v>-0.210744510004522</v>
      </c>
      <c r="AF401" s="17" t="n">
        <v>-0.218211094895551</v>
      </c>
      <c r="AG401" s="18" t="n">
        <f aca="false">IFERROR(100*O401/F401,"")</f>
        <v>0.17720633210581</v>
      </c>
      <c r="AH401" s="18" t="n">
        <f aca="false">IFERROR(100*(P401+Q401)/F401,"")</f>
        <v>0.577934287663268</v>
      </c>
      <c r="AI401" s="18" t="n">
        <f aca="false">IFERROR(100*R401/K401,"")</f>
        <v>0.148711169861203</v>
      </c>
      <c r="AJ401" s="18" t="str">
        <f aca="false">IF(T401&gt;0,100*S401/T401,"")</f>
        <v/>
      </c>
      <c r="AK401" s="18" t="n">
        <f aca="false">IFERROR(100*U401/G401,"")</f>
        <v>0.397908701215368</v>
      </c>
      <c r="AL401" s="18" t="n">
        <f aca="false">IFERROR(100*J401/H401,"")</f>
        <v>82.0901522381556</v>
      </c>
      <c r="AM401" s="18" t="n">
        <f aca="false">IFERROR(100*L401/J401,"")</f>
        <v>89.9752530765435</v>
      </c>
      <c r="AN401" s="18" t="n">
        <f aca="false">IFERROR(100*M401/J401,"")</f>
        <v>5.5198349208248</v>
      </c>
      <c r="AO401" s="18" t="n">
        <f aca="false">IFERROR(100*N401/J401,"")</f>
        <v>2.46422536896093</v>
      </c>
    </row>
    <row r="402" customFormat="false" ht="15" hidden="false" customHeight="false" outlineLevel="0" collapsed="false">
      <c r="A402" s="17" t="n">
        <v>18028</v>
      </c>
      <c r="B402" s="23" t="n">
        <v>45473</v>
      </c>
      <c r="C402" s="17" t="s">
        <v>130</v>
      </c>
      <c r="D402" s="17" t="s">
        <v>116</v>
      </c>
      <c r="E402" s="17" t="s">
        <v>118</v>
      </c>
      <c r="F402" s="17" t="n">
        <v>393662</v>
      </c>
      <c r="G402" s="17" t="n">
        <v>394597.666666667</v>
      </c>
      <c r="H402" s="17" t="n">
        <v>324859</v>
      </c>
      <c r="I402" s="17" t="n">
        <v>40845</v>
      </c>
      <c r="J402" s="17" t="n">
        <v>270218</v>
      </c>
      <c r="K402" s="17" t="n">
        <v>267598</v>
      </c>
      <c r="L402" s="17" t="n">
        <v>243503</v>
      </c>
      <c r="M402" s="17" t="n">
        <v>14637</v>
      </c>
      <c r="N402" s="17" t="n">
        <v>6650</v>
      </c>
      <c r="O402" s="17" t="n">
        <v>548</v>
      </c>
      <c r="P402" s="17" t="n">
        <v>1523</v>
      </c>
      <c r="Q402" s="17" t="n">
        <v>68</v>
      </c>
      <c r="R402" s="17" t="n">
        <v>598</v>
      </c>
      <c r="S402" s="17" t="n">
        <v>0</v>
      </c>
      <c r="T402" s="17" t="n">
        <v>0</v>
      </c>
      <c r="U402" s="17" t="n">
        <v>1856</v>
      </c>
      <c r="V402" s="17" t="n">
        <v>0.470352502506773</v>
      </c>
      <c r="W402" s="17" t="n">
        <v>4.56</v>
      </c>
      <c r="X402" s="17" t="n">
        <v>3.25736775755223</v>
      </c>
      <c r="Y402" s="17" t="n">
        <v>0.762347437994508</v>
      </c>
      <c r="Z402" s="17" t="n">
        <v>0</v>
      </c>
      <c r="AA402" s="17" t="n">
        <v>10.3756522092557</v>
      </c>
      <c r="AB402" s="17" t="n">
        <v>2.212701874643</v>
      </c>
      <c r="AC402" s="17" t="n">
        <v>4.84294006269981</v>
      </c>
      <c r="AD402" s="17" t="n">
        <v>2.14888766606398</v>
      </c>
      <c r="AE402" s="17" t="n">
        <v>-0.104936140579776</v>
      </c>
      <c r="AF402" s="17" t="n">
        <v>-0.0827914812778977</v>
      </c>
      <c r="AG402" s="18" t="n">
        <f aca="false">IFERROR(100*O402/F402,"")</f>
        <v>0.139205714546997</v>
      </c>
      <c r="AH402" s="18" t="n">
        <f aca="false">IFERROR(100*(P402+Q402)/F402,"")</f>
        <v>0.404153817234074</v>
      </c>
      <c r="AI402" s="18" t="n">
        <f aca="false">IFERROR(100*R402/K402,"")</f>
        <v>0.223469532657195</v>
      </c>
      <c r="AJ402" s="18" t="str">
        <f aca="false">IF(T402&gt;0,100*S402/T402,"")</f>
        <v/>
      </c>
      <c r="AK402" s="18" t="n">
        <f aca="false">IFERROR(100*U402/G402,"")</f>
        <v>0.470352502506773</v>
      </c>
      <c r="AL402" s="18" t="n">
        <f aca="false">IFERROR(100*J402/H402,"")</f>
        <v>83.1800873609782</v>
      </c>
      <c r="AM402" s="18" t="n">
        <f aca="false">IFERROR(100*L402/J402,"")</f>
        <v>90.1135379582411</v>
      </c>
      <c r="AN402" s="18" t="n">
        <f aca="false">IFERROR(100*M402/J402,"")</f>
        <v>5.41673759705127</v>
      </c>
      <c r="AO402" s="18" t="n">
        <f aca="false">IFERROR(100*N402/J402,"")</f>
        <v>2.46097595274926</v>
      </c>
    </row>
    <row r="403" customFormat="false" ht="15" hidden="false" customHeight="false" outlineLevel="0" collapsed="false">
      <c r="A403" s="17" t="n">
        <v>18028</v>
      </c>
      <c r="B403" s="23" t="n">
        <v>45565</v>
      </c>
      <c r="C403" s="17" t="s">
        <v>130</v>
      </c>
      <c r="D403" s="17" t="s">
        <v>116</v>
      </c>
      <c r="E403" s="17" t="s">
        <v>118</v>
      </c>
      <c r="F403" s="17" t="n">
        <v>407460</v>
      </c>
      <c r="G403" s="17" t="n">
        <v>397813.25</v>
      </c>
      <c r="H403" s="17" t="n">
        <v>337570</v>
      </c>
      <c r="I403" s="17" t="n">
        <v>43831</v>
      </c>
      <c r="J403" s="17" t="n">
        <v>273990</v>
      </c>
      <c r="K403" s="17" t="n">
        <v>269196</v>
      </c>
      <c r="L403" s="17" t="n">
        <v>249806</v>
      </c>
      <c r="M403" s="17" t="n">
        <v>12374</v>
      </c>
      <c r="N403" s="17" t="n">
        <v>6660</v>
      </c>
      <c r="O403" s="17" t="n">
        <v>908</v>
      </c>
      <c r="P403" s="17" t="n">
        <v>845</v>
      </c>
      <c r="Q403" s="17" t="n">
        <v>358</v>
      </c>
      <c r="R403" s="17" t="n">
        <v>501.3208</v>
      </c>
      <c r="S403" s="17" t="n">
        <v>0</v>
      </c>
      <c r="T403" s="17" t="n">
        <v>0</v>
      </c>
      <c r="U403" s="17" t="n">
        <v>1787.9553</v>
      </c>
      <c r="V403" s="17" t="n">
        <v>0.449445889497145</v>
      </c>
      <c r="W403" s="17" t="n">
        <v>4.31</v>
      </c>
      <c r="X403" s="17" t="n">
        <v>3.29966188951613</v>
      </c>
      <c r="Y403" s="17" t="n">
        <v>0.821197853936275</v>
      </c>
      <c r="Z403" s="17" t="n">
        <v>0</v>
      </c>
      <c r="AA403" s="17" t="n">
        <v>10.7571295341874</v>
      </c>
      <c r="AB403" s="17" t="n">
        <v>6.79743975508877</v>
      </c>
      <c r="AC403" s="17" t="n">
        <v>4.65422738297587</v>
      </c>
      <c r="AD403" s="17" t="n">
        <v>7.92673374321002</v>
      </c>
      <c r="AE403" s="17" t="n">
        <v>-0.127032399394586</v>
      </c>
      <c r="AF403" s="17" t="n">
        <v>0.00503442684808625</v>
      </c>
      <c r="AG403" s="18" t="n">
        <f aca="false">IFERROR(100*O403/F403,"")</f>
        <v>0.222843960143327</v>
      </c>
      <c r="AH403" s="18" t="n">
        <f aca="false">IFERROR(100*(P403+Q403)/F403,"")</f>
        <v>0.295243704903549</v>
      </c>
      <c r="AI403" s="18" t="n">
        <f aca="false">IFERROR(100*R403/K403,"")</f>
        <v>0.186228918706073</v>
      </c>
      <c r="AJ403" s="18" t="str">
        <f aca="false">IF(T403&gt;0,100*S403/T403,"")</f>
        <v/>
      </c>
      <c r="AK403" s="18" t="n">
        <f aca="false">IFERROR(100*U403/G403,"")</f>
        <v>0.449445889497145</v>
      </c>
      <c r="AL403" s="18" t="n">
        <f aca="false">IFERROR(100*J403/H403,"")</f>
        <v>81.1653879195426</v>
      </c>
      <c r="AM403" s="18" t="n">
        <f aca="false">IFERROR(100*L403/J403,"")</f>
        <v>91.1734004890689</v>
      </c>
      <c r="AN403" s="18" t="n">
        <f aca="false">IFERROR(100*M403/J403,"")</f>
        <v>4.51622321982554</v>
      </c>
      <c r="AO403" s="18" t="n">
        <f aca="false">IFERROR(100*N403/J403,"")</f>
        <v>2.43074564765137</v>
      </c>
    </row>
    <row r="404" customFormat="false" ht="15" hidden="false" customHeight="false" outlineLevel="0" collapsed="false">
      <c r="A404" s="17" t="n">
        <v>18028</v>
      </c>
      <c r="B404" s="23" t="n">
        <v>45657</v>
      </c>
      <c r="C404" s="17" t="s">
        <v>130</v>
      </c>
      <c r="D404" s="17" t="s">
        <v>116</v>
      </c>
      <c r="E404" s="17" t="s">
        <v>118</v>
      </c>
      <c r="F404" s="17" t="n">
        <v>402051</v>
      </c>
      <c r="G404" s="17" t="n">
        <v>398660.8</v>
      </c>
      <c r="H404" s="17" t="n">
        <v>341523</v>
      </c>
      <c r="I404" s="17" t="n">
        <v>42186</v>
      </c>
      <c r="J404" s="17" t="n">
        <v>279403</v>
      </c>
      <c r="K404" s="17" t="n">
        <v>271237.4</v>
      </c>
      <c r="L404" s="17" t="n">
        <v>254756</v>
      </c>
      <c r="M404" s="17" t="n">
        <v>13467</v>
      </c>
      <c r="N404" s="17" t="n">
        <v>5649</v>
      </c>
      <c r="O404" s="17" t="n">
        <v>888</v>
      </c>
      <c r="P404" s="17" t="n">
        <v>2095</v>
      </c>
      <c r="Q404" s="17" t="n">
        <v>183</v>
      </c>
      <c r="R404" s="17" t="n">
        <v>452</v>
      </c>
      <c r="S404" s="17" t="n">
        <v>0</v>
      </c>
      <c r="T404" s="17" t="n">
        <v>0</v>
      </c>
      <c r="U404" s="17" t="n">
        <v>1704</v>
      </c>
      <c r="V404" s="17" t="n">
        <v>0.42743103911897</v>
      </c>
      <c r="W404" s="17" t="n">
        <v>4.1</v>
      </c>
      <c r="X404" s="17" t="n">
        <v>3.28972183764193</v>
      </c>
      <c r="Y404" s="17" t="n">
        <v>0.821394186891336</v>
      </c>
      <c r="Z404" s="17" t="n">
        <v>0</v>
      </c>
      <c r="AA404" s="17" t="n">
        <v>10.49269868748</v>
      </c>
      <c r="AB404" s="17" t="n">
        <v>2.34107327404074</v>
      </c>
      <c r="AC404" s="17" t="n">
        <v>5.40804623719198</v>
      </c>
      <c r="AD404" s="17" t="n">
        <v>8.93979846697097</v>
      </c>
      <c r="AE404" s="17" t="n">
        <v>-0.182964006685323</v>
      </c>
      <c r="AF404" s="17" t="n">
        <v>0.0129022017980523</v>
      </c>
      <c r="AG404" s="18" t="n">
        <f aca="false">IFERROR(100*O404/F404,"")</f>
        <v>0.220867501884089</v>
      </c>
      <c r="AH404" s="18" t="n">
        <f aca="false">IFERROR(100*(P404+Q404)/F404,"")</f>
        <v>0.566594785238689</v>
      </c>
      <c r="AI404" s="18" t="n">
        <f aca="false">IFERROR(100*R404/K404,"")</f>
        <v>0.166643685568436</v>
      </c>
      <c r="AJ404" s="18" t="str">
        <f aca="false">IF(T404&gt;0,100*S404/T404,"")</f>
        <v/>
      </c>
      <c r="AK404" s="18" t="n">
        <f aca="false">IFERROR(100*U404/G404,"")</f>
        <v>0.42743103911897</v>
      </c>
      <c r="AL404" s="18" t="n">
        <f aca="false">IFERROR(100*J404/H404,"")</f>
        <v>81.8108882857084</v>
      </c>
      <c r="AM404" s="18" t="n">
        <f aca="false">IFERROR(100*L404/J404,"")</f>
        <v>91.17869171054</v>
      </c>
      <c r="AN404" s="18" t="n">
        <f aca="false">IFERROR(100*M404/J404,"")</f>
        <v>4.81991961432053</v>
      </c>
      <c r="AO404" s="18" t="n">
        <f aca="false">IFERROR(100*N404/J404,"")</f>
        <v>2.02181078943318</v>
      </c>
    </row>
    <row r="405" customFormat="false" ht="15" hidden="false" customHeight="false" outlineLevel="0" collapsed="false">
      <c r="A405" s="17" t="n">
        <v>18028</v>
      </c>
      <c r="B405" s="23" t="n">
        <v>45747</v>
      </c>
      <c r="C405" s="17" t="s">
        <v>130</v>
      </c>
      <c r="D405" s="17" t="s">
        <v>116</v>
      </c>
      <c r="E405" s="17" t="s">
        <v>118</v>
      </c>
      <c r="F405" s="17" t="n">
        <v>400477</v>
      </c>
      <c r="G405" s="17" t="n">
        <v>401264</v>
      </c>
      <c r="H405" s="17" t="n">
        <v>340672</v>
      </c>
      <c r="I405" s="17" t="n">
        <v>43552</v>
      </c>
      <c r="J405" s="17" t="n">
        <v>276711</v>
      </c>
      <c r="K405" s="17" t="n">
        <v>278057</v>
      </c>
      <c r="L405" s="17" t="n">
        <v>254230</v>
      </c>
      <c r="M405" s="17" t="n">
        <v>12296</v>
      </c>
      <c r="N405" s="17" t="n">
        <v>5085</v>
      </c>
      <c r="O405" s="17" t="n">
        <v>1021</v>
      </c>
      <c r="P405" s="17" t="n">
        <v>1383</v>
      </c>
      <c r="Q405" s="17" t="n">
        <v>62</v>
      </c>
      <c r="R405" s="17" t="n">
        <v>280</v>
      </c>
      <c r="S405" s="17" t="n">
        <v>0</v>
      </c>
      <c r="T405" s="17" t="n">
        <v>0</v>
      </c>
      <c r="U405" s="17" t="n">
        <v>2152</v>
      </c>
      <c r="V405" s="17" t="n">
        <v>0.536305275329957</v>
      </c>
      <c r="W405" s="17" t="n">
        <v>5.02</v>
      </c>
      <c r="X405" s="17" t="n">
        <v>3.46717489851515</v>
      </c>
      <c r="Y405" s="17" t="n">
        <v>0.836251540415813</v>
      </c>
      <c r="Z405" s="17" t="n">
        <v>0</v>
      </c>
      <c r="AA405" s="17" t="n">
        <v>10.8750315249066</v>
      </c>
      <c r="AB405" s="17" t="n">
        <v>0.805483327753676</v>
      </c>
      <c r="AC405" s="17" t="n">
        <v>3.44027094516799</v>
      </c>
      <c r="AD405" s="17" t="n">
        <v>4.5419813361729</v>
      </c>
      <c r="AE405" s="17" t="n">
        <v>0.138396574114589</v>
      </c>
      <c r="AF405" s="17" t="n">
        <v>0.0777396448167096</v>
      </c>
      <c r="AG405" s="18" t="n">
        <f aca="false">IFERROR(100*O405/F405,"")</f>
        <v>0.25494597692252</v>
      </c>
      <c r="AH405" s="18" t="n">
        <f aca="false">IFERROR(100*(P405+Q405)/F405,"")</f>
        <v>0.360819722480941</v>
      </c>
      <c r="AI405" s="18" t="n">
        <f aca="false">IFERROR(100*R405/K405,"")</f>
        <v>0.100698777588768</v>
      </c>
      <c r="AJ405" s="18" t="str">
        <f aca="false">IF(T405&gt;0,100*S405/T405,"")</f>
        <v/>
      </c>
      <c r="AK405" s="18" t="n">
        <f aca="false">IFERROR(100*U405/G405,"")</f>
        <v>0.536305275329957</v>
      </c>
      <c r="AL405" s="18" t="n">
        <f aca="false">IFERROR(100*J405/H405,"")</f>
        <v>81.2250493142965</v>
      </c>
      <c r="AM405" s="18" t="n">
        <f aca="false">IFERROR(100*L405/J405,"")</f>
        <v>91.8756392048021</v>
      </c>
      <c r="AN405" s="18" t="n">
        <f aca="false">IFERROR(100*M405/J405,"")</f>
        <v>4.44362529859673</v>
      </c>
      <c r="AO405" s="18" t="n">
        <f aca="false">IFERROR(100*N405/J405,"")</f>
        <v>1.83765733924564</v>
      </c>
    </row>
    <row r="406" customFormat="false" ht="15" hidden="false" customHeight="false" outlineLevel="0" collapsed="false">
      <c r="A406" s="17" t="n">
        <v>18028</v>
      </c>
      <c r="B406" s="23" t="n">
        <v>45838</v>
      </c>
      <c r="C406" s="17" t="s">
        <v>130</v>
      </c>
      <c r="D406" s="17" t="s">
        <v>116</v>
      </c>
      <c r="E406" s="17" t="s">
        <v>118</v>
      </c>
      <c r="F406" s="17" t="n">
        <v>404550</v>
      </c>
      <c r="G406" s="17" t="n">
        <v>402359.333333333</v>
      </c>
      <c r="H406" s="17" t="n">
        <v>343782</v>
      </c>
      <c r="I406" s="17" t="n">
        <v>44056</v>
      </c>
      <c r="J406" s="17" t="n">
        <v>278902</v>
      </c>
      <c r="K406" s="17" t="n">
        <v>278338.666666667</v>
      </c>
      <c r="L406" s="17" t="n">
        <v>256176</v>
      </c>
      <c r="M406" s="17" t="n">
        <v>13239</v>
      </c>
      <c r="N406" s="17" t="n">
        <v>4410</v>
      </c>
      <c r="O406" s="17" t="n">
        <v>1323</v>
      </c>
      <c r="P406" s="17" t="n">
        <v>1104</v>
      </c>
      <c r="Q406" s="17" t="n">
        <v>65</v>
      </c>
      <c r="R406" s="17" t="n">
        <v>428</v>
      </c>
      <c r="S406" s="17" t="n">
        <v>0</v>
      </c>
      <c r="T406" s="17" t="n">
        <v>0</v>
      </c>
      <c r="U406" s="17" t="n">
        <v>2072</v>
      </c>
      <c r="V406" s="17" t="n">
        <v>0.514962579054543</v>
      </c>
      <c r="W406" s="17" t="n">
        <v>4.79</v>
      </c>
      <c r="X406" s="17" t="n">
        <v>3.48454058231308</v>
      </c>
      <c r="Y406" s="17" t="n">
        <v>0.87127378075453</v>
      </c>
      <c r="Z406" s="17" t="n">
        <v>0</v>
      </c>
      <c r="AA406" s="17" t="n">
        <v>10.8901248300581</v>
      </c>
      <c r="AB406" s="17" t="n">
        <v>2.76582448902867</v>
      </c>
      <c r="AC406" s="17" t="n">
        <v>3.21370152987588</v>
      </c>
      <c r="AD406" s="17" t="n">
        <v>5.82498868739976</v>
      </c>
      <c r="AE406" s="17" t="n">
        <v>0.0446100765477707</v>
      </c>
      <c r="AF406" s="17" t="n">
        <v>0.187824318823414</v>
      </c>
      <c r="AG406" s="18" t="n">
        <f aca="false">IFERROR(100*O406/F406,"")</f>
        <v>0.327030033370412</v>
      </c>
      <c r="AH406" s="18" t="n">
        <f aca="false">IFERROR(100*(P406+Q406)/F406,"")</f>
        <v>0.288963045359041</v>
      </c>
      <c r="AI406" s="18" t="n">
        <f aca="false">IFERROR(100*R406/K406,"")</f>
        <v>0.153769508608218</v>
      </c>
      <c r="AJ406" s="18" t="str">
        <f aca="false">IF(T406&gt;0,100*S406/T406,"")</f>
        <v/>
      </c>
      <c r="AK406" s="18" t="n">
        <f aca="false">IFERROR(100*U406/G406,"")</f>
        <v>0.514962579054543</v>
      </c>
      <c r="AL406" s="18" t="n">
        <f aca="false">IFERROR(100*J406/H406,"")</f>
        <v>81.1275750330151</v>
      </c>
      <c r="AM406" s="18" t="n">
        <f aca="false">IFERROR(100*L406/J406,"")</f>
        <v>91.8516181310998</v>
      </c>
      <c r="AN406" s="18" t="n">
        <f aca="false">IFERROR(100*M406/J406,"")</f>
        <v>4.74682863514783</v>
      </c>
      <c r="AO406" s="18" t="n">
        <f aca="false">IFERROR(100*N406/J406,"")</f>
        <v>1.58120056507304</v>
      </c>
    </row>
    <row r="407" customFormat="false" ht="15" hidden="false" customHeight="false" outlineLevel="0" collapsed="false">
      <c r="A407" s="17" t="n">
        <v>18030</v>
      </c>
      <c r="B407" s="23" t="n">
        <v>44651</v>
      </c>
      <c r="C407" s="17" t="s">
        <v>157</v>
      </c>
      <c r="D407" s="17" t="s">
        <v>116</v>
      </c>
      <c r="E407" s="17" t="s">
        <v>118</v>
      </c>
      <c r="F407" s="17" t="n">
        <v>675480</v>
      </c>
      <c r="G407" s="17" t="n">
        <v>672258</v>
      </c>
      <c r="H407" s="17" t="n">
        <v>625612</v>
      </c>
      <c r="I407" s="17" t="n">
        <v>47946</v>
      </c>
      <c r="J407" s="17" t="n">
        <v>485470</v>
      </c>
      <c r="K407" s="17" t="n">
        <v>479127</v>
      </c>
      <c r="L407" s="17" t="n">
        <v>383166</v>
      </c>
      <c r="M407" s="17" t="n">
        <v>24798</v>
      </c>
      <c r="N407" s="17" t="n">
        <v>77370</v>
      </c>
      <c r="O407" s="17" t="n">
        <v>602</v>
      </c>
      <c r="P407" s="17" t="n">
        <v>184</v>
      </c>
      <c r="Q407" s="17" t="n">
        <v>120</v>
      </c>
      <c r="R407" s="17" t="n">
        <v>-4</v>
      </c>
      <c r="S407" s="17" t="n">
        <v>59459</v>
      </c>
      <c r="T407" s="17" t="n">
        <v>409834</v>
      </c>
      <c r="U407" s="17" t="n">
        <v>2384</v>
      </c>
      <c r="V407" s="17" t="n">
        <v>0.354625753802855</v>
      </c>
      <c r="W407" s="17" t="n">
        <v>4.73</v>
      </c>
      <c r="X407" s="17" t="n">
        <v>2.94757262359294</v>
      </c>
      <c r="Y407" s="17" t="n">
        <v>0.94156178548623</v>
      </c>
      <c r="Z407" s="17" t="n">
        <v>14.5080691206684</v>
      </c>
      <c r="AA407" s="17" t="n">
        <v>7.09806359921833</v>
      </c>
      <c r="AB407" s="17"/>
      <c r="AC407" s="17"/>
      <c r="AD407" s="17"/>
      <c r="AE407" s="17"/>
      <c r="AF407" s="17"/>
      <c r="AG407" s="18" t="n">
        <f aca="false">IFERROR(100*O407/F407,"")</f>
        <v>0.0891218096760822</v>
      </c>
      <c r="AH407" s="18" t="n">
        <f aca="false">IFERROR(100*(P407+Q407)/F407,"")</f>
        <v>0.0450050334576893</v>
      </c>
      <c r="AI407" s="18" t="n">
        <f aca="false">IFERROR(100*R407/K407,"")</f>
        <v>-0.0008348517198989</v>
      </c>
      <c r="AJ407" s="18" t="n">
        <f aca="false">IF(T407&gt;0,100*S407/T407,"")</f>
        <v>14.5080691206684</v>
      </c>
      <c r="AK407" s="18" t="n">
        <f aca="false">IFERROR(100*U407/G407,"")</f>
        <v>0.354625753802855</v>
      </c>
      <c r="AL407" s="18" t="n">
        <f aca="false">IFERROR(100*J407/H407,"")</f>
        <v>77.59921484882</v>
      </c>
      <c r="AM407" s="18" t="n">
        <f aca="false">IFERROR(100*L407/J407,"")</f>
        <v>78.9268131913403</v>
      </c>
      <c r="AN407" s="18" t="n">
        <f aca="false">IFERROR(100*M407/J407,"")</f>
        <v>5.10803963169712</v>
      </c>
      <c r="AO407" s="18" t="n">
        <f aca="false">IFERROR(100*N407/J407,"")</f>
        <v>15.9371330875234</v>
      </c>
    </row>
    <row r="408" customFormat="false" ht="15" hidden="false" customHeight="false" outlineLevel="0" collapsed="false">
      <c r="A408" s="17" t="n">
        <v>18030</v>
      </c>
      <c r="B408" s="23" t="n">
        <v>44742</v>
      </c>
      <c r="C408" s="17" t="s">
        <v>157</v>
      </c>
      <c r="D408" s="17" t="s">
        <v>116</v>
      </c>
      <c r="E408" s="17" t="s">
        <v>118</v>
      </c>
      <c r="F408" s="17" t="n">
        <v>687772</v>
      </c>
      <c r="G408" s="17" t="n">
        <v>677429.333333333</v>
      </c>
      <c r="H408" s="17" t="n">
        <v>640669</v>
      </c>
      <c r="I408" s="17" t="n">
        <v>44729</v>
      </c>
      <c r="J408" s="17" t="n">
        <v>511976</v>
      </c>
      <c r="K408" s="17" t="n">
        <v>490076.666666667</v>
      </c>
      <c r="L408" s="17" t="n">
        <v>399387</v>
      </c>
      <c r="M408" s="17" t="n">
        <v>28037</v>
      </c>
      <c r="N408" s="17" t="n">
        <v>84156</v>
      </c>
      <c r="O408" s="17" t="n">
        <v>564</v>
      </c>
      <c r="P408" s="17" t="n">
        <v>123</v>
      </c>
      <c r="Q408" s="17" t="n">
        <v>0</v>
      </c>
      <c r="R408" s="17" t="n">
        <v>-60</v>
      </c>
      <c r="S408" s="17" t="n">
        <v>60187</v>
      </c>
      <c r="T408" s="17" t="n">
        <v>440518</v>
      </c>
      <c r="U408" s="17" t="n">
        <v>2566</v>
      </c>
      <c r="V408" s="17" t="n">
        <v>0.378784896628824</v>
      </c>
      <c r="W408" s="17" t="n">
        <v>5.29</v>
      </c>
      <c r="X408" s="17" t="n">
        <v>3.01893171061528</v>
      </c>
      <c r="Y408" s="17" t="n">
        <v>0.927777864587403</v>
      </c>
      <c r="Z408" s="17" t="n">
        <v>13.6627788194807</v>
      </c>
      <c r="AA408" s="17" t="n">
        <v>6.50346335704274</v>
      </c>
      <c r="AB408" s="17"/>
      <c r="AC408" s="17"/>
      <c r="AD408" s="17"/>
      <c r="AE408" s="17"/>
      <c r="AF408" s="17"/>
      <c r="AG408" s="18" t="n">
        <f aca="false">IFERROR(100*O408/F408,"")</f>
        <v>0.082003919903689</v>
      </c>
      <c r="AH408" s="18" t="n">
        <f aca="false">IFERROR(100*(P408+Q408)/F408,"")</f>
        <v>0.0178838335960173</v>
      </c>
      <c r="AI408" s="18" t="n">
        <f aca="false">IFERROR(100*R408/K408,"")</f>
        <v>-0.0122429823905103</v>
      </c>
      <c r="AJ408" s="18" t="n">
        <f aca="false">IF(T408&gt;0,100*S408/T408,"")</f>
        <v>13.6627788194807</v>
      </c>
      <c r="AK408" s="18" t="n">
        <f aca="false">IFERROR(100*U408/G408,"")</f>
        <v>0.378784896628824</v>
      </c>
      <c r="AL408" s="18" t="n">
        <f aca="false">IFERROR(100*J408/H408,"")</f>
        <v>79.9127162388066</v>
      </c>
      <c r="AM408" s="18" t="n">
        <f aca="false">IFERROR(100*L408/J408,"")</f>
        <v>78.0089301060987</v>
      </c>
      <c r="AN408" s="18" t="n">
        <f aca="false">IFERROR(100*M408/J408,"")</f>
        <v>5.47623326093411</v>
      </c>
      <c r="AO408" s="18" t="n">
        <f aca="false">IFERROR(100*N408/J408,"")</f>
        <v>16.4374892573089</v>
      </c>
    </row>
    <row r="409" customFormat="false" ht="15" hidden="false" customHeight="false" outlineLevel="0" collapsed="false">
      <c r="A409" s="17" t="n">
        <v>18030</v>
      </c>
      <c r="B409" s="23" t="n">
        <v>44834</v>
      </c>
      <c r="C409" s="17" t="s">
        <v>157</v>
      </c>
      <c r="D409" s="17" t="s">
        <v>116</v>
      </c>
      <c r="E409" s="17" t="s">
        <v>118</v>
      </c>
      <c r="F409" s="17" t="n">
        <v>703383</v>
      </c>
      <c r="G409" s="17" t="n">
        <v>683917.75</v>
      </c>
      <c r="H409" s="17" t="n">
        <v>659450</v>
      </c>
      <c r="I409" s="17" t="n">
        <v>40935</v>
      </c>
      <c r="J409" s="17" t="n">
        <v>544604</v>
      </c>
      <c r="K409" s="17" t="n">
        <v>503708.5</v>
      </c>
      <c r="L409" s="17" t="n">
        <v>424875</v>
      </c>
      <c r="M409" s="17" t="n">
        <v>30312</v>
      </c>
      <c r="N409" s="17" t="n">
        <v>89007</v>
      </c>
      <c r="O409" s="17" t="n">
        <v>929</v>
      </c>
      <c r="P409" s="17" t="n">
        <v>19</v>
      </c>
      <c r="Q409" s="17" t="n">
        <v>130</v>
      </c>
      <c r="R409" s="17" t="n">
        <v>-39.999</v>
      </c>
      <c r="S409" s="17" t="n">
        <v>61188</v>
      </c>
      <c r="T409" s="17" t="n">
        <v>469924</v>
      </c>
      <c r="U409" s="17" t="n">
        <v>2810.5964</v>
      </c>
      <c r="V409" s="17" t="n">
        <v>0.410955323209553</v>
      </c>
      <c r="W409" s="17" t="n">
        <v>6.03</v>
      </c>
      <c r="X409" s="17" t="n">
        <v>3.13216431026469</v>
      </c>
      <c r="Y409" s="17" t="n">
        <v>0.930033565673407</v>
      </c>
      <c r="Z409" s="17" t="n">
        <v>13.0208288999923</v>
      </c>
      <c r="AA409" s="17" t="n">
        <v>5.81973121329347</v>
      </c>
      <c r="AB409" s="17"/>
      <c r="AC409" s="17"/>
      <c r="AD409" s="17"/>
      <c r="AE409" s="17"/>
      <c r="AF409" s="17"/>
      <c r="AG409" s="18" t="n">
        <f aca="false">IFERROR(100*O409/F409,"")</f>
        <v>0.132075981364349</v>
      </c>
      <c r="AH409" s="18" t="n">
        <f aca="false">IFERROR(100*(P409+Q409)/F409,"")</f>
        <v>0.0211833382382002</v>
      </c>
      <c r="AI409" s="18" t="n">
        <f aca="false">IFERROR(100*R409/K409,"")</f>
        <v>-0.0079409023274374</v>
      </c>
      <c r="AJ409" s="18" t="n">
        <f aca="false">IF(T409&gt;0,100*S409/T409,"")</f>
        <v>13.0208288999923</v>
      </c>
      <c r="AK409" s="18" t="n">
        <f aca="false">IFERROR(100*U409/G409,"")</f>
        <v>0.410955323209553</v>
      </c>
      <c r="AL409" s="18" t="n">
        <f aca="false">IFERROR(100*J409/H409,"")</f>
        <v>82.5845780574721</v>
      </c>
      <c r="AM409" s="18" t="n">
        <f aca="false">IFERROR(100*L409/J409,"")</f>
        <v>78.0154020168783</v>
      </c>
      <c r="AN409" s="18" t="n">
        <f aca="false">IFERROR(100*M409/J409,"")</f>
        <v>5.56587906074873</v>
      </c>
      <c r="AO409" s="18" t="n">
        <f aca="false">IFERROR(100*N409/J409,"")</f>
        <v>16.3434348627627</v>
      </c>
    </row>
    <row r="410" customFormat="false" ht="15" hidden="false" customHeight="false" outlineLevel="0" collapsed="false">
      <c r="A410" s="17" t="n">
        <v>18030</v>
      </c>
      <c r="B410" s="23" t="n">
        <v>44926</v>
      </c>
      <c r="C410" s="17" t="s">
        <v>157</v>
      </c>
      <c r="D410" s="17" t="s">
        <v>116</v>
      </c>
      <c r="E410" s="17" t="s">
        <v>118</v>
      </c>
      <c r="F410" s="17" t="n">
        <v>702716</v>
      </c>
      <c r="G410" s="17" t="n">
        <v>687677.4</v>
      </c>
      <c r="H410" s="17" t="n">
        <v>654989</v>
      </c>
      <c r="I410" s="17" t="n">
        <v>42204</v>
      </c>
      <c r="J410" s="17" t="n">
        <v>551441</v>
      </c>
      <c r="K410" s="17" t="n">
        <v>513255</v>
      </c>
      <c r="L410" s="17" t="n">
        <v>430473</v>
      </c>
      <c r="M410" s="17" t="n">
        <v>34512</v>
      </c>
      <c r="N410" s="17" t="n">
        <v>86350</v>
      </c>
      <c r="O410" s="17" t="n">
        <v>822</v>
      </c>
      <c r="P410" s="17" t="n">
        <v>415</v>
      </c>
      <c r="Q410" s="17" t="n">
        <v>0</v>
      </c>
      <c r="R410" s="17" t="n">
        <v>172</v>
      </c>
      <c r="S410" s="17" t="n">
        <v>62053</v>
      </c>
      <c r="T410" s="17" t="n">
        <v>478569</v>
      </c>
      <c r="U410" s="17" t="n">
        <v>2653</v>
      </c>
      <c r="V410" s="17" t="n">
        <v>0.385791360891023</v>
      </c>
      <c r="W410" s="17" t="n">
        <v>5.8</v>
      </c>
      <c r="X410" s="17" t="n">
        <v>3.23438857231214</v>
      </c>
      <c r="Y410" s="17" t="n">
        <v>1.00065102159615</v>
      </c>
      <c r="Z410" s="17" t="n">
        <v>12.9663643069234</v>
      </c>
      <c r="AA410" s="17" t="n">
        <v>6.00584019717781</v>
      </c>
      <c r="AB410" s="17"/>
      <c r="AC410" s="17"/>
      <c r="AD410" s="17"/>
      <c r="AE410" s="17"/>
      <c r="AF410" s="17"/>
      <c r="AG410" s="18" t="n">
        <f aca="false">IFERROR(100*O410/F410,"")</f>
        <v>0.116974709555496</v>
      </c>
      <c r="AH410" s="18" t="n">
        <f aca="false">IFERROR(100*(P410+Q410)/F410,"")</f>
        <v>0.059056574775585</v>
      </c>
      <c r="AI410" s="18" t="n">
        <f aca="false">IFERROR(100*R410/K410,"")</f>
        <v>0.0335116072907229</v>
      </c>
      <c r="AJ410" s="18" t="n">
        <f aca="false">IF(T410&gt;0,100*S410/T410,"")</f>
        <v>12.9663643069234</v>
      </c>
      <c r="AK410" s="18" t="n">
        <f aca="false">IFERROR(100*U410/G410,"")</f>
        <v>0.385791360891022</v>
      </c>
      <c r="AL410" s="18" t="n">
        <f aca="false">IFERROR(100*J410/H410,"")</f>
        <v>84.1908795414885</v>
      </c>
      <c r="AM410" s="18" t="n">
        <f aca="false">IFERROR(100*L410/J410,"")</f>
        <v>78.0632923558459</v>
      </c>
      <c r="AN410" s="18" t="n">
        <f aca="false">IFERROR(100*M410/J410,"")</f>
        <v>6.25851179001924</v>
      </c>
      <c r="AO410" s="18" t="n">
        <f aca="false">IFERROR(100*N410/J410,"")</f>
        <v>15.6589734894576</v>
      </c>
    </row>
    <row r="411" customFormat="false" ht="15" hidden="false" customHeight="false" outlineLevel="0" collapsed="false">
      <c r="A411" s="17" t="n">
        <v>18030</v>
      </c>
      <c r="B411" s="23" t="n">
        <v>45016</v>
      </c>
      <c r="C411" s="17" t="s">
        <v>157</v>
      </c>
      <c r="D411" s="17" t="s">
        <v>116</v>
      </c>
      <c r="E411" s="17" t="s">
        <v>118</v>
      </c>
      <c r="F411" s="17" t="n">
        <v>704016</v>
      </c>
      <c r="G411" s="17" t="n">
        <v>703366</v>
      </c>
      <c r="H411" s="17" t="n">
        <v>652422</v>
      </c>
      <c r="I411" s="17" t="n">
        <v>44712</v>
      </c>
      <c r="J411" s="17" t="n">
        <v>558490</v>
      </c>
      <c r="K411" s="17" t="n">
        <v>554965.5</v>
      </c>
      <c r="L411" s="17" t="n">
        <v>437108</v>
      </c>
      <c r="M411" s="17" t="n">
        <v>34886</v>
      </c>
      <c r="N411" s="17" t="n">
        <v>86405</v>
      </c>
      <c r="O411" s="17" t="n">
        <v>501</v>
      </c>
      <c r="P411" s="17" t="n">
        <v>714</v>
      </c>
      <c r="Q411" s="17" t="n">
        <v>0</v>
      </c>
      <c r="R411" s="17" t="n">
        <v>-48</v>
      </c>
      <c r="S411" s="17" t="n">
        <v>63227</v>
      </c>
      <c r="T411" s="17" t="n">
        <v>486743</v>
      </c>
      <c r="U411" s="17" t="n">
        <v>4404</v>
      </c>
      <c r="V411" s="17" t="n">
        <v>0.626132056425815</v>
      </c>
      <c r="W411" s="17" t="n">
        <v>10.13</v>
      </c>
      <c r="X411" s="17" t="n">
        <v>3.50492880613363</v>
      </c>
      <c r="Y411" s="17" t="n">
        <v>1.01863954591846</v>
      </c>
      <c r="Z411" s="17" t="n">
        <v>12.9898118719735</v>
      </c>
      <c r="AA411" s="17" t="n">
        <v>6.35099202290857</v>
      </c>
      <c r="AB411" s="17" t="n">
        <v>4.22455143009415</v>
      </c>
      <c r="AC411" s="17" t="n">
        <v>15.0410941973757</v>
      </c>
      <c r="AD411" s="17" t="n">
        <v>4.28540373266497</v>
      </c>
      <c r="AE411" s="17" t="n">
        <v>0.27150630262296</v>
      </c>
      <c r="AF411" s="17" t="n">
        <v>-0.01795865429325</v>
      </c>
      <c r="AG411" s="18" t="n">
        <f aca="false">IFERROR(100*O411/F411,"")</f>
        <v>0.0711631553828322</v>
      </c>
      <c r="AH411" s="18" t="n">
        <f aca="false">IFERROR(100*(P411+Q411)/F411,"")</f>
        <v>0.101418149587509</v>
      </c>
      <c r="AI411" s="18" t="n">
        <f aca="false">IFERROR(100*R411/K411,"")</f>
        <v>-0.00864918630077005</v>
      </c>
      <c r="AJ411" s="18" t="n">
        <f aca="false">IF(T411&gt;0,100*S411/T411,"")</f>
        <v>12.9898118719735</v>
      </c>
      <c r="AK411" s="18" t="n">
        <f aca="false">IFERROR(100*U411/G411,"")</f>
        <v>0.626132056425815</v>
      </c>
      <c r="AL411" s="18" t="n">
        <f aca="false">IFERROR(100*J411/H411,"")</f>
        <v>85.6025701156613</v>
      </c>
      <c r="AM411" s="18" t="n">
        <f aca="false">IFERROR(100*L411/J411,"")</f>
        <v>78.2660387831474</v>
      </c>
      <c r="AN411" s="18" t="n">
        <f aca="false">IFERROR(100*M411/J411,"")</f>
        <v>6.24648606062776</v>
      </c>
      <c r="AO411" s="18" t="n">
        <f aca="false">IFERROR(100*N411/J411,"")</f>
        <v>15.4711812207918</v>
      </c>
    </row>
    <row r="412" customFormat="false" ht="15" hidden="false" customHeight="false" outlineLevel="0" collapsed="false">
      <c r="A412" s="17" t="n">
        <v>18030</v>
      </c>
      <c r="B412" s="23" t="n">
        <v>45107</v>
      </c>
      <c r="C412" s="17" t="s">
        <v>157</v>
      </c>
      <c r="D412" s="17" t="s">
        <v>116</v>
      </c>
      <c r="E412" s="17" t="s">
        <v>118</v>
      </c>
      <c r="F412" s="17" t="n">
        <v>736677</v>
      </c>
      <c r="G412" s="17" t="n">
        <v>714469.666666667</v>
      </c>
      <c r="H412" s="17" t="n">
        <v>664243</v>
      </c>
      <c r="I412" s="17" t="n">
        <v>44564</v>
      </c>
      <c r="J412" s="17" t="n">
        <v>586930</v>
      </c>
      <c r="K412" s="17" t="n">
        <v>565620.333333333</v>
      </c>
      <c r="L412" s="17" t="n">
        <v>449340</v>
      </c>
      <c r="M412" s="17" t="n">
        <v>41828</v>
      </c>
      <c r="N412" s="17" t="n">
        <v>95640</v>
      </c>
      <c r="O412" s="17" t="n">
        <v>490</v>
      </c>
      <c r="P412" s="17" t="n">
        <v>161</v>
      </c>
      <c r="Q412" s="17" t="n">
        <v>0</v>
      </c>
      <c r="R412" s="17" t="n">
        <v>-8</v>
      </c>
      <c r="S412" s="17" t="n">
        <v>64341</v>
      </c>
      <c r="T412" s="17" t="n">
        <v>514687</v>
      </c>
      <c r="U412" s="17" t="n">
        <v>4178</v>
      </c>
      <c r="V412" s="17" t="n">
        <v>0.584769402386572</v>
      </c>
      <c r="W412" s="17" t="n">
        <v>9.53</v>
      </c>
      <c r="X412" s="17" t="n">
        <v>3.48465163748127</v>
      </c>
      <c r="Y412" s="17" t="n">
        <v>0.991600361201506</v>
      </c>
      <c r="Z412" s="17" t="n">
        <v>12.5009957508155</v>
      </c>
      <c r="AA412" s="17" t="n">
        <v>6.04932690989402</v>
      </c>
      <c r="AB412" s="17" t="n">
        <v>7.11064131718069</v>
      </c>
      <c r="AC412" s="17" t="n">
        <v>14.6401393815335</v>
      </c>
      <c r="AD412" s="17" t="n">
        <v>3.67959117734742</v>
      </c>
      <c r="AE412" s="17" t="n">
        <v>0.205984505757748</v>
      </c>
      <c r="AF412" s="17" t="n">
        <v>-0.0154890158141084</v>
      </c>
      <c r="AG412" s="18" t="n">
        <f aca="false">IFERROR(100*O412/F412,"")</f>
        <v>0.0665149040895807</v>
      </c>
      <c r="AH412" s="18" t="n">
        <f aca="false">IFERROR(100*(P412+Q412)/F412,"")</f>
        <v>0.0218548970580051</v>
      </c>
      <c r="AI412" s="18" t="n">
        <f aca="false">IFERROR(100*R412/K412,"")</f>
        <v>-0.00141437631013972</v>
      </c>
      <c r="AJ412" s="18" t="n">
        <f aca="false">IF(T412&gt;0,100*S412/T412,"")</f>
        <v>12.5009957508155</v>
      </c>
      <c r="AK412" s="18" t="n">
        <f aca="false">IFERROR(100*U412/G412,"")</f>
        <v>0.584769402386572</v>
      </c>
      <c r="AL412" s="18" t="n">
        <f aca="false">IFERROR(100*J412/H412,"")</f>
        <v>88.3607354537421</v>
      </c>
      <c r="AM412" s="18" t="n">
        <f aca="false">IFERROR(100*L412/J412,"")</f>
        <v>76.5576814952379</v>
      </c>
      <c r="AN412" s="18" t="n">
        <f aca="false">IFERROR(100*M412/J412,"")</f>
        <v>7.12657386741179</v>
      </c>
      <c r="AO412" s="18" t="n">
        <f aca="false">IFERROR(100*N412/J412,"")</f>
        <v>16.2949585129402</v>
      </c>
    </row>
    <row r="413" customFormat="false" ht="15" hidden="false" customHeight="false" outlineLevel="0" collapsed="false">
      <c r="A413" s="17" t="n">
        <v>18030</v>
      </c>
      <c r="B413" s="23" t="n">
        <v>45199</v>
      </c>
      <c r="C413" s="17" t="s">
        <v>157</v>
      </c>
      <c r="D413" s="17" t="s">
        <v>116</v>
      </c>
      <c r="E413" s="17" t="s">
        <v>118</v>
      </c>
      <c r="F413" s="17" t="n">
        <v>734470</v>
      </c>
      <c r="G413" s="17" t="n">
        <v>719469.75</v>
      </c>
      <c r="H413" s="17" t="n">
        <v>660381</v>
      </c>
      <c r="I413" s="17" t="n">
        <v>43119</v>
      </c>
      <c r="J413" s="17" t="n">
        <v>591923</v>
      </c>
      <c r="K413" s="17" t="n">
        <v>572196</v>
      </c>
      <c r="L413" s="17" t="n">
        <v>453550</v>
      </c>
      <c r="M413" s="17" t="n">
        <v>41868</v>
      </c>
      <c r="N413" s="17" t="n">
        <v>96224</v>
      </c>
      <c r="O413" s="17" t="n">
        <v>457</v>
      </c>
      <c r="P413" s="17" t="n">
        <v>226</v>
      </c>
      <c r="Q413" s="17" t="n">
        <v>134</v>
      </c>
      <c r="R413" s="17" t="n">
        <v>13.333</v>
      </c>
      <c r="S413" s="17" t="n">
        <v>65402</v>
      </c>
      <c r="T413" s="17" t="n">
        <v>518470</v>
      </c>
      <c r="U413" s="17" t="n">
        <v>4067.8983</v>
      </c>
      <c r="V413" s="17" t="n">
        <v>0.565402270213584</v>
      </c>
      <c r="W413" s="17" t="n">
        <v>9.32</v>
      </c>
      <c r="X413" s="17" t="n">
        <v>3.47560193665529</v>
      </c>
      <c r="Y413" s="17" t="n">
        <v>1.02141663696123</v>
      </c>
      <c r="Z413" s="17" t="n">
        <v>12.6144232067429</v>
      </c>
      <c r="AA413" s="17" t="n">
        <v>5.87076395223767</v>
      </c>
      <c r="AB413" s="17" t="n">
        <v>4.4196405087982</v>
      </c>
      <c r="AC413" s="17" t="n">
        <v>8.68869857731489</v>
      </c>
      <c r="AD413" s="17" t="n">
        <v>0.141178254606111</v>
      </c>
      <c r="AE413" s="17" t="n">
        <v>0.154446947004032</v>
      </c>
      <c r="AF413" s="17" t="n">
        <v>-0.0698542432402597</v>
      </c>
      <c r="AG413" s="18" t="n">
        <f aca="false">IFERROR(100*O413/F413,"")</f>
        <v>0.0622217381240895</v>
      </c>
      <c r="AH413" s="18" t="n">
        <f aca="false">IFERROR(100*(P413+Q413)/F413,"")</f>
        <v>0.0490149359402018</v>
      </c>
      <c r="AI413" s="18" t="n">
        <f aca="false">IFERROR(100*R413/K413,"")</f>
        <v>0.00233014561443981</v>
      </c>
      <c r="AJ413" s="18" t="n">
        <f aca="false">IF(T413&gt;0,100*S413/T413,"")</f>
        <v>12.6144232067429</v>
      </c>
      <c r="AK413" s="18" t="n">
        <f aca="false">IFERROR(100*U413/G413,"")</f>
        <v>0.565402270213584</v>
      </c>
      <c r="AL413" s="18" t="n">
        <f aca="false">IFERROR(100*J413/H413,"")</f>
        <v>89.6335600206547</v>
      </c>
      <c r="AM413" s="18" t="n">
        <f aca="false">IFERROR(100*L413/J413,"")</f>
        <v>76.623141861357</v>
      </c>
      <c r="AN413" s="18" t="n">
        <f aca="false">IFERROR(100*M413/J413,"")</f>
        <v>7.07321729346554</v>
      </c>
      <c r="AO413" s="18" t="n">
        <f aca="false">IFERROR(100*N413/J413,"")</f>
        <v>16.2561684543429</v>
      </c>
    </row>
    <row r="414" customFormat="false" ht="15" hidden="false" customHeight="false" outlineLevel="0" collapsed="false">
      <c r="A414" s="17" t="n">
        <v>18030</v>
      </c>
      <c r="B414" s="23" t="n">
        <v>45291</v>
      </c>
      <c r="C414" s="17" t="s">
        <v>157</v>
      </c>
      <c r="D414" s="17" t="s">
        <v>116</v>
      </c>
      <c r="E414" s="17" t="s">
        <v>118</v>
      </c>
      <c r="F414" s="17" t="n">
        <v>727730</v>
      </c>
      <c r="G414" s="17" t="n">
        <v>721121.8</v>
      </c>
      <c r="H414" s="17" t="n">
        <v>660214</v>
      </c>
      <c r="I414" s="17" t="n">
        <v>49050</v>
      </c>
      <c r="J414" s="17" t="n">
        <v>587845</v>
      </c>
      <c r="K414" s="17" t="n">
        <v>575325.8</v>
      </c>
      <c r="L414" s="17" t="n">
        <v>451120</v>
      </c>
      <c r="M414" s="17" t="n">
        <v>41412</v>
      </c>
      <c r="N414" s="17" t="n">
        <v>95210</v>
      </c>
      <c r="O414" s="17" t="n">
        <v>456</v>
      </c>
      <c r="P414" s="17" t="n">
        <v>829</v>
      </c>
      <c r="Q414" s="17" t="n">
        <v>0</v>
      </c>
      <c r="R414" s="17" t="n">
        <v>-350</v>
      </c>
      <c r="S414" s="17" t="n">
        <v>67220</v>
      </c>
      <c r="T414" s="17" t="n">
        <v>505566</v>
      </c>
      <c r="U414" s="17" t="n">
        <v>5071</v>
      </c>
      <c r="V414" s="17" t="n">
        <v>0.703209915440082</v>
      </c>
      <c r="W414" s="17" t="n">
        <v>11.34</v>
      </c>
      <c r="X414" s="17" t="n">
        <v>3.49141875348247</v>
      </c>
      <c r="Y414" s="17" t="n">
        <v>1.01574394610824</v>
      </c>
      <c r="Z414" s="17" t="n">
        <v>13.2959890498966</v>
      </c>
      <c r="AA414" s="17" t="n">
        <v>6.740137138774</v>
      </c>
      <c r="AB414" s="17" t="n">
        <v>3.55961725647345</v>
      </c>
      <c r="AC414" s="17" t="n">
        <v>6.60161286520227</v>
      </c>
      <c r="AD414" s="17" t="n">
        <v>0.797723320544308</v>
      </c>
      <c r="AE414" s="17" t="n">
        <v>0.31741855454906</v>
      </c>
      <c r="AF414" s="17" t="n">
        <v>-0.0543141074090957</v>
      </c>
      <c r="AG414" s="18" t="n">
        <f aca="false">IFERROR(100*O414/F414,"")</f>
        <v>0.0626606021464005</v>
      </c>
      <c r="AH414" s="18" t="n">
        <f aca="false">IFERROR(100*(P414+Q414)/F414,"")</f>
        <v>0.113915875393346</v>
      </c>
      <c r="AI414" s="18" t="n">
        <f aca="false">IFERROR(100*R414/K414,"")</f>
        <v>-0.060835095523267</v>
      </c>
      <c r="AJ414" s="18" t="n">
        <f aca="false">IF(T414&gt;0,100*S414/T414,"")</f>
        <v>13.2959890498966</v>
      </c>
      <c r="AK414" s="18" t="n">
        <f aca="false">IFERROR(100*U414/G414,"")</f>
        <v>0.703209915440082</v>
      </c>
      <c r="AL414" s="18" t="n">
        <f aca="false">IFERROR(100*J414/H414,"")</f>
        <v>89.0385541657705</v>
      </c>
      <c r="AM414" s="18" t="n">
        <f aca="false">IFERROR(100*L414/J414,"")</f>
        <v>76.741317864403</v>
      </c>
      <c r="AN414" s="18" t="n">
        <f aca="false">IFERROR(100*M414/J414,"")</f>
        <v>7.04471416785037</v>
      </c>
      <c r="AO414" s="18" t="n">
        <f aca="false">IFERROR(100*N414/J414,"")</f>
        <v>16.196446342148</v>
      </c>
    </row>
    <row r="415" customFormat="false" ht="15" hidden="false" customHeight="false" outlineLevel="0" collapsed="false">
      <c r="A415" s="17" t="n">
        <v>18030</v>
      </c>
      <c r="B415" s="23" t="n">
        <v>45382</v>
      </c>
      <c r="C415" s="17" t="s">
        <v>157</v>
      </c>
      <c r="D415" s="17" t="s">
        <v>116</v>
      </c>
      <c r="E415" s="17" t="s">
        <v>118</v>
      </c>
      <c r="F415" s="17" t="n">
        <v>760475</v>
      </c>
      <c r="G415" s="17" t="n">
        <v>744102.5</v>
      </c>
      <c r="H415" s="17" t="n">
        <v>679167</v>
      </c>
      <c r="I415" s="17" t="n">
        <v>49359</v>
      </c>
      <c r="J415" s="17" t="n">
        <v>576022</v>
      </c>
      <c r="K415" s="17" t="n">
        <v>581933.5</v>
      </c>
      <c r="L415" s="17" t="n">
        <v>444671</v>
      </c>
      <c r="M415" s="17" t="n">
        <v>36835</v>
      </c>
      <c r="N415" s="17" t="n">
        <v>94431</v>
      </c>
      <c r="O415" s="17" t="n">
        <v>508</v>
      </c>
      <c r="P415" s="17" t="n">
        <v>2582</v>
      </c>
      <c r="Q415" s="17" t="n">
        <v>133</v>
      </c>
      <c r="R415" s="17" t="n">
        <v>-4</v>
      </c>
      <c r="S415" s="17" t="n">
        <v>68339</v>
      </c>
      <c r="T415" s="17" t="n">
        <v>506186</v>
      </c>
      <c r="U415" s="17" t="n">
        <v>5064</v>
      </c>
      <c r="V415" s="17" t="n">
        <v>0.68055140252855</v>
      </c>
      <c r="W415" s="17" t="n">
        <v>10.29</v>
      </c>
      <c r="X415" s="17" t="n">
        <v>3.43622712156947</v>
      </c>
      <c r="Y415" s="17" t="n">
        <v>1.02982177764044</v>
      </c>
      <c r="Z415" s="17" t="n">
        <v>13.5007684922143</v>
      </c>
      <c r="AA415" s="17" t="n">
        <v>6.490548670239</v>
      </c>
      <c r="AB415" s="17" t="n">
        <v>8.01956205540784</v>
      </c>
      <c r="AC415" s="17" t="n">
        <v>3.13917885727586</v>
      </c>
      <c r="AD415" s="17" t="n">
        <v>4.09934061083164</v>
      </c>
      <c r="AE415" s="17" t="n">
        <v>0.0544193461027343</v>
      </c>
      <c r="AF415" s="17" t="n">
        <v>-0.00436280034157509</v>
      </c>
      <c r="AG415" s="18" t="n">
        <f aca="false">IFERROR(100*O415/F415,"")</f>
        <v>0.0668003550412571</v>
      </c>
      <c r="AH415" s="18" t="n">
        <f aca="false">IFERROR(100*(P415+Q415)/F415,"")</f>
        <v>0.357013708537427</v>
      </c>
      <c r="AI415" s="18" t="n">
        <f aca="false">IFERROR(100*R415/K415,"")</f>
        <v>-0.00068736376235429</v>
      </c>
      <c r="AJ415" s="18" t="n">
        <f aca="false">IF(T415&gt;0,100*S415/T415,"")</f>
        <v>13.5007684922143</v>
      </c>
      <c r="AK415" s="18" t="n">
        <f aca="false">IFERROR(100*U415/G415,"")</f>
        <v>0.68055140252855</v>
      </c>
      <c r="AL415" s="18" t="n">
        <f aca="false">IFERROR(100*J415/H415,"")</f>
        <v>84.813013588705</v>
      </c>
      <c r="AM415" s="18" t="n">
        <f aca="false">IFERROR(100*L415/J415,"")</f>
        <v>77.1968778970248</v>
      </c>
      <c r="AN415" s="18" t="n">
        <f aca="false">IFERROR(100*M415/J415,"")</f>
        <v>6.39472103496047</v>
      </c>
      <c r="AO415" s="18" t="n">
        <f aca="false">IFERROR(100*N415/J415,"")</f>
        <v>16.3936446871821</v>
      </c>
    </row>
    <row r="416" customFormat="false" ht="15" hidden="false" customHeight="false" outlineLevel="0" collapsed="false">
      <c r="A416" s="17" t="n">
        <v>18030</v>
      </c>
      <c r="B416" s="23" t="n">
        <v>45473</v>
      </c>
      <c r="C416" s="17" t="s">
        <v>157</v>
      </c>
      <c r="D416" s="17" t="s">
        <v>116</v>
      </c>
      <c r="E416" s="17" t="s">
        <v>118</v>
      </c>
      <c r="F416" s="17" t="n">
        <v>764903</v>
      </c>
      <c r="G416" s="17" t="n">
        <v>751036</v>
      </c>
      <c r="H416" s="17" t="n">
        <v>682796</v>
      </c>
      <c r="I416" s="17" t="n">
        <v>50593</v>
      </c>
      <c r="J416" s="17" t="n">
        <v>593081</v>
      </c>
      <c r="K416" s="17" t="n">
        <v>585649.333333333</v>
      </c>
      <c r="L416" s="17" t="n">
        <v>452116</v>
      </c>
      <c r="M416" s="17" t="n">
        <v>41777</v>
      </c>
      <c r="N416" s="17" t="n">
        <v>99073</v>
      </c>
      <c r="O416" s="17" t="n">
        <v>1934</v>
      </c>
      <c r="P416" s="17" t="n">
        <v>1233</v>
      </c>
      <c r="Q416" s="17" t="n">
        <v>0</v>
      </c>
      <c r="R416" s="17" t="n">
        <v>158</v>
      </c>
      <c r="S416" s="17" t="n">
        <v>69479</v>
      </c>
      <c r="T416" s="17" t="n">
        <v>516815</v>
      </c>
      <c r="U416" s="17" t="n">
        <v>5062</v>
      </c>
      <c r="V416" s="17" t="n">
        <v>0.674002311473751</v>
      </c>
      <c r="W416" s="17" t="n">
        <v>10.19</v>
      </c>
      <c r="X416" s="17" t="n">
        <v>3.4152717577477</v>
      </c>
      <c r="Y416" s="17" t="n">
        <v>0.9926131506489</v>
      </c>
      <c r="Z416" s="17" t="n">
        <v>13.4436887474241</v>
      </c>
      <c r="AA416" s="17" t="n">
        <v>6.61430272858127</v>
      </c>
      <c r="AB416" s="17" t="n">
        <v>3.8315299649643</v>
      </c>
      <c r="AC416" s="17" t="n">
        <v>1.04799550201897</v>
      </c>
      <c r="AD416" s="17" t="n">
        <v>2.79310433079461</v>
      </c>
      <c r="AE416" s="17" t="n">
        <v>0.0892329090871789</v>
      </c>
      <c r="AF416" s="17" t="n">
        <v>0.186327613196925</v>
      </c>
      <c r="AG416" s="18" t="n">
        <f aca="false">IFERROR(100*O416/F416,"")</f>
        <v>0.252842517286506</v>
      </c>
      <c r="AH416" s="18" t="n">
        <f aca="false">IFERROR(100*(P416+Q416)/F416,"")</f>
        <v>0.161196909934985</v>
      </c>
      <c r="AI416" s="18" t="n">
        <f aca="false">IFERROR(100*R416/K416,"")</f>
        <v>0.0269786015294704</v>
      </c>
      <c r="AJ416" s="18" t="n">
        <f aca="false">IF(T416&gt;0,100*S416/T416,"")</f>
        <v>13.4436887474241</v>
      </c>
      <c r="AK416" s="18" t="n">
        <f aca="false">IFERROR(100*U416/G416,"")</f>
        <v>0.674002311473751</v>
      </c>
      <c r="AL416" s="18" t="n">
        <f aca="false">IFERROR(100*J416/H416,"")</f>
        <v>86.8606435890076</v>
      </c>
      <c r="AM416" s="18" t="n">
        <f aca="false">IFERROR(100*L416/J416,"")</f>
        <v>76.2317457480513</v>
      </c>
      <c r="AN416" s="18" t="n">
        <f aca="false">IFERROR(100*M416/J416,"")</f>
        <v>7.04406312122628</v>
      </c>
      <c r="AO416" s="18" t="n">
        <f aca="false">IFERROR(100*N416/J416,"")</f>
        <v>16.7048008619396</v>
      </c>
    </row>
    <row r="417" customFormat="false" ht="15" hidden="false" customHeight="false" outlineLevel="0" collapsed="false">
      <c r="A417" s="17" t="n">
        <v>18030</v>
      </c>
      <c r="B417" s="23" t="n">
        <v>45565</v>
      </c>
      <c r="C417" s="17" t="s">
        <v>157</v>
      </c>
      <c r="D417" s="17" t="s">
        <v>116</v>
      </c>
      <c r="E417" s="17" t="s">
        <v>118</v>
      </c>
      <c r="F417" s="17" t="n">
        <v>794567</v>
      </c>
      <c r="G417" s="17" t="n">
        <v>761918.75</v>
      </c>
      <c r="H417" s="17" t="n">
        <v>707506</v>
      </c>
      <c r="I417" s="17" t="n">
        <v>54737</v>
      </c>
      <c r="J417" s="17" t="n">
        <v>588776</v>
      </c>
      <c r="K417" s="17" t="n">
        <v>586431</v>
      </c>
      <c r="L417" s="17" t="n">
        <v>447654</v>
      </c>
      <c r="M417" s="17" t="n">
        <v>42189</v>
      </c>
      <c r="N417" s="17" t="n">
        <v>98640</v>
      </c>
      <c r="O417" s="17" t="n">
        <v>1967</v>
      </c>
      <c r="P417" s="17" t="n">
        <v>1330</v>
      </c>
      <c r="Q417" s="17" t="n">
        <v>0</v>
      </c>
      <c r="R417" s="17" t="n">
        <v>147.9963</v>
      </c>
      <c r="S417" s="17" t="n">
        <v>70765</v>
      </c>
      <c r="T417" s="17" t="n">
        <v>517646</v>
      </c>
      <c r="U417" s="17" t="n">
        <v>5313.2005</v>
      </c>
      <c r="V417" s="17" t="n">
        <v>0.697344762810995</v>
      </c>
      <c r="W417" s="17" t="n">
        <v>10.43</v>
      </c>
      <c r="X417" s="17" t="n">
        <v>3.41619145057046</v>
      </c>
      <c r="Y417" s="17" t="n">
        <v>0.994435914507385</v>
      </c>
      <c r="Z417" s="17" t="n">
        <v>13.6705393261032</v>
      </c>
      <c r="AA417" s="17" t="n">
        <v>6.88890930531975</v>
      </c>
      <c r="AB417" s="17" t="n">
        <v>8.18236279221751</v>
      </c>
      <c r="AC417" s="17" t="n">
        <v>-0.531656989169205</v>
      </c>
      <c r="AD417" s="17" t="n">
        <v>7.13603207845168</v>
      </c>
      <c r="AE417" s="17" t="n">
        <v>0.131942492597411</v>
      </c>
      <c r="AF417" s="17" t="n">
        <v>0.185334478028859</v>
      </c>
      <c r="AG417" s="18" t="n">
        <f aca="false">IFERROR(100*O417/F417,"")</f>
        <v>0.247556216152949</v>
      </c>
      <c r="AH417" s="18" t="n">
        <f aca="false">IFERROR(100*(P417+Q417)/F417,"")</f>
        <v>0.167386765370321</v>
      </c>
      <c r="AI417" s="18" t="n">
        <f aca="false">IFERROR(100*R417/K417,"")</f>
        <v>0.0252367797746026</v>
      </c>
      <c r="AJ417" s="18" t="n">
        <f aca="false">IF(T417&gt;0,100*S417/T417,"")</f>
        <v>13.6705393261032</v>
      </c>
      <c r="AK417" s="18" t="n">
        <f aca="false">IFERROR(100*U417/G417,"")</f>
        <v>0.697344762810995</v>
      </c>
      <c r="AL417" s="18" t="n">
        <f aca="false">IFERROR(100*J417/H417,"")</f>
        <v>83.2185168747686</v>
      </c>
      <c r="AM417" s="18" t="n">
        <f aca="false">IFERROR(100*L417/J417,"")</f>
        <v>76.0312920363602</v>
      </c>
      <c r="AN417" s="18" t="n">
        <f aca="false">IFERROR(100*M417/J417,"")</f>
        <v>7.16554343247687</v>
      </c>
      <c r="AO417" s="18" t="n">
        <f aca="false">IFERROR(100*N417/J417,"")</f>
        <v>16.7534002744677</v>
      </c>
    </row>
    <row r="418" customFormat="false" ht="15" hidden="false" customHeight="false" outlineLevel="0" collapsed="false">
      <c r="A418" s="17" t="n">
        <v>18030</v>
      </c>
      <c r="B418" s="23" t="n">
        <v>45657</v>
      </c>
      <c r="C418" s="17" t="s">
        <v>157</v>
      </c>
      <c r="D418" s="17" t="s">
        <v>116</v>
      </c>
      <c r="E418" s="17" t="s">
        <v>118</v>
      </c>
      <c r="F418" s="17" t="n">
        <v>777879</v>
      </c>
      <c r="G418" s="17" t="n">
        <v>765110.8</v>
      </c>
      <c r="H418" s="17" t="n">
        <v>716969</v>
      </c>
      <c r="I418" s="17" t="n">
        <v>53665</v>
      </c>
      <c r="J418" s="17" t="n">
        <v>590868</v>
      </c>
      <c r="K418" s="17" t="n">
        <v>587318.4</v>
      </c>
      <c r="L418" s="17" t="n">
        <v>455091</v>
      </c>
      <c r="M418" s="17" t="n">
        <v>39526</v>
      </c>
      <c r="N418" s="17" t="n">
        <v>96186</v>
      </c>
      <c r="O418" s="17" t="n">
        <v>2023</v>
      </c>
      <c r="P418" s="17" t="n">
        <v>1966</v>
      </c>
      <c r="Q418" s="17" t="n">
        <v>0</v>
      </c>
      <c r="R418" s="17" t="n">
        <v>140</v>
      </c>
      <c r="S418" s="17" t="n">
        <v>72034</v>
      </c>
      <c r="T418" s="17" t="n">
        <v>514576</v>
      </c>
      <c r="U418" s="17" t="n">
        <v>5416</v>
      </c>
      <c r="V418" s="17" t="n">
        <v>0.707871330531473</v>
      </c>
      <c r="W418" s="17" t="n">
        <v>10.52</v>
      </c>
      <c r="X418" s="17" t="n">
        <v>3.45390929733845</v>
      </c>
      <c r="Y418" s="17" t="n">
        <v>0.986853239640664</v>
      </c>
      <c r="Z418" s="17" t="n">
        <v>13.9987096172383</v>
      </c>
      <c r="AA418" s="17" t="n">
        <v>6.89888787330677</v>
      </c>
      <c r="AB418" s="17" t="n">
        <v>6.89115468649086</v>
      </c>
      <c r="AC418" s="17" t="n">
        <v>0.514251205674965</v>
      </c>
      <c r="AD418" s="17" t="n">
        <v>8.59645508880453</v>
      </c>
      <c r="AE418" s="17" t="n">
        <v>0.00466141509139095</v>
      </c>
      <c r="AF418" s="17" t="n">
        <v>0.19740555210124</v>
      </c>
      <c r="AG418" s="18" t="n">
        <f aca="false">IFERROR(100*O418/F418,"")</f>
        <v>0.26006615424764</v>
      </c>
      <c r="AH418" s="18" t="n">
        <f aca="false">IFERROR(100*(P418+Q418)/F418,"")</f>
        <v>0.252738536456184</v>
      </c>
      <c r="AI418" s="18" t="n">
        <f aca="false">IFERROR(100*R418/K418,"")</f>
        <v>0.0238371554509445</v>
      </c>
      <c r="AJ418" s="18" t="n">
        <f aca="false">IF(T418&gt;0,100*S418/T418,"")</f>
        <v>13.9987096172383</v>
      </c>
      <c r="AK418" s="18" t="n">
        <f aca="false">IFERROR(100*U418/G418,"")</f>
        <v>0.707871330531473</v>
      </c>
      <c r="AL418" s="18" t="n">
        <f aca="false">IFERROR(100*J418/H418,"")</f>
        <v>82.4119313387329</v>
      </c>
      <c r="AM418" s="18" t="n">
        <f aca="false">IFERROR(100*L418/J418,"")</f>
        <v>77.0207559048722</v>
      </c>
      <c r="AN418" s="18" t="n">
        <f aca="false">IFERROR(100*M418/J418,"")</f>
        <v>6.68948056080208</v>
      </c>
      <c r="AO418" s="18" t="n">
        <f aca="false">IFERROR(100*N418/J418,"")</f>
        <v>16.2787627693495</v>
      </c>
    </row>
    <row r="419" customFormat="false" ht="15" hidden="false" customHeight="false" outlineLevel="0" collapsed="false">
      <c r="A419" s="17" t="n">
        <v>18030</v>
      </c>
      <c r="B419" s="23" t="n">
        <v>45747</v>
      </c>
      <c r="C419" s="17" t="s">
        <v>157</v>
      </c>
      <c r="D419" s="17" t="s">
        <v>116</v>
      </c>
      <c r="E419" s="17" t="s">
        <v>118</v>
      </c>
      <c r="F419" s="17" t="n">
        <v>800795</v>
      </c>
      <c r="G419" s="17" t="n">
        <v>789337</v>
      </c>
      <c r="H419" s="17" t="n">
        <v>736585</v>
      </c>
      <c r="I419" s="17" t="n">
        <v>56520</v>
      </c>
      <c r="J419" s="17" t="n">
        <v>593259</v>
      </c>
      <c r="K419" s="17" t="n">
        <v>592063.5</v>
      </c>
      <c r="L419" s="17" t="n">
        <v>457374</v>
      </c>
      <c r="M419" s="17" t="n">
        <v>40723</v>
      </c>
      <c r="N419" s="17" t="n">
        <v>95064</v>
      </c>
      <c r="O419" s="17" t="n">
        <v>1821</v>
      </c>
      <c r="P419" s="17" t="n">
        <v>2217</v>
      </c>
      <c r="Q419" s="17" t="n">
        <v>0</v>
      </c>
      <c r="R419" s="17" t="n">
        <v>312</v>
      </c>
      <c r="S419" s="17" t="n">
        <v>73260</v>
      </c>
      <c r="T419" s="17" t="n">
        <v>517068</v>
      </c>
      <c r="U419" s="17" t="n">
        <v>5100</v>
      </c>
      <c r="V419" s="17" t="n">
        <v>0.646111863500634</v>
      </c>
      <c r="W419" s="17" t="n">
        <v>9.26</v>
      </c>
      <c r="X419" s="17" t="n">
        <v>3.62784293997723</v>
      </c>
      <c r="Y419" s="17" t="n">
        <v>0.997540703133033</v>
      </c>
      <c r="Z419" s="17" t="n">
        <v>14.1683492306621</v>
      </c>
      <c r="AA419" s="17" t="n">
        <v>7.057986126287</v>
      </c>
      <c r="AB419" s="17" t="n">
        <v>5.30194943949505</v>
      </c>
      <c r="AC419" s="17" t="n">
        <v>2.99242042838641</v>
      </c>
      <c r="AD419" s="17" t="n">
        <v>8.454179899789</v>
      </c>
      <c r="AE419" s="17" t="n">
        <v>-0.0344395390279154</v>
      </c>
      <c r="AF419" s="17" t="n">
        <v>0.16059866718041</v>
      </c>
      <c r="AG419" s="18" t="n">
        <f aca="false">IFERROR(100*O419/F419,"")</f>
        <v>0.227399022221667</v>
      </c>
      <c r="AH419" s="18" t="n">
        <f aca="false">IFERROR(100*(P419+Q419)/F419,"")</f>
        <v>0.276849880431321</v>
      </c>
      <c r="AI419" s="18" t="n">
        <f aca="false">IFERROR(100*R419/K419,"")</f>
        <v>0.052697050231943</v>
      </c>
      <c r="AJ419" s="18" t="n">
        <f aca="false">IF(T419&gt;0,100*S419/T419,"")</f>
        <v>14.1683492306621</v>
      </c>
      <c r="AK419" s="18" t="n">
        <f aca="false">IFERROR(100*U419/G419,"")</f>
        <v>0.646111863500634</v>
      </c>
      <c r="AL419" s="18" t="n">
        <f aca="false">IFERROR(100*J419/H419,"")</f>
        <v>80.5418247724295</v>
      </c>
      <c r="AM419" s="18" t="n">
        <f aca="false">IFERROR(100*L419/J419,"")</f>
        <v>77.0951641694437</v>
      </c>
      <c r="AN419" s="18" t="n">
        <f aca="false">IFERROR(100*M419/J419,"")</f>
        <v>6.86428693032891</v>
      </c>
      <c r="AO419" s="18" t="n">
        <f aca="false">IFERROR(100*N419/J419,"")</f>
        <v>16.0240299767892</v>
      </c>
    </row>
    <row r="420" customFormat="false" ht="15" hidden="false" customHeight="false" outlineLevel="0" collapsed="false">
      <c r="A420" s="17" t="n">
        <v>18030</v>
      </c>
      <c r="B420" s="23" t="n">
        <v>45838</v>
      </c>
      <c r="C420" s="17" t="s">
        <v>157</v>
      </c>
      <c r="D420" s="17" t="s">
        <v>116</v>
      </c>
      <c r="E420" s="17" t="s">
        <v>118</v>
      </c>
      <c r="F420" s="17" t="n">
        <v>805858</v>
      </c>
      <c r="G420" s="17" t="n">
        <v>794844</v>
      </c>
      <c r="H420" s="17" t="n">
        <v>738321</v>
      </c>
      <c r="I420" s="17" t="n">
        <v>58470</v>
      </c>
      <c r="J420" s="17" t="n">
        <v>601715</v>
      </c>
      <c r="K420" s="17" t="n">
        <v>595280.666666667</v>
      </c>
      <c r="L420" s="17" t="n">
        <v>463695</v>
      </c>
      <c r="M420" s="17" t="n">
        <v>41693</v>
      </c>
      <c r="N420" s="17" t="n">
        <v>96046</v>
      </c>
      <c r="O420" s="17" t="n">
        <v>1404</v>
      </c>
      <c r="P420" s="17" t="n">
        <v>1148</v>
      </c>
      <c r="Q420" s="17" t="n">
        <v>0</v>
      </c>
      <c r="R420" s="17" t="n">
        <v>188</v>
      </c>
      <c r="S420" s="17" t="n">
        <v>74795</v>
      </c>
      <c r="T420" s="17" t="n">
        <v>528898</v>
      </c>
      <c r="U420" s="17" t="n">
        <v>5710</v>
      </c>
      <c r="V420" s="17" t="n">
        <v>0.71837995883469</v>
      </c>
      <c r="W420" s="17" t="n">
        <v>10.16</v>
      </c>
      <c r="X420" s="17" t="n">
        <v>3.70938416602505</v>
      </c>
      <c r="Y420" s="17" t="n">
        <v>0.999144113076789</v>
      </c>
      <c r="Z420" s="17" t="n">
        <v>14.1416681477336</v>
      </c>
      <c r="AA420" s="17" t="n">
        <v>7.25562071729759</v>
      </c>
      <c r="AB420" s="17" t="n">
        <v>5.35427367914625</v>
      </c>
      <c r="AC420" s="17" t="n">
        <v>1.45578765800962</v>
      </c>
      <c r="AD420" s="17" t="n">
        <v>8.13200428825007</v>
      </c>
      <c r="AE420" s="17" t="n">
        <v>0.0443776473609386</v>
      </c>
      <c r="AF420" s="17" t="n">
        <v>-0.0786182743057323</v>
      </c>
      <c r="AG420" s="18" t="n">
        <f aca="false">IFERROR(100*O420/F420,"")</f>
        <v>0.174224242980773</v>
      </c>
      <c r="AH420" s="18" t="n">
        <f aca="false">IFERROR(100*(P420+Q420)/F420,"")</f>
        <v>0.142456859645248</v>
      </c>
      <c r="AI420" s="18" t="n">
        <f aca="false">IFERROR(100*R420/K420,"")</f>
        <v>0.0315817412738641</v>
      </c>
      <c r="AJ420" s="18" t="n">
        <f aca="false">IF(T420&gt;0,100*S420/T420,"")</f>
        <v>14.1416681477336</v>
      </c>
      <c r="AK420" s="18" t="n">
        <f aca="false">IFERROR(100*U420/G420,"")</f>
        <v>0.71837995883469</v>
      </c>
      <c r="AL420" s="18" t="n">
        <f aca="false">IFERROR(100*J420/H420,"")</f>
        <v>81.4977496238086</v>
      </c>
      <c r="AM420" s="18" t="n">
        <f aca="false">IFERROR(100*L420/J420,"")</f>
        <v>77.0622304579411</v>
      </c>
      <c r="AN420" s="18" t="n">
        <f aca="false">IFERROR(100*M420/J420,"")</f>
        <v>6.9290278620277</v>
      </c>
      <c r="AO420" s="18" t="n">
        <f aca="false">IFERROR(100*N420/J420,"")</f>
        <v>15.9620418304347</v>
      </c>
    </row>
    <row r="421" customFormat="false" ht="15" hidden="false" customHeight="false" outlineLevel="0" collapsed="false">
      <c r="A421" s="17" t="n">
        <v>18031</v>
      </c>
      <c r="B421" s="23" t="n">
        <v>44651</v>
      </c>
      <c r="C421" s="17" t="s">
        <v>152</v>
      </c>
      <c r="D421" s="17" t="s">
        <v>116</v>
      </c>
      <c r="E421" s="17" t="s">
        <v>118</v>
      </c>
      <c r="F421" s="17" t="n">
        <v>618579</v>
      </c>
      <c r="G421" s="17" t="n">
        <v>630967</v>
      </c>
      <c r="H421" s="17" t="n">
        <v>539167</v>
      </c>
      <c r="I421" s="17" t="n">
        <v>45852</v>
      </c>
      <c r="J421" s="17" t="n">
        <v>414273</v>
      </c>
      <c r="K421" s="17" t="n">
        <v>415389</v>
      </c>
      <c r="L421" s="17" t="n">
        <v>368428</v>
      </c>
      <c r="M421" s="17" t="n">
        <v>32100</v>
      </c>
      <c r="N421" s="17" t="n">
        <v>8415</v>
      </c>
      <c r="O421" s="17" t="n">
        <v>602</v>
      </c>
      <c r="P421" s="17" t="n">
        <v>1504</v>
      </c>
      <c r="Q421" s="17" t="n">
        <v>0</v>
      </c>
      <c r="R421" s="17" t="n">
        <v>76</v>
      </c>
      <c r="S421" s="17" t="n">
        <v>0</v>
      </c>
      <c r="T421" s="17" t="n">
        <v>0</v>
      </c>
      <c r="U421" s="17" t="n">
        <v>2996</v>
      </c>
      <c r="V421" s="17" t="n">
        <v>0.474826734203215</v>
      </c>
      <c r="W421" s="17" t="n">
        <v>5.98</v>
      </c>
      <c r="X421" s="17" t="n">
        <v>2.83494716689371</v>
      </c>
      <c r="Y421" s="17" t="n">
        <v>1.21031300615778</v>
      </c>
      <c r="Z421" s="17" t="n">
        <v>0</v>
      </c>
      <c r="AA421" s="17" t="n">
        <v>7.41247278035627</v>
      </c>
      <c r="AB421" s="17"/>
      <c r="AC421" s="17"/>
      <c r="AD421" s="17"/>
      <c r="AE421" s="17"/>
      <c r="AF421" s="17"/>
      <c r="AG421" s="18" t="n">
        <f aca="false">IFERROR(100*O421/F421,"")</f>
        <v>0.0973198249536438</v>
      </c>
      <c r="AH421" s="18" t="n">
        <f aca="false">IFERROR(100*(P421+Q421)/F421,"")</f>
        <v>0.243137901545316</v>
      </c>
      <c r="AI421" s="18" t="n">
        <f aca="false">IFERROR(100*R421/K421,"")</f>
        <v>0.0182961031707628</v>
      </c>
      <c r="AJ421" s="18" t="str">
        <f aca="false">IF(T421&gt;0,100*S421/T421,"")</f>
        <v/>
      </c>
      <c r="AK421" s="18" t="n">
        <f aca="false">IFERROR(100*U421/G421,"")</f>
        <v>0.474826734203215</v>
      </c>
      <c r="AL421" s="18" t="n">
        <f aca="false">IFERROR(100*J421/H421,"")</f>
        <v>76.8357484786717</v>
      </c>
      <c r="AM421" s="18" t="n">
        <f aca="false">IFERROR(100*L421/J421,"")</f>
        <v>88.9336258940361</v>
      </c>
      <c r="AN421" s="18" t="n">
        <f aca="false">IFERROR(100*M421/J421,"")</f>
        <v>7.74851366128133</v>
      </c>
      <c r="AO421" s="18" t="n">
        <f aca="false">IFERROR(100*N421/J421,"")</f>
        <v>2.03126923550412</v>
      </c>
    </row>
    <row r="422" customFormat="false" ht="15" hidden="false" customHeight="false" outlineLevel="0" collapsed="false">
      <c r="A422" s="17" t="n">
        <v>18031</v>
      </c>
      <c r="B422" s="23" t="n">
        <v>44742</v>
      </c>
      <c r="C422" s="17" t="s">
        <v>152</v>
      </c>
      <c r="D422" s="17" t="s">
        <v>116</v>
      </c>
      <c r="E422" s="17" t="s">
        <v>118</v>
      </c>
      <c r="F422" s="17" t="n">
        <v>627001</v>
      </c>
      <c r="G422" s="17" t="n">
        <v>629645</v>
      </c>
      <c r="H422" s="17" t="n">
        <v>558118</v>
      </c>
      <c r="I422" s="17" t="n">
        <v>39966</v>
      </c>
      <c r="J422" s="17" t="n">
        <v>427467</v>
      </c>
      <c r="K422" s="17" t="n">
        <v>419415</v>
      </c>
      <c r="L422" s="17" t="n">
        <v>382501</v>
      </c>
      <c r="M422" s="17" t="n">
        <v>30545</v>
      </c>
      <c r="N422" s="17" t="n">
        <v>8127</v>
      </c>
      <c r="O422" s="17" t="n">
        <v>527</v>
      </c>
      <c r="P422" s="17" t="n">
        <v>1081</v>
      </c>
      <c r="Q422" s="17" t="n">
        <v>0</v>
      </c>
      <c r="R422" s="17" t="n">
        <v>6</v>
      </c>
      <c r="S422" s="17" t="n">
        <v>0</v>
      </c>
      <c r="T422" s="17" t="n">
        <v>0</v>
      </c>
      <c r="U422" s="17" t="n">
        <v>2900</v>
      </c>
      <c r="V422" s="17" t="n">
        <v>0.460576991796965</v>
      </c>
      <c r="W422" s="17" t="n">
        <v>6.21</v>
      </c>
      <c r="X422" s="17" t="n">
        <v>2.91034514485245</v>
      </c>
      <c r="Y422" s="17" t="n">
        <v>1.1769329562282</v>
      </c>
      <c r="Z422" s="17" t="n">
        <v>0</v>
      </c>
      <c r="AA422" s="17" t="n">
        <v>6.37415251331338</v>
      </c>
      <c r="AB422" s="17"/>
      <c r="AC422" s="17"/>
      <c r="AD422" s="17"/>
      <c r="AE422" s="17"/>
      <c r="AF422" s="17"/>
      <c r="AG422" s="18" t="n">
        <f aca="false">IFERROR(100*O422/F422,"")</f>
        <v>0.0840509026301393</v>
      </c>
      <c r="AH422" s="18" t="n">
        <f aca="false">IFERROR(100*(P422+Q422)/F422,"")</f>
        <v>0.172408018488009</v>
      </c>
      <c r="AI422" s="18" t="n">
        <f aca="false">IFERROR(100*R422/K422,"")</f>
        <v>0.00143056399985694</v>
      </c>
      <c r="AJ422" s="18" t="str">
        <f aca="false">IF(T422&gt;0,100*S422/T422,"")</f>
        <v/>
      </c>
      <c r="AK422" s="18" t="n">
        <f aca="false">IFERROR(100*U422/G422,"")</f>
        <v>0.460576991796965</v>
      </c>
      <c r="AL422" s="18" t="n">
        <f aca="false">IFERROR(100*J422/H422,"")</f>
        <v>76.5907926280822</v>
      </c>
      <c r="AM422" s="18" t="n">
        <f aca="false">IFERROR(100*L422/J422,"")</f>
        <v>89.4808254204418</v>
      </c>
      <c r="AN422" s="18" t="n">
        <f aca="false">IFERROR(100*M422/J422,"")</f>
        <v>7.14558082846161</v>
      </c>
      <c r="AO422" s="18" t="n">
        <f aca="false">IFERROR(100*N422/J422,"")</f>
        <v>1.90119939083017</v>
      </c>
    </row>
    <row r="423" customFormat="false" ht="15" hidden="false" customHeight="false" outlineLevel="0" collapsed="false">
      <c r="A423" s="17" t="n">
        <v>18031</v>
      </c>
      <c r="B423" s="23" t="n">
        <v>44834</v>
      </c>
      <c r="C423" s="17" t="s">
        <v>152</v>
      </c>
      <c r="D423" s="17" t="s">
        <v>116</v>
      </c>
      <c r="E423" s="17" t="s">
        <v>118</v>
      </c>
      <c r="F423" s="17" t="n">
        <v>641019</v>
      </c>
      <c r="G423" s="17" t="n">
        <v>632488.5</v>
      </c>
      <c r="H423" s="17" t="n">
        <v>568656</v>
      </c>
      <c r="I423" s="17" t="n">
        <v>33282</v>
      </c>
      <c r="J423" s="17" t="n">
        <v>453544</v>
      </c>
      <c r="K423" s="17" t="n">
        <v>427947.25</v>
      </c>
      <c r="L423" s="17" t="n">
        <v>411232</v>
      </c>
      <c r="M423" s="17" t="n">
        <v>28825</v>
      </c>
      <c r="N423" s="17" t="n">
        <v>8856</v>
      </c>
      <c r="O423" s="17" t="n">
        <v>638</v>
      </c>
      <c r="P423" s="17" t="n">
        <v>868</v>
      </c>
      <c r="Q423" s="17" t="n">
        <v>0</v>
      </c>
      <c r="R423" s="17" t="n">
        <v>3.9999</v>
      </c>
      <c r="S423" s="17" t="n">
        <v>60404</v>
      </c>
      <c r="T423" s="17" t="n">
        <v>367187</v>
      </c>
      <c r="U423" s="17" t="n">
        <v>3341.2498</v>
      </c>
      <c r="V423" s="17" t="n">
        <v>0.528270442861807</v>
      </c>
      <c r="W423" s="17" t="n">
        <v>7.71</v>
      </c>
      <c r="X423" s="17" t="n">
        <v>3.00407550002015</v>
      </c>
      <c r="Y423" s="17" t="n">
        <v>1.10926393029122</v>
      </c>
      <c r="Z423" s="17" t="n">
        <v>16.4504734644745</v>
      </c>
      <c r="AA423" s="17" t="n">
        <v>5.19204578959438</v>
      </c>
      <c r="AB423" s="17"/>
      <c r="AC423" s="17"/>
      <c r="AD423" s="17"/>
      <c r="AE423" s="17"/>
      <c r="AF423" s="17"/>
      <c r="AG423" s="18" t="n">
        <f aca="false">IFERROR(100*O423/F423,"")</f>
        <v>0.0995290311207624</v>
      </c>
      <c r="AH423" s="18" t="n">
        <f aca="false">IFERROR(100*(P423+Q423)/F423,"")</f>
        <v>0.135409402841413</v>
      </c>
      <c r="AI423" s="18" t="n">
        <f aca="false">IFERROR(100*R423/K423,"")</f>
        <v>0.000934671270816672</v>
      </c>
      <c r="AJ423" s="18" t="n">
        <f aca="false">IF(T423&gt;0,100*S423/T423,"")</f>
        <v>16.4504734644745</v>
      </c>
      <c r="AK423" s="18" t="n">
        <f aca="false">IFERROR(100*U423/G423,"")</f>
        <v>0.528270442861807</v>
      </c>
      <c r="AL423" s="18" t="n">
        <f aca="false">IFERROR(100*J423/H423,"")</f>
        <v>79.7571818463183</v>
      </c>
      <c r="AM423" s="18" t="n">
        <f aca="false">IFERROR(100*L423/J423,"")</f>
        <v>90.6708059196021</v>
      </c>
      <c r="AN423" s="18" t="n">
        <f aca="false">IFERROR(100*M423/J423,"")</f>
        <v>6.35550244298238</v>
      </c>
      <c r="AO423" s="18" t="n">
        <f aca="false">IFERROR(100*N423/J423,"")</f>
        <v>1.95262201682747</v>
      </c>
    </row>
    <row r="424" customFormat="false" ht="15" hidden="false" customHeight="false" outlineLevel="0" collapsed="false">
      <c r="A424" s="17" t="n">
        <v>18031</v>
      </c>
      <c r="B424" s="23" t="n">
        <v>44926</v>
      </c>
      <c r="C424" s="17" t="s">
        <v>152</v>
      </c>
      <c r="D424" s="17" t="s">
        <v>116</v>
      </c>
      <c r="E424" s="17" t="s">
        <v>118</v>
      </c>
      <c r="F424" s="17" t="n">
        <v>648071</v>
      </c>
      <c r="G424" s="17" t="n">
        <v>635605</v>
      </c>
      <c r="H424" s="17" t="n">
        <v>582524</v>
      </c>
      <c r="I424" s="17" t="n">
        <v>35327</v>
      </c>
      <c r="J424" s="17" t="n">
        <v>463179</v>
      </c>
      <c r="K424" s="17" t="n">
        <v>434993.6</v>
      </c>
      <c r="L424" s="17" t="n">
        <v>421449</v>
      </c>
      <c r="M424" s="17" t="n">
        <v>28982</v>
      </c>
      <c r="N424" s="17" t="n">
        <v>8276</v>
      </c>
      <c r="O424" s="17" t="n">
        <v>630</v>
      </c>
      <c r="P424" s="17" t="n">
        <v>1137</v>
      </c>
      <c r="Q424" s="17" t="n">
        <v>0</v>
      </c>
      <c r="R424" s="17" t="n">
        <v>6</v>
      </c>
      <c r="S424" s="17" t="n">
        <v>61235</v>
      </c>
      <c r="T424" s="17" t="n">
        <v>374171</v>
      </c>
      <c r="U424" s="17" t="n">
        <v>4031</v>
      </c>
      <c r="V424" s="17" t="n">
        <v>0.634198912846815</v>
      </c>
      <c r="W424" s="17" t="n">
        <v>9.66</v>
      </c>
      <c r="X424" s="17" t="n">
        <v>3.04436126621075</v>
      </c>
      <c r="Y424" s="17" t="n">
        <v>0.923401104108779</v>
      </c>
      <c r="Z424" s="17" t="n">
        <v>16.3655120252505</v>
      </c>
      <c r="AA424" s="17" t="n">
        <v>5.45110026524872</v>
      </c>
      <c r="AB424" s="17"/>
      <c r="AC424" s="17"/>
      <c r="AD424" s="17"/>
      <c r="AE424" s="17"/>
      <c r="AF424" s="17"/>
      <c r="AG424" s="18" t="n">
        <f aca="false">IFERROR(100*O424/F424,"")</f>
        <v>0.097211570954417</v>
      </c>
      <c r="AH424" s="18" t="n">
        <f aca="false">IFERROR(100*(P424+Q424)/F424,"")</f>
        <v>0.175443739960591</v>
      </c>
      <c r="AI424" s="18" t="n">
        <f aca="false">IFERROR(100*R424/K424,"")</f>
        <v>0.00137933063842778</v>
      </c>
      <c r="AJ424" s="18" t="n">
        <f aca="false">IF(T424&gt;0,100*S424/T424,"")</f>
        <v>16.3655120252505</v>
      </c>
      <c r="AK424" s="18" t="n">
        <f aca="false">IFERROR(100*U424/G424,"")</f>
        <v>0.634198912846815</v>
      </c>
      <c r="AL424" s="18" t="n">
        <f aca="false">IFERROR(100*J424/H424,"")</f>
        <v>79.5124321058017</v>
      </c>
      <c r="AM424" s="18" t="n">
        <f aca="false">IFERROR(100*L424/J424,"")</f>
        <v>90.9905241817958</v>
      </c>
      <c r="AN424" s="18" t="n">
        <f aca="false">IFERROR(100*M424/J424,"")</f>
        <v>6.25719214385799</v>
      </c>
      <c r="AO424" s="18" t="n">
        <f aca="false">IFERROR(100*N424/J424,"")</f>
        <v>1.78678221594675</v>
      </c>
    </row>
    <row r="425" customFormat="false" ht="15" hidden="false" customHeight="false" outlineLevel="0" collapsed="false">
      <c r="A425" s="17" t="n">
        <v>18031</v>
      </c>
      <c r="B425" s="23" t="n">
        <v>45016</v>
      </c>
      <c r="C425" s="17" t="s">
        <v>152</v>
      </c>
      <c r="D425" s="17" t="s">
        <v>116</v>
      </c>
      <c r="E425" s="17" t="s">
        <v>118</v>
      </c>
      <c r="F425" s="17" t="n">
        <v>653889</v>
      </c>
      <c r="G425" s="17" t="n">
        <v>650980</v>
      </c>
      <c r="H425" s="17" t="n">
        <v>579895</v>
      </c>
      <c r="I425" s="17" t="n">
        <v>37639</v>
      </c>
      <c r="J425" s="17" t="n">
        <v>467587</v>
      </c>
      <c r="K425" s="17" t="n">
        <v>465383</v>
      </c>
      <c r="L425" s="17" t="n">
        <v>424817</v>
      </c>
      <c r="M425" s="17" t="n">
        <v>28272</v>
      </c>
      <c r="N425" s="17" t="n">
        <v>7125</v>
      </c>
      <c r="O425" s="17" t="n">
        <v>861</v>
      </c>
      <c r="P425" s="17" t="n">
        <v>1064</v>
      </c>
      <c r="Q425" s="17" t="n">
        <v>0</v>
      </c>
      <c r="R425" s="17" t="n">
        <v>12</v>
      </c>
      <c r="S425" s="17" t="n">
        <v>61404</v>
      </c>
      <c r="T425" s="17" t="n">
        <v>374452</v>
      </c>
      <c r="U425" s="17" t="n">
        <v>2028</v>
      </c>
      <c r="V425" s="17" t="n">
        <v>0.311530308150788</v>
      </c>
      <c r="W425" s="17" t="n">
        <v>5.56</v>
      </c>
      <c r="X425" s="17" t="n">
        <v>2.86529528105113</v>
      </c>
      <c r="Y425" s="17" t="n">
        <v>0.883044224924987</v>
      </c>
      <c r="Z425" s="17" t="n">
        <v>16.3983634751584</v>
      </c>
      <c r="AA425" s="17" t="n">
        <v>5.75617574236606</v>
      </c>
      <c r="AB425" s="17" t="n">
        <v>5.70824421779594</v>
      </c>
      <c r="AC425" s="17" t="n">
        <v>12.8692915058428</v>
      </c>
      <c r="AD425" s="17" t="n">
        <v>7.55387477349319</v>
      </c>
      <c r="AE425" s="17" t="n">
        <v>-0.163296426052427</v>
      </c>
      <c r="AF425" s="17" t="n">
        <v>0.0343538994858253</v>
      </c>
      <c r="AG425" s="18" t="n">
        <f aca="false">IFERROR(100*O425/F425,"")</f>
        <v>0.131673724439469</v>
      </c>
      <c r="AH425" s="18" t="n">
        <f aca="false">IFERROR(100*(P425+Q425)/F425,"")</f>
        <v>0.162718748900807</v>
      </c>
      <c r="AI425" s="18" t="n">
        <f aca="false">IFERROR(100*R425/K425,"")</f>
        <v>0.0025785213469336</v>
      </c>
      <c r="AJ425" s="18" t="n">
        <f aca="false">IF(T425&gt;0,100*S425/T425,"")</f>
        <v>16.3983634751584</v>
      </c>
      <c r="AK425" s="18" t="n">
        <f aca="false">IFERROR(100*U425/G425,"")</f>
        <v>0.311530308150788</v>
      </c>
      <c r="AL425" s="18" t="n">
        <f aca="false">IFERROR(100*J425/H425,"")</f>
        <v>80.6330456375723</v>
      </c>
      <c r="AM425" s="18" t="n">
        <f aca="false">IFERROR(100*L425/J425,"")</f>
        <v>90.8530391135767</v>
      </c>
      <c r="AN425" s="18" t="n">
        <f aca="false">IFERROR(100*M425/J425,"")</f>
        <v>6.04636142578814</v>
      </c>
      <c r="AO425" s="18" t="n">
        <f aca="false">IFERROR(100*N425/J425,"")</f>
        <v>1.52378060125709</v>
      </c>
    </row>
    <row r="426" customFormat="false" ht="15" hidden="false" customHeight="false" outlineLevel="0" collapsed="false">
      <c r="A426" s="17" t="n">
        <v>18031</v>
      </c>
      <c r="B426" s="23" t="n">
        <v>45107</v>
      </c>
      <c r="C426" s="17" t="s">
        <v>152</v>
      </c>
      <c r="D426" s="17" t="s">
        <v>116</v>
      </c>
      <c r="E426" s="17" t="s">
        <v>118</v>
      </c>
      <c r="F426" s="17" t="n">
        <v>686908</v>
      </c>
      <c r="G426" s="17" t="n">
        <v>662956</v>
      </c>
      <c r="H426" s="17" t="n">
        <v>578969</v>
      </c>
      <c r="I426" s="17" t="n">
        <v>36036</v>
      </c>
      <c r="J426" s="17" t="n">
        <v>480187</v>
      </c>
      <c r="K426" s="17" t="n">
        <v>470317.666666667</v>
      </c>
      <c r="L426" s="17" t="n">
        <v>433545</v>
      </c>
      <c r="M426" s="17" t="n">
        <v>28192</v>
      </c>
      <c r="N426" s="17" t="n">
        <v>10462</v>
      </c>
      <c r="O426" s="17" t="n">
        <v>1022</v>
      </c>
      <c r="P426" s="17" t="n">
        <v>1125</v>
      </c>
      <c r="Q426" s="17" t="n">
        <v>0</v>
      </c>
      <c r="R426" s="17" t="n">
        <v>-2</v>
      </c>
      <c r="S426" s="17" t="n">
        <v>61340</v>
      </c>
      <c r="T426" s="17" t="n">
        <v>380509</v>
      </c>
      <c r="U426" s="17" t="n">
        <v>1922</v>
      </c>
      <c r="V426" s="17" t="n">
        <v>0.289913659428378</v>
      </c>
      <c r="W426" s="17" t="n">
        <v>5.29</v>
      </c>
      <c r="X426" s="17" t="n">
        <v>2.74432283882166</v>
      </c>
      <c r="Y426" s="17" t="n">
        <v>0.854667035967238</v>
      </c>
      <c r="Z426" s="17" t="n">
        <v>16.120512261208</v>
      </c>
      <c r="AA426" s="17" t="n">
        <v>5.24611738398738</v>
      </c>
      <c r="AB426" s="17" t="n">
        <v>9.55453021606025</v>
      </c>
      <c r="AC426" s="17" t="n">
        <v>12.3331157726795</v>
      </c>
      <c r="AD426" s="17" t="n">
        <v>3.7359483120057</v>
      </c>
      <c r="AE426" s="17" t="n">
        <v>-0.170663332368587</v>
      </c>
      <c r="AF426" s="17" t="n">
        <v>0.0647317582210955</v>
      </c>
      <c r="AG426" s="18" t="n">
        <f aca="false">IFERROR(100*O426/F426,"")</f>
        <v>0.148782660851235</v>
      </c>
      <c r="AH426" s="18" t="n">
        <f aca="false">IFERROR(100*(P426+Q426)/F426,"")</f>
        <v>0.163777390858747</v>
      </c>
      <c r="AI426" s="18" t="n">
        <f aca="false">IFERROR(100*R426/K426,"")</f>
        <v>-0.000425244497867753</v>
      </c>
      <c r="AJ426" s="18" t="n">
        <f aca="false">IF(T426&gt;0,100*S426/T426,"")</f>
        <v>16.120512261208</v>
      </c>
      <c r="AK426" s="18" t="n">
        <f aca="false">IFERROR(100*U426/G426,"")</f>
        <v>0.289913659428378</v>
      </c>
      <c r="AL426" s="18" t="n">
        <f aca="false">IFERROR(100*J426/H426,"")</f>
        <v>82.9382920329068</v>
      </c>
      <c r="AM426" s="18" t="n">
        <f aca="false">IFERROR(100*L426/J426,"")</f>
        <v>90.2867008061443</v>
      </c>
      <c r="AN426" s="18" t="n">
        <f aca="false">IFERROR(100*M426/J426,"")</f>
        <v>5.87104607163459</v>
      </c>
      <c r="AO426" s="18" t="n">
        <f aca="false">IFERROR(100*N426/J426,"")</f>
        <v>2.17873453467087</v>
      </c>
    </row>
    <row r="427" customFormat="false" ht="15" hidden="false" customHeight="false" outlineLevel="0" collapsed="false">
      <c r="A427" s="17" t="n">
        <v>18031</v>
      </c>
      <c r="B427" s="23" t="n">
        <v>45199</v>
      </c>
      <c r="C427" s="17" t="s">
        <v>152</v>
      </c>
      <c r="D427" s="17" t="s">
        <v>116</v>
      </c>
      <c r="E427" s="17" t="s">
        <v>118</v>
      </c>
      <c r="F427" s="17" t="n">
        <v>671966</v>
      </c>
      <c r="G427" s="17" t="n">
        <v>665208.5</v>
      </c>
      <c r="H427" s="17" t="n">
        <v>568415</v>
      </c>
      <c r="I427" s="17" t="n">
        <v>31180</v>
      </c>
      <c r="J427" s="17" t="n">
        <v>480849</v>
      </c>
      <c r="K427" s="17" t="n">
        <v>472950.5</v>
      </c>
      <c r="L427" s="17" t="n">
        <v>434791</v>
      </c>
      <c r="M427" s="17" t="n">
        <v>26820</v>
      </c>
      <c r="N427" s="17" t="n">
        <v>11759</v>
      </c>
      <c r="O427" s="17" t="n">
        <v>790</v>
      </c>
      <c r="P427" s="17" t="n">
        <v>1516</v>
      </c>
      <c r="Q427" s="17" t="n">
        <v>0</v>
      </c>
      <c r="R427" s="17" t="n">
        <v>9.3331</v>
      </c>
      <c r="S427" s="17" t="n">
        <v>61285</v>
      </c>
      <c r="T427" s="17" t="n">
        <v>379793</v>
      </c>
      <c r="U427" s="17" t="n">
        <v>1918.6187</v>
      </c>
      <c r="V427" s="17" t="n">
        <v>0.288423659649569</v>
      </c>
      <c r="W427" s="17" t="n">
        <v>5.47</v>
      </c>
      <c r="X427" s="17" t="n">
        <v>2.73992860785314</v>
      </c>
      <c r="Y427" s="17" t="n">
        <v>0.833109770426891</v>
      </c>
      <c r="Z427" s="17" t="n">
        <v>16.1364216823375</v>
      </c>
      <c r="AA427" s="17" t="n">
        <v>4.6401157201406</v>
      </c>
      <c r="AB427" s="17" t="n">
        <v>4.82778201582168</v>
      </c>
      <c r="AC427" s="17" t="n">
        <v>6.02036406611046</v>
      </c>
      <c r="AD427" s="17" t="n">
        <v>-0.0423806308207375</v>
      </c>
      <c r="AE427" s="17" t="n">
        <v>-0.239846783212239</v>
      </c>
      <c r="AF427" s="17" t="n">
        <v>0.0180364409418122</v>
      </c>
      <c r="AG427" s="18" t="n">
        <f aca="false">IFERROR(100*O427/F427,"")</f>
        <v>0.117565472062575</v>
      </c>
      <c r="AH427" s="18" t="n">
        <f aca="false">IFERROR(100*(P427+Q427)/F427,"")</f>
        <v>0.225606652717548</v>
      </c>
      <c r="AI427" s="18" t="n">
        <f aca="false">IFERROR(100*R427/K427,"")</f>
        <v>0.00197337776363488</v>
      </c>
      <c r="AJ427" s="18" t="n">
        <f aca="false">IF(T427&gt;0,100*S427/T427,"")</f>
        <v>16.1364216823375</v>
      </c>
      <c r="AK427" s="18" t="n">
        <f aca="false">IFERROR(100*U427/G427,"")</f>
        <v>0.288423659649569</v>
      </c>
      <c r="AL427" s="18" t="n">
        <f aca="false">IFERROR(100*J427/H427,"")</f>
        <v>84.5947063325211</v>
      </c>
      <c r="AM427" s="18" t="n">
        <f aca="false">IFERROR(100*L427/J427,"")</f>
        <v>90.4215252605288</v>
      </c>
      <c r="AN427" s="18" t="n">
        <f aca="false">IFERROR(100*M427/J427,"")</f>
        <v>5.57763455887399</v>
      </c>
      <c r="AO427" s="18" t="n">
        <f aca="false">IFERROR(100*N427/J427,"")</f>
        <v>2.44546624824009</v>
      </c>
    </row>
    <row r="428" customFormat="false" ht="15" hidden="false" customHeight="false" outlineLevel="0" collapsed="false">
      <c r="A428" s="17" t="n">
        <v>18031</v>
      </c>
      <c r="B428" s="23" t="n">
        <v>45291</v>
      </c>
      <c r="C428" s="17" t="s">
        <v>152</v>
      </c>
      <c r="D428" s="17" t="s">
        <v>116</v>
      </c>
      <c r="E428" s="17" t="s">
        <v>118</v>
      </c>
      <c r="F428" s="17" t="n">
        <v>684364</v>
      </c>
      <c r="G428" s="17" t="n">
        <v>669039.6</v>
      </c>
      <c r="H428" s="17" t="n">
        <v>562404</v>
      </c>
      <c r="I428" s="17" t="n">
        <v>37606</v>
      </c>
      <c r="J428" s="17" t="n">
        <v>480262</v>
      </c>
      <c r="K428" s="17" t="n">
        <v>474412.8</v>
      </c>
      <c r="L428" s="17" t="n">
        <v>439722</v>
      </c>
      <c r="M428" s="17" t="n">
        <v>23262</v>
      </c>
      <c r="N428" s="17" t="n">
        <v>10669</v>
      </c>
      <c r="O428" s="17" t="n">
        <v>697</v>
      </c>
      <c r="P428" s="17" t="n">
        <v>1155</v>
      </c>
      <c r="Q428" s="17" t="n">
        <v>0</v>
      </c>
      <c r="R428" s="17" t="n">
        <v>-8</v>
      </c>
      <c r="S428" s="17" t="n">
        <v>61099</v>
      </c>
      <c r="T428" s="17" t="n">
        <v>379642</v>
      </c>
      <c r="U428" s="17" t="n">
        <v>1722</v>
      </c>
      <c r="V428" s="17" t="n">
        <v>0.257383867860737</v>
      </c>
      <c r="W428" s="17" t="n">
        <v>4.84</v>
      </c>
      <c r="X428" s="17" t="n">
        <v>2.72156004022497</v>
      </c>
      <c r="Y428" s="17" t="n">
        <v>0.836002015566503</v>
      </c>
      <c r="Z428" s="17" t="n">
        <v>16.0938463078374</v>
      </c>
      <c r="AA428" s="17" t="n">
        <v>5.49502896119609</v>
      </c>
      <c r="AB428" s="17" t="n">
        <v>5.60015800737883</v>
      </c>
      <c r="AC428" s="17" t="n">
        <v>3.6882069351158</v>
      </c>
      <c r="AD428" s="17" t="n">
        <v>-3.45393494516965</v>
      </c>
      <c r="AE428" s="17" t="n">
        <v>-0.376815044986079</v>
      </c>
      <c r="AF428" s="17" t="n">
        <v>0.00463481488703577</v>
      </c>
      <c r="AG428" s="18" t="n">
        <f aca="false">IFERROR(100*O428/F428,"")</f>
        <v>0.101846385841453</v>
      </c>
      <c r="AH428" s="18" t="n">
        <f aca="false">IFERROR(100*(P428+Q428)/F428,"")</f>
        <v>0.168769835935263</v>
      </c>
      <c r="AI428" s="18" t="n">
        <f aca="false">IFERROR(100*R428/K428,"")</f>
        <v>-0.00168629514212095</v>
      </c>
      <c r="AJ428" s="18" t="n">
        <f aca="false">IF(T428&gt;0,100*S428/T428,"")</f>
        <v>16.0938463078374</v>
      </c>
      <c r="AK428" s="18" t="n">
        <f aca="false">IFERROR(100*U428/G428,"")</f>
        <v>0.257383867860737</v>
      </c>
      <c r="AL428" s="18" t="n">
        <f aca="false">IFERROR(100*J428/H428,"")</f>
        <v>85.3944851032354</v>
      </c>
      <c r="AM428" s="18" t="n">
        <f aca="false">IFERROR(100*L428/J428,"")</f>
        <v>91.5587741690994</v>
      </c>
      <c r="AN428" s="18" t="n">
        <f aca="false">IFERROR(100*M428/J428,"")</f>
        <v>4.84360619828344</v>
      </c>
      <c r="AO428" s="18" t="n">
        <f aca="false">IFERROR(100*N428/J428,"")</f>
        <v>2.2214957668939</v>
      </c>
    </row>
    <row r="429" customFormat="false" ht="15" hidden="false" customHeight="false" outlineLevel="0" collapsed="false">
      <c r="A429" s="17" t="n">
        <v>18031</v>
      </c>
      <c r="B429" s="23" t="n">
        <v>45382</v>
      </c>
      <c r="C429" s="17" t="s">
        <v>152</v>
      </c>
      <c r="D429" s="17" t="s">
        <v>116</v>
      </c>
      <c r="E429" s="17" t="s">
        <v>118</v>
      </c>
      <c r="F429" s="17" t="n">
        <v>669872</v>
      </c>
      <c r="G429" s="17" t="n">
        <v>677118</v>
      </c>
      <c r="H429" s="17" t="n">
        <v>532494</v>
      </c>
      <c r="I429" s="17" t="n">
        <v>36392</v>
      </c>
      <c r="J429" s="17" t="n">
        <v>476691</v>
      </c>
      <c r="K429" s="17" t="n">
        <v>478476.5</v>
      </c>
      <c r="L429" s="17" t="n">
        <v>436768</v>
      </c>
      <c r="M429" s="17" t="n">
        <v>23631</v>
      </c>
      <c r="N429" s="17" t="n">
        <v>10269</v>
      </c>
      <c r="O429" s="17" t="n">
        <v>893</v>
      </c>
      <c r="P429" s="17" t="n">
        <v>1463</v>
      </c>
      <c r="Q429" s="17" t="n">
        <v>8</v>
      </c>
      <c r="R429" s="17" t="n">
        <v>52</v>
      </c>
      <c r="S429" s="17" t="n">
        <v>61252</v>
      </c>
      <c r="T429" s="17" t="n">
        <v>374948</v>
      </c>
      <c r="U429" s="17" t="n">
        <v>3100</v>
      </c>
      <c r="V429" s="17" t="n">
        <v>0.457822713323232</v>
      </c>
      <c r="W429" s="17" t="n">
        <v>8.38</v>
      </c>
      <c r="X429" s="17" t="n">
        <v>2.6129414762646</v>
      </c>
      <c r="Y429" s="17" t="n">
        <v>0.807860857452731</v>
      </c>
      <c r="Z429" s="17" t="n">
        <v>16.3361319436295</v>
      </c>
      <c r="AA429" s="17" t="n">
        <v>5.43267967611723</v>
      </c>
      <c r="AB429" s="17" t="n">
        <v>2.44429865007669</v>
      </c>
      <c r="AC429" s="17" t="n">
        <v>1.94701734650451</v>
      </c>
      <c r="AD429" s="17" t="n">
        <v>-8.17406599470594</v>
      </c>
      <c r="AE429" s="17" t="n">
        <v>0.146292405172444</v>
      </c>
      <c r="AF429" s="17" t="n">
        <v>0.00163532564771174</v>
      </c>
      <c r="AG429" s="18" t="n">
        <f aca="false">IFERROR(100*O429/F429,"")</f>
        <v>0.133309050087181</v>
      </c>
      <c r="AH429" s="18" t="n">
        <f aca="false">IFERROR(100*(P429+Q429)/F429,"")</f>
        <v>0.219594191129052</v>
      </c>
      <c r="AI429" s="18" t="n">
        <f aca="false">IFERROR(100*R429/K429,"")</f>
        <v>0.0108678273645623</v>
      </c>
      <c r="AJ429" s="18" t="n">
        <f aca="false">IF(T429&gt;0,100*S429/T429,"")</f>
        <v>16.3361319436295</v>
      </c>
      <c r="AK429" s="18" t="n">
        <f aca="false">IFERROR(100*U429/G429,"")</f>
        <v>0.457822713323232</v>
      </c>
      <c r="AL429" s="18" t="n">
        <f aca="false">IFERROR(100*J429/H429,"")</f>
        <v>89.5204453007921</v>
      </c>
      <c r="AM429" s="18" t="n">
        <f aca="false">IFERROR(100*L429/J429,"")</f>
        <v>91.6249729908893</v>
      </c>
      <c r="AN429" s="18" t="n">
        <f aca="false">IFERROR(100*M429/J429,"")</f>
        <v>4.95729938261893</v>
      </c>
      <c r="AO429" s="18" t="n">
        <f aca="false">IFERROR(100*N429/J429,"")</f>
        <v>2.15422569337369</v>
      </c>
    </row>
    <row r="430" customFormat="false" ht="15" hidden="false" customHeight="false" outlineLevel="0" collapsed="false">
      <c r="A430" s="17" t="n">
        <v>18031</v>
      </c>
      <c r="B430" s="23" t="n">
        <v>45473</v>
      </c>
      <c r="C430" s="17" t="s">
        <v>152</v>
      </c>
      <c r="D430" s="17" t="s">
        <v>116</v>
      </c>
      <c r="E430" s="17" t="s">
        <v>118</v>
      </c>
      <c r="F430" s="17" t="n">
        <v>669965</v>
      </c>
      <c r="G430" s="17" t="n">
        <v>674733.666666667</v>
      </c>
      <c r="H430" s="17" t="n">
        <v>520982</v>
      </c>
      <c r="I430" s="17" t="n">
        <v>36939</v>
      </c>
      <c r="J430" s="17" t="n">
        <v>472971</v>
      </c>
      <c r="K430" s="17" t="n">
        <v>476641.333333333</v>
      </c>
      <c r="L430" s="17" t="n">
        <v>433316</v>
      </c>
      <c r="M430" s="17" t="n">
        <v>24050</v>
      </c>
      <c r="N430" s="17" t="n">
        <v>9330</v>
      </c>
      <c r="O430" s="17" t="n">
        <v>900</v>
      </c>
      <c r="P430" s="17" t="n">
        <v>286</v>
      </c>
      <c r="Q430" s="17" t="n">
        <v>27</v>
      </c>
      <c r="R430" s="17" t="n">
        <v>26</v>
      </c>
      <c r="S430" s="17" t="n">
        <v>61484</v>
      </c>
      <c r="T430" s="17" t="n">
        <v>371917</v>
      </c>
      <c r="U430" s="17" t="n">
        <v>2892</v>
      </c>
      <c r="V430" s="17" t="n">
        <v>0.428613561597885</v>
      </c>
      <c r="W430" s="17" t="n">
        <v>7.82</v>
      </c>
      <c r="X430" s="17" t="n">
        <v>2.62341205153674</v>
      </c>
      <c r="Y430" s="17" t="n">
        <v>0.814426254463805</v>
      </c>
      <c r="Z430" s="17" t="n">
        <v>16.5316455015501</v>
      </c>
      <c r="AA430" s="17" t="n">
        <v>5.5135716044868</v>
      </c>
      <c r="AB430" s="17" t="n">
        <v>-2.46656029628422</v>
      </c>
      <c r="AC430" s="17" t="n">
        <v>-1.50274788780205</v>
      </c>
      <c r="AD430" s="17" t="n">
        <v>-10.0155621458144</v>
      </c>
      <c r="AE430" s="17" t="n">
        <v>0.138699902169507</v>
      </c>
      <c r="AF430" s="17" t="n">
        <v>-0.014447285122652</v>
      </c>
      <c r="AG430" s="18" t="n">
        <f aca="false">IFERROR(100*O430/F430,"")</f>
        <v>0.134335375728583</v>
      </c>
      <c r="AH430" s="18" t="n">
        <f aca="false">IFERROR(100*(P430+Q430)/F430,"")</f>
        <v>0.0467188584478294</v>
      </c>
      <c r="AI430" s="18" t="n">
        <f aca="false">IFERROR(100*R430/K430,"")</f>
        <v>0.00545483536187937</v>
      </c>
      <c r="AJ430" s="18" t="n">
        <f aca="false">IF(T430&gt;0,100*S430/T430,"")</f>
        <v>16.5316455015501</v>
      </c>
      <c r="AK430" s="18" t="n">
        <f aca="false">IFERROR(100*U430/G430,"")</f>
        <v>0.428613561597885</v>
      </c>
      <c r="AL430" s="18" t="n">
        <f aca="false">IFERROR(100*J430/H430,"")</f>
        <v>90.7845184670488</v>
      </c>
      <c r="AM430" s="18" t="n">
        <f aca="false">IFERROR(100*L430/J430,"")</f>
        <v>91.6157650257627</v>
      </c>
      <c r="AN430" s="18" t="n">
        <f aca="false">IFERROR(100*M430/J430,"")</f>
        <v>5.08487835406399</v>
      </c>
      <c r="AO430" s="18" t="n">
        <f aca="false">IFERROR(100*N430/J430,"")</f>
        <v>1.97263680014208</v>
      </c>
    </row>
    <row r="431" customFormat="false" ht="15" hidden="false" customHeight="false" outlineLevel="0" collapsed="false">
      <c r="A431" s="17" t="n">
        <v>18031</v>
      </c>
      <c r="B431" s="23" t="n">
        <v>45565</v>
      </c>
      <c r="C431" s="17" t="s">
        <v>152</v>
      </c>
      <c r="D431" s="17" t="s">
        <v>116</v>
      </c>
      <c r="E431" s="17" t="s">
        <v>118</v>
      </c>
      <c r="F431" s="17" t="n">
        <v>677501</v>
      </c>
      <c r="G431" s="17" t="n">
        <v>675425.5</v>
      </c>
      <c r="H431" s="17" t="n">
        <v>528633</v>
      </c>
      <c r="I431" s="17" t="n">
        <v>41575</v>
      </c>
      <c r="J431" s="17" t="n">
        <v>468218</v>
      </c>
      <c r="K431" s="17" t="n">
        <v>474535.5</v>
      </c>
      <c r="L431" s="17" t="n">
        <v>431155</v>
      </c>
      <c r="M431" s="17" t="n">
        <v>22338</v>
      </c>
      <c r="N431" s="17" t="n">
        <v>8244</v>
      </c>
      <c r="O431" s="17" t="n">
        <v>973</v>
      </c>
      <c r="P431" s="17" t="n">
        <v>243</v>
      </c>
      <c r="Q431" s="17" t="n">
        <v>0</v>
      </c>
      <c r="R431" s="17" t="n">
        <v>45.3322</v>
      </c>
      <c r="S431" s="17" t="n">
        <v>61818</v>
      </c>
      <c r="T431" s="17" t="n">
        <v>369091</v>
      </c>
      <c r="U431" s="17" t="n">
        <v>2878.5947</v>
      </c>
      <c r="V431" s="17" t="n">
        <v>0.42618981664151</v>
      </c>
      <c r="W431" s="17" t="n">
        <v>7.55</v>
      </c>
      <c r="X431" s="17" t="n">
        <v>2.63046277328617</v>
      </c>
      <c r="Y431" s="17" t="n">
        <v>0.822693702506098</v>
      </c>
      <c r="Z431" s="17" t="n">
        <v>16.7487150865234</v>
      </c>
      <c r="AA431" s="17" t="n">
        <v>6.13652230771615</v>
      </c>
      <c r="AB431" s="17" t="n">
        <v>0.82370238970424</v>
      </c>
      <c r="AC431" s="17" t="n">
        <v>-2.62681215932652</v>
      </c>
      <c r="AD431" s="17" t="n">
        <v>-6.99875970901542</v>
      </c>
      <c r="AE431" s="17" t="n">
        <v>0.137766156991941</v>
      </c>
      <c r="AF431" s="17" t="n">
        <v>0.0260505521204155</v>
      </c>
      <c r="AG431" s="18" t="n">
        <f aca="false">IFERROR(100*O431/F431,"")</f>
        <v>0.14361602418299</v>
      </c>
      <c r="AH431" s="18" t="n">
        <f aca="false">IFERROR(100*(P431+Q431)/F431,"")</f>
        <v>0.0358671057312093</v>
      </c>
      <c r="AI431" s="18" t="n">
        <f aca="false">IFERROR(100*R431/K431,"")</f>
        <v>0.00955296284471868</v>
      </c>
      <c r="AJ431" s="18" t="n">
        <f aca="false">IF(T431&gt;0,100*S431/T431,"")</f>
        <v>16.7487150865234</v>
      </c>
      <c r="AK431" s="18" t="n">
        <f aca="false">IFERROR(100*U431/G431,"")</f>
        <v>0.42618981664151</v>
      </c>
      <c r="AL431" s="18" t="n">
        <f aca="false">IFERROR(100*J431/H431,"")</f>
        <v>88.5714664048593</v>
      </c>
      <c r="AM431" s="18" t="n">
        <f aca="false">IFERROR(100*L431/J431,"")</f>
        <v>92.0842428099731</v>
      </c>
      <c r="AN431" s="18" t="n">
        <f aca="false">IFERROR(100*M431/J431,"")</f>
        <v>4.7708546019162</v>
      </c>
      <c r="AO431" s="18" t="n">
        <f aca="false">IFERROR(100*N431/J431,"")</f>
        <v>1.76071829788688</v>
      </c>
    </row>
    <row r="432" customFormat="false" ht="15" hidden="false" customHeight="false" outlineLevel="0" collapsed="false">
      <c r="A432" s="17" t="n">
        <v>18031</v>
      </c>
      <c r="B432" s="23" t="n">
        <v>45657</v>
      </c>
      <c r="C432" s="17" t="s">
        <v>152</v>
      </c>
      <c r="D432" s="17" t="s">
        <v>116</v>
      </c>
      <c r="E432" s="17" t="s">
        <v>118</v>
      </c>
      <c r="F432" s="17" t="n">
        <v>675378</v>
      </c>
      <c r="G432" s="17" t="n">
        <v>675416</v>
      </c>
      <c r="H432" s="17" t="n">
        <v>530034</v>
      </c>
      <c r="I432" s="17" t="n">
        <v>38022</v>
      </c>
      <c r="J432" s="17" t="n">
        <v>459460</v>
      </c>
      <c r="K432" s="17" t="n">
        <v>471520.4</v>
      </c>
      <c r="L432" s="17" t="n">
        <v>420845</v>
      </c>
      <c r="M432" s="17" t="n">
        <v>21100</v>
      </c>
      <c r="N432" s="17" t="n">
        <v>8372</v>
      </c>
      <c r="O432" s="17" t="n">
        <v>884</v>
      </c>
      <c r="P432" s="17" t="n">
        <v>1775</v>
      </c>
      <c r="Q432" s="17" t="n">
        <v>0</v>
      </c>
      <c r="R432" s="17" t="n">
        <v>132</v>
      </c>
      <c r="S432" s="17" t="n">
        <v>62030</v>
      </c>
      <c r="T432" s="17" t="n">
        <v>362873</v>
      </c>
      <c r="U432" s="17" t="n">
        <v>2885</v>
      </c>
      <c r="V432" s="17" t="n">
        <v>0.427144160043588</v>
      </c>
      <c r="W432" s="17" t="n">
        <v>7.57</v>
      </c>
      <c r="X432" s="17" t="n">
        <v>2.64504242347564</v>
      </c>
      <c r="Y432" s="17" t="n">
        <v>0.80094023418796</v>
      </c>
      <c r="Z432" s="17" t="n">
        <v>17.0941348626103</v>
      </c>
      <c r="AA432" s="17" t="n">
        <v>5.6297362365964</v>
      </c>
      <c r="AB432" s="17" t="n">
        <v>-1.31304393568335</v>
      </c>
      <c r="AC432" s="17" t="n">
        <v>-4.33138578525888</v>
      </c>
      <c r="AD432" s="17" t="n">
        <v>-5.75564896408988</v>
      </c>
      <c r="AE432" s="17" t="n">
        <v>0.169760292182852</v>
      </c>
      <c r="AF432" s="17" t="n">
        <v>0.0290432789092498</v>
      </c>
      <c r="AG432" s="18" t="n">
        <f aca="false">IFERROR(100*O432/F432,"")</f>
        <v>0.130889664750703</v>
      </c>
      <c r="AH432" s="18" t="n">
        <f aca="false">IFERROR(100*(P432+Q432)/F432,"")</f>
        <v>0.262815786122734</v>
      </c>
      <c r="AI432" s="18" t="n">
        <f aca="false">IFERROR(100*R432/K432,"")</f>
        <v>0.0279945470015719</v>
      </c>
      <c r="AJ432" s="18" t="n">
        <f aca="false">IF(T432&gt;0,100*S432/T432,"")</f>
        <v>17.0941348626103</v>
      </c>
      <c r="AK432" s="18" t="n">
        <f aca="false">IFERROR(100*U432/G432,"")</f>
        <v>0.427144160043588</v>
      </c>
      <c r="AL432" s="18" t="n">
        <f aca="false">IFERROR(100*J432/H432,"")</f>
        <v>86.6850051128796</v>
      </c>
      <c r="AM432" s="18" t="n">
        <f aca="false">IFERROR(100*L432/J432,"")</f>
        <v>91.5955687110956</v>
      </c>
      <c r="AN432" s="18" t="n">
        <f aca="false">IFERROR(100*M432/J432,"")</f>
        <v>4.59234753841466</v>
      </c>
      <c r="AO432" s="18" t="n">
        <f aca="false">IFERROR(100*N432/J432,"")</f>
        <v>1.82213903277761</v>
      </c>
    </row>
    <row r="433" customFormat="false" ht="15" hidden="false" customHeight="false" outlineLevel="0" collapsed="false">
      <c r="A433" s="17" t="n">
        <v>18031</v>
      </c>
      <c r="B433" s="23" t="n">
        <v>45747</v>
      </c>
      <c r="C433" s="17" t="s">
        <v>152</v>
      </c>
      <c r="D433" s="17" t="s">
        <v>116</v>
      </c>
      <c r="E433" s="17" t="s">
        <v>118</v>
      </c>
      <c r="F433" s="17" t="n">
        <v>669787</v>
      </c>
      <c r="G433" s="17" t="n">
        <v>672582.5</v>
      </c>
      <c r="H433" s="17" t="n">
        <v>527059</v>
      </c>
      <c r="I433" s="17" t="n">
        <v>40246</v>
      </c>
      <c r="J433" s="17" t="n">
        <v>450783</v>
      </c>
      <c r="K433" s="17" t="n">
        <v>455121.5</v>
      </c>
      <c r="L433" s="17" t="n">
        <v>414125</v>
      </c>
      <c r="M433" s="17" t="n">
        <v>22344</v>
      </c>
      <c r="N433" s="17" t="n">
        <v>7590</v>
      </c>
      <c r="O433" s="17" t="n">
        <v>848</v>
      </c>
      <c r="P433" s="17" t="n">
        <v>1454</v>
      </c>
      <c r="Q433" s="17" t="n">
        <v>0</v>
      </c>
      <c r="R433" s="17" t="n">
        <v>40</v>
      </c>
      <c r="S433" s="17" t="n">
        <v>62203</v>
      </c>
      <c r="T433" s="17" t="n">
        <v>357809</v>
      </c>
      <c r="U433" s="17" t="n">
        <v>2020</v>
      </c>
      <c r="V433" s="17" t="n">
        <v>0.300334903153145</v>
      </c>
      <c r="W433" s="17" t="n">
        <v>5.16</v>
      </c>
      <c r="X433" s="17" t="n">
        <v>2.71912769520121</v>
      </c>
      <c r="Y433" s="17" t="n">
        <v>0.823234239090649</v>
      </c>
      <c r="Z433" s="17" t="n">
        <v>17.3844145899069</v>
      </c>
      <c r="AA433" s="17" t="n">
        <v>6.00877592428638</v>
      </c>
      <c r="AB433" s="17" t="n">
        <v>-0.0126889913296902</v>
      </c>
      <c r="AC433" s="17" t="n">
        <v>-5.4349673058648</v>
      </c>
      <c r="AD433" s="17" t="n">
        <v>-1.02066877748858</v>
      </c>
      <c r="AE433" s="17" t="n">
        <v>-0.157487810170087</v>
      </c>
      <c r="AF433" s="17" t="n">
        <v>-0.0067016360884021</v>
      </c>
      <c r="AG433" s="18" t="n">
        <f aca="false">IFERROR(100*O433/F433,"")</f>
        <v>0.126607413998779</v>
      </c>
      <c r="AH433" s="18" t="n">
        <f aca="false">IFERROR(100*(P433+Q433)/F433,"")</f>
        <v>0.217083938625264</v>
      </c>
      <c r="AI433" s="18" t="n">
        <f aca="false">IFERROR(100*R433/K433,"")</f>
        <v>0.00878886187534538</v>
      </c>
      <c r="AJ433" s="18" t="n">
        <f aca="false">IF(T433&gt;0,100*S433/T433,"")</f>
        <v>17.3844145899069</v>
      </c>
      <c r="AK433" s="18" t="n">
        <f aca="false">IFERROR(100*U433/G433,"")</f>
        <v>0.300334903153145</v>
      </c>
      <c r="AL433" s="18" t="n">
        <f aca="false">IFERROR(100*J433/H433,"")</f>
        <v>85.5279959169657</v>
      </c>
      <c r="AM433" s="18" t="n">
        <f aca="false">IFERROR(100*L433/J433,"")</f>
        <v>91.867927583782</v>
      </c>
      <c r="AN433" s="18" t="n">
        <f aca="false">IFERROR(100*M433/J433,"")</f>
        <v>4.95670866026447</v>
      </c>
      <c r="AO433" s="18" t="n">
        <f aca="false">IFERROR(100*N433/J433,"")</f>
        <v>1.6837369643487</v>
      </c>
    </row>
    <row r="434" customFormat="false" ht="15" hidden="false" customHeight="false" outlineLevel="0" collapsed="false">
      <c r="A434" s="17" t="n">
        <v>18031</v>
      </c>
      <c r="B434" s="23" t="n">
        <v>45838</v>
      </c>
      <c r="C434" s="17" t="s">
        <v>152</v>
      </c>
      <c r="D434" s="17" t="s">
        <v>116</v>
      </c>
      <c r="E434" s="17" t="s">
        <v>118</v>
      </c>
      <c r="F434" s="17" t="n">
        <v>669249</v>
      </c>
      <c r="G434" s="17" t="n">
        <v>671471.333333333</v>
      </c>
      <c r="H434" s="17" t="n">
        <v>526372</v>
      </c>
      <c r="I434" s="17" t="n">
        <v>40753</v>
      </c>
      <c r="J434" s="17" t="n">
        <v>452465</v>
      </c>
      <c r="K434" s="17" t="n">
        <v>454236</v>
      </c>
      <c r="L434" s="17" t="n">
        <v>416232</v>
      </c>
      <c r="M434" s="17" t="n">
        <v>22546</v>
      </c>
      <c r="N434" s="17" t="n">
        <v>7202</v>
      </c>
      <c r="O434" s="17" t="n">
        <v>562</v>
      </c>
      <c r="P434" s="17" t="n">
        <v>654</v>
      </c>
      <c r="Q434" s="17" t="n">
        <v>4</v>
      </c>
      <c r="R434" s="17" t="n">
        <v>344</v>
      </c>
      <c r="S434" s="17" t="n">
        <v>62023</v>
      </c>
      <c r="T434" s="17" t="n">
        <v>365813</v>
      </c>
      <c r="U434" s="17" t="n">
        <v>1296</v>
      </c>
      <c r="V434" s="17" t="n">
        <v>0.193008984250507</v>
      </c>
      <c r="W434" s="17" t="n">
        <v>3.27</v>
      </c>
      <c r="X434" s="17" t="n">
        <v>2.76573202974124</v>
      </c>
      <c r="Y434" s="17" t="n">
        <v>0.830782491463428</v>
      </c>
      <c r="Z434" s="17" t="n">
        <v>16.9548375809498</v>
      </c>
      <c r="AA434" s="17" t="n">
        <v>6.08936285298895</v>
      </c>
      <c r="AB434" s="17" t="n">
        <v>-0.106871254468521</v>
      </c>
      <c r="AC434" s="17" t="n">
        <v>-4.33557237124474</v>
      </c>
      <c r="AD434" s="17" t="n">
        <v>1.03458468814661</v>
      </c>
      <c r="AE434" s="17" t="n">
        <v>-0.235604577347378</v>
      </c>
      <c r="AF434" s="17" t="n">
        <v>-0.0503606518216364</v>
      </c>
      <c r="AG434" s="18" t="n">
        <f aca="false">IFERROR(100*O434/F434,"")</f>
        <v>0.0839747239069465</v>
      </c>
      <c r="AH434" s="18" t="n">
        <f aca="false">IFERROR(100*(P434+Q434)/F434,"")</f>
        <v>0.0983191607309088</v>
      </c>
      <c r="AI434" s="18" t="n">
        <f aca="false">IFERROR(100*R434/K434,"")</f>
        <v>0.0757315580447169</v>
      </c>
      <c r="AJ434" s="18" t="n">
        <f aca="false">IF(T434&gt;0,100*S434/T434,"")</f>
        <v>16.9548375809498</v>
      </c>
      <c r="AK434" s="18" t="n">
        <f aca="false">IFERROR(100*U434/G434,"")</f>
        <v>0.193008984250507</v>
      </c>
      <c r="AL434" s="18" t="n">
        <f aca="false">IFERROR(100*J434/H434,"")</f>
        <v>85.9591695606909</v>
      </c>
      <c r="AM434" s="18" t="n">
        <f aca="false">IFERROR(100*L434/J434,"")</f>
        <v>91.9920877857956</v>
      </c>
      <c r="AN434" s="18" t="n">
        <f aca="false">IFERROR(100*M434/J434,"")</f>
        <v>4.98292685622092</v>
      </c>
      <c r="AO434" s="18" t="n">
        <f aca="false">IFERROR(100*N434/J434,"")</f>
        <v>1.59172532682086</v>
      </c>
    </row>
    <row r="435" customFormat="false" ht="15" hidden="false" customHeight="false" outlineLevel="0" collapsed="false">
      <c r="A435" s="17" t="n">
        <v>18038</v>
      </c>
      <c r="B435" s="23" t="n">
        <v>44651</v>
      </c>
      <c r="C435" s="17" t="s">
        <v>128</v>
      </c>
      <c r="D435" s="17" t="s">
        <v>116</v>
      </c>
      <c r="E435" s="17" t="s">
        <v>118</v>
      </c>
      <c r="F435" s="17" t="n">
        <v>483496</v>
      </c>
      <c r="G435" s="17" t="n">
        <v>487410</v>
      </c>
      <c r="H435" s="17" t="n">
        <v>404536</v>
      </c>
      <c r="I435" s="17" t="n">
        <v>69131</v>
      </c>
      <c r="J435" s="17" t="n">
        <v>356852</v>
      </c>
      <c r="K435" s="17" t="n">
        <v>356533</v>
      </c>
      <c r="L435" s="17" t="n">
        <v>335633</v>
      </c>
      <c r="M435" s="17" t="n">
        <v>17613</v>
      </c>
      <c r="N435" s="17" t="n">
        <v>3264</v>
      </c>
      <c r="O435" s="17" t="n">
        <v>2487</v>
      </c>
      <c r="P435" s="17" t="n">
        <v>1771</v>
      </c>
      <c r="Q435" s="17" t="n">
        <v>0</v>
      </c>
      <c r="R435" s="17" t="n">
        <v>-328</v>
      </c>
      <c r="S435" s="17" t="n">
        <v>0</v>
      </c>
      <c r="T435" s="17" t="n">
        <v>0</v>
      </c>
      <c r="U435" s="17" t="n">
        <v>-3452</v>
      </c>
      <c r="V435" s="17" t="n">
        <v>-0.708233314868386</v>
      </c>
      <c r="W435" s="17" t="n">
        <v>-4.87</v>
      </c>
      <c r="X435" s="17" t="n">
        <v>3.13809529560168</v>
      </c>
      <c r="Y435" s="17" t="n">
        <v>1.24057032046899</v>
      </c>
      <c r="Z435" s="17" t="n">
        <v>0</v>
      </c>
      <c r="AA435" s="17" t="n">
        <v>14.2981534490461</v>
      </c>
      <c r="AB435" s="17"/>
      <c r="AC435" s="17"/>
      <c r="AD435" s="17"/>
      <c r="AE435" s="17"/>
      <c r="AF435" s="17"/>
      <c r="AG435" s="18" t="n">
        <f aca="false">IFERROR(100*O435/F435,"")</f>
        <v>0.514378609130169</v>
      </c>
      <c r="AH435" s="18" t="n">
        <f aca="false">IFERROR(100*(P435+Q435)/F435,"")</f>
        <v>0.366290517398283</v>
      </c>
      <c r="AI435" s="18" t="n">
        <f aca="false">IFERROR(100*R435/K435,"")</f>
        <v>-0.091997094238121</v>
      </c>
      <c r="AJ435" s="18" t="str">
        <f aca="false">IF(T435&gt;0,100*S435/T435,"")</f>
        <v/>
      </c>
      <c r="AK435" s="18" t="n">
        <f aca="false">IFERROR(100*U435/G435,"")</f>
        <v>-0.708233314868386</v>
      </c>
      <c r="AL435" s="18" t="n">
        <f aca="false">IFERROR(100*J435/H435,"")</f>
        <v>88.2126683410129</v>
      </c>
      <c r="AM435" s="18" t="n">
        <f aca="false">IFERROR(100*L435/J435,"")</f>
        <v>94.0538374452154</v>
      </c>
      <c r="AN435" s="18" t="n">
        <f aca="false">IFERROR(100*M435/J435,"")</f>
        <v>4.9356596011792</v>
      </c>
      <c r="AO435" s="18" t="n">
        <f aca="false">IFERROR(100*N435/J435,"")</f>
        <v>0.914664903097082</v>
      </c>
    </row>
    <row r="436" customFormat="false" ht="15" hidden="false" customHeight="false" outlineLevel="0" collapsed="false">
      <c r="A436" s="17" t="n">
        <v>18038</v>
      </c>
      <c r="B436" s="23" t="n">
        <v>44742</v>
      </c>
      <c r="C436" s="17" t="s">
        <v>128</v>
      </c>
      <c r="D436" s="17" t="s">
        <v>116</v>
      </c>
      <c r="E436" s="17" t="s">
        <v>118</v>
      </c>
      <c r="F436" s="17" t="n">
        <v>488764</v>
      </c>
      <c r="G436" s="17" t="n">
        <v>487861.333333333</v>
      </c>
      <c r="H436" s="17" t="n">
        <v>401670</v>
      </c>
      <c r="I436" s="17" t="n">
        <v>64314</v>
      </c>
      <c r="J436" s="17" t="n">
        <v>365235</v>
      </c>
      <c r="K436" s="17" t="n">
        <v>359433.666666667</v>
      </c>
      <c r="L436" s="17" t="n">
        <v>344078</v>
      </c>
      <c r="M436" s="17" t="n">
        <v>17550</v>
      </c>
      <c r="N436" s="17" t="n">
        <v>3145</v>
      </c>
      <c r="O436" s="17" t="n">
        <v>2488</v>
      </c>
      <c r="P436" s="17" t="n">
        <v>680</v>
      </c>
      <c r="Q436" s="17" t="n">
        <v>0</v>
      </c>
      <c r="R436" s="17" t="n">
        <v>-144</v>
      </c>
      <c r="S436" s="17" t="n">
        <v>0</v>
      </c>
      <c r="T436" s="17" t="n">
        <v>0</v>
      </c>
      <c r="U436" s="17" t="n">
        <v>-6102</v>
      </c>
      <c r="V436" s="17" t="n">
        <v>-1.25076524476901</v>
      </c>
      <c r="W436" s="17" t="n">
        <v>-8.88</v>
      </c>
      <c r="X436" s="17" t="n">
        <v>3.16043602311801</v>
      </c>
      <c r="Y436" s="17" t="n">
        <v>1.10668473722398</v>
      </c>
      <c r="Z436" s="17" t="n">
        <v>0</v>
      </c>
      <c r="AA436" s="17" t="n">
        <v>13.1584977617009</v>
      </c>
      <c r="AB436" s="17"/>
      <c r="AC436" s="17"/>
      <c r="AD436" s="17"/>
      <c r="AE436" s="17"/>
      <c r="AF436" s="17"/>
      <c r="AG436" s="18" t="n">
        <f aca="false">IFERROR(100*O436/F436,"")</f>
        <v>0.509039127267966</v>
      </c>
      <c r="AH436" s="18" t="n">
        <f aca="false">IFERROR(100*(P436+Q436)/F436,"")</f>
        <v>0.139126449574846</v>
      </c>
      <c r="AI436" s="18" t="n">
        <f aca="false">IFERROR(100*R436/K436,"")</f>
        <v>-0.0400630250737039</v>
      </c>
      <c r="AJ436" s="18" t="str">
        <f aca="false">IF(T436&gt;0,100*S436/T436,"")</f>
        <v/>
      </c>
      <c r="AK436" s="18" t="n">
        <f aca="false">IFERROR(100*U436/G436,"")</f>
        <v>-1.25076524476901</v>
      </c>
      <c r="AL436" s="18" t="n">
        <f aca="false">IFERROR(100*J436/H436,"")</f>
        <v>90.9291209201583</v>
      </c>
      <c r="AM436" s="18" t="n">
        <f aca="false">IFERROR(100*L436/J436,"")</f>
        <v>94.2072911960792</v>
      </c>
      <c r="AN436" s="18" t="n">
        <f aca="false">IFERROR(100*M436/J436,"")</f>
        <v>4.80512546716498</v>
      </c>
      <c r="AO436" s="18" t="n">
        <f aca="false">IFERROR(100*N436/J436,"")</f>
        <v>0.86108943556888</v>
      </c>
    </row>
    <row r="437" customFormat="false" ht="15" hidden="false" customHeight="false" outlineLevel="0" collapsed="false">
      <c r="A437" s="17" t="n">
        <v>18038</v>
      </c>
      <c r="B437" s="23" t="n">
        <v>44834</v>
      </c>
      <c r="C437" s="17" t="s">
        <v>128</v>
      </c>
      <c r="D437" s="17" t="s">
        <v>116</v>
      </c>
      <c r="E437" s="17" t="s">
        <v>118</v>
      </c>
      <c r="F437" s="17" t="n">
        <v>492676</v>
      </c>
      <c r="G437" s="17" t="n">
        <v>489065</v>
      </c>
      <c r="H437" s="17" t="n">
        <v>386477</v>
      </c>
      <c r="I437" s="17" t="n">
        <v>61616</v>
      </c>
      <c r="J437" s="17" t="n">
        <v>385931</v>
      </c>
      <c r="K437" s="17" t="n">
        <v>366058</v>
      </c>
      <c r="L437" s="17" t="n">
        <v>364802</v>
      </c>
      <c r="M437" s="17" t="n">
        <v>17520</v>
      </c>
      <c r="N437" s="17" t="n">
        <v>3246</v>
      </c>
      <c r="O437" s="17" t="n">
        <v>2589</v>
      </c>
      <c r="P437" s="17" t="n">
        <v>1188</v>
      </c>
      <c r="Q437" s="17" t="n">
        <v>0</v>
      </c>
      <c r="R437" s="17" t="n">
        <v>-223.9944</v>
      </c>
      <c r="S437" s="17" t="n">
        <v>0</v>
      </c>
      <c r="T437" s="17" t="n">
        <v>0</v>
      </c>
      <c r="U437" s="17" t="n">
        <v>-5229.2026</v>
      </c>
      <c r="V437" s="17" t="n">
        <v>-1.0692244589165</v>
      </c>
      <c r="W437" s="17" t="n">
        <v>-7.81</v>
      </c>
      <c r="X437" s="17" t="n">
        <v>3.18243691660641</v>
      </c>
      <c r="Y437" s="17" t="n">
        <v>1.07221239029775</v>
      </c>
      <c r="Z437" s="17" t="n">
        <v>0</v>
      </c>
      <c r="AA437" s="17" t="n">
        <v>12.5063936542474</v>
      </c>
      <c r="AB437" s="17"/>
      <c r="AC437" s="17"/>
      <c r="AD437" s="17"/>
      <c r="AE437" s="17"/>
      <c r="AF437" s="17"/>
      <c r="AG437" s="18" t="n">
        <f aca="false">IFERROR(100*O437/F437,"")</f>
        <v>0.525497487192394</v>
      </c>
      <c r="AH437" s="18" t="n">
        <f aca="false">IFERROR(100*(P437+Q437)/F437,"")</f>
        <v>0.241132103045409</v>
      </c>
      <c r="AI437" s="18" t="n">
        <f aca="false">IFERROR(100*R437/K437,"")</f>
        <v>-0.0611909588098061</v>
      </c>
      <c r="AJ437" s="18" t="str">
        <f aca="false">IF(T437&gt;0,100*S437/T437,"")</f>
        <v/>
      </c>
      <c r="AK437" s="18" t="n">
        <f aca="false">IFERROR(100*U437/G437,"")</f>
        <v>-1.0692244589165</v>
      </c>
      <c r="AL437" s="18" t="n">
        <f aca="false">IFERROR(100*J437/H437,"")</f>
        <v>99.8587238050389</v>
      </c>
      <c r="AM437" s="18" t="n">
        <f aca="false">IFERROR(100*L437/J437,"")</f>
        <v>94.5251871448523</v>
      </c>
      <c r="AN437" s="18" t="n">
        <f aca="false">IFERROR(100*M437/J437,"")</f>
        <v>4.53967159932734</v>
      </c>
      <c r="AO437" s="18" t="n">
        <f aca="false">IFERROR(100*N437/J437,"")</f>
        <v>0.841082991519209</v>
      </c>
    </row>
    <row r="438" customFormat="false" ht="15" hidden="false" customHeight="false" outlineLevel="0" collapsed="false">
      <c r="A438" s="17" t="n">
        <v>18038</v>
      </c>
      <c r="B438" s="23" t="n">
        <v>44926</v>
      </c>
      <c r="C438" s="17" t="s">
        <v>128</v>
      </c>
      <c r="D438" s="17" t="s">
        <v>116</v>
      </c>
      <c r="E438" s="17" t="s">
        <v>118</v>
      </c>
      <c r="F438" s="17" t="n">
        <v>530980</v>
      </c>
      <c r="G438" s="17" t="n">
        <v>497448</v>
      </c>
      <c r="H438" s="17" t="n">
        <v>432649</v>
      </c>
      <c r="I438" s="17" t="n">
        <v>63947</v>
      </c>
      <c r="J438" s="17" t="n">
        <v>405123</v>
      </c>
      <c r="K438" s="17" t="n">
        <v>373871</v>
      </c>
      <c r="L438" s="17" t="n">
        <v>384424</v>
      </c>
      <c r="M438" s="17" t="n">
        <v>16994</v>
      </c>
      <c r="N438" s="17" t="n">
        <v>3229</v>
      </c>
      <c r="O438" s="17" t="n">
        <v>2186</v>
      </c>
      <c r="P438" s="17" t="n">
        <v>3681</v>
      </c>
      <c r="Q438" s="17" t="n">
        <v>0</v>
      </c>
      <c r="R438" s="17" t="n">
        <v>-169</v>
      </c>
      <c r="S438" s="17" t="n">
        <v>0</v>
      </c>
      <c r="T438" s="17" t="n">
        <v>0</v>
      </c>
      <c r="U438" s="17" t="n">
        <v>-1404</v>
      </c>
      <c r="V438" s="17" t="n">
        <v>-0.282240555796787</v>
      </c>
      <c r="W438" s="17" t="n">
        <v>-2.12</v>
      </c>
      <c r="X438" s="17" t="n">
        <v>3.1083634457838</v>
      </c>
      <c r="Y438" s="17" t="n">
        <v>1.05005146585111</v>
      </c>
      <c r="Z438" s="17" t="n">
        <v>0</v>
      </c>
      <c r="AA438" s="17" t="n">
        <v>12.043203133828</v>
      </c>
      <c r="AB438" s="17"/>
      <c r="AC438" s="17"/>
      <c r="AD438" s="17"/>
      <c r="AE438" s="17"/>
      <c r="AF438" s="17"/>
      <c r="AG438" s="18" t="n">
        <f aca="false">IFERROR(100*O438/F438,"")</f>
        <v>0.411691589137067</v>
      </c>
      <c r="AH438" s="18" t="n">
        <f aca="false">IFERROR(100*(P438+Q438)/F438,"")</f>
        <v>0.693246449960451</v>
      </c>
      <c r="AI438" s="18" t="n">
        <f aca="false">IFERROR(100*R438/K438,"")</f>
        <v>-0.0452027571007112</v>
      </c>
      <c r="AJ438" s="18" t="str">
        <f aca="false">IF(T438&gt;0,100*S438/T438,"")</f>
        <v/>
      </c>
      <c r="AK438" s="18" t="n">
        <f aca="false">IFERROR(100*U438/G438,"")</f>
        <v>-0.282240555796787</v>
      </c>
      <c r="AL438" s="18" t="n">
        <f aca="false">IFERROR(100*J438/H438,"")</f>
        <v>93.6377987699036</v>
      </c>
      <c r="AM438" s="18" t="n">
        <f aca="false">IFERROR(100*L438/J438,"")</f>
        <v>94.8906875195928</v>
      </c>
      <c r="AN438" s="18" t="n">
        <f aca="false">IFERROR(100*M438/J438,"")</f>
        <v>4.19477541388665</v>
      </c>
      <c r="AO438" s="18" t="n">
        <f aca="false">IFERROR(100*N438/J438,"")</f>
        <v>0.797041886044485</v>
      </c>
    </row>
    <row r="439" customFormat="false" ht="15" hidden="false" customHeight="false" outlineLevel="0" collapsed="false">
      <c r="A439" s="17" t="n">
        <v>18038</v>
      </c>
      <c r="B439" s="23" t="n">
        <v>45016</v>
      </c>
      <c r="C439" s="17" t="s">
        <v>128</v>
      </c>
      <c r="D439" s="17" t="s">
        <v>116</v>
      </c>
      <c r="E439" s="17" t="s">
        <v>118</v>
      </c>
      <c r="F439" s="17" t="n">
        <v>548592</v>
      </c>
      <c r="G439" s="17" t="n">
        <v>539786</v>
      </c>
      <c r="H439" s="17" t="n">
        <v>453467</v>
      </c>
      <c r="I439" s="17" t="n">
        <v>65334</v>
      </c>
      <c r="J439" s="17" t="n">
        <v>418300</v>
      </c>
      <c r="K439" s="17" t="n">
        <v>411711.5</v>
      </c>
      <c r="L439" s="17" t="n">
        <v>397248</v>
      </c>
      <c r="M439" s="17" t="n">
        <v>17283</v>
      </c>
      <c r="N439" s="17" t="n">
        <v>3452</v>
      </c>
      <c r="O439" s="17" t="n">
        <v>2269</v>
      </c>
      <c r="P439" s="17" t="n">
        <v>1813</v>
      </c>
      <c r="Q439" s="17" t="n">
        <v>0</v>
      </c>
      <c r="R439" s="17" t="n">
        <v>0</v>
      </c>
      <c r="S439" s="17" t="n">
        <v>0</v>
      </c>
      <c r="T439" s="17" t="n">
        <v>0</v>
      </c>
      <c r="U439" s="17" t="n">
        <v>380</v>
      </c>
      <c r="V439" s="17" t="n">
        <v>0.0703982689436184</v>
      </c>
      <c r="W439" s="17" t="n">
        <v>0.59</v>
      </c>
      <c r="X439" s="17" t="n">
        <v>2.59646477985742</v>
      </c>
      <c r="Y439" s="17" t="n">
        <v>0.981353095864212</v>
      </c>
      <c r="Z439" s="17" t="n">
        <v>0</v>
      </c>
      <c r="AA439" s="17" t="n">
        <v>11.909397147607</v>
      </c>
      <c r="AB439" s="17" t="n">
        <v>13.4636067309761</v>
      </c>
      <c r="AC439" s="17" t="n">
        <v>17.2194635310997</v>
      </c>
      <c r="AD439" s="17" t="n">
        <v>12.095586054146</v>
      </c>
      <c r="AE439" s="17" t="n">
        <v>0.778631583812004</v>
      </c>
      <c r="AF439" s="17" t="n">
        <v>-0.100774327624059</v>
      </c>
      <c r="AG439" s="18" t="n">
        <f aca="false">IFERROR(100*O439/F439,"")</f>
        <v>0.41360428150611</v>
      </c>
      <c r="AH439" s="18" t="n">
        <f aca="false">IFERROR(100*(P439+Q439)/F439,"")</f>
        <v>0.33048239857672</v>
      </c>
      <c r="AI439" s="18" t="n">
        <f aca="false">IFERROR(100*R439/K439,"")</f>
        <v>0</v>
      </c>
      <c r="AJ439" s="18" t="str">
        <f aca="false">IF(T439&gt;0,100*S439/T439,"")</f>
        <v/>
      </c>
      <c r="AK439" s="18" t="n">
        <f aca="false">IFERROR(100*U439/G439,"")</f>
        <v>0.0703982689436184</v>
      </c>
      <c r="AL439" s="18" t="n">
        <f aca="false">IFERROR(100*J439/H439,"")</f>
        <v>92.2448601552042</v>
      </c>
      <c r="AM439" s="18" t="n">
        <f aca="false">IFERROR(100*L439/J439,"")</f>
        <v>94.9672483863256</v>
      </c>
      <c r="AN439" s="18" t="n">
        <f aca="false">IFERROR(100*M439/J439,"")</f>
        <v>4.13172364331819</v>
      </c>
      <c r="AO439" s="18" t="n">
        <f aca="false">IFERROR(100*N439/J439,"")</f>
        <v>0.825245039445374</v>
      </c>
    </row>
    <row r="440" customFormat="false" ht="15" hidden="false" customHeight="false" outlineLevel="0" collapsed="false">
      <c r="A440" s="17" t="n">
        <v>18038</v>
      </c>
      <c r="B440" s="23" t="n">
        <v>45107</v>
      </c>
      <c r="C440" s="17" t="s">
        <v>128</v>
      </c>
      <c r="D440" s="17" t="s">
        <v>116</v>
      </c>
      <c r="E440" s="17" t="s">
        <v>118</v>
      </c>
      <c r="F440" s="17" t="n">
        <v>548920</v>
      </c>
      <c r="G440" s="17" t="n">
        <v>542830.666666667</v>
      </c>
      <c r="H440" s="17" t="n">
        <v>429568</v>
      </c>
      <c r="I440" s="17" t="n">
        <v>65364</v>
      </c>
      <c r="J440" s="17" t="n">
        <v>420009</v>
      </c>
      <c r="K440" s="17" t="n">
        <v>414477.333333333</v>
      </c>
      <c r="L440" s="17" t="n">
        <v>399161</v>
      </c>
      <c r="M440" s="17" t="n">
        <v>16670</v>
      </c>
      <c r="N440" s="17" t="n">
        <v>3651</v>
      </c>
      <c r="O440" s="17" t="n">
        <v>2268</v>
      </c>
      <c r="P440" s="17" t="n">
        <v>765</v>
      </c>
      <c r="Q440" s="17" t="n">
        <v>0</v>
      </c>
      <c r="R440" s="17" t="n">
        <v>-18</v>
      </c>
      <c r="S440" s="17" t="n">
        <v>0</v>
      </c>
      <c r="T440" s="17" t="n">
        <v>0</v>
      </c>
      <c r="U440" s="17" t="n">
        <v>2110</v>
      </c>
      <c r="V440" s="17" t="n">
        <v>0.388703168329964</v>
      </c>
      <c r="W440" s="17" t="n">
        <v>3.25</v>
      </c>
      <c r="X440" s="17" t="n">
        <v>2.59263990566501</v>
      </c>
      <c r="Y440" s="17" t="n">
        <v>0.988074065079558</v>
      </c>
      <c r="Z440" s="17" t="n">
        <v>0</v>
      </c>
      <c r="AA440" s="17" t="n">
        <v>11.9077461196531</v>
      </c>
      <c r="AB440" s="17" t="n">
        <v>12.3077804420948</v>
      </c>
      <c r="AC440" s="17" t="n">
        <v>14.9969197913672</v>
      </c>
      <c r="AD440" s="17" t="n">
        <v>6.94550252694999</v>
      </c>
      <c r="AE440" s="17" t="n">
        <v>1.63946841309897</v>
      </c>
      <c r="AF440" s="17" t="n">
        <v>-0.0958641655249066</v>
      </c>
      <c r="AG440" s="18" t="n">
        <f aca="false">IFERROR(100*O440/F440,"")</f>
        <v>0.413174961743059</v>
      </c>
      <c r="AH440" s="18" t="n">
        <f aca="false">IFERROR(100*(P440+Q440)/F440,"")</f>
        <v>0.139364570429206</v>
      </c>
      <c r="AI440" s="18" t="n">
        <f aca="false">IFERROR(100*R440/K440,"")</f>
        <v>-0.00434281890766845</v>
      </c>
      <c r="AJ440" s="18" t="str">
        <f aca="false">IF(T440&gt;0,100*S440/T440,"")</f>
        <v/>
      </c>
      <c r="AK440" s="18" t="n">
        <f aca="false">IFERROR(100*U440/G440,"")</f>
        <v>0.388703168329964</v>
      </c>
      <c r="AL440" s="18" t="n">
        <f aca="false">IFERROR(100*J440/H440,"")</f>
        <v>97.7747411352801</v>
      </c>
      <c r="AM440" s="18" t="n">
        <f aca="false">IFERROR(100*L440/J440,"")</f>
        <v>95.0362968412582</v>
      </c>
      <c r="AN440" s="18" t="n">
        <f aca="false">IFERROR(100*M440/J440,"")</f>
        <v>3.96896256984969</v>
      </c>
      <c r="AO440" s="18" t="n">
        <f aca="false">IFERROR(100*N440/J440,"")</f>
        <v>0.869267087133847</v>
      </c>
    </row>
    <row r="441" customFormat="false" ht="15" hidden="false" customHeight="false" outlineLevel="0" collapsed="false">
      <c r="A441" s="17" t="n">
        <v>18038</v>
      </c>
      <c r="B441" s="23" t="n">
        <v>45199</v>
      </c>
      <c r="C441" s="17" t="s">
        <v>128</v>
      </c>
      <c r="D441" s="17" t="s">
        <v>116</v>
      </c>
      <c r="E441" s="17" t="s">
        <v>118</v>
      </c>
      <c r="F441" s="17" t="n">
        <v>555533</v>
      </c>
      <c r="G441" s="17" t="n">
        <v>546006.25</v>
      </c>
      <c r="H441" s="17" t="n">
        <v>444746</v>
      </c>
      <c r="I441" s="17" t="n">
        <v>62652</v>
      </c>
      <c r="J441" s="17" t="n">
        <v>415810</v>
      </c>
      <c r="K441" s="17" t="n">
        <v>414810.5</v>
      </c>
      <c r="L441" s="17" t="n">
        <v>395105</v>
      </c>
      <c r="M441" s="17" t="n">
        <v>16653</v>
      </c>
      <c r="N441" s="17" t="n">
        <v>3686</v>
      </c>
      <c r="O441" s="17" t="n">
        <v>2136</v>
      </c>
      <c r="P441" s="17" t="n">
        <v>1391</v>
      </c>
      <c r="Q441" s="17" t="n">
        <v>10</v>
      </c>
      <c r="R441" s="17" t="n">
        <v>-25.3327</v>
      </c>
      <c r="S441" s="17" t="n">
        <v>0</v>
      </c>
      <c r="T441" s="17" t="n">
        <v>0</v>
      </c>
      <c r="U441" s="17" t="n">
        <v>-95.9976</v>
      </c>
      <c r="V441" s="17" t="n">
        <v>-0.0175817767653759</v>
      </c>
      <c r="W441" s="17" t="n">
        <v>-0.15</v>
      </c>
      <c r="X441" s="17" t="n">
        <v>2.50931095109534</v>
      </c>
      <c r="Y441" s="17" t="n">
        <v>1.00238089512037</v>
      </c>
      <c r="Z441" s="17" t="n">
        <v>0</v>
      </c>
      <c r="AA441" s="17" t="n">
        <v>11.2778178794059</v>
      </c>
      <c r="AB441" s="17" t="n">
        <v>12.7582833342806</v>
      </c>
      <c r="AC441" s="17" t="n">
        <v>7.74205751805375</v>
      </c>
      <c r="AD441" s="17" t="n">
        <v>15.0769644765407</v>
      </c>
      <c r="AE441" s="17" t="n">
        <v>1.05164268215113</v>
      </c>
      <c r="AF441" s="17" t="n">
        <v>-0.141001876670607</v>
      </c>
      <c r="AG441" s="18" t="n">
        <f aca="false">IFERROR(100*O441/F441,"")</f>
        <v>0.384495610521787</v>
      </c>
      <c r="AH441" s="18" t="n">
        <f aca="false">IFERROR(100*(P441+Q441)/F441,"")</f>
        <v>0.2521902389237</v>
      </c>
      <c r="AI441" s="18" t="n">
        <f aca="false">IFERROR(100*R441/K441,"")</f>
        <v>-0.00610705370283539</v>
      </c>
      <c r="AJ441" s="18" t="str">
        <f aca="false">IF(T441&gt;0,100*S441/T441,"")</f>
        <v/>
      </c>
      <c r="AK441" s="18" t="n">
        <f aca="false">IFERROR(100*U441/G441,"")</f>
        <v>-0.0175817767653759</v>
      </c>
      <c r="AL441" s="18" t="n">
        <f aca="false">IFERROR(100*J441/H441,"")</f>
        <v>93.4938144468978</v>
      </c>
      <c r="AM441" s="18" t="n">
        <f aca="false">IFERROR(100*L441/J441,"")</f>
        <v>95.0205622760395</v>
      </c>
      <c r="AN441" s="18" t="n">
        <f aca="false">IFERROR(100*M441/J441,"")</f>
        <v>4.00495418580602</v>
      </c>
      <c r="AO441" s="18" t="n">
        <f aca="false">IFERROR(100*N441/J441,"")</f>
        <v>0.88646256703783</v>
      </c>
    </row>
    <row r="442" customFormat="false" ht="15" hidden="false" customHeight="false" outlineLevel="0" collapsed="false">
      <c r="A442" s="17" t="n">
        <v>18038</v>
      </c>
      <c r="B442" s="23" t="n">
        <v>45291</v>
      </c>
      <c r="C442" s="17" t="s">
        <v>128</v>
      </c>
      <c r="D442" s="17" t="s">
        <v>116</v>
      </c>
      <c r="E442" s="17" t="s">
        <v>118</v>
      </c>
      <c r="F442" s="17" t="n">
        <v>552093</v>
      </c>
      <c r="G442" s="17" t="n">
        <v>547223.6</v>
      </c>
      <c r="H442" s="17" t="n">
        <v>419606</v>
      </c>
      <c r="I442" s="17" t="n">
        <v>66547</v>
      </c>
      <c r="J442" s="17" t="n">
        <v>418246</v>
      </c>
      <c r="K442" s="17" t="n">
        <v>415497.6</v>
      </c>
      <c r="L442" s="17" t="n">
        <v>392161</v>
      </c>
      <c r="M442" s="17" t="n">
        <v>21976</v>
      </c>
      <c r="N442" s="17" t="n">
        <v>3848</v>
      </c>
      <c r="O442" s="17" t="n">
        <v>2367</v>
      </c>
      <c r="P442" s="17" t="n">
        <v>822</v>
      </c>
      <c r="Q442" s="17" t="n">
        <v>0</v>
      </c>
      <c r="R442" s="17" t="n">
        <v>-77</v>
      </c>
      <c r="S442" s="17" t="n">
        <v>0</v>
      </c>
      <c r="T442" s="17" t="n">
        <v>0</v>
      </c>
      <c r="U442" s="17" t="n">
        <v>1707</v>
      </c>
      <c r="V442" s="17" t="n">
        <v>0.311938300906613</v>
      </c>
      <c r="W442" s="17" t="n">
        <v>2.64</v>
      </c>
      <c r="X442" s="17" t="n">
        <v>2.45051426504837</v>
      </c>
      <c r="Y442" s="17" t="n">
        <v>0.92744461393534</v>
      </c>
      <c r="Z442" s="17" t="n">
        <v>0</v>
      </c>
      <c r="AA442" s="17" t="n">
        <v>12.0535851749615</v>
      </c>
      <c r="AB442" s="17" t="n">
        <v>3.97623262646427</v>
      </c>
      <c r="AC442" s="17" t="n">
        <v>3.23926313736815</v>
      </c>
      <c r="AD442" s="17" t="n">
        <v>-3.01468395858999</v>
      </c>
      <c r="AE442" s="17" t="n">
        <v>0.5941788567034</v>
      </c>
      <c r="AF442" s="17" t="n">
        <v>0.0170405266477733</v>
      </c>
      <c r="AG442" s="18" t="n">
        <f aca="false">IFERROR(100*O442/F442,"")</f>
        <v>0.428732115784841</v>
      </c>
      <c r="AH442" s="18" t="n">
        <f aca="false">IFERROR(100*(P442+Q442)/F442,"")</f>
        <v>0.148887959093848</v>
      </c>
      <c r="AI442" s="18" t="n">
        <f aca="false">IFERROR(100*R442/K442,"")</f>
        <v>-0.0185319963340342</v>
      </c>
      <c r="AJ442" s="18" t="str">
        <f aca="false">IF(T442&gt;0,100*S442/T442,"")</f>
        <v/>
      </c>
      <c r="AK442" s="18" t="n">
        <f aca="false">IFERROR(100*U442/G442,"")</f>
        <v>0.311938300906613</v>
      </c>
      <c r="AL442" s="18" t="n">
        <f aca="false">IFERROR(100*J442/H442,"")</f>
        <v>99.6758864267909</v>
      </c>
      <c r="AM442" s="18" t="n">
        <f aca="false">IFERROR(100*L442/J442,"")</f>
        <v>93.7632398158022</v>
      </c>
      <c r="AN442" s="18" t="n">
        <f aca="false">IFERROR(100*M442/J442,"")</f>
        <v>5.25432401027147</v>
      </c>
      <c r="AO442" s="18" t="n">
        <f aca="false">IFERROR(100*N442/J442,"")</f>
        <v>0.920032708023508</v>
      </c>
    </row>
    <row r="443" customFormat="false" ht="15" hidden="false" customHeight="false" outlineLevel="0" collapsed="false">
      <c r="A443" s="17" t="n">
        <v>18038</v>
      </c>
      <c r="B443" s="23" t="n">
        <v>45382</v>
      </c>
      <c r="C443" s="17" t="s">
        <v>128</v>
      </c>
      <c r="D443" s="17" t="s">
        <v>116</v>
      </c>
      <c r="E443" s="17" t="s">
        <v>118</v>
      </c>
      <c r="F443" s="17" t="n">
        <v>522345</v>
      </c>
      <c r="G443" s="17" t="n">
        <v>537219</v>
      </c>
      <c r="H443" s="17" t="n">
        <v>409953</v>
      </c>
      <c r="I443" s="17" t="n">
        <v>65908</v>
      </c>
      <c r="J443" s="17" t="n">
        <v>416656</v>
      </c>
      <c r="K443" s="17" t="n">
        <v>417451</v>
      </c>
      <c r="L443" s="17" t="n">
        <v>389167</v>
      </c>
      <c r="M443" s="17" t="n">
        <v>23498</v>
      </c>
      <c r="N443" s="17" t="n">
        <v>3734</v>
      </c>
      <c r="O443" s="17" t="n">
        <v>2189</v>
      </c>
      <c r="P443" s="17" t="n">
        <v>1700</v>
      </c>
      <c r="Q443" s="17" t="n">
        <v>0</v>
      </c>
      <c r="R443" s="17" t="n">
        <v>-12</v>
      </c>
      <c r="S443" s="17" t="n">
        <v>0</v>
      </c>
      <c r="T443" s="17" t="n">
        <v>0</v>
      </c>
      <c r="U443" s="17" t="n">
        <v>5840</v>
      </c>
      <c r="V443" s="17" t="n">
        <v>1.0870799431889</v>
      </c>
      <c r="W443" s="17" t="n">
        <v>8.82</v>
      </c>
      <c r="X443" s="17" t="n">
        <v>2.4034256360768</v>
      </c>
      <c r="Y443" s="17" t="n">
        <v>0.932183863906916</v>
      </c>
      <c r="Z443" s="17" t="n">
        <v>0</v>
      </c>
      <c r="AA443" s="17" t="n">
        <v>12.6177143458825</v>
      </c>
      <c r="AB443" s="17" t="n">
        <v>-4.78442995887655</v>
      </c>
      <c r="AC443" s="17" t="n">
        <v>-0.393019364092762</v>
      </c>
      <c r="AD443" s="17" t="n">
        <v>-9.5958471068457</v>
      </c>
      <c r="AE443" s="17" t="n">
        <v>1.01668167424529</v>
      </c>
      <c r="AF443" s="17" t="n">
        <v>0.00546740483146363</v>
      </c>
      <c r="AG443" s="18" t="n">
        <f aca="false">IFERROR(100*O443/F443,"")</f>
        <v>0.419071686337574</v>
      </c>
      <c r="AH443" s="18" t="n">
        <f aca="false">IFERROR(100*(P443+Q443)/F443,"")</f>
        <v>0.325455398252113</v>
      </c>
      <c r="AI443" s="18" t="n">
        <f aca="false">IFERROR(100*R443/K443,"")</f>
        <v>-0.00287458887390376</v>
      </c>
      <c r="AJ443" s="18" t="str">
        <f aca="false">IF(T443&gt;0,100*S443/T443,"")</f>
        <v/>
      </c>
      <c r="AK443" s="18" t="n">
        <f aca="false">IFERROR(100*U443/G443,"")</f>
        <v>1.0870799431889</v>
      </c>
      <c r="AL443" s="18" t="n">
        <f aca="false">IFERROR(100*J443/H443,"")</f>
        <v>101.635065483116</v>
      </c>
      <c r="AM443" s="18" t="n">
        <f aca="false">IFERROR(100*L443/J443,"")</f>
        <v>93.4024711032602</v>
      </c>
      <c r="AN443" s="18" t="n">
        <f aca="false">IFERROR(100*M443/J443,"")</f>
        <v>5.63966437540801</v>
      </c>
      <c r="AO443" s="18" t="n">
        <f aca="false">IFERROR(100*N443/J443,"")</f>
        <v>0.896182942283322</v>
      </c>
    </row>
    <row r="444" customFormat="false" ht="15" hidden="false" customHeight="false" outlineLevel="0" collapsed="false">
      <c r="A444" s="17" t="n">
        <v>18038</v>
      </c>
      <c r="B444" s="23" t="n">
        <v>45473</v>
      </c>
      <c r="C444" s="17" t="s">
        <v>128</v>
      </c>
      <c r="D444" s="17" t="s">
        <v>116</v>
      </c>
      <c r="E444" s="17" t="s">
        <v>118</v>
      </c>
      <c r="F444" s="17" t="n">
        <v>528195</v>
      </c>
      <c r="G444" s="17" t="n">
        <v>534211</v>
      </c>
      <c r="H444" s="17" t="n">
        <v>406919</v>
      </c>
      <c r="I444" s="17" t="n">
        <v>66574</v>
      </c>
      <c r="J444" s="17" t="n">
        <v>417854</v>
      </c>
      <c r="K444" s="17" t="n">
        <v>417585.333333333</v>
      </c>
      <c r="L444" s="17" t="n">
        <v>385504</v>
      </c>
      <c r="M444" s="17" t="n">
        <v>27415</v>
      </c>
      <c r="N444" s="17" t="n">
        <v>4069</v>
      </c>
      <c r="O444" s="17" t="n">
        <v>2632</v>
      </c>
      <c r="P444" s="17" t="n">
        <v>1085</v>
      </c>
      <c r="Q444" s="17" t="n">
        <v>0</v>
      </c>
      <c r="R444" s="17" t="n">
        <v>-8</v>
      </c>
      <c r="S444" s="17" t="n">
        <v>0</v>
      </c>
      <c r="T444" s="17" t="n">
        <v>0</v>
      </c>
      <c r="U444" s="17" t="n">
        <v>3500</v>
      </c>
      <c r="V444" s="17" t="n">
        <v>0.655171832852562</v>
      </c>
      <c r="W444" s="17" t="n">
        <v>5.28</v>
      </c>
      <c r="X444" s="17" t="n">
        <v>2.45039463696265</v>
      </c>
      <c r="Y444" s="17" t="n">
        <v>0.938844668233402</v>
      </c>
      <c r="Z444" s="17" t="n">
        <v>0</v>
      </c>
      <c r="AA444" s="17" t="n">
        <v>12.6040572137184</v>
      </c>
      <c r="AB444" s="17" t="n">
        <v>-3.77559571522262</v>
      </c>
      <c r="AC444" s="17" t="n">
        <v>-0.513084243432882</v>
      </c>
      <c r="AD444" s="17" t="n">
        <v>-5.2725063319428</v>
      </c>
      <c r="AE444" s="17" t="n">
        <v>0.266468664522598</v>
      </c>
      <c r="AF444" s="17" t="n">
        <v>0.0851258551900811</v>
      </c>
      <c r="AG444" s="18" t="n">
        <f aca="false">IFERROR(100*O444/F444,"")</f>
        <v>0.49830081693314</v>
      </c>
      <c r="AH444" s="18" t="n">
        <f aca="false">IFERROR(100*(P444+Q444)/F444,"")</f>
        <v>0.205416560171906</v>
      </c>
      <c r="AI444" s="18" t="n">
        <f aca="false">IFERROR(100*R444/K444,"")</f>
        <v>-0.00191577609686164</v>
      </c>
      <c r="AJ444" s="18" t="str">
        <f aca="false">IF(T444&gt;0,100*S444/T444,"")</f>
        <v/>
      </c>
      <c r="AK444" s="18" t="n">
        <f aca="false">IFERROR(100*U444/G444,"")</f>
        <v>0.655171832852562</v>
      </c>
      <c r="AL444" s="18" t="n">
        <f aca="false">IFERROR(100*J444/H444,"")</f>
        <v>102.687266999083</v>
      </c>
      <c r="AM444" s="18" t="n">
        <f aca="false">IFERROR(100*L444/J444,"")</f>
        <v>92.2580614281543</v>
      </c>
      <c r="AN444" s="18" t="n">
        <f aca="false">IFERROR(100*M444/J444,"")</f>
        <v>6.56090404782532</v>
      </c>
      <c r="AO444" s="18" t="n">
        <f aca="false">IFERROR(100*N444/J444,"")</f>
        <v>0.973785101973417</v>
      </c>
    </row>
    <row r="445" customFormat="false" ht="15" hidden="false" customHeight="false" outlineLevel="0" collapsed="false">
      <c r="A445" s="17" t="n">
        <v>18038</v>
      </c>
      <c r="B445" s="23" t="n">
        <v>45565</v>
      </c>
      <c r="C445" s="17" t="s">
        <v>128</v>
      </c>
      <c r="D445" s="17" t="s">
        <v>116</v>
      </c>
      <c r="E445" s="17" t="s">
        <v>118</v>
      </c>
      <c r="F445" s="17" t="n">
        <v>578941</v>
      </c>
      <c r="G445" s="17" t="n">
        <v>545393.5</v>
      </c>
      <c r="H445" s="17" t="n">
        <v>436224</v>
      </c>
      <c r="I445" s="17" t="n">
        <v>68568</v>
      </c>
      <c r="J445" s="17" t="n">
        <v>419953</v>
      </c>
      <c r="K445" s="17" t="n">
        <v>418177.25</v>
      </c>
      <c r="L445" s="17" t="n">
        <v>385462</v>
      </c>
      <c r="M445" s="17" t="n">
        <v>28944</v>
      </c>
      <c r="N445" s="17" t="n">
        <v>4689</v>
      </c>
      <c r="O445" s="17" t="n">
        <v>2472</v>
      </c>
      <c r="P445" s="17" t="n">
        <v>765</v>
      </c>
      <c r="Q445" s="17" t="n">
        <v>0</v>
      </c>
      <c r="R445" s="17" t="n">
        <v>-11.9997</v>
      </c>
      <c r="S445" s="17" t="n">
        <v>0</v>
      </c>
      <c r="T445" s="17" t="n">
        <v>0</v>
      </c>
      <c r="U445" s="17" t="n">
        <v>2618.6012</v>
      </c>
      <c r="V445" s="17" t="n">
        <v>0.480130621285366</v>
      </c>
      <c r="W445" s="17" t="n">
        <v>3.91</v>
      </c>
      <c r="X445" s="17" t="n">
        <v>2.50311359932842</v>
      </c>
      <c r="Y445" s="17" t="n">
        <v>0.933914033237053</v>
      </c>
      <c r="Z445" s="17" t="n">
        <v>0</v>
      </c>
      <c r="AA445" s="17" t="n">
        <v>11.8436939169967</v>
      </c>
      <c r="AB445" s="17" t="n">
        <v>4.21361107260956</v>
      </c>
      <c r="AC445" s="17" t="n">
        <v>0.996368533705305</v>
      </c>
      <c r="AD445" s="17" t="n">
        <v>-1.91614989229808</v>
      </c>
      <c r="AE445" s="17" t="n">
        <v>0.497712398050741</v>
      </c>
      <c r="AF445" s="17" t="n">
        <v>0.0424909045116964</v>
      </c>
      <c r="AG445" s="18" t="n">
        <f aca="false">IFERROR(100*O445/F445,"")</f>
        <v>0.426986515033484</v>
      </c>
      <c r="AH445" s="18" t="n">
        <f aca="false">IFERROR(100*(P445+Q445)/F445,"")</f>
        <v>0.132137817152352</v>
      </c>
      <c r="AI445" s="18" t="n">
        <f aca="false">IFERROR(100*R445/K445,"")</f>
        <v>-0.00286952482470053</v>
      </c>
      <c r="AJ445" s="18" t="str">
        <f aca="false">IF(T445&gt;0,100*S445/T445,"")</f>
        <v/>
      </c>
      <c r="AK445" s="18" t="n">
        <f aca="false">IFERROR(100*U445/G445,"")</f>
        <v>0.480130621285366</v>
      </c>
      <c r="AL445" s="18" t="n">
        <f aca="false">IFERROR(100*J445/H445,"")</f>
        <v>96.2700355780517</v>
      </c>
      <c r="AM445" s="18" t="n">
        <f aca="false">IFERROR(100*L445/J445,"")</f>
        <v>91.7869380621165</v>
      </c>
      <c r="AN445" s="18" t="n">
        <f aca="false">IFERROR(100*M445/J445,"")</f>
        <v>6.89219984141082</v>
      </c>
      <c r="AO445" s="18" t="n">
        <f aca="false">IFERROR(100*N445/J445,"")</f>
        <v>1.11655351908428</v>
      </c>
    </row>
    <row r="446" customFormat="false" ht="15" hidden="false" customHeight="false" outlineLevel="0" collapsed="false">
      <c r="A446" s="17" t="n">
        <v>18038</v>
      </c>
      <c r="B446" s="23" t="n">
        <v>45657</v>
      </c>
      <c r="C446" s="17" t="s">
        <v>128</v>
      </c>
      <c r="D446" s="17" t="s">
        <v>116</v>
      </c>
      <c r="E446" s="17" t="s">
        <v>118</v>
      </c>
      <c r="F446" s="17" t="n">
        <v>559057</v>
      </c>
      <c r="G446" s="17" t="n">
        <v>548126.2</v>
      </c>
      <c r="H446" s="17" t="n">
        <v>417615</v>
      </c>
      <c r="I446" s="17" t="n">
        <v>67734</v>
      </c>
      <c r="J446" s="17" t="n">
        <v>433853</v>
      </c>
      <c r="K446" s="17" t="n">
        <v>421312.4</v>
      </c>
      <c r="L446" s="17" t="n">
        <v>399538</v>
      </c>
      <c r="M446" s="17" t="n">
        <v>27975</v>
      </c>
      <c r="N446" s="17" t="n">
        <v>4139</v>
      </c>
      <c r="O446" s="17" t="n">
        <v>2689</v>
      </c>
      <c r="P446" s="17" t="n">
        <v>2946</v>
      </c>
      <c r="Q446" s="17" t="n">
        <v>0</v>
      </c>
      <c r="R446" s="17" t="n">
        <v>-13</v>
      </c>
      <c r="S446" s="17" t="n">
        <v>0</v>
      </c>
      <c r="T446" s="17" t="n">
        <v>0</v>
      </c>
      <c r="U446" s="17" t="n">
        <v>2511</v>
      </c>
      <c r="V446" s="17" t="n">
        <v>0.458106180656936</v>
      </c>
      <c r="W446" s="17" t="n">
        <v>3.74</v>
      </c>
      <c r="X446" s="17" t="n">
        <v>2.56009626632644</v>
      </c>
      <c r="Y446" s="17" t="n">
        <v>0.906067262413767</v>
      </c>
      <c r="Z446" s="17" t="n">
        <v>0</v>
      </c>
      <c r="AA446" s="17" t="n">
        <v>12.1157592159655</v>
      </c>
      <c r="AB446" s="17" t="n">
        <v>1.26138168750554</v>
      </c>
      <c r="AC446" s="17" t="n">
        <v>3.73153598599867</v>
      </c>
      <c r="AD446" s="17" t="n">
        <v>-0.474492738426047</v>
      </c>
      <c r="AE446" s="17" t="n">
        <v>0.146167879750323</v>
      </c>
      <c r="AF446" s="17" t="n">
        <v>0.0522564059580228</v>
      </c>
      <c r="AG446" s="18" t="n">
        <f aca="false">IFERROR(100*O446/F446,"")</f>
        <v>0.480988521742863</v>
      </c>
      <c r="AH446" s="18" t="n">
        <f aca="false">IFERROR(100*(P446+Q446)/F446,"")</f>
        <v>0.526958789533089</v>
      </c>
      <c r="AI446" s="18" t="n">
        <f aca="false">IFERROR(100*R446/K446,"")</f>
        <v>-0.00308559634133721</v>
      </c>
      <c r="AJ446" s="18" t="str">
        <f aca="false">IF(T446&gt;0,100*S446/T446,"")</f>
        <v/>
      </c>
      <c r="AK446" s="18" t="n">
        <f aca="false">IFERROR(100*U446/G446,"")</f>
        <v>0.458106180656936</v>
      </c>
      <c r="AL446" s="18" t="n">
        <f aca="false">IFERROR(100*J446/H446,"")</f>
        <v>103.888270296804</v>
      </c>
      <c r="AM446" s="18" t="n">
        <f aca="false">IFERROR(100*L446/J446,"")</f>
        <v>92.0906389952357</v>
      </c>
      <c r="AN446" s="18" t="n">
        <f aca="false">IFERROR(100*M446/J446,"")</f>
        <v>6.44803654694101</v>
      </c>
      <c r="AO446" s="18" t="n">
        <f aca="false">IFERROR(100*N446/J446,"")</f>
        <v>0.954009768285571</v>
      </c>
    </row>
    <row r="447" customFormat="false" ht="15" hidden="false" customHeight="false" outlineLevel="0" collapsed="false">
      <c r="A447" s="17" t="n">
        <v>18038</v>
      </c>
      <c r="B447" s="23" t="n">
        <v>45747</v>
      </c>
      <c r="C447" s="17" t="s">
        <v>128</v>
      </c>
      <c r="D447" s="17" t="s">
        <v>116</v>
      </c>
      <c r="E447" s="17" t="s">
        <v>118</v>
      </c>
      <c r="F447" s="17" t="n">
        <v>575681</v>
      </c>
      <c r="G447" s="17" t="n">
        <v>567369</v>
      </c>
      <c r="H447" s="17" t="n">
        <v>443411</v>
      </c>
      <c r="I447" s="17" t="n">
        <v>68850</v>
      </c>
      <c r="J447" s="17" t="n">
        <v>454723</v>
      </c>
      <c r="K447" s="17" t="n">
        <v>444288</v>
      </c>
      <c r="L447" s="17" t="n">
        <v>417170</v>
      </c>
      <c r="M447" s="17" t="n">
        <v>31307</v>
      </c>
      <c r="N447" s="17" t="n">
        <v>4078</v>
      </c>
      <c r="O447" s="17" t="n">
        <v>2863</v>
      </c>
      <c r="P447" s="17" t="n">
        <v>2982</v>
      </c>
      <c r="Q447" s="17" t="n">
        <v>0</v>
      </c>
      <c r="R447" s="17" t="n">
        <v>-204</v>
      </c>
      <c r="S447" s="17" t="n">
        <v>0</v>
      </c>
      <c r="T447" s="17" t="n">
        <v>0</v>
      </c>
      <c r="U447" s="17" t="n">
        <v>1376</v>
      </c>
      <c r="V447" s="17" t="n">
        <v>0.242522943622228</v>
      </c>
      <c r="W447" s="17" t="n">
        <v>2.01</v>
      </c>
      <c r="X447" s="17" t="n">
        <v>2.82748541050406</v>
      </c>
      <c r="Y447" s="17" t="n">
        <v>0.893071166402403</v>
      </c>
      <c r="Z447" s="17" t="n">
        <v>0</v>
      </c>
      <c r="AA447" s="17" t="n">
        <v>11.9597485412928</v>
      </c>
      <c r="AB447" s="17" t="n">
        <v>10.2108759536322</v>
      </c>
      <c r="AC447" s="17" t="n">
        <v>9.13631388963558</v>
      </c>
      <c r="AD447" s="17" t="n">
        <v>8.16142338268044</v>
      </c>
      <c r="AE447" s="17" t="n">
        <v>-0.844556999566676</v>
      </c>
      <c r="AF447" s="17" t="n">
        <v>0.0782523524964333</v>
      </c>
      <c r="AG447" s="18" t="n">
        <f aca="false">IFERROR(100*O447/F447,"")</f>
        <v>0.497324038834007</v>
      </c>
      <c r="AH447" s="18" t="n">
        <f aca="false">IFERROR(100*(P447+Q447)/F447,"")</f>
        <v>0.517995209152291</v>
      </c>
      <c r="AI447" s="18" t="n">
        <f aca="false">IFERROR(100*R447/K447,"")</f>
        <v>-0.0459161624891962</v>
      </c>
      <c r="AJ447" s="18" t="str">
        <f aca="false">IF(T447&gt;0,100*S447/T447,"")</f>
        <v/>
      </c>
      <c r="AK447" s="18" t="n">
        <f aca="false">IFERROR(100*U447/G447,"")</f>
        <v>0.242522943622228</v>
      </c>
      <c r="AL447" s="18" t="n">
        <f aca="false">IFERROR(100*J447/H447,"")</f>
        <v>102.551132019729</v>
      </c>
      <c r="AM447" s="18" t="n">
        <f aca="false">IFERROR(100*L447/J447,"")</f>
        <v>91.7415657444202</v>
      </c>
      <c r="AN447" s="18" t="n">
        <f aca="false">IFERROR(100*M447/J447,"")</f>
        <v>6.88485077728639</v>
      </c>
      <c r="AO447" s="18" t="n">
        <f aca="false">IFERROR(100*N447/J447,"")</f>
        <v>0.896809706128786</v>
      </c>
    </row>
    <row r="448" customFormat="false" ht="15" hidden="false" customHeight="false" outlineLevel="0" collapsed="false">
      <c r="A448" s="17" t="n">
        <v>18038</v>
      </c>
      <c r="B448" s="23" t="n">
        <v>45838</v>
      </c>
      <c r="C448" s="17" t="s">
        <v>128</v>
      </c>
      <c r="D448" s="17" t="s">
        <v>116</v>
      </c>
      <c r="E448" s="17" t="s">
        <v>118</v>
      </c>
      <c r="F448" s="17" t="n">
        <v>597834</v>
      </c>
      <c r="G448" s="17" t="n">
        <v>577524</v>
      </c>
      <c r="H448" s="17" t="n">
        <v>447963</v>
      </c>
      <c r="I448" s="17" t="n">
        <v>69475</v>
      </c>
      <c r="J448" s="17" t="n">
        <v>458530</v>
      </c>
      <c r="K448" s="17" t="n">
        <v>449035.333333333</v>
      </c>
      <c r="L448" s="17" t="n">
        <v>420497</v>
      </c>
      <c r="M448" s="17" t="n">
        <v>30598</v>
      </c>
      <c r="N448" s="17" t="n">
        <v>4861</v>
      </c>
      <c r="O448" s="17" t="n">
        <v>2194</v>
      </c>
      <c r="P448" s="17" t="n">
        <v>950</v>
      </c>
      <c r="Q448" s="17" t="n">
        <v>0</v>
      </c>
      <c r="R448" s="17" t="n">
        <v>-108</v>
      </c>
      <c r="S448" s="17" t="n">
        <v>0</v>
      </c>
      <c r="T448" s="17" t="n">
        <v>0</v>
      </c>
      <c r="U448" s="17" t="n">
        <v>2460</v>
      </c>
      <c r="V448" s="17" t="n">
        <v>0.425956323893033</v>
      </c>
      <c r="W448" s="17" t="n">
        <v>3.58</v>
      </c>
      <c r="X448" s="17" t="n">
        <v>2.89442109724558</v>
      </c>
      <c r="Y448" s="17" t="n">
        <v>0.859485747933614</v>
      </c>
      <c r="Z448" s="17" t="n">
        <v>0</v>
      </c>
      <c r="AA448" s="17" t="n">
        <v>11.621118905917</v>
      </c>
      <c r="AB448" s="17" t="n">
        <v>13.1843353307017</v>
      </c>
      <c r="AC448" s="17" t="n">
        <v>9.73450056718375</v>
      </c>
      <c r="AD448" s="17" t="n">
        <v>10.0865282771264</v>
      </c>
      <c r="AE448" s="17" t="n">
        <v>-0.229215508959529</v>
      </c>
      <c r="AF448" s="17" t="n">
        <v>-0.131309310929802</v>
      </c>
      <c r="AG448" s="18" t="n">
        <f aca="false">IFERROR(100*O448/F448,"")</f>
        <v>0.366991506003339</v>
      </c>
      <c r="AH448" s="18" t="n">
        <f aca="false">IFERROR(100*(P448+Q448)/F448,"")</f>
        <v>0.158906987558419</v>
      </c>
      <c r="AI448" s="18" t="n">
        <f aca="false">IFERROR(100*R448/K448,"")</f>
        <v>-0.0240515594170021</v>
      </c>
      <c r="AJ448" s="18" t="str">
        <f aca="false">IF(T448&gt;0,100*S448/T448,"")</f>
        <v/>
      </c>
      <c r="AK448" s="18" t="n">
        <f aca="false">IFERROR(100*U448/G448,"")</f>
        <v>0.425956323893033</v>
      </c>
      <c r="AL448" s="18" t="n">
        <f aca="false">IFERROR(100*J448/H448,"")</f>
        <v>102.358900177024</v>
      </c>
      <c r="AM448" s="18" t="n">
        <f aca="false">IFERROR(100*L448/J448,"")</f>
        <v>91.7054500250802</v>
      </c>
      <c r="AN448" s="18" t="n">
        <f aca="false">IFERROR(100*M448/J448,"")</f>
        <v>6.6730639216627</v>
      </c>
      <c r="AO448" s="18" t="n">
        <f aca="false">IFERROR(100*N448/J448,"")</f>
        <v>1.06012692735481</v>
      </c>
    </row>
    <row r="449" customFormat="false" ht="15" hidden="false" customHeight="false" outlineLevel="0" collapsed="false">
      <c r="A449" s="17" t="n">
        <v>18408</v>
      </c>
      <c r="B449" s="23" t="n">
        <v>44651</v>
      </c>
      <c r="C449" s="17" t="s">
        <v>107</v>
      </c>
      <c r="D449" s="17" t="s">
        <v>108</v>
      </c>
      <c r="E449" s="17" t="s">
        <v>109</v>
      </c>
      <c r="F449" s="17" t="n">
        <v>6919263</v>
      </c>
      <c r="G449" s="17" t="n">
        <v>6914157</v>
      </c>
      <c r="H449" s="17" t="n">
        <v>5759296</v>
      </c>
      <c r="I449" s="17" t="n">
        <v>446779</v>
      </c>
      <c r="J449" s="17" t="n">
        <v>3977154</v>
      </c>
      <c r="K449" s="17" t="n">
        <v>3974078</v>
      </c>
      <c r="L449" s="17" t="n">
        <v>3596517</v>
      </c>
      <c r="M449" s="17" t="n">
        <v>286708</v>
      </c>
      <c r="N449" s="17" t="n">
        <v>28127</v>
      </c>
      <c r="O449" s="17" t="n">
        <v>4978</v>
      </c>
      <c r="P449" s="17" t="n">
        <v>3765</v>
      </c>
      <c r="Q449" s="17" t="n">
        <v>0</v>
      </c>
      <c r="R449" s="17" t="n">
        <v>728</v>
      </c>
      <c r="S449" s="17" t="n">
        <v>548262</v>
      </c>
      <c r="T449" s="17" t="n">
        <v>4177773</v>
      </c>
      <c r="U449" s="17" t="n">
        <v>41440</v>
      </c>
      <c r="V449" s="17" t="n">
        <v>0.599350000296493</v>
      </c>
      <c r="W449" s="17" t="n">
        <v>8.39</v>
      </c>
      <c r="X449" s="17" t="n">
        <v>2.73721410817608</v>
      </c>
      <c r="Y449" s="17" t="n">
        <v>1.24362798121471</v>
      </c>
      <c r="Z449" s="17" t="n">
        <v>13.1233075612294</v>
      </c>
      <c r="AA449" s="17" t="n">
        <v>6.45703162316565</v>
      </c>
      <c r="AB449" s="17"/>
      <c r="AC449" s="17"/>
      <c r="AD449" s="17"/>
      <c r="AE449" s="17"/>
      <c r="AF449" s="17"/>
      <c r="AG449" s="18" t="n">
        <f aca="false">IFERROR(100*O449/F449,"")</f>
        <v>0.0719440784372555</v>
      </c>
      <c r="AH449" s="18" t="n">
        <f aca="false">IFERROR(100*(P449+Q449)/F449,"")</f>
        <v>0.0544133096256061</v>
      </c>
      <c r="AI449" s="18" t="n">
        <f aca="false">IFERROR(100*R449/K449,"")</f>
        <v>0.0183187144288562</v>
      </c>
      <c r="AJ449" s="18" t="n">
        <f aca="false">IF(T449&gt;0,100*S449/T449,"")</f>
        <v>13.1233075612294</v>
      </c>
      <c r="AK449" s="18" t="n">
        <f aca="false">IFERROR(100*U449/G449,"")</f>
        <v>0.599350000296493</v>
      </c>
      <c r="AL449" s="18" t="n">
        <f aca="false">IFERROR(100*J449/H449,"")</f>
        <v>69.0562527086644</v>
      </c>
      <c r="AM449" s="18" t="n">
        <f aca="false">IFERROR(100*L449/J449,"")</f>
        <v>90.4294125900078</v>
      </c>
      <c r="AN449" s="18" t="n">
        <f aca="false">IFERROR(100*M449/J449,"")</f>
        <v>7.20887348088608</v>
      </c>
      <c r="AO449" s="18" t="n">
        <f aca="false">IFERROR(100*N449/J449,"")</f>
        <v>0.707214254212937</v>
      </c>
    </row>
    <row r="450" customFormat="false" ht="15" hidden="false" customHeight="false" outlineLevel="0" collapsed="false">
      <c r="A450" s="17" t="n">
        <v>18408</v>
      </c>
      <c r="B450" s="23" t="n">
        <v>44742</v>
      </c>
      <c r="C450" s="17" t="s">
        <v>107</v>
      </c>
      <c r="D450" s="17" t="s">
        <v>108</v>
      </c>
      <c r="E450" s="17" t="s">
        <v>109</v>
      </c>
      <c r="F450" s="17" t="n">
        <v>7044628</v>
      </c>
      <c r="G450" s="17" t="n">
        <v>6957647.33333333</v>
      </c>
      <c r="H450" s="17" t="n">
        <v>5698679</v>
      </c>
      <c r="I450" s="17" t="n">
        <v>400181</v>
      </c>
      <c r="J450" s="17" t="n">
        <v>4218417</v>
      </c>
      <c r="K450" s="17" t="n">
        <v>4055524.33333333</v>
      </c>
      <c r="L450" s="17" t="n">
        <v>3811693</v>
      </c>
      <c r="M450" s="17" t="n">
        <v>300704</v>
      </c>
      <c r="N450" s="17" t="n">
        <v>28143</v>
      </c>
      <c r="O450" s="17" t="n">
        <v>3286</v>
      </c>
      <c r="P450" s="17" t="n">
        <v>2128</v>
      </c>
      <c r="Q450" s="17" t="n">
        <v>0</v>
      </c>
      <c r="R450" s="17" t="n">
        <v>660</v>
      </c>
      <c r="S450" s="17" t="n">
        <v>556541</v>
      </c>
      <c r="T450" s="17" t="n">
        <v>4404524</v>
      </c>
      <c r="U450" s="17" t="n">
        <v>47572</v>
      </c>
      <c r="V450" s="17" t="n">
        <v>0.683736868525769</v>
      </c>
      <c r="W450" s="17" t="n">
        <v>10.28</v>
      </c>
      <c r="X450" s="17" t="n">
        <v>2.71187008580479</v>
      </c>
      <c r="Y450" s="17" t="n">
        <v>1.05044143336233</v>
      </c>
      <c r="Z450" s="17" t="n">
        <v>12.6356673275024</v>
      </c>
      <c r="AA450" s="17" t="n">
        <v>5.68065481953057</v>
      </c>
      <c r="AB450" s="17"/>
      <c r="AC450" s="17"/>
      <c r="AD450" s="17"/>
      <c r="AE450" s="17"/>
      <c r="AF450" s="17"/>
      <c r="AG450" s="18" t="n">
        <f aca="false">IFERROR(100*O450/F450,"")</f>
        <v>0.0466454722662432</v>
      </c>
      <c r="AH450" s="18" t="n">
        <f aca="false">IFERROR(100*(P450+Q450)/F450,"")</f>
        <v>0.0302074147847126</v>
      </c>
      <c r="AI450" s="18" t="n">
        <f aca="false">IFERROR(100*R450/K450,"")</f>
        <v>0.0162740978910002</v>
      </c>
      <c r="AJ450" s="18" t="n">
        <f aca="false">IF(T450&gt;0,100*S450/T450,"")</f>
        <v>12.6356673275024</v>
      </c>
      <c r="AK450" s="18" t="n">
        <f aca="false">IFERROR(100*U450/G450,"")</f>
        <v>0.683736868525769</v>
      </c>
      <c r="AL450" s="18" t="n">
        <f aca="false">IFERROR(100*J450/H450,"")</f>
        <v>74.0244712853628</v>
      </c>
      <c r="AM450" s="18" t="n">
        <f aca="false">IFERROR(100*L450/J450,"")</f>
        <v>90.3583737691177</v>
      </c>
      <c r="AN450" s="18" t="n">
        <f aca="false">IFERROR(100*M450/J450,"")</f>
        <v>7.12836118382796</v>
      </c>
      <c r="AO450" s="18" t="n">
        <f aca="false">IFERROR(100*N450/J450,"")</f>
        <v>0.667145993390412</v>
      </c>
    </row>
    <row r="451" customFormat="false" ht="15" hidden="false" customHeight="false" outlineLevel="0" collapsed="false">
      <c r="A451" s="17" t="n">
        <v>18408</v>
      </c>
      <c r="B451" s="23" t="n">
        <v>44834</v>
      </c>
      <c r="C451" s="17" t="s">
        <v>107</v>
      </c>
      <c r="D451" s="17" t="s">
        <v>108</v>
      </c>
      <c r="E451" s="17" t="s">
        <v>109</v>
      </c>
      <c r="F451" s="17" t="n">
        <v>7207176</v>
      </c>
      <c r="G451" s="17" t="n">
        <v>7020029.5</v>
      </c>
      <c r="H451" s="17" t="n">
        <v>5866760</v>
      </c>
      <c r="I451" s="17" t="n">
        <v>323363</v>
      </c>
      <c r="J451" s="17" t="n">
        <v>4500880</v>
      </c>
      <c r="K451" s="17" t="n">
        <v>4166863.25</v>
      </c>
      <c r="L451" s="17" t="n">
        <v>4105596</v>
      </c>
      <c r="M451" s="17" t="n">
        <v>297616</v>
      </c>
      <c r="N451" s="17" t="n">
        <v>28938</v>
      </c>
      <c r="O451" s="17" t="n">
        <v>2950</v>
      </c>
      <c r="P451" s="17" t="n">
        <v>1920</v>
      </c>
      <c r="Q451" s="17" t="n">
        <v>0</v>
      </c>
      <c r="R451" s="17" t="n">
        <v>357.3244</v>
      </c>
      <c r="S451" s="17" t="n">
        <v>559898</v>
      </c>
      <c r="T451" s="17" t="n">
        <v>4673394</v>
      </c>
      <c r="U451" s="17" t="n">
        <v>54553.3028</v>
      </c>
      <c r="V451" s="17" t="n">
        <v>0.777109309868285</v>
      </c>
      <c r="W451" s="17" t="n">
        <v>12.75</v>
      </c>
      <c r="X451" s="17" t="n">
        <v>2.6901115457965</v>
      </c>
      <c r="Y451" s="17" t="n">
        <v>0.874806704466682</v>
      </c>
      <c r="Z451" s="17" t="n">
        <v>11.9805434765398</v>
      </c>
      <c r="AA451" s="17" t="n">
        <v>4.48668105232896</v>
      </c>
      <c r="AB451" s="17"/>
      <c r="AC451" s="17"/>
      <c r="AD451" s="17"/>
      <c r="AE451" s="17"/>
      <c r="AF451" s="17"/>
      <c r="AG451" s="18" t="n">
        <f aca="false">IFERROR(100*O451/F451,"")</f>
        <v>0.0409314272330799</v>
      </c>
      <c r="AH451" s="18" t="n">
        <f aca="false">IFERROR(100*(P451+Q451)/F451,"")</f>
        <v>0.0266401153516995</v>
      </c>
      <c r="AI451" s="18" t="n">
        <f aca="false">IFERROR(100*R451/K451,"")</f>
        <v>0.00857538101352378</v>
      </c>
      <c r="AJ451" s="18" t="n">
        <f aca="false">IF(T451&gt;0,100*S451/T451,"")</f>
        <v>11.9805434765397</v>
      </c>
      <c r="AK451" s="18" t="n">
        <f aca="false">IFERROR(100*U451/G451,"")</f>
        <v>0.777109309868285</v>
      </c>
      <c r="AL451" s="18" t="n">
        <f aca="false">IFERROR(100*J451/H451,"")</f>
        <v>76.7183249357397</v>
      </c>
      <c r="AM451" s="18" t="n">
        <f aca="false">IFERROR(100*L451/J451,"")</f>
        <v>91.2176285526386</v>
      </c>
      <c r="AN451" s="18" t="n">
        <f aca="false">IFERROR(100*M451/J451,"")</f>
        <v>6.61239579815503</v>
      </c>
      <c r="AO451" s="18" t="n">
        <f aca="false">IFERROR(100*N451/J451,"")</f>
        <v>0.642940935994739</v>
      </c>
    </row>
    <row r="452" customFormat="false" ht="15" hidden="false" customHeight="false" outlineLevel="0" collapsed="false">
      <c r="A452" s="17" t="n">
        <v>18408</v>
      </c>
      <c r="B452" s="23" t="n">
        <v>44926</v>
      </c>
      <c r="C452" s="17" t="s">
        <v>107</v>
      </c>
      <c r="D452" s="17" t="s">
        <v>108</v>
      </c>
      <c r="E452" s="17" t="s">
        <v>109</v>
      </c>
      <c r="F452" s="17" t="n">
        <v>7377141</v>
      </c>
      <c r="G452" s="17" t="n">
        <v>7091451.8</v>
      </c>
      <c r="H452" s="17" t="n">
        <v>5909658</v>
      </c>
      <c r="I452" s="17" t="n">
        <v>349062</v>
      </c>
      <c r="J452" s="17" t="n">
        <v>4697324</v>
      </c>
      <c r="K452" s="17" t="n">
        <v>4272955.4</v>
      </c>
      <c r="L452" s="17" t="n">
        <v>4276244</v>
      </c>
      <c r="M452" s="17" t="n">
        <v>320720</v>
      </c>
      <c r="N452" s="17" t="n">
        <v>29697</v>
      </c>
      <c r="O452" s="17" t="n">
        <v>5657</v>
      </c>
      <c r="P452" s="17" t="n">
        <v>7442</v>
      </c>
      <c r="Q452" s="17" t="n">
        <v>0</v>
      </c>
      <c r="R452" s="17" t="n">
        <v>246</v>
      </c>
      <c r="S452" s="17" t="n">
        <v>568610</v>
      </c>
      <c r="T452" s="17" t="n">
        <v>4832472</v>
      </c>
      <c r="U452" s="17" t="n">
        <v>51037</v>
      </c>
      <c r="V452" s="17" t="n">
        <v>0.719697481409942</v>
      </c>
      <c r="W452" s="17" t="n">
        <v>12.38</v>
      </c>
      <c r="X452" s="17" t="n">
        <v>2.63715336998131</v>
      </c>
      <c r="Y452" s="17" t="n">
        <v>0.806778497714869</v>
      </c>
      <c r="Z452" s="17" t="n">
        <v>11.766441688643</v>
      </c>
      <c r="AA452" s="17" t="n">
        <v>4.73167043980859</v>
      </c>
      <c r="AB452" s="17"/>
      <c r="AC452" s="17"/>
      <c r="AD452" s="17"/>
      <c r="AE452" s="17"/>
      <c r="AF452" s="17"/>
      <c r="AG452" s="18" t="n">
        <f aca="false">IFERROR(100*O452/F452,"")</f>
        <v>0.0766828233322367</v>
      </c>
      <c r="AH452" s="18" t="n">
        <f aca="false">IFERROR(100*(P452+Q452)/F452,"")</f>
        <v>0.100879188834807</v>
      </c>
      <c r="AI452" s="18" t="n">
        <f aca="false">IFERROR(100*R452/K452,"")</f>
        <v>0.00575713942626221</v>
      </c>
      <c r="AJ452" s="18" t="n">
        <f aca="false">IF(T452&gt;0,100*S452/T452,"")</f>
        <v>11.766441688643</v>
      </c>
      <c r="AK452" s="18" t="n">
        <f aca="false">IFERROR(100*U452/G452,"")</f>
        <v>0.719697481409942</v>
      </c>
      <c r="AL452" s="18" t="n">
        <f aca="false">IFERROR(100*J452/H452,"")</f>
        <v>79.4855472177916</v>
      </c>
      <c r="AM452" s="18" t="n">
        <f aca="false">IFERROR(100*L452/J452,"")</f>
        <v>91.0357471615754</v>
      </c>
      <c r="AN452" s="18" t="n">
        <f aca="false">IFERROR(100*M452/J452,"")</f>
        <v>6.82771722793659</v>
      </c>
      <c r="AO452" s="18" t="n">
        <f aca="false">IFERROR(100*N452/J452,"")</f>
        <v>0.632211020572564</v>
      </c>
    </row>
    <row r="453" customFormat="false" ht="15" hidden="false" customHeight="false" outlineLevel="0" collapsed="false">
      <c r="A453" s="17" t="n">
        <v>18408</v>
      </c>
      <c r="B453" s="23" t="n">
        <v>45016</v>
      </c>
      <c r="C453" s="17" t="s">
        <v>107</v>
      </c>
      <c r="D453" s="17" t="s">
        <v>108</v>
      </c>
      <c r="E453" s="17" t="s">
        <v>109</v>
      </c>
      <c r="F453" s="17" t="n">
        <v>7408655</v>
      </c>
      <c r="G453" s="17" t="n">
        <v>7392898</v>
      </c>
      <c r="H453" s="17" t="n">
        <v>5909216</v>
      </c>
      <c r="I453" s="17" t="n">
        <v>379605</v>
      </c>
      <c r="J453" s="17" t="n">
        <v>4709677</v>
      </c>
      <c r="K453" s="17" t="n">
        <v>4703500.5</v>
      </c>
      <c r="L453" s="17" t="n">
        <v>4284764</v>
      </c>
      <c r="M453" s="17" t="n">
        <v>323957</v>
      </c>
      <c r="N453" s="17" t="n">
        <v>30117</v>
      </c>
      <c r="O453" s="17" t="n">
        <v>2650</v>
      </c>
      <c r="P453" s="17" t="n">
        <v>5472</v>
      </c>
      <c r="Q453" s="17" t="n">
        <v>0</v>
      </c>
      <c r="R453" s="17" t="n">
        <v>5860</v>
      </c>
      <c r="S453" s="17" t="n">
        <v>568550</v>
      </c>
      <c r="T453" s="17" t="n">
        <v>4823913</v>
      </c>
      <c r="U453" s="17" t="n">
        <v>5380</v>
      </c>
      <c r="V453" s="17" t="n">
        <v>0.0727725446773376</v>
      </c>
      <c r="W453" s="17" t="n">
        <v>1.48</v>
      </c>
      <c r="X453" s="17" t="n">
        <v>2.1967342242162</v>
      </c>
      <c r="Y453" s="17" t="n">
        <v>0.773535000383253</v>
      </c>
      <c r="Z453" s="17" t="n">
        <v>11.786074914701</v>
      </c>
      <c r="AA453" s="17" t="n">
        <v>5.12380452322318</v>
      </c>
      <c r="AB453" s="17" t="n">
        <v>7.07289201176484</v>
      </c>
      <c r="AC453" s="17" t="n">
        <v>18.418270954557</v>
      </c>
      <c r="AD453" s="17" t="n">
        <v>2.60309593394748</v>
      </c>
      <c r="AE453" s="17" t="n">
        <v>-0.526577455619156</v>
      </c>
      <c r="AF453" s="17" t="n">
        <v>-0.0361751028269727</v>
      </c>
      <c r="AG453" s="18" t="n">
        <f aca="false">IFERROR(100*O453/F453,"")</f>
        <v>0.0357689756102828</v>
      </c>
      <c r="AH453" s="18" t="n">
        <f aca="false">IFERROR(100*(P453+Q453)/F453,"")</f>
        <v>0.0738595602035727</v>
      </c>
      <c r="AI453" s="18" t="n">
        <f aca="false">IFERROR(100*R453/K453,"")</f>
        <v>0.124588059467624</v>
      </c>
      <c r="AJ453" s="18" t="n">
        <f aca="false">IF(T453&gt;0,100*S453/T453,"")</f>
        <v>11.786074914701</v>
      </c>
      <c r="AK453" s="18" t="n">
        <f aca="false">IFERROR(100*U453/G453,"")</f>
        <v>0.0727725446773376</v>
      </c>
      <c r="AL453" s="18" t="n">
        <f aca="false">IFERROR(100*J453/H453,"")</f>
        <v>79.7005389547446</v>
      </c>
      <c r="AM453" s="18" t="n">
        <f aca="false">IFERROR(100*L453/J453,"")</f>
        <v>90.9778738541942</v>
      </c>
      <c r="AN453" s="18" t="n">
        <f aca="false">IFERROR(100*M453/J453,"")</f>
        <v>6.8785396535686</v>
      </c>
      <c r="AO453" s="18" t="n">
        <f aca="false">IFERROR(100*N453/J453,"")</f>
        <v>0.639470604884369</v>
      </c>
    </row>
    <row r="454" customFormat="false" ht="15" hidden="false" customHeight="false" outlineLevel="0" collapsed="false">
      <c r="A454" s="17" t="n">
        <v>18408</v>
      </c>
      <c r="B454" s="23" t="n">
        <v>45107</v>
      </c>
      <c r="C454" s="17" t="s">
        <v>107</v>
      </c>
      <c r="D454" s="17" t="s">
        <v>108</v>
      </c>
      <c r="E454" s="17" t="s">
        <v>109</v>
      </c>
      <c r="F454" s="17" t="n">
        <v>7459345</v>
      </c>
      <c r="G454" s="17" t="n">
        <v>7415047</v>
      </c>
      <c r="H454" s="17" t="n">
        <v>5594077</v>
      </c>
      <c r="I454" s="17" t="n">
        <v>367424</v>
      </c>
      <c r="J454" s="17" t="n">
        <v>4774928</v>
      </c>
      <c r="K454" s="17" t="n">
        <v>4727309.66666667</v>
      </c>
      <c r="L454" s="17" t="n">
        <v>4349363</v>
      </c>
      <c r="M454" s="17" t="n">
        <v>309355</v>
      </c>
      <c r="N454" s="17" t="n">
        <v>32242</v>
      </c>
      <c r="O454" s="17" t="n">
        <v>3474</v>
      </c>
      <c r="P454" s="17" t="n">
        <v>3273</v>
      </c>
      <c r="Q454" s="17" t="n">
        <v>0</v>
      </c>
      <c r="R454" s="17" t="n">
        <v>3042</v>
      </c>
      <c r="S454" s="17" t="n">
        <v>572710</v>
      </c>
      <c r="T454" s="17" t="n">
        <v>4908000</v>
      </c>
      <c r="U454" s="17" t="n">
        <v>5534</v>
      </c>
      <c r="V454" s="17" t="n">
        <v>0.0746320286304322</v>
      </c>
      <c r="W454" s="17" t="n">
        <v>1.51</v>
      </c>
      <c r="X454" s="17" t="n">
        <v>2.12159952430504</v>
      </c>
      <c r="Y454" s="17" t="n">
        <v>0.797373279764637</v>
      </c>
      <c r="Z454" s="17" t="n">
        <v>11.6689079054605</v>
      </c>
      <c r="AA454" s="17" t="n">
        <v>4.92568717494633</v>
      </c>
      <c r="AB454" s="17" t="n">
        <v>5.8869964460863</v>
      </c>
      <c r="AC454" s="17" t="n">
        <v>13.1924131729983</v>
      </c>
      <c r="AD454" s="17" t="n">
        <v>-1.83554820336432</v>
      </c>
      <c r="AE454" s="17" t="n">
        <v>-0.609104839895337</v>
      </c>
      <c r="AF454" s="17" t="n">
        <v>-7.30185186285925E-005</v>
      </c>
      <c r="AG454" s="18" t="n">
        <f aca="false">IFERROR(100*O454/F454,"")</f>
        <v>0.0465724537476146</v>
      </c>
      <c r="AH454" s="18" t="n">
        <f aca="false">IFERROR(100*(P454+Q454)/F454,"")</f>
        <v>0.0438778471836334</v>
      </c>
      <c r="AI454" s="18" t="n">
        <f aca="false">IFERROR(100*R454/K454,"")</f>
        <v>0.0643494971664292</v>
      </c>
      <c r="AJ454" s="18" t="n">
        <f aca="false">IF(T454&gt;0,100*S454/T454,"")</f>
        <v>11.6689079054605</v>
      </c>
      <c r="AK454" s="18" t="n">
        <f aca="false">IFERROR(100*U454/G454,"")</f>
        <v>0.0746320286304321</v>
      </c>
      <c r="AL454" s="18" t="n">
        <f aca="false">IFERROR(100*J454/H454,"")</f>
        <v>85.3568515413713</v>
      </c>
      <c r="AM454" s="18" t="n">
        <f aca="false">IFERROR(100*L454/J454,"")</f>
        <v>91.0875095917677</v>
      </c>
      <c r="AN454" s="18" t="n">
        <f aca="false">IFERROR(100*M454/J454,"")</f>
        <v>6.47873643330329</v>
      </c>
      <c r="AO454" s="18" t="n">
        <f aca="false">IFERROR(100*N454/J454,"")</f>
        <v>0.67523531244869</v>
      </c>
    </row>
    <row r="455" customFormat="false" ht="15" hidden="false" customHeight="false" outlineLevel="0" collapsed="false">
      <c r="A455" s="17" t="n">
        <v>18408</v>
      </c>
      <c r="B455" s="23" t="n">
        <v>45199</v>
      </c>
      <c r="C455" s="17" t="s">
        <v>107</v>
      </c>
      <c r="D455" s="17" t="s">
        <v>108</v>
      </c>
      <c r="E455" s="17" t="s">
        <v>109</v>
      </c>
      <c r="F455" s="17" t="n">
        <v>7253561</v>
      </c>
      <c r="G455" s="17" t="n">
        <v>7374675.5</v>
      </c>
      <c r="H455" s="17" t="n">
        <v>5526161</v>
      </c>
      <c r="I455" s="17" t="n">
        <v>339914</v>
      </c>
      <c r="J455" s="17" t="n">
        <v>4807986</v>
      </c>
      <c r="K455" s="17" t="n">
        <v>4747478.75</v>
      </c>
      <c r="L455" s="17" t="n">
        <v>4382847</v>
      </c>
      <c r="M455" s="17" t="n">
        <v>321633</v>
      </c>
      <c r="N455" s="17" t="n">
        <v>33238</v>
      </c>
      <c r="O455" s="17" t="n">
        <v>3957</v>
      </c>
      <c r="P455" s="17" t="n">
        <v>2852</v>
      </c>
      <c r="Q455" s="17" t="n">
        <v>0</v>
      </c>
      <c r="R455" s="17" t="n">
        <v>2129.2801</v>
      </c>
      <c r="S455" s="17" t="n">
        <v>573555</v>
      </c>
      <c r="T455" s="17" t="n">
        <v>4916980</v>
      </c>
      <c r="U455" s="17" t="n">
        <v>14215.6446</v>
      </c>
      <c r="V455" s="17" t="n">
        <v>0.192762984622171</v>
      </c>
      <c r="W455" s="17" t="n">
        <v>3.96</v>
      </c>
      <c r="X455" s="17" t="n">
        <v>2.10961267600752</v>
      </c>
      <c r="Y455" s="17" t="n">
        <v>0.687980372654995</v>
      </c>
      <c r="Z455" s="17" t="n">
        <v>11.6647820410089</v>
      </c>
      <c r="AA455" s="17" t="n">
        <v>4.6861672494379</v>
      </c>
      <c r="AB455" s="17" t="n">
        <v>0.64359466176489</v>
      </c>
      <c r="AC455" s="17" t="n">
        <v>6.82324345461332</v>
      </c>
      <c r="AD455" s="17" t="n">
        <v>-5.805572411348</v>
      </c>
      <c r="AE455" s="17" t="n">
        <v>-0.584346325246114</v>
      </c>
      <c r="AF455" s="17" t="n">
        <v>0.0136210884209554</v>
      </c>
      <c r="AG455" s="18" t="n">
        <f aca="false">IFERROR(100*O455/F455,"")</f>
        <v>0.0545525156540353</v>
      </c>
      <c r="AH455" s="18" t="n">
        <f aca="false">IFERROR(100*(P455+Q455)/F455,"")</f>
        <v>0.0393186188135731</v>
      </c>
      <c r="AI455" s="18" t="n">
        <f aca="false">IFERROR(100*R455/K455,"")</f>
        <v>0.0448507557827405</v>
      </c>
      <c r="AJ455" s="18" t="n">
        <f aca="false">IF(T455&gt;0,100*S455/T455,"")</f>
        <v>11.6647820410089</v>
      </c>
      <c r="AK455" s="18" t="n">
        <f aca="false">IFERROR(100*U455/G455,"")</f>
        <v>0.192762984622171</v>
      </c>
      <c r="AL455" s="18" t="n">
        <f aca="false">IFERROR(100*J455/H455,"")</f>
        <v>87.0040883716562</v>
      </c>
      <c r="AM455" s="18" t="n">
        <f aca="false">IFERROR(100*L455/J455,"")</f>
        <v>91.1576489615402</v>
      </c>
      <c r="AN455" s="18" t="n">
        <f aca="false">IFERROR(100*M455/J455,"")</f>
        <v>6.68955774829627</v>
      </c>
      <c r="AO455" s="18" t="n">
        <f aca="false">IFERROR(100*N455/J455,"")</f>
        <v>0.69130816936655</v>
      </c>
    </row>
    <row r="456" customFormat="false" ht="15" hidden="false" customHeight="false" outlineLevel="0" collapsed="false">
      <c r="A456" s="17" t="n">
        <v>18408</v>
      </c>
      <c r="B456" s="23" t="n">
        <v>45291</v>
      </c>
      <c r="C456" s="17" t="s">
        <v>107</v>
      </c>
      <c r="D456" s="17" t="s">
        <v>108</v>
      </c>
      <c r="E456" s="17" t="s">
        <v>109</v>
      </c>
      <c r="F456" s="17" t="n">
        <v>7260613</v>
      </c>
      <c r="G456" s="17" t="n">
        <v>7351863</v>
      </c>
      <c r="H456" s="17" t="n">
        <v>5329154</v>
      </c>
      <c r="I456" s="17" t="n">
        <v>408311</v>
      </c>
      <c r="J456" s="17" t="n">
        <v>4829377</v>
      </c>
      <c r="K456" s="17" t="n">
        <v>4763858.4</v>
      </c>
      <c r="L456" s="17" t="n">
        <v>4395557</v>
      </c>
      <c r="M456" s="17" t="n">
        <v>333151</v>
      </c>
      <c r="N456" s="17" t="n">
        <v>34286</v>
      </c>
      <c r="O456" s="17" t="n">
        <v>3682</v>
      </c>
      <c r="P456" s="17" t="n">
        <v>7936</v>
      </c>
      <c r="Q456" s="17" t="n">
        <v>0</v>
      </c>
      <c r="R456" s="17" t="n">
        <v>1220</v>
      </c>
      <c r="S456" s="17" t="n">
        <v>579357</v>
      </c>
      <c r="T456" s="17" t="n">
        <v>4909302</v>
      </c>
      <c r="U456" s="17" t="n">
        <v>18069</v>
      </c>
      <c r="V456" s="17" t="n">
        <v>0.245774438397451</v>
      </c>
      <c r="W456" s="17" t="n">
        <v>4.9</v>
      </c>
      <c r="X456" s="17" t="n">
        <v>2.09802163979008</v>
      </c>
      <c r="Y456" s="17" t="n">
        <v>0.658884158350031</v>
      </c>
      <c r="Z456" s="17" t="n">
        <v>11.8012092146704</v>
      </c>
      <c r="AA456" s="17" t="n">
        <v>5.62364362347917</v>
      </c>
      <c r="AB456" s="17" t="n">
        <v>-1.57958211724569</v>
      </c>
      <c r="AC456" s="17" t="n">
        <v>2.81123890964303</v>
      </c>
      <c r="AD456" s="17" t="n">
        <v>-9.82297114316937</v>
      </c>
      <c r="AE456" s="17" t="n">
        <v>-0.473923043012491</v>
      </c>
      <c r="AF456" s="17" t="n">
        <v>-0.0259708517673014</v>
      </c>
      <c r="AG456" s="18" t="n">
        <f aca="false">IFERROR(100*O456/F456,"")</f>
        <v>0.0507119715649354</v>
      </c>
      <c r="AH456" s="18" t="n">
        <f aca="false">IFERROR(100*(P456+Q456)/F456,"")</f>
        <v>0.109302065817308</v>
      </c>
      <c r="AI456" s="18" t="n">
        <f aca="false">IFERROR(100*R456/K456,"")</f>
        <v>0.0256094933468216</v>
      </c>
      <c r="AJ456" s="18" t="n">
        <f aca="false">IF(T456&gt;0,100*S456/T456,"")</f>
        <v>11.8012092146704</v>
      </c>
      <c r="AK456" s="18" t="n">
        <f aca="false">IFERROR(100*U456/G456,"")</f>
        <v>0.245774438397451</v>
      </c>
      <c r="AL456" s="18" t="n">
        <f aca="false">IFERROR(100*J456/H456,"")</f>
        <v>90.621832283323</v>
      </c>
      <c r="AM456" s="18" t="n">
        <f aca="false">IFERROR(100*L456/J456,"")</f>
        <v>91.0170607927275</v>
      </c>
      <c r="AN456" s="18" t="n">
        <f aca="false">IFERROR(100*M456/J456,"")</f>
        <v>6.89842602886459</v>
      </c>
      <c r="AO456" s="18" t="n">
        <f aca="false">IFERROR(100*N456/J456,"")</f>
        <v>0.709946645291929</v>
      </c>
    </row>
    <row r="457" customFormat="false" ht="15" hidden="false" customHeight="false" outlineLevel="0" collapsed="false">
      <c r="A457" s="17" t="n">
        <v>18408</v>
      </c>
      <c r="B457" s="23" t="n">
        <v>45382</v>
      </c>
      <c r="C457" s="17" t="s">
        <v>107</v>
      </c>
      <c r="D457" s="17" t="s">
        <v>108</v>
      </c>
      <c r="E457" s="17" t="s">
        <v>109</v>
      </c>
      <c r="F457" s="17" t="n">
        <v>7209064</v>
      </c>
      <c r="G457" s="17" t="n">
        <v>7234838.5</v>
      </c>
      <c r="H457" s="17" t="n">
        <v>5243296</v>
      </c>
      <c r="I457" s="17" t="n">
        <v>402922</v>
      </c>
      <c r="J457" s="17" t="n">
        <v>4840855</v>
      </c>
      <c r="K457" s="17" t="n">
        <v>4835116</v>
      </c>
      <c r="L457" s="17" t="n">
        <v>4375722</v>
      </c>
      <c r="M457" s="17" t="n">
        <v>359864</v>
      </c>
      <c r="N457" s="17" t="n">
        <v>34725</v>
      </c>
      <c r="O457" s="17" t="n">
        <v>4530</v>
      </c>
      <c r="P457" s="17" t="n">
        <v>7195</v>
      </c>
      <c r="Q457" s="17" t="n">
        <v>0</v>
      </c>
      <c r="R457" s="17" t="n">
        <v>-952</v>
      </c>
      <c r="S457" s="17" t="n">
        <v>579683</v>
      </c>
      <c r="T457" s="17" t="n">
        <v>4976785</v>
      </c>
      <c r="U457" s="17" t="n">
        <v>-1016</v>
      </c>
      <c r="V457" s="17" t="n">
        <v>-0.0140431607422889</v>
      </c>
      <c r="W457" s="17" t="n">
        <v>-0.25</v>
      </c>
      <c r="X457" s="17" t="n">
        <v>2.02641372858428</v>
      </c>
      <c r="Y457" s="17" t="n">
        <v>0.662341673113531</v>
      </c>
      <c r="Z457" s="17" t="n">
        <v>11.6477404589509</v>
      </c>
      <c r="AA457" s="17" t="n">
        <v>5.58910282943805</v>
      </c>
      <c r="AB457" s="17" t="n">
        <v>-2.69402475887999</v>
      </c>
      <c r="AC457" s="17" t="n">
        <v>2.78528654937482</v>
      </c>
      <c r="AD457" s="17" t="n">
        <v>-11.2691768248106</v>
      </c>
      <c r="AE457" s="17" t="n">
        <v>-0.0868157054196265</v>
      </c>
      <c r="AF457" s="17" t="n">
        <v>0.0270685855488357</v>
      </c>
      <c r="AG457" s="18" t="n">
        <f aca="false">IFERROR(100*O457/F457,"")</f>
        <v>0.0628375611591186</v>
      </c>
      <c r="AH457" s="18" t="n">
        <f aca="false">IFERROR(100*(P457+Q457)/F457,"")</f>
        <v>0.0998049122604543</v>
      </c>
      <c r="AI457" s="18" t="n">
        <f aca="false">IFERROR(100*R457/K457,"")</f>
        <v>-0.0196892897709176</v>
      </c>
      <c r="AJ457" s="18" t="n">
        <f aca="false">IF(T457&gt;0,100*S457/T457,"")</f>
        <v>11.6477404589509</v>
      </c>
      <c r="AK457" s="18" t="n">
        <f aca="false">IFERROR(100*U457/G457,"")</f>
        <v>-0.0140431607422889</v>
      </c>
      <c r="AL457" s="18" t="n">
        <f aca="false">IFERROR(100*J457/H457,"")</f>
        <v>92.324656094182</v>
      </c>
      <c r="AM457" s="18" t="n">
        <f aca="false">IFERROR(100*L457/J457,"")</f>
        <v>90.3915114168881</v>
      </c>
      <c r="AN457" s="18" t="n">
        <f aca="false">IFERROR(100*M457/J457,"")</f>
        <v>7.43389339279941</v>
      </c>
      <c r="AO457" s="18" t="n">
        <f aca="false">IFERROR(100*N457/J457,"")</f>
        <v>0.71733195892048</v>
      </c>
    </row>
    <row r="458" customFormat="false" ht="15" hidden="false" customHeight="false" outlineLevel="0" collapsed="false">
      <c r="A458" s="17" t="n">
        <v>18408</v>
      </c>
      <c r="B458" s="23" t="n">
        <v>45473</v>
      </c>
      <c r="C458" s="17" t="s">
        <v>107</v>
      </c>
      <c r="D458" s="17" t="s">
        <v>108</v>
      </c>
      <c r="E458" s="17" t="s">
        <v>109</v>
      </c>
      <c r="F458" s="17" t="n">
        <v>7222033</v>
      </c>
      <c r="G458" s="17" t="n">
        <v>7230570</v>
      </c>
      <c r="H458" s="17" t="n">
        <v>5353465</v>
      </c>
      <c r="I458" s="17" t="n">
        <v>408904</v>
      </c>
      <c r="J458" s="17" t="n">
        <v>4887305</v>
      </c>
      <c r="K458" s="17" t="n">
        <v>4852512.33333333</v>
      </c>
      <c r="L458" s="17" t="n">
        <v>4394120</v>
      </c>
      <c r="M458" s="17" t="n">
        <v>370343</v>
      </c>
      <c r="N458" s="17" t="n">
        <v>36119</v>
      </c>
      <c r="O458" s="17" t="n">
        <v>4032</v>
      </c>
      <c r="P458" s="17" t="n">
        <v>4991</v>
      </c>
      <c r="Q458" s="17" t="n">
        <v>0</v>
      </c>
      <c r="R458" s="17" t="n">
        <v>-982</v>
      </c>
      <c r="S458" s="17" t="n">
        <v>581832</v>
      </c>
      <c r="T458" s="17" t="n">
        <v>5105717</v>
      </c>
      <c r="U458" s="17" t="n">
        <v>3650</v>
      </c>
      <c r="V458" s="17" t="n">
        <v>0.0504801142925108</v>
      </c>
      <c r="W458" s="17" t="n">
        <v>0.9</v>
      </c>
      <c r="X458" s="17" t="n">
        <v>2.06214064657911</v>
      </c>
      <c r="Y458" s="17" t="n">
        <v>0.662450982699054</v>
      </c>
      <c r="Z458" s="17" t="n">
        <v>11.3956962361995</v>
      </c>
      <c r="AA458" s="17" t="n">
        <v>5.66189603398378</v>
      </c>
      <c r="AB458" s="17" t="n">
        <v>-3.18140533786814</v>
      </c>
      <c r="AC458" s="17" t="n">
        <v>2.35348051321402</v>
      </c>
      <c r="AD458" s="17" t="n">
        <v>-4.30119213589659</v>
      </c>
      <c r="AE458" s="17" t="n">
        <v>-0.0241519143379213</v>
      </c>
      <c r="AF458" s="17" t="n">
        <v>0.00925670128393957</v>
      </c>
      <c r="AG458" s="18" t="n">
        <f aca="false">IFERROR(100*O458/F458,"")</f>
        <v>0.0558291550315541</v>
      </c>
      <c r="AH458" s="18" t="n">
        <f aca="false">IFERROR(100*(P458+Q458)/F458,"")</f>
        <v>0.0691079644748231</v>
      </c>
      <c r="AI458" s="18" t="n">
        <f aca="false">IFERROR(100*R458/K458,"")</f>
        <v>-0.0202369398065071</v>
      </c>
      <c r="AJ458" s="18" t="n">
        <f aca="false">IF(T458&gt;0,100*S458/T458,"")</f>
        <v>11.3956962361995</v>
      </c>
      <c r="AK458" s="18" t="n">
        <f aca="false">IFERROR(100*U458/G458,"")</f>
        <v>0.0504801142925108</v>
      </c>
      <c r="AL458" s="18" t="n">
        <f aca="false">IFERROR(100*J458/H458,"")</f>
        <v>91.2923685874476</v>
      </c>
      <c r="AM458" s="18" t="n">
        <f aca="false">IFERROR(100*L458/J458,"")</f>
        <v>89.9088556985905</v>
      </c>
      <c r="AN458" s="18" t="n">
        <f aca="false">IFERROR(100*M458/J458,"")</f>
        <v>7.57765271453286</v>
      </c>
      <c r="AO458" s="18" t="n">
        <f aca="false">IFERROR(100*N458/J458,"")</f>
        <v>0.739037158515787</v>
      </c>
    </row>
    <row r="459" customFormat="false" ht="15" hidden="false" customHeight="false" outlineLevel="0" collapsed="false">
      <c r="A459" s="17" t="n">
        <v>18408</v>
      </c>
      <c r="B459" s="23" t="n">
        <v>45565</v>
      </c>
      <c r="C459" s="17" t="s">
        <v>107</v>
      </c>
      <c r="D459" s="17" t="s">
        <v>108</v>
      </c>
      <c r="E459" s="17" t="s">
        <v>109</v>
      </c>
      <c r="F459" s="17" t="n">
        <v>7218777</v>
      </c>
      <c r="G459" s="17" t="n">
        <v>7227621.75</v>
      </c>
      <c r="H459" s="17" t="n">
        <v>5440947</v>
      </c>
      <c r="I459" s="17" t="n">
        <v>451617</v>
      </c>
      <c r="J459" s="17" t="n">
        <v>4864322</v>
      </c>
      <c r="K459" s="17" t="n">
        <v>4855464.75</v>
      </c>
      <c r="L459" s="17" t="n">
        <v>4390169</v>
      </c>
      <c r="M459" s="17" t="n">
        <v>361664</v>
      </c>
      <c r="N459" s="17" t="n">
        <v>37287</v>
      </c>
      <c r="O459" s="17" t="n">
        <v>3776</v>
      </c>
      <c r="P459" s="17" t="n">
        <v>4839</v>
      </c>
      <c r="Q459" s="17" t="n">
        <v>0</v>
      </c>
      <c r="R459" s="17" t="n">
        <v>-499.9875</v>
      </c>
      <c r="S459" s="17" t="n">
        <v>586810</v>
      </c>
      <c r="T459" s="17" t="n">
        <v>5089378</v>
      </c>
      <c r="U459" s="17" t="n">
        <v>11215.7196</v>
      </c>
      <c r="V459" s="17" t="n">
        <v>0.155178563405037</v>
      </c>
      <c r="W459" s="17" t="n">
        <v>2.68</v>
      </c>
      <c r="X459" s="17" t="n">
        <v>2.12612207544725</v>
      </c>
      <c r="Y459" s="17" t="n">
        <v>0.63910242784092</v>
      </c>
      <c r="Z459" s="17" t="n">
        <v>11.5300926753721</v>
      </c>
      <c r="AA459" s="17" t="n">
        <v>6.25614283416706</v>
      </c>
      <c r="AB459" s="17" t="n">
        <v>-0.479543771672975</v>
      </c>
      <c r="AC459" s="17" t="n">
        <v>1.17171722213834</v>
      </c>
      <c r="AD459" s="17" t="n">
        <v>-1.54201081003612</v>
      </c>
      <c r="AE459" s="17" t="n">
        <v>-0.0375844212171338</v>
      </c>
      <c r="AF459" s="17" t="n">
        <v>-0.00224448619142689</v>
      </c>
      <c r="AG459" s="18" t="n">
        <f aca="false">IFERROR(100*O459/F459,"")</f>
        <v>0.0523080294626084</v>
      </c>
      <c r="AH459" s="18" t="n">
        <f aca="false">IFERROR(100*(P459+Q459)/F459,"")</f>
        <v>0.0670335155110069</v>
      </c>
      <c r="AI459" s="18" t="n">
        <f aca="false">IFERROR(100*R459/K459,"")</f>
        <v>-0.0102974179763122</v>
      </c>
      <c r="AJ459" s="18" t="n">
        <f aca="false">IF(T459&gt;0,100*S459/T459,"")</f>
        <v>11.5300926753721</v>
      </c>
      <c r="AK459" s="18" t="n">
        <f aca="false">IFERROR(100*U459/G459,"")</f>
        <v>0.155178563405037</v>
      </c>
      <c r="AL459" s="18" t="n">
        <f aca="false">IFERROR(100*J459/H459,"")</f>
        <v>89.4021206234871</v>
      </c>
      <c r="AM459" s="18" t="n">
        <f aca="false">IFERROR(100*L459/J459,"")</f>
        <v>90.2524339466014</v>
      </c>
      <c r="AN459" s="18" t="n">
        <f aca="false">IFERROR(100*M459/J459,"")</f>
        <v>7.43503411163981</v>
      </c>
      <c r="AO459" s="18" t="n">
        <f aca="false">IFERROR(100*N459/J459,"")</f>
        <v>0.766540537406858</v>
      </c>
    </row>
    <row r="460" customFormat="false" ht="15" hidden="false" customHeight="false" outlineLevel="0" collapsed="false">
      <c r="A460" s="17" t="n">
        <v>18408</v>
      </c>
      <c r="B460" s="23" t="n">
        <v>45657</v>
      </c>
      <c r="C460" s="17" t="s">
        <v>107</v>
      </c>
      <c r="D460" s="17" t="s">
        <v>108</v>
      </c>
      <c r="E460" s="17" t="s">
        <v>109</v>
      </c>
      <c r="F460" s="17" t="n">
        <v>7237664</v>
      </c>
      <c r="G460" s="17" t="n">
        <v>7229630.2</v>
      </c>
      <c r="H460" s="17" t="n">
        <v>5962875</v>
      </c>
      <c r="I460" s="17" t="n">
        <v>430159</v>
      </c>
      <c r="J460" s="17" t="n">
        <v>4937169</v>
      </c>
      <c r="K460" s="17" t="n">
        <v>4871805.6</v>
      </c>
      <c r="L460" s="17" t="n">
        <v>4424778</v>
      </c>
      <c r="M460" s="17" t="n">
        <v>371808</v>
      </c>
      <c r="N460" s="17" t="n">
        <v>61663</v>
      </c>
      <c r="O460" s="17" t="n">
        <v>6486</v>
      </c>
      <c r="P460" s="17" t="n">
        <v>11654</v>
      </c>
      <c r="Q460" s="17" t="n">
        <v>0</v>
      </c>
      <c r="R460" s="17" t="n">
        <v>-193</v>
      </c>
      <c r="S460" s="17" t="n">
        <v>589834</v>
      </c>
      <c r="T460" s="17" t="n">
        <v>5303293</v>
      </c>
      <c r="U460" s="17" t="n">
        <v>12332</v>
      </c>
      <c r="V460" s="17" t="n">
        <v>0.170575806214819</v>
      </c>
      <c r="W460" s="17" t="n">
        <v>2.93</v>
      </c>
      <c r="X460" s="17" t="n">
        <v>2.17113867598282</v>
      </c>
      <c r="Y460" s="17" t="n">
        <v>0.63747058283806</v>
      </c>
      <c r="Z460" s="17" t="n">
        <v>11.1220330462601</v>
      </c>
      <c r="AA460" s="17" t="n">
        <v>5.94334028216839</v>
      </c>
      <c r="AB460" s="17" t="n">
        <v>-0.316075240479008</v>
      </c>
      <c r="AC460" s="17" t="n">
        <v>2.23200632296878</v>
      </c>
      <c r="AD460" s="17" t="n">
        <v>11.8915872950941</v>
      </c>
      <c r="AE460" s="17" t="n">
        <v>-0.0751986321826326</v>
      </c>
      <c r="AF460" s="17" t="n">
        <v>0.0389025781019185</v>
      </c>
      <c r="AG460" s="18" t="n">
        <f aca="false">IFERROR(100*O460/F460,"")</f>
        <v>0.0896145496668538</v>
      </c>
      <c r="AH460" s="18" t="n">
        <f aca="false">IFERROR(100*(P460+Q460)/F460,"")</f>
        <v>0.161018803857156</v>
      </c>
      <c r="AI460" s="18" t="n">
        <f aca="false">IFERROR(100*R460/K460,"")</f>
        <v>-0.00396157022357378</v>
      </c>
      <c r="AJ460" s="18" t="n">
        <f aca="false">IF(T460&gt;0,100*S460/T460,"")</f>
        <v>11.1220330462601</v>
      </c>
      <c r="AK460" s="18" t="n">
        <f aca="false">IFERROR(100*U460/G460,"")</f>
        <v>0.170575806214819</v>
      </c>
      <c r="AL460" s="18" t="n">
        <f aca="false">IFERROR(100*J460/H460,"")</f>
        <v>82.7984655053141</v>
      </c>
      <c r="AM460" s="18" t="n">
        <f aca="false">IFERROR(100*L460/J460,"")</f>
        <v>89.6217650236401</v>
      </c>
      <c r="AN460" s="18" t="n">
        <f aca="false">IFERROR(100*M460/J460,"")</f>
        <v>7.53079345673604</v>
      </c>
      <c r="AO460" s="18" t="n">
        <f aca="false">IFERROR(100*N460/J460,"")</f>
        <v>1.24895461346371</v>
      </c>
    </row>
    <row r="461" customFormat="false" ht="15" hidden="false" customHeight="false" outlineLevel="0" collapsed="false">
      <c r="A461" s="17" t="n">
        <v>18408</v>
      </c>
      <c r="B461" s="23" t="n">
        <v>45747</v>
      </c>
      <c r="C461" s="17" t="s">
        <v>107</v>
      </c>
      <c r="D461" s="17" t="s">
        <v>108</v>
      </c>
      <c r="E461" s="17" t="s">
        <v>109</v>
      </c>
      <c r="F461" s="17" t="n">
        <v>7235355</v>
      </c>
      <c r="G461" s="17" t="n">
        <v>7236509.5</v>
      </c>
      <c r="H461" s="17" t="n">
        <v>6181793</v>
      </c>
      <c r="I461" s="17" t="n">
        <v>455151</v>
      </c>
      <c r="J461" s="17" t="n">
        <v>4976949</v>
      </c>
      <c r="K461" s="17" t="n">
        <v>4957059</v>
      </c>
      <c r="L461" s="17" t="n">
        <v>4459056</v>
      </c>
      <c r="M461" s="17" t="n">
        <v>395278</v>
      </c>
      <c r="N461" s="17" t="n">
        <v>58940</v>
      </c>
      <c r="O461" s="17" t="n">
        <v>8109</v>
      </c>
      <c r="P461" s="17" t="n">
        <v>10783</v>
      </c>
      <c r="Q461" s="17" t="n">
        <v>0</v>
      </c>
      <c r="R461" s="17" t="n">
        <v>632</v>
      </c>
      <c r="S461" s="17" t="n">
        <v>593868</v>
      </c>
      <c r="T461" s="17" t="n">
        <v>5229542</v>
      </c>
      <c r="U461" s="17" t="n">
        <v>9060</v>
      </c>
      <c r="V461" s="17" t="n">
        <v>0.125198481394932</v>
      </c>
      <c r="W461" s="17" t="n">
        <v>2.05</v>
      </c>
      <c r="X461" s="17" t="n">
        <v>2.37111335634403</v>
      </c>
      <c r="Y461" s="17" t="n">
        <v>0.663960992969789</v>
      </c>
      <c r="Z461" s="17" t="n">
        <v>11.3560231469601</v>
      </c>
      <c r="AA461" s="17" t="n">
        <v>6.29065194451413</v>
      </c>
      <c r="AB461" s="17" t="n">
        <v>0.364693668970073</v>
      </c>
      <c r="AC461" s="17" t="n">
        <v>2.81136286874943</v>
      </c>
      <c r="AD461" s="17" t="n">
        <v>17.89898949058</v>
      </c>
      <c r="AE461" s="17" t="n">
        <v>0.139241642137221</v>
      </c>
      <c r="AF461" s="17" t="n">
        <v>0.0492371055296617</v>
      </c>
      <c r="AG461" s="18" t="n">
        <f aca="false">IFERROR(100*O461/F461,"")</f>
        <v>0.11207466668878</v>
      </c>
      <c r="AH461" s="18" t="n">
        <f aca="false">IFERROR(100*(P461+Q461)/F461,"")</f>
        <v>0.14903207928291</v>
      </c>
      <c r="AI461" s="18" t="n">
        <f aca="false">IFERROR(100*R461/K461,"")</f>
        <v>0.0127494952148038</v>
      </c>
      <c r="AJ461" s="18" t="n">
        <f aca="false">IF(T461&gt;0,100*S461/T461,"")</f>
        <v>11.3560231469601</v>
      </c>
      <c r="AK461" s="18" t="n">
        <f aca="false">IFERROR(100*U461/G461,"")</f>
        <v>0.125198481394932</v>
      </c>
      <c r="AL461" s="18" t="n">
        <f aca="false">IFERROR(100*J461/H461,"")</f>
        <v>80.5097970766734</v>
      </c>
      <c r="AM461" s="18" t="n">
        <f aca="false">IFERROR(100*L461/J461,"")</f>
        <v>89.5941670288363</v>
      </c>
      <c r="AN461" s="18" t="n">
        <f aca="false">IFERROR(100*M461/J461,"")</f>
        <v>7.94217501525533</v>
      </c>
      <c r="AO461" s="18" t="n">
        <f aca="false">IFERROR(100*N461/J461,"")</f>
        <v>1.18425967394884</v>
      </c>
    </row>
    <row r="462" customFormat="false" ht="15" hidden="false" customHeight="false" outlineLevel="0" collapsed="false">
      <c r="A462" s="17" t="n">
        <v>18408</v>
      </c>
      <c r="B462" s="23" t="n">
        <v>45838</v>
      </c>
      <c r="C462" s="17" t="s">
        <v>107</v>
      </c>
      <c r="D462" s="17" t="s">
        <v>108</v>
      </c>
      <c r="E462" s="17" t="s">
        <v>109</v>
      </c>
      <c r="F462" s="17" t="n">
        <v>7335916</v>
      </c>
      <c r="G462" s="17" t="n">
        <v>7269645</v>
      </c>
      <c r="H462" s="17" t="n">
        <v>5915806</v>
      </c>
      <c r="I462" s="17" t="n">
        <v>467639</v>
      </c>
      <c r="J462" s="17" t="n">
        <v>5070574</v>
      </c>
      <c r="K462" s="17" t="n">
        <v>4994897.33333333</v>
      </c>
      <c r="L462" s="17" t="n">
        <v>4566132</v>
      </c>
      <c r="M462" s="17" t="n">
        <v>368953</v>
      </c>
      <c r="N462" s="17" t="n">
        <v>57245</v>
      </c>
      <c r="O462" s="17" t="n">
        <v>33535</v>
      </c>
      <c r="P462" s="17" t="n">
        <v>11898</v>
      </c>
      <c r="Q462" s="17" t="n">
        <v>0</v>
      </c>
      <c r="R462" s="17" t="n">
        <v>916</v>
      </c>
      <c r="S462" s="17" t="n">
        <v>600450</v>
      </c>
      <c r="T462" s="17" t="n">
        <v>5385733</v>
      </c>
      <c r="U462" s="17" t="n">
        <v>7726</v>
      </c>
      <c r="V462" s="17" t="n">
        <v>0.106277541750663</v>
      </c>
      <c r="W462" s="17" t="n">
        <v>1.71</v>
      </c>
      <c r="X462" s="17" t="n">
        <v>2.4185246455811</v>
      </c>
      <c r="Y462" s="17" t="n">
        <v>0.745832720319238</v>
      </c>
      <c r="Z462" s="17" t="n">
        <v>11.148900251832</v>
      </c>
      <c r="AA462" s="17" t="n">
        <v>6.37465041857077</v>
      </c>
      <c r="AB462" s="17" t="n">
        <v>1.57688285279227</v>
      </c>
      <c r="AC462" s="17" t="n">
        <v>3.74989897295135</v>
      </c>
      <c r="AD462" s="17" t="n">
        <v>10.5042435133133</v>
      </c>
      <c r="AE462" s="17" t="n">
        <v>0.0557974274581524</v>
      </c>
      <c r="AF462" s="17" t="n">
        <v>0.401305305068589</v>
      </c>
      <c r="AG462" s="18" t="n">
        <f aca="false">IFERROR(100*O462/F462,"")</f>
        <v>0.457134460100143</v>
      </c>
      <c r="AH462" s="18" t="n">
        <f aca="false">IFERROR(100*(P462+Q462)/F462,"")</f>
        <v>0.16218833476283</v>
      </c>
      <c r="AI462" s="18" t="n">
        <f aca="false">IFERROR(100*R462/K462,"")</f>
        <v>0.0183387152702238</v>
      </c>
      <c r="AJ462" s="18" t="n">
        <f aca="false">IF(T462&gt;0,100*S462/T462,"")</f>
        <v>11.148900251832</v>
      </c>
      <c r="AK462" s="18" t="n">
        <f aca="false">IFERROR(100*U462/G462,"")</f>
        <v>0.106277541750663</v>
      </c>
      <c r="AL462" s="18" t="n">
        <f aca="false">IFERROR(100*J462/H462,"")</f>
        <v>85.7123103766418</v>
      </c>
      <c r="AM462" s="18" t="n">
        <f aca="false">IFERROR(100*L462/J462,"")</f>
        <v>90.051579959192</v>
      </c>
      <c r="AN462" s="18" t="n">
        <f aca="false">IFERROR(100*M462/J462,"")</f>
        <v>7.27635569464128</v>
      </c>
      <c r="AO462" s="18" t="n">
        <f aca="false">IFERROR(100*N462/J462,"")</f>
        <v>1.12896488642114</v>
      </c>
    </row>
    <row r="463" customFormat="false" ht="15" hidden="false" customHeight="false" outlineLevel="0" collapsed="false">
      <c r="A463" s="17" t="n">
        <v>19531</v>
      </c>
      <c r="B463" s="23" t="n">
        <v>44651</v>
      </c>
      <c r="C463" s="17" t="s">
        <v>146</v>
      </c>
      <c r="D463" s="17" t="s">
        <v>108</v>
      </c>
      <c r="E463" s="17" t="s">
        <v>114</v>
      </c>
      <c r="F463" s="17" t="n">
        <v>2173098</v>
      </c>
      <c r="G463" s="17" t="n">
        <v>2269544.5</v>
      </c>
      <c r="H463" s="17" t="n">
        <v>1922538</v>
      </c>
      <c r="I463" s="17" t="n">
        <v>230604</v>
      </c>
      <c r="J463" s="17" t="n">
        <v>1643228</v>
      </c>
      <c r="K463" s="17" t="n">
        <v>1644700</v>
      </c>
      <c r="L463" s="17" t="n">
        <v>1345130</v>
      </c>
      <c r="M463" s="17" t="n">
        <v>204310</v>
      </c>
      <c r="N463" s="17" t="n">
        <v>12774</v>
      </c>
      <c r="O463" s="17" t="n">
        <v>5998</v>
      </c>
      <c r="P463" s="17" t="n">
        <v>2467</v>
      </c>
      <c r="Q463" s="17" t="n">
        <v>418</v>
      </c>
      <c r="R463" s="17" t="n">
        <v>96</v>
      </c>
      <c r="S463" s="17" t="n">
        <v>272233</v>
      </c>
      <c r="T463" s="17" t="n">
        <v>1738806</v>
      </c>
      <c r="U463" s="17" t="n">
        <v>16472</v>
      </c>
      <c r="V463" s="17" t="n">
        <v>0.72578440299364</v>
      </c>
      <c r="W463" s="17" t="n">
        <v>6.95</v>
      </c>
      <c r="X463" s="17" t="n">
        <v>3.51954450569667</v>
      </c>
      <c r="Y463" s="17" t="n">
        <v>1.44082257605153</v>
      </c>
      <c r="Z463" s="17" t="n">
        <v>15.6563181861576</v>
      </c>
      <c r="AA463" s="17" t="n">
        <v>10.6117625620198</v>
      </c>
      <c r="AB463" s="17"/>
      <c r="AC463" s="17"/>
      <c r="AD463" s="17"/>
      <c r="AE463" s="17"/>
      <c r="AF463" s="17"/>
      <c r="AG463" s="18" t="n">
        <f aca="false">IFERROR(100*O463/F463,"")</f>
        <v>0.276011482224916</v>
      </c>
      <c r="AH463" s="18" t="n">
        <f aca="false">IFERROR(100*(P463+Q463)/F463,"")</f>
        <v>0.132759774294579</v>
      </c>
      <c r="AI463" s="18" t="n">
        <f aca="false">IFERROR(100*R463/K463,"")</f>
        <v>0.00583693074724874</v>
      </c>
      <c r="AJ463" s="18" t="n">
        <f aca="false">IF(T463&gt;0,100*S463/T463,"")</f>
        <v>15.6563181861576</v>
      </c>
      <c r="AK463" s="18" t="n">
        <f aca="false">IFERROR(100*U463/G463,"")</f>
        <v>0.72578440299364</v>
      </c>
      <c r="AL463" s="18" t="n">
        <f aca="false">IFERROR(100*J463/H463,"")</f>
        <v>85.4718086196476</v>
      </c>
      <c r="AM463" s="18" t="n">
        <f aca="false">IFERROR(100*L463/J463,"")</f>
        <v>81.8589994815084</v>
      </c>
      <c r="AN463" s="18" t="n">
        <f aca="false">IFERROR(100*M463/J463,"")</f>
        <v>12.4334541524365</v>
      </c>
      <c r="AO463" s="18" t="n">
        <f aca="false">IFERROR(100*N463/J463,"")</f>
        <v>0.777372342730285</v>
      </c>
    </row>
    <row r="464" customFormat="false" ht="15" hidden="false" customHeight="false" outlineLevel="0" collapsed="false">
      <c r="A464" s="17" t="n">
        <v>19531</v>
      </c>
      <c r="B464" s="23" t="n">
        <v>44742</v>
      </c>
      <c r="C464" s="17" t="s">
        <v>146</v>
      </c>
      <c r="D464" s="17" t="s">
        <v>108</v>
      </c>
      <c r="E464" s="17" t="s">
        <v>114</v>
      </c>
      <c r="F464" s="17" t="n">
        <v>2272024</v>
      </c>
      <c r="G464" s="17" t="n">
        <v>2270371</v>
      </c>
      <c r="H464" s="17" t="n">
        <v>1925714</v>
      </c>
      <c r="I464" s="17" t="n">
        <v>222030</v>
      </c>
      <c r="J464" s="17" t="n">
        <v>1764676</v>
      </c>
      <c r="K464" s="17" t="n">
        <v>1684692</v>
      </c>
      <c r="L464" s="17" t="n">
        <v>1421672</v>
      </c>
      <c r="M464" s="17" t="n">
        <v>242350</v>
      </c>
      <c r="N464" s="17" t="n">
        <v>12873</v>
      </c>
      <c r="O464" s="17" t="n">
        <v>5750</v>
      </c>
      <c r="P464" s="17" t="n">
        <v>3231</v>
      </c>
      <c r="Q464" s="17" t="n">
        <v>0</v>
      </c>
      <c r="R464" s="17" t="n">
        <v>66</v>
      </c>
      <c r="S464" s="17" t="n">
        <v>274237</v>
      </c>
      <c r="T464" s="17" t="n">
        <v>1867168</v>
      </c>
      <c r="U464" s="17" t="n">
        <v>8932</v>
      </c>
      <c r="V464" s="17" t="n">
        <v>0.393415877845515</v>
      </c>
      <c r="W464" s="17" t="n">
        <v>3.85</v>
      </c>
      <c r="X464" s="17" t="n">
        <v>3.53092726803068</v>
      </c>
      <c r="Y464" s="17" t="n">
        <v>1.33786598786406</v>
      </c>
      <c r="Z464" s="17" t="n">
        <v>14.6873232617526</v>
      </c>
      <c r="AA464" s="17" t="n">
        <v>9.77234395411316</v>
      </c>
      <c r="AB464" s="17"/>
      <c r="AC464" s="17"/>
      <c r="AD464" s="17"/>
      <c r="AE464" s="17"/>
      <c r="AF464" s="17"/>
      <c r="AG464" s="18" t="n">
        <f aca="false">IFERROR(100*O464/F464,"")</f>
        <v>0.253078312553036</v>
      </c>
      <c r="AH464" s="18" t="n">
        <f aca="false">IFERROR(100*(P464+Q464)/F464,"")</f>
        <v>0.142208004845019</v>
      </c>
      <c r="AI464" s="18" t="n">
        <f aca="false">IFERROR(100*R464/K464,"")</f>
        <v>0.00391763004751017</v>
      </c>
      <c r="AJ464" s="18" t="n">
        <f aca="false">IF(T464&gt;0,100*S464/T464,"")</f>
        <v>14.6873232617526</v>
      </c>
      <c r="AK464" s="18" t="n">
        <f aca="false">IFERROR(100*U464/G464,"")</f>
        <v>0.393415877845515</v>
      </c>
      <c r="AL464" s="18" t="n">
        <f aca="false">IFERROR(100*J464/H464,"")</f>
        <v>91.6374913408741</v>
      </c>
      <c r="AM464" s="18" t="n">
        <f aca="false">IFERROR(100*L464/J464,"")</f>
        <v>80.5627775296995</v>
      </c>
      <c r="AN464" s="18" t="n">
        <f aca="false">IFERROR(100*M464/J464,"")</f>
        <v>13.7333992188934</v>
      </c>
      <c r="AO464" s="18" t="n">
        <f aca="false">IFERROR(100*N464/J464,"")</f>
        <v>0.729482352567837</v>
      </c>
    </row>
    <row r="465" customFormat="false" ht="15" hidden="false" customHeight="false" outlineLevel="0" collapsed="false">
      <c r="A465" s="17" t="n">
        <v>19531</v>
      </c>
      <c r="B465" s="23" t="n">
        <v>44834</v>
      </c>
      <c r="C465" s="17" t="s">
        <v>146</v>
      </c>
      <c r="D465" s="17" t="s">
        <v>108</v>
      </c>
      <c r="E465" s="17" t="s">
        <v>114</v>
      </c>
      <c r="F465" s="17" t="n">
        <v>2290994</v>
      </c>
      <c r="G465" s="17" t="n">
        <v>2275526.75</v>
      </c>
      <c r="H465" s="17" t="n">
        <v>1937924</v>
      </c>
      <c r="I465" s="17" t="n">
        <v>213958</v>
      </c>
      <c r="J465" s="17" t="n">
        <v>1815032</v>
      </c>
      <c r="K465" s="17" t="n">
        <v>1717277</v>
      </c>
      <c r="L465" s="17" t="n">
        <v>1463937</v>
      </c>
      <c r="M465" s="17" t="n">
        <v>236379</v>
      </c>
      <c r="N465" s="17" t="n">
        <v>13005</v>
      </c>
      <c r="O465" s="17" t="n">
        <v>5667</v>
      </c>
      <c r="P465" s="17" t="n">
        <v>3339</v>
      </c>
      <c r="Q465" s="17" t="n">
        <v>39</v>
      </c>
      <c r="R465" s="17" t="n">
        <v>123.9969</v>
      </c>
      <c r="S465" s="17" t="n">
        <v>280319</v>
      </c>
      <c r="T465" s="17" t="n">
        <v>1925402</v>
      </c>
      <c r="U465" s="17" t="n">
        <v>13011.6747</v>
      </c>
      <c r="V465" s="17" t="n">
        <v>0.571809349197939</v>
      </c>
      <c r="W465" s="17" t="n">
        <v>5.72</v>
      </c>
      <c r="X465" s="17" t="n">
        <v>3.57897912147177</v>
      </c>
      <c r="Y465" s="17" t="n">
        <v>1.29744268971566</v>
      </c>
      <c r="Z465" s="17" t="n">
        <v>14.5589856040453</v>
      </c>
      <c r="AA465" s="17" t="n">
        <v>9.33909036863475</v>
      </c>
      <c r="AB465" s="17"/>
      <c r="AC465" s="17"/>
      <c r="AD465" s="17"/>
      <c r="AE465" s="17"/>
      <c r="AF465" s="17"/>
      <c r="AG465" s="18" t="n">
        <f aca="false">IFERROR(100*O465/F465,"")</f>
        <v>0.247359879598113</v>
      </c>
      <c r="AH465" s="18" t="n">
        <f aca="false">IFERROR(100*(P465+Q465)/F465,"")</f>
        <v>0.147446916054778</v>
      </c>
      <c r="AI465" s="18" t="n">
        <f aca="false">IFERROR(100*R465/K465,"")</f>
        <v>0.0072205532363154</v>
      </c>
      <c r="AJ465" s="18" t="n">
        <f aca="false">IF(T465&gt;0,100*S465/T465,"")</f>
        <v>14.5589856040453</v>
      </c>
      <c r="AK465" s="18" t="n">
        <f aca="false">IFERROR(100*U465/G465,"")</f>
        <v>0.571809349197939</v>
      </c>
      <c r="AL465" s="18" t="n">
        <f aca="false">IFERROR(100*J465/H465,"")</f>
        <v>93.6585748460724</v>
      </c>
      <c r="AM465" s="18" t="n">
        <f aca="false">IFERROR(100*L465/J465,"")</f>
        <v>80.6562639116005</v>
      </c>
      <c r="AN465" s="18" t="n">
        <f aca="false">IFERROR(100*M465/J465,"")</f>
        <v>13.0234067498534</v>
      </c>
      <c r="AO465" s="18" t="n">
        <f aca="false">IFERROR(100*N465/J465,"")</f>
        <v>0.716516292825691</v>
      </c>
    </row>
    <row r="466" customFormat="false" ht="15" hidden="false" customHeight="false" outlineLevel="0" collapsed="false">
      <c r="A466" s="17" t="n">
        <v>19531</v>
      </c>
      <c r="B466" s="23" t="n">
        <v>44926</v>
      </c>
      <c r="C466" s="17" t="s">
        <v>146</v>
      </c>
      <c r="D466" s="17" t="s">
        <v>108</v>
      </c>
      <c r="E466" s="17" t="s">
        <v>114</v>
      </c>
      <c r="F466" s="17" t="n">
        <v>2360784</v>
      </c>
      <c r="G466" s="17" t="n">
        <v>2292578.2</v>
      </c>
      <c r="H466" s="17" t="n">
        <v>1966979</v>
      </c>
      <c r="I466" s="17" t="n">
        <v>223250</v>
      </c>
      <c r="J466" s="17" t="n">
        <v>1885573</v>
      </c>
      <c r="K466" s="17" t="n">
        <v>1750936.2</v>
      </c>
      <c r="L466" s="17" t="n">
        <v>1530116</v>
      </c>
      <c r="M466" s="17" t="n">
        <v>244556</v>
      </c>
      <c r="N466" s="17" t="n">
        <v>13770</v>
      </c>
      <c r="O466" s="17" t="n">
        <v>8354</v>
      </c>
      <c r="P466" s="17" t="n">
        <v>8421</v>
      </c>
      <c r="Q466" s="17" t="n">
        <v>0</v>
      </c>
      <c r="R466" s="17" t="n">
        <v>201</v>
      </c>
      <c r="S466" s="17" t="n">
        <v>287733</v>
      </c>
      <c r="T466" s="17" t="n">
        <v>2003515</v>
      </c>
      <c r="U466" s="17" t="n">
        <v>16139</v>
      </c>
      <c r="V466" s="17" t="n">
        <v>0.703967262708858</v>
      </c>
      <c r="W466" s="17" t="n">
        <v>7.12</v>
      </c>
      <c r="X466" s="17" t="n">
        <v>3.51497175830085</v>
      </c>
      <c r="Y466" s="17" t="n">
        <v>1.23835035822002</v>
      </c>
      <c r="Z466" s="17" t="n">
        <v>14.3614098222374</v>
      </c>
      <c r="AA466" s="17" t="n">
        <v>9.45660424672482</v>
      </c>
      <c r="AB466" s="17"/>
      <c r="AC466" s="17"/>
      <c r="AD466" s="17"/>
      <c r="AE466" s="17"/>
      <c r="AF466" s="17"/>
      <c r="AG466" s="18" t="n">
        <f aca="false">IFERROR(100*O466/F466,"")</f>
        <v>0.353865495530298</v>
      </c>
      <c r="AH466" s="18" t="n">
        <f aca="false">IFERROR(100*(P466+Q466)/F466,"")</f>
        <v>0.356703535774556</v>
      </c>
      <c r="AI466" s="18" t="n">
        <f aca="false">IFERROR(100*R466/K466,"")</f>
        <v>0.0114795730421246</v>
      </c>
      <c r="AJ466" s="18" t="n">
        <f aca="false">IF(T466&gt;0,100*S466/T466,"")</f>
        <v>14.3614098222374</v>
      </c>
      <c r="AK466" s="18" t="n">
        <f aca="false">IFERROR(100*U466/G466,"")</f>
        <v>0.703967262708858</v>
      </c>
      <c r="AL466" s="18" t="n">
        <f aca="false">IFERROR(100*J466/H466,"")</f>
        <v>95.8613691351052</v>
      </c>
      <c r="AM466" s="18" t="n">
        <f aca="false">IFERROR(100*L466/J466,"")</f>
        <v>81.1485951485305</v>
      </c>
      <c r="AN466" s="18" t="n">
        <f aca="false">IFERROR(100*M466/J466,"")</f>
        <v>12.9698505441052</v>
      </c>
      <c r="AO466" s="18" t="n">
        <f aca="false">IFERROR(100*N466/J466,"")</f>
        <v>0.730281988552021</v>
      </c>
    </row>
    <row r="467" customFormat="false" ht="15" hidden="false" customHeight="false" outlineLevel="0" collapsed="false">
      <c r="A467" s="17" t="n">
        <v>19531</v>
      </c>
      <c r="B467" s="23" t="n">
        <v>45016</v>
      </c>
      <c r="C467" s="17" t="s">
        <v>146</v>
      </c>
      <c r="D467" s="17" t="s">
        <v>108</v>
      </c>
      <c r="E467" s="17" t="s">
        <v>114</v>
      </c>
      <c r="F467" s="17" t="n">
        <v>2391401</v>
      </c>
      <c r="G467" s="17" t="n">
        <v>2376092.5</v>
      </c>
      <c r="H467" s="17" t="n">
        <v>1997122</v>
      </c>
      <c r="I467" s="17" t="n">
        <v>231126</v>
      </c>
      <c r="J467" s="17" t="n">
        <v>1912462</v>
      </c>
      <c r="K467" s="17" t="n">
        <v>1899017.5</v>
      </c>
      <c r="L467" s="17" t="n">
        <v>1564296</v>
      </c>
      <c r="M467" s="17" t="n">
        <v>238788</v>
      </c>
      <c r="N467" s="17" t="n">
        <v>14418</v>
      </c>
      <c r="O467" s="17" t="n">
        <v>14969</v>
      </c>
      <c r="P467" s="17" t="n">
        <v>8568</v>
      </c>
      <c r="Q467" s="17" t="n">
        <v>0</v>
      </c>
      <c r="R467" s="17" t="n">
        <v>96</v>
      </c>
      <c r="S467" s="17" t="n">
        <v>291376</v>
      </c>
      <c r="T467" s="17" t="n">
        <v>2046603</v>
      </c>
      <c r="U467" s="17" t="n">
        <v>14228</v>
      </c>
      <c r="V467" s="17" t="n">
        <v>0.598798237021496</v>
      </c>
      <c r="W467" s="17" t="n">
        <v>6.26</v>
      </c>
      <c r="X467" s="17" t="n">
        <v>2.83903414631549</v>
      </c>
      <c r="Y467" s="17" t="n">
        <v>1.21529212083691</v>
      </c>
      <c r="Z467" s="17" t="n">
        <v>14.2370552569306</v>
      </c>
      <c r="AA467" s="17" t="n">
        <v>9.66487845409448</v>
      </c>
      <c r="AB467" s="17" t="n">
        <v>10.0457043354695</v>
      </c>
      <c r="AC467" s="17" t="n">
        <v>16.3844579084582</v>
      </c>
      <c r="AD467" s="17" t="n">
        <v>3.87945517851922</v>
      </c>
      <c r="AE467" s="17" t="n">
        <v>-0.126986165972144</v>
      </c>
      <c r="AF467" s="17" t="n">
        <v>0.349939581607541</v>
      </c>
      <c r="AG467" s="18" t="n">
        <f aca="false">IFERROR(100*O467/F467,"")</f>
        <v>0.625951063832456</v>
      </c>
      <c r="AH467" s="18" t="n">
        <f aca="false">IFERROR(100*(P467+Q467)/F467,"")</f>
        <v>0.358283700642427</v>
      </c>
      <c r="AI467" s="18" t="n">
        <f aca="false">IFERROR(100*R467/K467,"")</f>
        <v>0.00505524567309148</v>
      </c>
      <c r="AJ467" s="18" t="n">
        <f aca="false">IF(T467&gt;0,100*S467/T467,"")</f>
        <v>14.2370552569306</v>
      </c>
      <c r="AK467" s="18" t="n">
        <f aca="false">IFERROR(100*U467/G467,"")</f>
        <v>0.598798237021497</v>
      </c>
      <c r="AL467" s="18" t="n">
        <f aca="false">IFERROR(100*J467/H467,"")</f>
        <v>95.7608999350065</v>
      </c>
      <c r="AM467" s="18" t="n">
        <f aca="false">IFERROR(100*L467/J467,"")</f>
        <v>81.7948801074218</v>
      </c>
      <c r="AN467" s="18" t="n">
        <f aca="false">IFERROR(100*M467/J467,"")</f>
        <v>12.4858951445833</v>
      </c>
      <c r="AO467" s="18" t="n">
        <f aca="false">IFERROR(100*N467/J467,"")</f>
        <v>0.753897332339152</v>
      </c>
    </row>
    <row r="468" customFormat="false" ht="15" hidden="false" customHeight="false" outlineLevel="0" collapsed="false">
      <c r="A468" s="17" t="n">
        <v>19531</v>
      </c>
      <c r="B468" s="23" t="n">
        <v>45107</v>
      </c>
      <c r="C468" s="17" t="s">
        <v>146</v>
      </c>
      <c r="D468" s="17" t="s">
        <v>108</v>
      </c>
      <c r="E468" s="17" t="s">
        <v>114</v>
      </c>
      <c r="F468" s="17" t="n">
        <v>2396062</v>
      </c>
      <c r="G468" s="17" t="n">
        <v>2382749</v>
      </c>
      <c r="H468" s="17" t="n">
        <v>1963859</v>
      </c>
      <c r="I468" s="17" t="n">
        <v>235363</v>
      </c>
      <c r="J468" s="17" t="n">
        <v>1948994</v>
      </c>
      <c r="K468" s="17" t="n">
        <v>1915676.33333333</v>
      </c>
      <c r="L468" s="17" t="n">
        <v>1592985</v>
      </c>
      <c r="M468" s="17" t="n">
        <v>238802</v>
      </c>
      <c r="N468" s="17" t="n">
        <v>15221</v>
      </c>
      <c r="O468" s="17" t="n">
        <v>11853</v>
      </c>
      <c r="P468" s="17" t="n">
        <v>2559</v>
      </c>
      <c r="Q468" s="17" t="n">
        <v>65</v>
      </c>
      <c r="R468" s="17" t="n">
        <v>2154</v>
      </c>
      <c r="S468" s="17" t="n">
        <v>292350</v>
      </c>
      <c r="T468" s="17" t="n">
        <v>2039919</v>
      </c>
      <c r="U468" s="17" t="n">
        <v>11026</v>
      </c>
      <c r="V468" s="17" t="n">
        <v>0.462742823520228</v>
      </c>
      <c r="W468" s="17" t="n">
        <v>4.8</v>
      </c>
      <c r="X468" s="17" t="n">
        <v>2.73756903103094</v>
      </c>
      <c r="Y468" s="17" t="n">
        <v>1.16162492034352</v>
      </c>
      <c r="Z468" s="17" t="n">
        <v>14.3314513958643</v>
      </c>
      <c r="AA468" s="17" t="n">
        <v>9.82290942387968</v>
      </c>
      <c r="AB468" s="17" t="n">
        <v>5.45936134477452</v>
      </c>
      <c r="AC468" s="17" t="n">
        <v>10.4448635330225</v>
      </c>
      <c r="AD468" s="17" t="n">
        <v>1.98082373602726</v>
      </c>
      <c r="AE468" s="17" t="n">
        <v>0.0693269456747129</v>
      </c>
      <c r="AF468" s="17" t="n">
        <v>0.241608385871295</v>
      </c>
      <c r="AG468" s="18" t="n">
        <f aca="false">IFERROR(100*O468/F468,"")</f>
        <v>0.494686698424331</v>
      </c>
      <c r="AH468" s="18" t="n">
        <f aca="false">IFERROR(100*(P468+Q468)/F468,"")</f>
        <v>0.109513025956757</v>
      </c>
      <c r="AI468" s="18" t="n">
        <f aca="false">IFERROR(100*R468/K468,"")</f>
        <v>0.112440706319735</v>
      </c>
      <c r="AJ468" s="18" t="n">
        <f aca="false">IF(T468&gt;0,100*S468/T468,"")</f>
        <v>14.3314513958642</v>
      </c>
      <c r="AK468" s="18" t="n">
        <f aca="false">IFERROR(100*U468/G468,"")</f>
        <v>0.462742823520228</v>
      </c>
      <c r="AL468" s="18" t="n">
        <f aca="false">IFERROR(100*J468/H468,"")</f>
        <v>99.2430719313352</v>
      </c>
      <c r="AM468" s="18" t="n">
        <f aca="false">IFERROR(100*L468/J468,"")</f>
        <v>81.7337046702042</v>
      </c>
      <c r="AN468" s="18" t="n">
        <f aca="false">IFERROR(100*M468/J468,"")</f>
        <v>12.2525774835633</v>
      </c>
      <c r="AO468" s="18" t="n">
        <f aca="false">IFERROR(100*N468/J468,"")</f>
        <v>0.780967001437665</v>
      </c>
    </row>
    <row r="469" customFormat="false" ht="15" hidden="false" customHeight="false" outlineLevel="0" collapsed="false">
      <c r="A469" s="17" t="n">
        <v>19531</v>
      </c>
      <c r="B469" s="23" t="n">
        <v>45199</v>
      </c>
      <c r="C469" s="17" t="s">
        <v>146</v>
      </c>
      <c r="D469" s="17" t="s">
        <v>108</v>
      </c>
      <c r="E469" s="17" t="s">
        <v>114</v>
      </c>
      <c r="F469" s="17" t="n">
        <v>2461701</v>
      </c>
      <c r="G469" s="17" t="n">
        <v>2402487</v>
      </c>
      <c r="H469" s="17" t="n">
        <v>2036756</v>
      </c>
      <c r="I469" s="17" t="n">
        <v>225877</v>
      </c>
      <c r="J469" s="17" t="n">
        <v>1986315</v>
      </c>
      <c r="K469" s="17" t="n">
        <v>1933336</v>
      </c>
      <c r="L469" s="17" t="n">
        <v>1627608</v>
      </c>
      <c r="M469" s="17" t="n">
        <v>237278</v>
      </c>
      <c r="N469" s="17" t="n">
        <v>14701</v>
      </c>
      <c r="O469" s="17" t="n">
        <v>9780</v>
      </c>
      <c r="P469" s="17" t="n">
        <v>4674</v>
      </c>
      <c r="Q469" s="17" t="n">
        <v>0</v>
      </c>
      <c r="R469" s="17" t="n">
        <v>1526.6285</v>
      </c>
      <c r="S469" s="17" t="n">
        <v>294912</v>
      </c>
      <c r="T469" s="17" t="n">
        <v>2063567</v>
      </c>
      <c r="U469" s="17" t="n">
        <v>10762.3976</v>
      </c>
      <c r="V469" s="17" t="n">
        <v>0.447969025430731</v>
      </c>
      <c r="W469" s="17" t="n">
        <v>4.7</v>
      </c>
      <c r="X469" s="17" t="n">
        <v>2.71472125457892</v>
      </c>
      <c r="Y469" s="17" t="n">
        <v>1.14261836617052</v>
      </c>
      <c r="Z469" s="17" t="n">
        <v>14.2913702341625</v>
      </c>
      <c r="AA469" s="17" t="n">
        <v>9.17564724554282</v>
      </c>
      <c r="AB469" s="17" t="n">
        <v>7.45121986351776</v>
      </c>
      <c r="AC469" s="17" t="n">
        <v>9.43691350896292</v>
      </c>
      <c r="AD469" s="17" t="n">
        <v>5.09989039817866</v>
      </c>
      <c r="AE469" s="17" t="n">
        <v>-0.123840323767208</v>
      </c>
      <c r="AF469" s="17" t="n">
        <v>0.149926387093089</v>
      </c>
      <c r="AG469" s="18" t="n">
        <f aca="false">IFERROR(100*O469/F469,"")</f>
        <v>0.397286266691203</v>
      </c>
      <c r="AH469" s="18" t="n">
        <f aca="false">IFERROR(100*(P469+Q469)/F469,"")</f>
        <v>0.189868712731562</v>
      </c>
      <c r="AI469" s="18" t="n">
        <f aca="false">IFERROR(100*R469/K469,"")</f>
        <v>0.0789634341883666</v>
      </c>
      <c r="AJ469" s="18" t="n">
        <f aca="false">IF(T469&gt;0,100*S469/T469,"")</f>
        <v>14.2913702341625</v>
      </c>
      <c r="AK469" s="18" t="n">
        <f aca="false">IFERROR(100*U469/G469,"")</f>
        <v>0.447969025430731</v>
      </c>
      <c r="AL469" s="18" t="n">
        <f aca="false">IFERROR(100*J469/H469,"")</f>
        <v>97.5234637826033</v>
      </c>
      <c r="AM469" s="18" t="n">
        <f aca="false">IFERROR(100*L469/J469,"")</f>
        <v>81.9410818525763</v>
      </c>
      <c r="AN469" s="18" t="n">
        <f aca="false">IFERROR(100*M469/J469,"")</f>
        <v>11.945638028208</v>
      </c>
      <c r="AO469" s="18" t="n">
        <f aca="false">IFERROR(100*N469/J469,"")</f>
        <v>0.740114231629928</v>
      </c>
    </row>
    <row r="470" customFormat="false" ht="15" hidden="false" customHeight="false" outlineLevel="0" collapsed="false">
      <c r="A470" s="17" t="n">
        <v>19531</v>
      </c>
      <c r="B470" s="23" t="n">
        <v>45291</v>
      </c>
      <c r="C470" s="17" t="s">
        <v>146</v>
      </c>
      <c r="D470" s="17" t="s">
        <v>108</v>
      </c>
      <c r="E470" s="17" t="s">
        <v>114</v>
      </c>
      <c r="F470" s="17" t="n">
        <v>2483046</v>
      </c>
      <c r="G470" s="17" t="n">
        <v>2418598.8</v>
      </c>
      <c r="H470" s="17" t="n">
        <v>2045823</v>
      </c>
      <c r="I470" s="17" t="n">
        <v>242363</v>
      </c>
      <c r="J470" s="17" t="n">
        <v>1996479</v>
      </c>
      <c r="K470" s="17" t="n">
        <v>1945964.6</v>
      </c>
      <c r="L470" s="17" t="n">
        <v>1632308</v>
      </c>
      <c r="M470" s="17" t="n">
        <v>248052</v>
      </c>
      <c r="N470" s="17" t="n">
        <v>14524</v>
      </c>
      <c r="O470" s="17" t="n">
        <v>6950</v>
      </c>
      <c r="P470" s="17" t="n">
        <v>8747</v>
      </c>
      <c r="Q470" s="17" t="n">
        <v>53</v>
      </c>
      <c r="R470" s="17" t="n">
        <v>433</v>
      </c>
      <c r="S470" s="17" t="n">
        <v>296808</v>
      </c>
      <c r="T470" s="17" t="n">
        <v>2056522</v>
      </c>
      <c r="U470" s="17" t="n">
        <v>11685</v>
      </c>
      <c r="V470" s="17" t="n">
        <v>0.483130976497632</v>
      </c>
      <c r="W470" s="17" t="n">
        <v>5.05</v>
      </c>
      <c r="X470" s="17" t="n">
        <v>2.72825941963083</v>
      </c>
      <c r="Y470" s="17" t="n">
        <v>1.05420592953895</v>
      </c>
      <c r="Z470" s="17" t="n">
        <v>14.4325224821325</v>
      </c>
      <c r="AA470" s="17" t="n">
        <v>9.76071325299652</v>
      </c>
      <c r="AB470" s="17" t="n">
        <v>5.17887278124556</v>
      </c>
      <c r="AC470" s="17" t="n">
        <v>5.88181947874731</v>
      </c>
      <c r="AD470" s="17" t="n">
        <v>4.00838036399982</v>
      </c>
      <c r="AE470" s="17" t="n">
        <v>-0.220836286211226</v>
      </c>
      <c r="AF470" s="17" t="n">
        <v>-0.0739673381864554</v>
      </c>
      <c r="AG470" s="18" t="n">
        <f aca="false">IFERROR(100*O470/F470,"")</f>
        <v>0.279898157343843</v>
      </c>
      <c r="AH470" s="18" t="n">
        <f aca="false">IFERROR(100*(P470+Q470)/F470,"")</f>
        <v>0.354403422248319</v>
      </c>
      <c r="AI470" s="18" t="n">
        <f aca="false">IFERROR(100*R470/K470,"")</f>
        <v>0.0222511755866474</v>
      </c>
      <c r="AJ470" s="18" t="n">
        <f aca="false">IF(T470&gt;0,100*S470/T470,"")</f>
        <v>14.4325224821325</v>
      </c>
      <c r="AK470" s="18" t="n">
        <f aca="false">IFERROR(100*U470/G470,"")</f>
        <v>0.483130976497632</v>
      </c>
      <c r="AL470" s="18" t="n">
        <f aca="false">IFERROR(100*J470/H470,"")</f>
        <v>97.5880611372538</v>
      </c>
      <c r="AM470" s="18" t="n">
        <f aca="false">IFERROR(100*L470/J470,"")</f>
        <v>81.7593373133401</v>
      </c>
      <c r="AN470" s="18" t="n">
        <f aca="false">IFERROR(100*M470/J470,"")</f>
        <v>12.4244732852186</v>
      </c>
      <c r="AO470" s="18" t="n">
        <f aca="false">IFERROR(100*N470/J470,"")</f>
        <v>0.727480729824857</v>
      </c>
    </row>
    <row r="471" customFormat="false" ht="15" hidden="false" customHeight="false" outlineLevel="0" collapsed="false">
      <c r="A471" s="17" t="n">
        <v>19531</v>
      </c>
      <c r="B471" s="23" t="n">
        <v>45382</v>
      </c>
      <c r="C471" s="17" t="s">
        <v>146</v>
      </c>
      <c r="D471" s="17" t="s">
        <v>108</v>
      </c>
      <c r="E471" s="17" t="s">
        <v>114</v>
      </c>
      <c r="F471" s="17" t="n">
        <v>2536962</v>
      </c>
      <c r="G471" s="17" t="n">
        <v>2510004</v>
      </c>
      <c r="H471" s="17" t="n">
        <v>1943034</v>
      </c>
      <c r="I471" s="17" t="n">
        <v>242536</v>
      </c>
      <c r="J471" s="17" t="n">
        <v>2037730</v>
      </c>
      <c r="K471" s="17" t="n">
        <v>2017104.5</v>
      </c>
      <c r="L471" s="17" t="n">
        <v>1667925</v>
      </c>
      <c r="M471" s="17" t="n">
        <v>257202</v>
      </c>
      <c r="N471" s="17" t="n">
        <v>12370</v>
      </c>
      <c r="O471" s="17" t="n">
        <v>8011</v>
      </c>
      <c r="P471" s="17" t="n">
        <v>9492</v>
      </c>
      <c r="Q471" s="17" t="n">
        <v>26</v>
      </c>
      <c r="R471" s="17" t="n">
        <v>564</v>
      </c>
      <c r="S471" s="17" t="n">
        <v>298569</v>
      </c>
      <c r="T471" s="17" t="n">
        <v>2085552</v>
      </c>
      <c r="U471" s="17" t="n">
        <v>7608</v>
      </c>
      <c r="V471" s="17" t="n">
        <v>0.303107086681934</v>
      </c>
      <c r="W471" s="17" t="n">
        <v>3.14</v>
      </c>
      <c r="X471" s="17" t="n">
        <v>2.58073221173921</v>
      </c>
      <c r="Y471" s="17" t="n">
        <v>1.027663134959</v>
      </c>
      <c r="Z471" s="17" t="n">
        <v>14.3160659623927</v>
      </c>
      <c r="AA471" s="17" t="n">
        <v>9.56009589422309</v>
      </c>
      <c r="AB471" s="17" t="n">
        <v>6.08685034421246</v>
      </c>
      <c r="AC471" s="17" t="n">
        <v>6.55009092991128</v>
      </c>
      <c r="AD471" s="17" t="n">
        <v>-2.70829723972796</v>
      </c>
      <c r="AE471" s="17" t="n">
        <v>-0.295691150339563</v>
      </c>
      <c r="AF471" s="17" t="n">
        <v>-0.310179680579574</v>
      </c>
      <c r="AG471" s="18" t="n">
        <f aca="false">IFERROR(100*O471/F471,"")</f>
        <v>0.315771383252883</v>
      </c>
      <c r="AH471" s="18" t="n">
        <f aca="false">IFERROR(100*(P471+Q471)/F471,"")</f>
        <v>0.375173140157401</v>
      </c>
      <c r="AI471" s="18" t="n">
        <f aca="false">IFERROR(100*R471/K471,"")</f>
        <v>0.0279608716355548</v>
      </c>
      <c r="AJ471" s="18" t="n">
        <f aca="false">IF(T471&gt;0,100*S471/T471,"")</f>
        <v>14.3160659623927</v>
      </c>
      <c r="AK471" s="18" t="n">
        <f aca="false">IFERROR(100*U471/G471,"")</f>
        <v>0.303107086681934</v>
      </c>
      <c r="AL471" s="18" t="n">
        <f aca="false">IFERROR(100*J471/H471,"")</f>
        <v>104.873615181206</v>
      </c>
      <c r="AM471" s="18" t="n">
        <f aca="false">IFERROR(100*L471/J471,"")</f>
        <v>81.8521099458711</v>
      </c>
      <c r="AN471" s="18" t="n">
        <f aca="false">IFERROR(100*M471/J471,"")</f>
        <v>12.6219862297753</v>
      </c>
      <c r="AO471" s="18" t="n">
        <f aca="false">IFERROR(100*N471/J471,"")</f>
        <v>0.607048038749</v>
      </c>
    </row>
    <row r="472" customFormat="false" ht="15" hidden="false" customHeight="false" outlineLevel="0" collapsed="false">
      <c r="A472" s="17" t="n">
        <v>19531</v>
      </c>
      <c r="B472" s="23" t="n">
        <v>45473</v>
      </c>
      <c r="C472" s="17" t="s">
        <v>146</v>
      </c>
      <c r="D472" s="17" t="s">
        <v>108</v>
      </c>
      <c r="E472" s="17" t="s">
        <v>114</v>
      </c>
      <c r="F472" s="17" t="n">
        <v>2602801</v>
      </c>
      <c r="G472" s="17" t="n">
        <v>2540936.33333333</v>
      </c>
      <c r="H472" s="17" t="n">
        <v>2007423</v>
      </c>
      <c r="I472" s="17" t="n">
        <v>245672</v>
      </c>
      <c r="J472" s="17" t="n">
        <v>2138891</v>
      </c>
      <c r="K472" s="17" t="n">
        <v>2057700</v>
      </c>
      <c r="L472" s="17" t="n">
        <v>1752265</v>
      </c>
      <c r="M472" s="17" t="n">
        <v>263338</v>
      </c>
      <c r="N472" s="17" t="n">
        <v>10817</v>
      </c>
      <c r="O472" s="17" t="n">
        <v>8076</v>
      </c>
      <c r="P472" s="17" t="n">
        <v>3260</v>
      </c>
      <c r="Q472" s="17" t="n">
        <v>12</v>
      </c>
      <c r="R472" s="17" t="n">
        <v>904</v>
      </c>
      <c r="S472" s="17" t="n">
        <v>300974</v>
      </c>
      <c r="T472" s="17" t="n">
        <v>2192949</v>
      </c>
      <c r="U472" s="17" t="n">
        <v>9236</v>
      </c>
      <c r="V472" s="17" t="n">
        <v>0.363488052763752</v>
      </c>
      <c r="W472" s="17" t="n">
        <v>3.79</v>
      </c>
      <c r="X472" s="17" t="n">
        <v>2.59185271893759</v>
      </c>
      <c r="Y472" s="17" t="n">
        <v>0.956383471621509</v>
      </c>
      <c r="Z472" s="17" t="n">
        <v>13.7246237828604</v>
      </c>
      <c r="AA472" s="17" t="n">
        <v>9.43875463395012</v>
      </c>
      <c r="AB472" s="17" t="n">
        <v>8.62828257365626</v>
      </c>
      <c r="AC472" s="17" t="n">
        <v>9.74333425346614</v>
      </c>
      <c r="AD472" s="17" t="n">
        <v>2.21828552864538</v>
      </c>
      <c r="AE472" s="17" t="n">
        <v>-0.0992547707564765</v>
      </c>
      <c r="AF472" s="17" t="n">
        <v>-0.184405582042403</v>
      </c>
      <c r="AG472" s="18" t="n">
        <f aca="false">IFERROR(100*O472/F472,"")</f>
        <v>0.310281116381929</v>
      </c>
      <c r="AH472" s="18" t="n">
        <f aca="false">IFERROR(100*(P472+Q472)/F472,"")</f>
        <v>0.125710724715412</v>
      </c>
      <c r="AI472" s="18" t="n">
        <f aca="false">IFERROR(100*R472/K472,"")</f>
        <v>0.0439325460465568</v>
      </c>
      <c r="AJ472" s="18" t="n">
        <f aca="false">IF(T472&gt;0,100*S472/T472,"")</f>
        <v>13.7246237828604</v>
      </c>
      <c r="AK472" s="18" t="n">
        <f aca="false">IFERROR(100*U472/G472,"")</f>
        <v>0.363488052763752</v>
      </c>
      <c r="AL472" s="18" t="n">
        <f aca="false">IFERROR(100*J472/H472,"")</f>
        <v>106.549093041178</v>
      </c>
      <c r="AM472" s="18" t="n">
        <f aca="false">IFERROR(100*L472/J472,"")</f>
        <v>81.9239970620289</v>
      </c>
      <c r="AN472" s="18" t="n">
        <f aca="false">IFERROR(100*M472/J472,"")</f>
        <v>12.3118943415069</v>
      </c>
      <c r="AO472" s="18" t="n">
        <f aca="false">IFERROR(100*N472/J472,"")</f>
        <v>0.505729370968413</v>
      </c>
    </row>
    <row r="473" customFormat="false" ht="15" hidden="false" customHeight="false" outlineLevel="0" collapsed="false">
      <c r="A473" s="17" t="n">
        <v>19531</v>
      </c>
      <c r="B473" s="23" t="n">
        <v>45565</v>
      </c>
      <c r="C473" s="17" t="s">
        <v>146</v>
      </c>
      <c r="D473" s="17" t="s">
        <v>108</v>
      </c>
      <c r="E473" s="17" t="s">
        <v>114</v>
      </c>
      <c r="F473" s="17" t="n">
        <v>2632240</v>
      </c>
      <c r="G473" s="17" t="n">
        <v>2563762.25</v>
      </c>
      <c r="H473" s="17" t="n">
        <v>2115575</v>
      </c>
      <c r="I473" s="17" t="n">
        <v>257463</v>
      </c>
      <c r="J473" s="17" t="n">
        <v>2161349</v>
      </c>
      <c r="K473" s="17" t="n">
        <v>2083612.25</v>
      </c>
      <c r="L473" s="17" t="n">
        <v>1773165</v>
      </c>
      <c r="M473" s="17" t="n">
        <v>265218</v>
      </c>
      <c r="N473" s="17" t="n">
        <v>9142</v>
      </c>
      <c r="O473" s="17" t="n">
        <v>6917</v>
      </c>
      <c r="P473" s="17" t="n">
        <v>3153</v>
      </c>
      <c r="Q473" s="17" t="n">
        <v>8</v>
      </c>
      <c r="R473" s="17" t="n">
        <v>659.9835</v>
      </c>
      <c r="S473" s="17" t="n">
        <v>304046</v>
      </c>
      <c r="T473" s="17" t="n">
        <v>2200791</v>
      </c>
      <c r="U473" s="17" t="n">
        <v>11643.7089</v>
      </c>
      <c r="V473" s="17" t="n">
        <v>0.454164925004259</v>
      </c>
      <c r="W473" s="17" t="n">
        <v>4.71</v>
      </c>
      <c r="X473" s="17" t="n">
        <v>2.67251082299445</v>
      </c>
      <c r="Y473" s="17" t="n">
        <v>0.900086011097699</v>
      </c>
      <c r="Z473" s="17" t="n">
        <v>13.8153054969781</v>
      </c>
      <c r="AA473" s="17" t="n">
        <v>9.78113697839103</v>
      </c>
      <c r="AB473" s="17" t="n">
        <v>6.92768943100726</v>
      </c>
      <c r="AC473" s="17" t="n">
        <v>8.81199608319929</v>
      </c>
      <c r="AD473" s="17" t="n">
        <v>3.86983025949108</v>
      </c>
      <c r="AE473" s="17" t="n">
        <v>0.00619589957352806</v>
      </c>
      <c r="AF473" s="17" t="n">
        <v>-0.134506277024607</v>
      </c>
      <c r="AG473" s="18" t="n">
        <f aca="false">IFERROR(100*O473/F473,"")</f>
        <v>0.262779989666596</v>
      </c>
      <c r="AH473" s="18" t="n">
        <f aca="false">IFERROR(100*(P473+Q473)/F473,"")</f>
        <v>0.120087833936115</v>
      </c>
      <c r="AI473" s="18" t="n">
        <f aca="false">IFERROR(100*R473/K473,"")</f>
        <v>0.0316749673553705</v>
      </c>
      <c r="AJ473" s="18" t="n">
        <f aca="false">IF(T473&gt;0,100*S473/T473,"")</f>
        <v>13.8153054969781</v>
      </c>
      <c r="AK473" s="18" t="n">
        <f aca="false">IFERROR(100*U473/G473,"")</f>
        <v>0.454164925004259</v>
      </c>
      <c r="AL473" s="18" t="n">
        <f aca="false">IFERROR(100*J473/H473,"")</f>
        <v>102.163667088144</v>
      </c>
      <c r="AM473" s="18" t="n">
        <f aca="false">IFERROR(100*L473/J473,"")</f>
        <v>82.0397353689756</v>
      </c>
      <c r="AN473" s="18" t="n">
        <f aca="false">IFERROR(100*M473/J473,"")</f>
        <v>12.2709474499491</v>
      </c>
      <c r="AO473" s="18" t="n">
        <f aca="false">IFERROR(100*N473/J473,"")</f>
        <v>0.422976576203103</v>
      </c>
    </row>
    <row r="474" customFormat="false" ht="15" hidden="false" customHeight="false" outlineLevel="0" collapsed="false">
      <c r="A474" s="17" t="n">
        <v>19531</v>
      </c>
      <c r="B474" s="23" t="n">
        <v>45657</v>
      </c>
      <c r="C474" s="17" t="s">
        <v>146</v>
      </c>
      <c r="D474" s="17" t="s">
        <v>108</v>
      </c>
      <c r="E474" s="17" t="s">
        <v>114</v>
      </c>
      <c r="F474" s="17" t="n">
        <v>2607826</v>
      </c>
      <c r="G474" s="17" t="n">
        <v>2572575</v>
      </c>
      <c r="H474" s="17" t="n">
        <v>2305045</v>
      </c>
      <c r="I474" s="17" t="n">
        <v>258848</v>
      </c>
      <c r="J474" s="17" t="n">
        <v>2155933</v>
      </c>
      <c r="K474" s="17" t="n">
        <v>2098076.4</v>
      </c>
      <c r="L474" s="17" t="n">
        <v>1794381</v>
      </c>
      <c r="M474" s="17" t="n">
        <v>255345</v>
      </c>
      <c r="N474" s="17" t="n">
        <v>8027</v>
      </c>
      <c r="O474" s="17" t="n">
        <v>6433</v>
      </c>
      <c r="P474" s="17" t="n">
        <v>11164</v>
      </c>
      <c r="Q474" s="17" t="n">
        <v>47</v>
      </c>
      <c r="R474" s="17" t="n">
        <v>853</v>
      </c>
      <c r="S474" s="17" t="n">
        <v>309576</v>
      </c>
      <c r="T474" s="17" t="n">
        <v>2194493</v>
      </c>
      <c r="U474" s="17" t="n">
        <v>14621</v>
      </c>
      <c r="V474" s="17" t="n">
        <v>0.568341059055616</v>
      </c>
      <c r="W474" s="17" t="n">
        <v>5.86</v>
      </c>
      <c r="X474" s="17" t="n">
        <v>2.78753272638901</v>
      </c>
      <c r="Y474" s="17" t="n">
        <v>0.885741811085966</v>
      </c>
      <c r="Z474" s="17" t="n">
        <v>14.1069486209343</v>
      </c>
      <c r="AA474" s="17" t="n">
        <v>9.9258156027281</v>
      </c>
      <c r="AB474" s="17" t="n">
        <v>5.02527943501652</v>
      </c>
      <c r="AC474" s="17" t="n">
        <v>7.98676069219861</v>
      </c>
      <c r="AD474" s="17" t="n">
        <v>12.6707931233543</v>
      </c>
      <c r="AE474" s="17" t="n">
        <v>0.0852100825579839</v>
      </c>
      <c r="AF474" s="17" t="n">
        <v>-0.0332175889316867</v>
      </c>
      <c r="AG474" s="18" t="n">
        <f aca="false">IFERROR(100*O474/F474,"")</f>
        <v>0.246680568412156</v>
      </c>
      <c r="AH474" s="18" t="n">
        <f aca="false">IFERROR(100*(P474+Q474)/F474,"")</f>
        <v>0.429898313767866</v>
      </c>
      <c r="AI474" s="18" t="n">
        <f aca="false">IFERROR(100*R474/K474,"")</f>
        <v>0.0406562887795697</v>
      </c>
      <c r="AJ474" s="18" t="n">
        <f aca="false">IF(T474&gt;0,100*S474/T474,"")</f>
        <v>14.1069486209343</v>
      </c>
      <c r="AK474" s="18" t="n">
        <f aca="false">IFERROR(100*U474/G474,"")</f>
        <v>0.568341059055616</v>
      </c>
      <c r="AL474" s="18" t="n">
        <f aca="false">IFERROR(100*J474/H474,"")</f>
        <v>93.5310590465696</v>
      </c>
      <c r="AM474" s="18" t="n">
        <f aca="false">IFERROR(100*L474/J474,"")</f>
        <v>83.2299055675663</v>
      </c>
      <c r="AN474" s="18" t="n">
        <f aca="false">IFERROR(100*M474/J474,"")</f>
        <v>11.8438281709125</v>
      </c>
      <c r="AO474" s="18" t="n">
        <f aca="false">IFERROR(100*N474/J474,"")</f>
        <v>0.372321403308915</v>
      </c>
    </row>
    <row r="475" customFormat="false" ht="15" hidden="false" customHeight="false" outlineLevel="0" collapsed="false">
      <c r="A475" s="17" t="n">
        <v>19531</v>
      </c>
      <c r="B475" s="23" t="n">
        <v>45747</v>
      </c>
      <c r="C475" s="17" t="s">
        <v>146</v>
      </c>
      <c r="D475" s="17" t="s">
        <v>108</v>
      </c>
      <c r="E475" s="17" t="s">
        <v>114</v>
      </c>
      <c r="F475" s="17" t="n">
        <v>2567242</v>
      </c>
      <c r="G475" s="17" t="n">
        <v>2587534</v>
      </c>
      <c r="H475" s="17" t="n">
        <v>2162803</v>
      </c>
      <c r="I475" s="17" t="n">
        <v>266786</v>
      </c>
      <c r="J475" s="17" t="n">
        <v>2179021</v>
      </c>
      <c r="K475" s="17" t="n">
        <v>2167477</v>
      </c>
      <c r="L475" s="17" t="n">
        <v>1814549</v>
      </c>
      <c r="M475" s="17" t="n">
        <v>257734</v>
      </c>
      <c r="N475" s="17" t="n">
        <v>6994</v>
      </c>
      <c r="O475" s="17" t="n">
        <v>7253</v>
      </c>
      <c r="P475" s="17" t="n">
        <v>22725</v>
      </c>
      <c r="Q475" s="17" t="n">
        <v>46</v>
      </c>
      <c r="R475" s="17" t="n">
        <v>-1336</v>
      </c>
      <c r="S475" s="17" t="n">
        <v>314027</v>
      </c>
      <c r="T475" s="17" t="n">
        <v>2103625</v>
      </c>
      <c r="U475" s="17" t="n">
        <v>16472</v>
      </c>
      <c r="V475" s="17" t="n">
        <v>0.636590668953529</v>
      </c>
      <c r="W475" s="17" t="n">
        <v>6.27</v>
      </c>
      <c r="X475" s="17" t="n">
        <v>3.12555213929317</v>
      </c>
      <c r="Y475" s="17" t="n">
        <v>0.886728489537274</v>
      </c>
      <c r="Z475" s="17" t="n">
        <v>14.927898270842</v>
      </c>
      <c r="AA475" s="17" t="n">
        <v>10.3919303283446</v>
      </c>
      <c r="AB475" s="17" t="n">
        <v>1.19355354948163</v>
      </c>
      <c r="AC475" s="17" t="n">
        <v>6.93374490241592</v>
      </c>
      <c r="AD475" s="17" t="n">
        <v>11.3106101076975</v>
      </c>
      <c r="AE475" s="17" t="n">
        <v>0.333483582271595</v>
      </c>
      <c r="AF475" s="17" t="n">
        <v>-0.0332502964211778</v>
      </c>
      <c r="AG475" s="18" t="n">
        <f aca="false">IFERROR(100*O475/F475,"")</f>
        <v>0.282521086831705</v>
      </c>
      <c r="AH475" s="18" t="n">
        <f aca="false">IFERROR(100*(P475+Q475)/F475,"")</f>
        <v>0.886982995759652</v>
      </c>
      <c r="AI475" s="18" t="n">
        <f aca="false">IFERROR(100*R475/K475,"")</f>
        <v>-0.0616384856678987</v>
      </c>
      <c r="AJ475" s="18" t="n">
        <f aca="false">IF(T475&gt;0,100*S475/T475,"")</f>
        <v>14.927898270842</v>
      </c>
      <c r="AK475" s="18" t="n">
        <f aca="false">IFERROR(100*U475/G475,"")</f>
        <v>0.636590668953529</v>
      </c>
      <c r="AL475" s="18" t="n">
        <f aca="false">IFERROR(100*J475/H475,"")</f>
        <v>100.749860250795</v>
      </c>
      <c r="AM475" s="18" t="n">
        <f aca="false">IFERROR(100*L475/J475,"")</f>
        <v>83.2735893779821</v>
      </c>
      <c r="AN475" s="18" t="n">
        <f aca="false">IFERROR(100*M475/J475,"")</f>
        <v>11.827972286637</v>
      </c>
      <c r="AO475" s="18" t="n">
        <f aca="false">IFERROR(100*N475/J475,"")</f>
        <v>0.320969830029174</v>
      </c>
    </row>
    <row r="476" customFormat="false" ht="15" hidden="false" customHeight="false" outlineLevel="0" collapsed="false">
      <c r="A476" s="17" t="n">
        <v>19531</v>
      </c>
      <c r="B476" s="23" t="n">
        <v>45838</v>
      </c>
      <c r="C476" s="17" t="s">
        <v>146</v>
      </c>
      <c r="D476" s="17" t="s">
        <v>108</v>
      </c>
      <c r="E476" s="17" t="s">
        <v>114</v>
      </c>
      <c r="F476" s="17" t="n">
        <v>2611219</v>
      </c>
      <c r="G476" s="17" t="n">
        <v>2595429</v>
      </c>
      <c r="H476" s="17" t="n">
        <v>2294497</v>
      </c>
      <c r="I476" s="17" t="n">
        <v>275708</v>
      </c>
      <c r="J476" s="17" t="n">
        <v>2215644</v>
      </c>
      <c r="K476" s="17" t="n">
        <v>2183532.66666667</v>
      </c>
      <c r="L476" s="17" t="n">
        <v>1826881</v>
      </c>
      <c r="M476" s="17" t="n">
        <v>266423</v>
      </c>
      <c r="N476" s="17" t="n">
        <v>6284</v>
      </c>
      <c r="O476" s="17" t="n">
        <v>9735</v>
      </c>
      <c r="P476" s="17" t="n">
        <v>29206</v>
      </c>
      <c r="Q476" s="17" t="n">
        <v>5</v>
      </c>
      <c r="R476" s="17" t="n">
        <v>-836</v>
      </c>
      <c r="S476" s="17" t="n">
        <v>320959</v>
      </c>
      <c r="T476" s="17" t="n">
        <v>2267733</v>
      </c>
      <c r="U476" s="17" t="n">
        <v>21930</v>
      </c>
      <c r="V476" s="17" t="n">
        <v>0.844947020319184</v>
      </c>
      <c r="W476" s="17" t="n">
        <v>8.21</v>
      </c>
      <c r="X476" s="17" t="n">
        <v>3.21090869460597</v>
      </c>
      <c r="Y476" s="17" t="n">
        <v>0.875275991991493</v>
      </c>
      <c r="Z476" s="17" t="n">
        <v>14.1532975883845</v>
      </c>
      <c r="AA476" s="17" t="n">
        <v>10.558593515136</v>
      </c>
      <c r="AB476" s="17" t="n">
        <v>0.323420807045949</v>
      </c>
      <c r="AC476" s="17" t="n">
        <v>3.58844840620678</v>
      </c>
      <c r="AD476" s="17" t="n">
        <v>14.3006232368564</v>
      </c>
      <c r="AE476" s="17" t="n">
        <v>0.481458967555433</v>
      </c>
      <c r="AF476" s="17" t="n">
        <v>0.062533266479103</v>
      </c>
      <c r="AG476" s="18" t="n">
        <f aca="false">IFERROR(100*O476/F476,"")</f>
        <v>0.372814382861032</v>
      </c>
      <c r="AH476" s="18" t="n">
        <f aca="false">IFERROR(100*(P476+Q476)/F476,"")</f>
        <v>1.11867292632292</v>
      </c>
      <c r="AI476" s="18" t="n">
        <f aca="false">IFERROR(100*R476/K476,"")</f>
        <v>-0.0382865808587247</v>
      </c>
      <c r="AJ476" s="18" t="n">
        <f aca="false">IF(T476&gt;0,100*S476/T476,"")</f>
        <v>14.1532975883845</v>
      </c>
      <c r="AK476" s="18" t="n">
        <f aca="false">IFERROR(100*U476/G476,"")</f>
        <v>0.844947020319184</v>
      </c>
      <c r="AL476" s="18" t="n">
        <f aca="false">IFERROR(100*J476/H476,"")</f>
        <v>96.5633862236473</v>
      </c>
      <c r="AM476" s="18" t="n">
        <f aca="false">IFERROR(100*L476/J476,"")</f>
        <v>82.4537245153102</v>
      </c>
      <c r="AN476" s="18" t="n">
        <f aca="false">IFERROR(100*M476/J476,"")</f>
        <v>12.0246303106456</v>
      </c>
      <c r="AO476" s="18" t="n">
        <f aca="false">IFERROR(100*N476/J476,"")</f>
        <v>0.283619570653047</v>
      </c>
    </row>
    <row r="477" customFormat="false" ht="15" hidden="false" customHeight="false" outlineLevel="0" collapsed="false">
      <c r="A477" s="17" t="n">
        <v>19532</v>
      </c>
      <c r="B477" s="23" t="n">
        <v>44651</v>
      </c>
      <c r="C477" s="17" t="s">
        <v>164</v>
      </c>
      <c r="D477" s="17" t="s">
        <v>108</v>
      </c>
      <c r="E477" s="17" t="s">
        <v>118</v>
      </c>
      <c r="F477" s="17" t="n">
        <v>770032</v>
      </c>
      <c r="G477" s="17" t="n">
        <v>775225.5</v>
      </c>
      <c r="H477" s="17" t="n">
        <v>660375</v>
      </c>
      <c r="I477" s="17" t="n">
        <v>96137</v>
      </c>
      <c r="J477" s="17" t="n">
        <v>500389</v>
      </c>
      <c r="K477" s="17" t="n">
        <v>501015.5</v>
      </c>
      <c r="L477" s="17" t="n">
        <v>433748</v>
      </c>
      <c r="M477" s="17" t="n">
        <v>20391</v>
      </c>
      <c r="N477" s="17" t="n">
        <v>38849</v>
      </c>
      <c r="O477" s="17" t="n">
        <v>2804</v>
      </c>
      <c r="P477" s="17" t="n">
        <v>615</v>
      </c>
      <c r="Q477" s="17" t="n">
        <v>0</v>
      </c>
      <c r="R477" s="17" t="n">
        <v>8</v>
      </c>
      <c r="S477" s="17" t="n">
        <v>110481</v>
      </c>
      <c r="T477" s="17" t="n">
        <v>506869</v>
      </c>
      <c r="U477" s="17" t="n">
        <v>5784</v>
      </c>
      <c r="V477" s="17" t="n">
        <v>0.746105488016068</v>
      </c>
      <c r="W477" s="17" t="n">
        <v>5.79</v>
      </c>
      <c r="X477" s="17" t="n">
        <v>3.10418099510352</v>
      </c>
      <c r="Y477" s="17" t="n">
        <v>1.17988205176373</v>
      </c>
      <c r="Z477" s="17" t="n">
        <v>21.7967561638214</v>
      </c>
      <c r="AA477" s="17" t="n">
        <v>12.4848058262514</v>
      </c>
      <c r="AB477" s="17"/>
      <c r="AC477" s="17"/>
      <c r="AD477" s="17"/>
      <c r="AE477" s="17"/>
      <c r="AF477" s="17"/>
      <c r="AG477" s="18" t="n">
        <f aca="false">IFERROR(100*O477/F477,"")</f>
        <v>0.364140711035386</v>
      </c>
      <c r="AH477" s="18" t="n">
        <f aca="false">IFERROR(100*(P477+Q477)/F477,"")</f>
        <v>0.0798668107299437</v>
      </c>
      <c r="AI477" s="18" t="n">
        <f aca="false">IFERROR(100*R477/K477,"")</f>
        <v>0.0015967569865603</v>
      </c>
      <c r="AJ477" s="18" t="n">
        <f aca="false">IF(T477&gt;0,100*S477/T477,"")</f>
        <v>21.7967561638214</v>
      </c>
      <c r="AK477" s="18" t="n">
        <f aca="false">IFERROR(100*U477/G477,"")</f>
        <v>0.746105488016068</v>
      </c>
      <c r="AL477" s="18" t="n">
        <f aca="false">IFERROR(100*J477/H477,"")</f>
        <v>75.7734620480787</v>
      </c>
      <c r="AM477" s="18" t="n">
        <f aca="false">IFERROR(100*L477/J477,"")</f>
        <v>86.6821612785253</v>
      </c>
      <c r="AN477" s="18" t="n">
        <f aca="false">IFERROR(100*M477/J477,"")</f>
        <v>4.07502962695023</v>
      </c>
      <c r="AO477" s="18" t="n">
        <f aca="false">IFERROR(100*N477/J477,"")</f>
        <v>7.76375979487958</v>
      </c>
    </row>
    <row r="478" customFormat="false" ht="15" hidden="false" customHeight="false" outlineLevel="0" collapsed="false">
      <c r="A478" s="17" t="n">
        <v>19532</v>
      </c>
      <c r="B478" s="23" t="n">
        <v>44742</v>
      </c>
      <c r="C478" s="17" t="s">
        <v>164</v>
      </c>
      <c r="D478" s="17" t="s">
        <v>108</v>
      </c>
      <c r="E478" s="17" t="s">
        <v>118</v>
      </c>
      <c r="F478" s="17" t="n">
        <v>754376</v>
      </c>
      <c r="G478" s="17" t="n">
        <v>768275.666666667</v>
      </c>
      <c r="H478" s="17" t="n">
        <v>650205</v>
      </c>
      <c r="I478" s="17" t="n">
        <v>89980</v>
      </c>
      <c r="J478" s="17" t="n">
        <v>515185</v>
      </c>
      <c r="K478" s="17" t="n">
        <v>505738.666666667</v>
      </c>
      <c r="L478" s="17" t="n">
        <v>443130</v>
      </c>
      <c r="M478" s="17" t="n">
        <v>22566</v>
      </c>
      <c r="N478" s="17" t="n">
        <v>41806</v>
      </c>
      <c r="O478" s="17" t="n">
        <v>597</v>
      </c>
      <c r="P478" s="17" t="n">
        <v>596</v>
      </c>
      <c r="Q478" s="17" t="n">
        <v>187</v>
      </c>
      <c r="R478" s="17" t="n">
        <v>-8</v>
      </c>
      <c r="S478" s="17" t="n">
        <v>111030</v>
      </c>
      <c r="T478" s="17" t="n">
        <v>519950</v>
      </c>
      <c r="U478" s="17" t="n">
        <v>3670</v>
      </c>
      <c r="V478" s="17" t="n">
        <v>0.477693119700524</v>
      </c>
      <c r="W478" s="17" t="n">
        <v>3.8</v>
      </c>
      <c r="X478" s="17" t="n">
        <v>3.21438214693699</v>
      </c>
      <c r="Y478" s="17" t="n">
        <v>1.14735483370052</v>
      </c>
      <c r="Z478" s="17" t="n">
        <v>21.3539763438792</v>
      </c>
      <c r="AA478" s="17" t="n">
        <v>11.9277389524587</v>
      </c>
      <c r="AB478" s="17"/>
      <c r="AC478" s="17"/>
      <c r="AD478" s="17"/>
      <c r="AE478" s="17"/>
      <c r="AF478" s="17"/>
      <c r="AG478" s="18" t="n">
        <f aca="false">IFERROR(100*O478/F478,"")</f>
        <v>0.079138254663457</v>
      </c>
      <c r="AH478" s="18" t="n">
        <f aca="false">IFERROR(100*(P478+Q478)/F478,"")</f>
        <v>0.103794394307348</v>
      </c>
      <c r="AI478" s="18" t="n">
        <f aca="false">IFERROR(100*R478/K478,"")</f>
        <v>-0.00158184464176492</v>
      </c>
      <c r="AJ478" s="18" t="n">
        <f aca="false">IF(T478&gt;0,100*S478/T478,"")</f>
        <v>21.3539763438792</v>
      </c>
      <c r="AK478" s="18" t="n">
        <f aca="false">IFERROR(100*U478/G478,"")</f>
        <v>0.477693119700524</v>
      </c>
      <c r="AL478" s="18" t="n">
        <f aca="false">IFERROR(100*J478/H478,"")</f>
        <v>79.2342415084473</v>
      </c>
      <c r="AM478" s="18" t="n">
        <f aca="false">IFERROR(100*L478/J478,"")</f>
        <v>86.0137620466434</v>
      </c>
      <c r="AN478" s="18" t="n">
        <f aca="false">IFERROR(100*M478/J478,"")</f>
        <v>4.38017411221212</v>
      </c>
      <c r="AO478" s="18" t="n">
        <f aca="false">IFERROR(100*N478/J478,"")</f>
        <v>8.11475489387308</v>
      </c>
    </row>
    <row r="479" customFormat="false" ht="15" hidden="false" customHeight="false" outlineLevel="0" collapsed="false">
      <c r="A479" s="17" t="n">
        <v>19532</v>
      </c>
      <c r="B479" s="23" t="n">
        <v>44834</v>
      </c>
      <c r="C479" s="17" t="s">
        <v>164</v>
      </c>
      <c r="D479" s="17" t="s">
        <v>108</v>
      </c>
      <c r="E479" s="17" t="s">
        <v>118</v>
      </c>
      <c r="F479" s="17" t="n">
        <v>779214</v>
      </c>
      <c r="G479" s="17" t="n">
        <v>771010.25</v>
      </c>
      <c r="H479" s="17" t="n">
        <v>683500</v>
      </c>
      <c r="I479" s="17" t="n">
        <v>83123</v>
      </c>
      <c r="J479" s="17" t="n">
        <v>529131</v>
      </c>
      <c r="K479" s="17" t="n">
        <v>511586.75</v>
      </c>
      <c r="L479" s="17" t="n">
        <v>452724</v>
      </c>
      <c r="M479" s="17" t="n">
        <v>25822</v>
      </c>
      <c r="N479" s="17" t="n">
        <v>43323</v>
      </c>
      <c r="O479" s="17" t="n">
        <v>598</v>
      </c>
      <c r="P479" s="17" t="n">
        <v>596</v>
      </c>
      <c r="Q479" s="17" t="n">
        <v>0</v>
      </c>
      <c r="R479" s="17" t="n">
        <v>30.6659</v>
      </c>
      <c r="S479" s="17" t="n">
        <v>111725</v>
      </c>
      <c r="T479" s="17" t="n">
        <v>535803</v>
      </c>
      <c r="U479" s="17" t="n">
        <v>3377.2489</v>
      </c>
      <c r="V479" s="17" t="n">
        <v>0.438029053439951</v>
      </c>
      <c r="W479" s="17" t="n">
        <v>3.62</v>
      </c>
      <c r="X479" s="17" t="n">
        <v>3.29443240506329</v>
      </c>
      <c r="Y479" s="17" t="n">
        <v>1.11201195923127</v>
      </c>
      <c r="Z479" s="17" t="n">
        <v>20.851880261962</v>
      </c>
      <c r="AA479" s="17" t="n">
        <v>10.6675444743036</v>
      </c>
      <c r="AB479" s="17"/>
      <c r="AC479" s="17"/>
      <c r="AD479" s="17"/>
      <c r="AE479" s="17"/>
      <c r="AF479" s="17"/>
      <c r="AG479" s="18" t="n">
        <f aca="false">IFERROR(100*O479/F479,"")</f>
        <v>0.0767440010061421</v>
      </c>
      <c r="AH479" s="18" t="n">
        <f aca="false">IFERROR(100*(P479+Q479)/F479,"")</f>
        <v>0.076487332106456</v>
      </c>
      <c r="AI479" s="18" t="n">
        <f aca="false">IFERROR(100*R479/K479,"")</f>
        <v>0.0059942717437463</v>
      </c>
      <c r="AJ479" s="18" t="n">
        <f aca="false">IF(T479&gt;0,100*S479/T479,"")</f>
        <v>20.851880261962</v>
      </c>
      <c r="AK479" s="18" t="n">
        <f aca="false">IFERROR(100*U479/G479,"")</f>
        <v>0.438029053439951</v>
      </c>
      <c r="AL479" s="18" t="n">
        <f aca="false">IFERROR(100*J479/H479,"")</f>
        <v>77.414923189466</v>
      </c>
      <c r="AM479" s="18" t="n">
        <f aca="false">IFERROR(100*L479/J479,"")</f>
        <v>85.5599086048635</v>
      </c>
      <c r="AN479" s="18" t="n">
        <f aca="false">IFERROR(100*M479/J479,"")</f>
        <v>4.88007695636808</v>
      </c>
      <c r="AO479" s="18" t="n">
        <f aca="false">IFERROR(100*N479/J479,"")</f>
        <v>8.18757547752825</v>
      </c>
    </row>
    <row r="480" customFormat="false" ht="15" hidden="false" customHeight="false" outlineLevel="0" collapsed="false">
      <c r="A480" s="17" t="n">
        <v>19532</v>
      </c>
      <c r="B480" s="23" t="n">
        <v>44926</v>
      </c>
      <c r="C480" s="17" t="s">
        <v>164</v>
      </c>
      <c r="D480" s="17" t="s">
        <v>108</v>
      </c>
      <c r="E480" s="17" t="s">
        <v>118</v>
      </c>
      <c r="F480" s="17" t="n">
        <v>774373</v>
      </c>
      <c r="G480" s="17" t="n">
        <v>771682.8</v>
      </c>
      <c r="H480" s="17" t="n">
        <v>673912</v>
      </c>
      <c r="I480" s="17" t="n">
        <v>87739</v>
      </c>
      <c r="J480" s="17" t="n">
        <v>544282</v>
      </c>
      <c r="K480" s="17" t="n">
        <v>518125.8</v>
      </c>
      <c r="L480" s="17" t="n">
        <v>460817</v>
      </c>
      <c r="M480" s="17" t="n">
        <v>30200</v>
      </c>
      <c r="N480" s="17" t="n">
        <v>46433</v>
      </c>
      <c r="O480" s="17" t="n">
        <v>797</v>
      </c>
      <c r="P480" s="17" t="n">
        <v>790</v>
      </c>
      <c r="Q480" s="17" t="n">
        <v>0</v>
      </c>
      <c r="R480" s="17" t="n">
        <v>45</v>
      </c>
      <c r="S480" s="17" t="n">
        <v>114793</v>
      </c>
      <c r="T480" s="17" t="n">
        <v>549654</v>
      </c>
      <c r="U480" s="17" t="n">
        <v>5576</v>
      </c>
      <c r="V480" s="17" t="n">
        <v>0.722576685653743</v>
      </c>
      <c r="W480" s="17" t="n">
        <v>6.05</v>
      </c>
      <c r="X480" s="17" t="n">
        <v>3.35594796053323</v>
      </c>
      <c r="Y480" s="17" t="n">
        <v>1.07683149543803</v>
      </c>
      <c r="Z480" s="17" t="n">
        <v>20.8845928529584</v>
      </c>
      <c r="AA480" s="17" t="n">
        <v>11.3303278910809</v>
      </c>
      <c r="AB480" s="17"/>
      <c r="AC480" s="17"/>
      <c r="AD480" s="17"/>
      <c r="AE480" s="17"/>
      <c r="AF480" s="17"/>
      <c r="AG480" s="18" t="n">
        <f aca="false">IFERROR(100*O480/F480,"")</f>
        <v>0.102921976876776</v>
      </c>
      <c r="AH480" s="18" t="n">
        <f aca="false">IFERROR(100*(P480+Q480)/F480,"")</f>
        <v>0.102018019739841</v>
      </c>
      <c r="AI480" s="18" t="n">
        <f aca="false">IFERROR(100*R480/K480,"")</f>
        <v>0.00868514943668121</v>
      </c>
      <c r="AJ480" s="18" t="n">
        <f aca="false">IF(T480&gt;0,100*S480/T480,"")</f>
        <v>20.8845928529584</v>
      </c>
      <c r="AK480" s="18" t="n">
        <f aca="false">IFERROR(100*U480/G480,"")</f>
        <v>0.722576685653743</v>
      </c>
      <c r="AL480" s="18" t="n">
        <f aca="false">IFERROR(100*J480/H480,"")</f>
        <v>80.76455086124</v>
      </c>
      <c r="AM480" s="18" t="n">
        <f aca="false">IFERROR(100*L480/J480,"")</f>
        <v>84.6651184496272</v>
      </c>
      <c r="AN480" s="18" t="n">
        <f aca="false">IFERROR(100*M480/J480,"")</f>
        <v>5.5485942948692</v>
      </c>
      <c r="AO480" s="18" t="n">
        <f aca="false">IFERROR(100*N480/J480,"")</f>
        <v>8.53105559250536</v>
      </c>
    </row>
    <row r="481" customFormat="false" ht="15" hidden="false" customHeight="false" outlineLevel="0" collapsed="false">
      <c r="A481" s="17" t="n">
        <v>19532</v>
      </c>
      <c r="B481" s="23" t="n">
        <v>45016</v>
      </c>
      <c r="C481" s="17" t="s">
        <v>164</v>
      </c>
      <c r="D481" s="17" t="s">
        <v>108</v>
      </c>
      <c r="E481" s="17" t="s">
        <v>118</v>
      </c>
      <c r="F481" s="17" t="n">
        <v>781513</v>
      </c>
      <c r="G481" s="17" t="n">
        <v>777943</v>
      </c>
      <c r="H481" s="17" t="n">
        <v>676028</v>
      </c>
      <c r="I481" s="17" t="n">
        <v>91464</v>
      </c>
      <c r="J481" s="17" t="n">
        <v>558105</v>
      </c>
      <c r="K481" s="17" t="n">
        <v>551193.5</v>
      </c>
      <c r="L481" s="17" t="n">
        <v>465968</v>
      </c>
      <c r="M481" s="17" t="n">
        <v>34197</v>
      </c>
      <c r="N481" s="17" t="n">
        <v>47272</v>
      </c>
      <c r="O481" s="17" t="n">
        <v>712</v>
      </c>
      <c r="P481" s="17" t="n">
        <v>427</v>
      </c>
      <c r="Q481" s="17" t="n">
        <v>0</v>
      </c>
      <c r="R481" s="17" t="n">
        <v>64</v>
      </c>
      <c r="S481" s="17" t="n">
        <v>116341</v>
      </c>
      <c r="T481" s="17" t="n">
        <v>537384</v>
      </c>
      <c r="U481" s="17" t="n">
        <v>6452</v>
      </c>
      <c r="V481" s="17" t="n">
        <v>0.829366675964692</v>
      </c>
      <c r="W481" s="17" t="n">
        <v>7.2</v>
      </c>
      <c r="X481" s="17" t="n">
        <v>3.56459940305092</v>
      </c>
      <c r="Y481" s="17" t="n">
        <v>1.03349728097759</v>
      </c>
      <c r="Z481" s="17" t="n">
        <v>21.6495094755333</v>
      </c>
      <c r="AA481" s="17" t="n">
        <v>11.7034521498683</v>
      </c>
      <c r="AB481" s="17" t="n">
        <v>1.49097699835852</v>
      </c>
      <c r="AC481" s="17" t="n">
        <v>11.5342263718827</v>
      </c>
      <c r="AD481" s="17" t="n">
        <v>2.37031989399963</v>
      </c>
      <c r="AE481" s="17" t="n">
        <v>0.0832611879486239</v>
      </c>
      <c r="AF481" s="17" t="n">
        <v>-0.273035380733778</v>
      </c>
      <c r="AG481" s="18" t="n">
        <f aca="false">IFERROR(100*O481/F481,"")</f>
        <v>0.0911053303016073</v>
      </c>
      <c r="AH481" s="18" t="n">
        <f aca="false">IFERROR(100*(P481+Q481)/F481,"")</f>
        <v>0.0546376067960482</v>
      </c>
      <c r="AI481" s="18" t="n">
        <f aca="false">IFERROR(100*R481/K481,"")</f>
        <v>0.0116111674030989</v>
      </c>
      <c r="AJ481" s="18" t="n">
        <f aca="false">IF(T481&gt;0,100*S481/T481,"")</f>
        <v>21.6495094755333</v>
      </c>
      <c r="AK481" s="18" t="n">
        <f aca="false">IFERROR(100*U481/G481,"")</f>
        <v>0.829366675964692</v>
      </c>
      <c r="AL481" s="18" t="n">
        <f aca="false">IFERROR(100*J481/H481,"")</f>
        <v>82.5564917429456</v>
      </c>
      <c r="AM481" s="18" t="n">
        <f aca="false">IFERROR(100*L481/J481,"")</f>
        <v>83.4910993451053</v>
      </c>
      <c r="AN481" s="18" t="n">
        <f aca="false">IFERROR(100*M481/J481,"")</f>
        <v>6.12734162926331</v>
      </c>
      <c r="AO481" s="18" t="n">
        <f aca="false">IFERROR(100*N481/J481,"")</f>
        <v>8.47009075353204</v>
      </c>
    </row>
    <row r="482" customFormat="false" ht="15" hidden="false" customHeight="false" outlineLevel="0" collapsed="false">
      <c r="A482" s="17" t="n">
        <v>19532</v>
      </c>
      <c r="B482" s="23" t="n">
        <v>45107</v>
      </c>
      <c r="C482" s="17" t="s">
        <v>164</v>
      </c>
      <c r="D482" s="17" t="s">
        <v>108</v>
      </c>
      <c r="E482" s="17" t="s">
        <v>118</v>
      </c>
      <c r="F482" s="17" t="n">
        <v>792753</v>
      </c>
      <c r="G482" s="17" t="n">
        <v>782879.666666667</v>
      </c>
      <c r="H482" s="17" t="n">
        <v>647966</v>
      </c>
      <c r="I482" s="17" t="n">
        <v>91641</v>
      </c>
      <c r="J482" s="17" t="n">
        <v>564676</v>
      </c>
      <c r="K482" s="17" t="n">
        <v>555687.666666667</v>
      </c>
      <c r="L482" s="17" t="n">
        <v>466819</v>
      </c>
      <c r="M482" s="17" t="n">
        <v>38262</v>
      </c>
      <c r="N482" s="17" t="n">
        <v>49373</v>
      </c>
      <c r="O482" s="17" t="n">
        <v>876</v>
      </c>
      <c r="P482" s="17" t="n">
        <v>999</v>
      </c>
      <c r="Q482" s="17" t="n">
        <v>14</v>
      </c>
      <c r="R482" s="17" t="n">
        <v>60</v>
      </c>
      <c r="S482" s="17" t="n">
        <v>117928</v>
      </c>
      <c r="T482" s="17" t="n">
        <v>568728</v>
      </c>
      <c r="U482" s="17" t="n">
        <v>6420</v>
      </c>
      <c r="V482" s="17" t="n">
        <v>0.820049398822041</v>
      </c>
      <c r="W482" s="17" t="n">
        <v>7.11</v>
      </c>
      <c r="X482" s="17" t="n">
        <v>3.44940493723311</v>
      </c>
      <c r="Y482" s="17" t="n">
        <v>1.01916851433388</v>
      </c>
      <c r="Z482" s="17" t="n">
        <v>20.7353954790339</v>
      </c>
      <c r="AA482" s="17" t="n">
        <v>11.5598427252877</v>
      </c>
      <c r="AB482" s="17" t="n">
        <v>5.08725091996565</v>
      </c>
      <c r="AC482" s="17" t="n">
        <v>9.60645205120492</v>
      </c>
      <c r="AD482" s="17" t="n">
        <v>-0.344352934843628</v>
      </c>
      <c r="AE482" s="17" t="n">
        <v>0.342356279121517</v>
      </c>
      <c r="AF482" s="17" t="n">
        <v>0.031362746278829</v>
      </c>
      <c r="AG482" s="18" t="n">
        <f aca="false">IFERROR(100*O482/F482,"")</f>
        <v>0.110501000942286</v>
      </c>
      <c r="AH482" s="18" t="n">
        <f aca="false">IFERROR(100*(P482+Q482)/F482,"")</f>
        <v>0.127782550176411</v>
      </c>
      <c r="AI482" s="18" t="n">
        <f aca="false">IFERROR(100*R482/K482,"")</f>
        <v>0.0107974323705823</v>
      </c>
      <c r="AJ482" s="18" t="n">
        <f aca="false">IF(T482&gt;0,100*S482/T482,"")</f>
        <v>20.7353954790339</v>
      </c>
      <c r="AK482" s="18" t="n">
        <f aca="false">IFERROR(100*U482/G482,"")</f>
        <v>0.820049398822041</v>
      </c>
      <c r="AL482" s="18" t="n">
        <f aca="false">IFERROR(100*J482/H482,"")</f>
        <v>87.1459304963532</v>
      </c>
      <c r="AM482" s="18" t="n">
        <f aca="false">IFERROR(100*L482/J482,"")</f>
        <v>82.6702392168252</v>
      </c>
      <c r="AN482" s="18" t="n">
        <f aca="false">IFERROR(100*M482/J482,"")</f>
        <v>6.77592105915605</v>
      </c>
      <c r="AO482" s="18" t="n">
        <f aca="false">IFERROR(100*N482/J482,"")</f>
        <v>8.74359809873272</v>
      </c>
    </row>
    <row r="483" customFormat="false" ht="15" hidden="false" customHeight="false" outlineLevel="0" collapsed="false">
      <c r="A483" s="17" t="n">
        <v>19532</v>
      </c>
      <c r="B483" s="23" t="n">
        <v>45199</v>
      </c>
      <c r="C483" s="17" t="s">
        <v>164</v>
      </c>
      <c r="D483" s="17" t="s">
        <v>108</v>
      </c>
      <c r="E483" s="17" t="s">
        <v>118</v>
      </c>
      <c r="F483" s="17" t="n">
        <v>816575</v>
      </c>
      <c r="G483" s="17" t="n">
        <v>791303.5</v>
      </c>
      <c r="H483" s="17" t="n">
        <v>712795</v>
      </c>
      <c r="I483" s="17" t="n">
        <v>89758</v>
      </c>
      <c r="J483" s="17" t="n">
        <v>583009</v>
      </c>
      <c r="K483" s="17" t="n">
        <v>562518</v>
      </c>
      <c r="L483" s="17" t="n">
        <v>480800</v>
      </c>
      <c r="M483" s="17" t="n">
        <v>40005</v>
      </c>
      <c r="N483" s="17" t="n">
        <v>51182</v>
      </c>
      <c r="O483" s="17" t="n">
        <v>1137</v>
      </c>
      <c r="P483" s="17" t="n">
        <v>847</v>
      </c>
      <c r="Q483" s="17" t="n">
        <v>0</v>
      </c>
      <c r="R483" s="17" t="n">
        <v>110.6639</v>
      </c>
      <c r="S483" s="17" t="n">
        <v>118648</v>
      </c>
      <c r="T483" s="17" t="n">
        <v>555310</v>
      </c>
      <c r="U483" s="17" t="n">
        <v>5445.1972</v>
      </c>
      <c r="V483" s="17" t="n">
        <v>0.688130053765717</v>
      </c>
      <c r="W483" s="17" t="n">
        <v>6.04</v>
      </c>
      <c r="X483" s="17" t="n">
        <v>3.37267208819972</v>
      </c>
      <c r="Y483" s="17" t="n">
        <v>0.990379222276157</v>
      </c>
      <c r="Z483" s="17" t="n">
        <v>21.3660838090436</v>
      </c>
      <c r="AA483" s="17" t="n">
        <v>10.9920093071671</v>
      </c>
      <c r="AB483" s="17" t="n">
        <v>4.79470338058607</v>
      </c>
      <c r="AC483" s="17" t="n">
        <v>10.1823555981411</v>
      </c>
      <c r="AD483" s="17" t="n">
        <v>4.28602779809804</v>
      </c>
      <c r="AE483" s="17" t="n">
        <v>0.250101000325766</v>
      </c>
      <c r="AF483" s="17" t="n">
        <v>0.0624961177827016</v>
      </c>
      <c r="AG483" s="18" t="n">
        <f aca="false">IFERROR(100*O483/F483,"")</f>
        <v>0.139240118788844</v>
      </c>
      <c r="AH483" s="18" t="n">
        <f aca="false">IFERROR(100*(P483+Q483)/F483,"")</f>
        <v>0.103725928420537</v>
      </c>
      <c r="AI483" s="18" t="n">
        <f aca="false">IFERROR(100*R483/K483,"")</f>
        <v>0.0196729526877362</v>
      </c>
      <c r="AJ483" s="18" t="n">
        <f aca="false">IF(T483&gt;0,100*S483/T483,"")</f>
        <v>21.3660838090436</v>
      </c>
      <c r="AK483" s="18" t="n">
        <f aca="false">IFERROR(100*U483/G483,"")</f>
        <v>0.688130053765717</v>
      </c>
      <c r="AL483" s="18" t="n">
        <f aca="false">IFERROR(100*J483/H483,"")</f>
        <v>81.7919598201446</v>
      </c>
      <c r="AM483" s="18" t="n">
        <f aca="false">IFERROR(100*L483/J483,"")</f>
        <v>82.4687097454756</v>
      </c>
      <c r="AN483" s="18" t="n">
        <f aca="false">IFERROR(100*M483/J483,"")</f>
        <v>6.86181516923409</v>
      </c>
      <c r="AO483" s="18" t="n">
        <f aca="false">IFERROR(100*N483/J483,"")</f>
        <v>8.77893823251442</v>
      </c>
    </row>
    <row r="484" customFormat="false" ht="15" hidden="false" customHeight="false" outlineLevel="0" collapsed="false">
      <c r="A484" s="17" t="n">
        <v>19532</v>
      </c>
      <c r="B484" s="23" t="n">
        <v>45291</v>
      </c>
      <c r="C484" s="17" t="s">
        <v>164</v>
      </c>
      <c r="D484" s="17" t="s">
        <v>108</v>
      </c>
      <c r="E484" s="17" t="s">
        <v>118</v>
      </c>
      <c r="F484" s="17" t="n">
        <v>876702</v>
      </c>
      <c r="G484" s="17" t="n">
        <v>808383.2</v>
      </c>
      <c r="H484" s="17" t="n">
        <v>727881</v>
      </c>
      <c r="I484" s="17" t="n">
        <v>96676</v>
      </c>
      <c r="J484" s="17" t="n">
        <v>585480</v>
      </c>
      <c r="K484" s="17" t="n">
        <v>567110.4</v>
      </c>
      <c r="L484" s="17" t="n">
        <v>482338</v>
      </c>
      <c r="M484" s="17" t="n">
        <v>43720</v>
      </c>
      <c r="N484" s="17" t="n">
        <v>53648</v>
      </c>
      <c r="O484" s="17" t="n">
        <v>1128</v>
      </c>
      <c r="P484" s="17" t="n">
        <v>1388</v>
      </c>
      <c r="Q484" s="17" t="n">
        <v>12</v>
      </c>
      <c r="R484" s="17" t="n">
        <v>102</v>
      </c>
      <c r="S484" s="17" t="n">
        <v>120881</v>
      </c>
      <c r="T484" s="17" t="n">
        <v>580036</v>
      </c>
      <c r="U484" s="17" t="n">
        <v>6211</v>
      </c>
      <c r="V484" s="17" t="n">
        <v>0.768323735574911</v>
      </c>
      <c r="W484" s="17" t="n">
        <v>6.79</v>
      </c>
      <c r="X484" s="17" t="n">
        <v>3.29213749359693</v>
      </c>
      <c r="Y484" s="17" t="n">
        <v>1.0106237616998</v>
      </c>
      <c r="Z484" s="17" t="n">
        <v>20.8402581908709</v>
      </c>
      <c r="AA484" s="17" t="n">
        <v>11.0272361646261</v>
      </c>
      <c r="AB484" s="17" t="n">
        <v>13.2144328379218</v>
      </c>
      <c r="AC484" s="17" t="n">
        <v>7.56923800529872</v>
      </c>
      <c r="AD484" s="17" t="n">
        <v>8.00831562577904</v>
      </c>
      <c r="AE484" s="17" t="n">
        <v>0.0457470499211679</v>
      </c>
      <c r="AF484" s="17" t="n">
        <v>0.02574203894616</v>
      </c>
      <c r="AG484" s="18" t="n">
        <f aca="false">IFERROR(100*O484/F484,"")</f>
        <v>0.128664015822936</v>
      </c>
      <c r="AH484" s="18" t="n">
        <f aca="false">IFERROR(100*(P484+Q484)/F484,"")</f>
        <v>0.159689381340524</v>
      </c>
      <c r="AI484" s="18" t="n">
        <f aca="false">IFERROR(100*R484/K484,"")</f>
        <v>0.0179859159698006</v>
      </c>
      <c r="AJ484" s="18" t="n">
        <f aca="false">IF(T484&gt;0,100*S484/T484,"")</f>
        <v>20.8402581908709</v>
      </c>
      <c r="AK484" s="18" t="n">
        <f aca="false">IFERROR(100*U484/G484,"")</f>
        <v>0.768323735574911</v>
      </c>
      <c r="AL484" s="18" t="n">
        <f aca="false">IFERROR(100*J484/H484,"")</f>
        <v>80.4362251521883</v>
      </c>
      <c r="AM484" s="18" t="n">
        <f aca="false">IFERROR(100*L484/J484,"")</f>
        <v>82.383343581335</v>
      </c>
      <c r="AN484" s="18" t="n">
        <f aca="false">IFERROR(100*M484/J484,"")</f>
        <v>7.46737719478035</v>
      </c>
      <c r="AO484" s="18" t="n">
        <f aca="false">IFERROR(100*N484/J484,"")</f>
        <v>9.16307986609278</v>
      </c>
    </row>
    <row r="485" customFormat="false" ht="15" hidden="false" customHeight="false" outlineLevel="0" collapsed="false">
      <c r="A485" s="17" t="n">
        <v>19532</v>
      </c>
      <c r="B485" s="23" t="n">
        <v>45382</v>
      </c>
      <c r="C485" s="17" t="s">
        <v>164</v>
      </c>
      <c r="D485" s="17" t="s">
        <v>108</v>
      </c>
      <c r="E485" s="17" t="s">
        <v>118</v>
      </c>
      <c r="F485" s="17" t="n">
        <v>898226</v>
      </c>
      <c r="G485" s="17" t="n">
        <v>887464</v>
      </c>
      <c r="H485" s="17" t="n">
        <v>728574</v>
      </c>
      <c r="I485" s="17" t="n">
        <v>97076</v>
      </c>
      <c r="J485" s="17" t="n">
        <v>591701</v>
      </c>
      <c r="K485" s="17" t="n">
        <v>588590.5</v>
      </c>
      <c r="L485" s="17" t="n">
        <v>486940</v>
      </c>
      <c r="M485" s="17" t="n">
        <v>47376</v>
      </c>
      <c r="N485" s="17" t="n">
        <v>51912</v>
      </c>
      <c r="O485" s="17" t="n">
        <v>1722</v>
      </c>
      <c r="P485" s="17" t="n">
        <v>894</v>
      </c>
      <c r="Q485" s="17" t="n">
        <v>0</v>
      </c>
      <c r="R485" s="17" t="n">
        <v>104</v>
      </c>
      <c r="S485" s="17" t="n">
        <v>123075</v>
      </c>
      <c r="T485" s="17" t="n">
        <v>587147</v>
      </c>
      <c r="U485" s="17" t="n">
        <v>8372</v>
      </c>
      <c r="V485" s="17" t="n">
        <v>0.943362209622024</v>
      </c>
      <c r="W485" s="17" t="n">
        <v>8.64</v>
      </c>
      <c r="X485" s="17" t="n">
        <v>2.92777746211838</v>
      </c>
      <c r="Y485" s="17" t="n">
        <v>1.0027023783972</v>
      </c>
      <c r="Z485" s="17" t="n">
        <v>20.9615309283706</v>
      </c>
      <c r="AA485" s="17" t="n">
        <v>10.8075250549416</v>
      </c>
      <c r="AB485" s="17" t="n">
        <v>14.9342365386116</v>
      </c>
      <c r="AC485" s="17" t="n">
        <v>6.01965579953594</v>
      </c>
      <c r="AD485" s="17" t="n">
        <v>7.77275497464602</v>
      </c>
      <c r="AE485" s="17" t="n">
        <v>0.113995533657333</v>
      </c>
      <c r="AF485" s="17" t="n">
        <v>0.100605887142555</v>
      </c>
      <c r="AG485" s="18" t="n">
        <f aca="false">IFERROR(100*O485/F485,"")</f>
        <v>0.191711217444162</v>
      </c>
      <c r="AH485" s="18" t="n">
        <f aca="false">IFERROR(100*(P485+Q485)/F485,"")</f>
        <v>0.0995295170703142</v>
      </c>
      <c r="AI485" s="18" t="n">
        <f aca="false">IFERROR(100*R485/K485,"")</f>
        <v>0.0176693303748531</v>
      </c>
      <c r="AJ485" s="18" t="n">
        <f aca="false">IF(T485&gt;0,100*S485/T485,"")</f>
        <v>20.9615309283706</v>
      </c>
      <c r="AK485" s="18" t="n">
        <f aca="false">IFERROR(100*U485/G485,"")</f>
        <v>0.943362209622024</v>
      </c>
      <c r="AL485" s="18" t="n">
        <f aca="false">IFERROR(100*J485/H485,"")</f>
        <v>81.2135761089471</v>
      </c>
      <c r="AM485" s="18" t="n">
        <f aca="false">IFERROR(100*L485/J485,"")</f>
        <v>82.2949428850044</v>
      </c>
      <c r="AN485" s="18" t="n">
        <f aca="false">IFERROR(100*M485/J485,"")</f>
        <v>8.00674665075773</v>
      </c>
      <c r="AO485" s="18" t="n">
        <f aca="false">IFERROR(100*N485/J485,"")</f>
        <v>8.77335005348985</v>
      </c>
    </row>
    <row r="486" customFormat="false" ht="15" hidden="false" customHeight="false" outlineLevel="0" collapsed="false">
      <c r="A486" s="17" t="n">
        <v>19532</v>
      </c>
      <c r="B486" s="23" t="n">
        <v>45473</v>
      </c>
      <c r="C486" s="17" t="s">
        <v>164</v>
      </c>
      <c r="D486" s="17" t="s">
        <v>108</v>
      </c>
      <c r="E486" s="17" t="s">
        <v>118</v>
      </c>
      <c r="F486" s="17" t="n">
        <v>880879</v>
      </c>
      <c r="G486" s="17" t="n">
        <v>885269</v>
      </c>
      <c r="H486" s="17" t="n">
        <v>709469</v>
      </c>
      <c r="I486" s="17" t="n">
        <v>98709</v>
      </c>
      <c r="J486" s="17" t="n">
        <v>596358</v>
      </c>
      <c r="K486" s="17" t="n">
        <v>591179.666666667</v>
      </c>
      <c r="L486" s="17" t="n">
        <v>490094</v>
      </c>
      <c r="M486" s="17" t="n">
        <v>49136</v>
      </c>
      <c r="N486" s="17" t="n">
        <v>51678</v>
      </c>
      <c r="O486" s="17" t="n">
        <v>1611</v>
      </c>
      <c r="P486" s="17" t="n">
        <v>1413</v>
      </c>
      <c r="Q486" s="17" t="n">
        <v>0</v>
      </c>
      <c r="R486" s="17" t="n">
        <v>80</v>
      </c>
      <c r="S486" s="17" t="n">
        <v>124670</v>
      </c>
      <c r="T486" s="17" t="n">
        <v>586397</v>
      </c>
      <c r="U486" s="17" t="n">
        <v>7600</v>
      </c>
      <c r="V486" s="17" t="n">
        <v>0.858496118129066</v>
      </c>
      <c r="W486" s="17" t="n">
        <v>7.8</v>
      </c>
      <c r="X486" s="17" t="n">
        <v>3.02981359606164</v>
      </c>
      <c r="Y486" s="17" t="n">
        <v>0.992356939958884</v>
      </c>
      <c r="Z486" s="17" t="n">
        <v>21.2603406906925</v>
      </c>
      <c r="AA486" s="17" t="n">
        <v>11.2057388131628</v>
      </c>
      <c r="AB486" s="17" t="n">
        <v>11.116451151872</v>
      </c>
      <c r="AC486" s="17" t="n">
        <v>5.61065106361878</v>
      </c>
      <c r="AD486" s="17" t="n">
        <v>9.49170172509051</v>
      </c>
      <c r="AE486" s="17" t="n">
        <v>0.0384467193070245</v>
      </c>
      <c r="AF486" s="17" t="n">
        <v>0.0723845031961939</v>
      </c>
      <c r="AG486" s="18" t="n">
        <f aca="false">IFERROR(100*O486/F486,"")</f>
        <v>0.18288550413848</v>
      </c>
      <c r="AH486" s="18" t="n">
        <f aca="false">IFERROR(100*(P486+Q486)/F486,"")</f>
        <v>0.160407956143806</v>
      </c>
      <c r="AI486" s="18" t="n">
        <f aca="false">IFERROR(100*R486/K486,"")</f>
        <v>0.013532265148948</v>
      </c>
      <c r="AJ486" s="18" t="n">
        <f aca="false">IF(T486&gt;0,100*S486/T486,"")</f>
        <v>21.2603406906925</v>
      </c>
      <c r="AK486" s="18" t="n">
        <f aca="false">IFERROR(100*U486/G486,"")</f>
        <v>0.858496118129066</v>
      </c>
      <c r="AL486" s="18" t="n">
        <f aca="false">IFERROR(100*J486/H486,"")</f>
        <v>84.056949634163</v>
      </c>
      <c r="AM486" s="18" t="n">
        <f aca="false">IFERROR(100*L486/J486,"")</f>
        <v>82.1811730537697</v>
      </c>
      <c r="AN486" s="18" t="n">
        <f aca="false">IFERROR(100*M486/J486,"")</f>
        <v>8.23934616455217</v>
      </c>
      <c r="AO486" s="18" t="n">
        <f aca="false">IFERROR(100*N486/J486,"")</f>
        <v>8.66560019317256</v>
      </c>
    </row>
    <row r="487" customFormat="false" ht="15" hidden="false" customHeight="false" outlineLevel="0" collapsed="false">
      <c r="A487" s="17" t="n">
        <v>19532</v>
      </c>
      <c r="B487" s="23" t="n">
        <v>45565</v>
      </c>
      <c r="C487" s="17" t="s">
        <v>164</v>
      </c>
      <c r="D487" s="17" t="s">
        <v>108</v>
      </c>
      <c r="E487" s="17" t="s">
        <v>118</v>
      </c>
      <c r="F487" s="17" t="n">
        <v>870742</v>
      </c>
      <c r="G487" s="17" t="n">
        <v>881637.25</v>
      </c>
      <c r="H487" s="17" t="n">
        <v>721893</v>
      </c>
      <c r="I487" s="17" t="n">
        <v>105663</v>
      </c>
      <c r="J487" s="17" t="n">
        <v>605503</v>
      </c>
      <c r="K487" s="17" t="n">
        <v>594760.5</v>
      </c>
      <c r="L487" s="17" t="n">
        <v>500065</v>
      </c>
      <c r="M487" s="17" t="n">
        <v>49678</v>
      </c>
      <c r="N487" s="17" t="n">
        <v>50753</v>
      </c>
      <c r="O487" s="17" t="n">
        <v>1698</v>
      </c>
      <c r="P487" s="17" t="n">
        <v>1374</v>
      </c>
      <c r="Q487" s="17" t="n">
        <v>0</v>
      </c>
      <c r="R487" s="17" t="n">
        <v>75.9981</v>
      </c>
      <c r="S487" s="17" t="n">
        <v>126783</v>
      </c>
      <c r="T487" s="17" t="n">
        <v>594841</v>
      </c>
      <c r="U487" s="17" t="n">
        <v>7877.1364</v>
      </c>
      <c r="V487" s="17" t="n">
        <v>0.89346683117121</v>
      </c>
      <c r="W487" s="17" t="n">
        <v>7.91</v>
      </c>
      <c r="X487" s="17" t="n">
        <v>3.08744646214214</v>
      </c>
      <c r="Y487" s="17" t="n">
        <v>0.98232378700023</v>
      </c>
      <c r="Z487" s="17" t="n">
        <v>21.3137628374641</v>
      </c>
      <c r="AA487" s="17" t="n">
        <v>12.1348229441097</v>
      </c>
      <c r="AB487" s="17" t="n">
        <v>6.63343844717264</v>
      </c>
      <c r="AC487" s="17" t="n">
        <v>3.85825947798404</v>
      </c>
      <c r="AD487" s="17" t="n">
        <v>1.27638381301778</v>
      </c>
      <c r="AE487" s="17" t="n">
        <v>0.205336777405493</v>
      </c>
      <c r="AF487" s="17" t="n">
        <v>0.0557659794583984</v>
      </c>
      <c r="AG487" s="18" t="n">
        <f aca="false">IFERROR(100*O487/F487,"")</f>
        <v>0.195006098247242</v>
      </c>
      <c r="AH487" s="18" t="n">
        <f aca="false">IFERROR(100*(P487+Q487)/F487,"")</f>
        <v>0.157796454058722</v>
      </c>
      <c r="AI487" s="18" t="n">
        <f aca="false">IFERROR(100*R487/K487,"")</f>
        <v>0.0127779333025646</v>
      </c>
      <c r="AJ487" s="18" t="n">
        <f aca="false">IF(T487&gt;0,100*S487/T487,"")</f>
        <v>21.3137628374641</v>
      </c>
      <c r="AK487" s="18" t="n">
        <f aca="false">IFERROR(100*U487/G487,"")</f>
        <v>0.89346683117121</v>
      </c>
      <c r="AL487" s="18" t="n">
        <f aca="false">IFERROR(100*J487/H487,"")</f>
        <v>83.8771119819696</v>
      </c>
      <c r="AM487" s="18" t="n">
        <f aca="false">IFERROR(100*L487/J487,"")</f>
        <v>82.5867089015248</v>
      </c>
      <c r="AN487" s="18" t="n">
        <f aca="false">IFERROR(100*M487/J487,"")</f>
        <v>8.20441847521813</v>
      </c>
      <c r="AO487" s="18" t="n">
        <f aca="false">IFERROR(100*N487/J487,"")</f>
        <v>8.38195681937166</v>
      </c>
    </row>
    <row r="488" customFormat="false" ht="15" hidden="false" customHeight="false" outlineLevel="0" collapsed="false">
      <c r="A488" s="17" t="n">
        <v>19532</v>
      </c>
      <c r="B488" s="23" t="n">
        <v>45657</v>
      </c>
      <c r="C488" s="17" t="s">
        <v>164</v>
      </c>
      <c r="D488" s="17" t="s">
        <v>108</v>
      </c>
      <c r="E488" s="17" t="s">
        <v>118</v>
      </c>
      <c r="F488" s="17" t="n">
        <v>841355</v>
      </c>
      <c r="G488" s="17" t="n">
        <v>873580.8</v>
      </c>
      <c r="H488" s="17" t="n">
        <v>726139</v>
      </c>
      <c r="I488" s="17" t="n">
        <v>102611</v>
      </c>
      <c r="J488" s="17" t="n">
        <v>610614</v>
      </c>
      <c r="K488" s="17" t="n">
        <v>597931.2</v>
      </c>
      <c r="L488" s="17" t="n">
        <v>502892</v>
      </c>
      <c r="M488" s="17" t="n">
        <v>51731</v>
      </c>
      <c r="N488" s="17" t="n">
        <v>51267</v>
      </c>
      <c r="O488" s="17" t="n">
        <v>1747</v>
      </c>
      <c r="P488" s="17" t="n">
        <v>1403</v>
      </c>
      <c r="Q488" s="17" t="n">
        <v>0</v>
      </c>
      <c r="R488" s="17" t="n">
        <v>95</v>
      </c>
      <c r="S488" s="17" t="n">
        <v>128632</v>
      </c>
      <c r="T488" s="17" t="n">
        <v>600010</v>
      </c>
      <c r="U488" s="17" t="n">
        <v>7521</v>
      </c>
      <c r="V488" s="17" t="n">
        <v>0.860939251412119</v>
      </c>
      <c r="W488" s="17" t="n">
        <v>7.51</v>
      </c>
      <c r="X488" s="17" t="n">
        <v>3.19260167511545</v>
      </c>
      <c r="Y488" s="17" t="n">
        <v>0.98818566230057</v>
      </c>
      <c r="Z488" s="17" t="n">
        <v>21.4383093615106</v>
      </c>
      <c r="AA488" s="17" t="n">
        <v>12.1959220543053</v>
      </c>
      <c r="AB488" s="17" t="n">
        <v>-4.03181468731678</v>
      </c>
      <c r="AC488" s="17" t="n">
        <v>4.29288788686206</v>
      </c>
      <c r="AD488" s="17" t="n">
        <v>-0.23932483469139</v>
      </c>
      <c r="AE488" s="17" t="n">
        <v>0.0926155158372084</v>
      </c>
      <c r="AF488" s="17" t="n">
        <v>0.0789772295491123</v>
      </c>
      <c r="AG488" s="18" t="n">
        <f aca="false">IFERROR(100*O488/F488,"")</f>
        <v>0.207641245372049</v>
      </c>
      <c r="AH488" s="18" t="n">
        <f aca="false">IFERROR(100*(P488+Q488)/F488,"")</f>
        <v>0.166754818120769</v>
      </c>
      <c r="AI488" s="18" t="n">
        <f aca="false">IFERROR(100*R488/K488,"")</f>
        <v>0.0158881155557696</v>
      </c>
      <c r="AJ488" s="18" t="n">
        <f aca="false">IF(T488&gt;0,100*S488/T488,"")</f>
        <v>21.4383093615106</v>
      </c>
      <c r="AK488" s="18" t="n">
        <f aca="false">IFERROR(100*U488/G488,"")</f>
        <v>0.860939251412119</v>
      </c>
      <c r="AL488" s="18" t="n">
        <f aca="false">IFERROR(100*J488/H488,"")</f>
        <v>84.0905115962646</v>
      </c>
      <c r="AM488" s="18" t="n">
        <f aca="false">IFERROR(100*L488/J488,"")</f>
        <v>82.3584130072353</v>
      </c>
      <c r="AN488" s="18" t="n">
        <f aca="false">IFERROR(100*M488/J488,"")</f>
        <v>8.47196428512939</v>
      </c>
      <c r="AO488" s="18" t="n">
        <f aca="false">IFERROR(100*N488/J488,"")</f>
        <v>8.39597519873439</v>
      </c>
    </row>
    <row r="489" customFormat="false" ht="15" hidden="false" customHeight="false" outlineLevel="0" collapsed="false">
      <c r="A489" s="17" t="n">
        <v>19532</v>
      </c>
      <c r="B489" s="23" t="n">
        <v>45747</v>
      </c>
      <c r="C489" s="17" t="s">
        <v>164</v>
      </c>
      <c r="D489" s="17" t="s">
        <v>108</v>
      </c>
      <c r="E489" s="17" t="s">
        <v>118</v>
      </c>
      <c r="F489" s="17" t="n">
        <v>842808</v>
      </c>
      <c r="G489" s="17" t="n">
        <v>842081.5</v>
      </c>
      <c r="H489" s="17" t="n">
        <v>725198</v>
      </c>
      <c r="I489" s="17" t="n">
        <v>106845</v>
      </c>
      <c r="J489" s="17" t="n">
        <v>621805</v>
      </c>
      <c r="K489" s="17" t="n">
        <v>616209.5</v>
      </c>
      <c r="L489" s="17" t="n">
        <v>513632</v>
      </c>
      <c r="M489" s="17" t="n">
        <v>52325</v>
      </c>
      <c r="N489" s="17" t="n">
        <v>50922</v>
      </c>
      <c r="O489" s="17" t="n">
        <v>1797</v>
      </c>
      <c r="P489" s="17" t="n">
        <v>1058</v>
      </c>
      <c r="Q489" s="17" t="n">
        <v>0</v>
      </c>
      <c r="R489" s="17" t="n">
        <v>68</v>
      </c>
      <c r="S489" s="17" t="n">
        <v>130371</v>
      </c>
      <c r="T489" s="17" t="n">
        <v>607930</v>
      </c>
      <c r="U489" s="17" t="n">
        <v>6400</v>
      </c>
      <c r="V489" s="17" t="n">
        <v>0.760021446855204</v>
      </c>
      <c r="W489" s="17" t="n">
        <v>6.11</v>
      </c>
      <c r="X489" s="17" t="n">
        <v>3.55241458743948</v>
      </c>
      <c r="Y489" s="17" t="n">
        <v>0.987447833323952</v>
      </c>
      <c r="Z489" s="17" t="n">
        <v>21.4450676887142</v>
      </c>
      <c r="AA489" s="17" t="n">
        <v>12.6772645727141</v>
      </c>
      <c r="AB489" s="17" t="n">
        <v>-6.1697167527994</v>
      </c>
      <c r="AC489" s="17" t="n">
        <v>5.08770476980773</v>
      </c>
      <c r="AD489" s="17" t="n">
        <v>-0.463370913592853</v>
      </c>
      <c r="AE489" s="17" t="n">
        <v>-0.183340762766821</v>
      </c>
      <c r="AF489" s="17" t="n">
        <v>0.021504603952882</v>
      </c>
      <c r="AG489" s="18" t="n">
        <f aca="false">IFERROR(100*O489/F489,"")</f>
        <v>0.213215821397044</v>
      </c>
      <c r="AH489" s="18" t="n">
        <f aca="false">IFERROR(100*(P489+Q489)/F489,"")</f>
        <v>0.125532742926028</v>
      </c>
      <c r="AI489" s="18" t="n">
        <f aca="false">IFERROR(100*R489/K489,"")</f>
        <v>0.0110352079933854</v>
      </c>
      <c r="AJ489" s="18" t="n">
        <f aca="false">IF(T489&gt;0,100*S489/T489,"")</f>
        <v>21.4450676887142</v>
      </c>
      <c r="AK489" s="18" t="n">
        <f aca="false">IFERROR(100*U489/G489,"")</f>
        <v>0.760021446855204</v>
      </c>
      <c r="AL489" s="18" t="n">
        <f aca="false">IFERROR(100*J489/H489,"")</f>
        <v>85.7427902448711</v>
      </c>
      <c r="AM489" s="18" t="n">
        <f aca="false">IFERROR(100*L489/J489,"")</f>
        <v>82.6033885221251</v>
      </c>
      <c r="AN489" s="18" t="n">
        <f aca="false">IFERROR(100*M489/J489,"")</f>
        <v>8.4150175698169</v>
      </c>
      <c r="AO489" s="18" t="n">
        <f aca="false">IFERROR(100*N489/J489,"")</f>
        <v>8.18938413168115</v>
      </c>
    </row>
    <row r="490" customFormat="false" ht="15" hidden="false" customHeight="false" outlineLevel="0" collapsed="false">
      <c r="A490" s="17" t="n">
        <v>19532</v>
      </c>
      <c r="B490" s="23" t="n">
        <v>45838</v>
      </c>
      <c r="C490" s="17" t="s">
        <v>164</v>
      </c>
      <c r="D490" s="17" t="s">
        <v>108</v>
      </c>
      <c r="E490" s="17" t="s">
        <v>118</v>
      </c>
      <c r="F490" s="17" t="n">
        <v>843145</v>
      </c>
      <c r="G490" s="17" t="n">
        <v>842436</v>
      </c>
      <c r="H490" s="17" t="n">
        <v>706708</v>
      </c>
      <c r="I490" s="17" t="n">
        <v>110106</v>
      </c>
      <c r="J490" s="17" t="n">
        <v>617669</v>
      </c>
      <c r="K490" s="17" t="n">
        <v>616696</v>
      </c>
      <c r="L490" s="17" t="n">
        <v>511357</v>
      </c>
      <c r="M490" s="17" t="n">
        <v>52195</v>
      </c>
      <c r="N490" s="17" t="n">
        <v>49375</v>
      </c>
      <c r="O490" s="17" t="n">
        <v>1705</v>
      </c>
      <c r="P490" s="17" t="n">
        <v>817</v>
      </c>
      <c r="Q490" s="17" t="n">
        <v>189</v>
      </c>
      <c r="R490" s="17" t="n">
        <v>92</v>
      </c>
      <c r="S490" s="17" t="n">
        <v>132688</v>
      </c>
      <c r="T490" s="17" t="n">
        <v>606697</v>
      </c>
      <c r="U490" s="17" t="n">
        <v>8288</v>
      </c>
      <c r="V490" s="17" t="n">
        <v>0.98381360720577</v>
      </c>
      <c r="W490" s="17" t="n">
        <v>7.78</v>
      </c>
      <c r="X490" s="17" t="n">
        <v>3.61555610853524</v>
      </c>
      <c r="Y490" s="17" t="n">
        <v>0.987745863885026</v>
      </c>
      <c r="Z490" s="17" t="n">
        <v>21.8705548239072</v>
      </c>
      <c r="AA490" s="17" t="n">
        <v>13.0589637606817</v>
      </c>
      <c r="AB490" s="17" t="n">
        <v>-4.28367573753036</v>
      </c>
      <c r="AC490" s="17" t="n">
        <v>3.57352462782423</v>
      </c>
      <c r="AD490" s="17" t="n">
        <v>-0.389164290476396</v>
      </c>
      <c r="AE490" s="17" t="n">
        <v>0.125317489076704</v>
      </c>
      <c r="AF490" s="17" t="n">
        <v>0.0193335685002715</v>
      </c>
      <c r="AG490" s="18" t="n">
        <f aca="false">IFERROR(100*O490/F490,"")</f>
        <v>0.202219072638751</v>
      </c>
      <c r="AH490" s="18" t="n">
        <f aca="false">IFERROR(100*(P490+Q490)/F490,"")</f>
        <v>0.119315183034947</v>
      </c>
      <c r="AI490" s="18" t="n">
        <f aca="false">IFERROR(100*R490/K490,"")</f>
        <v>0.0149182092959902</v>
      </c>
      <c r="AJ490" s="18" t="n">
        <f aca="false">IF(T490&gt;0,100*S490/T490,"")</f>
        <v>21.8705548239072</v>
      </c>
      <c r="AK490" s="18" t="n">
        <f aca="false">IFERROR(100*U490/G490,"")</f>
        <v>0.98381360720577</v>
      </c>
      <c r="AL490" s="18" t="n">
        <f aca="false">IFERROR(100*J490/H490,"")</f>
        <v>87.4008784391856</v>
      </c>
      <c r="AM490" s="18" t="n">
        <f aca="false">IFERROR(100*L490/J490,"")</f>
        <v>82.7881923813564</v>
      </c>
      <c r="AN490" s="18" t="n">
        <f aca="false">IFERROR(100*M490/J490,"")</f>
        <v>8.45031886010145</v>
      </c>
      <c r="AO490" s="18" t="n">
        <f aca="false">IFERROR(100*N490/J490,"")</f>
        <v>7.99376365011033</v>
      </c>
    </row>
    <row r="491" customFormat="false" ht="15" hidden="false" customHeight="false" outlineLevel="0" collapsed="false">
      <c r="A491" s="17" t="n">
        <v>19690</v>
      </c>
      <c r="B491" s="23" t="n">
        <v>44651</v>
      </c>
      <c r="C491" s="17" t="s">
        <v>158</v>
      </c>
      <c r="D491" s="17" t="s">
        <v>108</v>
      </c>
      <c r="E491" s="17" t="s">
        <v>114</v>
      </c>
      <c r="F491" s="17" t="n">
        <v>1566116</v>
      </c>
      <c r="G491" s="17" t="n">
        <v>1513035.5</v>
      </c>
      <c r="H491" s="17" t="n">
        <v>1284535</v>
      </c>
      <c r="I491" s="17" t="n">
        <v>247469</v>
      </c>
      <c r="J491" s="17" t="n">
        <v>1232325</v>
      </c>
      <c r="K491" s="17" t="n">
        <v>1206754.5</v>
      </c>
      <c r="L491" s="17" t="n">
        <v>894476</v>
      </c>
      <c r="M491" s="17" t="n">
        <v>25804</v>
      </c>
      <c r="N491" s="17" t="n">
        <v>777</v>
      </c>
      <c r="O491" s="17" t="n">
        <v>17912</v>
      </c>
      <c r="P491" s="17" t="n">
        <v>6729</v>
      </c>
      <c r="Q491" s="17" t="n">
        <v>0</v>
      </c>
      <c r="R491" s="17" t="n">
        <v>-252</v>
      </c>
      <c r="S491" s="17" t="n">
        <v>254505</v>
      </c>
      <c r="T491" s="17" t="n">
        <v>1235344</v>
      </c>
      <c r="U491" s="17" t="n">
        <v>42348</v>
      </c>
      <c r="V491" s="17" t="n">
        <v>2.79887682741086</v>
      </c>
      <c r="W491" s="17" t="n">
        <v>17.4</v>
      </c>
      <c r="X491" s="17" t="n">
        <v>5.76381679552061</v>
      </c>
      <c r="Y491" s="17" t="n">
        <v>0.471953421378289</v>
      </c>
      <c r="Z491" s="17" t="n">
        <v>20.6019537877709</v>
      </c>
      <c r="AA491" s="17" t="n">
        <v>15.8014476577725</v>
      </c>
      <c r="AB491" s="17"/>
      <c r="AC491" s="17"/>
      <c r="AD491" s="17"/>
      <c r="AE491" s="17"/>
      <c r="AF491" s="17"/>
      <c r="AG491" s="18" t="n">
        <f aca="false">IFERROR(100*O491/F491,"")</f>
        <v>1.14372115475482</v>
      </c>
      <c r="AH491" s="18" t="n">
        <f aca="false">IFERROR(100*(P491+Q491)/F491,"")</f>
        <v>0.429661659800424</v>
      </c>
      <c r="AI491" s="18" t="n">
        <f aca="false">IFERROR(100*R491/K491,"")</f>
        <v>-0.0208824578652907</v>
      </c>
      <c r="AJ491" s="18" t="n">
        <f aca="false">IF(T491&gt;0,100*S491/T491,"")</f>
        <v>20.6019537877709</v>
      </c>
      <c r="AK491" s="18" t="n">
        <f aca="false">IFERROR(100*U491/G491,"")</f>
        <v>2.79887682741086</v>
      </c>
      <c r="AL491" s="18" t="n">
        <f aca="false">IFERROR(100*J491/H491,"")</f>
        <v>95.93549416715</v>
      </c>
      <c r="AM491" s="18" t="n">
        <f aca="false">IFERROR(100*L491/J491,"")</f>
        <v>72.5844237518512</v>
      </c>
      <c r="AN491" s="18" t="n">
        <f aca="false">IFERROR(100*M491/J491,"")</f>
        <v>2.09392814395553</v>
      </c>
      <c r="AO491" s="18" t="n">
        <f aca="false">IFERROR(100*N491/J491,"")</f>
        <v>0.0630515489014667</v>
      </c>
    </row>
    <row r="492" customFormat="false" ht="15" hidden="false" customHeight="false" outlineLevel="0" collapsed="false">
      <c r="A492" s="17" t="n">
        <v>19690</v>
      </c>
      <c r="B492" s="23" t="n">
        <v>44742</v>
      </c>
      <c r="C492" s="17" t="s">
        <v>158</v>
      </c>
      <c r="D492" s="17" t="s">
        <v>108</v>
      </c>
      <c r="E492" s="17" t="s">
        <v>114</v>
      </c>
      <c r="F492" s="17" t="n">
        <v>1582759</v>
      </c>
      <c r="G492" s="17" t="n">
        <v>1536276.66666667</v>
      </c>
      <c r="H492" s="17" t="n">
        <v>1302616</v>
      </c>
      <c r="I492" s="17" t="n">
        <v>248321</v>
      </c>
      <c r="J492" s="17" t="n">
        <v>1304866</v>
      </c>
      <c r="K492" s="17" t="n">
        <v>1239458.33333333</v>
      </c>
      <c r="L492" s="17" t="n">
        <v>951396</v>
      </c>
      <c r="M492" s="17" t="n">
        <v>24614</v>
      </c>
      <c r="N492" s="17" t="n">
        <v>719</v>
      </c>
      <c r="O492" s="17" t="n">
        <v>12946</v>
      </c>
      <c r="P492" s="17" t="n">
        <v>590</v>
      </c>
      <c r="Q492" s="17" t="n">
        <v>0</v>
      </c>
      <c r="R492" s="17" t="n">
        <v>-310</v>
      </c>
      <c r="S492" s="17" t="n">
        <v>254248</v>
      </c>
      <c r="T492" s="17" t="n">
        <v>1306041</v>
      </c>
      <c r="U492" s="17" t="n">
        <v>41766</v>
      </c>
      <c r="V492" s="17" t="n">
        <v>2.71865093743965</v>
      </c>
      <c r="W492" s="17" t="n">
        <v>17.05</v>
      </c>
      <c r="X492" s="17" t="n">
        <v>6.0280785575674</v>
      </c>
      <c r="Y492" s="17" t="n">
        <v>0.385326922457938</v>
      </c>
      <c r="Z492" s="17" t="n">
        <v>19.4670764547208</v>
      </c>
      <c r="AA492" s="17" t="n">
        <v>15.6891226017353</v>
      </c>
      <c r="AB492" s="17"/>
      <c r="AC492" s="17"/>
      <c r="AD492" s="17"/>
      <c r="AE492" s="17"/>
      <c r="AF492" s="17"/>
      <c r="AG492" s="18" t="n">
        <f aca="false">IFERROR(100*O492/F492,"")</f>
        <v>0.817938801801159</v>
      </c>
      <c r="AH492" s="18" t="n">
        <f aca="false">IFERROR(100*(P492+Q492)/F492,"")</f>
        <v>0.03727667951975</v>
      </c>
      <c r="AI492" s="18" t="n">
        <f aca="false">IFERROR(100*R492/K492,"")</f>
        <v>-0.0250109254714761</v>
      </c>
      <c r="AJ492" s="18" t="n">
        <f aca="false">IF(T492&gt;0,100*S492/T492,"")</f>
        <v>19.4670764547208</v>
      </c>
      <c r="AK492" s="18" t="n">
        <f aca="false">IFERROR(100*U492/G492,"")</f>
        <v>2.71865093743965</v>
      </c>
      <c r="AL492" s="18" t="n">
        <f aca="false">IFERROR(100*J492/H492,"")</f>
        <v>100.1727293385</v>
      </c>
      <c r="AM492" s="18" t="n">
        <f aca="false">IFERROR(100*L492/J492,"")</f>
        <v>72.9113947332523</v>
      </c>
      <c r="AN492" s="18" t="n">
        <f aca="false">IFERROR(100*M492/J492,"")</f>
        <v>1.88632395970161</v>
      </c>
      <c r="AO492" s="18" t="n">
        <f aca="false">IFERROR(100*N492/J492,"")</f>
        <v>0.0551014433665986</v>
      </c>
    </row>
    <row r="493" customFormat="false" ht="15" hidden="false" customHeight="false" outlineLevel="0" collapsed="false">
      <c r="A493" s="17" t="n">
        <v>19690</v>
      </c>
      <c r="B493" s="23" t="n">
        <v>44834</v>
      </c>
      <c r="C493" s="17" t="s">
        <v>158</v>
      </c>
      <c r="D493" s="17" t="s">
        <v>108</v>
      </c>
      <c r="E493" s="17" t="s">
        <v>114</v>
      </c>
      <c r="F493" s="17" t="n">
        <v>1742943</v>
      </c>
      <c r="G493" s="17" t="n">
        <v>1587943.25</v>
      </c>
      <c r="H493" s="17" t="n">
        <v>1344811</v>
      </c>
      <c r="I493" s="17" t="n">
        <v>252162</v>
      </c>
      <c r="J493" s="17" t="n">
        <v>1464220</v>
      </c>
      <c r="K493" s="17" t="n">
        <v>1295648.75</v>
      </c>
      <c r="L493" s="17" t="n">
        <v>1069457</v>
      </c>
      <c r="M493" s="17" t="n">
        <v>22707</v>
      </c>
      <c r="N493" s="17" t="n">
        <v>653</v>
      </c>
      <c r="O493" s="17" t="n">
        <v>13597</v>
      </c>
      <c r="P493" s="17" t="n">
        <v>4098</v>
      </c>
      <c r="Q493" s="17" t="n">
        <v>0</v>
      </c>
      <c r="R493" s="17" t="n">
        <v>-231.9942</v>
      </c>
      <c r="S493" s="17" t="n">
        <v>259146</v>
      </c>
      <c r="T493" s="17" t="n">
        <v>1458657</v>
      </c>
      <c r="U493" s="17" t="n">
        <v>38892.361</v>
      </c>
      <c r="V493" s="17" t="n">
        <v>2.44922864844194</v>
      </c>
      <c r="W493" s="17" t="n">
        <v>15.76</v>
      </c>
      <c r="X493" s="17" t="n">
        <v>5.94953342943275</v>
      </c>
      <c r="Y493" s="17" t="n">
        <v>0.402808321153925</v>
      </c>
      <c r="Z493" s="17" t="n">
        <v>17.7660683765957</v>
      </c>
      <c r="AA493" s="17" t="n">
        <v>14.4675987682902</v>
      </c>
      <c r="AB493" s="17"/>
      <c r="AC493" s="17"/>
      <c r="AD493" s="17"/>
      <c r="AE493" s="17"/>
      <c r="AF493" s="17"/>
      <c r="AG493" s="18" t="n">
        <f aca="false">IFERROR(100*O493/F493,"")</f>
        <v>0.780117307335926</v>
      </c>
      <c r="AH493" s="18" t="n">
        <f aca="false">IFERROR(100*(P493+Q493)/F493,"")</f>
        <v>0.235119565011592</v>
      </c>
      <c r="AI493" s="18" t="n">
        <f aca="false">IFERROR(100*R493/K493,"")</f>
        <v>-0.0179056399352062</v>
      </c>
      <c r="AJ493" s="18" t="n">
        <f aca="false">IF(T493&gt;0,100*S493/T493,"")</f>
        <v>17.7660683765957</v>
      </c>
      <c r="AK493" s="18" t="n">
        <f aca="false">IFERROR(100*U493/G493,"")</f>
        <v>2.44922864844194</v>
      </c>
      <c r="AL493" s="18" t="n">
        <f aca="false">IFERROR(100*J493/H493,"")</f>
        <v>108.879240279861</v>
      </c>
      <c r="AM493" s="18" t="n">
        <f aca="false">IFERROR(100*L493/J493,"")</f>
        <v>73.0393656690934</v>
      </c>
      <c r="AN493" s="18" t="n">
        <f aca="false">IFERROR(100*M493/J493,"")</f>
        <v>1.55079154771824</v>
      </c>
      <c r="AO493" s="18" t="n">
        <f aca="false">IFERROR(100*N493/J493,"")</f>
        <v>0.0445971233830982</v>
      </c>
    </row>
    <row r="494" customFormat="false" ht="15" hidden="false" customHeight="false" outlineLevel="0" collapsed="false">
      <c r="A494" s="17" t="n">
        <v>19690</v>
      </c>
      <c r="B494" s="23" t="n">
        <v>44926</v>
      </c>
      <c r="C494" s="17" t="s">
        <v>158</v>
      </c>
      <c r="D494" s="17" t="s">
        <v>108</v>
      </c>
      <c r="E494" s="17" t="s">
        <v>114</v>
      </c>
      <c r="F494" s="17" t="n">
        <v>2809418</v>
      </c>
      <c r="G494" s="17" t="n">
        <v>1832238.2</v>
      </c>
      <c r="H494" s="17" t="n">
        <v>2251472</v>
      </c>
      <c r="I494" s="17" t="n">
        <v>263427</v>
      </c>
      <c r="J494" s="17" t="n">
        <v>2504757</v>
      </c>
      <c r="K494" s="17" t="n">
        <v>1537470.4</v>
      </c>
      <c r="L494" s="17" t="n">
        <v>2024933</v>
      </c>
      <c r="M494" s="17" t="n">
        <v>46473</v>
      </c>
      <c r="N494" s="17" t="n">
        <v>609</v>
      </c>
      <c r="O494" s="17" t="n">
        <v>12899</v>
      </c>
      <c r="P494" s="17" t="n">
        <v>10727</v>
      </c>
      <c r="Q494" s="17" t="n">
        <v>0</v>
      </c>
      <c r="R494" s="17" t="n">
        <v>-362</v>
      </c>
      <c r="S494" s="17" t="n">
        <v>270253</v>
      </c>
      <c r="T494" s="17" t="n">
        <v>2433673</v>
      </c>
      <c r="U494" s="17" t="n">
        <v>40468</v>
      </c>
      <c r="V494" s="17" t="n">
        <v>2.20866479041863</v>
      </c>
      <c r="W494" s="17" t="n">
        <v>16.18</v>
      </c>
      <c r="X494" s="17" t="n">
        <v>5.49030154110946</v>
      </c>
      <c r="Y494" s="17" t="n">
        <v>0.255952972683578</v>
      </c>
      <c r="Z494" s="17" t="n">
        <v>11.1047375715636</v>
      </c>
      <c r="AA494" s="17" t="n">
        <v>9.37656838533817</v>
      </c>
      <c r="AB494" s="17"/>
      <c r="AC494" s="17"/>
      <c r="AD494" s="17"/>
      <c r="AE494" s="17"/>
      <c r="AF494" s="17"/>
      <c r="AG494" s="18" t="n">
        <f aca="false">IFERROR(100*O494/F494,"")</f>
        <v>0.45913424061496</v>
      </c>
      <c r="AH494" s="18" t="n">
        <f aca="false">IFERROR(100*(P494+Q494)/F494,"")</f>
        <v>0.381822854413263</v>
      </c>
      <c r="AI494" s="18" t="n">
        <f aca="false">IFERROR(100*R494/K494,"")</f>
        <v>-0.0235451687395087</v>
      </c>
      <c r="AJ494" s="18" t="n">
        <f aca="false">IF(T494&gt;0,100*S494/T494,"")</f>
        <v>11.1047375715636</v>
      </c>
      <c r="AK494" s="18" t="n">
        <f aca="false">IFERROR(100*U494/G494,"")</f>
        <v>2.20866479041863</v>
      </c>
      <c r="AL494" s="18" t="n">
        <f aca="false">IFERROR(100*J494/H494,"")</f>
        <v>111.249751273833</v>
      </c>
      <c r="AM494" s="18" t="n">
        <f aca="false">IFERROR(100*L494/J494,"")</f>
        <v>80.8434910053151</v>
      </c>
      <c r="AN494" s="18" t="n">
        <f aca="false">IFERROR(100*M494/J494,"")</f>
        <v>1.85538956473622</v>
      </c>
      <c r="AO494" s="18" t="n">
        <f aca="false">IFERROR(100*N494/J494,"")</f>
        <v>0.0243137358234751</v>
      </c>
    </row>
    <row r="495" customFormat="false" ht="15" hidden="false" customHeight="false" outlineLevel="0" collapsed="false">
      <c r="A495" s="17" t="n">
        <v>19690</v>
      </c>
      <c r="B495" s="23" t="n">
        <v>45016</v>
      </c>
      <c r="C495" s="17" t="s">
        <v>158</v>
      </c>
      <c r="D495" s="17" t="s">
        <v>108</v>
      </c>
      <c r="E495" s="17" t="s">
        <v>114</v>
      </c>
      <c r="F495" s="17" t="n">
        <v>2866479</v>
      </c>
      <c r="G495" s="17" t="n">
        <v>2837948.5</v>
      </c>
      <c r="H495" s="17" t="n">
        <v>2150204</v>
      </c>
      <c r="I495" s="17" t="n">
        <v>283869</v>
      </c>
      <c r="J495" s="17" t="n">
        <v>2509795</v>
      </c>
      <c r="K495" s="17" t="n">
        <v>2507276</v>
      </c>
      <c r="L495" s="17" t="n">
        <v>2010351</v>
      </c>
      <c r="M495" s="17" t="n">
        <v>41557</v>
      </c>
      <c r="N495" s="17" t="n">
        <v>534</v>
      </c>
      <c r="O495" s="17" t="n">
        <v>14522</v>
      </c>
      <c r="P495" s="17" t="n">
        <v>6586</v>
      </c>
      <c r="Q495" s="17" t="n">
        <v>0</v>
      </c>
      <c r="R495" s="17" t="n">
        <v>-20</v>
      </c>
      <c r="S495" s="17" t="n">
        <v>291171</v>
      </c>
      <c r="T495" s="17" t="n">
        <v>2448991</v>
      </c>
      <c r="U495" s="17" t="n">
        <v>50068</v>
      </c>
      <c r="V495" s="17" t="n">
        <v>1.76423215572799</v>
      </c>
      <c r="W495" s="17" t="n">
        <v>18.3</v>
      </c>
      <c r="X495" s="17" t="n">
        <v>4.69912192082439</v>
      </c>
      <c r="Y495" s="17" t="n">
        <v>0.282572879458283</v>
      </c>
      <c r="Z495" s="17" t="n">
        <v>11.8894271150854</v>
      </c>
      <c r="AA495" s="17" t="n">
        <v>9.9030552814097</v>
      </c>
      <c r="AB495" s="17" t="n">
        <v>83.0310781576844</v>
      </c>
      <c r="AC495" s="17" t="n">
        <v>103.663400482827</v>
      </c>
      <c r="AD495" s="17" t="n">
        <v>67.3916242064249</v>
      </c>
      <c r="AE495" s="17" t="n">
        <v>-1.03464467168287</v>
      </c>
      <c r="AF495" s="17" t="n">
        <v>-0.637106593824843</v>
      </c>
      <c r="AG495" s="18" t="n">
        <f aca="false">IFERROR(100*O495/F495,"")</f>
        <v>0.506614560929977</v>
      </c>
      <c r="AH495" s="18" t="n">
        <f aca="false">IFERROR(100*(P495+Q495)/F495,"")</f>
        <v>0.22975922726104</v>
      </c>
      <c r="AI495" s="18" t="n">
        <f aca="false">IFERROR(100*R495/K495,"")</f>
        <v>-0.000797678436677893</v>
      </c>
      <c r="AJ495" s="18" t="n">
        <f aca="false">IF(T495&gt;0,100*S495/T495,"")</f>
        <v>11.8894271150854</v>
      </c>
      <c r="AK495" s="18" t="n">
        <f aca="false">IFERROR(100*U495/G495,"")</f>
        <v>1.76423215572798</v>
      </c>
      <c r="AL495" s="18" t="n">
        <f aca="false">IFERROR(100*J495/H495,"")</f>
        <v>116.72357599558</v>
      </c>
      <c r="AM495" s="18" t="n">
        <f aca="false">IFERROR(100*L495/J495,"")</f>
        <v>80.100207387456</v>
      </c>
      <c r="AN495" s="18" t="n">
        <f aca="false">IFERROR(100*M495/J495,"")</f>
        <v>1.65579260457527</v>
      </c>
      <c r="AO495" s="18" t="n">
        <f aca="false">IFERROR(100*N495/J495,"")</f>
        <v>0.0212766381317996</v>
      </c>
    </row>
    <row r="496" customFormat="false" ht="15" hidden="false" customHeight="false" outlineLevel="0" collapsed="false">
      <c r="A496" s="17" t="n">
        <v>19690</v>
      </c>
      <c r="B496" s="23" t="n">
        <v>45107</v>
      </c>
      <c r="C496" s="17" t="s">
        <v>158</v>
      </c>
      <c r="D496" s="17" t="s">
        <v>108</v>
      </c>
      <c r="E496" s="17" t="s">
        <v>114</v>
      </c>
      <c r="F496" s="17" t="n">
        <v>2869938</v>
      </c>
      <c r="G496" s="17" t="n">
        <v>2848611.66666667</v>
      </c>
      <c r="H496" s="17" t="n">
        <v>1960331</v>
      </c>
      <c r="I496" s="17" t="n">
        <v>296663</v>
      </c>
      <c r="J496" s="17" t="n">
        <v>2520360</v>
      </c>
      <c r="K496" s="17" t="n">
        <v>2511637.33333333</v>
      </c>
      <c r="L496" s="17" t="n">
        <v>2020060</v>
      </c>
      <c r="M496" s="17" t="n">
        <v>37835</v>
      </c>
      <c r="N496" s="17" t="n">
        <v>470</v>
      </c>
      <c r="O496" s="17" t="n">
        <v>15683</v>
      </c>
      <c r="P496" s="17" t="n">
        <v>645</v>
      </c>
      <c r="Q496" s="17" t="n">
        <v>0</v>
      </c>
      <c r="R496" s="17" t="n">
        <v>468</v>
      </c>
      <c r="S496" s="17" t="n">
        <v>304210</v>
      </c>
      <c r="T496" s="17" t="n">
        <v>2473576</v>
      </c>
      <c r="U496" s="17" t="n">
        <v>49204</v>
      </c>
      <c r="V496" s="17" t="n">
        <v>1.72729756659238</v>
      </c>
      <c r="W496" s="17" t="n">
        <v>17.49</v>
      </c>
      <c r="X496" s="17" t="n">
        <v>4.82690808234839</v>
      </c>
      <c r="Y496" s="17" t="n">
        <v>0.289799869859861</v>
      </c>
      <c r="Z496" s="17" t="n">
        <v>12.2983890529339</v>
      </c>
      <c r="AA496" s="17" t="n">
        <v>10.3369132016092</v>
      </c>
      <c r="AB496" s="17" t="n">
        <v>81.3250153687327</v>
      </c>
      <c r="AC496" s="17" t="n">
        <v>93.1508675986653</v>
      </c>
      <c r="AD496" s="17" t="n">
        <v>50.4918563874542</v>
      </c>
      <c r="AE496" s="17" t="n">
        <v>-0.991353370847273</v>
      </c>
      <c r="AF496" s="17" t="n">
        <v>-0.271481003758135</v>
      </c>
      <c r="AG496" s="18" t="n">
        <f aca="false">IFERROR(100*O496/F496,"")</f>
        <v>0.546457798043024</v>
      </c>
      <c r="AH496" s="18" t="n">
        <f aca="false">IFERROR(100*(P496+Q496)/F496,"")</f>
        <v>0.0224743531044922</v>
      </c>
      <c r="AI496" s="18" t="n">
        <f aca="false">IFERROR(100*R496/K496,"")</f>
        <v>0.0186332634010855</v>
      </c>
      <c r="AJ496" s="18" t="n">
        <f aca="false">IF(T496&gt;0,100*S496/T496,"")</f>
        <v>12.2983890529339</v>
      </c>
      <c r="AK496" s="18" t="n">
        <f aca="false">IFERROR(100*U496/G496,"")</f>
        <v>1.72729756659238</v>
      </c>
      <c r="AL496" s="18" t="n">
        <f aca="false">IFERROR(100*J496/H496,"")</f>
        <v>128.56808365526</v>
      </c>
      <c r="AM496" s="18" t="n">
        <f aca="false">IFERROR(100*L496/J496,"")</f>
        <v>80.1496611595169</v>
      </c>
      <c r="AN496" s="18" t="n">
        <f aca="false">IFERROR(100*M496/J496,"")</f>
        <v>1.50117443539812</v>
      </c>
      <c r="AO496" s="18" t="n">
        <f aca="false">IFERROR(100*N496/J496,"")</f>
        <v>0.0186481296322748</v>
      </c>
    </row>
    <row r="497" customFormat="false" ht="15" hidden="false" customHeight="false" outlineLevel="0" collapsed="false">
      <c r="A497" s="17" t="n">
        <v>19690</v>
      </c>
      <c r="B497" s="23" t="n">
        <v>45199</v>
      </c>
      <c r="C497" s="17" t="s">
        <v>158</v>
      </c>
      <c r="D497" s="17" t="s">
        <v>108</v>
      </c>
      <c r="E497" s="17" t="s">
        <v>114</v>
      </c>
      <c r="F497" s="17" t="n">
        <v>2876461</v>
      </c>
      <c r="G497" s="17" t="n">
        <v>2855574</v>
      </c>
      <c r="H497" s="17" t="n">
        <v>1996495</v>
      </c>
      <c r="I497" s="17" t="n">
        <v>311569</v>
      </c>
      <c r="J497" s="17" t="n">
        <v>2528210</v>
      </c>
      <c r="K497" s="17" t="n">
        <v>2515780.5</v>
      </c>
      <c r="L497" s="17" t="n">
        <v>2043563</v>
      </c>
      <c r="M497" s="17" t="n">
        <v>42688</v>
      </c>
      <c r="N497" s="17" t="n">
        <v>421</v>
      </c>
      <c r="O497" s="17" t="n">
        <v>17448</v>
      </c>
      <c r="P497" s="17" t="n">
        <v>10951</v>
      </c>
      <c r="Q497" s="17" t="n">
        <v>0</v>
      </c>
      <c r="R497" s="17" t="n">
        <v>2363.9409</v>
      </c>
      <c r="S497" s="17" t="n">
        <v>337126</v>
      </c>
      <c r="T497" s="17" t="n">
        <v>2504468</v>
      </c>
      <c r="U497" s="17" t="n">
        <v>53033.3408</v>
      </c>
      <c r="V497" s="17" t="n">
        <v>1.85718670922203</v>
      </c>
      <c r="W497" s="17" t="n">
        <v>18.36</v>
      </c>
      <c r="X497" s="17" t="n">
        <v>5.01279887177971</v>
      </c>
      <c r="Y497" s="17" t="n">
        <v>1.00082667183501</v>
      </c>
      <c r="Z497" s="17" t="n">
        <v>13.4609825320188</v>
      </c>
      <c r="AA497" s="17" t="n">
        <v>10.8316782323835</v>
      </c>
      <c r="AB497" s="17" t="n">
        <v>65.0347142735018</v>
      </c>
      <c r="AC497" s="17" t="n">
        <v>72.6659928152873</v>
      </c>
      <c r="AD497" s="17" t="n">
        <v>48.4591515090225</v>
      </c>
      <c r="AE497" s="17" t="n">
        <v>-0.592041939219905</v>
      </c>
      <c r="AF497" s="17" t="n">
        <v>-0.173538598290331</v>
      </c>
      <c r="AG497" s="18" t="n">
        <f aca="false">IFERROR(100*O497/F497,"")</f>
        <v>0.606578709045595</v>
      </c>
      <c r="AH497" s="18" t="n">
        <f aca="false">IFERROR(100*(P497+Q497)/F497,"")</f>
        <v>0.380710880488211</v>
      </c>
      <c r="AI497" s="18" t="n">
        <f aca="false">IFERROR(100*R497/K497,"")</f>
        <v>0.0939645131997803</v>
      </c>
      <c r="AJ497" s="18" t="n">
        <f aca="false">IF(T497&gt;0,100*S497/T497,"")</f>
        <v>13.4609825320188</v>
      </c>
      <c r="AK497" s="18" t="n">
        <f aca="false">IFERROR(100*U497/G497,"")</f>
        <v>1.85718670922203</v>
      </c>
      <c r="AL497" s="18" t="n">
        <f aca="false">IFERROR(100*J497/H497,"")</f>
        <v>126.632423321872</v>
      </c>
      <c r="AM497" s="18" t="n">
        <f aca="false">IFERROR(100*L497/J497,"")</f>
        <v>80.8304294342638</v>
      </c>
      <c r="AN497" s="18" t="n">
        <f aca="false">IFERROR(100*M497/J497,"")</f>
        <v>1.68846733459641</v>
      </c>
      <c r="AO497" s="18" t="n">
        <f aca="false">IFERROR(100*N497/J497,"")</f>
        <v>0.0166520977292234</v>
      </c>
    </row>
    <row r="498" customFormat="false" ht="15" hidden="false" customHeight="false" outlineLevel="0" collapsed="false">
      <c r="A498" s="17" t="n">
        <v>19690</v>
      </c>
      <c r="B498" s="23" t="n">
        <v>45291</v>
      </c>
      <c r="C498" s="17" t="s">
        <v>158</v>
      </c>
      <c r="D498" s="17" t="s">
        <v>108</v>
      </c>
      <c r="E498" s="17" t="s">
        <v>114</v>
      </c>
      <c r="F498" s="17" t="n">
        <v>2968976</v>
      </c>
      <c r="G498" s="17" t="n">
        <v>2878254.4</v>
      </c>
      <c r="H498" s="17" t="n">
        <v>2150988</v>
      </c>
      <c r="I498" s="17" t="n">
        <v>327540</v>
      </c>
      <c r="J498" s="17" t="n">
        <v>2611058</v>
      </c>
      <c r="K498" s="17" t="n">
        <v>2534836</v>
      </c>
      <c r="L498" s="17" t="n">
        <v>2127332</v>
      </c>
      <c r="M498" s="17" t="n">
        <v>48038</v>
      </c>
      <c r="N498" s="17" t="n">
        <v>382</v>
      </c>
      <c r="O498" s="17" t="n">
        <v>30772</v>
      </c>
      <c r="P498" s="17" t="n">
        <v>3570</v>
      </c>
      <c r="Q498" s="17" t="n">
        <v>0</v>
      </c>
      <c r="R498" s="17" t="n">
        <v>2768</v>
      </c>
      <c r="S498" s="17" t="n">
        <v>355096</v>
      </c>
      <c r="T498" s="17" t="n">
        <v>2590744</v>
      </c>
      <c r="U498" s="17" t="n">
        <v>53830</v>
      </c>
      <c r="V498" s="17" t="n">
        <v>1.87023078988431</v>
      </c>
      <c r="W498" s="17" t="n">
        <v>18.15</v>
      </c>
      <c r="X498" s="17" t="n">
        <v>5.06398378833269</v>
      </c>
      <c r="Y498" s="17" t="n">
        <v>1.05681298538753</v>
      </c>
      <c r="Z498" s="17" t="n">
        <v>13.7063330070435</v>
      </c>
      <c r="AA498" s="17" t="n">
        <v>11.03208648369</v>
      </c>
      <c r="AB498" s="17" t="n">
        <v>5.67939694271198</v>
      </c>
      <c r="AC498" s="17" t="n">
        <v>4.24396458418921</v>
      </c>
      <c r="AD498" s="17" t="n">
        <v>-4.46303573839693</v>
      </c>
      <c r="AE498" s="17" t="n">
        <v>-0.338434000534313</v>
      </c>
      <c r="AF498" s="17" t="n">
        <v>0.577317384457119</v>
      </c>
      <c r="AG498" s="18" t="n">
        <f aca="false">IFERROR(100*O498/F498,"")</f>
        <v>1.03645162507208</v>
      </c>
      <c r="AH498" s="18" t="n">
        <f aca="false">IFERROR(100*(P498+Q498)/F498,"")</f>
        <v>0.120243477885978</v>
      </c>
      <c r="AI498" s="18" t="n">
        <f aca="false">IFERROR(100*R498/K498,"")</f>
        <v>0.109198386009983</v>
      </c>
      <c r="AJ498" s="18" t="n">
        <f aca="false">IF(T498&gt;0,100*S498/T498,"")</f>
        <v>13.7063330070435</v>
      </c>
      <c r="AK498" s="18" t="n">
        <f aca="false">IFERROR(100*U498/G498,"")</f>
        <v>1.87023078988431</v>
      </c>
      <c r="AL498" s="18" t="n">
        <f aca="false">IFERROR(100*J498/H498,"")</f>
        <v>121.38877576258</v>
      </c>
      <c r="AM498" s="18" t="n">
        <f aca="false">IFERROR(100*L498/J498,"")</f>
        <v>81.4739465764453</v>
      </c>
      <c r="AN498" s="18" t="n">
        <f aca="false">IFERROR(100*M498/J498,"")</f>
        <v>1.83979061361333</v>
      </c>
      <c r="AO498" s="18" t="n">
        <f aca="false">IFERROR(100*N498/J498,"")</f>
        <v>0.0146300848161933</v>
      </c>
    </row>
    <row r="499" customFormat="false" ht="15" hidden="false" customHeight="false" outlineLevel="0" collapsed="false">
      <c r="A499" s="17" t="n">
        <v>19690</v>
      </c>
      <c r="B499" s="23" t="n">
        <v>45382</v>
      </c>
      <c r="C499" s="17" t="s">
        <v>158</v>
      </c>
      <c r="D499" s="17" t="s">
        <v>108</v>
      </c>
      <c r="E499" s="17" t="s">
        <v>114</v>
      </c>
      <c r="F499" s="17" t="n">
        <v>3001015</v>
      </c>
      <c r="G499" s="17" t="n">
        <v>2984995.5</v>
      </c>
      <c r="H499" s="17" t="n">
        <v>2249394</v>
      </c>
      <c r="I499" s="17" t="n">
        <v>351913</v>
      </c>
      <c r="J499" s="17" t="n">
        <v>2656781</v>
      </c>
      <c r="K499" s="17" t="n">
        <v>2633919.5</v>
      </c>
      <c r="L499" s="17" t="n">
        <v>2071416</v>
      </c>
      <c r="M499" s="17" t="n">
        <v>53076</v>
      </c>
      <c r="N499" s="17" t="n">
        <v>319</v>
      </c>
      <c r="O499" s="17" t="n">
        <v>27951</v>
      </c>
      <c r="P499" s="17" t="n">
        <v>5111</v>
      </c>
      <c r="Q499" s="17" t="n">
        <v>0</v>
      </c>
      <c r="R499" s="17" t="n">
        <v>8992</v>
      </c>
      <c r="S499" s="17" t="n">
        <v>377855</v>
      </c>
      <c r="T499" s="17" t="n">
        <v>2656714</v>
      </c>
      <c r="U499" s="17" t="n">
        <v>55460</v>
      </c>
      <c r="V499" s="17" t="n">
        <v>1.85795924985482</v>
      </c>
      <c r="W499" s="17" t="n">
        <v>16.32</v>
      </c>
      <c r="X499" s="17" t="n">
        <v>5.07860865095937</v>
      </c>
      <c r="Y499" s="17" t="n">
        <v>0.976444802940099</v>
      </c>
      <c r="Z499" s="17" t="n">
        <v>14.2226449666769</v>
      </c>
      <c r="AA499" s="17" t="n">
        <v>11.7264658790443</v>
      </c>
      <c r="AB499" s="17" t="n">
        <v>4.69342353458722</v>
      </c>
      <c r="AC499" s="17" t="n">
        <v>5.85649425550692</v>
      </c>
      <c r="AD499" s="17" t="n">
        <v>4.61305066868074</v>
      </c>
      <c r="AE499" s="17" t="n">
        <v>0.0937270941268311</v>
      </c>
      <c r="AF499" s="17" t="n">
        <v>0.424770320518466</v>
      </c>
      <c r="AG499" s="18" t="n">
        <f aca="false">IFERROR(100*O499/F499,"")</f>
        <v>0.931384881448443</v>
      </c>
      <c r="AH499" s="18" t="n">
        <f aca="false">IFERROR(100*(P499+Q499)/F499,"")</f>
        <v>0.170309045439626</v>
      </c>
      <c r="AI499" s="18" t="n">
        <f aca="false">IFERROR(100*R499/K499,"")</f>
        <v>0.341392362219119</v>
      </c>
      <c r="AJ499" s="18" t="n">
        <f aca="false">IF(T499&gt;0,100*S499/T499,"")</f>
        <v>14.2226449666769</v>
      </c>
      <c r="AK499" s="18" t="n">
        <f aca="false">IFERROR(100*U499/G499,"")</f>
        <v>1.85795924985482</v>
      </c>
      <c r="AL499" s="18" t="n">
        <f aca="false">IFERROR(100*J499/H499,"")</f>
        <v>118.110966775941</v>
      </c>
      <c r="AM499" s="18" t="n">
        <f aca="false">IFERROR(100*L499/J499,"")</f>
        <v>77.9671339113009</v>
      </c>
      <c r="AN499" s="18" t="n">
        <f aca="false">IFERROR(100*M499/J499,"")</f>
        <v>1.99775593095554</v>
      </c>
      <c r="AO499" s="18" t="n">
        <f aca="false">IFERROR(100*N499/J499,"")</f>
        <v>0.0120070114924791</v>
      </c>
    </row>
    <row r="500" customFormat="false" ht="15" hidden="false" customHeight="false" outlineLevel="0" collapsed="false">
      <c r="A500" s="17" t="n">
        <v>19690</v>
      </c>
      <c r="B500" s="23" t="n">
        <v>45473</v>
      </c>
      <c r="C500" s="17" t="s">
        <v>158</v>
      </c>
      <c r="D500" s="17" t="s">
        <v>108</v>
      </c>
      <c r="E500" s="17" t="s">
        <v>114</v>
      </c>
      <c r="F500" s="17" t="n">
        <v>3132203</v>
      </c>
      <c r="G500" s="17" t="n">
        <v>3034064.66666667</v>
      </c>
      <c r="H500" s="17" t="n">
        <v>2362286</v>
      </c>
      <c r="I500" s="17" t="n">
        <v>376634</v>
      </c>
      <c r="J500" s="17" t="n">
        <v>2761157</v>
      </c>
      <c r="K500" s="17" t="n">
        <v>2676332</v>
      </c>
      <c r="L500" s="17" t="n">
        <v>2127514</v>
      </c>
      <c r="M500" s="17" t="n">
        <v>66187</v>
      </c>
      <c r="N500" s="17" t="n">
        <v>285</v>
      </c>
      <c r="O500" s="17" t="n">
        <v>28260</v>
      </c>
      <c r="P500" s="17" t="n">
        <v>3926</v>
      </c>
      <c r="Q500" s="17" t="n">
        <v>0</v>
      </c>
      <c r="R500" s="17" t="n">
        <v>7188</v>
      </c>
      <c r="S500" s="17" t="n">
        <v>403256</v>
      </c>
      <c r="T500" s="17" t="n">
        <v>2720493</v>
      </c>
      <c r="U500" s="17" t="n">
        <v>58008</v>
      </c>
      <c r="V500" s="17" t="n">
        <v>1.9118906936064</v>
      </c>
      <c r="W500" s="17" t="n">
        <v>16.48</v>
      </c>
      <c r="X500" s="17" t="n">
        <v>5.08970460803265</v>
      </c>
      <c r="Y500" s="17" t="n">
        <v>0.967311891355689</v>
      </c>
      <c r="Z500" s="17" t="n">
        <v>14.822901584382</v>
      </c>
      <c r="AA500" s="17" t="n">
        <v>12.024571842885</v>
      </c>
      <c r="AB500" s="17" t="n">
        <v>9.13835072395293</v>
      </c>
      <c r="AC500" s="17" t="n">
        <v>9.55407164055928</v>
      </c>
      <c r="AD500" s="17" t="n">
        <v>20.5044454227373</v>
      </c>
      <c r="AE500" s="17" t="n">
        <v>0.184593127014018</v>
      </c>
      <c r="AF500" s="17" t="n">
        <v>0.355782573989057</v>
      </c>
      <c r="AG500" s="18" t="n">
        <f aca="false">IFERROR(100*O500/F500,"")</f>
        <v>0.902240372032081</v>
      </c>
      <c r="AH500" s="18" t="n">
        <f aca="false">IFERROR(100*(P500+Q500)/F500,"")</f>
        <v>0.125343089193133</v>
      </c>
      <c r="AI500" s="18" t="n">
        <f aca="false">IFERROR(100*R500/K500,"")</f>
        <v>0.26857654431513</v>
      </c>
      <c r="AJ500" s="18" t="n">
        <f aca="false">IF(T500&gt;0,100*S500/T500,"")</f>
        <v>14.8229015843819</v>
      </c>
      <c r="AK500" s="18" t="n">
        <f aca="false">IFERROR(100*U500/G500,"")</f>
        <v>1.9118906936064</v>
      </c>
      <c r="AL500" s="18" t="n">
        <f aca="false">IFERROR(100*J500/H500,"")</f>
        <v>116.884958044877</v>
      </c>
      <c r="AM500" s="18" t="n">
        <f aca="false">IFERROR(100*L500/J500,"")</f>
        <v>77.0515403506574</v>
      </c>
      <c r="AN500" s="18" t="n">
        <f aca="false">IFERROR(100*M500/J500,"")</f>
        <v>2.39707484942001</v>
      </c>
      <c r="AO500" s="18" t="n">
        <f aca="false">IFERROR(100*N500/J500,"")</f>
        <v>0.0103217600447928</v>
      </c>
    </row>
    <row r="501" customFormat="false" ht="15" hidden="false" customHeight="false" outlineLevel="0" collapsed="false">
      <c r="A501" s="17" t="n">
        <v>19690</v>
      </c>
      <c r="B501" s="23" t="n">
        <v>45565</v>
      </c>
      <c r="C501" s="17" t="s">
        <v>158</v>
      </c>
      <c r="D501" s="17" t="s">
        <v>108</v>
      </c>
      <c r="E501" s="17" t="s">
        <v>114</v>
      </c>
      <c r="F501" s="17" t="n">
        <v>3939898</v>
      </c>
      <c r="G501" s="17" t="n">
        <v>3260523</v>
      </c>
      <c r="H501" s="17" t="n">
        <v>3161567</v>
      </c>
      <c r="I501" s="17" t="n">
        <v>392557</v>
      </c>
      <c r="J501" s="17" t="n">
        <v>3520602</v>
      </c>
      <c r="K501" s="17" t="n">
        <v>2887399.5</v>
      </c>
      <c r="L501" s="17" t="n">
        <v>2821610</v>
      </c>
      <c r="M501" s="17" t="n">
        <v>90449</v>
      </c>
      <c r="N501" s="17" t="n">
        <v>223</v>
      </c>
      <c r="O501" s="17" t="n">
        <v>37172</v>
      </c>
      <c r="P501" s="17" t="n">
        <v>1367</v>
      </c>
      <c r="Q501" s="17" t="n">
        <v>0</v>
      </c>
      <c r="R501" s="17" t="n">
        <v>6930.4934</v>
      </c>
      <c r="S501" s="17" t="n">
        <v>434963</v>
      </c>
      <c r="T501" s="17" t="n">
        <v>3425089</v>
      </c>
      <c r="U501" s="17" t="n">
        <v>61483.7962</v>
      </c>
      <c r="V501" s="17" t="n">
        <v>1.88570349603423</v>
      </c>
      <c r="W501" s="17" t="n">
        <v>16.98</v>
      </c>
      <c r="X501" s="17" t="n">
        <v>4.79885538409899</v>
      </c>
      <c r="Y501" s="17" t="n">
        <v>1.23956073421534</v>
      </c>
      <c r="Z501" s="17" t="n">
        <v>12.6993196381174</v>
      </c>
      <c r="AA501" s="17" t="n">
        <v>9.96363357630071</v>
      </c>
      <c r="AB501" s="17" t="n">
        <v>36.9703256884067</v>
      </c>
      <c r="AC501" s="17" t="n">
        <v>39.2527519470297</v>
      </c>
      <c r="AD501" s="17" t="n">
        <v>58.3558686598263</v>
      </c>
      <c r="AE501" s="17" t="n">
        <v>0.0285167868121914</v>
      </c>
      <c r="AF501" s="17" t="n">
        <v>0.336897492622571</v>
      </c>
      <c r="AG501" s="18" t="n">
        <f aca="false">IFERROR(100*O501/F501,"")</f>
        <v>0.943476201668165</v>
      </c>
      <c r="AH501" s="18" t="n">
        <f aca="false">IFERROR(100*(P501+Q501)/F501,"")</f>
        <v>0.0346963297019364</v>
      </c>
      <c r="AI501" s="18" t="n">
        <f aca="false">IFERROR(100*R501/K501,"")</f>
        <v>0.24002544157814</v>
      </c>
      <c r="AJ501" s="18" t="n">
        <f aca="false">IF(T501&gt;0,100*S501/T501,"")</f>
        <v>12.6993196381174</v>
      </c>
      <c r="AK501" s="18" t="n">
        <f aca="false">IFERROR(100*U501/G501,"")</f>
        <v>1.88570349603423</v>
      </c>
      <c r="AL501" s="18" t="n">
        <f aca="false">IFERROR(100*J501/H501,"")</f>
        <v>111.356235689454</v>
      </c>
      <c r="AM501" s="18" t="n">
        <f aca="false">IFERROR(100*L501/J501,"")</f>
        <v>80.1456682692335</v>
      </c>
      <c r="AN501" s="18" t="n">
        <f aca="false">IFERROR(100*M501/J501,"")</f>
        <v>2.56913448325031</v>
      </c>
      <c r="AO501" s="18" t="n">
        <f aca="false">IFERROR(100*N501/J501,"")</f>
        <v>0.00633414399014714</v>
      </c>
    </row>
    <row r="502" customFormat="false" ht="15" hidden="false" customHeight="false" outlineLevel="0" collapsed="false">
      <c r="A502" s="17" t="n">
        <v>19690</v>
      </c>
      <c r="B502" s="23" t="n">
        <v>45657</v>
      </c>
      <c r="C502" s="17" t="s">
        <v>158</v>
      </c>
      <c r="D502" s="17" t="s">
        <v>108</v>
      </c>
      <c r="E502" s="17" t="s">
        <v>114</v>
      </c>
      <c r="F502" s="17" t="n">
        <v>4083054</v>
      </c>
      <c r="G502" s="17" t="n">
        <v>3425029.2</v>
      </c>
      <c r="H502" s="17" t="n">
        <v>3178140</v>
      </c>
      <c r="I502" s="17" t="n">
        <v>444101</v>
      </c>
      <c r="J502" s="17" t="n">
        <v>3626020</v>
      </c>
      <c r="K502" s="17" t="n">
        <v>3035123.6</v>
      </c>
      <c r="L502" s="17" t="n">
        <v>2812366</v>
      </c>
      <c r="M502" s="17" t="n">
        <v>125867</v>
      </c>
      <c r="N502" s="17" t="n">
        <v>200</v>
      </c>
      <c r="O502" s="17" t="n">
        <v>30066</v>
      </c>
      <c r="P502" s="17" t="n">
        <v>3018</v>
      </c>
      <c r="Q502" s="17" t="n">
        <v>0</v>
      </c>
      <c r="R502" s="17" t="n">
        <v>6066</v>
      </c>
      <c r="S502" s="17" t="n">
        <v>487584</v>
      </c>
      <c r="T502" s="17" t="n">
        <v>3504651</v>
      </c>
      <c r="U502" s="17" t="n">
        <v>68554</v>
      </c>
      <c r="V502" s="17" t="n">
        <v>2.00155957794462</v>
      </c>
      <c r="W502" s="17" t="n">
        <v>18.11</v>
      </c>
      <c r="X502" s="17" t="n">
        <v>4.88319431994812</v>
      </c>
      <c r="Y502" s="17" t="n">
        <v>1.23476980270379</v>
      </c>
      <c r="Z502" s="17" t="n">
        <v>13.9124837251983</v>
      </c>
      <c r="AA502" s="17" t="n">
        <v>10.8766869113169</v>
      </c>
      <c r="AB502" s="17" t="n">
        <v>37.5239813322843</v>
      </c>
      <c r="AC502" s="17" t="n">
        <v>38.8716757728094</v>
      </c>
      <c r="AD502" s="17" t="n">
        <v>47.7525676572812</v>
      </c>
      <c r="AE502" s="17" t="n">
        <v>0.131328788060307</v>
      </c>
      <c r="AF502" s="17" t="n">
        <v>-0.300091047915862</v>
      </c>
      <c r="AG502" s="18" t="n">
        <f aca="false">IFERROR(100*O502/F502,"")</f>
        <v>0.736360577156217</v>
      </c>
      <c r="AH502" s="18" t="n">
        <f aca="false">IFERROR(100*(P502+Q502)/F502,"")</f>
        <v>0.07391526048884</v>
      </c>
      <c r="AI502" s="18" t="n">
        <f aca="false">IFERROR(100*R502/K502,"")</f>
        <v>0.199860065006908</v>
      </c>
      <c r="AJ502" s="18" t="n">
        <f aca="false">IF(T502&gt;0,100*S502/T502,"")</f>
        <v>13.9124837251983</v>
      </c>
      <c r="AK502" s="18" t="n">
        <f aca="false">IFERROR(100*U502/G502,"")</f>
        <v>2.00155957794462</v>
      </c>
      <c r="AL502" s="18" t="n">
        <f aca="false">IFERROR(100*J502/H502,"")</f>
        <v>114.092519523998</v>
      </c>
      <c r="AM502" s="18" t="n">
        <f aca="false">IFERROR(100*L502/J502,"")</f>
        <v>77.5606863723863</v>
      </c>
      <c r="AN502" s="18" t="n">
        <f aca="false">IFERROR(100*M502/J502,"")</f>
        <v>3.47121637497863</v>
      </c>
      <c r="AO502" s="18" t="n">
        <f aca="false">IFERROR(100*N502/J502,"")</f>
        <v>0.00551568937843696</v>
      </c>
    </row>
    <row r="503" customFormat="false" ht="15" hidden="false" customHeight="false" outlineLevel="0" collapsed="false">
      <c r="A503" s="17" t="n">
        <v>19690</v>
      </c>
      <c r="B503" s="23" t="n">
        <v>45747</v>
      </c>
      <c r="C503" s="17" t="s">
        <v>158</v>
      </c>
      <c r="D503" s="17" t="s">
        <v>108</v>
      </c>
      <c r="E503" s="17" t="s">
        <v>114</v>
      </c>
      <c r="F503" s="17" t="n">
        <v>4228502</v>
      </c>
      <c r="G503" s="17" t="n">
        <v>4155778</v>
      </c>
      <c r="H503" s="17" t="n">
        <v>3328164</v>
      </c>
      <c r="I503" s="17" t="n">
        <v>467516</v>
      </c>
      <c r="J503" s="17" t="n">
        <v>3800789</v>
      </c>
      <c r="K503" s="17" t="n">
        <v>3713404.5</v>
      </c>
      <c r="L503" s="17" t="n">
        <v>2887276</v>
      </c>
      <c r="M503" s="17" t="n">
        <v>172540</v>
      </c>
      <c r="N503" s="17" t="n">
        <v>172</v>
      </c>
      <c r="O503" s="17" t="n">
        <v>32232</v>
      </c>
      <c r="P503" s="17" t="n">
        <v>4376</v>
      </c>
      <c r="Q503" s="17" t="n">
        <v>0</v>
      </c>
      <c r="R503" s="17" t="n">
        <v>8324</v>
      </c>
      <c r="S503" s="17" t="n">
        <v>513161</v>
      </c>
      <c r="T503" s="17" t="n">
        <v>3670234</v>
      </c>
      <c r="U503" s="17" t="n">
        <v>74724</v>
      </c>
      <c r="V503" s="17" t="n">
        <v>1.79807487310439</v>
      </c>
      <c r="W503" s="17" t="n">
        <v>16.39</v>
      </c>
      <c r="X503" s="17" t="n">
        <v>4.54258494208518</v>
      </c>
      <c r="Y503" s="17" t="n">
        <v>1.21090647231404</v>
      </c>
      <c r="Z503" s="17" t="n">
        <v>13.9816970798047</v>
      </c>
      <c r="AA503" s="17" t="n">
        <v>11.0563031541667</v>
      </c>
      <c r="AB503" s="17" t="n">
        <v>40.9023946897966</v>
      </c>
      <c r="AC503" s="17" t="n">
        <v>43.0599285375799</v>
      </c>
      <c r="AD503" s="17" t="n">
        <v>47.9582500886906</v>
      </c>
      <c r="AE503" s="17" t="n">
        <v>-0.0598843767504294</v>
      </c>
      <c r="AF503" s="17" t="n">
        <v>-0.169129122789703</v>
      </c>
      <c r="AG503" s="18" t="n">
        <f aca="false">IFERROR(100*O503/F503,"")</f>
        <v>0.76225575865874</v>
      </c>
      <c r="AH503" s="18" t="n">
        <f aca="false">IFERROR(100*(P503+Q503)/F503,"")</f>
        <v>0.103488185650616</v>
      </c>
      <c r="AI503" s="18" t="n">
        <f aca="false">IFERROR(100*R503/K503,"")</f>
        <v>0.224160874475162</v>
      </c>
      <c r="AJ503" s="18" t="n">
        <f aca="false">IF(T503&gt;0,100*S503/T503,"")</f>
        <v>13.9816970798047</v>
      </c>
      <c r="AK503" s="18" t="n">
        <f aca="false">IFERROR(100*U503/G503,"")</f>
        <v>1.79807487310439</v>
      </c>
      <c r="AL503" s="18" t="n">
        <f aca="false">IFERROR(100*J503/H503,"")</f>
        <v>114.200772558083</v>
      </c>
      <c r="AM503" s="18" t="n">
        <f aca="false">IFERROR(100*L503/J503,"")</f>
        <v>75.965174599274</v>
      </c>
      <c r="AN503" s="18" t="n">
        <f aca="false">IFERROR(100*M503/J503,"")</f>
        <v>4.53958375484669</v>
      </c>
      <c r="AO503" s="18" t="n">
        <f aca="false">IFERROR(100*N503/J503,"")</f>
        <v>0.00452537617847242</v>
      </c>
    </row>
    <row r="504" customFormat="false" ht="15" hidden="false" customHeight="false" outlineLevel="0" collapsed="false">
      <c r="A504" s="17" t="n">
        <v>19690</v>
      </c>
      <c r="B504" s="23" t="n">
        <v>45838</v>
      </c>
      <c r="C504" s="17" t="s">
        <v>158</v>
      </c>
      <c r="D504" s="17" t="s">
        <v>108</v>
      </c>
      <c r="E504" s="17" t="s">
        <v>114</v>
      </c>
      <c r="F504" s="17" t="n">
        <v>4279069</v>
      </c>
      <c r="G504" s="17" t="n">
        <v>4196875</v>
      </c>
      <c r="H504" s="17" t="n">
        <v>3405883</v>
      </c>
      <c r="I504" s="17" t="n">
        <v>494286</v>
      </c>
      <c r="J504" s="17" t="n">
        <v>3790157</v>
      </c>
      <c r="K504" s="17" t="n">
        <v>3738988.66666667</v>
      </c>
      <c r="L504" s="17" t="n">
        <v>2852951</v>
      </c>
      <c r="M504" s="17" t="n">
        <v>157469</v>
      </c>
      <c r="N504" s="17" t="n">
        <v>145</v>
      </c>
      <c r="O504" s="17" t="n">
        <v>35011</v>
      </c>
      <c r="P504" s="17" t="n">
        <v>1334</v>
      </c>
      <c r="Q504" s="17" t="n">
        <v>0</v>
      </c>
      <c r="R504" s="17" t="n">
        <v>5150</v>
      </c>
      <c r="S504" s="17" t="n">
        <v>539964</v>
      </c>
      <c r="T504" s="17" t="n">
        <v>3674079</v>
      </c>
      <c r="U504" s="17" t="n">
        <v>87792</v>
      </c>
      <c r="V504" s="17" t="n">
        <v>2.09184214445272</v>
      </c>
      <c r="W504" s="17" t="n">
        <v>18.73</v>
      </c>
      <c r="X504" s="17" t="n">
        <v>4.88660948292711</v>
      </c>
      <c r="Y504" s="17" t="n">
        <v>1.26459141402322</v>
      </c>
      <c r="Z504" s="17" t="n">
        <v>14.6965811023661</v>
      </c>
      <c r="AA504" s="17" t="n">
        <v>11.5512509847352</v>
      </c>
      <c r="AB504" s="17" t="n">
        <v>36.6153151631615</v>
      </c>
      <c r="AC504" s="17" t="n">
        <v>37.2669862669888</v>
      </c>
      <c r="AD504" s="17" t="n">
        <v>44.1774196689139</v>
      </c>
      <c r="AE504" s="17" t="n">
        <v>0.179951450846319</v>
      </c>
      <c r="AF504" s="17" t="n">
        <v>-0.0840483774650385</v>
      </c>
      <c r="AG504" s="18" t="n">
        <f aca="false">IFERROR(100*O504/F504,"")</f>
        <v>0.818191994567043</v>
      </c>
      <c r="AH504" s="18" t="n">
        <f aca="false">IFERROR(100*(P504+Q504)/F504,"")</f>
        <v>0.0311750055911695</v>
      </c>
      <c r="AI504" s="18" t="n">
        <f aca="false">IFERROR(100*R504/K504,"")</f>
        <v>0.137737780430109</v>
      </c>
      <c r="AJ504" s="18" t="n">
        <f aca="false">IF(T504&gt;0,100*S504/T504,"")</f>
        <v>14.6965811023661</v>
      </c>
      <c r="AK504" s="18" t="n">
        <f aca="false">IFERROR(100*U504/G504,"")</f>
        <v>2.09184214445272</v>
      </c>
      <c r="AL504" s="18" t="n">
        <f aca="false">IFERROR(100*J504/H504,"")</f>
        <v>111.282654160463</v>
      </c>
      <c r="AM504" s="18" t="n">
        <f aca="false">IFERROR(100*L504/J504,"")</f>
        <v>75.2726338249313</v>
      </c>
      <c r="AN504" s="18" t="n">
        <f aca="false">IFERROR(100*M504/J504,"")</f>
        <v>4.15468277435473</v>
      </c>
      <c r="AO504" s="18" t="n">
        <f aca="false">IFERROR(100*N504/J504,"")</f>
        <v>0.00382569904096321</v>
      </c>
    </row>
    <row r="505" customFormat="false" ht="15" hidden="false" customHeight="false" outlineLevel="0" collapsed="false">
      <c r="A505" s="17" t="n">
        <v>19836</v>
      </c>
      <c r="B505" s="23" t="n">
        <v>44651</v>
      </c>
      <c r="C505" s="17" t="s">
        <v>136</v>
      </c>
      <c r="D505" s="17" t="s">
        <v>108</v>
      </c>
      <c r="E505" s="17" t="s">
        <v>118</v>
      </c>
      <c r="F505" s="17" t="n">
        <v>568589</v>
      </c>
      <c r="G505" s="17" t="n">
        <v>564817.5</v>
      </c>
      <c r="H505" s="17" t="n">
        <v>449964</v>
      </c>
      <c r="I505" s="17" t="n">
        <v>112557</v>
      </c>
      <c r="J505" s="17" t="n">
        <v>427806</v>
      </c>
      <c r="K505" s="17" t="n">
        <v>427271.5</v>
      </c>
      <c r="L505" s="17" t="n">
        <v>366535</v>
      </c>
      <c r="M505" s="17" t="n">
        <v>44135</v>
      </c>
      <c r="N505" s="17" t="n">
        <v>11311</v>
      </c>
      <c r="O505" s="17" t="n">
        <v>1696</v>
      </c>
      <c r="P505" s="17" t="n">
        <v>3713</v>
      </c>
      <c r="Q505" s="17" t="n">
        <v>91</v>
      </c>
      <c r="R505" s="17" t="n">
        <v>8</v>
      </c>
      <c r="S505" s="17" t="n">
        <v>125552</v>
      </c>
      <c r="T505" s="17" t="n">
        <v>396015</v>
      </c>
      <c r="U505" s="17" t="n">
        <v>3996</v>
      </c>
      <c r="V505" s="17" t="n">
        <v>0.707485161136119</v>
      </c>
      <c r="W505" s="17" t="n">
        <v>3.52</v>
      </c>
      <c r="X505" s="17" t="n">
        <v>3.87429732399215</v>
      </c>
      <c r="Y505" s="17" t="n">
        <v>0.911628167907884</v>
      </c>
      <c r="Z505" s="17" t="n">
        <v>31.7038496016565</v>
      </c>
      <c r="AA505" s="17" t="n">
        <v>19.7958455052771</v>
      </c>
      <c r="AB505" s="17"/>
      <c r="AC505" s="17"/>
      <c r="AD505" s="17"/>
      <c r="AE505" s="17"/>
      <c r="AF505" s="17"/>
      <c r="AG505" s="18" t="n">
        <f aca="false">IFERROR(100*O505/F505,"")</f>
        <v>0.298282239016231</v>
      </c>
      <c r="AH505" s="18" t="n">
        <f aca="false">IFERROR(100*(P505+Q505)/F505,"")</f>
        <v>0.669024550246312</v>
      </c>
      <c r="AI505" s="18" t="n">
        <f aca="false">IFERROR(100*R505/K505,"")</f>
        <v>0.00187234580354646</v>
      </c>
      <c r="AJ505" s="18" t="n">
        <f aca="false">IF(T505&gt;0,100*S505/T505,"")</f>
        <v>31.7038496016565</v>
      </c>
      <c r="AK505" s="18" t="n">
        <f aca="false">IFERROR(100*U505/G505,"")</f>
        <v>0.707485161136119</v>
      </c>
      <c r="AL505" s="18" t="n">
        <f aca="false">IFERROR(100*J505/H505,"")</f>
        <v>95.0756060484839</v>
      </c>
      <c r="AM505" s="18" t="n">
        <f aca="false">IFERROR(100*L505/J505,"")</f>
        <v>85.6778539805426</v>
      </c>
      <c r="AN505" s="18" t="n">
        <f aca="false">IFERROR(100*M505/J505,"")</f>
        <v>10.3165921001575</v>
      </c>
      <c r="AO505" s="18" t="n">
        <f aca="false">IFERROR(100*N505/J505,"")</f>
        <v>2.64395543774515</v>
      </c>
    </row>
    <row r="506" customFormat="false" ht="15" hidden="false" customHeight="false" outlineLevel="0" collapsed="false">
      <c r="A506" s="17" t="n">
        <v>19836</v>
      </c>
      <c r="B506" s="23" t="n">
        <v>44742</v>
      </c>
      <c r="C506" s="17" t="s">
        <v>136</v>
      </c>
      <c r="D506" s="17" t="s">
        <v>108</v>
      </c>
      <c r="E506" s="17" t="s">
        <v>118</v>
      </c>
      <c r="F506" s="17" t="n">
        <v>565870</v>
      </c>
      <c r="G506" s="17" t="n">
        <v>565168.333333333</v>
      </c>
      <c r="H506" s="17" t="n">
        <v>441969</v>
      </c>
      <c r="I506" s="17" t="n">
        <v>116691</v>
      </c>
      <c r="J506" s="17" t="n">
        <v>450911</v>
      </c>
      <c r="K506" s="17" t="n">
        <v>435151.333333333</v>
      </c>
      <c r="L506" s="17" t="n">
        <v>383579</v>
      </c>
      <c r="M506" s="17" t="n">
        <v>49522</v>
      </c>
      <c r="N506" s="17" t="n">
        <v>11852</v>
      </c>
      <c r="O506" s="17" t="n">
        <v>1685</v>
      </c>
      <c r="P506" s="17" t="n">
        <v>1378</v>
      </c>
      <c r="Q506" s="17" t="n">
        <v>0</v>
      </c>
      <c r="R506" s="17" t="n">
        <v>-36</v>
      </c>
      <c r="S506" s="17" t="n">
        <v>126982</v>
      </c>
      <c r="T506" s="17" t="n">
        <v>433379</v>
      </c>
      <c r="U506" s="17" t="n">
        <v>4858</v>
      </c>
      <c r="V506" s="17" t="n">
        <v>0.859566913692381</v>
      </c>
      <c r="W506" s="17" t="n">
        <v>4.24</v>
      </c>
      <c r="X506" s="17" t="n">
        <v>3.96827042134604</v>
      </c>
      <c r="Y506" s="17" t="n">
        <v>0.864915692897268</v>
      </c>
      <c r="Z506" s="17" t="n">
        <v>29.3004506448167</v>
      </c>
      <c r="AA506" s="17" t="n">
        <v>20.6215208440101</v>
      </c>
      <c r="AB506" s="17"/>
      <c r="AC506" s="17"/>
      <c r="AD506" s="17"/>
      <c r="AE506" s="17"/>
      <c r="AF506" s="17"/>
      <c r="AG506" s="18" t="n">
        <f aca="false">IFERROR(100*O506/F506,"")</f>
        <v>0.297771572976125</v>
      </c>
      <c r="AH506" s="18" t="n">
        <f aca="false">IFERROR(100*(P506+Q506)/F506,"")</f>
        <v>0.243518829413116</v>
      </c>
      <c r="AI506" s="18" t="n">
        <f aca="false">IFERROR(100*R506/K506,"")</f>
        <v>-0.00827298395807129</v>
      </c>
      <c r="AJ506" s="18" t="n">
        <f aca="false">IF(T506&gt;0,100*S506/T506,"")</f>
        <v>29.3004506448167</v>
      </c>
      <c r="AK506" s="18" t="n">
        <f aca="false">IFERROR(100*U506/G506,"")</f>
        <v>0.859566913692381</v>
      </c>
      <c r="AL506" s="18" t="n">
        <f aca="false">IFERROR(100*J506/H506,"")</f>
        <v>102.02321882304</v>
      </c>
      <c r="AM506" s="18" t="n">
        <f aca="false">IFERROR(100*L506/J506,"")</f>
        <v>85.0675632220106</v>
      </c>
      <c r="AN506" s="18" t="n">
        <f aca="false">IFERROR(100*M506/J506,"")</f>
        <v>10.9826551137586</v>
      </c>
      <c r="AO506" s="18" t="n">
        <f aca="false">IFERROR(100*N506/J506,"")</f>
        <v>2.62845661338934</v>
      </c>
    </row>
    <row r="507" customFormat="false" ht="15" hidden="false" customHeight="false" outlineLevel="0" collapsed="false">
      <c r="A507" s="17" t="n">
        <v>19836</v>
      </c>
      <c r="B507" s="23" t="n">
        <v>44834</v>
      </c>
      <c r="C507" s="17" t="s">
        <v>136</v>
      </c>
      <c r="D507" s="17" t="s">
        <v>108</v>
      </c>
      <c r="E507" s="17" t="s">
        <v>118</v>
      </c>
      <c r="F507" s="17" t="n">
        <v>579332</v>
      </c>
      <c r="G507" s="17" t="n">
        <v>568709.25</v>
      </c>
      <c r="H507" s="17" t="n">
        <v>456854</v>
      </c>
      <c r="I507" s="17" t="n">
        <v>115337</v>
      </c>
      <c r="J507" s="17" t="n">
        <v>471806</v>
      </c>
      <c r="K507" s="17" t="n">
        <v>444315</v>
      </c>
      <c r="L507" s="17" t="n">
        <v>401514</v>
      </c>
      <c r="M507" s="17" t="n">
        <v>53274</v>
      </c>
      <c r="N507" s="17" t="n">
        <v>11850</v>
      </c>
      <c r="O507" s="17" t="n">
        <v>1439</v>
      </c>
      <c r="P507" s="17" t="n">
        <v>1421</v>
      </c>
      <c r="Q507" s="17" t="n">
        <v>141</v>
      </c>
      <c r="R507" s="17" t="n">
        <v>-19.9995</v>
      </c>
      <c r="S507" s="17" t="n">
        <v>128533</v>
      </c>
      <c r="T507" s="17" t="n">
        <v>453334</v>
      </c>
      <c r="U507" s="17" t="n">
        <v>5306.534</v>
      </c>
      <c r="V507" s="17" t="n">
        <v>0.933083820950688</v>
      </c>
      <c r="W507" s="17" t="n">
        <v>4.62</v>
      </c>
      <c r="X507" s="17" t="n">
        <v>4.09507804405102</v>
      </c>
      <c r="Y507" s="17" t="n">
        <v>0.826610937546364</v>
      </c>
      <c r="Z507" s="17" t="n">
        <v>28.3528259517265</v>
      </c>
      <c r="AA507" s="17" t="n">
        <v>19.9086188921033</v>
      </c>
      <c r="AB507" s="17"/>
      <c r="AC507" s="17"/>
      <c r="AD507" s="17"/>
      <c r="AE507" s="17"/>
      <c r="AF507" s="17"/>
      <c r="AG507" s="18" t="n">
        <f aca="false">IFERROR(100*O507/F507,"")</f>
        <v>0.248389524486823</v>
      </c>
      <c r="AH507" s="18" t="n">
        <f aca="false">IFERROR(100*(P507+Q507)/F507,"")</f>
        <v>0.269620873695912</v>
      </c>
      <c r="AI507" s="18" t="n">
        <f aca="false">IFERROR(100*R507/K507,"")</f>
        <v>-0.00450119847405557</v>
      </c>
      <c r="AJ507" s="18" t="n">
        <f aca="false">IF(T507&gt;0,100*S507/T507,"")</f>
        <v>28.3528259517265</v>
      </c>
      <c r="AK507" s="18" t="n">
        <f aca="false">IFERROR(100*U507/G507,"")</f>
        <v>0.933083820950688</v>
      </c>
      <c r="AL507" s="18" t="n">
        <f aca="false">IFERROR(100*J507/H507,"")</f>
        <v>103.272818011881</v>
      </c>
      <c r="AM507" s="18" t="n">
        <f aca="false">IFERROR(100*L507/J507,"")</f>
        <v>85.1015035841002</v>
      </c>
      <c r="AN507" s="18" t="n">
        <f aca="false">IFERROR(100*M507/J507,"")</f>
        <v>11.2915054068833</v>
      </c>
      <c r="AO507" s="18" t="n">
        <f aca="false">IFERROR(100*N507/J507,"")</f>
        <v>2.51162554100626</v>
      </c>
    </row>
    <row r="508" customFormat="false" ht="15" hidden="false" customHeight="false" outlineLevel="0" collapsed="false">
      <c r="A508" s="17" t="n">
        <v>19836</v>
      </c>
      <c r="B508" s="23" t="n">
        <v>44926</v>
      </c>
      <c r="C508" s="17" t="s">
        <v>136</v>
      </c>
      <c r="D508" s="17" t="s">
        <v>108</v>
      </c>
      <c r="E508" s="17" t="s">
        <v>118</v>
      </c>
      <c r="F508" s="17" t="n">
        <v>578817</v>
      </c>
      <c r="G508" s="17" t="n">
        <v>570730.8</v>
      </c>
      <c r="H508" s="17" t="n">
        <v>445845</v>
      </c>
      <c r="I508" s="17" t="n">
        <v>116585</v>
      </c>
      <c r="J508" s="17" t="n">
        <v>483136</v>
      </c>
      <c r="K508" s="17" t="n">
        <v>452079.2</v>
      </c>
      <c r="L508" s="17" t="n">
        <v>416786</v>
      </c>
      <c r="M508" s="17" t="n">
        <v>49718</v>
      </c>
      <c r="N508" s="17" t="n">
        <v>11831</v>
      </c>
      <c r="O508" s="17" t="n">
        <v>1681</v>
      </c>
      <c r="P508" s="17" t="n">
        <v>2966</v>
      </c>
      <c r="Q508" s="17" t="n">
        <v>106</v>
      </c>
      <c r="R508" s="17" t="n">
        <v>111</v>
      </c>
      <c r="S508" s="17" t="n">
        <v>130121</v>
      </c>
      <c r="T508" s="17" t="n">
        <v>460126</v>
      </c>
      <c r="U508" s="17" t="n">
        <v>4770</v>
      </c>
      <c r="V508" s="17" t="n">
        <v>0.83577055943012</v>
      </c>
      <c r="W508" s="17" t="n">
        <v>4.14</v>
      </c>
      <c r="X508" s="17" t="n">
        <v>4.22369418469126</v>
      </c>
      <c r="Y508" s="17" t="n">
        <v>0.892709299244933</v>
      </c>
      <c r="Z508" s="17" t="n">
        <v>28.2794278089045</v>
      </c>
      <c r="AA508" s="17" t="n">
        <v>20.1419446906363</v>
      </c>
      <c r="AB508" s="17"/>
      <c r="AC508" s="17"/>
      <c r="AD508" s="17"/>
      <c r="AE508" s="17"/>
      <c r="AF508" s="17"/>
      <c r="AG508" s="18" t="n">
        <f aca="false">IFERROR(100*O508/F508,"")</f>
        <v>0.290419942745289</v>
      </c>
      <c r="AH508" s="18" t="n">
        <f aca="false">IFERROR(100*(P508+Q508)/F508,"")</f>
        <v>0.530737694297161</v>
      </c>
      <c r="AI508" s="18" t="n">
        <f aca="false">IFERROR(100*R508/K508,"")</f>
        <v>0.0245532198782868</v>
      </c>
      <c r="AJ508" s="18" t="n">
        <f aca="false">IF(T508&gt;0,100*S508/T508,"")</f>
        <v>28.2794278089045</v>
      </c>
      <c r="AK508" s="18" t="n">
        <f aca="false">IFERROR(100*U508/G508,"")</f>
        <v>0.83577055943012</v>
      </c>
      <c r="AL508" s="18" t="n">
        <f aca="false">IFERROR(100*J508/H508,"")</f>
        <v>108.364117574493</v>
      </c>
      <c r="AM508" s="18" t="n">
        <f aca="false">IFERROR(100*L508/J508,"")</f>
        <v>86.266806861836</v>
      </c>
      <c r="AN508" s="18" t="n">
        <f aca="false">IFERROR(100*M508/J508,"")</f>
        <v>10.2906841965823</v>
      </c>
      <c r="AO508" s="18" t="n">
        <f aca="false">IFERROR(100*N508/J508,"")</f>
        <v>2.44879288647503</v>
      </c>
    </row>
    <row r="509" customFormat="false" ht="15" hidden="false" customHeight="false" outlineLevel="0" collapsed="false">
      <c r="A509" s="17" t="n">
        <v>19836</v>
      </c>
      <c r="B509" s="23" t="n">
        <v>45016</v>
      </c>
      <c r="C509" s="17" t="s">
        <v>136</v>
      </c>
      <c r="D509" s="17" t="s">
        <v>108</v>
      </c>
      <c r="E509" s="17" t="s">
        <v>118</v>
      </c>
      <c r="F509" s="17" t="n">
        <v>600233</v>
      </c>
      <c r="G509" s="17" t="n">
        <v>589525</v>
      </c>
      <c r="H509" s="17" t="n">
        <v>442530</v>
      </c>
      <c r="I509" s="17" t="n">
        <v>118387</v>
      </c>
      <c r="J509" s="17" t="n">
        <v>497024</v>
      </c>
      <c r="K509" s="17" t="n">
        <v>490080</v>
      </c>
      <c r="L509" s="17" t="n">
        <v>430517</v>
      </c>
      <c r="M509" s="17" t="n">
        <v>49653</v>
      </c>
      <c r="N509" s="17" t="n">
        <v>12278</v>
      </c>
      <c r="O509" s="17" t="n">
        <v>2423</v>
      </c>
      <c r="P509" s="17" t="n">
        <v>2008</v>
      </c>
      <c r="Q509" s="17" t="n">
        <v>40</v>
      </c>
      <c r="R509" s="17" t="n">
        <v>56</v>
      </c>
      <c r="S509" s="17" t="n">
        <v>130712</v>
      </c>
      <c r="T509" s="17" t="n">
        <v>473150</v>
      </c>
      <c r="U509" s="17" t="n">
        <v>3900</v>
      </c>
      <c r="V509" s="17" t="n">
        <v>0.661549552605912</v>
      </c>
      <c r="W509" s="17" t="n">
        <v>3.32</v>
      </c>
      <c r="X509" s="17" t="n">
        <v>4.18519544520099</v>
      </c>
      <c r="Y509" s="17" t="n">
        <v>0.867764936904455</v>
      </c>
      <c r="Z509" s="17" t="n">
        <v>27.6259114445736</v>
      </c>
      <c r="AA509" s="17" t="n">
        <v>19.7235073713041</v>
      </c>
      <c r="AB509" s="17" t="n">
        <v>5.56535564353162</v>
      </c>
      <c r="AC509" s="17" t="n">
        <v>16.179763724679</v>
      </c>
      <c r="AD509" s="17" t="n">
        <v>-1.65213217057365</v>
      </c>
      <c r="AE509" s="17" t="n">
        <v>-0.0459356085302076</v>
      </c>
      <c r="AF509" s="17" t="n">
        <v>0.105394333248206</v>
      </c>
      <c r="AG509" s="18" t="n">
        <f aca="false">IFERROR(100*O509/F509,"")</f>
        <v>0.403676572264437</v>
      </c>
      <c r="AH509" s="18" t="n">
        <f aca="false">IFERROR(100*(P509+Q509)/F509,"")</f>
        <v>0.341200833676256</v>
      </c>
      <c r="AI509" s="18" t="n">
        <f aca="false">IFERROR(100*R509/K509,"")</f>
        <v>0.0114267058439438</v>
      </c>
      <c r="AJ509" s="18" t="n">
        <f aca="false">IF(T509&gt;0,100*S509/T509,"")</f>
        <v>27.6259114445736</v>
      </c>
      <c r="AK509" s="18" t="n">
        <f aca="false">IFERROR(100*U509/G509,"")</f>
        <v>0.661549552605912</v>
      </c>
      <c r="AL509" s="18" t="n">
        <f aca="false">IFERROR(100*J509/H509,"")</f>
        <v>112.314193388019</v>
      </c>
      <c r="AM509" s="18" t="n">
        <f aca="false">IFERROR(100*L509/J509,"")</f>
        <v>86.6189560262684</v>
      </c>
      <c r="AN509" s="18" t="n">
        <f aca="false">IFERROR(100*M509/J509,"")</f>
        <v>9.99006084213237</v>
      </c>
      <c r="AO509" s="18" t="n">
        <f aca="false">IFERROR(100*N509/J509,"")</f>
        <v>2.47030324491373</v>
      </c>
    </row>
    <row r="510" customFormat="false" ht="15" hidden="false" customHeight="false" outlineLevel="0" collapsed="false">
      <c r="A510" s="17" t="n">
        <v>19836</v>
      </c>
      <c r="B510" s="23" t="n">
        <v>45107</v>
      </c>
      <c r="C510" s="17" t="s">
        <v>136</v>
      </c>
      <c r="D510" s="17" t="s">
        <v>108</v>
      </c>
      <c r="E510" s="17" t="s">
        <v>118</v>
      </c>
      <c r="F510" s="17" t="n">
        <v>608950</v>
      </c>
      <c r="G510" s="17" t="n">
        <v>596000</v>
      </c>
      <c r="H510" s="17" t="n">
        <v>446012</v>
      </c>
      <c r="I510" s="17" t="n">
        <v>119294</v>
      </c>
      <c r="J510" s="17" t="n">
        <v>506806</v>
      </c>
      <c r="K510" s="17" t="n">
        <v>495655.333333333</v>
      </c>
      <c r="L510" s="17" t="n">
        <v>437325</v>
      </c>
      <c r="M510" s="17" t="n">
        <v>52848</v>
      </c>
      <c r="N510" s="17" t="n">
        <v>12252</v>
      </c>
      <c r="O510" s="17" t="n">
        <v>3354</v>
      </c>
      <c r="P510" s="17" t="n">
        <v>2513</v>
      </c>
      <c r="Q510" s="17" t="n">
        <v>320</v>
      </c>
      <c r="R510" s="17" t="n">
        <v>170</v>
      </c>
      <c r="S510" s="17" t="n">
        <v>132228</v>
      </c>
      <c r="T510" s="17" t="n">
        <v>485480</v>
      </c>
      <c r="U510" s="17" t="n">
        <v>4982</v>
      </c>
      <c r="V510" s="17" t="n">
        <v>0.835906040268456</v>
      </c>
      <c r="W510" s="17" t="n">
        <v>4.22</v>
      </c>
      <c r="X510" s="17" t="n">
        <v>4.15464324965216</v>
      </c>
      <c r="Y510" s="17" t="n">
        <v>0.851015970608083</v>
      </c>
      <c r="Z510" s="17" t="n">
        <v>27.2365493944138</v>
      </c>
      <c r="AA510" s="17" t="n">
        <v>19.590114130881</v>
      </c>
      <c r="AB510" s="17" t="n">
        <v>7.61305600226201</v>
      </c>
      <c r="AC510" s="17" t="n">
        <v>12.3960160652546</v>
      </c>
      <c r="AD510" s="17" t="n">
        <v>0.9147700404327</v>
      </c>
      <c r="AE510" s="17" t="n">
        <v>-0.0236608734239244</v>
      </c>
      <c r="AF510" s="17" t="n">
        <v>0.253012563652498</v>
      </c>
      <c r="AG510" s="18" t="n">
        <f aca="false">IFERROR(100*O510/F510,"")</f>
        <v>0.550784136628623</v>
      </c>
      <c r="AH510" s="18" t="n">
        <f aca="false">IFERROR(100*(P510+Q510)/F510,"")</f>
        <v>0.465227030133837</v>
      </c>
      <c r="AI510" s="18" t="n">
        <f aca="false">IFERROR(100*R510/K510,"")</f>
        <v>0.0342980269891847</v>
      </c>
      <c r="AJ510" s="18" t="n">
        <f aca="false">IF(T510&gt;0,100*S510/T510,"")</f>
        <v>27.2365493944138</v>
      </c>
      <c r="AK510" s="18" t="n">
        <f aca="false">IFERROR(100*U510/G510,"")</f>
        <v>0.835906040268456</v>
      </c>
      <c r="AL510" s="18" t="n">
        <f aca="false">IFERROR(100*J510/H510,"")</f>
        <v>113.630574962109</v>
      </c>
      <c r="AM510" s="18" t="n">
        <f aca="false">IFERROR(100*L510/J510,"")</f>
        <v>86.2904148727521</v>
      </c>
      <c r="AN510" s="18" t="n">
        <f aca="false">IFERROR(100*M510/J510,"")</f>
        <v>10.4276587096443</v>
      </c>
      <c r="AO510" s="18" t="n">
        <f aca="false">IFERROR(100*N510/J510,"")</f>
        <v>2.4174930841387</v>
      </c>
    </row>
    <row r="511" customFormat="false" ht="15" hidden="false" customHeight="false" outlineLevel="0" collapsed="false">
      <c r="A511" s="17" t="n">
        <v>19836</v>
      </c>
      <c r="B511" s="23" t="n">
        <v>45199</v>
      </c>
      <c r="C511" s="17" t="s">
        <v>136</v>
      </c>
      <c r="D511" s="17" t="s">
        <v>108</v>
      </c>
      <c r="E511" s="17" t="s">
        <v>118</v>
      </c>
      <c r="F511" s="17" t="n">
        <v>636045</v>
      </c>
      <c r="G511" s="17" t="n">
        <v>606011.25</v>
      </c>
      <c r="H511" s="17" t="n">
        <v>487132</v>
      </c>
      <c r="I511" s="17" t="n">
        <v>119013</v>
      </c>
      <c r="J511" s="17" t="n">
        <v>524765</v>
      </c>
      <c r="K511" s="17" t="n">
        <v>502932.75</v>
      </c>
      <c r="L511" s="17" t="n">
        <v>456725</v>
      </c>
      <c r="M511" s="17" t="n">
        <v>51639</v>
      </c>
      <c r="N511" s="17" t="n">
        <v>12237</v>
      </c>
      <c r="O511" s="17" t="n">
        <v>3230</v>
      </c>
      <c r="P511" s="17" t="n">
        <v>2063</v>
      </c>
      <c r="Q511" s="17" t="n">
        <v>72</v>
      </c>
      <c r="R511" s="17" t="n">
        <v>46.6655</v>
      </c>
      <c r="S511" s="17" t="n">
        <v>133858</v>
      </c>
      <c r="T511" s="17" t="n">
        <v>505766</v>
      </c>
      <c r="U511" s="17" t="n">
        <v>5494.5293</v>
      </c>
      <c r="V511" s="17" t="n">
        <v>0.906671171533532</v>
      </c>
      <c r="W511" s="17" t="n">
        <v>4.64</v>
      </c>
      <c r="X511" s="17" t="n">
        <v>4.05619318892258</v>
      </c>
      <c r="Y511" s="17" t="n">
        <v>0.821891703905558</v>
      </c>
      <c r="Z511" s="17" t="n">
        <v>26.4663895951883</v>
      </c>
      <c r="AA511" s="17" t="n">
        <v>18.7114119284013</v>
      </c>
      <c r="AB511" s="17" t="n">
        <v>9.78937811134202</v>
      </c>
      <c r="AC511" s="17" t="n">
        <v>11.2247406773123</v>
      </c>
      <c r="AD511" s="17" t="n">
        <v>6.62750025172156</v>
      </c>
      <c r="AE511" s="17" t="n">
        <v>-0.0264126494171559</v>
      </c>
      <c r="AF511" s="17" t="n">
        <v>0.25943617966933</v>
      </c>
      <c r="AG511" s="18" t="n">
        <f aca="false">IFERROR(100*O511/F511,"")</f>
        <v>0.507825704156153</v>
      </c>
      <c r="AH511" s="18" t="n">
        <f aca="false">IFERROR(100*(P511+Q511)/F511,"")</f>
        <v>0.33566807379981</v>
      </c>
      <c r="AI511" s="18" t="n">
        <f aca="false">IFERROR(100*R511/K511,"")</f>
        <v>0.00927867592635397</v>
      </c>
      <c r="AJ511" s="18" t="n">
        <f aca="false">IF(T511&gt;0,100*S511/T511,"")</f>
        <v>26.4663895951883</v>
      </c>
      <c r="AK511" s="18" t="n">
        <f aca="false">IFERROR(100*U511/G511,"")</f>
        <v>0.906671171533532</v>
      </c>
      <c r="AL511" s="18" t="n">
        <f aca="false">IFERROR(100*J511/H511,"")</f>
        <v>107.725421446343</v>
      </c>
      <c r="AM511" s="18" t="n">
        <f aca="false">IFERROR(100*L511/J511,"")</f>
        <v>87.034196259278</v>
      </c>
      <c r="AN511" s="18" t="n">
        <f aca="false">IFERROR(100*M511/J511,"")</f>
        <v>9.84040475260355</v>
      </c>
      <c r="AO511" s="18" t="n">
        <f aca="false">IFERROR(100*N511/J511,"")</f>
        <v>2.3319009461378</v>
      </c>
    </row>
    <row r="512" customFormat="false" ht="15" hidden="false" customHeight="false" outlineLevel="0" collapsed="false">
      <c r="A512" s="17" t="n">
        <v>19836</v>
      </c>
      <c r="B512" s="23" t="n">
        <v>45291</v>
      </c>
      <c r="C512" s="17" t="s">
        <v>136</v>
      </c>
      <c r="D512" s="17" t="s">
        <v>108</v>
      </c>
      <c r="E512" s="17" t="s">
        <v>118</v>
      </c>
      <c r="F512" s="17" t="n">
        <v>659684</v>
      </c>
      <c r="G512" s="17" t="n">
        <v>616745.8</v>
      </c>
      <c r="H512" s="17" t="n">
        <v>484649</v>
      </c>
      <c r="I512" s="17" t="n">
        <v>120787</v>
      </c>
      <c r="J512" s="17" t="n">
        <v>547206</v>
      </c>
      <c r="K512" s="17" t="n">
        <v>511787.4</v>
      </c>
      <c r="L512" s="17" t="n">
        <v>481157</v>
      </c>
      <c r="M512" s="17" t="n">
        <v>49815</v>
      </c>
      <c r="N512" s="17" t="n">
        <v>11959</v>
      </c>
      <c r="O512" s="17" t="n">
        <v>3751</v>
      </c>
      <c r="P512" s="17" t="n">
        <v>3494</v>
      </c>
      <c r="Q512" s="17" t="n">
        <v>123</v>
      </c>
      <c r="R512" s="17" t="n">
        <v>72</v>
      </c>
      <c r="S512" s="17" t="n">
        <v>134796</v>
      </c>
      <c r="T512" s="17" t="n">
        <v>522650</v>
      </c>
      <c r="U512" s="17" t="n">
        <v>4858</v>
      </c>
      <c r="V512" s="17" t="n">
        <v>0.787682704932891</v>
      </c>
      <c r="W512" s="17" t="n">
        <v>4.09</v>
      </c>
      <c r="X512" s="17" t="n">
        <v>3.92169622453003</v>
      </c>
      <c r="Y512" s="17" t="n">
        <v>0.815597782188061</v>
      </c>
      <c r="Z512" s="17" t="n">
        <v>25.7908734334641</v>
      </c>
      <c r="AA512" s="17" t="n">
        <v>18.3098271293528</v>
      </c>
      <c r="AB512" s="17" t="n">
        <v>13.9710823973726</v>
      </c>
      <c r="AC512" s="17" t="n">
        <v>13.2612763279905</v>
      </c>
      <c r="AD512" s="17" t="n">
        <v>8.70347318014109</v>
      </c>
      <c r="AE512" s="17" t="n">
        <v>-0.0480878544972289</v>
      </c>
      <c r="AF512" s="17" t="n">
        <v>0.278185632045065</v>
      </c>
      <c r="AG512" s="18" t="n">
        <f aca="false">IFERROR(100*O512/F512,"")</f>
        <v>0.568605574790354</v>
      </c>
      <c r="AH512" s="18" t="n">
        <f aca="false">IFERROR(100*(P512+Q512)/F512,"")</f>
        <v>0.54829281898606</v>
      </c>
      <c r="AI512" s="18" t="n">
        <f aca="false">IFERROR(100*R512/K512,"")</f>
        <v>0.0140683416590561</v>
      </c>
      <c r="AJ512" s="18" t="n">
        <f aca="false">IF(T512&gt;0,100*S512/T512,"")</f>
        <v>25.7908734334641</v>
      </c>
      <c r="AK512" s="18" t="n">
        <f aca="false">IFERROR(100*U512/G512,"")</f>
        <v>0.787682704932891</v>
      </c>
      <c r="AL512" s="18" t="n">
        <f aca="false">IFERROR(100*J512/H512,"")</f>
        <v>112.90769195851</v>
      </c>
      <c r="AM512" s="18" t="n">
        <f aca="false">IFERROR(100*L512/J512,"")</f>
        <v>87.929774161833</v>
      </c>
      <c r="AN512" s="18" t="n">
        <f aca="false">IFERROR(100*M512/J512,"")</f>
        <v>9.10351860176972</v>
      </c>
      <c r="AO512" s="18" t="n">
        <f aca="false">IFERROR(100*N512/J512,"")</f>
        <v>2.18546580264105</v>
      </c>
    </row>
    <row r="513" customFormat="false" ht="15" hidden="false" customHeight="false" outlineLevel="0" collapsed="false">
      <c r="A513" s="17" t="n">
        <v>19836</v>
      </c>
      <c r="B513" s="23" t="n">
        <v>45382</v>
      </c>
      <c r="C513" s="17" t="s">
        <v>136</v>
      </c>
      <c r="D513" s="17" t="s">
        <v>108</v>
      </c>
      <c r="E513" s="17" t="s">
        <v>118</v>
      </c>
      <c r="F513" s="17" t="n">
        <v>677132</v>
      </c>
      <c r="G513" s="17" t="n">
        <v>668408</v>
      </c>
      <c r="H513" s="17" t="n">
        <v>501943</v>
      </c>
      <c r="I513" s="17" t="n">
        <v>121076</v>
      </c>
      <c r="J513" s="17" t="n">
        <v>563910</v>
      </c>
      <c r="K513" s="17" t="n">
        <v>555558</v>
      </c>
      <c r="L513" s="17" t="n">
        <v>501814</v>
      </c>
      <c r="M513" s="17" t="n">
        <v>47004</v>
      </c>
      <c r="N513" s="17" t="n">
        <v>11321</v>
      </c>
      <c r="O513" s="17" t="n">
        <v>4708</v>
      </c>
      <c r="P513" s="17" t="n">
        <v>1775</v>
      </c>
      <c r="Q513" s="17" t="n">
        <v>134</v>
      </c>
      <c r="R513" s="17" t="n">
        <v>-24</v>
      </c>
      <c r="S513" s="17" t="n">
        <v>135830</v>
      </c>
      <c r="T513" s="17" t="n">
        <v>534622</v>
      </c>
      <c r="U513" s="17" t="n">
        <v>4140</v>
      </c>
      <c r="V513" s="17" t="n">
        <v>0.619382173762133</v>
      </c>
      <c r="W513" s="17" t="n">
        <v>3.42</v>
      </c>
      <c r="X513" s="17" t="n">
        <v>3.55685564125512</v>
      </c>
      <c r="Y513" s="17" t="n">
        <v>0.791438350091327</v>
      </c>
      <c r="Z513" s="17" t="n">
        <v>25.4067359742023</v>
      </c>
      <c r="AA513" s="17" t="n">
        <v>17.8807086358347</v>
      </c>
      <c r="AB513" s="17" t="n">
        <v>12.8115248578469</v>
      </c>
      <c r="AC513" s="17" t="n">
        <v>13.4572978367242</v>
      </c>
      <c r="AD513" s="17" t="n">
        <v>13.4257564458907</v>
      </c>
      <c r="AE513" s="17" t="n">
        <v>-0.0421673788437782</v>
      </c>
      <c r="AF513" s="17" t="n">
        <v>0.291608837375042</v>
      </c>
      <c r="AG513" s="18" t="n">
        <f aca="false">IFERROR(100*O513/F513,"")</f>
        <v>0.69528540963948</v>
      </c>
      <c r="AH513" s="18" t="n">
        <f aca="false">IFERROR(100*(P513+Q513)/F513,"")</f>
        <v>0.281924351529687</v>
      </c>
      <c r="AI513" s="18" t="n">
        <f aca="false">IFERROR(100*R513/K513,"")</f>
        <v>-0.00431998099208364</v>
      </c>
      <c r="AJ513" s="18" t="n">
        <f aca="false">IF(T513&gt;0,100*S513/T513,"")</f>
        <v>25.4067359742023</v>
      </c>
      <c r="AK513" s="18" t="n">
        <f aca="false">IFERROR(100*U513/G513,"")</f>
        <v>0.619382173762133</v>
      </c>
      <c r="AL513" s="18" t="n">
        <f aca="false">IFERROR(100*J513/H513,"")</f>
        <v>112.345425675824</v>
      </c>
      <c r="AM513" s="18" t="n">
        <f aca="false">IFERROR(100*L513/J513,"")</f>
        <v>88.9883137380078</v>
      </c>
      <c r="AN513" s="18" t="n">
        <f aca="false">IFERROR(100*M513/J513,"")</f>
        <v>8.33537266585093</v>
      </c>
      <c r="AO513" s="18" t="n">
        <f aca="false">IFERROR(100*N513/J513,"")</f>
        <v>2.00758986363072</v>
      </c>
    </row>
    <row r="514" customFormat="false" ht="15" hidden="false" customHeight="false" outlineLevel="0" collapsed="false">
      <c r="A514" s="17" t="n">
        <v>19836</v>
      </c>
      <c r="B514" s="23" t="n">
        <v>45473</v>
      </c>
      <c r="C514" s="17" t="s">
        <v>136</v>
      </c>
      <c r="D514" s="17" t="s">
        <v>108</v>
      </c>
      <c r="E514" s="17" t="s">
        <v>118</v>
      </c>
      <c r="F514" s="17" t="n">
        <v>693631</v>
      </c>
      <c r="G514" s="17" t="n">
        <v>676815.666666667</v>
      </c>
      <c r="H514" s="17" t="n">
        <v>494603</v>
      </c>
      <c r="I514" s="17" t="n">
        <v>122241</v>
      </c>
      <c r="J514" s="17" t="n">
        <v>583028</v>
      </c>
      <c r="K514" s="17" t="n">
        <v>564714.666666667</v>
      </c>
      <c r="L514" s="17" t="n">
        <v>520353</v>
      </c>
      <c r="M514" s="17" t="n">
        <v>47016</v>
      </c>
      <c r="N514" s="17" t="n">
        <v>11688</v>
      </c>
      <c r="O514" s="17" t="n">
        <v>5114</v>
      </c>
      <c r="P514" s="17" t="n">
        <v>2908</v>
      </c>
      <c r="Q514" s="17" t="n">
        <v>539</v>
      </c>
      <c r="R514" s="17" t="n">
        <v>18</v>
      </c>
      <c r="S514" s="17" t="n">
        <v>137027</v>
      </c>
      <c r="T514" s="17" t="n">
        <v>553539</v>
      </c>
      <c r="U514" s="17" t="n">
        <v>4462</v>
      </c>
      <c r="V514" s="17" t="n">
        <v>0.6592636990771</v>
      </c>
      <c r="W514" s="17" t="n">
        <v>3.68</v>
      </c>
      <c r="X514" s="17" t="n">
        <v>3.57096502129516</v>
      </c>
      <c r="Y514" s="17" t="n">
        <v>0.765486391734188</v>
      </c>
      <c r="Z514" s="17" t="n">
        <v>24.7547146632848</v>
      </c>
      <c r="AA514" s="17" t="n">
        <v>17.6233472840747</v>
      </c>
      <c r="AB514" s="17" t="n">
        <v>13.9060678216602</v>
      </c>
      <c r="AC514" s="17" t="n">
        <v>15.0396798775074</v>
      </c>
      <c r="AD514" s="17" t="n">
        <v>10.8945499224236</v>
      </c>
      <c r="AE514" s="17" t="n">
        <v>-0.176642341191357</v>
      </c>
      <c r="AF514" s="17" t="n">
        <v>0.186495483226891</v>
      </c>
      <c r="AG514" s="18" t="n">
        <f aca="false">IFERROR(100*O514/F514,"")</f>
        <v>0.737279619855514</v>
      </c>
      <c r="AH514" s="18" t="n">
        <f aca="false">IFERROR(100*(P514+Q514)/F514,"")</f>
        <v>0.496950107477895</v>
      </c>
      <c r="AI514" s="18" t="n">
        <f aca="false">IFERROR(100*R514/K514,"")</f>
        <v>0.00318745041743795</v>
      </c>
      <c r="AJ514" s="18" t="n">
        <f aca="false">IF(T514&gt;0,100*S514/T514,"")</f>
        <v>24.7547146632848</v>
      </c>
      <c r="AK514" s="18" t="n">
        <f aca="false">IFERROR(100*U514/G514,"")</f>
        <v>0.6592636990771</v>
      </c>
      <c r="AL514" s="18" t="n">
        <f aca="false">IFERROR(100*J514/H514,"")</f>
        <v>117.877974860646</v>
      </c>
      <c r="AM514" s="18" t="n">
        <f aca="false">IFERROR(100*L514/J514,"")</f>
        <v>89.250087474358</v>
      </c>
      <c r="AN514" s="18" t="n">
        <f aca="false">IFERROR(100*M514/J514,"")</f>
        <v>8.06410669813457</v>
      </c>
      <c r="AO514" s="18" t="n">
        <f aca="false">IFERROR(100*N514/J514,"")</f>
        <v>2.00470646349747</v>
      </c>
    </row>
    <row r="515" customFormat="false" ht="15" hidden="false" customHeight="false" outlineLevel="0" collapsed="false">
      <c r="A515" s="17" t="n">
        <v>19836</v>
      </c>
      <c r="B515" s="23" t="n">
        <v>45565</v>
      </c>
      <c r="C515" s="17" t="s">
        <v>136</v>
      </c>
      <c r="D515" s="17" t="s">
        <v>108</v>
      </c>
      <c r="E515" s="17" t="s">
        <v>118</v>
      </c>
      <c r="F515" s="17" t="n">
        <v>712547</v>
      </c>
      <c r="G515" s="17" t="n">
        <v>685748.5</v>
      </c>
      <c r="H515" s="17" t="n">
        <v>529260</v>
      </c>
      <c r="I515" s="17" t="n">
        <v>125592</v>
      </c>
      <c r="J515" s="17" t="n">
        <v>608881</v>
      </c>
      <c r="K515" s="17" t="n">
        <v>575756.25</v>
      </c>
      <c r="L515" s="17" t="n">
        <v>548608</v>
      </c>
      <c r="M515" s="17" t="n">
        <v>45189</v>
      </c>
      <c r="N515" s="17" t="n">
        <v>11613</v>
      </c>
      <c r="O515" s="17" t="n">
        <v>5741</v>
      </c>
      <c r="P515" s="17" t="n">
        <v>1912</v>
      </c>
      <c r="Q515" s="17" t="n">
        <v>354</v>
      </c>
      <c r="R515" s="17" t="n">
        <v>43.9989</v>
      </c>
      <c r="S515" s="17" t="n">
        <v>138545</v>
      </c>
      <c r="T515" s="17" t="n">
        <v>578826</v>
      </c>
      <c r="U515" s="17" t="n">
        <v>4999.875</v>
      </c>
      <c r="V515" s="17" t="n">
        <v>0.72911205784628</v>
      </c>
      <c r="W515" s="17" t="n">
        <v>4.08</v>
      </c>
      <c r="X515" s="17" t="n">
        <v>3.61397468567174</v>
      </c>
      <c r="Y515" s="17" t="n">
        <v>0.732983949244598</v>
      </c>
      <c r="Z515" s="17" t="n">
        <v>23.9355177549039</v>
      </c>
      <c r="AA515" s="17" t="n">
        <v>17.6257846850804</v>
      </c>
      <c r="AB515" s="17" t="n">
        <v>12.0277653310694</v>
      </c>
      <c r="AC515" s="17" t="n">
        <v>16.0292702447762</v>
      </c>
      <c r="AD515" s="17" t="n">
        <v>8.64816928471133</v>
      </c>
      <c r="AE515" s="17" t="n">
        <v>-0.177559113687251</v>
      </c>
      <c r="AF515" s="17" t="n">
        <v>0.297875533797274</v>
      </c>
      <c r="AG515" s="18" t="n">
        <f aca="false">IFERROR(100*O515/F515,"")</f>
        <v>0.805701237953426</v>
      </c>
      <c r="AH515" s="18" t="n">
        <f aca="false">IFERROR(100*(P515+Q515)/F515,"")</f>
        <v>0.318014109946432</v>
      </c>
      <c r="AI515" s="18" t="n">
        <f aca="false">IFERROR(100*R515/K515,"")</f>
        <v>0.00764193180707982</v>
      </c>
      <c r="AJ515" s="18" t="n">
        <f aca="false">IF(T515&gt;0,100*S515/T515,"")</f>
        <v>23.9355177549039</v>
      </c>
      <c r="AK515" s="18" t="n">
        <f aca="false">IFERROR(100*U515/G515,"")</f>
        <v>0.72911205784628</v>
      </c>
      <c r="AL515" s="18" t="n">
        <f aca="false">IFERROR(100*J515/H515,"")</f>
        <v>115.043834788195</v>
      </c>
      <c r="AM515" s="18" t="n">
        <f aca="false">IFERROR(100*L515/J515,"")</f>
        <v>90.1010213818464</v>
      </c>
      <c r="AN515" s="18" t="n">
        <f aca="false">IFERROR(100*M515/J515,"")</f>
        <v>7.42164725126913</v>
      </c>
      <c r="AO515" s="18" t="n">
        <f aca="false">IFERROR(100*N515/J515,"")</f>
        <v>1.90726923651748</v>
      </c>
    </row>
    <row r="516" customFormat="false" ht="15" hidden="false" customHeight="false" outlineLevel="0" collapsed="false">
      <c r="A516" s="17" t="n">
        <v>19836</v>
      </c>
      <c r="B516" s="23" t="n">
        <v>45657</v>
      </c>
      <c r="C516" s="17" t="s">
        <v>136</v>
      </c>
      <c r="D516" s="17" t="s">
        <v>108</v>
      </c>
      <c r="E516" s="17" t="s">
        <v>118</v>
      </c>
      <c r="F516" s="17" t="n">
        <v>725956</v>
      </c>
      <c r="G516" s="17" t="n">
        <v>693790</v>
      </c>
      <c r="H516" s="17" t="n">
        <v>546072</v>
      </c>
      <c r="I516" s="17" t="n">
        <v>126418</v>
      </c>
      <c r="J516" s="17" t="n">
        <v>621275</v>
      </c>
      <c r="K516" s="17" t="n">
        <v>584860</v>
      </c>
      <c r="L516" s="17" t="n">
        <v>565995</v>
      </c>
      <c r="M516" s="17" t="n">
        <v>41567</v>
      </c>
      <c r="N516" s="17" t="n">
        <v>10758</v>
      </c>
      <c r="O516" s="17" t="n">
        <v>5575</v>
      </c>
      <c r="P516" s="17" t="n">
        <v>5473</v>
      </c>
      <c r="Q516" s="17" t="n">
        <v>115</v>
      </c>
      <c r="R516" s="17" t="n">
        <v>393</v>
      </c>
      <c r="S516" s="17" t="n">
        <v>139206</v>
      </c>
      <c r="T516" s="17" t="n">
        <v>594828</v>
      </c>
      <c r="U516" s="17" t="n">
        <v>4411</v>
      </c>
      <c r="V516" s="17" t="n">
        <v>0.635783162051918</v>
      </c>
      <c r="W516" s="17" t="n">
        <v>3.58</v>
      </c>
      <c r="X516" s="17" t="n">
        <v>3.66814462063966</v>
      </c>
      <c r="Y516" s="17" t="n">
        <v>0.718361434147519</v>
      </c>
      <c r="Z516" s="17" t="n">
        <v>23.4027315459259</v>
      </c>
      <c r="AA516" s="17" t="n">
        <v>17.4140030525266</v>
      </c>
      <c r="AB516" s="17" t="n">
        <v>10.0460220347924</v>
      </c>
      <c r="AC516" s="17" t="n">
        <v>13.5358530425471</v>
      </c>
      <c r="AD516" s="17" t="n">
        <v>12.6737081888129</v>
      </c>
      <c r="AE516" s="17" t="n">
        <v>-0.151899542880973</v>
      </c>
      <c r="AF516" s="17" t="n">
        <v>0.199347303896509</v>
      </c>
      <c r="AG516" s="18" t="n">
        <f aca="false">IFERROR(100*O516/F516,"")</f>
        <v>0.767952878686863</v>
      </c>
      <c r="AH516" s="18" t="n">
        <f aca="false">IFERROR(100*(P516+Q516)/F516,"")</f>
        <v>0.769743620825505</v>
      </c>
      <c r="AI516" s="18" t="n">
        <f aca="false">IFERROR(100*R516/K516,"")</f>
        <v>0.0671955681701604</v>
      </c>
      <c r="AJ516" s="18" t="n">
        <f aca="false">IF(T516&gt;0,100*S516/T516,"")</f>
        <v>23.4027315459259</v>
      </c>
      <c r="AK516" s="18" t="n">
        <f aca="false">IFERROR(100*U516/G516,"")</f>
        <v>0.635783162051918</v>
      </c>
      <c r="AL516" s="18" t="n">
        <f aca="false">IFERROR(100*J516/H516,"")</f>
        <v>113.771627184694</v>
      </c>
      <c r="AM516" s="18" t="n">
        <f aca="false">IFERROR(100*L516/J516,"")</f>
        <v>91.1021689268038</v>
      </c>
      <c r="AN516" s="18" t="n">
        <f aca="false">IFERROR(100*M516/J516,"")</f>
        <v>6.69059595187316</v>
      </c>
      <c r="AO516" s="18" t="n">
        <f aca="false">IFERROR(100*N516/J516,"")</f>
        <v>1.73160033801457</v>
      </c>
    </row>
    <row r="517" customFormat="false" ht="15" hidden="false" customHeight="false" outlineLevel="0" collapsed="false">
      <c r="A517" s="17" t="n">
        <v>19836</v>
      </c>
      <c r="B517" s="23" t="n">
        <v>45747</v>
      </c>
      <c r="C517" s="17" t="s">
        <v>136</v>
      </c>
      <c r="D517" s="17" t="s">
        <v>108</v>
      </c>
      <c r="E517" s="17" t="s">
        <v>118</v>
      </c>
      <c r="F517" s="17" t="n">
        <v>733639</v>
      </c>
      <c r="G517" s="17" t="n">
        <v>729797.5</v>
      </c>
      <c r="H517" s="17" t="n">
        <v>586835</v>
      </c>
      <c r="I517" s="17" t="n">
        <v>128641</v>
      </c>
      <c r="J517" s="17" t="n">
        <v>627367</v>
      </c>
      <c r="K517" s="17" t="n">
        <v>624321</v>
      </c>
      <c r="L517" s="17" t="n">
        <v>573366</v>
      </c>
      <c r="M517" s="17" t="n">
        <v>42016</v>
      </c>
      <c r="N517" s="17" t="n">
        <v>10284</v>
      </c>
      <c r="O517" s="17" t="n">
        <v>6387</v>
      </c>
      <c r="P517" s="17" t="n">
        <v>7070</v>
      </c>
      <c r="Q517" s="17" t="n">
        <v>194</v>
      </c>
      <c r="R517" s="17" t="n">
        <v>136</v>
      </c>
      <c r="S517" s="17" t="n">
        <v>140587</v>
      </c>
      <c r="T517" s="17" t="n">
        <v>595553</v>
      </c>
      <c r="U517" s="17" t="n">
        <v>5520</v>
      </c>
      <c r="V517" s="17" t="n">
        <v>0.75637419969238</v>
      </c>
      <c r="W517" s="17" t="n">
        <v>4.33</v>
      </c>
      <c r="X517" s="17" t="n">
        <v>3.88739749739618</v>
      </c>
      <c r="Y517" s="17" t="n">
        <v>0.711385839548462</v>
      </c>
      <c r="Z517" s="17" t="n">
        <v>23.6061274143527</v>
      </c>
      <c r="AA517" s="17" t="n">
        <v>17.5346457862791</v>
      </c>
      <c r="AB517" s="17" t="n">
        <v>8.34504941429442</v>
      </c>
      <c r="AC517" s="17" t="n">
        <v>11.2530368321186</v>
      </c>
      <c r="AD517" s="17" t="n">
        <v>16.9126773358728</v>
      </c>
      <c r="AE517" s="17" t="n">
        <v>0.136992025930247</v>
      </c>
      <c r="AF517" s="17" t="n">
        <v>0.175306257379313</v>
      </c>
      <c r="AG517" s="18" t="n">
        <f aca="false">IFERROR(100*O517/F517,"")</f>
        <v>0.870591667018793</v>
      </c>
      <c r="AH517" s="18" t="n">
        <f aca="false">IFERROR(100*(P517+Q517)/F517,"")</f>
        <v>0.990132749213169</v>
      </c>
      <c r="AI517" s="18" t="n">
        <f aca="false">IFERROR(100*R517/K517,"")</f>
        <v>0.0217836657744974</v>
      </c>
      <c r="AJ517" s="18" t="n">
        <f aca="false">IF(T517&gt;0,100*S517/T517,"")</f>
        <v>23.6061274143527</v>
      </c>
      <c r="AK517" s="18" t="n">
        <f aca="false">IFERROR(100*U517/G517,"")</f>
        <v>0.75637419969238</v>
      </c>
      <c r="AL517" s="18" t="n">
        <f aca="false">IFERROR(100*J517/H517,"")</f>
        <v>106.906881832202</v>
      </c>
      <c r="AM517" s="18" t="n">
        <f aca="false">IFERROR(100*L517/J517,"")</f>
        <v>91.3924385566981</v>
      </c>
      <c r="AN517" s="18" t="n">
        <f aca="false">IFERROR(100*M517/J517,"")</f>
        <v>6.6971963778777</v>
      </c>
      <c r="AO517" s="18" t="n">
        <f aca="false">IFERROR(100*N517/J517,"")</f>
        <v>1.63923190094474</v>
      </c>
    </row>
    <row r="518" customFormat="false" ht="15" hidden="false" customHeight="false" outlineLevel="0" collapsed="false">
      <c r="A518" s="17" t="n">
        <v>19836</v>
      </c>
      <c r="B518" s="23" t="n">
        <v>45838</v>
      </c>
      <c r="C518" s="17" t="s">
        <v>136</v>
      </c>
      <c r="D518" s="17" t="s">
        <v>108</v>
      </c>
      <c r="E518" s="17" t="s">
        <v>118</v>
      </c>
      <c r="F518" s="17" t="n">
        <v>755186</v>
      </c>
      <c r="G518" s="17" t="n">
        <v>738260.333333333</v>
      </c>
      <c r="H518" s="17" t="n">
        <v>587526</v>
      </c>
      <c r="I518" s="17" t="n">
        <v>130465</v>
      </c>
      <c r="J518" s="17" t="n">
        <v>643156</v>
      </c>
      <c r="K518" s="17" t="n">
        <v>630599.333333333</v>
      </c>
      <c r="L518" s="17" t="n">
        <v>587491</v>
      </c>
      <c r="M518" s="17" t="n">
        <v>43608</v>
      </c>
      <c r="N518" s="17" t="n">
        <v>10432</v>
      </c>
      <c r="O518" s="17" t="n">
        <v>8281</v>
      </c>
      <c r="P518" s="17" t="n">
        <v>5102</v>
      </c>
      <c r="Q518" s="17" t="n">
        <v>141</v>
      </c>
      <c r="R518" s="17" t="n">
        <v>62</v>
      </c>
      <c r="S518" s="17" t="n">
        <v>142381</v>
      </c>
      <c r="T518" s="17" t="n">
        <v>617575</v>
      </c>
      <c r="U518" s="17" t="n">
        <v>6198</v>
      </c>
      <c r="V518" s="17" t="n">
        <v>0.839541245838753</v>
      </c>
      <c r="W518" s="17" t="n">
        <v>4.82</v>
      </c>
      <c r="X518" s="17" t="n">
        <v>3.96457803239998</v>
      </c>
      <c r="Y518" s="17" t="n">
        <v>0.705583093370815</v>
      </c>
      <c r="Z518" s="17" t="n">
        <v>23.0548516374529</v>
      </c>
      <c r="AA518" s="17" t="n">
        <v>17.2758764066071</v>
      </c>
      <c r="AB518" s="17" t="n">
        <v>8.87431501763907</v>
      </c>
      <c r="AC518" s="17" t="n">
        <v>10.313055290655</v>
      </c>
      <c r="AD518" s="17" t="n">
        <v>18.7873910995283</v>
      </c>
      <c r="AE518" s="17" t="n">
        <v>0.180277546761653</v>
      </c>
      <c r="AF518" s="17" t="n">
        <v>0.359271428495488</v>
      </c>
      <c r="AG518" s="18" t="n">
        <f aca="false">IFERROR(100*O518/F518,"")</f>
        <v>1.096551048351</v>
      </c>
      <c r="AH518" s="18" t="n">
        <f aca="false">IFERROR(100*(P518+Q518)/F518,"")</f>
        <v>0.694266048364244</v>
      </c>
      <c r="AI518" s="18" t="n">
        <f aca="false">IFERROR(100*R518/K518,"")</f>
        <v>0.00983191651539964</v>
      </c>
      <c r="AJ518" s="18" t="n">
        <f aca="false">IF(T518&gt;0,100*S518/T518,"")</f>
        <v>23.0548516374529</v>
      </c>
      <c r="AK518" s="18" t="n">
        <f aca="false">IFERROR(100*U518/G518,"")</f>
        <v>0.839541245838753</v>
      </c>
      <c r="AL518" s="18" t="n">
        <f aca="false">IFERROR(100*J518/H518,"")</f>
        <v>109.468517137965</v>
      </c>
      <c r="AM518" s="18" t="n">
        <f aca="false">IFERROR(100*L518/J518,"")</f>
        <v>91.3450236023609</v>
      </c>
      <c r="AN518" s="18" t="n">
        <f aca="false">IFERROR(100*M518/J518,"")</f>
        <v>6.78031457375816</v>
      </c>
      <c r="AO518" s="18" t="n">
        <f aca="false">IFERROR(100*N518/J518,"")</f>
        <v>1.62200150507808</v>
      </c>
    </row>
    <row r="519" customFormat="false" ht="15" hidden="false" customHeight="false" outlineLevel="0" collapsed="false">
      <c r="A519" s="17" t="n">
        <v>24540</v>
      </c>
      <c r="B519" s="23" t="n">
        <v>44651</v>
      </c>
      <c r="C519" s="17" t="s">
        <v>163</v>
      </c>
      <c r="D519" s="17" t="s">
        <v>116</v>
      </c>
      <c r="E519" s="17" t="s">
        <v>114</v>
      </c>
      <c r="F519" s="17" t="n">
        <v>1244446</v>
      </c>
      <c r="G519" s="17" t="n">
        <v>1252322</v>
      </c>
      <c r="H519" s="17" t="n">
        <v>1040872</v>
      </c>
      <c r="I519" s="17" t="n">
        <v>192853</v>
      </c>
      <c r="J519" s="17" t="n">
        <v>1020810</v>
      </c>
      <c r="K519" s="17" t="n">
        <v>1045266</v>
      </c>
      <c r="L519" s="17" t="n">
        <v>977701</v>
      </c>
      <c r="M519" s="17" t="n">
        <v>46308</v>
      </c>
      <c r="N519" s="17" t="n">
        <v>17</v>
      </c>
      <c r="O519" s="17" t="n">
        <v>815</v>
      </c>
      <c r="P519" s="17" t="n">
        <v>0</v>
      </c>
      <c r="Q519" s="17" t="n">
        <v>0</v>
      </c>
      <c r="R519" s="17" t="n">
        <v>0</v>
      </c>
      <c r="S519" s="17" t="n">
        <v>0</v>
      </c>
      <c r="T519" s="17" t="n">
        <v>0</v>
      </c>
      <c r="U519" s="17" t="n">
        <v>27908</v>
      </c>
      <c r="V519" s="17" t="n">
        <v>2.22850033777255</v>
      </c>
      <c r="W519" s="17" t="n">
        <v>14.73</v>
      </c>
      <c r="X519" s="17" t="n">
        <v>4.18655281953746</v>
      </c>
      <c r="Y519" s="17" t="n">
        <v>1.17514522780929</v>
      </c>
      <c r="Z519" s="17" t="n">
        <v>0</v>
      </c>
      <c r="AA519" s="17" t="n">
        <v>15.4970967000577</v>
      </c>
      <c r="AB519" s="17"/>
      <c r="AC519" s="17"/>
      <c r="AD519" s="17"/>
      <c r="AE519" s="17"/>
      <c r="AF519" s="17"/>
      <c r="AG519" s="18" t="n">
        <f aca="false">IFERROR(100*O519/F519,"")</f>
        <v>0.0654909895648345</v>
      </c>
      <c r="AH519" s="18" t="n">
        <f aca="false">IFERROR(100*(P519+Q519)/F519,"")</f>
        <v>0</v>
      </c>
      <c r="AI519" s="18" t="n">
        <f aca="false">IFERROR(100*R519/K519,"")</f>
        <v>0</v>
      </c>
      <c r="AJ519" s="18" t="str">
        <f aca="false">IF(T519&gt;0,100*S519/T519,"")</f>
        <v/>
      </c>
      <c r="AK519" s="18" t="n">
        <f aca="false">IFERROR(100*U519/G519,"")</f>
        <v>2.22850033777255</v>
      </c>
      <c r="AL519" s="18" t="n">
        <f aca="false">IFERROR(100*J519/H519,"")</f>
        <v>98.0725776080056</v>
      </c>
      <c r="AM519" s="18" t="n">
        <f aca="false">IFERROR(100*L519/J519,"")</f>
        <v>95.7769810248724</v>
      </c>
      <c r="AN519" s="18" t="n">
        <f aca="false">IFERROR(100*M519/J519,"")</f>
        <v>4.53639756663826</v>
      </c>
      <c r="AO519" s="18" t="n">
        <f aca="false">IFERROR(100*N519/J519,"")</f>
        <v>0.00166534418745898</v>
      </c>
    </row>
    <row r="520" customFormat="false" ht="15" hidden="false" customHeight="false" outlineLevel="0" collapsed="false">
      <c r="A520" s="17" t="n">
        <v>24540</v>
      </c>
      <c r="B520" s="23" t="n">
        <v>44742</v>
      </c>
      <c r="C520" s="17" t="s">
        <v>163</v>
      </c>
      <c r="D520" s="17" t="s">
        <v>116</v>
      </c>
      <c r="E520" s="17" t="s">
        <v>114</v>
      </c>
      <c r="F520" s="17" t="n">
        <v>1234978</v>
      </c>
      <c r="G520" s="17" t="n">
        <v>1246540.66666667</v>
      </c>
      <c r="H520" s="17" t="n">
        <v>1010154</v>
      </c>
      <c r="I520" s="17" t="n">
        <v>198951</v>
      </c>
      <c r="J520" s="17" t="n">
        <v>1041543</v>
      </c>
      <c r="K520" s="17" t="n">
        <v>1044025</v>
      </c>
      <c r="L520" s="17" t="n">
        <v>1001399</v>
      </c>
      <c r="M520" s="17" t="n">
        <v>42956</v>
      </c>
      <c r="N520" s="17" t="n">
        <v>114</v>
      </c>
      <c r="O520" s="17" t="n">
        <v>782</v>
      </c>
      <c r="P520" s="17" t="n">
        <v>0</v>
      </c>
      <c r="Q520" s="17" t="n">
        <v>0</v>
      </c>
      <c r="R520" s="17" t="n">
        <v>-30</v>
      </c>
      <c r="S520" s="17" t="n">
        <v>0</v>
      </c>
      <c r="T520" s="17" t="n">
        <v>0</v>
      </c>
      <c r="U520" s="17" t="n">
        <v>26860</v>
      </c>
      <c r="V520" s="17" t="n">
        <v>2.15476323542861</v>
      </c>
      <c r="W520" s="17" t="n">
        <v>13.94</v>
      </c>
      <c r="X520" s="17" t="n">
        <v>4.29022601129675</v>
      </c>
      <c r="Y520" s="17" t="n">
        <v>1.21608037306189</v>
      </c>
      <c r="Z520" s="17" t="n">
        <v>0</v>
      </c>
      <c r="AA520" s="17" t="n">
        <v>16.1096796866017</v>
      </c>
      <c r="AB520" s="17"/>
      <c r="AC520" s="17"/>
      <c r="AD520" s="17"/>
      <c r="AE520" s="17"/>
      <c r="AF520" s="17"/>
      <c r="AG520" s="18" t="n">
        <f aca="false">IFERROR(100*O520/F520,"")</f>
        <v>0.0633209660415003</v>
      </c>
      <c r="AH520" s="18" t="n">
        <f aca="false">IFERROR(100*(P520+Q520)/F520,"")</f>
        <v>0</v>
      </c>
      <c r="AI520" s="18" t="n">
        <f aca="false">IFERROR(100*R520/K520,"")</f>
        <v>-0.0028734944086588</v>
      </c>
      <c r="AJ520" s="18" t="str">
        <f aca="false">IF(T520&gt;0,100*S520/T520,"")</f>
        <v/>
      </c>
      <c r="AK520" s="18" t="n">
        <f aca="false">IFERROR(100*U520/G520,"")</f>
        <v>2.15476323542861</v>
      </c>
      <c r="AL520" s="18" t="n">
        <f aca="false">IFERROR(100*J520/H520,"")</f>
        <v>103.107347988525</v>
      </c>
      <c r="AM520" s="18" t="n">
        <f aca="false">IFERROR(100*L520/J520,"")</f>
        <v>96.1457184196908</v>
      </c>
      <c r="AN520" s="18" t="n">
        <f aca="false">IFERROR(100*M520/J520,"")</f>
        <v>4.12426563281593</v>
      </c>
      <c r="AO520" s="18" t="n">
        <f aca="false">IFERROR(100*N520/J520,"")</f>
        <v>0.0109452994259478</v>
      </c>
    </row>
    <row r="521" customFormat="false" ht="15" hidden="false" customHeight="false" outlineLevel="0" collapsed="false">
      <c r="A521" s="17" t="n">
        <v>24540</v>
      </c>
      <c r="B521" s="23" t="n">
        <v>44834</v>
      </c>
      <c r="C521" s="17" t="s">
        <v>163</v>
      </c>
      <c r="D521" s="17" t="s">
        <v>116</v>
      </c>
      <c r="E521" s="17" t="s">
        <v>114</v>
      </c>
      <c r="F521" s="17" t="n">
        <v>1199727</v>
      </c>
      <c r="G521" s="17" t="n">
        <v>1234837.25</v>
      </c>
      <c r="H521" s="17" t="n">
        <v>965688</v>
      </c>
      <c r="I521" s="17" t="n">
        <v>206211</v>
      </c>
      <c r="J521" s="17" t="n">
        <v>1090983</v>
      </c>
      <c r="K521" s="17" t="n">
        <v>1055764.5</v>
      </c>
      <c r="L521" s="17" t="n">
        <v>1048616</v>
      </c>
      <c r="M521" s="17" t="n">
        <v>45436</v>
      </c>
      <c r="N521" s="17" t="n">
        <v>177</v>
      </c>
      <c r="O521" s="17" t="n">
        <v>693</v>
      </c>
      <c r="P521" s="17" t="n">
        <v>0</v>
      </c>
      <c r="Q521" s="17" t="n">
        <v>0</v>
      </c>
      <c r="R521" s="17" t="n">
        <v>-19.9995</v>
      </c>
      <c r="S521" s="17" t="n">
        <v>0</v>
      </c>
      <c r="T521" s="17" t="n">
        <v>0</v>
      </c>
      <c r="U521" s="17" t="n">
        <v>28145.963</v>
      </c>
      <c r="V521" s="17" t="n">
        <v>2.27932571681005</v>
      </c>
      <c r="W521" s="17" t="n">
        <v>14.36</v>
      </c>
      <c r="X521" s="17" t="n">
        <v>4.57696572902816</v>
      </c>
      <c r="Y521" s="17" t="n">
        <v>1.19974371736315</v>
      </c>
      <c r="Z521" s="17" t="n">
        <v>0</v>
      </c>
      <c r="AA521" s="17" t="n">
        <v>17.1881603064697</v>
      </c>
      <c r="AB521" s="17"/>
      <c r="AC521" s="17"/>
      <c r="AD521" s="17"/>
      <c r="AE521" s="17"/>
      <c r="AF521" s="17"/>
      <c r="AG521" s="18" t="n">
        <f aca="false">IFERROR(100*O521/F521,"")</f>
        <v>0.0577631411146036</v>
      </c>
      <c r="AH521" s="18" t="n">
        <f aca="false">IFERROR(100*(P521+Q521)/F521,"")</f>
        <v>0</v>
      </c>
      <c r="AI521" s="18" t="n">
        <f aca="false">IFERROR(100*R521/K521,"")</f>
        <v>-0.00189431449911415</v>
      </c>
      <c r="AJ521" s="18" t="str">
        <f aca="false">IF(T521&gt;0,100*S521/T521,"")</f>
        <v/>
      </c>
      <c r="AK521" s="18" t="n">
        <f aca="false">IFERROR(100*U521/G521,"")</f>
        <v>2.27932571681005</v>
      </c>
      <c r="AL521" s="18" t="n">
        <f aca="false">IFERROR(100*J521/H521,"")</f>
        <v>112.974687476701</v>
      </c>
      <c r="AM521" s="18" t="n">
        <f aca="false">IFERROR(100*L521/J521,"")</f>
        <v>96.1166214322313</v>
      </c>
      <c r="AN521" s="18" t="n">
        <f aca="false">IFERROR(100*M521/J521,"")</f>
        <v>4.16468450929116</v>
      </c>
      <c r="AO521" s="18" t="n">
        <f aca="false">IFERROR(100*N521/J521,"")</f>
        <v>0.0162239008307187</v>
      </c>
    </row>
    <row r="522" customFormat="false" ht="15" hidden="false" customHeight="false" outlineLevel="0" collapsed="false">
      <c r="A522" s="17" t="n">
        <v>24540</v>
      </c>
      <c r="B522" s="23" t="n">
        <v>44926</v>
      </c>
      <c r="C522" s="17" t="s">
        <v>163</v>
      </c>
      <c r="D522" s="17" t="s">
        <v>116</v>
      </c>
      <c r="E522" s="17" t="s">
        <v>114</v>
      </c>
      <c r="F522" s="17" t="n">
        <v>1260196</v>
      </c>
      <c r="G522" s="17" t="n">
        <v>1239909</v>
      </c>
      <c r="H522" s="17" t="n">
        <v>1017970</v>
      </c>
      <c r="I522" s="17" t="n">
        <v>214985</v>
      </c>
      <c r="J522" s="17" t="n">
        <v>1087189</v>
      </c>
      <c r="K522" s="17" t="n">
        <v>1062049.4</v>
      </c>
      <c r="L522" s="17" t="n">
        <v>1047480</v>
      </c>
      <c r="M522" s="17" t="n">
        <v>42837</v>
      </c>
      <c r="N522" s="17" t="n">
        <v>32</v>
      </c>
      <c r="O522" s="17" t="n">
        <v>372</v>
      </c>
      <c r="P522" s="17" t="n">
        <v>2026</v>
      </c>
      <c r="Q522" s="17" t="n">
        <v>0</v>
      </c>
      <c r="R522" s="17" t="n">
        <v>-15</v>
      </c>
      <c r="S522" s="17" t="n">
        <v>0</v>
      </c>
      <c r="T522" s="17" t="n">
        <v>0</v>
      </c>
      <c r="U522" s="17" t="n">
        <v>30366</v>
      </c>
      <c r="V522" s="17" t="n">
        <v>2.4490506964624</v>
      </c>
      <c r="W522" s="17" t="n">
        <v>15.2</v>
      </c>
      <c r="X522" s="17" t="n">
        <v>4.74422673868285</v>
      </c>
      <c r="Y522" s="17" t="n">
        <v>1.21993508028503</v>
      </c>
      <c r="Z522" s="17" t="n">
        <v>0</v>
      </c>
      <c r="AA522" s="17" t="n">
        <v>17.0596478643005</v>
      </c>
      <c r="AB522" s="17"/>
      <c r="AC522" s="17"/>
      <c r="AD522" s="17"/>
      <c r="AE522" s="17"/>
      <c r="AF522" s="17"/>
      <c r="AG522" s="18" t="n">
        <f aca="false">IFERROR(100*O522/F522,"")</f>
        <v>0.0295192176455091</v>
      </c>
      <c r="AH522" s="18" t="n">
        <f aca="false">IFERROR(100*(P522+Q522)/F522,"")</f>
        <v>0.160768642338176</v>
      </c>
      <c r="AI522" s="18" t="n">
        <f aca="false">IFERROR(100*R522/K522,"")</f>
        <v>-0.00141236368101145</v>
      </c>
      <c r="AJ522" s="18" t="str">
        <f aca="false">IF(T522&gt;0,100*S522/T522,"")</f>
        <v/>
      </c>
      <c r="AK522" s="18" t="n">
        <f aca="false">IFERROR(100*U522/G522,"")</f>
        <v>2.4490506964624</v>
      </c>
      <c r="AL522" s="18" t="n">
        <f aca="false">IFERROR(100*J522/H522,"")</f>
        <v>106.799709225223</v>
      </c>
      <c r="AM522" s="18" t="n">
        <f aca="false">IFERROR(100*L522/J522,"")</f>
        <v>96.3475531853247</v>
      </c>
      <c r="AN522" s="18" t="n">
        <f aca="false">IFERROR(100*M522/J522,"")</f>
        <v>3.9401612783058</v>
      </c>
      <c r="AO522" s="18" t="n">
        <f aca="false">IFERROR(100*N522/J522,"")</f>
        <v>0.00294337047192347</v>
      </c>
    </row>
    <row r="523" customFormat="false" ht="15" hidden="false" customHeight="false" outlineLevel="0" collapsed="false">
      <c r="A523" s="17" t="n">
        <v>24540</v>
      </c>
      <c r="B523" s="23" t="n">
        <v>45016</v>
      </c>
      <c r="C523" s="17" t="s">
        <v>163</v>
      </c>
      <c r="D523" s="17" t="s">
        <v>116</v>
      </c>
      <c r="E523" s="17" t="s">
        <v>114</v>
      </c>
      <c r="F523" s="17" t="n">
        <v>1306028</v>
      </c>
      <c r="G523" s="17" t="n">
        <v>1283112</v>
      </c>
      <c r="H523" s="17" t="n">
        <v>1050825</v>
      </c>
      <c r="I523" s="17" t="n">
        <v>223212</v>
      </c>
      <c r="J523" s="17" t="n">
        <v>1134464</v>
      </c>
      <c r="K523" s="17" t="n">
        <v>1110826.5</v>
      </c>
      <c r="L523" s="17" t="n">
        <v>1099219</v>
      </c>
      <c r="M523" s="17" t="n">
        <v>38781</v>
      </c>
      <c r="N523" s="17" t="n">
        <v>84</v>
      </c>
      <c r="O523" s="17" t="n">
        <v>358</v>
      </c>
      <c r="P523" s="17" t="n">
        <v>0</v>
      </c>
      <c r="Q523" s="17" t="n">
        <v>0</v>
      </c>
      <c r="R523" s="17" t="n">
        <v>0</v>
      </c>
      <c r="S523" s="17" t="n">
        <v>0</v>
      </c>
      <c r="T523" s="17" t="n">
        <v>0</v>
      </c>
      <c r="U523" s="17" t="n">
        <v>28476</v>
      </c>
      <c r="V523" s="17" t="n">
        <v>2.21929184669772</v>
      </c>
      <c r="W523" s="17" t="n">
        <v>13</v>
      </c>
      <c r="X523" s="17" t="n">
        <v>5.05140342249484</v>
      </c>
      <c r="Y523" s="17" t="n">
        <v>0.998533228026628</v>
      </c>
      <c r="Z523" s="17" t="n">
        <v>0</v>
      </c>
      <c r="AA523" s="17" t="n">
        <v>17.0909046360415</v>
      </c>
      <c r="AB523" s="17" t="n">
        <v>4.94854738574433</v>
      </c>
      <c r="AC523" s="17" t="n">
        <v>11.1337075459684</v>
      </c>
      <c r="AD523" s="17" t="n">
        <v>0.956217479190524</v>
      </c>
      <c r="AE523" s="17" t="n">
        <v>-0.00920849107483734</v>
      </c>
      <c r="AF523" s="17" t="n">
        <v>-0.0380796323810681</v>
      </c>
      <c r="AG523" s="18" t="n">
        <f aca="false">IFERROR(100*O523/F523,"")</f>
        <v>0.0274113571837664</v>
      </c>
      <c r="AH523" s="18" t="n">
        <f aca="false">IFERROR(100*(P523+Q523)/F523,"")</f>
        <v>0</v>
      </c>
      <c r="AI523" s="18" t="n">
        <f aca="false">IFERROR(100*R523/K523,"")</f>
        <v>0</v>
      </c>
      <c r="AJ523" s="18" t="str">
        <f aca="false">IF(T523&gt;0,100*S523/T523,"")</f>
        <v/>
      </c>
      <c r="AK523" s="18" t="n">
        <f aca="false">IFERROR(100*U523/G523,"")</f>
        <v>2.21929184669772</v>
      </c>
      <c r="AL523" s="18" t="n">
        <f aca="false">IFERROR(100*J523/H523,"")</f>
        <v>107.959365260629</v>
      </c>
      <c r="AM523" s="18" t="n">
        <f aca="false">IFERROR(100*L523/J523,"")</f>
        <v>96.893246502313</v>
      </c>
      <c r="AN523" s="18" t="n">
        <f aca="false">IFERROR(100*M523/J523,"")</f>
        <v>3.41844254202866</v>
      </c>
      <c r="AO523" s="18" t="n">
        <f aca="false">IFERROR(100*N523/J523,"")</f>
        <v>0.00740437775019745</v>
      </c>
    </row>
    <row r="524" customFormat="false" ht="15" hidden="false" customHeight="false" outlineLevel="0" collapsed="false">
      <c r="A524" s="17" t="n">
        <v>24540</v>
      </c>
      <c r="B524" s="23" t="n">
        <v>45107</v>
      </c>
      <c r="C524" s="17" t="s">
        <v>163</v>
      </c>
      <c r="D524" s="17" t="s">
        <v>116</v>
      </c>
      <c r="E524" s="17" t="s">
        <v>114</v>
      </c>
      <c r="F524" s="17" t="n">
        <v>1353335</v>
      </c>
      <c r="G524" s="17" t="n">
        <v>1306519.66666667</v>
      </c>
      <c r="H524" s="17" t="n">
        <v>1091222</v>
      </c>
      <c r="I524" s="17" t="n">
        <v>232110</v>
      </c>
      <c r="J524" s="17" t="n">
        <v>1145876</v>
      </c>
      <c r="K524" s="17" t="n">
        <v>1122509.66666667</v>
      </c>
      <c r="L524" s="17" t="n">
        <v>1109265</v>
      </c>
      <c r="M524" s="17" t="n">
        <v>40277</v>
      </c>
      <c r="N524" s="17" t="n">
        <v>135</v>
      </c>
      <c r="O524" s="17" t="n">
        <v>342</v>
      </c>
      <c r="P524" s="17" t="n">
        <v>118</v>
      </c>
      <c r="Q524" s="17" t="n">
        <v>0</v>
      </c>
      <c r="R524" s="17" t="n">
        <v>0</v>
      </c>
      <c r="S524" s="17" t="n">
        <v>0</v>
      </c>
      <c r="T524" s="17" t="n">
        <v>0</v>
      </c>
      <c r="U524" s="17" t="n">
        <v>33078</v>
      </c>
      <c r="V524" s="17" t="n">
        <v>2.53176441533346</v>
      </c>
      <c r="W524" s="17" t="n">
        <v>14.8</v>
      </c>
      <c r="X524" s="17" t="n">
        <v>5.00438106220581</v>
      </c>
      <c r="Y524" s="17" t="n">
        <v>0.946001137993989</v>
      </c>
      <c r="Z524" s="17" t="n">
        <v>0</v>
      </c>
      <c r="AA524" s="17" t="n">
        <v>17.1509640997979</v>
      </c>
      <c r="AB524" s="17" t="n">
        <v>9.58373347541415</v>
      </c>
      <c r="AC524" s="17" t="n">
        <v>10.0171572369072</v>
      </c>
      <c r="AD524" s="17" t="n">
        <v>8.02531099218535</v>
      </c>
      <c r="AE524" s="17" t="n">
        <v>0.377001179904852</v>
      </c>
      <c r="AF524" s="17" t="n">
        <v>-0.0380500612027132</v>
      </c>
      <c r="AG524" s="18" t="n">
        <f aca="false">IFERROR(100*O524/F524,"")</f>
        <v>0.0252709048387871</v>
      </c>
      <c r="AH524" s="18" t="n">
        <f aca="false">IFERROR(100*(P524+Q524)/F524,"")</f>
        <v>0.00871920108472773</v>
      </c>
      <c r="AI524" s="18" t="n">
        <f aca="false">IFERROR(100*R524/K524,"")</f>
        <v>0</v>
      </c>
      <c r="AJ524" s="18" t="str">
        <f aca="false">IF(T524&gt;0,100*S524/T524,"")</f>
        <v/>
      </c>
      <c r="AK524" s="18" t="n">
        <f aca="false">IFERROR(100*U524/G524,"")</f>
        <v>2.53176441533346</v>
      </c>
      <c r="AL524" s="18" t="n">
        <f aca="false">IFERROR(100*J524/H524,"")</f>
        <v>105.008513391409</v>
      </c>
      <c r="AM524" s="18" t="n">
        <f aca="false">IFERROR(100*L524/J524,"")</f>
        <v>96.8049771528507</v>
      </c>
      <c r="AN524" s="18" t="n">
        <f aca="false">IFERROR(100*M524/J524,"")</f>
        <v>3.51495275230479</v>
      </c>
      <c r="AO524" s="18" t="n">
        <f aca="false">IFERROR(100*N524/J524,"")</f>
        <v>0.0117813794860875</v>
      </c>
    </row>
    <row r="525" customFormat="false" ht="15" hidden="false" customHeight="false" outlineLevel="0" collapsed="false">
      <c r="A525" s="17" t="n">
        <v>24540</v>
      </c>
      <c r="B525" s="23" t="n">
        <v>45199</v>
      </c>
      <c r="C525" s="17" t="s">
        <v>163</v>
      </c>
      <c r="D525" s="17" t="s">
        <v>116</v>
      </c>
      <c r="E525" s="17" t="s">
        <v>114</v>
      </c>
      <c r="F525" s="17" t="n">
        <v>1388131</v>
      </c>
      <c r="G525" s="17" t="n">
        <v>1326922.5</v>
      </c>
      <c r="H525" s="17" t="n">
        <v>1118585</v>
      </c>
      <c r="I525" s="17" t="n">
        <v>238721</v>
      </c>
      <c r="J525" s="17" t="n">
        <v>1197387</v>
      </c>
      <c r="K525" s="17" t="n">
        <v>1141229</v>
      </c>
      <c r="L525" s="17" t="n">
        <v>1160736</v>
      </c>
      <c r="M525" s="17" t="n">
        <v>40839</v>
      </c>
      <c r="N525" s="17" t="n">
        <v>84</v>
      </c>
      <c r="O525" s="17" t="n">
        <v>445</v>
      </c>
      <c r="P525" s="17" t="n">
        <v>0</v>
      </c>
      <c r="Q525" s="17" t="n">
        <v>0</v>
      </c>
      <c r="R525" s="17" t="n">
        <v>0</v>
      </c>
      <c r="S525" s="17" t="n">
        <v>254010</v>
      </c>
      <c r="T525" s="17" t="n">
        <v>1352179</v>
      </c>
      <c r="U525" s="17" t="n">
        <v>31580.5438</v>
      </c>
      <c r="V525" s="17" t="n">
        <v>2.37998404579016</v>
      </c>
      <c r="W525" s="17" t="n">
        <v>13.9</v>
      </c>
      <c r="X525" s="17" t="n">
        <v>4.95855725729659</v>
      </c>
      <c r="Y525" s="17" t="n">
        <v>0.939211800361955</v>
      </c>
      <c r="Z525" s="17" t="n">
        <v>18.7852347950974</v>
      </c>
      <c r="AA525" s="17" t="n">
        <v>17.1972962206017</v>
      </c>
      <c r="AB525" s="17" t="n">
        <v>15.703905971942</v>
      </c>
      <c r="AC525" s="17" t="n">
        <v>9.75303923159205</v>
      </c>
      <c r="AD525" s="17" t="n">
        <v>15.8329605421213</v>
      </c>
      <c r="AE525" s="17" t="n">
        <v>0.100658328980115</v>
      </c>
      <c r="AF525" s="17" t="n">
        <v>-0.0257056479817508</v>
      </c>
      <c r="AG525" s="18" t="n">
        <f aca="false">IFERROR(100*O525/F525,"")</f>
        <v>0.0320574931328527</v>
      </c>
      <c r="AH525" s="18" t="n">
        <f aca="false">IFERROR(100*(P525+Q525)/F525,"")</f>
        <v>0</v>
      </c>
      <c r="AI525" s="18" t="n">
        <f aca="false">IFERROR(100*R525/K525,"")</f>
        <v>0</v>
      </c>
      <c r="AJ525" s="18" t="n">
        <f aca="false">IF(T525&gt;0,100*S525/T525,"")</f>
        <v>18.7852347950974</v>
      </c>
      <c r="AK525" s="18" t="n">
        <f aca="false">IFERROR(100*U525/G525,"")</f>
        <v>2.37998404579017</v>
      </c>
      <c r="AL525" s="18" t="n">
        <f aca="false">IFERROR(100*J525/H525,"")</f>
        <v>107.04479319855</v>
      </c>
      <c r="AM525" s="18" t="n">
        <f aca="false">IFERROR(100*L525/J525,"")</f>
        <v>96.9390848572767</v>
      </c>
      <c r="AN525" s="18" t="n">
        <f aca="false">IFERROR(100*M525/J525,"")</f>
        <v>3.41067674862012</v>
      </c>
      <c r="AO525" s="18" t="n">
        <f aca="false">IFERROR(100*N525/J525,"")</f>
        <v>0.00701527576297388</v>
      </c>
    </row>
    <row r="526" customFormat="false" ht="15" hidden="false" customHeight="false" outlineLevel="0" collapsed="false">
      <c r="A526" s="17" t="n">
        <v>24540</v>
      </c>
      <c r="B526" s="23" t="n">
        <v>45291</v>
      </c>
      <c r="C526" s="17" t="s">
        <v>163</v>
      </c>
      <c r="D526" s="17" t="s">
        <v>116</v>
      </c>
      <c r="E526" s="17" t="s">
        <v>114</v>
      </c>
      <c r="F526" s="17" t="n">
        <v>1381838</v>
      </c>
      <c r="G526" s="17" t="n">
        <v>1337905.6</v>
      </c>
      <c r="H526" s="17" t="n">
        <v>1106164</v>
      </c>
      <c r="I526" s="17" t="n">
        <v>246470</v>
      </c>
      <c r="J526" s="17" t="n">
        <v>1204510</v>
      </c>
      <c r="K526" s="17" t="n">
        <v>1153885.2</v>
      </c>
      <c r="L526" s="17" t="n">
        <v>1166184</v>
      </c>
      <c r="M526" s="17" t="n">
        <v>42620</v>
      </c>
      <c r="N526" s="17" t="n">
        <v>66</v>
      </c>
      <c r="O526" s="17" t="n">
        <v>430</v>
      </c>
      <c r="P526" s="17" t="n">
        <v>21674</v>
      </c>
      <c r="Q526" s="17" t="n">
        <v>0</v>
      </c>
      <c r="R526" s="17" t="n">
        <v>0</v>
      </c>
      <c r="S526" s="17" t="n">
        <v>262917</v>
      </c>
      <c r="T526" s="17" t="n">
        <v>1379036</v>
      </c>
      <c r="U526" s="17" t="n">
        <v>31946</v>
      </c>
      <c r="V526" s="17" t="n">
        <v>2.38776188693731</v>
      </c>
      <c r="W526" s="17" t="n">
        <v>13.82</v>
      </c>
      <c r="X526" s="17" t="n">
        <v>4.94178638574564</v>
      </c>
      <c r="Y526" s="17" t="n">
        <v>0.963960448647168</v>
      </c>
      <c r="Z526" s="17" t="n">
        <v>19.0652745831146</v>
      </c>
      <c r="AA526" s="17" t="n">
        <v>17.8363889254746</v>
      </c>
      <c r="AB526" s="17" t="n">
        <v>9.65262546461028</v>
      </c>
      <c r="AC526" s="17" t="n">
        <v>10.7912239730167</v>
      </c>
      <c r="AD526" s="17" t="n">
        <v>8.66371307602385</v>
      </c>
      <c r="AE526" s="17" t="n">
        <v>-0.0612888095250876</v>
      </c>
      <c r="AF526" s="17" t="n">
        <v>0.00159875710985295</v>
      </c>
      <c r="AG526" s="18" t="n">
        <f aca="false">IFERROR(100*O526/F526,"")</f>
        <v>0.0311179747553621</v>
      </c>
      <c r="AH526" s="18" t="n">
        <f aca="false">IFERROR(100*(P526+Q526)/F526,"")</f>
        <v>1.56849066243655</v>
      </c>
      <c r="AI526" s="18" t="n">
        <f aca="false">IFERROR(100*R526/K526,"")</f>
        <v>0</v>
      </c>
      <c r="AJ526" s="18" t="n">
        <f aca="false">IF(T526&gt;0,100*S526/T526,"")</f>
        <v>19.0652745831146</v>
      </c>
      <c r="AK526" s="18" t="n">
        <f aca="false">IFERROR(100*U526/G526,"")</f>
        <v>2.38776188693731</v>
      </c>
      <c r="AL526" s="18" t="n">
        <f aca="false">IFERROR(100*J526/H526,"")</f>
        <v>108.890725064276</v>
      </c>
      <c r="AM526" s="18" t="n">
        <f aca="false">IFERROR(100*L526/J526,"")</f>
        <v>96.8181252127421</v>
      </c>
      <c r="AN526" s="18" t="n">
        <f aca="false">IFERROR(100*M526/J526,"")</f>
        <v>3.53836829914239</v>
      </c>
      <c r="AO526" s="18" t="n">
        <f aca="false">IFERROR(100*N526/J526,"")</f>
        <v>0.00547940656366489</v>
      </c>
    </row>
    <row r="527" customFormat="false" ht="15" hidden="false" customHeight="false" outlineLevel="0" collapsed="false">
      <c r="A527" s="17" t="n">
        <v>24540</v>
      </c>
      <c r="B527" s="23" t="n">
        <v>45382</v>
      </c>
      <c r="C527" s="17" t="s">
        <v>163</v>
      </c>
      <c r="D527" s="17" t="s">
        <v>116</v>
      </c>
      <c r="E527" s="17" t="s">
        <v>114</v>
      </c>
      <c r="F527" s="17" t="n">
        <v>1433532</v>
      </c>
      <c r="G527" s="17" t="n">
        <v>1407685</v>
      </c>
      <c r="H527" s="17" t="n">
        <v>1156113</v>
      </c>
      <c r="I527" s="17" t="n">
        <v>252599</v>
      </c>
      <c r="J527" s="17" t="n">
        <v>1220007</v>
      </c>
      <c r="K527" s="17" t="n">
        <v>1212258.5</v>
      </c>
      <c r="L527" s="17" t="n">
        <v>1181027</v>
      </c>
      <c r="M527" s="17" t="n">
        <v>42959</v>
      </c>
      <c r="N527" s="17" t="n">
        <v>75</v>
      </c>
      <c r="O527" s="17" t="n">
        <v>30157</v>
      </c>
      <c r="P527" s="17" t="n">
        <v>0</v>
      </c>
      <c r="Q527" s="17" t="n">
        <v>0</v>
      </c>
      <c r="R527" s="17" t="n">
        <v>0</v>
      </c>
      <c r="S527" s="17" t="n">
        <v>269261</v>
      </c>
      <c r="T527" s="17" t="n">
        <v>1423257</v>
      </c>
      <c r="U527" s="17" t="n">
        <v>26620</v>
      </c>
      <c r="V527" s="17" t="n">
        <v>1.89104806828232</v>
      </c>
      <c r="W527" s="17" t="n">
        <v>10.67</v>
      </c>
      <c r="X527" s="17" t="n">
        <v>4.09894292806512</v>
      </c>
      <c r="Y527" s="17" t="n">
        <v>0.952699451724457</v>
      </c>
      <c r="Z527" s="17" t="n">
        <v>18.9186492671387</v>
      </c>
      <c r="AA527" s="17" t="n">
        <v>17.6207437294738</v>
      </c>
      <c r="AB527" s="17" t="n">
        <v>9.76273096748308</v>
      </c>
      <c r="AC527" s="17" t="n">
        <v>7.54038911768025</v>
      </c>
      <c r="AD527" s="17" t="n">
        <v>10.0195560630933</v>
      </c>
      <c r="AE527" s="17" t="n">
        <v>-0.328243778415394</v>
      </c>
      <c r="AF527" s="17" t="n">
        <v>2.07627380645402</v>
      </c>
      <c r="AG527" s="18" t="n">
        <f aca="false">IFERROR(100*O527/F527,"")</f>
        <v>2.10368516363778</v>
      </c>
      <c r="AH527" s="18" t="n">
        <f aca="false">IFERROR(100*(P527+Q527)/F527,"")</f>
        <v>0</v>
      </c>
      <c r="AI527" s="18" t="n">
        <f aca="false">IFERROR(100*R527/K527,"")</f>
        <v>0</v>
      </c>
      <c r="AJ527" s="18" t="n">
        <f aca="false">IF(T527&gt;0,100*S527/T527,"")</f>
        <v>18.9186492671387</v>
      </c>
      <c r="AK527" s="18" t="n">
        <f aca="false">IFERROR(100*U527/G527,"")</f>
        <v>1.89104806828232</v>
      </c>
      <c r="AL527" s="18" t="n">
        <f aca="false">IFERROR(100*J527/H527,"")</f>
        <v>105.526622397638</v>
      </c>
      <c r="AM527" s="18" t="n">
        <f aca="false">IFERROR(100*L527/J527,"")</f>
        <v>96.8049363651192</v>
      </c>
      <c r="AN527" s="18" t="n">
        <f aca="false">IFERROR(100*M527/J527,"")</f>
        <v>3.52120930453678</v>
      </c>
      <c r="AO527" s="18" t="n">
        <f aca="false">IFERROR(100*N527/J527,"")</f>
        <v>0.00614750571103281</v>
      </c>
    </row>
    <row r="528" customFormat="false" ht="15" hidden="false" customHeight="false" outlineLevel="0" collapsed="false">
      <c r="A528" s="17" t="n">
        <v>24540</v>
      </c>
      <c r="B528" s="23" t="n">
        <v>45473</v>
      </c>
      <c r="C528" s="17" t="s">
        <v>163</v>
      </c>
      <c r="D528" s="17" t="s">
        <v>116</v>
      </c>
      <c r="E528" s="17" t="s">
        <v>114</v>
      </c>
      <c r="F528" s="17" t="n">
        <v>1450962</v>
      </c>
      <c r="G528" s="17" t="n">
        <v>1422110.66666667</v>
      </c>
      <c r="H528" s="17" t="n">
        <v>1167579</v>
      </c>
      <c r="I528" s="17" t="n">
        <v>259158</v>
      </c>
      <c r="J528" s="17" t="n">
        <v>1284005</v>
      </c>
      <c r="K528" s="17" t="n">
        <v>1236174</v>
      </c>
      <c r="L528" s="17" t="n">
        <v>1244382</v>
      </c>
      <c r="M528" s="17" t="n">
        <v>43419</v>
      </c>
      <c r="N528" s="17" t="n">
        <v>169</v>
      </c>
      <c r="O528" s="17" t="n">
        <v>30086</v>
      </c>
      <c r="P528" s="17" t="n">
        <v>0</v>
      </c>
      <c r="Q528" s="17" t="n">
        <v>0</v>
      </c>
      <c r="R528" s="17" t="n">
        <v>0</v>
      </c>
      <c r="S528" s="17" t="n">
        <v>276666</v>
      </c>
      <c r="T528" s="17" t="n">
        <v>1485495</v>
      </c>
      <c r="U528" s="17" t="n">
        <v>27484</v>
      </c>
      <c r="V528" s="17" t="n">
        <v>1.93262033990791</v>
      </c>
      <c r="W528" s="17" t="n">
        <v>10.87</v>
      </c>
      <c r="X528" s="17" t="n">
        <v>4.20518977151503</v>
      </c>
      <c r="Y528" s="17" t="n">
        <v>0.976943236202351</v>
      </c>
      <c r="Z528" s="17" t="n">
        <v>18.6244989044056</v>
      </c>
      <c r="AA528" s="17" t="n">
        <v>17.8611155908976</v>
      </c>
      <c r="AB528" s="17" t="n">
        <v>7.2138088499891</v>
      </c>
      <c r="AC528" s="17" t="n">
        <v>12.0544456817317</v>
      </c>
      <c r="AD528" s="17" t="n">
        <v>6.99738458352197</v>
      </c>
      <c r="AE528" s="17" t="n">
        <v>-0.599144075425548</v>
      </c>
      <c r="AF528" s="17" t="n">
        <v>2.04824997303396</v>
      </c>
      <c r="AG528" s="18" t="n">
        <f aca="false">IFERROR(100*O528/F528,"")</f>
        <v>2.07352087787275</v>
      </c>
      <c r="AH528" s="18" t="n">
        <f aca="false">IFERROR(100*(P528+Q528)/F528,"")</f>
        <v>0</v>
      </c>
      <c r="AI528" s="18" t="n">
        <f aca="false">IFERROR(100*R528/K528,"")</f>
        <v>0</v>
      </c>
      <c r="AJ528" s="18" t="n">
        <f aca="false">IF(T528&gt;0,100*S528/T528,"")</f>
        <v>18.6244989044056</v>
      </c>
      <c r="AK528" s="18" t="n">
        <f aca="false">IFERROR(100*U528/G528,"")</f>
        <v>1.93262033990791</v>
      </c>
      <c r="AL528" s="18" t="n">
        <f aca="false">IFERROR(100*J528/H528,"")</f>
        <v>109.971573657971</v>
      </c>
      <c r="AM528" s="18" t="n">
        <f aca="false">IFERROR(100*L528/J528,"")</f>
        <v>96.9141085899198</v>
      </c>
      <c r="AN528" s="18" t="n">
        <f aca="false">IFERROR(100*M528/J528,"")</f>
        <v>3.38152888812738</v>
      </c>
      <c r="AO528" s="18" t="n">
        <f aca="false">IFERROR(100*N528/J528,"")</f>
        <v>0.0131619425158002</v>
      </c>
    </row>
    <row r="529" customFormat="false" ht="15" hidden="false" customHeight="false" outlineLevel="0" collapsed="false">
      <c r="A529" s="17" t="n">
        <v>24540</v>
      </c>
      <c r="B529" s="23" t="n">
        <v>45565</v>
      </c>
      <c r="C529" s="17" t="s">
        <v>163</v>
      </c>
      <c r="D529" s="17" t="s">
        <v>116</v>
      </c>
      <c r="E529" s="17" t="s">
        <v>114</v>
      </c>
      <c r="F529" s="17" t="n">
        <v>1490469</v>
      </c>
      <c r="G529" s="17" t="n">
        <v>1439200.25</v>
      </c>
      <c r="H529" s="17" t="n">
        <v>1197002</v>
      </c>
      <c r="I529" s="17" t="n">
        <v>267573</v>
      </c>
      <c r="J529" s="17" t="n">
        <v>1298136</v>
      </c>
      <c r="K529" s="17" t="n">
        <v>1251664.5</v>
      </c>
      <c r="L529" s="17" t="n">
        <v>1257005</v>
      </c>
      <c r="M529" s="17" t="n">
        <v>45011</v>
      </c>
      <c r="N529" s="17" t="n">
        <v>65</v>
      </c>
      <c r="O529" s="17" t="n">
        <v>22568</v>
      </c>
      <c r="P529" s="17" t="n">
        <v>0</v>
      </c>
      <c r="Q529" s="17" t="n">
        <v>0</v>
      </c>
      <c r="R529" s="17" t="n">
        <v>6.6665</v>
      </c>
      <c r="S529" s="17" t="n">
        <v>284536</v>
      </c>
      <c r="T529" s="17" t="n">
        <v>1493792</v>
      </c>
      <c r="U529" s="17" t="n">
        <v>30188.5786</v>
      </c>
      <c r="V529" s="17" t="n">
        <v>2.09759403529842</v>
      </c>
      <c r="W529" s="17" t="n">
        <v>11.77</v>
      </c>
      <c r="X529" s="17" t="n">
        <v>4.3092921578505</v>
      </c>
      <c r="Y529" s="17" t="n">
        <v>0.96353540769226</v>
      </c>
      <c r="Z529" s="17" t="n">
        <v>19.0478995737024</v>
      </c>
      <c r="AA529" s="17" t="n">
        <v>17.9522687154178</v>
      </c>
      <c r="AB529" s="17" t="n">
        <v>7.37235894883119</v>
      </c>
      <c r="AC529" s="17" t="n">
        <v>8.41407164099828</v>
      </c>
      <c r="AD529" s="17" t="n">
        <v>7.01037471448303</v>
      </c>
      <c r="AE529" s="17" t="n">
        <v>-0.282390010491741</v>
      </c>
      <c r="AF529" s="17" t="n">
        <v>1.48209677642928</v>
      </c>
      <c r="AG529" s="18" t="n">
        <f aca="false">IFERROR(100*O529/F529,"")</f>
        <v>1.51415426956213</v>
      </c>
      <c r="AH529" s="18" t="n">
        <f aca="false">IFERROR(100*(P529+Q529)/F529,"")</f>
        <v>0</v>
      </c>
      <c r="AI529" s="18" t="n">
        <f aca="false">IFERROR(100*R529/K529,"")</f>
        <v>0.000532610775491356</v>
      </c>
      <c r="AJ529" s="18" t="n">
        <f aca="false">IF(T529&gt;0,100*S529/T529,"")</f>
        <v>19.0478995737024</v>
      </c>
      <c r="AK529" s="18" t="n">
        <f aca="false">IFERROR(100*U529/G529,"")</f>
        <v>2.09759403529842</v>
      </c>
      <c r="AL529" s="18" t="n">
        <f aca="false">IFERROR(100*J529/H529,"")</f>
        <v>108.448941605778</v>
      </c>
      <c r="AM529" s="18" t="n">
        <f aca="false">IFERROR(100*L529/J529,"")</f>
        <v>96.8315338300455</v>
      </c>
      <c r="AN529" s="18" t="n">
        <f aca="false">IFERROR(100*M529/J529,"")</f>
        <v>3.46735627083757</v>
      </c>
      <c r="AO529" s="18" t="n">
        <f aca="false">IFERROR(100*N529/J529,"")</f>
        <v>0.00500717952510369</v>
      </c>
    </row>
    <row r="530" customFormat="false" ht="15" hidden="false" customHeight="false" outlineLevel="0" collapsed="false">
      <c r="A530" s="17" t="n">
        <v>24540</v>
      </c>
      <c r="B530" s="23" t="n">
        <v>45657</v>
      </c>
      <c r="C530" s="17" t="s">
        <v>163</v>
      </c>
      <c r="D530" s="17" t="s">
        <v>116</v>
      </c>
      <c r="E530" s="17" t="s">
        <v>114</v>
      </c>
      <c r="F530" s="17" t="n">
        <v>1527088</v>
      </c>
      <c r="G530" s="17" t="n">
        <v>1456777.8</v>
      </c>
      <c r="H530" s="17" t="n">
        <v>1227168</v>
      </c>
      <c r="I530" s="17" t="n">
        <v>276022</v>
      </c>
      <c r="J530" s="17" t="n">
        <v>1371569</v>
      </c>
      <c r="K530" s="17" t="n">
        <v>1275645.4</v>
      </c>
      <c r="L530" s="17" t="n">
        <v>1331608</v>
      </c>
      <c r="M530" s="17" t="n">
        <v>43779</v>
      </c>
      <c r="N530" s="17" t="n">
        <v>170</v>
      </c>
      <c r="O530" s="17" t="n">
        <v>28862</v>
      </c>
      <c r="P530" s="17" t="n">
        <v>0</v>
      </c>
      <c r="Q530" s="17" t="n">
        <v>0</v>
      </c>
      <c r="R530" s="17" t="n">
        <v>5</v>
      </c>
      <c r="S530" s="17" t="n">
        <v>293571</v>
      </c>
      <c r="T530" s="17" t="n">
        <v>1570800</v>
      </c>
      <c r="U530" s="17" t="n">
        <v>31578</v>
      </c>
      <c r="V530" s="17" t="n">
        <v>2.16766070982136</v>
      </c>
      <c r="W530" s="17" t="n">
        <v>12.13</v>
      </c>
      <c r="X530" s="17" t="n">
        <v>4.31804434798762</v>
      </c>
      <c r="Y530" s="17" t="n">
        <v>0.968015462583363</v>
      </c>
      <c r="Z530" s="17" t="n">
        <v>18.6892666157372</v>
      </c>
      <c r="AA530" s="17" t="n">
        <v>18.0750552685896</v>
      </c>
      <c r="AB530" s="17" t="n">
        <v>10.5113624028287</v>
      </c>
      <c r="AC530" s="17" t="n">
        <v>13.8694572896863</v>
      </c>
      <c r="AD530" s="17" t="n">
        <v>10.939065093422</v>
      </c>
      <c r="AE530" s="17" t="n">
        <v>-0.220101177115954</v>
      </c>
      <c r="AF530" s="17" t="n">
        <v>1.85888443505992</v>
      </c>
      <c r="AG530" s="18" t="n">
        <f aca="false">IFERROR(100*O530/F530,"")</f>
        <v>1.89000240981528</v>
      </c>
      <c r="AH530" s="18" t="n">
        <f aca="false">IFERROR(100*(P530+Q530)/F530,"")</f>
        <v>0</v>
      </c>
      <c r="AI530" s="18" t="n">
        <f aca="false">IFERROR(100*R530/K530,"")</f>
        <v>0.000391958454912313</v>
      </c>
      <c r="AJ530" s="18" t="n">
        <f aca="false">IF(T530&gt;0,100*S530/T530,"")</f>
        <v>18.6892666157372</v>
      </c>
      <c r="AK530" s="18" t="n">
        <f aca="false">IFERROR(100*U530/G530,"")</f>
        <v>2.16766070982136</v>
      </c>
      <c r="AL530" s="18" t="n">
        <f aca="false">IFERROR(100*J530/H530,"")</f>
        <v>111.767011525724</v>
      </c>
      <c r="AM530" s="18" t="n">
        <f aca="false">IFERROR(100*L530/J530,"")</f>
        <v>97.086475416111</v>
      </c>
      <c r="AN530" s="18" t="n">
        <f aca="false">IFERROR(100*M530/J530,"")</f>
        <v>3.1918919135676</v>
      </c>
      <c r="AO530" s="18" t="n">
        <f aca="false">IFERROR(100*N530/J530,"")</f>
        <v>0.0123945641816052</v>
      </c>
    </row>
    <row r="531" customFormat="false" ht="15" hidden="false" customHeight="false" outlineLevel="0" collapsed="false">
      <c r="A531" s="17" t="n">
        <v>24540</v>
      </c>
      <c r="B531" s="23" t="n">
        <v>45747</v>
      </c>
      <c r="C531" s="17" t="s">
        <v>163</v>
      </c>
      <c r="D531" s="17" t="s">
        <v>116</v>
      </c>
      <c r="E531" s="17" t="s">
        <v>114</v>
      </c>
      <c r="F531" s="17" t="n">
        <v>1688107</v>
      </c>
      <c r="G531" s="17" t="n">
        <v>1607597.5</v>
      </c>
      <c r="H531" s="17" t="n">
        <v>1385459</v>
      </c>
      <c r="I531" s="17" t="n">
        <v>273377</v>
      </c>
      <c r="J531" s="17" t="n">
        <v>1460291</v>
      </c>
      <c r="K531" s="17" t="n">
        <v>1415930</v>
      </c>
      <c r="L531" s="17" t="n">
        <v>1421528</v>
      </c>
      <c r="M531" s="17" t="n">
        <v>42943</v>
      </c>
      <c r="N531" s="17" t="n">
        <v>38</v>
      </c>
      <c r="O531" s="17" t="n">
        <v>11794</v>
      </c>
      <c r="P531" s="17" t="n">
        <v>0</v>
      </c>
      <c r="Q531" s="17" t="n">
        <v>0</v>
      </c>
      <c r="R531" s="17" t="n">
        <v>0</v>
      </c>
      <c r="S531" s="17" t="n">
        <v>0</v>
      </c>
      <c r="T531" s="17" t="n">
        <v>0</v>
      </c>
      <c r="U531" s="17" t="n">
        <v>31300</v>
      </c>
      <c r="V531" s="17" t="n">
        <v>1.94700476953964</v>
      </c>
      <c r="W531" s="17" t="n">
        <v>11.39</v>
      </c>
      <c r="X531" s="17" t="n">
        <v>4.21829211286827</v>
      </c>
      <c r="Y531" s="17" t="n">
        <v>0.995144118535278</v>
      </c>
      <c r="Z531" s="17" t="n">
        <v>0</v>
      </c>
      <c r="AA531" s="17" t="n">
        <v>16.194293371214</v>
      </c>
      <c r="AB531" s="17" t="n">
        <v>17.7585850891365</v>
      </c>
      <c r="AC531" s="17" t="n">
        <v>19.6952968302641</v>
      </c>
      <c r="AD531" s="17" t="n">
        <v>19.8376802267599</v>
      </c>
      <c r="AE531" s="17" t="n">
        <v>0.0559567012573172</v>
      </c>
      <c r="AF531" s="17" t="n">
        <v>-1.40503276778847</v>
      </c>
      <c r="AG531" s="18" t="n">
        <f aca="false">IFERROR(100*O531/F531,"")</f>
        <v>0.698652395849315</v>
      </c>
      <c r="AH531" s="18" t="n">
        <f aca="false">IFERROR(100*(P531+Q531)/F531,"")</f>
        <v>0</v>
      </c>
      <c r="AI531" s="18" t="n">
        <f aca="false">IFERROR(100*R531/K531,"")</f>
        <v>0</v>
      </c>
      <c r="AJ531" s="18" t="str">
        <f aca="false">IF(T531&gt;0,100*S531/T531,"")</f>
        <v/>
      </c>
      <c r="AK531" s="18" t="n">
        <f aca="false">IFERROR(100*U531/G531,"")</f>
        <v>1.94700476953964</v>
      </c>
      <c r="AL531" s="18" t="n">
        <f aca="false">IFERROR(100*J531/H531,"")</f>
        <v>105.40124247632</v>
      </c>
      <c r="AM531" s="18" t="n">
        <f aca="false">IFERROR(100*L531/J531,"")</f>
        <v>97.345529076054</v>
      </c>
      <c r="AN531" s="18" t="n">
        <f aca="false">IFERROR(100*M531/J531,"")</f>
        <v>2.94071524100333</v>
      </c>
      <c r="AO531" s="18" t="n">
        <f aca="false">IFERROR(100*N531/J531,"")</f>
        <v>0.00260222106415776</v>
      </c>
    </row>
    <row r="532" customFormat="false" ht="15" hidden="false" customHeight="false" outlineLevel="0" collapsed="false">
      <c r="A532" s="17" t="n">
        <v>24540</v>
      </c>
      <c r="B532" s="23" t="n">
        <v>45838</v>
      </c>
      <c r="C532" s="17" t="s">
        <v>163</v>
      </c>
      <c r="D532" s="17" t="s">
        <v>116</v>
      </c>
      <c r="E532" s="17" t="s">
        <v>114</v>
      </c>
      <c r="F532" s="17" t="n">
        <v>1748522</v>
      </c>
      <c r="G532" s="17" t="n">
        <v>1654572.33333333</v>
      </c>
      <c r="H532" s="17" t="n">
        <v>1440031</v>
      </c>
      <c r="I532" s="17" t="n">
        <v>282051</v>
      </c>
      <c r="J532" s="17" t="n">
        <v>1549557</v>
      </c>
      <c r="K532" s="17" t="n">
        <v>1460472.33333333</v>
      </c>
      <c r="L532" s="17" t="n">
        <v>1506054</v>
      </c>
      <c r="M532" s="17" t="n">
        <v>47445</v>
      </c>
      <c r="N532" s="17" t="n">
        <v>126</v>
      </c>
      <c r="O532" s="17" t="n">
        <v>11424</v>
      </c>
      <c r="P532" s="17" t="n">
        <v>0</v>
      </c>
      <c r="Q532" s="17" t="n">
        <v>0</v>
      </c>
      <c r="R532" s="17" t="n">
        <v>0</v>
      </c>
      <c r="S532" s="17" t="n">
        <v>0</v>
      </c>
      <c r="T532" s="17" t="n">
        <v>0</v>
      </c>
      <c r="U532" s="17" t="n">
        <v>33948</v>
      </c>
      <c r="V532" s="17" t="n">
        <v>2.05176886595267</v>
      </c>
      <c r="W532" s="17" t="n">
        <v>12.25</v>
      </c>
      <c r="X532" s="17" t="n">
        <v>4.28649738721819</v>
      </c>
      <c r="Y532" s="17" t="n">
        <v>1.00402889341922</v>
      </c>
      <c r="Z532" s="17" t="n">
        <v>0</v>
      </c>
      <c r="AA532" s="17" t="n">
        <v>16.1308236327596</v>
      </c>
      <c r="AB532" s="17" t="n">
        <v>20.5077734633988</v>
      </c>
      <c r="AC532" s="17" t="n">
        <v>20.6815394021051</v>
      </c>
      <c r="AD532" s="17" t="n">
        <v>23.3347807728642</v>
      </c>
      <c r="AE532" s="17" t="n">
        <v>0.119148526044761</v>
      </c>
      <c r="AF532" s="17" t="n">
        <v>-1.42016907560775</v>
      </c>
      <c r="AG532" s="18" t="n">
        <f aca="false">IFERROR(100*O532/F532,"")</f>
        <v>0.653351802264999</v>
      </c>
      <c r="AH532" s="18" t="n">
        <f aca="false">IFERROR(100*(P532+Q532)/F532,"")</f>
        <v>0</v>
      </c>
      <c r="AI532" s="18" t="n">
        <f aca="false">IFERROR(100*R532/K532,"")</f>
        <v>0</v>
      </c>
      <c r="AJ532" s="18" t="str">
        <f aca="false">IF(T532&gt;0,100*S532/T532,"")</f>
        <v/>
      </c>
      <c r="AK532" s="18" t="n">
        <f aca="false">IFERROR(100*U532/G532,"")</f>
        <v>2.05176886595267</v>
      </c>
      <c r="AL532" s="18" t="n">
        <f aca="false">IFERROR(100*J532/H532,"")</f>
        <v>107.605808486067</v>
      </c>
      <c r="AM532" s="18" t="n">
        <f aca="false">IFERROR(100*L532/J532,"")</f>
        <v>97.1925524520879</v>
      </c>
      <c r="AN532" s="18" t="n">
        <f aca="false">IFERROR(100*M532/J532,"")</f>
        <v>3.06184283637194</v>
      </c>
      <c r="AO532" s="18" t="n">
        <f aca="false">IFERROR(100*N532/J532,"")</f>
        <v>0.00813135625214174</v>
      </c>
    </row>
    <row r="533" customFormat="false" ht="15" hidden="false" customHeight="false" outlineLevel="0" collapsed="false">
      <c r="A533" s="17" t="n">
        <v>27824</v>
      </c>
      <c r="B533" s="23" t="n">
        <v>44651</v>
      </c>
      <c r="C533" s="17" t="s">
        <v>117</v>
      </c>
      <c r="D533" s="17" t="s">
        <v>116</v>
      </c>
      <c r="E533" s="17" t="s">
        <v>118</v>
      </c>
      <c r="F533" s="17" t="n">
        <v>458925</v>
      </c>
      <c r="G533" s="17" t="n">
        <v>452071</v>
      </c>
      <c r="H533" s="17" t="n">
        <v>369032</v>
      </c>
      <c r="I533" s="17" t="n">
        <v>69307</v>
      </c>
      <c r="J533" s="17" t="n">
        <v>364112</v>
      </c>
      <c r="K533" s="17" t="n">
        <v>356519</v>
      </c>
      <c r="L533" s="17" t="n">
        <v>321326</v>
      </c>
      <c r="M533" s="17" t="n">
        <v>22180</v>
      </c>
      <c r="N533" s="17" t="n">
        <v>20605</v>
      </c>
      <c r="O533" s="17" t="n">
        <v>916</v>
      </c>
      <c r="P533" s="17" t="n">
        <v>408</v>
      </c>
      <c r="Q533" s="17" t="n">
        <v>0</v>
      </c>
      <c r="R533" s="17" t="n">
        <v>0</v>
      </c>
      <c r="S533" s="17" t="n">
        <v>74249</v>
      </c>
      <c r="T533" s="17" t="n">
        <v>286201</v>
      </c>
      <c r="U533" s="17" t="n">
        <v>1204</v>
      </c>
      <c r="V533" s="17" t="n">
        <v>0.26632984641793</v>
      </c>
      <c r="W533" s="17" t="n">
        <v>1.72</v>
      </c>
      <c r="X533" s="17" t="n">
        <v>2.87084618829471</v>
      </c>
      <c r="Y533" s="17" t="n">
        <v>0.843147163510129</v>
      </c>
      <c r="Z533" s="17" t="n">
        <v>25.9429561741573</v>
      </c>
      <c r="AA533" s="17" t="n">
        <v>15.1020319224274</v>
      </c>
      <c r="AB533" s="17"/>
      <c r="AC533" s="17"/>
      <c r="AD533" s="17"/>
      <c r="AE533" s="17"/>
      <c r="AF533" s="17"/>
      <c r="AG533" s="18" t="n">
        <f aca="false">IFERROR(100*O533/F533,"")</f>
        <v>0.199596884022444</v>
      </c>
      <c r="AH533" s="18" t="n">
        <f aca="false">IFERROR(100*(P533+Q533)/F533,"")</f>
        <v>0.0889034155907828</v>
      </c>
      <c r="AI533" s="18" t="n">
        <f aca="false">IFERROR(100*R533/K533,"")</f>
        <v>0</v>
      </c>
      <c r="AJ533" s="18" t="n">
        <f aca="false">IF(T533&gt;0,100*S533/T533,"")</f>
        <v>25.9429561741573</v>
      </c>
      <c r="AK533" s="18" t="n">
        <f aca="false">IFERROR(100*U533/G533,"")</f>
        <v>0.26632984641793</v>
      </c>
      <c r="AL533" s="18" t="n">
        <f aca="false">IFERROR(100*J533/H533,"")</f>
        <v>98.6667822844631</v>
      </c>
      <c r="AM533" s="18" t="n">
        <f aca="false">IFERROR(100*L533/J533,"")</f>
        <v>88.2492200202136</v>
      </c>
      <c r="AN533" s="18" t="n">
        <f aca="false">IFERROR(100*M533/J533,"")</f>
        <v>6.09153227578328</v>
      </c>
      <c r="AO533" s="18" t="n">
        <f aca="false">IFERROR(100*N533/J533,"")</f>
        <v>5.65897306323329</v>
      </c>
    </row>
    <row r="534" customFormat="false" ht="15" hidden="false" customHeight="false" outlineLevel="0" collapsed="false">
      <c r="A534" s="17" t="n">
        <v>27824</v>
      </c>
      <c r="B534" s="23" t="n">
        <v>44742</v>
      </c>
      <c r="C534" s="17" t="s">
        <v>117</v>
      </c>
      <c r="D534" s="17" t="s">
        <v>116</v>
      </c>
      <c r="E534" s="17" t="s">
        <v>118</v>
      </c>
      <c r="F534" s="17" t="n">
        <v>469898</v>
      </c>
      <c r="G534" s="17" t="n">
        <v>458013.333333333</v>
      </c>
      <c r="H534" s="17" t="n">
        <v>371733</v>
      </c>
      <c r="I534" s="17" t="n">
        <v>67598</v>
      </c>
      <c r="J534" s="17" t="n">
        <v>379937</v>
      </c>
      <c r="K534" s="17" t="n">
        <v>364325</v>
      </c>
      <c r="L534" s="17" t="n">
        <v>328679</v>
      </c>
      <c r="M534" s="17" t="n">
        <v>22410</v>
      </c>
      <c r="N534" s="17" t="n">
        <v>28849</v>
      </c>
      <c r="O534" s="17" t="n">
        <v>861</v>
      </c>
      <c r="P534" s="17" t="n">
        <v>848</v>
      </c>
      <c r="Q534" s="17" t="n">
        <v>0</v>
      </c>
      <c r="R534" s="17" t="n">
        <v>0</v>
      </c>
      <c r="S534" s="17" t="n">
        <v>74825</v>
      </c>
      <c r="T534" s="17" t="n">
        <v>303453</v>
      </c>
      <c r="U534" s="17" t="n">
        <v>1754</v>
      </c>
      <c r="V534" s="17" t="n">
        <v>0.382958283601642</v>
      </c>
      <c r="W534" s="17" t="n">
        <v>2.53</v>
      </c>
      <c r="X534" s="17" t="n">
        <v>2.9356123296964</v>
      </c>
      <c r="Y534" s="17" t="n">
        <v>0.808028699494916</v>
      </c>
      <c r="Z534" s="17" t="n">
        <v>24.6578547583975</v>
      </c>
      <c r="AA534" s="17" t="n">
        <v>14.3856751890836</v>
      </c>
      <c r="AB534" s="17"/>
      <c r="AC534" s="17"/>
      <c r="AD534" s="17"/>
      <c r="AE534" s="17"/>
      <c r="AF534" s="17"/>
      <c r="AG534" s="18" t="n">
        <f aca="false">IFERROR(100*O534/F534,"")</f>
        <v>0.183231254442453</v>
      </c>
      <c r="AH534" s="18" t="n">
        <f aca="false">IFERROR(100*(P534+Q534)/F534,"")</f>
        <v>0.180464696593729</v>
      </c>
      <c r="AI534" s="18" t="n">
        <f aca="false">IFERROR(100*R534/K534,"")</f>
        <v>0</v>
      </c>
      <c r="AJ534" s="18" t="n">
        <f aca="false">IF(T534&gt;0,100*S534/T534,"")</f>
        <v>24.6578547583975</v>
      </c>
      <c r="AK534" s="18" t="n">
        <f aca="false">IFERROR(100*U534/G534,"")</f>
        <v>0.382958283601642</v>
      </c>
      <c r="AL534" s="18" t="n">
        <f aca="false">IFERROR(100*J534/H534,"")</f>
        <v>102.206960372095</v>
      </c>
      <c r="AM534" s="18" t="n">
        <f aca="false">IFERROR(100*L534/J534,"")</f>
        <v>86.5088159352735</v>
      </c>
      <c r="AN534" s="18" t="n">
        <f aca="false">IFERROR(100*M534/J534,"")</f>
        <v>5.89834630478211</v>
      </c>
      <c r="AO534" s="18" t="n">
        <f aca="false">IFERROR(100*N534/J534,"")</f>
        <v>7.59310096147519</v>
      </c>
    </row>
    <row r="535" customFormat="false" ht="15" hidden="false" customHeight="false" outlineLevel="0" collapsed="false">
      <c r="A535" s="17" t="n">
        <v>27824</v>
      </c>
      <c r="B535" s="23" t="n">
        <v>44834</v>
      </c>
      <c r="C535" s="17" t="s">
        <v>117</v>
      </c>
      <c r="D535" s="17" t="s">
        <v>116</v>
      </c>
      <c r="E535" s="17" t="s">
        <v>118</v>
      </c>
      <c r="F535" s="17" t="n">
        <v>478442</v>
      </c>
      <c r="G535" s="17" t="n">
        <v>463120.5</v>
      </c>
      <c r="H535" s="17" t="n">
        <v>398401</v>
      </c>
      <c r="I535" s="17" t="n">
        <v>66369</v>
      </c>
      <c r="J535" s="17" t="n">
        <v>389229</v>
      </c>
      <c r="K535" s="17" t="n">
        <v>370551</v>
      </c>
      <c r="L535" s="17" t="n">
        <v>332914</v>
      </c>
      <c r="M535" s="17" t="n">
        <v>21793</v>
      </c>
      <c r="N535" s="17" t="n">
        <v>34521</v>
      </c>
      <c r="O535" s="17" t="n">
        <v>1040</v>
      </c>
      <c r="P535" s="17" t="n">
        <v>773</v>
      </c>
      <c r="Q535" s="17" t="n">
        <v>0</v>
      </c>
      <c r="R535" s="17" t="n">
        <v>0</v>
      </c>
      <c r="S535" s="17" t="n">
        <v>75150</v>
      </c>
      <c r="T535" s="17" t="n">
        <v>312423</v>
      </c>
      <c r="U535" s="17" t="n">
        <v>1466.63</v>
      </c>
      <c r="V535" s="17" t="n">
        <v>0.316684318660046</v>
      </c>
      <c r="W535" s="17" t="n">
        <v>2.14</v>
      </c>
      <c r="X535" s="17" t="n">
        <v>2.90969614533436</v>
      </c>
      <c r="Y535" s="17" t="n">
        <v>0.81494441575525</v>
      </c>
      <c r="Z535" s="17" t="n">
        <v>24.0539268875851</v>
      </c>
      <c r="AA535" s="17" t="n">
        <v>13.8719008782674</v>
      </c>
      <c r="AB535" s="17"/>
      <c r="AC535" s="17"/>
      <c r="AD535" s="17"/>
      <c r="AE535" s="17"/>
      <c r="AF535" s="17"/>
      <c r="AG535" s="18" t="n">
        <f aca="false">IFERROR(100*O535/F535,"")</f>
        <v>0.217372220666246</v>
      </c>
      <c r="AH535" s="18" t="n">
        <f aca="false">IFERROR(100*(P535+Q535)/F535,"")</f>
        <v>0.1615660832452</v>
      </c>
      <c r="AI535" s="18" t="n">
        <f aca="false">IFERROR(100*R535/K535,"")</f>
        <v>0</v>
      </c>
      <c r="AJ535" s="18" t="n">
        <f aca="false">IF(T535&gt;0,100*S535/T535,"")</f>
        <v>24.0539268875851</v>
      </c>
      <c r="AK535" s="18" t="n">
        <f aca="false">IFERROR(100*U535/G535,"")</f>
        <v>0.316684318660046</v>
      </c>
      <c r="AL535" s="18" t="n">
        <f aca="false">IFERROR(100*J535/H535,"")</f>
        <v>97.6977969432808</v>
      </c>
      <c r="AM535" s="18" t="n">
        <f aca="false">IFERROR(100*L535/J535,"")</f>
        <v>85.531653602378</v>
      </c>
      <c r="AN535" s="18" t="n">
        <f aca="false">IFERROR(100*M535/J535,"")</f>
        <v>5.59901754494141</v>
      </c>
      <c r="AO535" s="18" t="n">
        <f aca="false">IFERROR(100*N535/J535,"")</f>
        <v>8.8690719345167</v>
      </c>
    </row>
    <row r="536" customFormat="false" ht="15" hidden="false" customHeight="false" outlineLevel="0" collapsed="false">
      <c r="A536" s="17" t="n">
        <v>27824</v>
      </c>
      <c r="B536" s="23" t="n">
        <v>44926</v>
      </c>
      <c r="C536" s="17" t="s">
        <v>117</v>
      </c>
      <c r="D536" s="17" t="s">
        <v>116</v>
      </c>
      <c r="E536" s="17" t="s">
        <v>118</v>
      </c>
      <c r="F536" s="17" t="n">
        <v>487232</v>
      </c>
      <c r="G536" s="17" t="n">
        <v>467942.8</v>
      </c>
      <c r="H536" s="17" t="n">
        <v>385881</v>
      </c>
      <c r="I536" s="17" t="n">
        <v>66059</v>
      </c>
      <c r="J536" s="17" t="n">
        <v>403625</v>
      </c>
      <c r="K536" s="17" t="n">
        <v>377165.8</v>
      </c>
      <c r="L536" s="17" t="n">
        <v>342567</v>
      </c>
      <c r="M536" s="17" t="n">
        <v>21116</v>
      </c>
      <c r="N536" s="17" t="n">
        <v>39942</v>
      </c>
      <c r="O536" s="17" t="n">
        <v>881</v>
      </c>
      <c r="P536" s="17" t="n">
        <v>967</v>
      </c>
      <c r="Q536" s="17" t="n">
        <v>0</v>
      </c>
      <c r="R536" s="17" t="n">
        <v>58</v>
      </c>
      <c r="S536" s="17" t="n">
        <v>75143</v>
      </c>
      <c r="T536" s="17" t="n">
        <v>325336</v>
      </c>
      <c r="U536" s="17" t="n">
        <v>1150</v>
      </c>
      <c r="V536" s="17" t="n">
        <v>0.24575653263604</v>
      </c>
      <c r="W536" s="17" t="n">
        <v>1.69</v>
      </c>
      <c r="X536" s="17" t="n">
        <v>2.83552534330862</v>
      </c>
      <c r="Y536" s="17" t="n">
        <v>0.771508206875194</v>
      </c>
      <c r="Z536" s="17" t="n">
        <v>23.0970442865222</v>
      </c>
      <c r="AA536" s="17" t="n">
        <v>13.558017535794</v>
      </c>
      <c r="AB536" s="17"/>
      <c r="AC536" s="17"/>
      <c r="AD536" s="17"/>
      <c r="AE536" s="17"/>
      <c r="AF536" s="17"/>
      <c r="AG536" s="18" t="n">
        <f aca="false">IFERROR(100*O536/F536,"")</f>
        <v>0.180817351898069</v>
      </c>
      <c r="AH536" s="18" t="n">
        <f aca="false">IFERROR(100*(P536+Q536)/F536,"")</f>
        <v>0.198468080914226</v>
      </c>
      <c r="AI536" s="18" t="n">
        <f aca="false">IFERROR(100*R536/K536,"")</f>
        <v>0.0153778523927673</v>
      </c>
      <c r="AJ536" s="18" t="n">
        <f aca="false">IF(T536&gt;0,100*S536/T536,"")</f>
        <v>23.0970442865222</v>
      </c>
      <c r="AK536" s="18" t="n">
        <f aca="false">IFERROR(100*U536/G536,"")</f>
        <v>0.24575653263604</v>
      </c>
      <c r="AL536" s="18" t="n">
        <f aca="false">IFERROR(100*J536/H536,"")</f>
        <v>104.598308805046</v>
      </c>
      <c r="AM536" s="18" t="n">
        <f aca="false">IFERROR(100*L536/J536,"")</f>
        <v>84.8725921337876</v>
      </c>
      <c r="AN536" s="18" t="n">
        <f aca="false">IFERROR(100*M536/J536,"")</f>
        <v>5.23158872716011</v>
      </c>
      <c r="AO536" s="18" t="n">
        <f aca="false">IFERROR(100*N536/J536,"")</f>
        <v>9.89581913905234</v>
      </c>
    </row>
    <row r="537" customFormat="false" ht="15" hidden="false" customHeight="false" outlineLevel="0" collapsed="false">
      <c r="A537" s="17" t="n">
        <v>27824</v>
      </c>
      <c r="B537" s="23" t="n">
        <v>45016</v>
      </c>
      <c r="C537" s="17" t="s">
        <v>117</v>
      </c>
      <c r="D537" s="17" t="s">
        <v>116</v>
      </c>
      <c r="E537" s="17" t="s">
        <v>118</v>
      </c>
      <c r="F537" s="17" t="n">
        <v>495672</v>
      </c>
      <c r="G537" s="17" t="n">
        <v>491452</v>
      </c>
      <c r="H537" s="17" t="n">
        <v>388458</v>
      </c>
      <c r="I537" s="17" t="n">
        <v>66508</v>
      </c>
      <c r="J537" s="17" t="n">
        <v>409171</v>
      </c>
      <c r="K537" s="17" t="n">
        <v>406398</v>
      </c>
      <c r="L537" s="17" t="n">
        <v>347963</v>
      </c>
      <c r="M537" s="17" t="n">
        <v>20795</v>
      </c>
      <c r="N537" s="17" t="n">
        <v>40413</v>
      </c>
      <c r="O537" s="17" t="n">
        <v>1218</v>
      </c>
      <c r="P537" s="17" t="n">
        <v>948</v>
      </c>
      <c r="Q537" s="17" t="n">
        <v>0</v>
      </c>
      <c r="R537" s="17" t="n">
        <v>196</v>
      </c>
      <c r="S537" s="17" t="n">
        <v>74844</v>
      </c>
      <c r="T537" s="17" t="n">
        <v>324641</v>
      </c>
      <c r="U537" s="17" t="n">
        <v>-1004</v>
      </c>
      <c r="V537" s="17" t="n">
        <v>-0.20429258605113</v>
      </c>
      <c r="W537" s="17" t="n">
        <v>-1.51</v>
      </c>
      <c r="X537" s="17" t="n">
        <v>2.10264237732131</v>
      </c>
      <c r="Y537" s="17" t="n">
        <v>0.749319966468787</v>
      </c>
      <c r="Z537" s="17" t="n">
        <v>23.0543893100379</v>
      </c>
      <c r="AA537" s="17" t="n">
        <v>13.4177439919947</v>
      </c>
      <c r="AB537" s="17" t="n">
        <v>8.0071907174375</v>
      </c>
      <c r="AC537" s="17" t="n">
        <v>12.3750384497078</v>
      </c>
      <c r="AD537" s="17" t="n">
        <v>5.26404214268681</v>
      </c>
      <c r="AE537" s="17" t="n">
        <v>-0.47062243246906</v>
      </c>
      <c r="AF537" s="17" t="n">
        <v>0.0461301290022984</v>
      </c>
      <c r="AG537" s="18" t="n">
        <f aca="false">IFERROR(100*O537/F537,"")</f>
        <v>0.245727013024742</v>
      </c>
      <c r="AH537" s="18" t="n">
        <f aca="false">IFERROR(100*(P537+Q537)/F537,"")</f>
        <v>0.19125550767443</v>
      </c>
      <c r="AI537" s="18" t="n">
        <f aca="false">IFERROR(100*R537/K537,"")</f>
        <v>0.0482285838020856</v>
      </c>
      <c r="AJ537" s="18" t="n">
        <f aca="false">IF(T537&gt;0,100*S537/T537,"")</f>
        <v>23.0543893100379</v>
      </c>
      <c r="AK537" s="18" t="n">
        <f aca="false">IFERROR(100*U537/G537,"")</f>
        <v>-0.20429258605113</v>
      </c>
      <c r="AL537" s="18" t="n">
        <f aca="false">IFERROR(100*J537/H537,"")</f>
        <v>105.332107975637</v>
      </c>
      <c r="AM537" s="18" t="n">
        <f aca="false">IFERROR(100*L537/J537,"")</f>
        <v>85.0409730894907</v>
      </c>
      <c r="AN537" s="18" t="n">
        <f aca="false">IFERROR(100*M537/J537,"")</f>
        <v>5.08222723506798</v>
      </c>
      <c r="AO537" s="18" t="n">
        <f aca="false">IFERROR(100*N537/J537,"")</f>
        <v>9.87679967544132</v>
      </c>
    </row>
    <row r="538" customFormat="false" ht="15" hidden="false" customHeight="false" outlineLevel="0" collapsed="false">
      <c r="A538" s="17" t="n">
        <v>27824</v>
      </c>
      <c r="B538" s="23" t="n">
        <v>45107</v>
      </c>
      <c r="C538" s="17" t="s">
        <v>117</v>
      </c>
      <c r="D538" s="17" t="s">
        <v>116</v>
      </c>
      <c r="E538" s="17" t="s">
        <v>118</v>
      </c>
      <c r="F538" s="17" t="n">
        <v>511371</v>
      </c>
      <c r="G538" s="17" t="n">
        <v>498091.666666667</v>
      </c>
      <c r="H538" s="17" t="n">
        <v>380476</v>
      </c>
      <c r="I538" s="17" t="n">
        <v>65899</v>
      </c>
      <c r="J538" s="17" t="n">
        <v>425994</v>
      </c>
      <c r="K538" s="17" t="n">
        <v>412930</v>
      </c>
      <c r="L538" s="17" t="n">
        <v>362683</v>
      </c>
      <c r="M538" s="17" t="n">
        <v>21394</v>
      </c>
      <c r="N538" s="17" t="n">
        <v>41917</v>
      </c>
      <c r="O538" s="17" t="n">
        <v>1230</v>
      </c>
      <c r="P538" s="17" t="n">
        <v>1038</v>
      </c>
      <c r="Q538" s="17" t="n">
        <v>0</v>
      </c>
      <c r="R538" s="17" t="n">
        <v>-12</v>
      </c>
      <c r="S538" s="17" t="n">
        <v>74782</v>
      </c>
      <c r="T538" s="17" t="n">
        <v>342014</v>
      </c>
      <c r="U538" s="17" t="n">
        <v>-894</v>
      </c>
      <c r="V538" s="17" t="n">
        <v>-0.179485034548527</v>
      </c>
      <c r="W538" s="17" t="n">
        <v>-1.35</v>
      </c>
      <c r="X538" s="17" t="n">
        <v>2.03415693915203</v>
      </c>
      <c r="Y538" s="17" t="n">
        <v>0.759165622051015</v>
      </c>
      <c r="Z538" s="17" t="n">
        <v>21.8651868052185</v>
      </c>
      <c r="AA538" s="17" t="n">
        <v>12.8867299866438</v>
      </c>
      <c r="AB538" s="17" t="n">
        <v>8.82595797385817</v>
      </c>
      <c r="AC538" s="17" t="n">
        <v>12.1222729031392</v>
      </c>
      <c r="AD538" s="17" t="n">
        <v>2.35195691531287</v>
      </c>
      <c r="AE538" s="17" t="n">
        <v>-0.562443318150169</v>
      </c>
      <c r="AF538" s="17" t="n">
        <v>0.0572986152607561</v>
      </c>
      <c r="AG538" s="18" t="n">
        <f aca="false">IFERROR(100*O538/F538,"")</f>
        <v>0.24052986970321</v>
      </c>
      <c r="AH538" s="18" t="n">
        <f aca="false">IFERROR(100*(P538+Q538)/F538,"")</f>
        <v>0.202983743700757</v>
      </c>
      <c r="AI538" s="18" t="n">
        <f aca="false">IFERROR(100*R538/K538,"")</f>
        <v>-0.00290606156007071</v>
      </c>
      <c r="AJ538" s="18" t="n">
        <f aca="false">IF(T538&gt;0,100*S538/T538,"")</f>
        <v>21.8651868052185</v>
      </c>
      <c r="AK538" s="18" t="n">
        <f aca="false">IFERROR(100*U538/G538,"")</f>
        <v>-0.179485034548527</v>
      </c>
      <c r="AL538" s="18" t="n">
        <f aca="false">IFERROR(100*J538/H538,"")</f>
        <v>111.963435275812</v>
      </c>
      <c r="AM538" s="18" t="n">
        <f aca="false">IFERROR(100*L538/J538,"")</f>
        <v>85.1380535876092</v>
      </c>
      <c r="AN538" s="18" t="n">
        <f aca="false">IFERROR(100*M538/J538,"")</f>
        <v>5.0221364620159</v>
      </c>
      <c r="AO538" s="18" t="n">
        <f aca="false">IFERROR(100*N538/J538,"")</f>
        <v>9.83980995037489</v>
      </c>
    </row>
    <row r="539" customFormat="false" ht="15" hidden="false" customHeight="false" outlineLevel="0" collapsed="false">
      <c r="A539" s="17" t="n">
        <v>27824</v>
      </c>
      <c r="B539" s="23" t="n">
        <v>45199</v>
      </c>
      <c r="C539" s="17" t="s">
        <v>117</v>
      </c>
      <c r="D539" s="17" t="s">
        <v>116</v>
      </c>
      <c r="E539" s="17" t="s">
        <v>118</v>
      </c>
      <c r="F539" s="17" t="n">
        <v>525416</v>
      </c>
      <c r="G539" s="17" t="n">
        <v>504922.75</v>
      </c>
      <c r="H539" s="17" t="n">
        <v>391764</v>
      </c>
      <c r="I539" s="17" t="n">
        <v>64487</v>
      </c>
      <c r="J539" s="17" t="n">
        <v>442476</v>
      </c>
      <c r="K539" s="17" t="n">
        <v>420316.5</v>
      </c>
      <c r="L539" s="17" t="n">
        <v>376428</v>
      </c>
      <c r="M539" s="17" t="n">
        <v>21545</v>
      </c>
      <c r="N539" s="17" t="n">
        <v>44503</v>
      </c>
      <c r="O539" s="17" t="n">
        <v>1101</v>
      </c>
      <c r="P539" s="17" t="n">
        <v>1118</v>
      </c>
      <c r="Q539" s="17" t="n">
        <v>0</v>
      </c>
      <c r="R539" s="17" t="n">
        <v>109.3306</v>
      </c>
      <c r="S539" s="17" t="n">
        <v>74359</v>
      </c>
      <c r="T539" s="17" t="n">
        <v>353929</v>
      </c>
      <c r="U539" s="17" t="n">
        <v>-1007.9748</v>
      </c>
      <c r="V539" s="17" t="n">
        <v>-0.199629507682116</v>
      </c>
      <c r="W539" s="17" t="n">
        <v>-1.53</v>
      </c>
      <c r="X539" s="17" t="n">
        <v>1.9506679893547</v>
      </c>
      <c r="Y539" s="17" t="n">
        <v>0.710999014635822</v>
      </c>
      <c r="Z539" s="17" t="n">
        <v>21.0095810176617</v>
      </c>
      <c r="AA539" s="17" t="n">
        <v>12.2735127974786</v>
      </c>
      <c r="AB539" s="17" t="n">
        <v>9.81811797459253</v>
      </c>
      <c r="AC539" s="17" t="n">
        <v>13.6801214709079</v>
      </c>
      <c r="AD539" s="17" t="n">
        <v>-1.66590947311879</v>
      </c>
      <c r="AE539" s="17" t="n">
        <v>-0.516313826342162</v>
      </c>
      <c r="AF539" s="17" t="n">
        <v>-0.00782397698885501</v>
      </c>
      <c r="AG539" s="18" t="n">
        <f aca="false">IFERROR(100*O539/F539,"")</f>
        <v>0.209548243677391</v>
      </c>
      <c r="AH539" s="18" t="n">
        <f aca="false">IFERROR(100*(P539+Q539)/F539,"")</f>
        <v>0.212783775141983</v>
      </c>
      <c r="AI539" s="18" t="n">
        <f aca="false">IFERROR(100*R539/K539,"")</f>
        <v>0.0260114937196137</v>
      </c>
      <c r="AJ539" s="18" t="n">
        <f aca="false">IF(T539&gt;0,100*S539/T539,"")</f>
        <v>21.0095810176617</v>
      </c>
      <c r="AK539" s="18" t="n">
        <f aca="false">IFERROR(100*U539/G539,"")</f>
        <v>-0.199629507682116</v>
      </c>
      <c r="AL539" s="18" t="n">
        <f aca="false">IFERROR(100*J539/H539,"")</f>
        <v>112.944527827978</v>
      </c>
      <c r="AM539" s="18" t="n">
        <f aca="false">IFERROR(100*L539/J539,"")</f>
        <v>85.0730887098961</v>
      </c>
      <c r="AN539" s="18" t="n">
        <f aca="false">IFERROR(100*M539/J539,"")</f>
        <v>4.86919064536834</v>
      </c>
      <c r="AO539" s="18" t="n">
        <f aca="false">IFERROR(100*N539/J539,"")</f>
        <v>10.0577206447355</v>
      </c>
    </row>
    <row r="540" customFormat="false" ht="15" hidden="false" customHeight="false" outlineLevel="0" collapsed="false">
      <c r="A540" s="17" t="n">
        <v>27824</v>
      </c>
      <c r="B540" s="23" t="n">
        <v>45291</v>
      </c>
      <c r="C540" s="17" t="s">
        <v>117</v>
      </c>
      <c r="D540" s="17" t="s">
        <v>116</v>
      </c>
      <c r="E540" s="17" t="s">
        <v>118</v>
      </c>
      <c r="F540" s="17" t="n">
        <v>540887</v>
      </c>
      <c r="G540" s="17" t="n">
        <v>512115.6</v>
      </c>
      <c r="H540" s="17" t="n">
        <v>387033</v>
      </c>
      <c r="I540" s="17" t="n">
        <v>65160</v>
      </c>
      <c r="J540" s="17" t="n">
        <v>453372</v>
      </c>
      <c r="K540" s="17" t="n">
        <v>426927.6</v>
      </c>
      <c r="L540" s="17" t="n">
        <v>388283</v>
      </c>
      <c r="M540" s="17" t="n">
        <v>21688</v>
      </c>
      <c r="N540" s="17" t="n">
        <v>43401</v>
      </c>
      <c r="O540" s="17" t="n">
        <v>1178</v>
      </c>
      <c r="P540" s="17" t="n">
        <v>1408</v>
      </c>
      <c r="Q540" s="17" t="n">
        <v>0</v>
      </c>
      <c r="R540" s="17" t="n">
        <v>122</v>
      </c>
      <c r="S540" s="17" t="n">
        <v>73942</v>
      </c>
      <c r="T540" s="17" t="n">
        <v>351118</v>
      </c>
      <c r="U540" s="17" t="n">
        <v>-973</v>
      </c>
      <c r="V540" s="17" t="n">
        <v>-0.189996164928387</v>
      </c>
      <c r="W540" s="17" t="n">
        <v>-1.48</v>
      </c>
      <c r="X540" s="17" t="n">
        <v>1.87494551404564</v>
      </c>
      <c r="Y540" s="17" t="n">
        <v>0.66170826605966</v>
      </c>
      <c r="Z540" s="17" t="n">
        <v>21.059017196498</v>
      </c>
      <c r="AA540" s="17" t="n">
        <v>12.0468785531913</v>
      </c>
      <c r="AB540" s="17" t="n">
        <v>11.0122077367661</v>
      </c>
      <c r="AC540" s="17" t="n">
        <v>12.3250541963456</v>
      </c>
      <c r="AD540" s="17" t="n">
        <v>0.298537632067908</v>
      </c>
      <c r="AE540" s="17" t="n">
        <v>-0.435752697564427</v>
      </c>
      <c r="AF540" s="17" t="n">
        <v>0.0369730553404114</v>
      </c>
      <c r="AG540" s="18" t="n">
        <f aca="false">IFERROR(100*O540/F540,"")</f>
        <v>0.217790407238481</v>
      </c>
      <c r="AH540" s="18" t="n">
        <f aca="false">IFERROR(100*(P540+Q540)/F540,"")</f>
        <v>0.260313152285043</v>
      </c>
      <c r="AI540" s="18" t="n">
        <f aca="false">IFERROR(100*R540/K540,"")</f>
        <v>0.0285762738225404</v>
      </c>
      <c r="AJ540" s="18" t="n">
        <f aca="false">IF(T540&gt;0,100*S540/T540,"")</f>
        <v>21.059017196498</v>
      </c>
      <c r="AK540" s="18" t="n">
        <f aca="false">IFERROR(100*U540/G540,"")</f>
        <v>-0.189996164928387</v>
      </c>
      <c r="AL540" s="18" t="n">
        <f aca="false">IFERROR(100*J540/H540,"")</f>
        <v>117.140398880716</v>
      </c>
      <c r="AM540" s="18" t="n">
        <f aca="false">IFERROR(100*L540/J540,"")</f>
        <v>85.6433568901476</v>
      </c>
      <c r="AN540" s="18" t="n">
        <f aca="false">IFERROR(100*M540/J540,"")</f>
        <v>4.7837096247673</v>
      </c>
      <c r="AO540" s="18" t="n">
        <f aca="false">IFERROR(100*N540/J540,"")</f>
        <v>9.5729334850851</v>
      </c>
    </row>
    <row r="541" customFormat="false" ht="15" hidden="false" customHeight="false" outlineLevel="0" collapsed="false">
      <c r="A541" s="17" t="n">
        <v>27824</v>
      </c>
      <c r="B541" s="23" t="n">
        <v>45382</v>
      </c>
      <c r="C541" s="17" t="s">
        <v>117</v>
      </c>
      <c r="D541" s="17" t="s">
        <v>116</v>
      </c>
      <c r="E541" s="17" t="s">
        <v>118</v>
      </c>
      <c r="F541" s="17" t="n">
        <v>541415</v>
      </c>
      <c r="G541" s="17" t="n">
        <v>541151</v>
      </c>
      <c r="H541" s="17" t="n">
        <v>385991</v>
      </c>
      <c r="I541" s="17" t="n">
        <v>64777</v>
      </c>
      <c r="J541" s="17" t="n">
        <v>453279</v>
      </c>
      <c r="K541" s="17" t="n">
        <v>453325.5</v>
      </c>
      <c r="L541" s="17" t="n">
        <v>390846</v>
      </c>
      <c r="M541" s="17" t="n">
        <v>20617</v>
      </c>
      <c r="N541" s="17" t="n">
        <v>41816</v>
      </c>
      <c r="O541" s="17" t="n">
        <v>1045</v>
      </c>
      <c r="P541" s="17" t="n">
        <v>1418</v>
      </c>
      <c r="Q541" s="17" t="n">
        <v>0</v>
      </c>
      <c r="R541" s="17" t="n">
        <v>464</v>
      </c>
      <c r="S541" s="17" t="n">
        <v>73413</v>
      </c>
      <c r="T541" s="17" t="n">
        <v>349193</v>
      </c>
      <c r="U541" s="17" t="n">
        <v>-2128</v>
      </c>
      <c r="V541" s="17" t="n">
        <v>-0.393235899037422</v>
      </c>
      <c r="W541" s="17" t="n">
        <v>-3.28</v>
      </c>
      <c r="X541" s="17" t="n">
        <v>1.62890150261009</v>
      </c>
      <c r="Y541" s="17" t="n">
        <v>0.645518543766643</v>
      </c>
      <c r="Z541" s="17" t="n">
        <v>21.0236173119163</v>
      </c>
      <c r="AA541" s="17" t="n">
        <v>11.9643896087105</v>
      </c>
      <c r="AB541" s="17" t="n">
        <v>9.22848173792346</v>
      </c>
      <c r="AC541" s="17" t="n">
        <v>10.7798451014368</v>
      </c>
      <c r="AD541" s="17" t="n">
        <v>-0.635075091773119</v>
      </c>
      <c r="AE541" s="17" t="n">
        <v>-0.188943312986292</v>
      </c>
      <c r="AF541" s="17" t="n">
        <v>-0.0527142594069074</v>
      </c>
      <c r="AG541" s="18" t="n">
        <f aca="false">IFERROR(100*O541/F541,"")</f>
        <v>0.193012753617835</v>
      </c>
      <c r="AH541" s="18" t="n">
        <f aca="false">IFERROR(100*(P541+Q541)/F541,"")</f>
        <v>0.261906301081426</v>
      </c>
      <c r="AI541" s="18" t="n">
        <f aca="false">IFERROR(100*R541/K541,"")</f>
        <v>0.102354709805647</v>
      </c>
      <c r="AJ541" s="18" t="n">
        <f aca="false">IF(T541&gt;0,100*S541/T541,"")</f>
        <v>21.0236173119163</v>
      </c>
      <c r="AK541" s="18" t="n">
        <f aca="false">IFERROR(100*U541/G541,"")</f>
        <v>-0.393235899037422</v>
      </c>
      <c r="AL541" s="18" t="n">
        <f aca="false">IFERROR(100*J541/H541,"")</f>
        <v>117.432530810304</v>
      </c>
      <c r="AM541" s="18" t="n">
        <f aca="false">IFERROR(100*L541/J541,"")</f>
        <v>86.2263638950845</v>
      </c>
      <c r="AN541" s="18" t="n">
        <f aca="false">IFERROR(100*M541/J541,"")</f>
        <v>4.54841278770912</v>
      </c>
      <c r="AO541" s="18" t="n">
        <f aca="false">IFERROR(100*N541/J541,"")</f>
        <v>9.2252233172064</v>
      </c>
    </row>
    <row r="542" customFormat="false" ht="15" hidden="false" customHeight="false" outlineLevel="0" collapsed="false">
      <c r="A542" s="17" t="n">
        <v>27824</v>
      </c>
      <c r="B542" s="23" t="n">
        <v>45473</v>
      </c>
      <c r="C542" s="17" t="s">
        <v>117</v>
      </c>
      <c r="D542" s="17" t="s">
        <v>116</v>
      </c>
      <c r="E542" s="17" t="s">
        <v>118</v>
      </c>
      <c r="F542" s="17" t="n">
        <v>557168</v>
      </c>
      <c r="G542" s="17" t="n">
        <v>546490</v>
      </c>
      <c r="H542" s="17" t="n">
        <v>362991</v>
      </c>
      <c r="I542" s="17" t="n">
        <v>64563</v>
      </c>
      <c r="J542" s="17" t="n">
        <v>460555</v>
      </c>
      <c r="K542" s="17" t="n">
        <v>455735.333333333</v>
      </c>
      <c r="L542" s="17" t="n">
        <v>398633</v>
      </c>
      <c r="M542" s="17" t="n">
        <v>18789</v>
      </c>
      <c r="N542" s="17" t="n">
        <v>43133</v>
      </c>
      <c r="O542" s="17" t="n">
        <v>1077</v>
      </c>
      <c r="P542" s="17" t="n">
        <v>2739</v>
      </c>
      <c r="Q542" s="17" t="n">
        <v>0</v>
      </c>
      <c r="R542" s="17" t="n">
        <v>236</v>
      </c>
      <c r="S542" s="17" t="n">
        <v>72934</v>
      </c>
      <c r="T542" s="17" t="n">
        <v>358261</v>
      </c>
      <c r="U542" s="17" t="n">
        <v>-2044</v>
      </c>
      <c r="V542" s="17" t="n">
        <v>-0.374023312411938</v>
      </c>
      <c r="W542" s="17" t="n">
        <v>-3.15</v>
      </c>
      <c r="X542" s="17" t="n">
        <v>1.62444979000168</v>
      </c>
      <c r="Y542" s="17" t="n">
        <v>0.624029703292766</v>
      </c>
      <c r="Z542" s="17" t="n">
        <v>20.3577838503214</v>
      </c>
      <c r="AA542" s="17" t="n">
        <v>11.5877078367745</v>
      </c>
      <c r="AB542" s="17" t="n">
        <v>8.95572881528284</v>
      </c>
      <c r="AC542" s="17" t="n">
        <v>8.11302506608074</v>
      </c>
      <c r="AD542" s="17" t="n">
        <v>-4.59555924683817</v>
      </c>
      <c r="AE542" s="17" t="n">
        <v>-0.194538277863411</v>
      </c>
      <c r="AF542" s="17" t="n">
        <v>-0.0472309006310447</v>
      </c>
      <c r="AG542" s="18" t="n">
        <f aca="false">IFERROR(100*O542/F542,"")</f>
        <v>0.193298969072165</v>
      </c>
      <c r="AH542" s="18" t="n">
        <f aca="false">IFERROR(100*(P542+Q542)/F542,"")</f>
        <v>0.49159319989662</v>
      </c>
      <c r="AI542" s="18" t="n">
        <f aca="false">IFERROR(100*R542/K542,"")</f>
        <v>0.0517844421396629</v>
      </c>
      <c r="AJ542" s="18" t="n">
        <f aca="false">IF(T542&gt;0,100*S542/T542,"")</f>
        <v>20.3577838503214</v>
      </c>
      <c r="AK542" s="18" t="n">
        <f aca="false">IFERROR(100*U542/G542,"")</f>
        <v>-0.374023312411938</v>
      </c>
      <c r="AL542" s="18" t="n">
        <f aca="false">IFERROR(100*J542/H542,"")</f>
        <v>126.877801377996</v>
      </c>
      <c r="AM542" s="18" t="n">
        <f aca="false">IFERROR(100*L542/J542,"")</f>
        <v>86.5549174365711</v>
      </c>
      <c r="AN542" s="18" t="n">
        <f aca="false">IFERROR(100*M542/J542,"")</f>
        <v>4.0796430393764</v>
      </c>
      <c r="AO542" s="18" t="n">
        <f aca="false">IFERROR(100*N542/J542,"")</f>
        <v>9.3654395240525</v>
      </c>
    </row>
    <row r="543" customFormat="false" ht="15" hidden="false" customHeight="false" outlineLevel="0" collapsed="false">
      <c r="A543" s="17" t="n">
        <v>27824</v>
      </c>
      <c r="B543" s="23" t="n">
        <v>45565</v>
      </c>
      <c r="C543" s="17" t="s">
        <v>117</v>
      </c>
      <c r="D543" s="17" t="s">
        <v>116</v>
      </c>
      <c r="E543" s="17" t="s">
        <v>118</v>
      </c>
      <c r="F543" s="17" t="n">
        <v>565595</v>
      </c>
      <c r="G543" s="17" t="n">
        <v>551266.25</v>
      </c>
      <c r="H543" s="17" t="n">
        <v>371884</v>
      </c>
      <c r="I543" s="17" t="n">
        <v>63535</v>
      </c>
      <c r="J543" s="17" t="n">
        <v>468047</v>
      </c>
      <c r="K543" s="17" t="n">
        <v>458813.25</v>
      </c>
      <c r="L543" s="17" t="n">
        <v>407195</v>
      </c>
      <c r="M543" s="17" t="n">
        <v>18226</v>
      </c>
      <c r="N543" s="17" t="n">
        <v>42626</v>
      </c>
      <c r="O543" s="17" t="n">
        <v>2900</v>
      </c>
      <c r="P543" s="17" t="n">
        <v>3537</v>
      </c>
      <c r="Q543" s="17" t="n">
        <v>0</v>
      </c>
      <c r="R543" s="17" t="n">
        <v>243.9939</v>
      </c>
      <c r="S543" s="17" t="n">
        <v>71144</v>
      </c>
      <c r="T543" s="17" t="n">
        <v>366805</v>
      </c>
      <c r="U543" s="17" t="n">
        <v>-3621.2428</v>
      </c>
      <c r="V543" s="17" t="n">
        <v>-0.656895429386435</v>
      </c>
      <c r="W543" s="17" t="n">
        <v>-5.61</v>
      </c>
      <c r="X543" s="17" t="n">
        <v>1.60859037600862</v>
      </c>
      <c r="Y543" s="17" t="n">
        <v>0.603999171023423</v>
      </c>
      <c r="Z543" s="17" t="n">
        <v>19.3955916631453</v>
      </c>
      <c r="AA543" s="17" t="n">
        <v>11.2333029818156</v>
      </c>
      <c r="AB543" s="17" t="n">
        <v>7.64708345387275</v>
      </c>
      <c r="AC543" s="17" t="n">
        <v>5.77907050325894</v>
      </c>
      <c r="AD543" s="17" t="n">
        <v>-5.0744836176882</v>
      </c>
      <c r="AE543" s="17" t="n">
        <v>-0.45726592170432</v>
      </c>
      <c r="AF543" s="17" t="n">
        <v>0.303186133394542</v>
      </c>
      <c r="AG543" s="18" t="n">
        <f aca="false">IFERROR(100*O543/F543,"")</f>
        <v>0.512734377071933</v>
      </c>
      <c r="AH543" s="18" t="n">
        <f aca="false">IFERROR(100*(P543+Q543)/F543,"")</f>
        <v>0.625359135070147</v>
      </c>
      <c r="AI543" s="18" t="n">
        <f aca="false">IFERROR(100*R543/K543,"")</f>
        <v>0.0531793491142638</v>
      </c>
      <c r="AJ543" s="18" t="n">
        <f aca="false">IF(T543&gt;0,100*S543/T543,"")</f>
        <v>19.3955916631453</v>
      </c>
      <c r="AK543" s="18" t="n">
        <f aca="false">IFERROR(100*U543/G543,"")</f>
        <v>-0.656895429386435</v>
      </c>
      <c r="AL543" s="18" t="n">
        <f aca="false">IFERROR(100*J543/H543,"")</f>
        <v>125.858332168095</v>
      </c>
      <c r="AM543" s="18" t="n">
        <f aca="false">IFERROR(100*L543/J543,"")</f>
        <v>86.9987415793713</v>
      </c>
      <c r="AN543" s="18" t="n">
        <f aca="false">IFERROR(100*M543/J543,"")</f>
        <v>3.89405337498157</v>
      </c>
      <c r="AO543" s="18" t="n">
        <f aca="false">IFERROR(100*N543/J543,"")</f>
        <v>9.10720504564713</v>
      </c>
    </row>
    <row r="544" customFormat="false" ht="15" hidden="false" customHeight="false" outlineLevel="0" collapsed="false">
      <c r="A544" s="17" t="n">
        <v>27824</v>
      </c>
      <c r="B544" s="23" t="n">
        <v>45657</v>
      </c>
      <c r="C544" s="17" t="s">
        <v>117</v>
      </c>
      <c r="D544" s="17" t="s">
        <v>116</v>
      </c>
      <c r="E544" s="17" t="s">
        <v>118</v>
      </c>
      <c r="F544" s="17" t="n">
        <v>567213</v>
      </c>
      <c r="G544" s="17" t="n">
        <v>554455.6</v>
      </c>
      <c r="H544" s="17" t="n">
        <v>364594</v>
      </c>
      <c r="I544" s="17" t="n">
        <v>62425</v>
      </c>
      <c r="J544" s="17" t="n">
        <v>477239</v>
      </c>
      <c r="K544" s="17" t="n">
        <v>462498.4</v>
      </c>
      <c r="L544" s="17" t="n">
        <v>418833</v>
      </c>
      <c r="M544" s="17" t="n">
        <v>18705</v>
      </c>
      <c r="N544" s="17" t="n">
        <v>39701</v>
      </c>
      <c r="O544" s="17" t="n">
        <v>1549</v>
      </c>
      <c r="P544" s="17" t="n">
        <v>1070</v>
      </c>
      <c r="Q544" s="17" t="n">
        <v>0</v>
      </c>
      <c r="R544" s="17" t="n">
        <v>239</v>
      </c>
      <c r="S544" s="17" t="n">
        <v>70913</v>
      </c>
      <c r="T544" s="17" t="n">
        <v>372548</v>
      </c>
      <c r="U544" s="17" t="n">
        <v>-2914</v>
      </c>
      <c r="V544" s="17" t="n">
        <v>-0.525560567879556</v>
      </c>
      <c r="W544" s="17" t="n">
        <v>-4.55</v>
      </c>
      <c r="X544" s="17" t="n">
        <v>1.66620323995382</v>
      </c>
      <c r="Y544" s="17" t="n">
        <v>0.584193663971302</v>
      </c>
      <c r="Z544" s="17" t="n">
        <v>19.034594199942</v>
      </c>
      <c r="AA544" s="17" t="n">
        <v>11.0055658103746</v>
      </c>
      <c r="AB544" s="17" t="n">
        <v>4.86719037432957</v>
      </c>
      <c r="AC544" s="17" t="n">
        <v>5.26433039534864</v>
      </c>
      <c r="AD544" s="17" t="n">
        <v>-5.7976968372206</v>
      </c>
      <c r="AE544" s="17" t="n">
        <v>-0.335564402951169</v>
      </c>
      <c r="AF544" s="17" t="n">
        <v>0.0552992433865933</v>
      </c>
      <c r="AG544" s="18" t="n">
        <f aca="false">IFERROR(100*O544/F544,"")</f>
        <v>0.273089650625074</v>
      </c>
      <c r="AH544" s="18" t="n">
        <f aca="false">IFERROR(100*(P544+Q544)/F544,"")</f>
        <v>0.188641656661607</v>
      </c>
      <c r="AI544" s="18" t="n">
        <f aca="false">IFERROR(100*R544/K544,"")</f>
        <v>0.0516758544461992</v>
      </c>
      <c r="AJ544" s="18" t="n">
        <f aca="false">IF(T544&gt;0,100*S544/T544,"")</f>
        <v>19.034594199942</v>
      </c>
      <c r="AK544" s="18" t="n">
        <f aca="false">IFERROR(100*U544/G544,"")</f>
        <v>-0.525560567879556</v>
      </c>
      <c r="AL544" s="18" t="n">
        <f aca="false">IFERROR(100*J544/H544,"")</f>
        <v>130.896010356726</v>
      </c>
      <c r="AM544" s="18" t="n">
        <f aca="false">IFERROR(100*L544/J544,"")</f>
        <v>87.7616875402052</v>
      </c>
      <c r="AN544" s="18" t="n">
        <f aca="false">IFERROR(100*M544/J544,"")</f>
        <v>3.91941982947747</v>
      </c>
      <c r="AO544" s="18" t="n">
        <f aca="false">IFERROR(100*N544/J544,"")</f>
        <v>8.3188926303173</v>
      </c>
    </row>
    <row r="545" customFormat="false" ht="15" hidden="false" customHeight="false" outlineLevel="0" collapsed="false">
      <c r="A545" s="17" t="n">
        <v>27824</v>
      </c>
      <c r="B545" s="23" t="n">
        <v>45747</v>
      </c>
      <c r="C545" s="17" t="s">
        <v>117</v>
      </c>
      <c r="D545" s="17" t="s">
        <v>116</v>
      </c>
      <c r="E545" s="17" t="s">
        <v>118</v>
      </c>
      <c r="F545" s="17" t="n">
        <v>575397</v>
      </c>
      <c r="G545" s="17" t="n">
        <v>571305</v>
      </c>
      <c r="H545" s="17" t="n">
        <v>382749</v>
      </c>
      <c r="I545" s="17" t="n">
        <v>62093</v>
      </c>
      <c r="J545" s="17" t="n">
        <v>473217</v>
      </c>
      <c r="K545" s="17" t="n">
        <v>475228</v>
      </c>
      <c r="L545" s="17" t="n">
        <v>420218</v>
      </c>
      <c r="M545" s="17" t="n">
        <v>17729</v>
      </c>
      <c r="N545" s="17" t="n">
        <v>35270</v>
      </c>
      <c r="O545" s="17" t="n">
        <v>2067</v>
      </c>
      <c r="P545" s="17" t="n">
        <v>844</v>
      </c>
      <c r="Q545" s="17" t="n">
        <v>0</v>
      </c>
      <c r="R545" s="17" t="n">
        <v>176</v>
      </c>
      <c r="S545" s="17" t="n">
        <v>70087</v>
      </c>
      <c r="T545" s="17" t="n">
        <v>374145</v>
      </c>
      <c r="U545" s="17" t="n">
        <v>-3620</v>
      </c>
      <c r="V545" s="17" t="n">
        <v>-0.633637024006441</v>
      </c>
      <c r="W545" s="17" t="n">
        <v>-5.81</v>
      </c>
      <c r="X545" s="17" t="n">
        <v>1.82604182072874</v>
      </c>
      <c r="Y545" s="17" t="n">
        <v>0.611981395427468</v>
      </c>
      <c r="Z545" s="17" t="n">
        <v>18.7325769420946</v>
      </c>
      <c r="AA545" s="17" t="n">
        <v>10.7913318978027</v>
      </c>
      <c r="AB545" s="17" t="n">
        <v>6.27651616597249</v>
      </c>
      <c r="AC545" s="17" t="n">
        <v>4.39861542228959</v>
      </c>
      <c r="AD545" s="17" t="n">
        <v>-0.839915956589665</v>
      </c>
      <c r="AE545" s="17" t="n">
        <v>-0.240401124969019</v>
      </c>
      <c r="AF545" s="17" t="n">
        <v>0.166217482201956</v>
      </c>
      <c r="AG545" s="18" t="n">
        <f aca="false">IFERROR(100*O545/F545,"")</f>
        <v>0.359230235819791</v>
      </c>
      <c r="AH545" s="18" t="n">
        <f aca="false">IFERROR(100*(P545+Q545)/F545,"")</f>
        <v>0.146681334800147</v>
      </c>
      <c r="AI545" s="18" t="n">
        <f aca="false">IFERROR(100*R545/K545,"")</f>
        <v>0.03703485484862</v>
      </c>
      <c r="AJ545" s="18" t="n">
        <f aca="false">IF(T545&gt;0,100*S545/T545,"")</f>
        <v>18.7325769420946</v>
      </c>
      <c r="AK545" s="18" t="n">
        <f aca="false">IFERROR(100*U545/G545,"")</f>
        <v>-0.633637024006441</v>
      </c>
      <c r="AL545" s="18" t="n">
        <f aca="false">IFERROR(100*J545/H545,"")</f>
        <v>123.636377887336</v>
      </c>
      <c r="AM545" s="18" t="n">
        <f aca="false">IFERROR(100*L545/J545,"")</f>
        <v>88.8002755606836</v>
      </c>
      <c r="AN545" s="18" t="n">
        <f aca="false">IFERROR(100*M545/J545,"")</f>
        <v>3.74648417110966</v>
      </c>
      <c r="AO545" s="18" t="n">
        <f aca="false">IFERROR(100*N545/J545,"")</f>
        <v>7.45324026820676</v>
      </c>
    </row>
    <row r="546" customFormat="false" ht="15" hidden="false" customHeight="false" outlineLevel="0" collapsed="false">
      <c r="A546" s="17" t="n">
        <v>27824</v>
      </c>
      <c r="B546" s="23" t="n">
        <v>45838</v>
      </c>
      <c r="C546" s="17" t="s">
        <v>117</v>
      </c>
      <c r="D546" s="17" t="s">
        <v>116</v>
      </c>
      <c r="E546" s="17" t="s">
        <v>118</v>
      </c>
      <c r="F546" s="17" t="n">
        <v>571650</v>
      </c>
      <c r="G546" s="17" t="n">
        <v>571420</v>
      </c>
      <c r="H546" s="17" t="n">
        <v>388196</v>
      </c>
      <c r="I546" s="17" t="n">
        <v>62136</v>
      </c>
      <c r="J546" s="17" t="n">
        <v>471430</v>
      </c>
      <c r="K546" s="17" t="n">
        <v>473962</v>
      </c>
      <c r="L546" s="17" t="n">
        <v>421364</v>
      </c>
      <c r="M546" s="17" t="n">
        <v>18433</v>
      </c>
      <c r="N546" s="17" t="n">
        <v>31632</v>
      </c>
      <c r="O546" s="17" t="n">
        <v>2044</v>
      </c>
      <c r="P546" s="17" t="n">
        <v>1687</v>
      </c>
      <c r="Q546" s="17" t="n">
        <v>0</v>
      </c>
      <c r="R546" s="17" t="n">
        <v>84</v>
      </c>
      <c r="S546" s="17" t="n">
        <v>70173</v>
      </c>
      <c r="T546" s="17" t="n">
        <v>370130</v>
      </c>
      <c r="U546" s="17" t="n">
        <v>-1748</v>
      </c>
      <c r="V546" s="17" t="n">
        <v>-0.305904588568829</v>
      </c>
      <c r="W546" s="17" t="n">
        <v>-2.81</v>
      </c>
      <c r="X546" s="17" t="n">
        <v>1.91505644013124</v>
      </c>
      <c r="Y546" s="17" t="n">
        <v>0.62787688522156</v>
      </c>
      <c r="Z546" s="17" t="n">
        <v>18.9590144003458</v>
      </c>
      <c r="AA546" s="17" t="n">
        <v>10.8695880346366</v>
      </c>
      <c r="AB546" s="17" t="n">
        <v>2.59921603537892</v>
      </c>
      <c r="AC546" s="17" t="n">
        <v>2.36128149732389</v>
      </c>
      <c r="AD546" s="17" t="n">
        <v>6.94369832860871</v>
      </c>
      <c r="AE546" s="17" t="n">
        <v>0.0681187238431095</v>
      </c>
      <c r="AF546" s="17" t="n">
        <v>0.164262475867921</v>
      </c>
      <c r="AG546" s="18" t="n">
        <f aca="false">IFERROR(100*O546/F546,"")</f>
        <v>0.357561444940086</v>
      </c>
      <c r="AH546" s="18" t="n">
        <f aca="false">IFERROR(100*(P546+Q546)/F546,"")</f>
        <v>0.295110644625208</v>
      </c>
      <c r="AI546" s="18" t="n">
        <f aca="false">IFERROR(100*R546/K546,"")</f>
        <v>0.0177229398137403</v>
      </c>
      <c r="AJ546" s="18" t="n">
        <f aca="false">IF(T546&gt;0,100*S546/T546,"")</f>
        <v>18.9590144003458</v>
      </c>
      <c r="AK546" s="18" t="n">
        <f aca="false">IFERROR(100*U546/G546,"")</f>
        <v>-0.305904588568829</v>
      </c>
      <c r="AL546" s="18" t="n">
        <f aca="false">IFERROR(100*J546/H546,"")</f>
        <v>121.441230718503</v>
      </c>
      <c r="AM546" s="18" t="n">
        <f aca="false">IFERROR(100*L546/J546,"")</f>
        <v>89.3799715758437</v>
      </c>
      <c r="AN546" s="18" t="n">
        <f aca="false">IFERROR(100*M546/J546,"")</f>
        <v>3.91001845448953</v>
      </c>
      <c r="AO546" s="18" t="n">
        <f aca="false">IFERROR(100*N546/J546,"")</f>
        <v>6.70979784909743</v>
      </c>
    </row>
    <row r="547" customFormat="false" ht="15" hidden="false" customHeight="false" outlineLevel="0" collapsed="false">
      <c r="A547" s="17" t="n">
        <v>28155</v>
      </c>
      <c r="B547" s="23" t="n">
        <v>44651</v>
      </c>
      <c r="C547" s="17" t="s">
        <v>150</v>
      </c>
      <c r="D547" s="17" t="s">
        <v>116</v>
      </c>
      <c r="E547" s="17" t="s">
        <v>118</v>
      </c>
      <c r="F547" s="17" t="n">
        <v>281830</v>
      </c>
      <c r="G547" s="17" t="n">
        <v>284231.5</v>
      </c>
      <c r="H547" s="17" t="n">
        <v>253420</v>
      </c>
      <c r="I547" s="17" t="n">
        <v>27480</v>
      </c>
      <c r="J547" s="17" t="n">
        <v>147197</v>
      </c>
      <c r="K547" s="17" t="n">
        <v>146464</v>
      </c>
      <c r="L547" s="17" t="n">
        <v>137297</v>
      </c>
      <c r="M547" s="17" t="n">
        <v>5388</v>
      </c>
      <c r="N547" s="17" t="n">
        <v>3851</v>
      </c>
      <c r="O547" s="17" t="n">
        <v>206</v>
      </c>
      <c r="P547" s="17" t="n">
        <v>357</v>
      </c>
      <c r="Q547" s="17" t="n">
        <v>0</v>
      </c>
      <c r="R547" s="17" t="n">
        <v>0</v>
      </c>
      <c r="S547" s="17" t="n">
        <v>28995</v>
      </c>
      <c r="T547" s="17" t="n">
        <v>149623</v>
      </c>
      <c r="U547" s="17" t="n">
        <v>640</v>
      </c>
      <c r="V547" s="17" t="n">
        <v>0.225168568578782</v>
      </c>
      <c r="W547" s="17" t="n">
        <v>2.32</v>
      </c>
      <c r="X547" s="17" t="n">
        <v>2.67920386996115</v>
      </c>
      <c r="Y547" s="17" t="n">
        <v>0.589006569427366</v>
      </c>
      <c r="Z547" s="17" t="n">
        <v>19.3787051455993</v>
      </c>
      <c r="AA547" s="17" t="n">
        <v>9.7505588475322</v>
      </c>
      <c r="AB547" s="17"/>
      <c r="AC547" s="17"/>
      <c r="AD547" s="17"/>
      <c r="AE547" s="17"/>
      <c r="AF547" s="17"/>
      <c r="AG547" s="18" t="n">
        <f aca="false">IFERROR(100*O547/F547,"")</f>
        <v>0.0730937089734947</v>
      </c>
      <c r="AH547" s="18" t="n">
        <f aca="false">IFERROR(100*(P547+Q547)/F547,"")</f>
        <v>0.126672107298726</v>
      </c>
      <c r="AI547" s="18" t="n">
        <f aca="false">IFERROR(100*R547/K547,"")</f>
        <v>0</v>
      </c>
      <c r="AJ547" s="18" t="n">
        <f aca="false">IF(T547&gt;0,100*S547/T547,"")</f>
        <v>19.3787051455993</v>
      </c>
      <c r="AK547" s="18" t="n">
        <f aca="false">IFERROR(100*U547/G547,"")</f>
        <v>0.225168568578782</v>
      </c>
      <c r="AL547" s="18" t="n">
        <f aca="false">IFERROR(100*J547/H547,"")</f>
        <v>58.0842080340936</v>
      </c>
      <c r="AM547" s="18" t="n">
        <f aca="false">IFERROR(100*L547/J547,"")</f>
        <v>93.2743194494453</v>
      </c>
      <c r="AN547" s="18" t="n">
        <f aca="false">IFERROR(100*M547/J547,"")</f>
        <v>3.66040068751401</v>
      </c>
      <c r="AO547" s="18" t="n">
        <f aca="false">IFERROR(100*N547/J547,"")</f>
        <v>2.6162217979986</v>
      </c>
    </row>
    <row r="548" customFormat="false" ht="15" hidden="false" customHeight="false" outlineLevel="0" collapsed="false">
      <c r="A548" s="17" t="n">
        <v>28155</v>
      </c>
      <c r="B548" s="23" t="n">
        <v>44742</v>
      </c>
      <c r="C548" s="17" t="s">
        <v>150</v>
      </c>
      <c r="D548" s="17" t="s">
        <v>116</v>
      </c>
      <c r="E548" s="17" t="s">
        <v>118</v>
      </c>
      <c r="F548" s="17" t="n">
        <v>299676</v>
      </c>
      <c r="G548" s="17" t="n">
        <v>289379.666666667</v>
      </c>
      <c r="H548" s="17" t="n">
        <v>271184</v>
      </c>
      <c r="I548" s="17" t="n">
        <v>27573</v>
      </c>
      <c r="J548" s="17" t="n">
        <v>149772</v>
      </c>
      <c r="K548" s="17" t="n">
        <v>147566.666666667</v>
      </c>
      <c r="L548" s="17" t="n">
        <v>139442</v>
      </c>
      <c r="M548" s="17" t="n">
        <v>5461</v>
      </c>
      <c r="N548" s="17" t="n">
        <v>4201</v>
      </c>
      <c r="O548" s="17" t="n">
        <v>12</v>
      </c>
      <c r="P548" s="17" t="n">
        <v>958</v>
      </c>
      <c r="Q548" s="17" t="n">
        <v>0</v>
      </c>
      <c r="R548" s="17" t="n">
        <v>10</v>
      </c>
      <c r="S548" s="17" t="n">
        <v>29202</v>
      </c>
      <c r="T548" s="17" t="n">
        <v>153513</v>
      </c>
      <c r="U548" s="17" t="n">
        <v>742</v>
      </c>
      <c r="V548" s="17" t="n">
        <v>0.25641055176648</v>
      </c>
      <c r="W548" s="17" t="n">
        <v>2.69</v>
      </c>
      <c r="X548" s="17" t="n">
        <v>2.68514754596641</v>
      </c>
      <c r="Y548" s="17" t="n">
        <v>0.576876852816281</v>
      </c>
      <c r="Z548" s="17" t="n">
        <v>19.0224932090442</v>
      </c>
      <c r="AA548" s="17" t="n">
        <v>9.20093701197293</v>
      </c>
      <c r="AB548" s="17"/>
      <c r="AC548" s="17"/>
      <c r="AD548" s="17"/>
      <c r="AE548" s="17"/>
      <c r="AF548" s="17"/>
      <c r="AG548" s="18" t="n">
        <f aca="false">IFERROR(100*O548/F548,"")</f>
        <v>0.0040043246706443</v>
      </c>
      <c r="AH548" s="18" t="n">
        <f aca="false">IFERROR(100*(P548+Q548)/F548,"")</f>
        <v>0.319678586206436</v>
      </c>
      <c r="AI548" s="18" t="n">
        <f aca="false">IFERROR(100*R548/K548,"")</f>
        <v>0.00677659814772984</v>
      </c>
      <c r="AJ548" s="18" t="n">
        <f aca="false">IF(T548&gt;0,100*S548/T548,"")</f>
        <v>19.0224932090442</v>
      </c>
      <c r="AK548" s="18" t="n">
        <f aca="false">IFERROR(100*U548/G548,"")</f>
        <v>0.25641055176648</v>
      </c>
      <c r="AL548" s="18" t="n">
        <f aca="false">IFERROR(100*J548/H548,"")</f>
        <v>55.2289220602985</v>
      </c>
      <c r="AM548" s="18" t="n">
        <f aca="false">IFERROR(100*L548/J548,"")</f>
        <v>93.1028496648239</v>
      </c>
      <c r="AN548" s="18" t="n">
        <f aca="false">IFERROR(100*M548/J548,"")</f>
        <v>3.64620890420105</v>
      </c>
      <c r="AO548" s="18" t="n">
        <f aca="false">IFERROR(100*N548/J548,"")</f>
        <v>2.80493016051064</v>
      </c>
    </row>
    <row r="549" customFormat="false" ht="15" hidden="false" customHeight="false" outlineLevel="0" collapsed="false">
      <c r="A549" s="17" t="n">
        <v>28155</v>
      </c>
      <c r="B549" s="23" t="n">
        <v>44834</v>
      </c>
      <c r="C549" s="17" t="s">
        <v>150</v>
      </c>
      <c r="D549" s="17" t="s">
        <v>116</v>
      </c>
      <c r="E549" s="17" t="s">
        <v>118</v>
      </c>
      <c r="F549" s="17" t="n">
        <v>306788</v>
      </c>
      <c r="G549" s="17" t="n">
        <v>293731.75</v>
      </c>
      <c r="H549" s="17" t="n">
        <v>278328</v>
      </c>
      <c r="I549" s="17" t="n">
        <v>27419</v>
      </c>
      <c r="J549" s="17" t="n">
        <v>155257</v>
      </c>
      <c r="K549" s="17" t="n">
        <v>149489.25</v>
      </c>
      <c r="L549" s="17" t="n">
        <v>143872</v>
      </c>
      <c r="M549" s="17" t="n">
        <v>6105</v>
      </c>
      <c r="N549" s="17" t="n">
        <v>4615</v>
      </c>
      <c r="O549" s="17" t="n">
        <v>222</v>
      </c>
      <c r="P549" s="17" t="n">
        <v>420</v>
      </c>
      <c r="Q549" s="17" t="n">
        <v>0</v>
      </c>
      <c r="R549" s="17" t="n">
        <v>6.6665</v>
      </c>
      <c r="S549" s="17" t="n">
        <v>29332</v>
      </c>
      <c r="T549" s="17" t="n">
        <v>159458</v>
      </c>
      <c r="U549" s="17" t="n">
        <v>619.9845</v>
      </c>
      <c r="V549" s="17" t="n">
        <v>0.211071666580137</v>
      </c>
      <c r="W549" s="17" t="n">
        <v>2.25</v>
      </c>
      <c r="X549" s="17" t="n">
        <v>2.71277062616387</v>
      </c>
      <c r="Y549" s="17" t="n">
        <v>0.579039914464404</v>
      </c>
      <c r="Z549" s="17" t="n">
        <v>18.3948124270968</v>
      </c>
      <c r="AA549" s="17" t="n">
        <v>8.93744214245668</v>
      </c>
      <c r="AB549" s="17"/>
      <c r="AC549" s="17"/>
      <c r="AD549" s="17"/>
      <c r="AE549" s="17"/>
      <c r="AF549" s="17"/>
      <c r="AG549" s="18" t="n">
        <f aca="false">IFERROR(100*O549/F549,"")</f>
        <v>0.072362673898588</v>
      </c>
      <c r="AH549" s="18" t="n">
        <f aca="false">IFERROR(100*(P549+Q549)/F549,"")</f>
        <v>0.136902356024356</v>
      </c>
      <c r="AI549" s="18" t="n">
        <f aca="false">IFERROR(100*R549/K549,"")</f>
        <v>0.00445951799209642</v>
      </c>
      <c r="AJ549" s="18" t="n">
        <f aca="false">IF(T549&gt;0,100*S549/T549,"")</f>
        <v>18.3948124270968</v>
      </c>
      <c r="AK549" s="18" t="n">
        <f aca="false">IFERROR(100*U549/G549,"")</f>
        <v>0.211071666580136</v>
      </c>
      <c r="AL549" s="18" t="n">
        <f aca="false">IFERROR(100*J549/H549,"")</f>
        <v>55.7820269609957</v>
      </c>
      <c r="AM549" s="18" t="n">
        <f aca="false">IFERROR(100*L549/J549,"")</f>
        <v>92.6669973012489</v>
      </c>
      <c r="AN549" s="18" t="n">
        <f aca="false">IFERROR(100*M549/J549,"")</f>
        <v>3.93218985295349</v>
      </c>
      <c r="AO549" s="18" t="n">
        <f aca="false">IFERROR(100*N549/J549,"")</f>
        <v>2.97249077336288</v>
      </c>
    </row>
    <row r="550" customFormat="false" ht="15" hidden="false" customHeight="false" outlineLevel="0" collapsed="false">
      <c r="A550" s="17" t="n">
        <v>28155</v>
      </c>
      <c r="B550" s="23" t="n">
        <v>44926</v>
      </c>
      <c r="C550" s="17" t="s">
        <v>150</v>
      </c>
      <c r="D550" s="17" t="s">
        <v>116</v>
      </c>
      <c r="E550" s="17" t="s">
        <v>118</v>
      </c>
      <c r="F550" s="17" t="n">
        <v>297675</v>
      </c>
      <c r="G550" s="17" t="n">
        <v>294520.4</v>
      </c>
      <c r="H550" s="17" t="n">
        <v>258019</v>
      </c>
      <c r="I550" s="17" t="n">
        <v>27626</v>
      </c>
      <c r="J550" s="17" t="n">
        <v>158085</v>
      </c>
      <c r="K550" s="17" t="n">
        <v>151208.4</v>
      </c>
      <c r="L550" s="17" t="n">
        <v>146082</v>
      </c>
      <c r="M550" s="17" t="n">
        <v>6284</v>
      </c>
      <c r="N550" s="17" t="n">
        <v>5033</v>
      </c>
      <c r="O550" s="17" t="n">
        <v>67</v>
      </c>
      <c r="P550" s="17" t="n">
        <v>732</v>
      </c>
      <c r="Q550" s="17" t="n">
        <v>0</v>
      </c>
      <c r="R550" s="17" t="n">
        <v>5</v>
      </c>
      <c r="S550" s="17" t="n">
        <v>29261</v>
      </c>
      <c r="T550" s="17" t="n">
        <v>160834</v>
      </c>
      <c r="U550" s="17" t="n">
        <v>380</v>
      </c>
      <c r="V550" s="17" t="n">
        <v>0.129023320625668</v>
      </c>
      <c r="W550" s="17" t="n">
        <v>1.38</v>
      </c>
      <c r="X550" s="17" t="n">
        <v>2.77876474751211</v>
      </c>
      <c r="Y550" s="17" t="n">
        <v>0.578169971850587</v>
      </c>
      <c r="Z550" s="17" t="n">
        <v>18.1932924630364</v>
      </c>
      <c r="AA550" s="17" t="n">
        <v>9.28059124884522</v>
      </c>
      <c r="AB550" s="17"/>
      <c r="AC550" s="17"/>
      <c r="AD550" s="17"/>
      <c r="AE550" s="17"/>
      <c r="AF550" s="17"/>
      <c r="AG550" s="18" t="n">
        <f aca="false">IFERROR(100*O550/F550,"")</f>
        <v>0.0225077685395146</v>
      </c>
      <c r="AH550" s="18" t="n">
        <f aca="false">IFERROR(100*(P550+Q550)/F550,"")</f>
        <v>0.245905769715294</v>
      </c>
      <c r="AI550" s="18" t="n">
        <f aca="false">IFERROR(100*R550/K550,"")</f>
        <v>0.00330669460162266</v>
      </c>
      <c r="AJ550" s="18" t="n">
        <f aca="false">IF(T550&gt;0,100*S550/T550,"")</f>
        <v>18.1932924630364</v>
      </c>
      <c r="AK550" s="18" t="n">
        <f aca="false">IFERROR(100*U550/G550,"")</f>
        <v>0.129023320625668</v>
      </c>
      <c r="AL550" s="18" t="n">
        <f aca="false">IFERROR(100*J550/H550,"")</f>
        <v>61.2687437746833</v>
      </c>
      <c r="AM550" s="18" t="n">
        <f aca="false">IFERROR(100*L550/J550,"")</f>
        <v>92.4072492646361</v>
      </c>
      <c r="AN550" s="18" t="n">
        <f aca="false">IFERROR(100*M550/J550,"")</f>
        <v>3.97507669924408</v>
      </c>
      <c r="AO550" s="18" t="n">
        <f aca="false">IFERROR(100*N550/J550,"")</f>
        <v>3.18373027168928</v>
      </c>
    </row>
    <row r="551" customFormat="false" ht="15" hidden="false" customHeight="false" outlineLevel="0" collapsed="false">
      <c r="A551" s="17" t="n">
        <v>28155</v>
      </c>
      <c r="B551" s="23" t="n">
        <v>45016</v>
      </c>
      <c r="C551" s="17" t="s">
        <v>150</v>
      </c>
      <c r="D551" s="17" t="s">
        <v>116</v>
      </c>
      <c r="E551" s="17" t="s">
        <v>118</v>
      </c>
      <c r="F551" s="17" t="n">
        <v>300236</v>
      </c>
      <c r="G551" s="17" t="n">
        <v>298955.5</v>
      </c>
      <c r="H551" s="17" t="n">
        <v>253151</v>
      </c>
      <c r="I551" s="17" t="n">
        <v>27786</v>
      </c>
      <c r="J551" s="17" t="n">
        <v>160817</v>
      </c>
      <c r="K551" s="17" t="n">
        <v>159451</v>
      </c>
      <c r="L551" s="17" t="n">
        <v>148519</v>
      </c>
      <c r="M551" s="17" t="n">
        <v>6272</v>
      </c>
      <c r="N551" s="17" t="n">
        <v>5371</v>
      </c>
      <c r="O551" s="17" t="n">
        <v>52</v>
      </c>
      <c r="P551" s="17" t="n">
        <v>344</v>
      </c>
      <c r="Q551" s="17" t="n">
        <v>0</v>
      </c>
      <c r="R551" s="17" t="n">
        <v>0</v>
      </c>
      <c r="S551" s="17" t="n">
        <v>29330</v>
      </c>
      <c r="T551" s="17" t="n">
        <v>164271</v>
      </c>
      <c r="U551" s="17" t="n">
        <v>276</v>
      </c>
      <c r="V551" s="17" t="n">
        <v>0.092321432453994</v>
      </c>
      <c r="W551" s="17" t="n">
        <v>1</v>
      </c>
      <c r="X551" s="17" t="n">
        <v>2.59801376961667</v>
      </c>
      <c r="Y551" s="17" t="n">
        <v>0.567726048862993</v>
      </c>
      <c r="Z551" s="17" t="n">
        <v>17.8546426332098</v>
      </c>
      <c r="AA551" s="17" t="n">
        <v>9.25471962056516</v>
      </c>
      <c r="AB551" s="17" t="n">
        <v>6.53088741439876</v>
      </c>
      <c r="AC551" s="17" t="n">
        <v>9.25290596955102</v>
      </c>
      <c r="AD551" s="17" t="n">
        <v>-0.106147896772157</v>
      </c>
      <c r="AE551" s="17" t="n">
        <v>-0.132847136124788</v>
      </c>
      <c r="AF551" s="17" t="n">
        <v>-0.0557740004775115</v>
      </c>
      <c r="AG551" s="18" t="n">
        <f aca="false">IFERROR(100*O551/F551,"")</f>
        <v>0.0173197084959832</v>
      </c>
      <c r="AH551" s="18" t="n">
        <f aca="false">IFERROR(100*(P551+Q551)/F551,"")</f>
        <v>0.114576533127273</v>
      </c>
      <c r="AI551" s="18" t="n">
        <f aca="false">IFERROR(100*R551/K551,"")</f>
        <v>0</v>
      </c>
      <c r="AJ551" s="18" t="n">
        <f aca="false">IF(T551&gt;0,100*S551/T551,"")</f>
        <v>17.8546426332098</v>
      </c>
      <c r="AK551" s="18" t="n">
        <f aca="false">IFERROR(100*U551/G551,"")</f>
        <v>0.092321432453994</v>
      </c>
      <c r="AL551" s="18" t="n">
        <f aca="false">IFERROR(100*J551/H551,"")</f>
        <v>63.5261168235559</v>
      </c>
      <c r="AM551" s="18" t="n">
        <f aca="false">IFERROR(100*L551/J551,"")</f>
        <v>92.3527985225443</v>
      </c>
      <c r="AN551" s="18" t="n">
        <f aca="false">IFERROR(100*M551/J551,"")</f>
        <v>3.90008518999857</v>
      </c>
      <c r="AO551" s="18" t="n">
        <f aca="false">IFERROR(100*N551/J551,"")</f>
        <v>3.33982103882052</v>
      </c>
    </row>
    <row r="552" customFormat="false" ht="15" hidden="false" customHeight="false" outlineLevel="0" collapsed="false">
      <c r="A552" s="17" t="n">
        <v>28155</v>
      </c>
      <c r="B552" s="23" t="n">
        <v>45107</v>
      </c>
      <c r="C552" s="17" t="s">
        <v>150</v>
      </c>
      <c r="D552" s="17" t="s">
        <v>116</v>
      </c>
      <c r="E552" s="17" t="s">
        <v>118</v>
      </c>
      <c r="F552" s="17" t="n">
        <v>297569</v>
      </c>
      <c r="G552" s="17" t="n">
        <v>298493.333333333</v>
      </c>
      <c r="H552" s="17" t="n">
        <v>264006</v>
      </c>
      <c r="I552" s="17" t="n">
        <v>27564</v>
      </c>
      <c r="J552" s="17" t="n">
        <v>159158</v>
      </c>
      <c r="K552" s="17" t="n">
        <v>159353.333333333</v>
      </c>
      <c r="L552" s="17" t="n">
        <v>147112</v>
      </c>
      <c r="M552" s="17" t="n">
        <v>5813</v>
      </c>
      <c r="N552" s="17" t="n">
        <v>5560</v>
      </c>
      <c r="O552" s="17" t="n">
        <v>52</v>
      </c>
      <c r="P552" s="17" t="n">
        <v>767</v>
      </c>
      <c r="Q552" s="17" t="n">
        <v>0</v>
      </c>
      <c r="R552" s="17" t="n">
        <v>0</v>
      </c>
      <c r="S552" s="17" t="n">
        <v>29119</v>
      </c>
      <c r="T552" s="17" t="n">
        <v>163242</v>
      </c>
      <c r="U552" s="17" t="n">
        <v>114</v>
      </c>
      <c r="V552" s="17" t="n">
        <v>0.0381918077455666</v>
      </c>
      <c r="W552" s="17" t="n">
        <v>0.41</v>
      </c>
      <c r="X552" s="17" t="n">
        <v>2.47080923260729</v>
      </c>
      <c r="Y552" s="17" t="n">
        <v>0.510813154224104</v>
      </c>
      <c r="Z552" s="17" t="n">
        <v>17.8379338650592</v>
      </c>
      <c r="AA552" s="17" t="n">
        <v>9.26306167645151</v>
      </c>
      <c r="AB552" s="17" t="n">
        <v>-0.703092673420624</v>
      </c>
      <c r="AC552" s="17" t="n">
        <v>6.26685895895094</v>
      </c>
      <c r="AD552" s="17" t="n">
        <v>-2.6469113222019</v>
      </c>
      <c r="AE552" s="17" t="n">
        <v>-0.218218744020913</v>
      </c>
      <c r="AF552" s="17" t="n">
        <v>0.0134706139150283</v>
      </c>
      <c r="AG552" s="18" t="n">
        <f aca="false">IFERROR(100*O552/F552,"")</f>
        <v>0.0174749385856726</v>
      </c>
      <c r="AH552" s="18" t="n">
        <f aca="false">IFERROR(100*(P552+Q552)/F552,"")</f>
        <v>0.25775534413867</v>
      </c>
      <c r="AI552" s="18" t="n">
        <f aca="false">IFERROR(100*R552/K552,"")</f>
        <v>0</v>
      </c>
      <c r="AJ552" s="18" t="n">
        <f aca="false">IF(T552&gt;0,100*S552/T552,"")</f>
        <v>17.8379338650592</v>
      </c>
      <c r="AK552" s="18" t="n">
        <f aca="false">IFERROR(100*U552/G552,"")</f>
        <v>0.0381918077455666</v>
      </c>
      <c r="AL552" s="18" t="n">
        <f aca="false">IFERROR(100*J552/H552,"")</f>
        <v>60.2857510814148</v>
      </c>
      <c r="AM552" s="18" t="n">
        <f aca="false">IFERROR(100*L552/J552,"")</f>
        <v>92.4314203495897</v>
      </c>
      <c r="AN552" s="18" t="n">
        <f aca="false">IFERROR(100*M552/J552,"")</f>
        <v>3.65234546802548</v>
      </c>
      <c r="AO552" s="18" t="n">
        <f aca="false">IFERROR(100*N552/J552,"")</f>
        <v>3.49338393294713</v>
      </c>
    </row>
    <row r="553" customFormat="false" ht="15" hidden="false" customHeight="false" outlineLevel="0" collapsed="false">
      <c r="A553" s="17" t="n">
        <v>28155</v>
      </c>
      <c r="B553" s="23" t="n">
        <v>45199</v>
      </c>
      <c r="C553" s="17" t="s">
        <v>150</v>
      </c>
      <c r="D553" s="17" t="s">
        <v>116</v>
      </c>
      <c r="E553" s="17" t="s">
        <v>118</v>
      </c>
      <c r="F553" s="17" t="n">
        <v>298875</v>
      </c>
      <c r="G553" s="17" t="n">
        <v>298588.75</v>
      </c>
      <c r="H553" s="17" t="n">
        <v>265401</v>
      </c>
      <c r="I553" s="17" t="n">
        <v>27404</v>
      </c>
      <c r="J553" s="17" t="n">
        <v>164361</v>
      </c>
      <c r="K553" s="17" t="n">
        <v>160605.25</v>
      </c>
      <c r="L553" s="17" t="n">
        <v>146698</v>
      </c>
      <c r="M553" s="17" t="n">
        <v>11483</v>
      </c>
      <c r="N553" s="17" t="n">
        <v>5666</v>
      </c>
      <c r="O553" s="17" t="n">
        <v>23</v>
      </c>
      <c r="P553" s="17" t="n">
        <v>1393</v>
      </c>
      <c r="Q553" s="17" t="n">
        <v>0</v>
      </c>
      <c r="R553" s="17" t="n">
        <v>6.6665</v>
      </c>
      <c r="S553" s="17" t="n">
        <v>29139</v>
      </c>
      <c r="T553" s="17" t="n">
        <v>160246</v>
      </c>
      <c r="U553" s="17" t="n">
        <v>110.6639</v>
      </c>
      <c r="V553" s="17" t="n">
        <v>0.0370623139686274</v>
      </c>
      <c r="W553" s="17" t="n">
        <v>0.4</v>
      </c>
      <c r="X553" s="17" t="n">
        <v>2.46018753591954</v>
      </c>
      <c r="Y553" s="17" t="n">
        <v>0.492209222382439</v>
      </c>
      <c r="Z553" s="17" t="n">
        <v>18.1839172272631</v>
      </c>
      <c r="AA553" s="17" t="n">
        <v>9.16905060644082</v>
      </c>
      <c r="AB553" s="17" t="n">
        <v>-2.57930557909697</v>
      </c>
      <c r="AC553" s="17" t="n">
        <v>5.86382578563285</v>
      </c>
      <c r="AD553" s="17" t="n">
        <v>-4.64452013451755</v>
      </c>
      <c r="AE553" s="17" t="n">
        <v>-0.174009352611509</v>
      </c>
      <c r="AF553" s="17" t="n">
        <v>-0.0646671490136026</v>
      </c>
      <c r="AG553" s="18" t="n">
        <f aca="false">IFERROR(100*O553/F553,"")</f>
        <v>0.00769552488498536</v>
      </c>
      <c r="AH553" s="18" t="n">
        <f aca="false">IFERROR(100*(P553+Q553)/F553,"")</f>
        <v>0.466081137599331</v>
      </c>
      <c r="AI553" s="18" t="n">
        <f aca="false">IFERROR(100*R553/K553,"")</f>
        <v>0.00415086057273968</v>
      </c>
      <c r="AJ553" s="18" t="n">
        <f aca="false">IF(T553&gt;0,100*S553/T553,"")</f>
        <v>18.1839172272631</v>
      </c>
      <c r="AK553" s="18" t="n">
        <f aca="false">IFERROR(100*U553/G553,"")</f>
        <v>0.0370623139686274</v>
      </c>
      <c r="AL553" s="18" t="n">
        <f aca="false">IFERROR(100*J553/H553,"")</f>
        <v>61.9293069732217</v>
      </c>
      <c r="AM553" s="18" t="n">
        <f aca="false">IFERROR(100*L553/J553,"")</f>
        <v>89.2535333807899</v>
      </c>
      <c r="AN553" s="18" t="n">
        <f aca="false">IFERROR(100*M553/J553,"")</f>
        <v>6.98645055700562</v>
      </c>
      <c r="AO553" s="18" t="n">
        <f aca="false">IFERROR(100*N553/J553,"")</f>
        <v>3.4472898071927</v>
      </c>
    </row>
    <row r="554" customFormat="false" ht="15" hidden="false" customHeight="false" outlineLevel="0" collapsed="false">
      <c r="A554" s="17" t="n">
        <v>28155</v>
      </c>
      <c r="B554" s="23" t="n">
        <v>45291</v>
      </c>
      <c r="C554" s="17" t="s">
        <v>150</v>
      </c>
      <c r="D554" s="17" t="s">
        <v>116</v>
      </c>
      <c r="E554" s="17" t="s">
        <v>118</v>
      </c>
      <c r="F554" s="17" t="n">
        <v>300333</v>
      </c>
      <c r="G554" s="17" t="n">
        <v>298937.6</v>
      </c>
      <c r="H554" s="17" t="n">
        <v>262408</v>
      </c>
      <c r="I554" s="17" t="n">
        <v>27418</v>
      </c>
      <c r="J554" s="17" t="n">
        <v>167102</v>
      </c>
      <c r="K554" s="17" t="n">
        <v>161904.6</v>
      </c>
      <c r="L554" s="17" t="n">
        <v>149453</v>
      </c>
      <c r="M554" s="17" t="n">
        <v>11200</v>
      </c>
      <c r="N554" s="17" t="n">
        <v>5939</v>
      </c>
      <c r="O554" s="17" t="n">
        <v>0</v>
      </c>
      <c r="P554" s="17" t="n">
        <v>931</v>
      </c>
      <c r="Q554" s="17" t="n">
        <v>0</v>
      </c>
      <c r="R554" s="17" t="n">
        <v>5</v>
      </c>
      <c r="S554" s="17" t="n">
        <v>28890</v>
      </c>
      <c r="T554" s="17" t="n">
        <v>165415</v>
      </c>
      <c r="U554" s="17" t="n">
        <v>-166</v>
      </c>
      <c r="V554" s="17" t="n">
        <v>-0.0555299835149543</v>
      </c>
      <c r="W554" s="17" t="n">
        <v>-0.6</v>
      </c>
      <c r="X554" s="17" t="n">
        <v>2.44769608992379</v>
      </c>
      <c r="Y554" s="17" t="n">
        <v>0.483537001352467</v>
      </c>
      <c r="Z554" s="17" t="n">
        <v>17.465163376961</v>
      </c>
      <c r="AA554" s="17" t="n">
        <v>9.12919992142056</v>
      </c>
      <c r="AB554" s="17" t="n">
        <v>0.892920131015362</v>
      </c>
      <c r="AC554" s="17" t="n">
        <v>5.70389347502927</v>
      </c>
      <c r="AD554" s="17" t="n">
        <v>1.70103752049269</v>
      </c>
      <c r="AE554" s="17" t="n">
        <v>-0.184553304140622</v>
      </c>
      <c r="AF554" s="17" t="n">
        <v>-0.0225077685395146</v>
      </c>
      <c r="AG554" s="18" t="n">
        <f aca="false">IFERROR(100*O554/F554,"")</f>
        <v>0</v>
      </c>
      <c r="AH554" s="18" t="n">
        <f aca="false">IFERROR(100*(P554+Q554)/F554,"")</f>
        <v>0.309989245271082</v>
      </c>
      <c r="AI554" s="18" t="n">
        <f aca="false">IFERROR(100*R554/K554,"")</f>
        <v>0.00308823838235603</v>
      </c>
      <c r="AJ554" s="18" t="n">
        <f aca="false">IF(T554&gt;0,100*S554/T554,"")</f>
        <v>17.465163376961</v>
      </c>
      <c r="AK554" s="18" t="n">
        <f aca="false">IFERROR(100*U554/G554,"")</f>
        <v>-0.0555299835149543</v>
      </c>
      <c r="AL554" s="18" t="n">
        <f aca="false">IFERROR(100*J554/H554,"")</f>
        <v>63.6802231639279</v>
      </c>
      <c r="AM554" s="18" t="n">
        <f aca="false">IFERROR(100*L554/J554,"")</f>
        <v>89.4381874543692</v>
      </c>
      <c r="AN554" s="18" t="n">
        <f aca="false">IFERROR(100*M554/J554,"")</f>
        <v>6.702493088054</v>
      </c>
      <c r="AO554" s="18" t="n">
        <f aca="false">IFERROR(100*N554/J554,"")</f>
        <v>3.55411664731721</v>
      </c>
    </row>
    <row r="555" customFormat="false" ht="15" hidden="false" customHeight="false" outlineLevel="0" collapsed="false">
      <c r="A555" s="17" t="n">
        <v>28155</v>
      </c>
      <c r="B555" s="23" t="n">
        <v>45382</v>
      </c>
      <c r="C555" s="17" t="s">
        <v>150</v>
      </c>
      <c r="D555" s="17" t="s">
        <v>116</v>
      </c>
      <c r="E555" s="17" t="s">
        <v>118</v>
      </c>
      <c r="F555" s="17" t="n">
        <v>297031</v>
      </c>
      <c r="G555" s="17" t="n">
        <v>298682</v>
      </c>
      <c r="H555" s="17" t="n">
        <v>249108</v>
      </c>
      <c r="I555" s="17" t="n">
        <v>27388</v>
      </c>
      <c r="J555" s="17" t="n">
        <v>166779</v>
      </c>
      <c r="K555" s="17" t="n">
        <v>166940.5</v>
      </c>
      <c r="L555" s="17" t="n">
        <v>149746</v>
      </c>
      <c r="M555" s="17" t="n">
        <v>10532</v>
      </c>
      <c r="N555" s="17" t="n">
        <v>5990</v>
      </c>
      <c r="O555" s="17" t="n">
        <v>130</v>
      </c>
      <c r="P555" s="17" t="n">
        <v>447</v>
      </c>
      <c r="Q555" s="17" t="n">
        <v>0</v>
      </c>
      <c r="R555" s="17" t="n">
        <v>4</v>
      </c>
      <c r="S555" s="17" t="n">
        <v>28834</v>
      </c>
      <c r="T555" s="17" t="n">
        <v>162674</v>
      </c>
      <c r="U555" s="17" t="n">
        <v>-136</v>
      </c>
      <c r="V555" s="17" t="n">
        <v>-0.0455333766346817</v>
      </c>
      <c r="W555" s="17" t="n">
        <v>-0.5</v>
      </c>
      <c r="X555" s="17" t="n">
        <v>2.36750375517175</v>
      </c>
      <c r="Y555" s="17" t="n">
        <v>0.472481547437027</v>
      </c>
      <c r="Z555" s="17" t="n">
        <v>17.7250205933339</v>
      </c>
      <c r="AA555" s="17" t="n">
        <v>9.22058640343937</v>
      </c>
      <c r="AB555" s="17" t="n">
        <v>-1.06749357172358</v>
      </c>
      <c r="AC555" s="17" t="n">
        <v>3.70731949980412</v>
      </c>
      <c r="AD555" s="17" t="n">
        <v>-1.59707052312651</v>
      </c>
      <c r="AE555" s="17" t="n">
        <v>-0.137854809088676</v>
      </c>
      <c r="AF555" s="17" t="n">
        <v>0.0264467670570736</v>
      </c>
      <c r="AG555" s="18" t="n">
        <f aca="false">IFERROR(100*O555/F555,"")</f>
        <v>0.0437664755530568</v>
      </c>
      <c r="AH555" s="18" t="n">
        <f aca="false">IFERROR(100*(P555+Q555)/F555,"")</f>
        <v>0.150489342863203</v>
      </c>
      <c r="AI555" s="18" t="n">
        <f aca="false">IFERROR(100*R555/K555,"")</f>
        <v>0.00239606326805059</v>
      </c>
      <c r="AJ555" s="18" t="n">
        <f aca="false">IF(T555&gt;0,100*S555/T555,"")</f>
        <v>17.7250205933339</v>
      </c>
      <c r="AK555" s="18" t="n">
        <f aca="false">IFERROR(100*U555/G555,"")</f>
        <v>-0.0455333766346817</v>
      </c>
      <c r="AL555" s="18" t="n">
        <f aca="false">IFERROR(100*J555/H555,"")</f>
        <v>66.9504793101787</v>
      </c>
      <c r="AM555" s="18" t="n">
        <f aca="false">IFERROR(100*L555/J555,"")</f>
        <v>89.7870835057172</v>
      </c>
      <c r="AN555" s="18" t="n">
        <f aca="false">IFERROR(100*M555/J555,"")</f>
        <v>6.31494372792738</v>
      </c>
      <c r="AO555" s="18" t="n">
        <f aca="false">IFERROR(100*N555/J555,"")</f>
        <v>3.59157927556827</v>
      </c>
    </row>
    <row r="556" customFormat="false" ht="15" hidden="false" customHeight="false" outlineLevel="0" collapsed="false">
      <c r="A556" s="17" t="n">
        <v>28155</v>
      </c>
      <c r="B556" s="23" t="n">
        <v>45473</v>
      </c>
      <c r="C556" s="17" t="s">
        <v>150</v>
      </c>
      <c r="D556" s="17" t="s">
        <v>116</v>
      </c>
      <c r="E556" s="17" t="s">
        <v>118</v>
      </c>
      <c r="F556" s="17" t="n">
        <v>302055</v>
      </c>
      <c r="G556" s="17" t="n">
        <v>299806.333333333</v>
      </c>
      <c r="H556" s="17" t="n">
        <v>259692</v>
      </c>
      <c r="I556" s="17" t="n">
        <v>27301</v>
      </c>
      <c r="J556" s="17" t="n">
        <v>173251</v>
      </c>
      <c r="K556" s="17" t="n">
        <v>169044</v>
      </c>
      <c r="L556" s="17" t="n">
        <v>155404</v>
      </c>
      <c r="M556" s="17" t="n">
        <v>11217</v>
      </c>
      <c r="N556" s="17" t="n">
        <v>6116</v>
      </c>
      <c r="O556" s="17" t="n">
        <v>0</v>
      </c>
      <c r="P556" s="17" t="n">
        <v>1271</v>
      </c>
      <c r="Q556" s="17" t="n">
        <v>0</v>
      </c>
      <c r="R556" s="17" t="n">
        <v>2</v>
      </c>
      <c r="S556" s="17" t="n">
        <v>28786</v>
      </c>
      <c r="T556" s="17" t="n">
        <v>170067</v>
      </c>
      <c r="U556" s="17" t="n">
        <v>-164</v>
      </c>
      <c r="V556" s="17" t="n">
        <v>-0.0547019798336482</v>
      </c>
      <c r="W556" s="17" t="n">
        <v>-0.6</v>
      </c>
      <c r="X556" s="17" t="n">
        <v>2.34100079031654</v>
      </c>
      <c r="Y556" s="17" t="n">
        <v>0.454831429544418</v>
      </c>
      <c r="Z556" s="17" t="n">
        <v>16.9262702346722</v>
      </c>
      <c r="AA556" s="17" t="n">
        <v>9.03842015526974</v>
      </c>
      <c r="AB556" s="17" t="n">
        <v>1.50754950952552</v>
      </c>
      <c r="AC556" s="17" t="n">
        <v>8.85472297968057</v>
      </c>
      <c r="AD556" s="17" t="n">
        <v>-1.6340537715052</v>
      </c>
      <c r="AE556" s="17" t="n">
        <v>-0.0928937875792148</v>
      </c>
      <c r="AF556" s="17" t="n">
        <v>-0.0174749385856726</v>
      </c>
      <c r="AG556" s="18" t="n">
        <f aca="false">IFERROR(100*O556/F556,"")</f>
        <v>0</v>
      </c>
      <c r="AH556" s="18" t="n">
        <f aca="false">IFERROR(100*(P556+Q556)/F556,"")</f>
        <v>0.420784294251047</v>
      </c>
      <c r="AI556" s="18" t="n">
        <f aca="false">IFERROR(100*R556/K556,"")</f>
        <v>0.00118312392039942</v>
      </c>
      <c r="AJ556" s="18" t="n">
        <f aca="false">IF(T556&gt;0,100*S556/T556,"")</f>
        <v>16.9262702346722</v>
      </c>
      <c r="AK556" s="18" t="n">
        <f aca="false">IFERROR(100*U556/G556,"")</f>
        <v>-0.0547019798336482</v>
      </c>
      <c r="AL556" s="18" t="n">
        <f aca="false">IFERROR(100*J556/H556,"")</f>
        <v>66.7140304668608</v>
      </c>
      <c r="AM556" s="18" t="n">
        <f aca="false">IFERROR(100*L556/J556,"")</f>
        <v>89.6987607575137</v>
      </c>
      <c r="AN556" s="18" t="n">
        <f aca="false">IFERROR(100*M556/J556,"")</f>
        <v>6.47442150406058</v>
      </c>
      <c r="AO556" s="18" t="n">
        <f aca="false">IFERROR(100*N556/J556,"")</f>
        <v>3.53013835417977</v>
      </c>
    </row>
    <row r="557" customFormat="false" ht="15" hidden="false" customHeight="false" outlineLevel="0" collapsed="false">
      <c r="A557" s="17" t="n">
        <v>28155</v>
      </c>
      <c r="B557" s="23" t="n">
        <v>45565</v>
      </c>
      <c r="C557" s="17" t="s">
        <v>150</v>
      </c>
      <c r="D557" s="17" t="s">
        <v>116</v>
      </c>
      <c r="E557" s="17" t="s">
        <v>118</v>
      </c>
      <c r="F557" s="17" t="n">
        <v>298193</v>
      </c>
      <c r="G557" s="17" t="n">
        <v>299403</v>
      </c>
      <c r="H557" s="17" t="n">
        <v>259984</v>
      </c>
      <c r="I557" s="17" t="n">
        <v>27490</v>
      </c>
      <c r="J557" s="17" t="n">
        <v>173650</v>
      </c>
      <c r="K557" s="17" t="n">
        <v>170195.5</v>
      </c>
      <c r="L557" s="17" t="n">
        <v>156786</v>
      </c>
      <c r="M557" s="17" t="n">
        <v>10105</v>
      </c>
      <c r="N557" s="17" t="n">
        <v>6248</v>
      </c>
      <c r="O557" s="17" t="n">
        <v>46</v>
      </c>
      <c r="P557" s="17" t="n">
        <v>1482</v>
      </c>
      <c r="Q557" s="17" t="n">
        <v>0</v>
      </c>
      <c r="R557" s="17" t="n">
        <v>1.3333</v>
      </c>
      <c r="S557" s="17" t="n">
        <v>28869</v>
      </c>
      <c r="T557" s="17" t="n">
        <v>164323</v>
      </c>
      <c r="U557" s="17" t="n">
        <v>0</v>
      </c>
      <c r="V557" s="17" t="n">
        <v>0</v>
      </c>
      <c r="W557" s="17" t="n">
        <v>0</v>
      </c>
      <c r="X557" s="17" t="n">
        <v>2.42072302479044</v>
      </c>
      <c r="Y557" s="17" t="n">
        <v>0.453786351857184</v>
      </c>
      <c r="Z557" s="17" t="n">
        <v>17.5684475088697</v>
      </c>
      <c r="AA557" s="17" t="n">
        <v>9.2188616097628</v>
      </c>
      <c r="AB557" s="17" t="n">
        <v>-0.228189042241744</v>
      </c>
      <c r="AC557" s="17" t="n">
        <v>5.65158401323915</v>
      </c>
      <c r="AD557" s="17" t="n">
        <v>-2.04106239237983</v>
      </c>
      <c r="AE557" s="17" t="n">
        <v>-0.0370623139686274</v>
      </c>
      <c r="AF557" s="17" t="n">
        <v>0.00773072589890293</v>
      </c>
      <c r="AG557" s="18" t="n">
        <f aca="false">IFERROR(100*O557/F557,"")</f>
        <v>0.0154262507838883</v>
      </c>
      <c r="AH557" s="18" t="n">
        <f aca="false">IFERROR(100*(P557+Q557)/F557,"")</f>
        <v>0.496993557863531</v>
      </c>
      <c r="AI557" s="18" t="n">
        <f aca="false">IFERROR(100*R557/K557,"")</f>
        <v>0.000783393215449292</v>
      </c>
      <c r="AJ557" s="18" t="n">
        <f aca="false">IF(T557&gt;0,100*S557/T557,"")</f>
        <v>17.5684475088697</v>
      </c>
      <c r="AK557" s="18" t="n">
        <f aca="false">IFERROR(100*U557/G557,"")</f>
        <v>0</v>
      </c>
      <c r="AL557" s="18" t="n">
        <f aca="false">IFERROR(100*J557/H557,"")</f>
        <v>66.7925718505754</v>
      </c>
      <c r="AM557" s="18" t="n">
        <f aca="false">IFERROR(100*L557/J557,"")</f>
        <v>90.2885113734524</v>
      </c>
      <c r="AN557" s="18" t="n">
        <f aca="false">IFERROR(100*M557/J557,"")</f>
        <v>5.819176504463</v>
      </c>
      <c r="AO557" s="18" t="n">
        <f aca="false">IFERROR(100*N557/J557,"")</f>
        <v>3.59804203858336</v>
      </c>
    </row>
    <row r="558" customFormat="false" ht="15" hidden="false" customHeight="false" outlineLevel="0" collapsed="false">
      <c r="A558" s="17" t="n">
        <v>28155</v>
      </c>
      <c r="B558" s="23" t="n">
        <v>45657</v>
      </c>
      <c r="C558" s="17" t="s">
        <v>150</v>
      </c>
      <c r="D558" s="17" t="s">
        <v>116</v>
      </c>
      <c r="E558" s="17" t="s">
        <v>118</v>
      </c>
      <c r="F558" s="17" t="n">
        <v>295833</v>
      </c>
      <c r="G558" s="17" t="n">
        <v>298689</v>
      </c>
      <c r="H558" s="17" t="n">
        <v>257082</v>
      </c>
      <c r="I558" s="17" t="n">
        <v>27363</v>
      </c>
      <c r="J558" s="17" t="n">
        <v>174792</v>
      </c>
      <c r="K558" s="17" t="n">
        <v>171114.8</v>
      </c>
      <c r="L558" s="17" t="n">
        <v>157930</v>
      </c>
      <c r="M558" s="17" t="n">
        <v>9970</v>
      </c>
      <c r="N558" s="17" t="n">
        <v>6380</v>
      </c>
      <c r="O558" s="17" t="n">
        <v>0</v>
      </c>
      <c r="P558" s="17" t="n">
        <v>1275</v>
      </c>
      <c r="Q558" s="17" t="n">
        <v>0</v>
      </c>
      <c r="R558" s="17" t="n">
        <v>1</v>
      </c>
      <c r="S558" s="17" t="n">
        <v>28799</v>
      </c>
      <c r="T558" s="17" t="n">
        <v>163529</v>
      </c>
      <c r="U558" s="17" t="n">
        <v>-69</v>
      </c>
      <c r="V558" s="17" t="n">
        <v>-0.0231009511565541</v>
      </c>
      <c r="W558" s="17" t="n">
        <v>-0.25</v>
      </c>
      <c r="X558" s="17" t="n">
        <v>2.46130120647392</v>
      </c>
      <c r="Y558" s="17" t="n">
        <v>0.450821547896929</v>
      </c>
      <c r="Z558" s="17" t="n">
        <v>17.6109436246782</v>
      </c>
      <c r="AA558" s="17" t="n">
        <v>9.24947521067629</v>
      </c>
      <c r="AB558" s="17" t="n">
        <v>-1.49833684610082</v>
      </c>
      <c r="AC558" s="17" t="n">
        <v>4.6019796292085</v>
      </c>
      <c r="AD558" s="17" t="n">
        <v>-2.02966372976434</v>
      </c>
      <c r="AE558" s="17" t="n">
        <v>0.0324290323584002</v>
      </c>
      <c r="AF558" s="17" t="n">
        <v>0</v>
      </c>
      <c r="AG558" s="18" t="n">
        <f aca="false">IFERROR(100*O558/F558,"")</f>
        <v>0</v>
      </c>
      <c r="AH558" s="18" t="n">
        <f aca="false">IFERROR(100*(P558+Q558)/F558,"")</f>
        <v>0.430986401111438</v>
      </c>
      <c r="AI558" s="18" t="n">
        <f aca="false">IFERROR(100*R558/K558,"")</f>
        <v>0.000584402985597973</v>
      </c>
      <c r="AJ558" s="18" t="n">
        <f aca="false">IF(T558&gt;0,100*S558/T558,"")</f>
        <v>17.6109436246782</v>
      </c>
      <c r="AK558" s="18" t="n">
        <f aca="false">IFERROR(100*U558/G558,"")</f>
        <v>-0.0231009511565541</v>
      </c>
      <c r="AL558" s="18" t="n">
        <f aca="false">IFERROR(100*J558/H558,"")</f>
        <v>67.9907578126823</v>
      </c>
      <c r="AM558" s="18" t="n">
        <f aca="false">IFERROR(100*L558/J558,"")</f>
        <v>90.3531054052817</v>
      </c>
      <c r="AN558" s="18" t="n">
        <f aca="false">IFERROR(100*M558/J558,"")</f>
        <v>5.70392237631013</v>
      </c>
      <c r="AO558" s="18" t="n">
        <f aca="false">IFERROR(100*N558/J558,"")</f>
        <v>3.65005263398783</v>
      </c>
    </row>
    <row r="559" customFormat="false" ht="15" hidden="false" customHeight="false" outlineLevel="0" collapsed="false">
      <c r="A559" s="17" t="n">
        <v>28155</v>
      </c>
      <c r="B559" s="23" t="n">
        <v>45747</v>
      </c>
      <c r="C559" s="17" t="s">
        <v>150</v>
      </c>
      <c r="D559" s="17" t="s">
        <v>116</v>
      </c>
      <c r="E559" s="17" t="s">
        <v>118</v>
      </c>
      <c r="F559" s="17" t="n">
        <v>299190</v>
      </c>
      <c r="G559" s="17" t="n">
        <v>297511.5</v>
      </c>
      <c r="H559" s="17" t="n">
        <v>270079</v>
      </c>
      <c r="I559" s="17" t="n">
        <v>27411</v>
      </c>
      <c r="J559" s="17" t="n">
        <v>176105</v>
      </c>
      <c r="K559" s="17" t="n">
        <v>175448.5</v>
      </c>
      <c r="L559" s="17" t="n">
        <v>159503</v>
      </c>
      <c r="M559" s="17" t="n">
        <v>9840</v>
      </c>
      <c r="N559" s="17" t="n">
        <v>6251</v>
      </c>
      <c r="O559" s="17" t="n">
        <v>304</v>
      </c>
      <c r="P559" s="17" t="n">
        <v>1504</v>
      </c>
      <c r="Q559" s="17" t="n">
        <v>0</v>
      </c>
      <c r="R559" s="17" t="n">
        <v>0</v>
      </c>
      <c r="S559" s="17" t="n">
        <v>28723</v>
      </c>
      <c r="T559" s="17" t="n">
        <v>164353</v>
      </c>
      <c r="U559" s="17" t="n">
        <v>-308</v>
      </c>
      <c r="V559" s="17" t="n">
        <v>-0.103525409942137</v>
      </c>
      <c r="W559" s="17" t="n">
        <v>-1.12</v>
      </c>
      <c r="X559" s="17" t="n">
        <v>2.61875903430567</v>
      </c>
      <c r="Y559" s="17" t="n">
        <v>0.447460321967008</v>
      </c>
      <c r="Z559" s="17" t="n">
        <v>17.476407488759</v>
      </c>
      <c r="AA559" s="17" t="n">
        <v>9.16173668906046</v>
      </c>
      <c r="AB559" s="17" t="n">
        <v>0.726860159377307</v>
      </c>
      <c r="AC559" s="17" t="n">
        <v>5.59183110583468</v>
      </c>
      <c r="AD559" s="17" t="n">
        <v>8.4184369831559</v>
      </c>
      <c r="AE559" s="17" t="n">
        <v>-0.057992033307455</v>
      </c>
      <c r="AF559" s="17" t="n">
        <v>0.0578411985002204</v>
      </c>
      <c r="AG559" s="18" t="n">
        <f aca="false">IFERROR(100*O559/F559,"")</f>
        <v>0.101607674053277</v>
      </c>
      <c r="AH559" s="18" t="n">
        <f aca="false">IFERROR(100*(P559+Q559)/F559,"")</f>
        <v>0.502690597947792</v>
      </c>
      <c r="AI559" s="18" t="n">
        <f aca="false">IFERROR(100*R559/K559,"")</f>
        <v>0</v>
      </c>
      <c r="AJ559" s="18" t="n">
        <f aca="false">IF(T559&gt;0,100*S559/T559,"")</f>
        <v>17.476407488759</v>
      </c>
      <c r="AK559" s="18" t="n">
        <f aca="false">IFERROR(100*U559/G559,"")</f>
        <v>-0.103525409942137</v>
      </c>
      <c r="AL559" s="18" t="n">
        <f aca="false">IFERROR(100*J559/H559,"")</f>
        <v>65.2049955753687</v>
      </c>
      <c r="AM559" s="18" t="n">
        <f aca="false">IFERROR(100*L559/J559,"")</f>
        <v>90.572669714091</v>
      </c>
      <c r="AN559" s="18" t="n">
        <f aca="false">IFERROR(100*M559/J559,"")</f>
        <v>5.58757559410579</v>
      </c>
      <c r="AO559" s="18" t="n">
        <f aca="false">IFERROR(100*N559/J559,"")</f>
        <v>3.54958689418245</v>
      </c>
    </row>
    <row r="560" customFormat="false" ht="15" hidden="false" customHeight="false" outlineLevel="0" collapsed="false">
      <c r="A560" s="17" t="n">
        <v>28155</v>
      </c>
      <c r="B560" s="23" t="n">
        <v>45838</v>
      </c>
      <c r="C560" s="17" t="s">
        <v>150</v>
      </c>
      <c r="D560" s="17" t="s">
        <v>116</v>
      </c>
      <c r="E560" s="17" t="s">
        <v>118</v>
      </c>
      <c r="F560" s="17" t="n">
        <v>317001</v>
      </c>
      <c r="G560" s="17" t="n">
        <v>304008</v>
      </c>
      <c r="H560" s="17" t="n">
        <v>287929</v>
      </c>
      <c r="I560" s="17" t="n">
        <v>27470</v>
      </c>
      <c r="J560" s="17" t="n">
        <v>180807</v>
      </c>
      <c r="K560" s="17" t="n">
        <v>177234.666666667</v>
      </c>
      <c r="L560" s="17" t="n">
        <v>165552</v>
      </c>
      <c r="M560" s="17" t="n">
        <v>8456</v>
      </c>
      <c r="N560" s="17" t="n">
        <v>6285</v>
      </c>
      <c r="O560" s="17" t="n">
        <v>0</v>
      </c>
      <c r="P560" s="17" t="n">
        <v>1753</v>
      </c>
      <c r="Q560" s="17" t="n">
        <v>0</v>
      </c>
      <c r="R560" s="17" t="n">
        <v>44</v>
      </c>
      <c r="S560" s="17" t="n">
        <v>28730</v>
      </c>
      <c r="T560" s="17" t="n">
        <v>167218</v>
      </c>
      <c r="U560" s="17" t="n">
        <v>-94</v>
      </c>
      <c r="V560" s="17" t="n">
        <v>-0.0309202389410805</v>
      </c>
      <c r="W560" s="17" t="n">
        <v>-0.34</v>
      </c>
      <c r="X560" s="17" t="n">
        <v>2.66189945807321</v>
      </c>
      <c r="Y560" s="17" t="n">
        <v>0.423656163754722</v>
      </c>
      <c r="Z560" s="17" t="n">
        <v>17.1811647071488</v>
      </c>
      <c r="AA560" s="17" t="n">
        <v>8.6655878057167</v>
      </c>
      <c r="AB560" s="17" t="n">
        <v>4.94810547747926</v>
      </c>
      <c r="AC560" s="17" t="n">
        <v>4.36130238786501</v>
      </c>
      <c r="AD560" s="17" t="n">
        <v>10.873265252684</v>
      </c>
      <c r="AE560" s="17" t="n">
        <v>0.0237817408925677</v>
      </c>
      <c r="AF560" s="17" t="n">
        <v>0</v>
      </c>
      <c r="AG560" s="18" t="n">
        <f aca="false">IFERROR(100*O560/F560,"")</f>
        <v>0</v>
      </c>
      <c r="AH560" s="18" t="n">
        <f aca="false">IFERROR(100*(P560+Q560)/F560,"")</f>
        <v>0.552995100961827</v>
      </c>
      <c r="AI560" s="18" t="n">
        <f aca="false">IFERROR(100*R560/K560,"")</f>
        <v>0.0248258429502129</v>
      </c>
      <c r="AJ560" s="18" t="n">
        <f aca="false">IF(T560&gt;0,100*S560/T560,"")</f>
        <v>17.1811647071488</v>
      </c>
      <c r="AK560" s="18" t="n">
        <f aca="false">IFERROR(100*U560/G560,"")</f>
        <v>-0.0309202389410805</v>
      </c>
      <c r="AL560" s="18" t="n">
        <f aca="false">IFERROR(100*J560/H560,"")</f>
        <v>62.7956892150495</v>
      </c>
      <c r="AM560" s="18" t="n">
        <f aca="false">IFERROR(100*L560/J560,"")</f>
        <v>91.5628266604722</v>
      </c>
      <c r="AN560" s="18" t="n">
        <f aca="false">IFERROR(100*M560/J560,"")</f>
        <v>4.67681007925578</v>
      </c>
      <c r="AO560" s="18" t="n">
        <f aca="false">IFERROR(100*N560/J560,"")</f>
        <v>3.47608223132954</v>
      </c>
    </row>
    <row r="561" customFormat="false" ht="15" hidden="false" customHeight="false" outlineLevel="0" collapsed="false">
      <c r="A561" s="17" t="n">
        <v>28288</v>
      </c>
      <c r="B561" s="23" t="n">
        <v>44651</v>
      </c>
      <c r="C561" s="17" t="s">
        <v>124</v>
      </c>
      <c r="D561" s="17" t="s">
        <v>108</v>
      </c>
      <c r="E561" s="17" t="s">
        <v>111</v>
      </c>
      <c r="F561" s="17" t="n">
        <v>92044</v>
      </c>
      <c r="G561" s="17" t="n">
        <v>92477.5</v>
      </c>
      <c r="H561" s="17" t="n">
        <v>76920</v>
      </c>
      <c r="I561" s="17" t="n">
        <v>7147</v>
      </c>
      <c r="J561" s="17" t="n">
        <v>74646</v>
      </c>
      <c r="K561" s="17" t="n">
        <v>73378</v>
      </c>
      <c r="L561" s="17" t="n">
        <v>70352</v>
      </c>
      <c r="M561" s="17" t="n">
        <v>3708</v>
      </c>
      <c r="N561" s="17" t="n">
        <v>587</v>
      </c>
      <c r="O561" s="17" t="n">
        <v>606</v>
      </c>
      <c r="P561" s="17" t="n">
        <v>345</v>
      </c>
      <c r="Q561" s="17" t="n">
        <v>0</v>
      </c>
      <c r="R561" s="17" t="n">
        <v>-8</v>
      </c>
      <c r="S561" s="17" t="n">
        <v>8735</v>
      </c>
      <c r="T561" s="17" t="n">
        <v>60377</v>
      </c>
      <c r="U561" s="17" t="n">
        <v>4</v>
      </c>
      <c r="V561" s="17" t="n">
        <v>0.00432537644291855</v>
      </c>
      <c r="W561" s="17" t="n">
        <v>0.05</v>
      </c>
      <c r="X561" s="17" t="n">
        <v>3.43394488632164</v>
      </c>
      <c r="Y561" s="17" t="n">
        <v>1.1641615089891</v>
      </c>
      <c r="Z561" s="17" t="n">
        <v>14.4674296503636</v>
      </c>
      <c r="AA561" s="17" t="n">
        <v>7.76476467776281</v>
      </c>
      <c r="AB561" s="17"/>
      <c r="AC561" s="17"/>
      <c r="AD561" s="17"/>
      <c r="AE561" s="17"/>
      <c r="AF561" s="17"/>
      <c r="AG561" s="18" t="n">
        <f aca="false">IFERROR(100*O561/F561,"")</f>
        <v>0.658380774412238</v>
      </c>
      <c r="AH561" s="18" t="n">
        <f aca="false">IFERROR(100*(P561+Q561)/F561,"")</f>
        <v>0.374820737907957</v>
      </c>
      <c r="AI561" s="18" t="n">
        <f aca="false">IFERROR(100*R561/K561,"")</f>
        <v>-0.0109024503257107</v>
      </c>
      <c r="AJ561" s="18" t="n">
        <f aca="false">IF(T561&gt;0,100*S561/T561,"")</f>
        <v>14.4674296503635</v>
      </c>
      <c r="AK561" s="18" t="n">
        <f aca="false">IFERROR(100*U561/G561,"")</f>
        <v>0.00432537644291855</v>
      </c>
      <c r="AL561" s="18" t="n">
        <f aca="false">IFERROR(100*J561/H561,"")</f>
        <v>97.0436817472699</v>
      </c>
      <c r="AM561" s="18" t="n">
        <f aca="false">IFERROR(100*L561/J561,"")</f>
        <v>94.2475149371701</v>
      </c>
      <c r="AN561" s="18" t="n">
        <f aca="false">IFERROR(100*M561/J561,"")</f>
        <v>4.96744634675669</v>
      </c>
      <c r="AO561" s="18" t="n">
        <f aca="false">IFERROR(100*N561/J561,"")</f>
        <v>0.786378372585269</v>
      </c>
    </row>
    <row r="562" customFormat="false" ht="15" hidden="false" customHeight="false" outlineLevel="0" collapsed="false">
      <c r="A562" s="17" t="n">
        <v>28288</v>
      </c>
      <c r="B562" s="23" t="n">
        <v>44742</v>
      </c>
      <c r="C562" s="17" t="s">
        <v>124</v>
      </c>
      <c r="D562" s="17" t="s">
        <v>108</v>
      </c>
      <c r="E562" s="17" t="s">
        <v>111</v>
      </c>
      <c r="F562" s="17" t="n">
        <v>98212</v>
      </c>
      <c r="G562" s="17" t="n">
        <v>94389</v>
      </c>
      <c r="H562" s="17" t="n">
        <v>80509</v>
      </c>
      <c r="I562" s="17" t="n">
        <v>6561</v>
      </c>
      <c r="J562" s="17" t="n">
        <v>77137</v>
      </c>
      <c r="K562" s="17" t="n">
        <v>74631</v>
      </c>
      <c r="L562" s="17" t="n">
        <v>73486</v>
      </c>
      <c r="M562" s="17" t="n">
        <v>3133</v>
      </c>
      <c r="N562" s="17" t="n">
        <v>518</v>
      </c>
      <c r="O562" s="17" t="n">
        <v>408</v>
      </c>
      <c r="P562" s="17" t="n">
        <v>38</v>
      </c>
      <c r="Q562" s="17" t="n">
        <v>0</v>
      </c>
      <c r="R562" s="17" t="n">
        <v>94</v>
      </c>
      <c r="S562" s="17" t="n">
        <v>8847</v>
      </c>
      <c r="T562" s="17" t="n">
        <v>65843</v>
      </c>
      <c r="U562" s="17" t="n">
        <v>92</v>
      </c>
      <c r="V562" s="17" t="n">
        <v>0.0974689847333906</v>
      </c>
      <c r="W562" s="17" t="n">
        <v>1.28</v>
      </c>
      <c r="X562" s="17" t="n">
        <v>3.52150607534091</v>
      </c>
      <c r="Y562" s="17" t="n">
        <v>1.11489946458898</v>
      </c>
      <c r="Z562" s="17" t="n">
        <v>13.4365080570448</v>
      </c>
      <c r="AA562" s="17" t="n">
        <v>6.6804463812976</v>
      </c>
      <c r="AB562" s="17"/>
      <c r="AC562" s="17"/>
      <c r="AD562" s="17"/>
      <c r="AE562" s="17"/>
      <c r="AF562" s="17"/>
      <c r="AG562" s="18" t="n">
        <f aca="false">IFERROR(100*O562/F562,"")</f>
        <v>0.415427849957235</v>
      </c>
      <c r="AH562" s="18" t="n">
        <f aca="false">IFERROR(100*(P562+Q562)/F562,"")</f>
        <v>0.0386918095548406</v>
      </c>
      <c r="AI562" s="18" t="n">
        <f aca="false">IFERROR(100*R562/K562,"")</f>
        <v>0.12595302220257</v>
      </c>
      <c r="AJ562" s="18" t="n">
        <f aca="false">IF(T562&gt;0,100*S562/T562,"")</f>
        <v>13.4365080570448</v>
      </c>
      <c r="AK562" s="18" t="n">
        <f aca="false">IFERROR(100*U562/G562,"")</f>
        <v>0.0974689847333905</v>
      </c>
      <c r="AL562" s="18" t="n">
        <f aca="false">IFERROR(100*J562/H562,"")</f>
        <v>95.8116483871368</v>
      </c>
      <c r="AM562" s="18" t="n">
        <f aca="false">IFERROR(100*L562/J562,"")</f>
        <v>95.2668628544019</v>
      </c>
      <c r="AN562" s="18" t="n">
        <f aca="false">IFERROR(100*M562/J562,"")</f>
        <v>4.06160467739217</v>
      </c>
      <c r="AO562" s="18" t="n">
        <f aca="false">IFERROR(100*N562/J562,"")</f>
        <v>0.671532468205919</v>
      </c>
    </row>
    <row r="563" customFormat="false" ht="15" hidden="false" customHeight="false" outlineLevel="0" collapsed="false">
      <c r="A563" s="17" t="n">
        <v>28288</v>
      </c>
      <c r="B563" s="23" t="n">
        <v>44834</v>
      </c>
      <c r="C563" s="17" t="s">
        <v>124</v>
      </c>
      <c r="D563" s="17" t="s">
        <v>108</v>
      </c>
      <c r="E563" s="17" t="s">
        <v>111</v>
      </c>
      <c r="F563" s="17" t="n">
        <v>98792</v>
      </c>
      <c r="G563" s="17" t="n">
        <v>95489.75</v>
      </c>
      <c r="H563" s="17" t="n">
        <v>81542</v>
      </c>
      <c r="I563" s="17" t="n">
        <v>5736</v>
      </c>
      <c r="J563" s="17" t="n">
        <v>78082</v>
      </c>
      <c r="K563" s="17" t="n">
        <v>75493.75</v>
      </c>
      <c r="L563" s="17" t="n">
        <v>74509</v>
      </c>
      <c r="M563" s="17" t="n">
        <v>3129</v>
      </c>
      <c r="N563" s="17" t="n">
        <v>444</v>
      </c>
      <c r="O563" s="17" t="n">
        <v>387</v>
      </c>
      <c r="P563" s="17" t="n">
        <v>133</v>
      </c>
      <c r="Q563" s="17" t="n">
        <v>0</v>
      </c>
      <c r="R563" s="17" t="n">
        <v>61.3318</v>
      </c>
      <c r="S563" s="17" t="n">
        <v>8852</v>
      </c>
      <c r="T563" s="17" t="n">
        <v>64123</v>
      </c>
      <c r="U563" s="17" t="n">
        <v>95.9976</v>
      </c>
      <c r="V563" s="17" t="n">
        <v>0.100531837186714</v>
      </c>
      <c r="W563" s="17" t="n">
        <v>1.41</v>
      </c>
      <c r="X563" s="17" t="n">
        <v>3.53829172909139</v>
      </c>
      <c r="Y563" s="17" t="n">
        <v>1.10268691888015</v>
      </c>
      <c r="Z563" s="17" t="n">
        <v>13.8047190555651</v>
      </c>
      <c r="AA563" s="17" t="n">
        <v>5.80613814883796</v>
      </c>
      <c r="AB563" s="17"/>
      <c r="AC563" s="17"/>
      <c r="AD563" s="17"/>
      <c r="AE563" s="17"/>
      <c r="AF563" s="17"/>
      <c r="AG563" s="18" t="n">
        <f aca="false">IFERROR(100*O563/F563,"")</f>
        <v>0.391732124058628</v>
      </c>
      <c r="AH563" s="18" t="n">
        <f aca="false">IFERROR(100*(P563+Q563)/F563,"")</f>
        <v>0.134626285529193</v>
      </c>
      <c r="AI563" s="18" t="n">
        <f aca="false">IFERROR(100*R563/K563,"")</f>
        <v>0.0812408974252835</v>
      </c>
      <c r="AJ563" s="18" t="n">
        <f aca="false">IF(T563&gt;0,100*S563/T563,"")</f>
        <v>13.8047190555651</v>
      </c>
      <c r="AK563" s="18" t="n">
        <f aca="false">IFERROR(100*U563/G563,"")</f>
        <v>0.100531837186714</v>
      </c>
      <c r="AL563" s="18" t="n">
        <f aca="false">IFERROR(100*J563/H563,"")</f>
        <v>95.7567879129774</v>
      </c>
      <c r="AM563" s="18" t="n">
        <f aca="false">IFERROR(100*L563/J563,"")</f>
        <v>95.4240413923824</v>
      </c>
      <c r="AN563" s="18" t="n">
        <f aca="false">IFERROR(100*M563/J563,"")</f>
        <v>4.00732563202787</v>
      </c>
      <c r="AO563" s="18" t="n">
        <f aca="false">IFERROR(100*N563/J563,"")</f>
        <v>0.568632975589765</v>
      </c>
    </row>
    <row r="564" customFormat="false" ht="15" hidden="false" customHeight="false" outlineLevel="0" collapsed="false">
      <c r="A564" s="17" t="n">
        <v>28288</v>
      </c>
      <c r="B564" s="23" t="n">
        <v>44926</v>
      </c>
      <c r="C564" s="17" t="s">
        <v>124</v>
      </c>
      <c r="D564" s="17" t="s">
        <v>108</v>
      </c>
      <c r="E564" s="17" t="s">
        <v>111</v>
      </c>
      <c r="F564" s="17" t="n">
        <v>101567</v>
      </c>
      <c r="G564" s="17" t="n">
        <v>96705.2</v>
      </c>
      <c r="H564" s="17" t="n">
        <v>81268</v>
      </c>
      <c r="I564" s="17" t="n">
        <v>5901</v>
      </c>
      <c r="J564" s="17" t="n">
        <v>78728</v>
      </c>
      <c r="K564" s="17" t="n">
        <v>76140.6</v>
      </c>
      <c r="L564" s="17" t="n">
        <v>74650</v>
      </c>
      <c r="M564" s="17" t="n">
        <v>3446</v>
      </c>
      <c r="N564" s="17" t="n">
        <v>633</v>
      </c>
      <c r="O564" s="17" t="n">
        <v>364</v>
      </c>
      <c r="P564" s="17" t="n">
        <v>54</v>
      </c>
      <c r="Q564" s="17" t="n">
        <v>0</v>
      </c>
      <c r="R564" s="17" t="n">
        <v>45</v>
      </c>
      <c r="S564" s="17" t="n">
        <v>8888</v>
      </c>
      <c r="T564" s="17" t="n">
        <v>65055</v>
      </c>
      <c r="U564" s="17" t="n">
        <v>95</v>
      </c>
      <c r="V564" s="17" t="n">
        <v>0.0982367028867114</v>
      </c>
      <c r="W564" s="17" t="n">
        <v>1.43</v>
      </c>
      <c r="X564" s="17" t="n">
        <v>3.46738373105731</v>
      </c>
      <c r="Y564" s="17" t="n">
        <v>1.09490905395793</v>
      </c>
      <c r="Z564" s="17" t="n">
        <v>13.6622857582046</v>
      </c>
      <c r="AA564" s="17" t="n">
        <v>5.80995795878583</v>
      </c>
      <c r="AB564" s="17"/>
      <c r="AC564" s="17"/>
      <c r="AD564" s="17"/>
      <c r="AE564" s="17"/>
      <c r="AF564" s="17"/>
      <c r="AG564" s="18" t="n">
        <f aca="false">IFERROR(100*O564/F564,"")</f>
        <v>0.358384120826646</v>
      </c>
      <c r="AH564" s="18" t="n">
        <f aca="false">IFERROR(100*(P564+Q564)/F564,"")</f>
        <v>0.0531668750676893</v>
      </c>
      <c r="AI564" s="18" t="n">
        <f aca="false">IFERROR(100*R564/K564,"")</f>
        <v>0.059101189115925</v>
      </c>
      <c r="AJ564" s="18" t="n">
        <f aca="false">IF(T564&gt;0,100*S564/T564,"")</f>
        <v>13.6622857582046</v>
      </c>
      <c r="AK564" s="18" t="n">
        <f aca="false">IFERROR(100*U564/G564,"")</f>
        <v>0.0982367028867114</v>
      </c>
      <c r="AL564" s="18" t="n">
        <f aca="false">IFERROR(100*J564/H564,"")</f>
        <v>96.8745385637643</v>
      </c>
      <c r="AM564" s="18" t="n">
        <f aca="false">IFERROR(100*L564/J564,"")</f>
        <v>94.8201402296515</v>
      </c>
      <c r="AN564" s="18" t="n">
        <f aca="false">IFERROR(100*M564/J564,"")</f>
        <v>4.37709582359516</v>
      </c>
      <c r="AO564" s="18" t="n">
        <f aca="false">IFERROR(100*N564/J564,"")</f>
        <v>0.804034142871659</v>
      </c>
    </row>
    <row r="565" customFormat="false" ht="15" hidden="false" customHeight="false" outlineLevel="0" collapsed="false">
      <c r="A565" s="17" t="n">
        <v>28288</v>
      </c>
      <c r="B565" s="23" t="n">
        <v>45016</v>
      </c>
      <c r="C565" s="17" t="s">
        <v>124</v>
      </c>
      <c r="D565" s="17" t="s">
        <v>108</v>
      </c>
      <c r="E565" s="17" t="s">
        <v>111</v>
      </c>
      <c r="F565" s="17" t="n">
        <v>101744</v>
      </c>
      <c r="G565" s="17" t="n">
        <v>101655.5</v>
      </c>
      <c r="H565" s="17" t="n">
        <v>79637</v>
      </c>
      <c r="I565" s="17" t="n">
        <v>6128</v>
      </c>
      <c r="J565" s="17" t="n">
        <v>79160</v>
      </c>
      <c r="K565" s="17" t="n">
        <v>78944</v>
      </c>
      <c r="L565" s="17" t="n">
        <v>75313</v>
      </c>
      <c r="M565" s="17" t="n">
        <v>3222</v>
      </c>
      <c r="N565" s="17" t="n">
        <v>625</v>
      </c>
      <c r="O565" s="17" t="n">
        <v>270</v>
      </c>
      <c r="P565" s="17" t="n">
        <v>844</v>
      </c>
      <c r="Q565" s="17" t="n">
        <v>0</v>
      </c>
      <c r="R565" s="17" t="n">
        <v>-4</v>
      </c>
      <c r="S565" s="17" t="n">
        <v>8901</v>
      </c>
      <c r="T565" s="17" t="n">
        <v>64668</v>
      </c>
      <c r="U565" s="17" t="n">
        <v>76</v>
      </c>
      <c r="V565" s="17" t="n">
        <v>0.0747623099586348</v>
      </c>
      <c r="W565" s="17" t="n">
        <v>1.26</v>
      </c>
      <c r="X565" s="17" t="n">
        <v>3.00779992314323</v>
      </c>
      <c r="Y565" s="17" t="n">
        <v>1.09146033350177</v>
      </c>
      <c r="Z565" s="17" t="n">
        <v>13.7641491928002</v>
      </c>
      <c r="AA565" s="17" t="n">
        <v>6.02295958484038</v>
      </c>
      <c r="AB565" s="17" t="n">
        <v>10.5384381382817</v>
      </c>
      <c r="AC565" s="17" t="n">
        <v>6.04720949548536</v>
      </c>
      <c r="AD565" s="17" t="n">
        <v>3.53224128965159</v>
      </c>
      <c r="AE565" s="17" t="n">
        <v>0.0704369335157163</v>
      </c>
      <c r="AF565" s="17" t="n">
        <v>-0.39300886058931</v>
      </c>
      <c r="AG565" s="18" t="n">
        <f aca="false">IFERROR(100*O565/F565,"")</f>
        <v>0.265371913822928</v>
      </c>
      <c r="AH565" s="18" t="n">
        <f aca="false">IFERROR(100*(P565+Q565)/F565,"")</f>
        <v>0.829532945431672</v>
      </c>
      <c r="AI565" s="18" t="n">
        <f aca="false">IFERROR(100*R565/K565,"")</f>
        <v>-0.00506688285366842</v>
      </c>
      <c r="AJ565" s="18" t="n">
        <f aca="false">IF(T565&gt;0,100*S565/T565,"")</f>
        <v>13.7641491928001</v>
      </c>
      <c r="AK565" s="18" t="n">
        <f aca="false">IFERROR(100*U565/G565,"")</f>
        <v>0.0747623099586348</v>
      </c>
      <c r="AL565" s="18" t="n">
        <f aca="false">IFERROR(100*J565/H565,"")</f>
        <v>99.4010321835328</v>
      </c>
      <c r="AM565" s="18" t="n">
        <f aca="false">IFERROR(100*L565/J565,"")</f>
        <v>95.1402223345124</v>
      </c>
      <c r="AN565" s="18" t="n">
        <f aca="false">IFERROR(100*M565/J565,"")</f>
        <v>4.07023749368368</v>
      </c>
      <c r="AO565" s="18" t="n">
        <f aca="false">IFERROR(100*N565/J565,"")</f>
        <v>0.789540171803941</v>
      </c>
    </row>
    <row r="566" customFormat="false" ht="15" hidden="false" customHeight="false" outlineLevel="0" collapsed="false">
      <c r="A566" s="17" t="n">
        <v>28288</v>
      </c>
      <c r="B566" s="23" t="n">
        <v>45107</v>
      </c>
      <c r="C566" s="17" t="s">
        <v>124</v>
      </c>
      <c r="D566" s="17" t="s">
        <v>108</v>
      </c>
      <c r="E566" s="17" t="s">
        <v>111</v>
      </c>
      <c r="F566" s="17" t="n">
        <v>103989</v>
      </c>
      <c r="G566" s="17" t="n">
        <v>102433.333333333</v>
      </c>
      <c r="H566" s="17" t="n">
        <v>78624</v>
      </c>
      <c r="I566" s="17" t="n">
        <v>5937</v>
      </c>
      <c r="J566" s="17" t="n">
        <v>81091</v>
      </c>
      <c r="K566" s="17" t="n">
        <v>79659.6666666667</v>
      </c>
      <c r="L566" s="17" t="n">
        <v>75531</v>
      </c>
      <c r="M566" s="17" t="n">
        <v>4909</v>
      </c>
      <c r="N566" s="17" t="n">
        <v>651</v>
      </c>
      <c r="O566" s="17" t="n">
        <v>266</v>
      </c>
      <c r="P566" s="17" t="n">
        <v>831</v>
      </c>
      <c r="Q566" s="17" t="n">
        <v>0</v>
      </c>
      <c r="R566" s="17" t="n">
        <v>-16</v>
      </c>
      <c r="S566" s="17" t="n">
        <v>8886</v>
      </c>
      <c r="T566" s="17" t="n">
        <v>66151</v>
      </c>
      <c r="U566" s="17" t="n">
        <v>-30</v>
      </c>
      <c r="V566" s="17" t="n">
        <v>-0.0292873413602343</v>
      </c>
      <c r="W566" s="17" t="n">
        <v>-0.5</v>
      </c>
      <c r="X566" s="17" t="n">
        <v>2.81908951863754</v>
      </c>
      <c r="Y566" s="17" t="n">
        <v>1.07286875238929</v>
      </c>
      <c r="Z566" s="17" t="n">
        <v>13.4329035086393</v>
      </c>
      <c r="AA566" s="17" t="n">
        <v>5.70925770995009</v>
      </c>
      <c r="AB566" s="17" t="n">
        <v>5.88217325785037</v>
      </c>
      <c r="AC566" s="17" t="n">
        <v>5.12594474765677</v>
      </c>
      <c r="AD566" s="17" t="n">
        <v>-2.34135314064267</v>
      </c>
      <c r="AE566" s="17" t="n">
        <v>-0.126756326093625</v>
      </c>
      <c r="AF566" s="17" t="n">
        <v>-0.159631563811585</v>
      </c>
      <c r="AG566" s="18" t="n">
        <f aca="false">IFERROR(100*O566/F566,"")</f>
        <v>0.25579628614565</v>
      </c>
      <c r="AH566" s="18" t="n">
        <f aca="false">IFERROR(100*(P566+Q566)/F566,"")</f>
        <v>0.799122984161786</v>
      </c>
      <c r="AI566" s="18" t="n">
        <f aca="false">IFERROR(100*R566/K566,"")</f>
        <v>-0.0200854468384251</v>
      </c>
      <c r="AJ566" s="18" t="n">
        <f aca="false">IF(T566&gt;0,100*S566/T566,"")</f>
        <v>13.4329035086393</v>
      </c>
      <c r="AK566" s="18" t="n">
        <f aca="false">IFERROR(100*U566/G566,"")</f>
        <v>-0.0292873413602343</v>
      </c>
      <c r="AL566" s="18" t="n">
        <f aca="false">IFERROR(100*J566/H566,"")</f>
        <v>103.137718762719</v>
      </c>
      <c r="AM566" s="18" t="n">
        <f aca="false">IFERROR(100*L566/J566,"")</f>
        <v>93.1435054445006</v>
      </c>
      <c r="AN566" s="18" t="n">
        <f aca="false">IFERROR(100*M566/J566,"")</f>
        <v>6.05369276491843</v>
      </c>
      <c r="AO566" s="18" t="n">
        <f aca="false">IFERROR(100*N566/J566,"")</f>
        <v>0.802801790580952</v>
      </c>
    </row>
    <row r="567" customFormat="false" ht="15" hidden="false" customHeight="false" outlineLevel="0" collapsed="false">
      <c r="A567" s="17" t="n">
        <v>28288</v>
      </c>
      <c r="B567" s="23" t="n">
        <v>45199</v>
      </c>
      <c r="C567" s="17" t="s">
        <v>124</v>
      </c>
      <c r="D567" s="17" t="s">
        <v>108</v>
      </c>
      <c r="E567" s="17" t="s">
        <v>111</v>
      </c>
      <c r="F567" s="17" t="n">
        <v>101273</v>
      </c>
      <c r="G567" s="17" t="n">
        <v>102143.25</v>
      </c>
      <c r="H567" s="17" t="n">
        <v>77424</v>
      </c>
      <c r="I567" s="17" t="n">
        <v>5334</v>
      </c>
      <c r="J567" s="17" t="n">
        <v>81191</v>
      </c>
      <c r="K567" s="17" t="n">
        <v>80042.5</v>
      </c>
      <c r="L567" s="17" t="n">
        <v>76188</v>
      </c>
      <c r="M567" s="17" t="n">
        <v>4476</v>
      </c>
      <c r="N567" s="17" t="n">
        <v>527</v>
      </c>
      <c r="O567" s="17" t="n">
        <v>264</v>
      </c>
      <c r="P567" s="17" t="n">
        <v>37</v>
      </c>
      <c r="Q567" s="17" t="n">
        <v>0</v>
      </c>
      <c r="R567" s="17" t="n">
        <v>-10.6664</v>
      </c>
      <c r="S567" s="17" t="n">
        <v>8883</v>
      </c>
      <c r="T567" s="17" t="n">
        <v>66950</v>
      </c>
      <c r="U567" s="17" t="n">
        <v>-35.9991</v>
      </c>
      <c r="V567" s="17" t="n">
        <v>-0.0352437385730335</v>
      </c>
      <c r="W567" s="17" t="n">
        <v>-0.62</v>
      </c>
      <c r="X567" s="17" t="n">
        <v>2.73718549820226</v>
      </c>
      <c r="Y567" s="17" t="n">
        <v>1.07154733899078</v>
      </c>
      <c r="Z567" s="17" t="n">
        <v>13.2681105302465</v>
      </c>
      <c r="AA567" s="17" t="n">
        <v>5.26695170479792</v>
      </c>
      <c r="AB567" s="17" t="n">
        <v>2.51133695036034</v>
      </c>
      <c r="AC567" s="17" t="n">
        <v>3.98171153402833</v>
      </c>
      <c r="AD567" s="17" t="n">
        <v>-5.05015820068185</v>
      </c>
      <c r="AE567" s="17" t="n">
        <v>-0.135775575759747</v>
      </c>
      <c r="AF567" s="17" t="n">
        <v>-0.131050599861656</v>
      </c>
      <c r="AG567" s="18" t="n">
        <f aca="false">IFERROR(100*O567/F567,"")</f>
        <v>0.260681524196973</v>
      </c>
      <c r="AH567" s="18" t="n">
        <f aca="false">IFERROR(100*(P567+Q567)/F567,"")</f>
        <v>0.0365349105882121</v>
      </c>
      <c r="AI567" s="18" t="n">
        <f aca="false">IFERROR(100*R567/K567,"")</f>
        <v>-0.0133259206046788</v>
      </c>
      <c r="AJ567" s="18" t="n">
        <f aca="false">IF(T567&gt;0,100*S567/T567,"")</f>
        <v>13.2681105302465</v>
      </c>
      <c r="AK567" s="18" t="n">
        <f aca="false">IFERROR(100*U567/G567,"")</f>
        <v>-0.0352437385730335</v>
      </c>
      <c r="AL567" s="18" t="n">
        <f aca="false">IFERROR(100*J567/H567,"")</f>
        <v>104.865416408349</v>
      </c>
      <c r="AM567" s="18" t="n">
        <f aca="false">IFERROR(100*L567/J567,"")</f>
        <v>93.837986968999</v>
      </c>
      <c r="AN567" s="18" t="n">
        <f aca="false">IFERROR(100*M567/J567,"")</f>
        <v>5.51292630956633</v>
      </c>
      <c r="AO567" s="18" t="n">
        <f aca="false">IFERROR(100*N567/J567,"")</f>
        <v>0.649086721434642</v>
      </c>
    </row>
    <row r="568" customFormat="false" ht="15" hidden="false" customHeight="false" outlineLevel="0" collapsed="false">
      <c r="A568" s="17" t="n">
        <v>28288</v>
      </c>
      <c r="B568" s="23" t="n">
        <v>45291</v>
      </c>
      <c r="C568" s="17" t="s">
        <v>124</v>
      </c>
      <c r="D568" s="17" t="s">
        <v>108</v>
      </c>
      <c r="E568" s="17" t="s">
        <v>111</v>
      </c>
      <c r="F568" s="17" t="n">
        <v>105413</v>
      </c>
      <c r="G568" s="17" t="n">
        <v>102797.2</v>
      </c>
      <c r="H568" s="17" t="n">
        <v>79221</v>
      </c>
      <c r="I568" s="17" t="n">
        <v>6044</v>
      </c>
      <c r="J568" s="17" t="n">
        <v>84936</v>
      </c>
      <c r="K568" s="17" t="n">
        <v>81021.2</v>
      </c>
      <c r="L568" s="17" t="n">
        <v>76865</v>
      </c>
      <c r="M568" s="17" t="n">
        <v>5007</v>
      </c>
      <c r="N568" s="17" t="n">
        <v>3064</v>
      </c>
      <c r="O568" s="17" t="n">
        <v>257</v>
      </c>
      <c r="P568" s="17" t="n">
        <v>125</v>
      </c>
      <c r="Q568" s="17" t="n">
        <v>0</v>
      </c>
      <c r="R568" s="17" t="n">
        <v>-8</v>
      </c>
      <c r="S568" s="17" t="n">
        <v>8870</v>
      </c>
      <c r="T568" s="17" t="n">
        <v>69204</v>
      </c>
      <c r="U568" s="17" t="n">
        <v>-68</v>
      </c>
      <c r="V568" s="17" t="n">
        <v>-0.0661496616639364</v>
      </c>
      <c r="W568" s="17" t="n">
        <v>-1.16</v>
      </c>
      <c r="X568" s="17" t="n">
        <v>2.66046881663987</v>
      </c>
      <c r="Y568" s="17" t="n">
        <v>1.0243006499011</v>
      </c>
      <c r="Z568" s="17" t="n">
        <v>12.817178197792</v>
      </c>
      <c r="AA568" s="17" t="n">
        <v>5.7336381660706</v>
      </c>
      <c r="AB568" s="17" t="n">
        <v>3.78666299093209</v>
      </c>
      <c r="AC568" s="17" t="n">
        <v>7.88537750228635</v>
      </c>
      <c r="AD568" s="17" t="n">
        <v>-2.51882659841513</v>
      </c>
      <c r="AE568" s="17" t="n">
        <v>-0.164386364550648</v>
      </c>
      <c r="AF568" s="17" t="n">
        <v>-0.114581174320997</v>
      </c>
      <c r="AG568" s="18" t="n">
        <f aca="false">IFERROR(100*O568/F568,"")</f>
        <v>0.243802946505649</v>
      </c>
      <c r="AH568" s="18" t="n">
        <f aca="false">IFERROR(100*(P568+Q568)/F568,"")</f>
        <v>0.118581199662281</v>
      </c>
      <c r="AI568" s="18" t="n">
        <f aca="false">IFERROR(100*R568/K568,"")</f>
        <v>-0.00987395891445696</v>
      </c>
      <c r="AJ568" s="18" t="n">
        <f aca="false">IF(T568&gt;0,100*S568/T568,"")</f>
        <v>12.817178197792</v>
      </c>
      <c r="AK568" s="18" t="n">
        <f aca="false">IFERROR(100*U568/G568,"")</f>
        <v>-0.0661496616639364</v>
      </c>
      <c r="AL568" s="18" t="n">
        <f aca="false">IFERROR(100*J568/H568,"")</f>
        <v>107.213996288863</v>
      </c>
      <c r="AM568" s="18" t="n">
        <f aca="false">IFERROR(100*L568/J568,"")</f>
        <v>90.4975510972968</v>
      </c>
      <c r="AN568" s="18" t="n">
        <f aca="false">IFERROR(100*M568/J568,"")</f>
        <v>5.89502684374117</v>
      </c>
      <c r="AO568" s="18" t="n">
        <f aca="false">IFERROR(100*N568/J568,"")</f>
        <v>3.60742205896204</v>
      </c>
    </row>
    <row r="569" customFormat="false" ht="15" hidden="false" customHeight="false" outlineLevel="0" collapsed="false">
      <c r="A569" s="17" t="n">
        <v>28288</v>
      </c>
      <c r="B569" s="23" t="n">
        <v>45382</v>
      </c>
      <c r="C569" s="17" t="s">
        <v>124</v>
      </c>
      <c r="D569" s="17" t="s">
        <v>108</v>
      </c>
      <c r="E569" s="17" t="s">
        <v>111</v>
      </c>
      <c r="F569" s="17" t="n">
        <v>103458</v>
      </c>
      <c r="G569" s="17" t="n">
        <v>104435.5</v>
      </c>
      <c r="H569" s="17" t="n">
        <v>74972</v>
      </c>
      <c r="I569" s="17" t="n">
        <v>5859</v>
      </c>
      <c r="J569" s="17" t="n">
        <v>83770</v>
      </c>
      <c r="K569" s="17" t="n">
        <v>84353</v>
      </c>
      <c r="L569" s="17" t="n">
        <v>75913</v>
      </c>
      <c r="M569" s="17" t="n">
        <v>4949</v>
      </c>
      <c r="N569" s="17" t="n">
        <v>2908</v>
      </c>
      <c r="O569" s="17" t="n">
        <v>254</v>
      </c>
      <c r="P569" s="17" t="n">
        <v>107</v>
      </c>
      <c r="Q569" s="17" t="n">
        <v>0</v>
      </c>
      <c r="R569" s="17" t="n">
        <v>0</v>
      </c>
      <c r="S569" s="17" t="n">
        <v>8828</v>
      </c>
      <c r="T569" s="17" t="n">
        <v>64252</v>
      </c>
      <c r="U569" s="17" t="n">
        <v>76</v>
      </c>
      <c r="V569" s="17" t="n">
        <v>0.0727721895332526</v>
      </c>
      <c r="W569" s="17" t="n">
        <v>1.28</v>
      </c>
      <c r="X569" s="17" t="n">
        <v>2.71613383497978</v>
      </c>
      <c r="Y569" s="17" t="n">
        <v>1.03855795630894</v>
      </c>
      <c r="Z569" s="17" t="n">
        <v>13.7396501276225</v>
      </c>
      <c r="AA569" s="17" t="n">
        <v>5.66316766223975</v>
      </c>
      <c r="AB569" s="17" t="n">
        <v>1.68462022330556</v>
      </c>
      <c r="AC569" s="17" t="n">
        <v>5.82364830722588</v>
      </c>
      <c r="AD569" s="17" t="n">
        <v>-5.85782990318571</v>
      </c>
      <c r="AE569" s="17" t="n">
        <v>-0.00199012042538223</v>
      </c>
      <c r="AF569" s="17" t="n">
        <v>-0.0198616584535995</v>
      </c>
      <c r="AG569" s="18" t="n">
        <f aca="false">IFERROR(100*O569/F569,"")</f>
        <v>0.245510255369329</v>
      </c>
      <c r="AH569" s="18" t="n">
        <f aca="false">IFERROR(100*(P569+Q569)/F569,"")</f>
        <v>0.103423611513851</v>
      </c>
      <c r="AI569" s="18" t="n">
        <f aca="false">IFERROR(100*R569/K569,"")</f>
        <v>0</v>
      </c>
      <c r="AJ569" s="18" t="n">
        <f aca="false">IF(T569&gt;0,100*S569/T569,"")</f>
        <v>13.7396501276225</v>
      </c>
      <c r="AK569" s="18" t="n">
        <f aca="false">IFERROR(100*U569/G569,"")</f>
        <v>0.0727721895332526</v>
      </c>
      <c r="AL569" s="18" t="n">
        <f aca="false">IFERROR(100*J569/H569,"")</f>
        <v>111.73504775116</v>
      </c>
      <c r="AM569" s="18" t="n">
        <f aca="false">IFERROR(100*L569/J569,"")</f>
        <v>90.6207472842306</v>
      </c>
      <c r="AN569" s="18" t="n">
        <f aca="false">IFERROR(100*M569/J569,"")</f>
        <v>5.9078429031873</v>
      </c>
      <c r="AO569" s="18" t="n">
        <f aca="false">IFERROR(100*N569/J569,"")</f>
        <v>3.47140981258207</v>
      </c>
    </row>
    <row r="570" customFormat="false" ht="15" hidden="false" customHeight="false" outlineLevel="0" collapsed="false">
      <c r="A570" s="17" t="n">
        <v>28288</v>
      </c>
      <c r="B570" s="23" t="n">
        <v>45473</v>
      </c>
      <c r="C570" s="17" t="s">
        <v>124</v>
      </c>
      <c r="D570" s="17" t="s">
        <v>108</v>
      </c>
      <c r="E570" s="17" t="s">
        <v>111</v>
      </c>
      <c r="F570" s="17" t="n">
        <v>102466</v>
      </c>
      <c r="G570" s="17" t="n">
        <v>103779</v>
      </c>
      <c r="H570" s="17" t="n">
        <v>74553</v>
      </c>
      <c r="I570" s="17" t="n">
        <v>5947</v>
      </c>
      <c r="J570" s="17" t="n">
        <v>82144</v>
      </c>
      <c r="K570" s="17" t="n">
        <v>83616.6666666667</v>
      </c>
      <c r="L570" s="17" t="n">
        <v>74830</v>
      </c>
      <c r="M570" s="17" t="n">
        <v>4600</v>
      </c>
      <c r="N570" s="17" t="n">
        <v>2714</v>
      </c>
      <c r="O570" s="17" t="n">
        <v>251</v>
      </c>
      <c r="P570" s="17" t="n">
        <v>111</v>
      </c>
      <c r="Q570" s="17" t="n">
        <v>0</v>
      </c>
      <c r="R570" s="17" t="n">
        <v>0</v>
      </c>
      <c r="S570" s="17" t="n">
        <v>8906</v>
      </c>
      <c r="T570" s="17" t="n">
        <v>67654</v>
      </c>
      <c r="U570" s="17" t="n">
        <v>108</v>
      </c>
      <c r="V570" s="17" t="n">
        <v>0.104067296851964</v>
      </c>
      <c r="W570" s="17" t="n">
        <v>1.82</v>
      </c>
      <c r="X570" s="17" t="n">
        <v>2.67533222086354</v>
      </c>
      <c r="Y570" s="17" t="n">
        <v>1.05668095052591</v>
      </c>
      <c r="Z570" s="17" t="n">
        <v>13.1640405593165</v>
      </c>
      <c r="AA570" s="17" t="n">
        <v>5.80387640778405</v>
      </c>
      <c r="AB570" s="17" t="n">
        <v>-1.46457798420987</v>
      </c>
      <c r="AC570" s="17" t="n">
        <v>1.29854114513324</v>
      </c>
      <c r="AD570" s="17" t="n">
        <v>-5.17780830280831</v>
      </c>
      <c r="AE570" s="17" t="n">
        <v>0.133354638212199</v>
      </c>
      <c r="AF570" s="17" t="n">
        <v>-0.0108369825717816</v>
      </c>
      <c r="AG570" s="18" t="n">
        <f aca="false">IFERROR(100*O570/F570,"")</f>
        <v>0.244959303573868</v>
      </c>
      <c r="AH570" s="18" t="n">
        <f aca="false">IFERROR(100*(P570+Q570)/F570,"")</f>
        <v>0.108328616321512</v>
      </c>
      <c r="AI570" s="18" t="n">
        <f aca="false">IFERROR(100*R570/K570,"")</f>
        <v>0</v>
      </c>
      <c r="AJ570" s="18" t="n">
        <f aca="false">IF(T570&gt;0,100*S570/T570,"")</f>
        <v>13.1640405593165</v>
      </c>
      <c r="AK570" s="18" t="n">
        <f aca="false">IFERROR(100*U570/G570,"")</f>
        <v>0.104067296851964</v>
      </c>
      <c r="AL570" s="18" t="n">
        <f aca="false">IFERROR(100*J570/H570,"")</f>
        <v>110.182018161576</v>
      </c>
      <c r="AM570" s="18" t="n">
        <f aca="false">IFERROR(100*L570/J570,"")</f>
        <v>91.0961238800156</v>
      </c>
      <c r="AN570" s="18" t="n">
        <f aca="false">IFERROR(100*M570/J570,"")</f>
        <v>5.59992208804051</v>
      </c>
      <c r="AO570" s="18" t="n">
        <f aca="false">IFERROR(100*N570/J570,"")</f>
        <v>3.3039540319439</v>
      </c>
    </row>
    <row r="571" customFormat="false" ht="15" hidden="false" customHeight="false" outlineLevel="0" collapsed="false">
      <c r="A571" s="17" t="n">
        <v>28288</v>
      </c>
      <c r="B571" s="23" t="n">
        <v>45565</v>
      </c>
      <c r="C571" s="17" t="s">
        <v>124</v>
      </c>
      <c r="D571" s="17" t="s">
        <v>108</v>
      </c>
      <c r="E571" s="17" t="s">
        <v>111</v>
      </c>
      <c r="F571" s="17" t="n">
        <v>102402</v>
      </c>
      <c r="G571" s="17" t="n">
        <v>103434.75</v>
      </c>
      <c r="H571" s="17" t="n">
        <v>74874</v>
      </c>
      <c r="I571" s="17" t="n">
        <v>6447</v>
      </c>
      <c r="J571" s="17" t="n">
        <v>81030</v>
      </c>
      <c r="K571" s="17" t="n">
        <v>82970</v>
      </c>
      <c r="L571" s="17" t="n">
        <v>74225</v>
      </c>
      <c r="M571" s="17" t="n">
        <v>4248</v>
      </c>
      <c r="N571" s="17" t="n">
        <v>2557</v>
      </c>
      <c r="O571" s="17" t="n">
        <v>140</v>
      </c>
      <c r="P571" s="17" t="n">
        <v>6</v>
      </c>
      <c r="Q571" s="17" t="n">
        <v>0</v>
      </c>
      <c r="R571" s="17" t="n">
        <v>0</v>
      </c>
      <c r="S571" s="17" t="n">
        <v>8904</v>
      </c>
      <c r="T571" s="17" t="n">
        <v>66544</v>
      </c>
      <c r="U571" s="17" t="n">
        <v>89.3311</v>
      </c>
      <c r="V571" s="17" t="n">
        <v>0.0863646888497338</v>
      </c>
      <c r="W571" s="17" t="n">
        <v>1.47</v>
      </c>
      <c r="X571" s="17" t="n">
        <v>2.64944575444701</v>
      </c>
      <c r="Y571" s="17" t="n">
        <v>1.03295075897816</v>
      </c>
      <c r="Z571" s="17" t="n">
        <v>13.3806203414282</v>
      </c>
      <c r="AA571" s="17" t="n">
        <v>6.29577547313529</v>
      </c>
      <c r="AB571" s="17" t="n">
        <v>1.11480848794843</v>
      </c>
      <c r="AC571" s="17" t="n">
        <v>-0.198297840893691</v>
      </c>
      <c r="AD571" s="17" t="n">
        <v>-3.29355238685679</v>
      </c>
      <c r="AE571" s="17" t="n">
        <v>0.121608427422767</v>
      </c>
      <c r="AF571" s="17" t="n">
        <v>-0.123965444432905</v>
      </c>
      <c r="AG571" s="18" t="n">
        <f aca="false">IFERROR(100*O571/F571,"")</f>
        <v>0.136716079764067</v>
      </c>
      <c r="AH571" s="18" t="n">
        <f aca="false">IFERROR(100*(P571+Q571)/F571,"")</f>
        <v>0.00585926056131716</v>
      </c>
      <c r="AI571" s="18" t="n">
        <f aca="false">IFERROR(100*R571/K571,"")</f>
        <v>0</v>
      </c>
      <c r="AJ571" s="18" t="n">
        <f aca="false">IF(T571&gt;0,100*S571/T571,"")</f>
        <v>13.3806203414282</v>
      </c>
      <c r="AK571" s="18" t="n">
        <f aca="false">IFERROR(100*U571/G571,"")</f>
        <v>0.0863646888497338</v>
      </c>
      <c r="AL571" s="18" t="n">
        <f aca="false">IFERROR(100*J571/H571,"")</f>
        <v>108.221812645244</v>
      </c>
      <c r="AM571" s="18" t="n">
        <f aca="false">IFERROR(100*L571/J571,"")</f>
        <v>91.6018758484512</v>
      </c>
      <c r="AN571" s="18" t="n">
        <f aca="false">IFERROR(100*M571/J571,"")</f>
        <v>5.24250277674935</v>
      </c>
      <c r="AO571" s="18" t="n">
        <f aca="false">IFERROR(100*N571/J571,"")</f>
        <v>3.15562137479946</v>
      </c>
    </row>
    <row r="572" customFormat="false" ht="15" hidden="false" customHeight="false" outlineLevel="0" collapsed="false">
      <c r="A572" s="17" t="n">
        <v>28288</v>
      </c>
      <c r="B572" s="23" t="n">
        <v>45657</v>
      </c>
      <c r="C572" s="17" t="s">
        <v>124</v>
      </c>
      <c r="D572" s="17" t="s">
        <v>108</v>
      </c>
      <c r="E572" s="17" t="s">
        <v>111</v>
      </c>
      <c r="F572" s="17" t="n">
        <v>102307</v>
      </c>
      <c r="G572" s="17" t="n">
        <v>103209.2</v>
      </c>
      <c r="H572" s="17" t="n">
        <v>74614</v>
      </c>
      <c r="I572" s="17" t="n">
        <v>5875</v>
      </c>
      <c r="J572" s="17" t="n">
        <v>83156</v>
      </c>
      <c r="K572" s="17" t="n">
        <v>83007.2</v>
      </c>
      <c r="L572" s="17" t="n">
        <v>75140</v>
      </c>
      <c r="M572" s="17" t="n">
        <v>4448</v>
      </c>
      <c r="N572" s="17" t="n">
        <v>3568</v>
      </c>
      <c r="O572" s="17" t="n">
        <v>137</v>
      </c>
      <c r="P572" s="17" t="n">
        <v>493</v>
      </c>
      <c r="Q572" s="17" t="n">
        <v>0</v>
      </c>
      <c r="R572" s="17" t="n">
        <v>0</v>
      </c>
      <c r="S572" s="17" t="n">
        <v>8851</v>
      </c>
      <c r="T572" s="17" t="n">
        <v>67950</v>
      </c>
      <c r="U572" s="17" t="n">
        <v>32</v>
      </c>
      <c r="V572" s="17" t="n">
        <v>0.0310049879274328</v>
      </c>
      <c r="W572" s="17" t="n">
        <v>0.53</v>
      </c>
      <c r="X572" s="17" t="n">
        <v>2.59413030837813</v>
      </c>
      <c r="Y572" s="17" t="n">
        <v>0.968060031747559</v>
      </c>
      <c r="Z572" s="17" t="n">
        <v>13.0257542310522</v>
      </c>
      <c r="AA572" s="17" t="n">
        <v>5.74252006216583</v>
      </c>
      <c r="AB572" s="17" t="n">
        <v>-2.94650564920835</v>
      </c>
      <c r="AC572" s="17" t="n">
        <v>-2.09569558255628</v>
      </c>
      <c r="AD572" s="17" t="n">
        <v>-5.81537723583393</v>
      </c>
      <c r="AE572" s="17" t="n">
        <v>0.0971546495913692</v>
      </c>
      <c r="AF572" s="17" t="n">
        <v>-0.109892265907059</v>
      </c>
      <c r="AG572" s="18" t="n">
        <f aca="false">IFERROR(100*O572/F572,"")</f>
        <v>0.133910680598591</v>
      </c>
      <c r="AH572" s="18" t="n">
        <f aca="false">IFERROR(100*(P572+Q572)/F572,"")</f>
        <v>0.481882960110256</v>
      </c>
      <c r="AI572" s="18" t="n">
        <f aca="false">IFERROR(100*R572/K572,"")</f>
        <v>0</v>
      </c>
      <c r="AJ572" s="18" t="n">
        <f aca="false">IF(T572&gt;0,100*S572/T572,"")</f>
        <v>13.0257542310522</v>
      </c>
      <c r="AK572" s="18" t="n">
        <f aca="false">IFERROR(100*U572/G572,"")</f>
        <v>0.0310049879274328</v>
      </c>
      <c r="AL572" s="18" t="n">
        <f aca="false">IFERROR(100*J572/H572,"")</f>
        <v>111.448253678934</v>
      </c>
      <c r="AM572" s="18" t="n">
        <f aca="false">IFERROR(100*L572/J572,"")</f>
        <v>90.3602866900765</v>
      </c>
      <c r="AN572" s="18" t="n">
        <f aca="false">IFERROR(100*M572/J572,"")</f>
        <v>5.34898263504738</v>
      </c>
      <c r="AO572" s="18" t="n">
        <f aca="false">IFERROR(100*N572/J572,"")</f>
        <v>4.29073067487614</v>
      </c>
    </row>
    <row r="573" customFormat="false" ht="15" hidden="false" customHeight="false" outlineLevel="0" collapsed="false">
      <c r="A573" s="17" t="n">
        <v>28288</v>
      </c>
      <c r="B573" s="23" t="n">
        <v>45747</v>
      </c>
      <c r="C573" s="17" t="s">
        <v>124</v>
      </c>
      <c r="D573" s="17" t="s">
        <v>108</v>
      </c>
      <c r="E573" s="17" t="s">
        <v>111</v>
      </c>
      <c r="F573" s="17" t="n">
        <v>101149</v>
      </c>
      <c r="G573" s="17" t="n">
        <v>101728</v>
      </c>
      <c r="H573" s="17" t="n">
        <v>72293</v>
      </c>
      <c r="I573" s="17" t="n">
        <v>6164</v>
      </c>
      <c r="J573" s="17" t="n">
        <v>81722</v>
      </c>
      <c r="K573" s="17" t="n">
        <v>82439</v>
      </c>
      <c r="L573" s="17" t="n">
        <v>73892</v>
      </c>
      <c r="M573" s="17" t="n">
        <v>4355</v>
      </c>
      <c r="N573" s="17" t="n">
        <v>3475</v>
      </c>
      <c r="O573" s="17" t="n">
        <v>1</v>
      </c>
      <c r="P573" s="17" t="n">
        <v>668</v>
      </c>
      <c r="Q573" s="17" t="n">
        <v>0</v>
      </c>
      <c r="R573" s="17" t="n">
        <v>0</v>
      </c>
      <c r="S573" s="17" t="n">
        <v>8906</v>
      </c>
      <c r="T573" s="17" t="n">
        <v>66481</v>
      </c>
      <c r="U573" s="17" t="n">
        <v>220</v>
      </c>
      <c r="V573" s="17" t="n">
        <v>0.216262975778547</v>
      </c>
      <c r="W573" s="17" t="n">
        <v>3.65</v>
      </c>
      <c r="X573" s="17" t="n">
        <v>2.70885511462336</v>
      </c>
      <c r="Y573" s="17" t="n">
        <v>0.985046866204939</v>
      </c>
      <c r="Z573" s="17" t="n">
        <v>13.3963087197846</v>
      </c>
      <c r="AA573" s="17" t="n">
        <v>6.09398016787116</v>
      </c>
      <c r="AB573" s="17" t="n">
        <v>-2.2318235419204</v>
      </c>
      <c r="AC573" s="17" t="n">
        <v>-2.44478930404679</v>
      </c>
      <c r="AD573" s="17" t="n">
        <v>-3.57333404471003</v>
      </c>
      <c r="AE573" s="17" t="n">
        <v>0.143490786245294</v>
      </c>
      <c r="AF573" s="17" t="n">
        <v>-0.244521614848908</v>
      </c>
      <c r="AG573" s="18" t="n">
        <f aca="false">IFERROR(100*O573/F573,"")</f>
        <v>0.00098864052042037</v>
      </c>
      <c r="AH573" s="18" t="n">
        <f aca="false">IFERROR(100*(P573+Q573)/F573,"")</f>
        <v>0.660411867640807</v>
      </c>
      <c r="AI573" s="18" t="n">
        <f aca="false">IFERROR(100*R573/K573,"")</f>
        <v>0</v>
      </c>
      <c r="AJ573" s="18" t="n">
        <f aca="false">IF(T573&gt;0,100*S573/T573,"")</f>
        <v>13.3963087197846</v>
      </c>
      <c r="AK573" s="18" t="n">
        <f aca="false">IFERROR(100*U573/G573,"")</f>
        <v>0.216262975778547</v>
      </c>
      <c r="AL573" s="18" t="n">
        <f aca="false">IFERROR(100*J573/H573,"")</f>
        <v>113.04275656011</v>
      </c>
      <c r="AM573" s="18" t="n">
        <f aca="false">IFERROR(100*L573/J573,"")</f>
        <v>90.4187366926899</v>
      </c>
      <c r="AN573" s="18" t="n">
        <f aca="false">IFERROR(100*M573/J573,"")</f>
        <v>5.32904236313355</v>
      </c>
      <c r="AO573" s="18" t="n">
        <f aca="false">IFERROR(100*N573/J573,"")</f>
        <v>4.2522209441766</v>
      </c>
    </row>
    <row r="574" customFormat="false" ht="15" hidden="false" customHeight="false" outlineLevel="0" collapsed="false">
      <c r="A574" s="17" t="n">
        <v>28288</v>
      </c>
      <c r="B574" s="23" t="n">
        <v>45838</v>
      </c>
      <c r="C574" s="17" t="s">
        <v>124</v>
      </c>
      <c r="D574" s="17" t="s">
        <v>108</v>
      </c>
      <c r="E574" s="17" t="s">
        <v>111</v>
      </c>
      <c r="F574" s="17" t="n">
        <v>102731</v>
      </c>
      <c r="G574" s="17" t="n">
        <v>102062.333333333</v>
      </c>
      <c r="H574" s="17" t="n">
        <v>76453</v>
      </c>
      <c r="I574" s="17" t="n">
        <v>6269</v>
      </c>
      <c r="J574" s="17" t="n">
        <v>82436</v>
      </c>
      <c r="K574" s="17" t="n">
        <v>82438</v>
      </c>
      <c r="L574" s="17" t="n">
        <v>74872</v>
      </c>
      <c r="M574" s="17" t="n">
        <v>4189</v>
      </c>
      <c r="N574" s="17" t="n">
        <v>3375</v>
      </c>
      <c r="O574" s="17" t="n">
        <v>99</v>
      </c>
      <c r="P574" s="17" t="n">
        <v>160</v>
      </c>
      <c r="Q574" s="17" t="n">
        <v>0</v>
      </c>
      <c r="R574" s="17" t="n">
        <v>2</v>
      </c>
      <c r="S574" s="17" t="n">
        <v>8977</v>
      </c>
      <c r="T574" s="17" t="n">
        <v>68094</v>
      </c>
      <c r="U574" s="17" t="n">
        <v>252</v>
      </c>
      <c r="V574" s="17" t="n">
        <v>0.2469079353467</v>
      </c>
      <c r="W574" s="17" t="n">
        <v>4.13</v>
      </c>
      <c r="X574" s="17" t="n">
        <v>2.73418663286535</v>
      </c>
      <c r="Y574" s="17" t="n">
        <v>0.96923674122956</v>
      </c>
      <c r="Z574" s="17" t="n">
        <v>13.1832466884013</v>
      </c>
      <c r="AA574" s="17" t="n">
        <v>6.1023449591652</v>
      </c>
      <c r="AB574" s="17" t="n">
        <v>0.2586223722991</v>
      </c>
      <c r="AC574" s="17" t="n">
        <v>0.355473315153887</v>
      </c>
      <c r="AD574" s="17" t="n">
        <v>2.54852252759781</v>
      </c>
      <c r="AE574" s="17" t="n">
        <v>0.142840638494736</v>
      </c>
      <c r="AF574" s="17" t="n">
        <v>-0.1485911187027</v>
      </c>
      <c r="AG574" s="18" t="n">
        <f aca="false">IFERROR(100*O574/F574,"")</f>
        <v>0.0963681848711684</v>
      </c>
      <c r="AH574" s="18" t="n">
        <f aca="false">IFERROR(100*(P574+Q574)/F574,"")</f>
        <v>0.155746561407949</v>
      </c>
      <c r="AI574" s="18" t="n">
        <f aca="false">IFERROR(100*R574/K574,"")</f>
        <v>0.00242606564933647</v>
      </c>
      <c r="AJ574" s="18" t="n">
        <f aca="false">IF(T574&gt;0,100*S574/T574,"")</f>
        <v>13.1832466884013</v>
      </c>
      <c r="AK574" s="18" t="n">
        <f aca="false">IFERROR(100*U574/G574,"")</f>
        <v>0.2469079353467</v>
      </c>
      <c r="AL574" s="18" t="n">
        <f aca="false">IFERROR(100*J574/H574,"")</f>
        <v>107.825722993212</v>
      </c>
      <c r="AM574" s="18" t="n">
        <f aca="false">IFERROR(100*L574/J574,"")</f>
        <v>90.8243971080596</v>
      </c>
      <c r="AN574" s="18" t="n">
        <f aca="false">IFERROR(100*M574/J574,"")</f>
        <v>5.08151778349265</v>
      </c>
      <c r="AO574" s="18" t="n">
        <f aca="false">IFERROR(100*N574/J574,"")</f>
        <v>4.09408510844777</v>
      </c>
    </row>
    <row r="575" customFormat="false" ht="15" hidden="false" customHeight="false" outlineLevel="0" collapsed="false">
      <c r="A575" s="17" t="n">
        <v>28369</v>
      </c>
      <c r="B575" s="23" t="n">
        <v>44651</v>
      </c>
      <c r="C575" s="17" t="s">
        <v>145</v>
      </c>
      <c r="D575" s="17" t="s">
        <v>108</v>
      </c>
      <c r="E575" s="17" t="s">
        <v>111</v>
      </c>
      <c r="F575" s="17" t="n">
        <v>85281</v>
      </c>
      <c r="G575" s="17" t="n">
        <v>85741</v>
      </c>
      <c r="H575" s="17" t="n">
        <v>75519</v>
      </c>
      <c r="I575" s="17" t="n">
        <v>9337</v>
      </c>
      <c r="J575" s="17" t="n">
        <v>72385</v>
      </c>
      <c r="K575" s="17" t="n">
        <v>73505</v>
      </c>
      <c r="L575" s="17" t="n">
        <v>61802</v>
      </c>
      <c r="M575" s="17" t="n">
        <v>9635</v>
      </c>
      <c r="N575" s="17" t="n">
        <v>948</v>
      </c>
      <c r="O575" s="17" t="n">
        <v>440</v>
      </c>
      <c r="P575" s="17" t="n">
        <v>13</v>
      </c>
      <c r="Q575" s="17" t="n">
        <v>0</v>
      </c>
      <c r="R575" s="17" t="n">
        <v>-12</v>
      </c>
      <c r="S575" s="17" t="n">
        <v>0</v>
      </c>
      <c r="T575" s="17" t="n">
        <v>0</v>
      </c>
      <c r="U575" s="17" t="n">
        <v>-68</v>
      </c>
      <c r="V575" s="17" t="n">
        <v>-0.0793086154815083</v>
      </c>
      <c r="W575" s="17" t="n">
        <v>-0.73</v>
      </c>
      <c r="X575" s="17" t="n">
        <v>3.62481223374129</v>
      </c>
      <c r="Y575" s="17" t="n">
        <v>0.77640395109484</v>
      </c>
      <c r="Z575" s="17" t="n">
        <v>0</v>
      </c>
      <c r="AA575" s="17" t="n">
        <v>10.948511391752</v>
      </c>
      <c r="AB575" s="17"/>
      <c r="AC575" s="17"/>
      <c r="AD575" s="17"/>
      <c r="AE575" s="17"/>
      <c r="AF575" s="17"/>
      <c r="AG575" s="18" t="n">
        <f aca="false">IFERROR(100*O575/F575,"")</f>
        <v>0.515941417197266</v>
      </c>
      <c r="AH575" s="18" t="n">
        <f aca="false">IFERROR(100*(P575+Q575)/F575,"")</f>
        <v>0.0152437236899192</v>
      </c>
      <c r="AI575" s="18" t="n">
        <f aca="false">IFERROR(100*R575/K575,"")</f>
        <v>-0.0163254200394531</v>
      </c>
      <c r="AJ575" s="18" t="str">
        <f aca="false">IF(T575&gt;0,100*S575/T575,"")</f>
        <v/>
      </c>
      <c r="AK575" s="18" t="n">
        <f aca="false">IFERROR(100*U575/G575,"")</f>
        <v>-0.0793086154815083</v>
      </c>
      <c r="AL575" s="18" t="n">
        <f aca="false">IFERROR(100*J575/H575,"")</f>
        <v>95.850050980548</v>
      </c>
      <c r="AM575" s="18" t="n">
        <f aca="false">IFERROR(100*L575/J575,"")</f>
        <v>85.3795675899703</v>
      </c>
      <c r="AN575" s="18" t="n">
        <f aca="false">IFERROR(100*M575/J575,"")</f>
        <v>13.3107688056918</v>
      </c>
      <c r="AO575" s="18" t="n">
        <f aca="false">IFERROR(100*N575/J575,"")</f>
        <v>1.30966360433792</v>
      </c>
    </row>
    <row r="576" customFormat="false" ht="15" hidden="false" customHeight="false" outlineLevel="0" collapsed="false">
      <c r="A576" s="17" t="n">
        <v>28369</v>
      </c>
      <c r="B576" s="23" t="n">
        <v>44742</v>
      </c>
      <c r="C576" s="17" t="s">
        <v>145</v>
      </c>
      <c r="D576" s="17" t="s">
        <v>108</v>
      </c>
      <c r="E576" s="17" t="s">
        <v>111</v>
      </c>
      <c r="F576" s="17" t="n">
        <v>87270</v>
      </c>
      <c r="G576" s="17" t="n">
        <v>86250.6666666667</v>
      </c>
      <c r="H576" s="17" t="n">
        <v>75522</v>
      </c>
      <c r="I576" s="17" t="n">
        <v>9341</v>
      </c>
      <c r="J576" s="17" t="n">
        <v>73277</v>
      </c>
      <c r="K576" s="17" t="n">
        <v>73429</v>
      </c>
      <c r="L576" s="17" t="n">
        <v>61748</v>
      </c>
      <c r="M576" s="17" t="n">
        <v>10612</v>
      </c>
      <c r="N576" s="17" t="n">
        <v>917</v>
      </c>
      <c r="O576" s="17" t="n">
        <v>372</v>
      </c>
      <c r="P576" s="17" t="n">
        <v>89</v>
      </c>
      <c r="Q576" s="17" t="n">
        <v>0</v>
      </c>
      <c r="R576" s="17" t="n">
        <v>-8</v>
      </c>
      <c r="S576" s="17" t="n">
        <v>0</v>
      </c>
      <c r="T576" s="17" t="n">
        <v>0</v>
      </c>
      <c r="U576" s="17" t="n">
        <v>-26</v>
      </c>
      <c r="V576" s="17" t="n">
        <v>-0.0301446945337621</v>
      </c>
      <c r="W576" s="17" t="n">
        <v>-0.28</v>
      </c>
      <c r="X576" s="17" t="n">
        <v>3.60618763943027</v>
      </c>
      <c r="Y576" s="17" t="n">
        <v>0.788787750590226</v>
      </c>
      <c r="Z576" s="17" t="n">
        <v>0</v>
      </c>
      <c r="AA576" s="17" t="n">
        <v>10.7035636530308</v>
      </c>
      <c r="AB576" s="17"/>
      <c r="AC576" s="17"/>
      <c r="AD576" s="17"/>
      <c r="AE576" s="17"/>
      <c r="AF576" s="17"/>
      <c r="AG576" s="18" t="n">
        <f aca="false">IFERROR(100*O576/F576,"")</f>
        <v>0.426263320728773</v>
      </c>
      <c r="AH576" s="18" t="n">
        <f aca="false">IFERROR(100*(P576+Q576)/F576,"")</f>
        <v>0.101982353615217</v>
      </c>
      <c r="AI576" s="18" t="n">
        <f aca="false">IFERROR(100*R576/K576,"")</f>
        <v>-0.0108948780454589</v>
      </c>
      <c r="AJ576" s="18" t="str">
        <f aca="false">IF(T576&gt;0,100*S576/T576,"")</f>
        <v/>
      </c>
      <c r="AK576" s="18" t="n">
        <f aca="false">IFERROR(100*U576/G576,"")</f>
        <v>-0.0301446945337621</v>
      </c>
      <c r="AL576" s="18" t="n">
        <f aca="false">IFERROR(100*J576/H576,"")</f>
        <v>97.027356267048</v>
      </c>
      <c r="AM576" s="18" t="n">
        <f aca="false">IFERROR(100*L576/J576,"")</f>
        <v>84.2665502135732</v>
      </c>
      <c r="AN576" s="18" t="n">
        <f aca="false">IFERROR(100*M576/J576,"")</f>
        <v>14.4820339260614</v>
      </c>
      <c r="AO576" s="18" t="n">
        <f aca="false">IFERROR(100*N576/J576,"")</f>
        <v>1.25141586036546</v>
      </c>
    </row>
    <row r="577" customFormat="false" ht="15" hidden="false" customHeight="false" outlineLevel="0" collapsed="false">
      <c r="A577" s="17" t="n">
        <v>28369</v>
      </c>
      <c r="B577" s="23" t="n">
        <v>44834</v>
      </c>
      <c r="C577" s="17" t="s">
        <v>145</v>
      </c>
      <c r="D577" s="17" t="s">
        <v>108</v>
      </c>
      <c r="E577" s="17" t="s">
        <v>111</v>
      </c>
      <c r="F577" s="17" t="n">
        <v>89339</v>
      </c>
      <c r="G577" s="17" t="n">
        <v>87022.75</v>
      </c>
      <c r="H577" s="17" t="n">
        <v>79460</v>
      </c>
      <c r="I577" s="17" t="n">
        <v>9472</v>
      </c>
      <c r="J577" s="17" t="n">
        <v>73290</v>
      </c>
      <c r="K577" s="17" t="n">
        <v>73394.25</v>
      </c>
      <c r="L577" s="17" t="n">
        <v>61961</v>
      </c>
      <c r="M577" s="17" t="n">
        <v>10475</v>
      </c>
      <c r="N577" s="17" t="n">
        <v>854</v>
      </c>
      <c r="O577" s="17" t="n">
        <v>377</v>
      </c>
      <c r="P577" s="17" t="n">
        <v>68</v>
      </c>
      <c r="Q577" s="17" t="n">
        <v>0</v>
      </c>
      <c r="R577" s="17" t="n">
        <v>-9.3331</v>
      </c>
      <c r="S577" s="17" t="n">
        <v>0</v>
      </c>
      <c r="T577" s="17" t="n">
        <v>0</v>
      </c>
      <c r="U577" s="17" t="n">
        <v>157.3294</v>
      </c>
      <c r="V577" s="17" t="n">
        <v>0.180791114967063</v>
      </c>
      <c r="W577" s="17" t="n">
        <v>1.68</v>
      </c>
      <c r="X577" s="17" t="n">
        <v>3.62027668619877</v>
      </c>
      <c r="Y577" s="17" t="n">
        <v>0.724519033974621</v>
      </c>
      <c r="Z577" s="17" t="n">
        <v>0</v>
      </c>
      <c r="AA577" s="17" t="n">
        <v>10.6023125398762</v>
      </c>
      <c r="AB577" s="17"/>
      <c r="AC577" s="17"/>
      <c r="AD577" s="17"/>
      <c r="AE577" s="17"/>
      <c r="AF577" s="17"/>
      <c r="AG577" s="18" t="n">
        <f aca="false">IFERROR(100*O577/F577,"")</f>
        <v>0.421988157467623</v>
      </c>
      <c r="AH577" s="18" t="n">
        <f aca="false">IFERROR(100*(P577+Q577)/F577,"")</f>
        <v>0.0761145748217464</v>
      </c>
      <c r="AI577" s="18" t="n">
        <f aca="false">IFERROR(100*R577/K577,"")</f>
        <v>-0.0127163912704333</v>
      </c>
      <c r="AJ577" s="18" t="str">
        <f aca="false">IF(T577&gt;0,100*S577/T577,"")</f>
        <v/>
      </c>
      <c r="AK577" s="18" t="n">
        <f aca="false">IFERROR(100*U577/G577,"")</f>
        <v>0.180791114967063</v>
      </c>
      <c r="AL577" s="18" t="n">
        <f aca="false">IFERROR(100*J577/H577,"")</f>
        <v>92.235086836144</v>
      </c>
      <c r="AM577" s="18" t="n">
        <f aca="false">IFERROR(100*L577/J577,"")</f>
        <v>84.5422294992496</v>
      </c>
      <c r="AN577" s="18" t="n">
        <f aca="false">IFERROR(100*M577/J577,"")</f>
        <v>14.2925364988402</v>
      </c>
      <c r="AO577" s="18" t="n">
        <f aca="false">IFERROR(100*N577/J577,"")</f>
        <v>1.16523400191022</v>
      </c>
    </row>
    <row r="578" customFormat="false" ht="15" hidden="false" customHeight="false" outlineLevel="0" collapsed="false">
      <c r="A578" s="17" t="n">
        <v>28369</v>
      </c>
      <c r="B578" s="23" t="n">
        <v>44926</v>
      </c>
      <c r="C578" s="17" t="s">
        <v>145</v>
      </c>
      <c r="D578" s="17" t="s">
        <v>108</v>
      </c>
      <c r="E578" s="17" t="s">
        <v>111</v>
      </c>
      <c r="F578" s="17" t="n">
        <v>86156</v>
      </c>
      <c r="G578" s="17" t="n">
        <v>86849.4</v>
      </c>
      <c r="H578" s="17" t="n">
        <v>76209</v>
      </c>
      <c r="I578" s="17" t="n">
        <v>9537</v>
      </c>
      <c r="J578" s="17" t="n">
        <v>73364</v>
      </c>
      <c r="K578" s="17" t="n">
        <v>73388.2</v>
      </c>
      <c r="L578" s="17" t="n">
        <v>62199</v>
      </c>
      <c r="M578" s="17" t="n">
        <v>10376</v>
      </c>
      <c r="N578" s="17" t="n">
        <v>789</v>
      </c>
      <c r="O578" s="17" t="n">
        <v>243</v>
      </c>
      <c r="P578" s="17" t="n">
        <v>299</v>
      </c>
      <c r="Q578" s="17" t="n">
        <v>0</v>
      </c>
      <c r="R578" s="17" t="n">
        <v>-9</v>
      </c>
      <c r="S578" s="17" t="n">
        <v>0</v>
      </c>
      <c r="T578" s="17" t="n">
        <v>0</v>
      </c>
      <c r="U578" s="17" t="n">
        <v>105</v>
      </c>
      <c r="V578" s="17" t="n">
        <v>0.120898935398517</v>
      </c>
      <c r="W578" s="17" t="n">
        <v>1.11</v>
      </c>
      <c r="X578" s="17" t="n">
        <v>3.68178301928101</v>
      </c>
      <c r="Y578" s="17" t="n">
        <v>0.746960362030424</v>
      </c>
      <c r="Z578" s="17" t="n">
        <v>0</v>
      </c>
      <c r="AA578" s="17" t="n">
        <v>11.069455406472</v>
      </c>
      <c r="AB578" s="17"/>
      <c r="AC578" s="17"/>
      <c r="AD578" s="17"/>
      <c r="AE578" s="17"/>
      <c r="AF578" s="17"/>
      <c r="AG578" s="18" t="n">
        <f aca="false">IFERROR(100*O578/F578,"")</f>
        <v>0.282046520265565</v>
      </c>
      <c r="AH578" s="18" t="n">
        <f aca="false">IFERROR(100*(P578+Q578)/F578,"")</f>
        <v>0.347044895306189</v>
      </c>
      <c r="AI578" s="18" t="n">
        <f aca="false">IFERROR(100*R578/K578,"")</f>
        <v>-0.0122635519061648</v>
      </c>
      <c r="AJ578" s="18" t="str">
        <f aca="false">IF(T578&gt;0,100*S578/T578,"")</f>
        <v/>
      </c>
      <c r="AK578" s="18" t="n">
        <f aca="false">IFERROR(100*U578/G578,"")</f>
        <v>0.120898935398517</v>
      </c>
      <c r="AL578" s="18" t="n">
        <f aca="false">IFERROR(100*J578/H578,"")</f>
        <v>96.2668451232794</v>
      </c>
      <c r="AM578" s="18" t="n">
        <f aca="false">IFERROR(100*L578/J578,"")</f>
        <v>84.7813641568072</v>
      </c>
      <c r="AN578" s="18" t="n">
        <f aca="false">IFERROR(100*M578/J578,"")</f>
        <v>14.1431764898315</v>
      </c>
      <c r="AO578" s="18" t="n">
        <f aca="false">IFERROR(100*N578/J578,"")</f>
        <v>1.07545935336132</v>
      </c>
    </row>
    <row r="579" customFormat="false" ht="15" hidden="false" customHeight="false" outlineLevel="0" collapsed="false">
      <c r="A579" s="17" t="n">
        <v>28369</v>
      </c>
      <c r="B579" s="23" t="n">
        <v>45016</v>
      </c>
      <c r="C579" s="17" t="s">
        <v>145</v>
      </c>
      <c r="D579" s="17" t="s">
        <v>108</v>
      </c>
      <c r="E579" s="17" t="s">
        <v>111</v>
      </c>
      <c r="F579" s="17" t="n">
        <v>87275</v>
      </c>
      <c r="G579" s="17" t="n">
        <v>86715.5</v>
      </c>
      <c r="H579" s="17" t="n">
        <v>77349</v>
      </c>
      <c r="I579" s="17" t="n">
        <v>9500</v>
      </c>
      <c r="J579" s="17" t="n">
        <v>73207</v>
      </c>
      <c r="K579" s="17" t="n">
        <v>73285.5</v>
      </c>
      <c r="L579" s="17" t="n">
        <v>61622</v>
      </c>
      <c r="M579" s="17" t="n">
        <v>10828</v>
      </c>
      <c r="N579" s="17" t="n">
        <v>757</v>
      </c>
      <c r="O579" s="17" t="n">
        <v>326</v>
      </c>
      <c r="P579" s="17" t="n">
        <v>230</v>
      </c>
      <c r="Q579" s="17" t="n">
        <v>0</v>
      </c>
      <c r="R579" s="17" t="n">
        <v>4</v>
      </c>
      <c r="S579" s="17" t="n">
        <v>0</v>
      </c>
      <c r="T579" s="17" t="n">
        <v>0</v>
      </c>
      <c r="U579" s="17" t="n">
        <v>-80</v>
      </c>
      <c r="V579" s="17" t="n">
        <v>-0.0922557097635371</v>
      </c>
      <c r="W579" s="17" t="n">
        <v>-0.84</v>
      </c>
      <c r="X579" s="17" t="n">
        <v>3.49219492000097</v>
      </c>
      <c r="Y579" s="17" t="n">
        <v>0.764954171049217</v>
      </c>
      <c r="Z579" s="17" t="n">
        <v>0</v>
      </c>
      <c r="AA579" s="17" t="n">
        <v>10.8851331996563</v>
      </c>
      <c r="AB579" s="17" t="n">
        <v>2.33815269520761</v>
      </c>
      <c r="AC579" s="17" t="n">
        <v>1.13559439110313</v>
      </c>
      <c r="AD579" s="17" t="n">
        <v>2.42323123982045</v>
      </c>
      <c r="AE579" s="17" t="n">
        <v>-0.0129470942820288</v>
      </c>
      <c r="AF579" s="17" t="n">
        <v>-0.142409477924851</v>
      </c>
      <c r="AG579" s="18" t="n">
        <f aca="false">IFERROR(100*O579/F579,"")</f>
        <v>0.373531939272415</v>
      </c>
      <c r="AH579" s="18" t="n">
        <f aca="false">IFERROR(100*(P579+Q579)/F579,"")</f>
        <v>0.263534803781152</v>
      </c>
      <c r="AI579" s="18" t="n">
        <f aca="false">IFERROR(100*R579/K579,"")</f>
        <v>0.00545810562798917</v>
      </c>
      <c r="AJ579" s="18" t="str">
        <f aca="false">IF(T579&gt;0,100*S579/T579,"")</f>
        <v/>
      </c>
      <c r="AK579" s="18" t="n">
        <f aca="false">IFERROR(100*U579/G579,"")</f>
        <v>-0.0922557097635371</v>
      </c>
      <c r="AL579" s="18" t="n">
        <f aca="false">IFERROR(100*J579/H579,"")</f>
        <v>94.6450503561779</v>
      </c>
      <c r="AM579" s="18" t="n">
        <f aca="false">IFERROR(100*L579/J579,"")</f>
        <v>84.1750105864193</v>
      </c>
      <c r="AN579" s="18" t="n">
        <f aca="false">IFERROR(100*M579/J579,"")</f>
        <v>14.7909352930731</v>
      </c>
      <c r="AO579" s="18" t="n">
        <f aca="false">IFERROR(100*N579/J579,"")</f>
        <v>1.0340541205076</v>
      </c>
    </row>
    <row r="580" customFormat="false" ht="15" hidden="false" customHeight="false" outlineLevel="0" collapsed="false">
      <c r="A580" s="17" t="n">
        <v>28369</v>
      </c>
      <c r="B580" s="23" t="n">
        <v>45107</v>
      </c>
      <c r="C580" s="17" t="s">
        <v>145</v>
      </c>
      <c r="D580" s="17" t="s">
        <v>108</v>
      </c>
      <c r="E580" s="17" t="s">
        <v>111</v>
      </c>
      <c r="F580" s="17" t="n">
        <v>87702</v>
      </c>
      <c r="G580" s="17" t="n">
        <v>87044.3333333333</v>
      </c>
      <c r="H580" s="17" t="n">
        <v>77819</v>
      </c>
      <c r="I580" s="17" t="n">
        <v>9428</v>
      </c>
      <c r="J580" s="17" t="n">
        <v>75333</v>
      </c>
      <c r="K580" s="17" t="n">
        <v>73968</v>
      </c>
      <c r="L580" s="17" t="n">
        <v>63212</v>
      </c>
      <c r="M580" s="17" t="n">
        <v>11294</v>
      </c>
      <c r="N580" s="17" t="n">
        <v>827</v>
      </c>
      <c r="O580" s="17" t="n">
        <v>231</v>
      </c>
      <c r="P580" s="17" t="n">
        <v>76</v>
      </c>
      <c r="Q580" s="17" t="n">
        <v>0</v>
      </c>
      <c r="R580" s="17" t="n">
        <v>-2</v>
      </c>
      <c r="S580" s="17" t="n">
        <v>0</v>
      </c>
      <c r="T580" s="17" t="n">
        <v>0</v>
      </c>
      <c r="U580" s="17" t="n">
        <v>-184</v>
      </c>
      <c r="V580" s="17" t="n">
        <v>-0.21138653483091</v>
      </c>
      <c r="W580" s="17" t="n">
        <v>-1.94</v>
      </c>
      <c r="X580" s="17" t="n">
        <v>3.38744850981342</v>
      </c>
      <c r="Y580" s="17" t="n">
        <v>0.755313076606534</v>
      </c>
      <c r="Z580" s="17" t="n">
        <v>0</v>
      </c>
      <c r="AA580" s="17" t="n">
        <v>10.7500399078698</v>
      </c>
      <c r="AB580" s="17" t="n">
        <v>0.495015469233406</v>
      </c>
      <c r="AC580" s="17" t="n">
        <v>2.80579172182267</v>
      </c>
      <c r="AD580" s="17" t="n">
        <v>3.04149784168852</v>
      </c>
      <c r="AE580" s="17" t="n">
        <v>-0.181241840297148</v>
      </c>
      <c r="AF580" s="17" t="n">
        <v>-0.162871379838029</v>
      </c>
      <c r="AG580" s="18" t="n">
        <f aca="false">IFERROR(100*O580/F580,"")</f>
        <v>0.263391940890744</v>
      </c>
      <c r="AH580" s="18" t="n">
        <f aca="false">IFERROR(100*(P580+Q580)/F580,"")</f>
        <v>0.086657088777907</v>
      </c>
      <c r="AI580" s="18" t="n">
        <f aca="false">IFERROR(100*R580/K580,"")</f>
        <v>-0.0027038719446247</v>
      </c>
      <c r="AJ580" s="18" t="str">
        <f aca="false">IF(T580&gt;0,100*S580/T580,"")</f>
        <v/>
      </c>
      <c r="AK580" s="18" t="n">
        <f aca="false">IFERROR(100*U580/G580,"")</f>
        <v>-0.21138653483091</v>
      </c>
      <c r="AL580" s="18" t="n">
        <f aca="false">IFERROR(100*J580/H580,"")</f>
        <v>96.8054074197818</v>
      </c>
      <c r="AM580" s="18" t="n">
        <f aca="false">IFERROR(100*L580/J580,"")</f>
        <v>83.9101057969283</v>
      </c>
      <c r="AN580" s="18" t="n">
        <f aca="false">IFERROR(100*M580/J580,"")</f>
        <v>14.9921017349634</v>
      </c>
      <c r="AO580" s="18" t="n">
        <f aca="false">IFERROR(100*N580/J580,"")</f>
        <v>1.09779246810827</v>
      </c>
    </row>
    <row r="581" customFormat="false" ht="15" hidden="false" customHeight="false" outlineLevel="0" collapsed="false">
      <c r="A581" s="17" t="n">
        <v>28369</v>
      </c>
      <c r="B581" s="23" t="n">
        <v>45199</v>
      </c>
      <c r="C581" s="17" t="s">
        <v>145</v>
      </c>
      <c r="D581" s="17" t="s">
        <v>108</v>
      </c>
      <c r="E581" s="17" t="s">
        <v>111</v>
      </c>
      <c r="F581" s="17" t="n">
        <v>89908</v>
      </c>
      <c r="G581" s="17" t="n">
        <v>87760.25</v>
      </c>
      <c r="H581" s="17" t="n">
        <v>79937</v>
      </c>
      <c r="I581" s="17" t="n">
        <v>9426</v>
      </c>
      <c r="J581" s="17" t="n">
        <v>77845</v>
      </c>
      <c r="K581" s="17" t="n">
        <v>74937.25</v>
      </c>
      <c r="L581" s="17" t="n">
        <v>65337</v>
      </c>
      <c r="M581" s="17" t="n">
        <v>11687</v>
      </c>
      <c r="N581" s="17" t="n">
        <v>821</v>
      </c>
      <c r="O581" s="17" t="n">
        <v>225</v>
      </c>
      <c r="P581" s="17" t="n">
        <v>180</v>
      </c>
      <c r="Q581" s="17" t="n">
        <v>0</v>
      </c>
      <c r="R581" s="17" t="n">
        <v>-1.3333</v>
      </c>
      <c r="S581" s="17" t="n">
        <v>0</v>
      </c>
      <c r="T581" s="17" t="n">
        <v>0</v>
      </c>
      <c r="U581" s="17" t="n">
        <v>-125.3302</v>
      </c>
      <c r="V581" s="17" t="n">
        <v>-0.142809757264821</v>
      </c>
      <c r="W581" s="17" t="n">
        <v>-1.32</v>
      </c>
      <c r="X581" s="17" t="n">
        <v>3.35494907396286</v>
      </c>
      <c r="Y581" s="17" t="n">
        <v>0.74635493609095</v>
      </c>
      <c r="Z581" s="17" t="n">
        <v>0</v>
      </c>
      <c r="AA581" s="17" t="n">
        <v>10.4840503625929</v>
      </c>
      <c r="AB581" s="17" t="n">
        <v>0.636899898140797</v>
      </c>
      <c r="AC581" s="17" t="n">
        <v>6.21503615772956</v>
      </c>
      <c r="AD581" s="17" t="n">
        <v>0.600302038761647</v>
      </c>
      <c r="AE581" s="17" t="n">
        <v>-0.323600872231884</v>
      </c>
      <c r="AF581" s="17" t="n">
        <v>-0.171732340410187</v>
      </c>
      <c r="AG581" s="18" t="n">
        <f aca="false">IFERROR(100*O581/F581,"")</f>
        <v>0.250255817057437</v>
      </c>
      <c r="AH581" s="18" t="n">
        <f aca="false">IFERROR(100*(P581+Q581)/F581,"")</f>
        <v>0.200204653645949</v>
      </c>
      <c r="AI581" s="18" t="n">
        <f aca="false">IFERROR(100*R581/K581,"")</f>
        <v>-0.00177922194903069</v>
      </c>
      <c r="AJ581" s="18" t="str">
        <f aca="false">IF(T581&gt;0,100*S581/T581,"")</f>
        <v/>
      </c>
      <c r="AK581" s="18" t="n">
        <f aca="false">IFERROR(100*U581/G581,"")</f>
        <v>-0.142809757264821</v>
      </c>
      <c r="AL581" s="18" t="n">
        <f aca="false">IFERROR(100*J581/H581,"")</f>
        <v>97.3829390645133</v>
      </c>
      <c r="AM581" s="18" t="n">
        <f aca="false">IFERROR(100*L581/J581,"")</f>
        <v>83.9321729077012</v>
      </c>
      <c r="AN581" s="18" t="n">
        <f aca="false">IFERROR(100*M581/J581,"")</f>
        <v>15.0131671912133</v>
      </c>
      <c r="AO581" s="18" t="n">
        <f aca="false">IFERROR(100*N581/J581,"")</f>
        <v>1.05465990108549</v>
      </c>
    </row>
    <row r="582" customFormat="false" ht="15" hidden="false" customHeight="false" outlineLevel="0" collapsed="false">
      <c r="A582" s="17" t="n">
        <v>28369</v>
      </c>
      <c r="B582" s="23" t="n">
        <v>45291</v>
      </c>
      <c r="C582" s="17" t="s">
        <v>145</v>
      </c>
      <c r="D582" s="17" t="s">
        <v>108</v>
      </c>
      <c r="E582" s="17" t="s">
        <v>111</v>
      </c>
      <c r="F582" s="17" t="n">
        <v>93947</v>
      </c>
      <c r="G582" s="17" t="n">
        <v>88997.6</v>
      </c>
      <c r="H582" s="17" t="n">
        <v>77109</v>
      </c>
      <c r="I582" s="17" t="n">
        <v>9350</v>
      </c>
      <c r="J582" s="17" t="n">
        <v>78888</v>
      </c>
      <c r="K582" s="17" t="n">
        <v>75727.4</v>
      </c>
      <c r="L582" s="17" t="n">
        <v>65888</v>
      </c>
      <c r="M582" s="17" t="n">
        <v>12166</v>
      </c>
      <c r="N582" s="17" t="n">
        <v>834</v>
      </c>
      <c r="O582" s="17" t="n">
        <v>178</v>
      </c>
      <c r="P582" s="17" t="n">
        <v>102</v>
      </c>
      <c r="Q582" s="17" t="n">
        <v>0</v>
      </c>
      <c r="R582" s="17" t="n">
        <v>-2</v>
      </c>
      <c r="S582" s="17" t="n">
        <v>0</v>
      </c>
      <c r="T582" s="17" t="n">
        <v>0</v>
      </c>
      <c r="U582" s="17" t="n">
        <v>-170</v>
      </c>
      <c r="V582" s="17" t="n">
        <v>-0.191016386958749</v>
      </c>
      <c r="W582" s="17" t="n">
        <v>-1.8</v>
      </c>
      <c r="X582" s="17" t="n">
        <v>3.31528724993313</v>
      </c>
      <c r="Y582" s="17" t="n">
        <v>0.747895750938039</v>
      </c>
      <c r="Z582" s="17" t="n">
        <v>0</v>
      </c>
      <c r="AA582" s="17" t="n">
        <v>9.95241998147892</v>
      </c>
      <c r="AB582" s="17" t="n">
        <v>9.04289892752681</v>
      </c>
      <c r="AC582" s="17" t="n">
        <v>7.52957853988332</v>
      </c>
      <c r="AD582" s="17" t="n">
        <v>1.18096287840019</v>
      </c>
      <c r="AE582" s="17" t="n">
        <v>-0.311915322357267</v>
      </c>
      <c r="AF582" s="17" t="n">
        <v>-0.0925779901368752</v>
      </c>
      <c r="AG582" s="18" t="n">
        <f aca="false">IFERROR(100*O582/F582,"")</f>
        <v>0.18946853012869</v>
      </c>
      <c r="AH582" s="18" t="n">
        <f aca="false">IFERROR(100*(P582+Q582)/F582,"")</f>
        <v>0.108571854343406</v>
      </c>
      <c r="AI582" s="18" t="n">
        <f aca="false">IFERROR(100*R582/K582,"")</f>
        <v>-0.0026410519838262</v>
      </c>
      <c r="AJ582" s="18" t="str">
        <f aca="false">IF(T582&gt;0,100*S582/T582,"")</f>
        <v/>
      </c>
      <c r="AK582" s="18" t="n">
        <f aca="false">IFERROR(100*U582/G582,"")</f>
        <v>-0.191016386958749</v>
      </c>
      <c r="AL582" s="18" t="n">
        <f aca="false">IFERROR(100*J582/H582,"")</f>
        <v>102.30712368206</v>
      </c>
      <c r="AM582" s="18" t="n">
        <f aca="false">IFERROR(100*L582/J582,"")</f>
        <v>83.5209410810263</v>
      </c>
      <c r="AN582" s="18" t="n">
        <f aca="false">IFERROR(100*M582/J582,"")</f>
        <v>15.4218639083257</v>
      </c>
      <c r="AO582" s="18" t="n">
        <f aca="false">IFERROR(100*N582/J582,"")</f>
        <v>1.05719501064801</v>
      </c>
    </row>
    <row r="583" customFormat="false" ht="15" hidden="false" customHeight="false" outlineLevel="0" collapsed="false">
      <c r="A583" s="17" t="n">
        <v>28369</v>
      </c>
      <c r="B583" s="23" t="n">
        <v>45382</v>
      </c>
      <c r="C583" s="17" t="s">
        <v>145</v>
      </c>
      <c r="D583" s="17" t="s">
        <v>108</v>
      </c>
      <c r="E583" s="17" t="s">
        <v>111</v>
      </c>
      <c r="F583" s="17" t="n">
        <v>95113</v>
      </c>
      <c r="G583" s="17" t="n">
        <v>94530</v>
      </c>
      <c r="H583" s="17" t="n">
        <v>75369</v>
      </c>
      <c r="I583" s="17" t="n">
        <v>9266</v>
      </c>
      <c r="J583" s="17" t="n">
        <v>80819</v>
      </c>
      <c r="K583" s="17" t="n">
        <v>79853.5</v>
      </c>
      <c r="L583" s="17" t="n">
        <v>67466</v>
      </c>
      <c r="M583" s="17" t="n">
        <v>12521</v>
      </c>
      <c r="N583" s="17" t="n">
        <v>832</v>
      </c>
      <c r="O583" s="17" t="n">
        <v>174</v>
      </c>
      <c r="P583" s="17" t="n">
        <v>4</v>
      </c>
      <c r="Q583" s="17" t="n">
        <v>0</v>
      </c>
      <c r="R583" s="17" t="n">
        <v>-4</v>
      </c>
      <c r="S583" s="17" t="n">
        <v>9304</v>
      </c>
      <c r="T583" s="17" t="n">
        <v>67279</v>
      </c>
      <c r="U583" s="17" t="n">
        <v>-336</v>
      </c>
      <c r="V583" s="17" t="n">
        <v>-0.355442716597905</v>
      </c>
      <c r="W583" s="17" t="n">
        <v>-3.61</v>
      </c>
      <c r="X583" s="17" t="n">
        <v>3.0142140002894</v>
      </c>
      <c r="Y583" s="17" t="n">
        <v>0.741162350437397</v>
      </c>
      <c r="Z583" s="17" t="n">
        <v>13.8289808112487</v>
      </c>
      <c r="AA583" s="17" t="n">
        <v>9.74209624341573</v>
      </c>
      <c r="AB583" s="17" t="n">
        <v>8.98080779146378</v>
      </c>
      <c r="AC583" s="17" t="n">
        <v>10.3979127679047</v>
      </c>
      <c r="AD583" s="17" t="n">
        <v>-2.55982624209751</v>
      </c>
      <c r="AE583" s="17" t="n">
        <v>-0.263187006834368</v>
      </c>
      <c r="AF583" s="17" t="n">
        <v>-0.190591647198776</v>
      </c>
      <c r="AG583" s="18" t="n">
        <f aca="false">IFERROR(100*O583/F583,"")</f>
        <v>0.182940292073639</v>
      </c>
      <c r="AH583" s="18" t="n">
        <f aca="false">IFERROR(100*(P583+Q583)/F583,"")</f>
        <v>0.00420552395571583</v>
      </c>
      <c r="AI583" s="18" t="n">
        <f aca="false">IFERROR(100*R583/K583,"")</f>
        <v>-0.00500917304814441</v>
      </c>
      <c r="AJ583" s="18" t="n">
        <f aca="false">IF(T583&gt;0,100*S583/T583,"")</f>
        <v>13.8289808112487</v>
      </c>
      <c r="AK583" s="18" t="n">
        <f aca="false">IFERROR(100*U583/G583,"")</f>
        <v>-0.355442716597905</v>
      </c>
      <c r="AL583" s="18" t="n">
        <f aca="false">IFERROR(100*J583/H583,"")</f>
        <v>107.231089705317</v>
      </c>
      <c r="AM583" s="18" t="n">
        <f aca="false">IFERROR(100*L583/J583,"")</f>
        <v>83.4778950494314</v>
      </c>
      <c r="AN583" s="18" t="n">
        <f aca="false">IFERROR(100*M583/J583,"")</f>
        <v>15.4926440564719</v>
      </c>
      <c r="AO583" s="18" t="n">
        <f aca="false">IFERROR(100*N583/J583,"")</f>
        <v>1.02946089409669</v>
      </c>
    </row>
    <row r="584" customFormat="false" ht="15" hidden="false" customHeight="false" outlineLevel="0" collapsed="false">
      <c r="A584" s="17" t="n">
        <v>28369</v>
      </c>
      <c r="B584" s="23" t="n">
        <v>45473</v>
      </c>
      <c r="C584" s="17" t="s">
        <v>145</v>
      </c>
      <c r="D584" s="17" t="s">
        <v>108</v>
      </c>
      <c r="E584" s="17" t="s">
        <v>111</v>
      </c>
      <c r="F584" s="17" t="n">
        <v>95722</v>
      </c>
      <c r="G584" s="17" t="n">
        <v>94927.3333333333</v>
      </c>
      <c r="H584" s="17" t="n">
        <v>71038</v>
      </c>
      <c r="I584" s="17" t="n">
        <v>9198</v>
      </c>
      <c r="J584" s="17" t="n">
        <v>81829</v>
      </c>
      <c r="K584" s="17" t="n">
        <v>80512</v>
      </c>
      <c r="L584" s="17" t="n">
        <v>68216</v>
      </c>
      <c r="M584" s="17" t="n">
        <v>12761</v>
      </c>
      <c r="N584" s="17" t="n">
        <v>852</v>
      </c>
      <c r="O584" s="17" t="n">
        <v>141</v>
      </c>
      <c r="P584" s="17" t="n">
        <v>168</v>
      </c>
      <c r="Q584" s="17" t="n">
        <v>0</v>
      </c>
      <c r="R584" s="17" t="n">
        <v>-4</v>
      </c>
      <c r="S584" s="17" t="n">
        <v>9219</v>
      </c>
      <c r="T584" s="17" t="n">
        <v>67435</v>
      </c>
      <c r="U584" s="17" t="n">
        <v>-304</v>
      </c>
      <c r="V584" s="17" t="n">
        <v>-0.320244959302203</v>
      </c>
      <c r="W584" s="17" t="n">
        <v>-3.28</v>
      </c>
      <c r="X584" s="17" t="n">
        <v>2.92722951770937</v>
      </c>
      <c r="Y584" s="17" t="n">
        <v>0.734458443827983</v>
      </c>
      <c r="Z584" s="17" t="n">
        <v>13.6709423889672</v>
      </c>
      <c r="AA584" s="17" t="n">
        <v>9.60907628340402</v>
      </c>
      <c r="AB584" s="17" t="n">
        <v>9.14460331577387</v>
      </c>
      <c r="AC584" s="17" t="n">
        <v>8.62304700463277</v>
      </c>
      <c r="AD584" s="17" t="n">
        <v>-8.71381025199501</v>
      </c>
      <c r="AE584" s="17" t="n">
        <v>-0.108858424471293</v>
      </c>
      <c r="AF584" s="17" t="n">
        <v>-0.116090380121015</v>
      </c>
      <c r="AG584" s="18" t="n">
        <f aca="false">IFERROR(100*O584/F584,"")</f>
        <v>0.147301560769729</v>
      </c>
      <c r="AH584" s="18" t="n">
        <f aca="false">IFERROR(100*(P584+Q584)/F584,"")</f>
        <v>0.175508242619252</v>
      </c>
      <c r="AI584" s="18" t="n">
        <f aca="false">IFERROR(100*R584/K584,"")</f>
        <v>-0.00496820349761526</v>
      </c>
      <c r="AJ584" s="18" t="n">
        <f aca="false">IF(T584&gt;0,100*S584/T584,"")</f>
        <v>13.6709423889672</v>
      </c>
      <c r="AK584" s="18" t="n">
        <f aca="false">IFERROR(100*U584/G584,"")</f>
        <v>-0.320244959302203</v>
      </c>
      <c r="AL584" s="18" t="n">
        <f aca="false">IFERROR(100*J584/H584,"")</f>
        <v>115.190461443171</v>
      </c>
      <c r="AM584" s="18" t="n">
        <f aca="false">IFERROR(100*L584/J584,"")</f>
        <v>83.3640885260727</v>
      </c>
      <c r="AN584" s="18" t="n">
        <f aca="false">IFERROR(100*M584/J584,"")</f>
        <v>15.5947158097985</v>
      </c>
      <c r="AO584" s="18" t="n">
        <f aca="false">IFERROR(100*N584/J584,"")</f>
        <v>1.04119566412885</v>
      </c>
    </row>
    <row r="585" customFormat="false" ht="15" hidden="false" customHeight="false" outlineLevel="0" collapsed="false">
      <c r="A585" s="17" t="n">
        <v>28369</v>
      </c>
      <c r="B585" s="23" t="n">
        <v>45565</v>
      </c>
      <c r="C585" s="17" t="s">
        <v>145</v>
      </c>
      <c r="D585" s="17" t="s">
        <v>108</v>
      </c>
      <c r="E585" s="17" t="s">
        <v>111</v>
      </c>
      <c r="F585" s="17" t="n">
        <v>94545</v>
      </c>
      <c r="G585" s="17" t="n">
        <v>94831.75</v>
      </c>
      <c r="H585" s="17" t="n">
        <v>75881</v>
      </c>
      <c r="I585" s="17" t="n">
        <v>9202</v>
      </c>
      <c r="J585" s="17" t="n">
        <v>81722</v>
      </c>
      <c r="K585" s="17" t="n">
        <v>80814.5</v>
      </c>
      <c r="L585" s="17" t="n">
        <v>68636</v>
      </c>
      <c r="M585" s="17" t="n">
        <v>12366</v>
      </c>
      <c r="N585" s="17" t="n">
        <v>720</v>
      </c>
      <c r="O585" s="17" t="n">
        <v>135</v>
      </c>
      <c r="P585" s="17" t="n">
        <v>232</v>
      </c>
      <c r="Q585" s="17" t="n">
        <v>0</v>
      </c>
      <c r="R585" s="17" t="n">
        <v>-3.9999</v>
      </c>
      <c r="S585" s="17" t="n">
        <v>9228</v>
      </c>
      <c r="T585" s="17" t="n">
        <v>66435</v>
      </c>
      <c r="U585" s="17" t="n">
        <v>-197.3284</v>
      </c>
      <c r="V585" s="17" t="n">
        <v>-0.208082630553586</v>
      </c>
      <c r="W585" s="17" t="n">
        <v>-2.13</v>
      </c>
      <c r="X585" s="17" t="n">
        <v>2.86311227272601</v>
      </c>
      <c r="Y585" s="17" t="n">
        <v>0.739091064829544</v>
      </c>
      <c r="Z585" s="17" t="n">
        <v>13.8902686836758</v>
      </c>
      <c r="AA585" s="17" t="n">
        <v>9.73293140832408</v>
      </c>
      <c r="AB585" s="17" t="n">
        <v>5.15749432753481</v>
      </c>
      <c r="AC585" s="17" t="n">
        <v>4.98040978868264</v>
      </c>
      <c r="AD585" s="17" t="n">
        <v>-5.07399577167019</v>
      </c>
      <c r="AE585" s="17" t="n">
        <v>-0.0652728732887647</v>
      </c>
      <c r="AF585" s="17" t="n">
        <v>-0.107466669032686</v>
      </c>
      <c r="AG585" s="18" t="n">
        <f aca="false">IFERROR(100*O585/F585,"")</f>
        <v>0.14278914802475</v>
      </c>
      <c r="AH585" s="18" t="n">
        <f aca="false">IFERROR(100*(P585+Q585)/F585,"")</f>
        <v>0.245385795124015</v>
      </c>
      <c r="AI585" s="18" t="n">
        <f aca="false">IFERROR(100*R585/K585,"")</f>
        <v>-0.00494948307543819</v>
      </c>
      <c r="AJ585" s="18" t="n">
        <f aca="false">IF(T585&gt;0,100*S585/T585,"")</f>
        <v>13.8902686836758</v>
      </c>
      <c r="AK585" s="18" t="n">
        <f aca="false">IFERROR(100*U585/G585,"")</f>
        <v>-0.208082630553586</v>
      </c>
      <c r="AL585" s="18" t="n">
        <f aca="false">IFERROR(100*J585/H585,"")</f>
        <v>107.697579104124</v>
      </c>
      <c r="AM585" s="18" t="n">
        <f aca="false">IFERROR(100*L585/J585,"")</f>
        <v>83.9871760358288</v>
      </c>
      <c r="AN585" s="18" t="n">
        <f aca="false">IFERROR(100*M585/J585,"")</f>
        <v>15.1317882577519</v>
      </c>
      <c r="AO585" s="18" t="n">
        <f aca="false">IFERROR(100*N585/J585,"")</f>
        <v>0.881035706419324</v>
      </c>
    </row>
    <row r="586" customFormat="false" ht="15" hidden="false" customHeight="false" outlineLevel="0" collapsed="false">
      <c r="A586" s="17" t="n">
        <v>28369</v>
      </c>
      <c r="B586" s="23" t="n">
        <v>45657</v>
      </c>
      <c r="C586" s="17" t="s">
        <v>145</v>
      </c>
      <c r="D586" s="17" t="s">
        <v>108</v>
      </c>
      <c r="E586" s="17" t="s">
        <v>111</v>
      </c>
      <c r="F586" s="17" t="n">
        <v>93759</v>
      </c>
      <c r="G586" s="17" t="n">
        <v>94617.2</v>
      </c>
      <c r="H586" s="17" t="n">
        <v>74708</v>
      </c>
      <c r="I586" s="17" t="n">
        <v>9043</v>
      </c>
      <c r="J586" s="17" t="n">
        <v>81371</v>
      </c>
      <c r="K586" s="17" t="n">
        <v>80925.8</v>
      </c>
      <c r="L586" s="17" t="n">
        <v>68320</v>
      </c>
      <c r="M586" s="17" t="n">
        <v>12423</v>
      </c>
      <c r="N586" s="17" t="n">
        <v>628</v>
      </c>
      <c r="O586" s="17" t="n">
        <v>208</v>
      </c>
      <c r="P586" s="17" t="n">
        <v>150</v>
      </c>
      <c r="Q586" s="17" t="n">
        <v>0</v>
      </c>
      <c r="R586" s="17" t="n">
        <v>-4</v>
      </c>
      <c r="S586" s="17" t="n">
        <v>9135</v>
      </c>
      <c r="T586" s="17" t="n">
        <v>66077</v>
      </c>
      <c r="U586" s="17" t="n">
        <v>-307</v>
      </c>
      <c r="V586" s="17" t="n">
        <v>-0.324465319202006</v>
      </c>
      <c r="W586" s="17" t="n">
        <v>-3.33</v>
      </c>
      <c r="X586" s="17" t="n">
        <v>2.91091148746691</v>
      </c>
      <c r="Y586" s="17" t="n">
        <v>0.769315849627017</v>
      </c>
      <c r="Z586" s="17" t="n">
        <v>13.8247801806983</v>
      </c>
      <c r="AA586" s="17" t="n">
        <v>9.64494075235444</v>
      </c>
      <c r="AB586" s="17" t="n">
        <v>-0.200112829574117</v>
      </c>
      <c r="AC586" s="17" t="n">
        <v>3.14750025352399</v>
      </c>
      <c r="AD586" s="17" t="n">
        <v>-3.11377400822213</v>
      </c>
      <c r="AE586" s="17" t="n">
        <v>-0.133448932243256</v>
      </c>
      <c r="AF586" s="17" t="n">
        <v>0.032376839382504</v>
      </c>
      <c r="AG586" s="18" t="n">
        <f aca="false">IFERROR(100*O586/F586,"")</f>
        <v>0.221845369511194</v>
      </c>
      <c r="AH586" s="18" t="n">
        <f aca="false">IFERROR(100*(P586+Q586)/F586,"")</f>
        <v>0.159984641474418</v>
      </c>
      <c r="AI586" s="18" t="n">
        <f aca="false">IFERROR(100*R586/K586,"")</f>
        <v>-0.00494279945332638</v>
      </c>
      <c r="AJ586" s="18" t="n">
        <f aca="false">IF(T586&gt;0,100*S586/T586,"")</f>
        <v>13.8247801806983</v>
      </c>
      <c r="AK586" s="18" t="n">
        <f aca="false">IFERROR(100*U586/G586,"")</f>
        <v>-0.324465319202006</v>
      </c>
      <c r="AL586" s="18" t="n">
        <f aca="false">IFERROR(100*J586/H586,"")</f>
        <v>108.918723563742</v>
      </c>
      <c r="AM586" s="18" t="n">
        <f aca="false">IFERROR(100*L586/J586,"")</f>
        <v>83.9611163682393</v>
      </c>
      <c r="AN586" s="18" t="n">
        <f aca="false">IFERROR(100*M586/J586,"")</f>
        <v>15.2671099040199</v>
      </c>
      <c r="AO586" s="18" t="n">
        <f aca="false">IFERROR(100*N586/J586,"")</f>
        <v>0.771773727740841</v>
      </c>
    </row>
    <row r="587" customFormat="false" ht="15" hidden="false" customHeight="false" outlineLevel="0" collapsed="false">
      <c r="A587" s="17" t="n">
        <v>28369</v>
      </c>
      <c r="B587" s="23" t="n">
        <v>45747</v>
      </c>
      <c r="C587" s="17" t="s">
        <v>145</v>
      </c>
      <c r="D587" s="17" t="s">
        <v>108</v>
      </c>
      <c r="E587" s="17" t="s">
        <v>111</v>
      </c>
      <c r="F587" s="17" t="n">
        <v>93473</v>
      </c>
      <c r="G587" s="17" t="n">
        <v>93616</v>
      </c>
      <c r="H587" s="17" t="n">
        <v>72638</v>
      </c>
      <c r="I587" s="17" t="n">
        <v>9063</v>
      </c>
      <c r="J587" s="17" t="n">
        <v>80877</v>
      </c>
      <c r="K587" s="17" t="n">
        <v>81124</v>
      </c>
      <c r="L587" s="17" t="n">
        <v>67131</v>
      </c>
      <c r="M587" s="17" t="n">
        <v>13089</v>
      </c>
      <c r="N587" s="17" t="n">
        <v>657</v>
      </c>
      <c r="O587" s="17" t="n">
        <v>88</v>
      </c>
      <c r="P587" s="17" t="n">
        <v>299</v>
      </c>
      <c r="Q587" s="17" t="n">
        <v>0</v>
      </c>
      <c r="R587" s="17" t="n">
        <v>-4</v>
      </c>
      <c r="S587" s="17" t="n">
        <v>9171</v>
      </c>
      <c r="T587" s="17" t="n">
        <v>65496</v>
      </c>
      <c r="U587" s="17" t="n">
        <v>80</v>
      </c>
      <c r="V587" s="17" t="n">
        <v>0.0854554776961203</v>
      </c>
      <c r="W587" s="17" t="n">
        <v>0.88</v>
      </c>
      <c r="X587" s="17" t="n">
        <v>3.50547869888538</v>
      </c>
      <c r="Y587" s="17" t="n">
        <v>0.778960643940799</v>
      </c>
      <c r="Z587" s="17" t="n">
        <v>14.0023818248443</v>
      </c>
      <c r="AA587" s="17" t="n">
        <v>9.69584799888738</v>
      </c>
      <c r="AB587" s="17" t="n">
        <v>-1.72426482184349</v>
      </c>
      <c r="AC587" s="17" t="n">
        <v>0.0717653027134668</v>
      </c>
      <c r="AD587" s="17" t="n">
        <v>-3.62350568536135</v>
      </c>
      <c r="AE587" s="17" t="n">
        <v>0.440898194294026</v>
      </c>
      <c r="AF587" s="17" t="n">
        <v>-0.0887954588062781</v>
      </c>
      <c r="AG587" s="18" t="n">
        <f aca="false">IFERROR(100*O587/F587,"")</f>
        <v>0.0941448332673606</v>
      </c>
      <c r="AH587" s="18" t="n">
        <f aca="false">IFERROR(100*(P587+Q587)/F587,"")</f>
        <v>0.319878467578873</v>
      </c>
      <c r="AI587" s="18" t="n">
        <f aca="false">IFERROR(100*R587/K587,"")</f>
        <v>-0.00493072333711356</v>
      </c>
      <c r="AJ587" s="18" t="n">
        <f aca="false">IF(T587&gt;0,100*S587/T587,"")</f>
        <v>14.0023818248443</v>
      </c>
      <c r="AK587" s="18" t="n">
        <f aca="false">IFERROR(100*U587/G587,"")</f>
        <v>0.0854554776961203</v>
      </c>
      <c r="AL587" s="18" t="n">
        <f aca="false">IFERROR(100*J587/H587,"")</f>
        <v>111.342547977643</v>
      </c>
      <c r="AM587" s="18" t="n">
        <f aca="false">IFERROR(100*L587/J587,"")</f>
        <v>83.0038206164917</v>
      </c>
      <c r="AN587" s="18" t="n">
        <f aca="false">IFERROR(100*M587/J587,"")</f>
        <v>16.18383471197</v>
      </c>
      <c r="AO587" s="18" t="n">
        <f aca="false">IFERROR(100*N587/J587,"")</f>
        <v>0.812344671538262</v>
      </c>
    </row>
    <row r="588" customFormat="false" ht="15" hidden="false" customHeight="false" outlineLevel="0" collapsed="false">
      <c r="A588" s="17" t="n">
        <v>28369</v>
      </c>
      <c r="B588" s="23" t="n">
        <v>45838</v>
      </c>
      <c r="C588" s="17" t="s">
        <v>145</v>
      </c>
      <c r="D588" s="17" t="s">
        <v>108</v>
      </c>
      <c r="E588" s="17" t="s">
        <v>111</v>
      </c>
      <c r="F588" s="17" t="n">
        <v>93177</v>
      </c>
      <c r="G588" s="17" t="n">
        <v>93469.6666666667</v>
      </c>
      <c r="H588" s="17" t="n">
        <v>73160</v>
      </c>
      <c r="I588" s="17" t="n">
        <v>9091</v>
      </c>
      <c r="J588" s="17" t="n">
        <v>79992</v>
      </c>
      <c r="K588" s="17" t="n">
        <v>80746.6666666667</v>
      </c>
      <c r="L588" s="17" t="n">
        <v>66764</v>
      </c>
      <c r="M588" s="17" t="n">
        <v>12550</v>
      </c>
      <c r="N588" s="17" t="n">
        <v>678</v>
      </c>
      <c r="O588" s="17" t="n">
        <v>86</v>
      </c>
      <c r="P588" s="17" t="n">
        <v>180</v>
      </c>
      <c r="Q588" s="17" t="n">
        <v>0</v>
      </c>
      <c r="R588" s="17" t="n">
        <v>-118</v>
      </c>
      <c r="S588" s="17" t="n">
        <v>9221</v>
      </c>
      <c r="T588" s="17" t="n">
        <v>65221</v>
      </c>
      <c r="U588" s="17" t="n">
        <v>96</v>
      </c>
      <c r="V588" s="17" t="n">
        <v>0.102707117103945</v>
      </c>
      <c r="W588" s="17" t="n">
        <v>1.06</v>
      </c>
      <c r="X588" s="17" t="n">
        <v>3.43158918975128</v>
      </c>
      <c r="Y588" s="17" t="n">
        <v>0.788828882888289</v>
      </c>
      <c r="Z588" s="17" t="n">
        <v>14.1380843593321</v>
      </c>
      <c r="AA588" s="17" t="n">
        <v>9.75669961471179</v>
      </c>
      <c r="AB588" s="17" t="n">
        <v>-2.65874093729759</v>
      </c>
      <c r="AC588" s="17" t="n">
        <v>-2.24492539319801</v>
      </c>
      <c r="AD588" s="17" t="n">
        <v>2.9871336467806</v>
      </c>
      <c r="AE588" s="17" t="n">
        <v>0.422952076406148</v>
      </c>
      <c r="AF588" s="17" t="n">
        <v>-0.0550041053891093</v>
      </c>
      <c r="AG588" s="18" t="n">
        <f aca="false">IFERROR(100*O588/F588,"")</f>
        <v>0.0922974553806197</v>
      </c>
      <c r="AH588" s="18" t="n">
        <f aca="false">IFERROR(100*(P588+Q588)/F588,"")</f>
        <v>0.193180720564088</v>
      </c>
      <c r="AI588" s="18" t="n">
        <f aca="false">IFERROR(100*R588/K588,"")</f>
        <v>-0.14613606340819</v>
      </c>
      <c r="AJ588" s="18" t="n">
        <f aca="false">IF(T588&gt;0,100*S588/T588,"")</f>
        <v>14.1380843593321</v>
      </c>
      <c r="AK588" s="18" t="n">
        <f aca="false">IFERROR(100*U588/G588,"")</f>
        <v>0.102707117103945</v>
      </c>
      <c r="AL588" s="18" t="n">
        <f aca="false">IFERROR(100*J588/H588,"")</f>
        <v>109.338436303991</v>
      </c>
      <c r="AM588" s="18" t="n">
        <f aca="false">IFERROR(100*L588/J588,"")</f>
        <v>83.4633463346335</v>
      </c>
      <c r="AN588" s="18" t="n">
        <f aca="false">IFERROR(100*M588/J588,"")</f>
        <v>15.6890689068907</v>
      </c>
      <c r="AO588" s="18" t="n">
        <f aca="false">IFERROR(100*N588/J588,"")</f>
        <v>0.847584758475848</v>
      </c>
    </row>
    <row r="589" customFormat="false" ht="15" hidden="false" customHeight="false" outlineLevel="0" collapsed="false">
      <c r="A589" s="17" t="n">
        <v>28837</v>
      </c>
      <c r="B589" s="23" t="n">
        <v>44651</v>
      </c>
      <c r="C589" s="17" t="s">
        <v>142</v>
      </c>
      <c r="D589" s="17" t="s">
        <v>113</v>
      </c>
      <c r="E589" s="17" t="s">
        <v>118</v>
      </c>
      <c r="F589" s="17" t="n">
        <v>300452</v>
      </c>
      <c r="G589" s="17" t="n">
        <v>301891</v>
      </c>
      <c r="H589" s="17" t="n">
        <v>273714</v>
      </c>
      <c r="I589" s="17" t="n">
        <v>22104</v>
      </c>
      <c r="J589" s="17" t="n">
        <v>189360</v>
      </c>
      <c r="K589" s="17" t="n">
        <v>190042</v>
      </c>
      <c r="L589" s="17" t="n">
        <v>180942</v>
      </c>
      <c r="M589" s="17" t="n">
        <v>6477</v>
      </c>
      <c r="N589" s="17" t="n">
        <v>887</v>
      </c>
      <c r="O589" s="17" t="n">
        <v>71</v>
      </c>
      <c r="P589" s="17" t="n">
        <v>507</v>
      </c>
      <c r="Q589" s="17" t="n">
        <v>0</v>
      </c>
      <c r="R589" s="17" t="n">
        <v>512</v>
      </c>
      <c r="S589" s="17" t="n">
        <v>22239</v>
      </c>
      <c r="T589" s="17" t="n">
        <v>153013</v>
      </c>
      <c r="U589" s="17" t="n">
        <v>932</v>
      </c>
      <c r="V589" s="17" t="n">
        <v>0.308720697205283</v>
      </c>
      <c r="W589" s="17" t="n">
        <v>4.24</v>
      </c>
      <c r="X589" s="17" t="n">
        <v>2.37407853799367</v>
      </c>
      <c r="Y589" s="17" t="n">
        <v>1.17131389945078</v>
      </c>
      <c r="Z589" s="17" t="n">
        <v>14.5340591975845</v>
      </c>
      <c r="AA589" s="17" t="n">
        <v>7.35691558052534</v>
      </c>
      <c r="AB589" s="17"/>
      <c r="AC589" s="17"/>
      <c r="AD589" s="17"/>
      <c r="AE589" s="17"/>
      <c r="AF589" s="17"/>
      <c r="AG589" s="18" t="n">
        <f aca="false">IFERROR(100*O589/F589,"")</f>
        <v>0.0236310625324511</v>
      </c>
      <c r="AH589" s="18" t="n">
        <f aca="false">IFERROR(100*(P589+Q589)/F589,"")</f>
        <v>0.1687457563937</v>
      </c>
      <c r="AI589" s="18" t="n">
        <f aca="false">IFERROR(100*R589/K589,"")</f>
        <v>0.269414129508214</v>
      </c>
      <c r="AJ589" s="18" t="n">
        <f aca="false">IF(T589&gt;0,100*S589/T589,"")</f>
        <v>14.5340591975845</v>
      </c>
      <c r="AK589" s="18" t="n">
        <f aca="false">IFERROR(100*U589/G589,"")</f>
        <v>0.308720697205283</v>
      </c>
      <c r="AL589" s="18" t="n">
        <f aca="false">IFERROR(100*J589/H589,"")</f>
        <v>69.1817006072031</v>
      </c>
      <c r="AM589" s="18" t="n">
        <f aca="false">IFERROR(100*L589/J589,"")</f>
        <v>95.5544993662864</v>
      </c>
      <c r="AN589" s="18" t="n">
        <f aca="false">IFERROR(100*M589/J589,"")</f>
        <v>3.42046894803549</v>
      </c>
      <c r="AO589" s="18" t="n">
        <f aca="false">IFERROR(100*N589/J589,"")</f>
        <v>0.468419940853401</v>
      </c>
    </row>
    <row r="590" customFormat="false" ht="15" hidden="false" customHeight="false" outlineLevel="0" collapsed="false">
      <c r="A590" s="17" t="n">
        <v>28837</v>
      </c>
      <c r="B590" s="23" t="n">
        <v>44742</v>
      </c>
      <c r="C590" s="17" t="s">
        <v>142</v>
      </c>
      <c r="D590" s="17" t="s">
        <v>113</v>
      </c>
      <c r="E590" s="17" t="s">
        <v>118</v>
      </c>
      <c r="F590" s="17" t="n">
        <v>290878</v>
      </c>
      <c r="G590" s="17" t="n">
        <v>298220</v>
      </c>
      <c r="H590" s="17" t="n">
        <v>266261</v>
      </c>
      <c r="I590" s="17" t="n">
        <v>22419</v>
      </c>
      <c r="J590" s="17" t="n">
        <v>188647</v>
      </c>
      <c r="K590" s="17" t="n">
        <v>189577</v>
      </c>
      <c r="L590" s="17" t="n">
        <v>179830</v>
      </c>
      <c r="M590" s="17" t="n">
        <v>6574</v>
      </c>
      <c r="N590" s="17" t="n">
        <v>1145</v>
      </c>
      <c r="O590" s="17" t="n">
        <v>0</v>
      </c>
      <c r="P590" s="17" t="n">
        <v>65</v>
      </c>
      <c r="Q590" s="17" t="n">
        <v>0</v>
      </c>
      <c r="R590" s="17" t="n">
        <v>270</v>
      </c>
      <c r="S590" s="17" t="n">
        <v>22565</v>
      </c>
      <c r="T590" s="17" t="n">
        <v>152854</v>
      </c>
      <c r="U590" s="17" t="n">
        <v>1098</v>
      </c>
      <c r="V590" s="17" t="n">
        <v>0.368184561732949</v>
      </c>
      <c r="W590" s="17" t="n">
        <v>4.96</v>
      </c>
      <c r="X590" s="17" t="n">
        <v>2.60354973570456</v>
      </c>
      <c r="Y590" s="17" t="n">
        <v>1.2038357355272</v>
      </c>
      <c r="Z590" s="17" t="n">
        <v>14.7624530597825</v>
      </c>
      <c r="AA590" s="17" t="n">
        <v>7.7073549735628</v>
      </c>
      <c r="AB590" s="17"/>
      <c r="AC590" s="17"/>
      <c r="AD590" s="17"/>
      <c r="AE590" s="17"/>
      <c r="AF590" s="17"/>
      <c r="AG590" s="18" t="n">
        <f aca="false">IFERROR(100*O590/F590,"")</f>
        <v>0</v>
      </c>
      <c r="AH590" s="18" t="n">
        <f aca="false">IFERROR(100*(P590+Q590)/F590,"")</f>
        <v>0.0223461382435248</v>
      </c>
      <c r="AI590" s="18" t="n">
        <f aca="false">IFERROR(100*R590/K590,"")</f>
        <v>0.142422340262796</v>
      </c>
      <c r="AJ590" s="18" t="n">
        <f aca="false">IF(T590&gt;0,100*S590/T590,"")</f>
        <v>14.7624530597825</v>
      </c>
      <c r="AK590" s="18" t="n">
        <f aca="false">IFERROR(100*U590/G590,"")</f>
        <v>0.368184561732949</v>
      </c>
      <c r="AL590" s="18" t="n">
        <f aca="false">IFERROR(100*J590/H590,"")</f>
        <v>70.8504061804019</v>
      </c>
      <c r="AM590" s="18" t="n">
        <f aca="false">IFERROR(100*L590/J590,"")</f>
        <v>95.326191246084</v>
      </c>
      <c r="AN590" s="18" t="n">
        <f aca="false">IFERROR(100*M590/J590,"")</f>
        <v>3.48481555497835</v>
      </c>
      <c r="AO590" s="18" t="n">
        <f aca="false">IFERROR(100*N590/J590,"")</f>
        <v>0.606953728392182</v>
      </c>
    </row>
    <row r="591" customFormat="false" ht="15" hidden="false" customHeight="false" outlineLevel="0" collapsed="false">
      <c r="A591" s="17" t="n">
        <v>28837</v>
      </c>
      <c r="B591" s="23" t="n">
        <v>44834</v>
      </c>
      <c r="C591" s="17" t="s">
        <v>142</v>
      </c>
      <c r="D591" s="17" t="s">
        <v>113</v>
      </c>
      <c r="E591" s="17" t="s">
        <v>118</v>
      </c>
      <c r="F591" s="17" t="n">
        <v>308029</v>
      </c>
      <c r="G591" s="17" t="n">
        <v>300672.25</v>
      </c>
      <c r="H591" s="17" t="n">
        <v>282630</v>
      </c>
      <c r="I591" s="17" t="n">
        <v>22847</v>
      </c>
      <c r="J591" s="17" t="n">
        <v>189990</v>
      </c>
      <c r="K591" s="17" t="n">
        <v>189680.25</v>
      </c>
      <c r="L591" s="17" t="n">
        <v>180618</v>
      </c>
      <c r="M591" s="17" t="n">
        <v>6504</v>
      </c>
      <c r="N591" s="17" t="n">
        <v>1852</v>
      </c>
      <c r="O591" s="17" t="n">
        <v>240</v>
      </c>
      <c r="P591" s="17" t="n">
        <v>105</v>
      </c>
      <c r="Q591" s="17" t="n">
        <v>0</v>
      </c>
      <c r="R591" s="17" t="n">
        <v>175.9956</v>
      </c>
      <c r="S591" s="17" t="n">
        <v>23110</v>
      </c>
      <c r="T591" s="17" t="n">
        <v>153019</v>
      </c>
      <c r="U591" s="17" t="n">
        <v>1446.6305</v>
      </c>
      <c r="V591" s="17" t="n">
        <v>0.481132029976162</v>
      </c>
      <c r="W591" s="17" t="n">
        <v>6.48</v>
      </c>
      <c r="X591" s="17" t="n">
        <v>2.81999663466663</v>
      </c>
      <c r="Y591" s="17" t="n">
        <v>1.21743249644718</v>
      </c>
      <c r="Z591" s="17" t="n">
        <v>15.1026996647475</v>
      </c>
      <c r="AA591" s="17" t="n">
        <v>7.41715877401154</v>
      </c>
      <c r="AB591" s="17"/>
      <c r="AC591" s="17"/>
      <c r="AD591" s="17"/>
      <c r="AE591" s="17"/>
      <c r="AF591" s="17"/>
      <c r="AG591" s="18" t="n">
        <f aca="false">IFERROR(100*O591/F591,"")</f>
        <v>0.0779147417937921</v>
      </c>
      <c r="AH591" s="18" t="n">
        <f aca="false">IFERROR(100*(P591+Q591)/F591,"")</f>
        <v>0.0340876995347841</v>
      </c>
      <c r="AI591" s="18" t="n">
        <f aca="false">IFERROR(100*R591/K591,"")</f>
        <v>0.0927854112381231</v>
      </c>
      <c r="AJ591" s="18" t="n">
        <f aca="false">IF(T591&gt;0,100*S591/T591,"")</f>
        <v>15.1026996647475</v>
      </c>
      <c r="AK591" s="18" t="n">
        <f aca="false">IFERROR(100*U591/G591,"")</f>
        <v>0.481132029976162</v>
      </c>
      <c r="AL591" s="18" t="n">
        <f aca="false">IFERROR(100*J591/H591,"")</f>
        <v>67.2221632523087</v>
      </c>
      <c r="AM591" s="18" t="n">
        <f aca="false">IFERROR(100*L591/J591,"")</f>
        <v>95.0671087951997</v>
      </c>
      <c r="AN591" s="18" t="n">
        <f aca="false">IFERROR(100*M591/J591,"")</f>
        <v>3.42333807042476</v>
      </c>
      <c r="AO591" s="18" t="n">
        <f aca="false">IFERROR(100*N591/J591,"")</f>
        <v>0.974788146744566</v>
      </c>
    </row>
    <row r="592" customFormat="false" ht="15" hidden="false" customHeight="false" outlineLevel="0" collapsed="false">
      <c r="A592" s="17" t="n">
        <v>28837</v>
      </c>
      <c r="B592" s="23" t="n">
        <v>44926</v>
      </c>
      <c r="C592" s="17" t="s">
        <v>142</v>
      </c>
      <c r="D592" s="17" t="s">
        <v>113</v>
      </c>
      <c r="E592" s="17" t="s">
        <v>118</v>
      </c>
      <c r="F592" s="17" t="n">
        <v>309393</v>
      </c>
      <c r="G592" s="17" t="n">
        <v>302416.4</v>
      </c>
      <c r="H592" s="17" t="n">
        <v>282476</v>
      </c>
      <c r="I592" s="17" t="n">
        <v>23557</v>
      </c>
      <c r="J592" s="17" t="n">
        <v>188508</v>
      </c>
      <c r="K592" s="17" t="n">
        <v>189445.8</v>
      </c>
      <c r="L592" s="17" t="n">
        <v>179883</v>
      </c>
      <c r="M592" s="17" t="n">
        <v>6121</v>
      </c>
      <c r="N592" s="17" t="n">
        <v>1547</v>
      </c>
      <c r="O592" s="17" t="n">
        <v>19</v>
      </c>
      <c r="P592" s="17" t="n">
        <v>480</v>
      </c>
      <c r="Q592" s="17" t="n">
        <v>0</v>
      </c>
      <c r="R592" s="17" t="n">
        <v>117</v>
      </c>
      <c r="S592" s="17" t="n">
        <v>23829</v>
      </c>
      <c r="T592" s="17" t="n">
        <v>154672</v>
      </c>
      <c r="U592" s="17" t="n">
        <v>1776</v>
      </c>
      <c r="V592" s="17" t="n">
        <v>0.587269738016854</v>
      </c>
      <c r="W592" s="17" t="n">
        <v>7.87</v>
      </c>
      <c r="X592" s="17" t="n">
        <v>3.00954600230921</v>
      </c>
      <c r="Y592" s="17" t="n">
        <v>1.22063785091349</v>
      </c>
      <c r="Z592" s="17" t="n">
        <v>15.4061497879384</v>
      </c>
      <c r="AA592" s="17" t="n">
        <v>7.61394084546192</v>
      </c>
      <c r="AB592" s="17"/>
      <c r="AC592" s="17"/>
      <c r="AD592" s="17"/>
      <c r="AE592" s="17"/>
      <c r="AF592" s="17"/>
      <c r="AG592" s="18" t="n">
        <f aca="false">IFERROR(100*O592/F592,"")</f>
        <v>0.00614105684356143</v>
      </c>
      <c r="AH592" s="18" t="n">
        <f aca="false">IFERROR(100*(P592+Q592)/F592,"")</f>
        <v>0.155142488679447</v>
      </c>
      <c r="AI592" s="18" t="n">
        <f aca="false">IFERROR(100*R592/K592,"")</f>
        <v>0.0617590888792467</v>
      </c>
      <c r="AJ592" s="18" t="n">
        <f aca="false">IF(T592&gt;0,100*S592/T592,"")</f>
        <v>15.4061497879383</v>
      </c>
      <c r="AK592" s="18" t="n">
        <f aca="false">IFERROR(100*U592/G592,"")</f>
        <v>0.587269738016854</v>
      </c>
      <c r="AL592" s="18" t="n">
        <f aca="false">IFERROR(100*J592/H592,"")</f>
        <v>66.7341650264093</v>
      </c>
      <c r="AM592" s="18" t="n">
        <f aca="false">IFERROR(100*L592/J592,"")</f>
        <v>95.4245973645681</v>
      </c>
      <c r="AN592" s="18" t="n">
        <f aca="false">IFERROR(100*M592/J592,"")</f>
        <v>3.24707704712797</v>
      </c>
      <c r="AO592" s="18" t="n">
        <f aca="false">IFERROR(100*N592/J592,"")</f>
        <v>0.820654826320368</v>
      </c>
    </row>
    <row r="593" customFormat="false" ht="15" hidden="false" customHeight="false" outlineLevel="0" collapsed="false">
      <c r="A593" s="17" t="n">
        <v>28837</v>
      </c>
      <c r="B593" s="23" t="n">
        <v>45016</v>
      </c>
      <c r="C593" s="17" t="s">
        <v>142</v>
      </c>
      <c r="D593" s="17" t="s">
        <v>113</v>
      </c>
      <c r="E593" s="17" t="s">
        <v>118</v>
      </c>
      <c r="F593" s="17" t="n">
        <v>288419</v>
      </c>
      <c r="G593" s="17" t="n">
        <v>298906</v>
      </c>
      <c r="H593" s="17" t="n">
        <v>260987</v>
      </c>
      <c r="I593" s="17" t="n">
        <v>24341</v>
      </c>
      <c r="J593" s="17" t="n">
        <v>188100</v>
      </c>
      <c r="K593" s="17" t="n">
        <v>188304</v>
      </c>
      <c r="L593" s="17" t="n">
        <v>179697</v>
      </c>
      <c r="M593" s="17" t="n">
        <v>6280</v>
      </c>
      <c r="N593" s="17" t="n">
        <v>1194</v>
      </c>
      <c r="O593" s="17" t="n">
        <v>19</v>
      </c>
      <c r="P593" s="17" t="n">
        <v>454</v>
      </c>
      <c r="Q593" s="17" t="n">
        <v>0</v>
      </c>
      <c r="R593" s="17" t="n">
        <v>-8</v>
      </c>
      <c r="S593" s="17" t="n">
        <v>24453</v>
      </c>
      <c r="T593" s="17" t="n">
        <v>149641</v>
      </c>
      <c r="U593" s="17" t="n">
        <v>2568</v>
      </c>
      <c r="V593" s="17" t="n">
        <v>0.859132971569657</v>
      </c>
      <c r="W593" s="17" t="n">
        <v>10.72</v>
      </c>
      <c r="X593" s="17" t="n">
        <v>3.67223584421509</v>
      </c>
      <c r="Y593" s="17" t="n">
        <v>1.21477937267411</v>
      </c>
      <c r="Z593" s="17" t="n">
        <v>16.3411097226028</v>
      </c>
      <c r="AA593" s="17" t="n">
        <v>8.4394578720542</v>
      </c>
      <c r="AB593" s="17" t="n">
        <v>-4.00496585145048</v>
      </c>
      <c r="AC593" s="17" t="n">
        <v>-0.665399239543729</v>
      </c>
      <c r="AD593" s="17" t="n">
        <v>-4.64974389326085</v>
      </c>
      <c r="AE593" s="17" t="n">
        <v>0.550412274364375</v>
      </c>
      <c r="AF593" s="17" t="n">
        <v>-0.0170434244087491</v>
      </c>
      <c r="AG593" s="18" t="n">
        <f aca="false">IFERROR(100*O593/F593,"")</f>
        <v>0.00658763812370198</v>
      </c>
      <c r="AH593" s="18" t="n">
        <f aca="false">IFERROR(100*(P593+Q593)/F593,"")</f>
        <v>0.157409879376879</v>
      </c>
      <c r="AI593" s="18" t="n">
        <f aca="false">IFERROR(100*R593/K593,"")</f>
        <v>-0.00424844931599966</v>
      </c>
      <c r="AJ593" s="18" t="n">
        <f aca="false">IF(T593&gt;0,100*S593/T593,"")</f>
        <v>16.3411097226028</v>
      </c>
      <c r="AK593" s="18" t="n">
        <f aca="false">IFERROR(100*U593/G593,"")</f>
        <v>0.859132971569657</v>
      </c>
      <c r="AL593" s="18" t="n">
        <f aca="false">IFERROR(100*J593/H593,"")</f>
        <v>72.0725553380053</v>
      </c>
      <c r="AM593" s="18" t="n">
        <f aca="false">IFERROR(100*L593/J593,"")</f>
        <v>95.5326953748006</v>
      </c>
      <c r="AN593" s="18" t="n">
        <f aca="false">IFERROR(100*M593/J593,"")</f>
        <v>3.33864965443913</v>
      </c>
      <c r="AO593" s="18" t="n">
        <f aca="false">IFERROR(100*N593/J593,"")</f>
        <v>0.634768740031898</v>
      </c>
    </row>
    <row r="594" customFormat="false" ht="15" hidden="false" customHeight="false" outlineLevel="0" collapsed="false">
      <c r="A594" s="17" t="n">
        <v>28837</v>
      </c>
      <c r="B594" s="23" t="n">
        <v>45107</v>
      </c>
      <c r="C594" s="17" t="s">
        <v>142</v>
      </c>
      <c r="D594" s="17" t="s">
        <v>113</v>
      </c>
      <c r="E594" s="17" t="s">
        <v>118</v>
      </c>
      <c r="F594" s="17" t="n">
        <v>285195</v>
      </c>
      <c r="G594" s="17" t="n">
        <v>294335.666666667</v>
      </c>
      <c r="H594" s="17" t="n">
        <v>256863</v>
      </c>
      <c r="I594" s="17" t="n">
        <v>24942</v>
      </c>
      <c r="J594" s="17" t="n">
        <v>193010</v>
      </c>
      <c r="K594" s="17" t="n">
        <v>189872.666666667</v>
      </c>
      <c r="L594" s="17" t="n">
        <v>183990</v>
      </c>
      <c r="M594" s="17" t="n">
        <v>6474</v>
      </c>
      <c r="N594" s="17" t="n">
        <v>1267</v>
      </c>
      <c r="O594" s="17" t="n">
        <v>38</v>
      </c>
      <c r="P594" s="17" t="n">
        <v>366</v>
      </c>
      <c r="Q594" s="17" t="n">
        <v>0</v>
      </c>
      <c r="R594" s="17" t="n">
        <v>-8</v>
      </c>
      <c r="S594" s="17" t="n">
        <v>25353</v>
      </c>
      <c r="T594" s="17" t="n">
        <v>154998</v>
      </c>
      <c r="U594" s="17" t="n">
        <v>2938</v>
      </c>
      <c r="V594" s="17" t="n">
        <v>0.998180082377603</v>
      </c>
      <c r="W594" s="17" t="n">
        <v>12.1</v>
      </c>
      <c r="X594" s="17" t="n">
        <v>3.64030461666489</v>
      </c>
      <c r="Y594" s="17" t="n">
        <v>1.17921351225325</v>
      </c>
      <c r="Z594" s="17" t="n">
        <v>16.3569852514226</v>
      </c>
      <c r="AA594" s="17" t="n">
        <v>8.74559511912902</v>
      </c>
      <c r="AB594" s="17" t="n">
        <v>-1.95374005596848</v>
      </c>
      <c r="AC594" s="17" t="n">
        <v>2.31278525500007</v>
      </c>
      <c r="AD594" s="17" t="n">
        <v>-3.52961943356331</v>
      </c>
      <c r="AE594" s="17" t="n">
        <v>0.629995520644654</v>
      </c>
      <c r="AF594" s="17" t="n">
        <v>0.0133242167639685</v>
      </c>
      <c r="AG594" s="18" t="n">
        <f aca="false">IFERROR(100*O594/F594,"")</f>
        <v>0.0133242167639685</v>
      </c>
      <c r="AH594" s="18" t="n">
        <f aca="false">IFERROR(100*(P594+Q594)/F594,"")</f>
        <v>0.128333245674013</v>
      </c>
      <c r="AI594" s="18" t="n">
        <f aca="false">IFERROR(100*R594/K594,"")</f>
        <v>-0.00421334999947333</v>
      </c>
      <c r="AJ594" s="18" t="n">
        <f aca="false">IF(T594&gt;0,100*S594/T594,"")</f>
        <v>16.3569852514226</v>
      </c>
      <c r="AK594" s="18" t="n">
        <f aca="false">IFERROR(100*U594/G594,"")</f>
        <v>0.998180082377603</v>
      </c>
      <c r="AL594" s="18" t="n">
        <f aca="false">IFERROR(100*J594/H594,"")</f>
        <v>75.1412231422977</v>
      </c>
      <c r="AM594" s="18" t="n">
        <f aca="false">IFERROR(100*L594/J594,"")</f>
        <v>95.3266670120719</v>
      </c>
      <c r="AN594" s="18" t="n">
        <f aca="false">IFERROR(100*M594/J594,"")</f>
        <v>3.35423035075903</v>
      </c>
      <c r="AO594" s="18" t="n">
        <f aca="false">IFERROR(100*N594/J594,"")</f>
        <v>0.656442671364178</v>
      </c>
    </row>
    <row r="595" customFormat="false" ht="15" hidden="false" customHeight="false" outlineLevel="0" collapsed="false">
      <c r="A595" s="17" t="n">
        <v>28837</v>
      </c>
      <c r="B595" s="23" t="n">
        <v>45199</v>
      </c>
      <c r="C595" s="17" t="s">
        <v>142</v>
      </c>
      <c r="D595" s="17" t="s">
        <v>113</v>
      </c>
      <c r="E595" s="17" t="s">
        <v>118</v>
      </c>
      <c r="F595" s="17" t="n">
        <v>282885</v>
      </c>
      <c r="G595" s="17" t="n">
        <v>291473</v>
      </c>
      <c r="H595" s="17" t="n">
        <v>253635</v>
      </c>
      <c r="I595" s="17" t="n">
        <v>25486</v>
      </c>
      <c r="J595" s="17" t="n">
        <v>194257</v>
      </c>
      <c r="K595" s="17" t="n">
        <v>190968.75</v>
      </c>
      <c r="L595" s="17" t="n">
        <v>185306</v>
      </c>
      <c r="M595" s="17" t="n">
        <v>6214</v>
      </c>
      <c r="N595" s="17" t="n">
        <v>1468</v>
      </c>
      <c r="O595" s="17" t="n">
        <v>52</v>
      </c>
      <c r="P595" s="17" t="n">
        <v>150</v>
      </c>
      <c r="Q595" s="17" t="n">
        <v>0</v>
      </c>
      <c r="R595" s="17" t="n">
        <v>65.3317</v>
      </c>
      <c r="S595" s="17" t="n">
        <v>25922</v>
      </c>
      <c r="T595" s="17" t="n">
        <v>157179</v>
      </c>
      <c r="U595" s="17" t="n">
        <v>2671.9332</v>
      </c>
      <c r="V595" s="17" t="n">
        <v>0.916700071704755</v>
      </c>
      <c r="W595" s="17" t="n">
        <v>10.87</v>
      </c>
      <c r="X595" s="17" t="n">
        <v>3.61649026008213</v>
      </c>
      <c r="Y595" s="17" t="n">
        <v>1.13972726851542</v>
      </c>
      <c r="Z595" s="17" t="n">
        <v>16.4920250160645</v>
      </c>
      <c r="AA595" s="17" t="n">
        <v>9.00931473920498</v>
      </c>
      <c r="AB595" s="17" t="n">
        <v>-8.16286778192963</v>
      </c>
      <c r="AC595" s="17" t="n">
        <v>2.24590767935156</v>
      </c>
      <c r="AD595" s="17" t="n">
        <v>-10.2589958603121</v>
      </c>
      <c r="AE595" s="17" t="n">
        <v>0.435568041728593</v>
      </c>
      <c r="AF595" s="17" t="n">
        <v>-0.0595327137611994</v>
      </c>
      <c r="AG595" s="18" t="n">
        <f aca="false">IFERROR(100*O595/F595,"")</f>
        <v>0.0183820280325928</v>
      </c>
      <c r="AH595" s="18" t="n">
        <f aca="false">IFERROR(100*(P595+Q595)/F595,"")</f>
        <v>0.0530250808632483</v>
      </c>
      <c r="AI595" s="18" t="n">
        <f aca="false">IFERROR(100*R595/K595,"")</f>
        <v>0.0342106758304697</v>
      </c>
      <c r="AJ595" s="18" t="n">
        <f aca="false">IF(T595&gt;0,100*S595/T595,"")</f>
        <v>16.4920250160645</v>
      </c>
      <c r="AK595" s="18" t="n">
        <f aca="false">IFERROR(100*U595/G595,"")</f>
        <v>0.916700071704755</v>
      </c>
      <c r="AL595" s="18" t="n">
        <f aca="false">IFERROR(100*J595/H595,"")</f>
        <v>76.5891931318627</v>
      </c>
      <c r="AM595" s="18" t="n">
        <f aca="false">IFERROR(100*L595/J595,"")</f>
        <v>95.3921866393489</v>
      </c>
      <c r="AN595" s="18" t="n">
        <f aca="false">IFERROR(100*M595/J595,"")</f>
        <v>3.19885512491184</v>
      </c>
      <c r="AO595" s="18" t="n">
        <f aca="false">IFERROR(100*N595/J595,"")</f>
        <v>0.755699923297487</v>
      </c>
    </row>
    <row r="596" customFormat="false" ht="15" hidden="false" customHeight="false" outlineLevel="0" collapsed="false">
      <c r="A596" s="17" t="n">
        <v>28837</v>
      </c>
      <c r="B596" s="23" t="n">
        <v>45291</v>
      </c>
      <c r="C596" s="17" t="s">
        <v>142</v>
      </c>
      <c r="D596" s="17" t="s">
        <v>113</v>
      </c>
      <c r="E596" s="17" t="s">
        <v>118</v>
      </c>
      <c r="F596" s="17" t="n">
        <v>285205</v>
      </c>
      <c r="G596" s="17" t="n">
        <v>290219.4</v>
      </c>
      <c r="H596" s="17" t="n">
        <v>255839</v>
      </c>
      <c r="I596" s="17" t="n">
        <v>26107</v>
      </c>
      <c r="J596" s="17" t="n">
        <v>198536</v>
      </c>
      <c r="K596" s="17" t="n">
        <v>192482.2</v>
      </c>
      <c r="L596" s="17" t="n">
        <v>190865</v>
      </c>
      <c r="M596" s="17" t="n">
        <v>6136</v>
      </c>
      <c r="N596" s="17" t="n">
        <v>790</v>
      </c>
      <c r="O596" s="17" t="n">
        <v>89</v>
      </c>
      <c r="P596" s="17" t="n">
        <v>689</v>
      </c>
      <c r="Q596" s="17" t="n">
        <v>0</v>
      </c>
      <c r="R596" s="17" t="n">
        <v>44</v>
      </c>
      <c r="S596" s="17" t="n">
        <v>26398</v>
      </c>
      <c r="T596" s="17" t="n">
        <v>158993</v>
      </c>
      <c r="U596" s="17" t="n">
        <v>2448</v>
      </c>
      <c r="V596" s="17" t="n">
        <v>0.843499779821749</v>
      </c>
      <c r="W596" s="17" t="n">
        <v>9.84</v>
      </c>
      <c r="X596" s="17" t="n">
        <v>3.60337323936935</v>
      </c>
      <c r="Y596" s="17" t="n">
        <v>1.16905750090664</v>
      </c>
      <c r="Z596" s="17" t="n">
        <v>16.6032466838163</v>
      </c>
      <c r="AA596" s="17" t="n">
        <v>9.15376658894479</v>
      </c>
      <c r="AB596" s="17" t="n">
        <v>-7.81788857537178</v>
      </c>
      <c r="AC596" s="17" t="n">
        <v>5.31966813079552</v>
      </c>
      <c r="AD596" s="17" t="n">
        <v>-9.42982766677523</v>
      </c>
      <c r="AE596" s="17" t="n">
        <v>0.256230041804895</v>
      </c>
      <c r="AF596" s="17" t="n">
        <v>0.0250645671812628</v>
      </c>
      <c r="AG596" s="18" t="n">
        <f aca="false">IFERROR(100*O596/F596,"")</f>
        <v>0.0312056240248242</v>
      </c>
      <c r="AH596" s="18" t="n">
        <f aca="false">IFERROR(100*(P596+Q596)/F596,"")</f>
        <v>0.241580617450606</v>
      </c>
      <c r="AI596" s="18" t="n">
        <f aca="false">IFERROR(100*R596/K596,"")</f>
        <v>0.0228592565961944</v>
      </c>
      <c r="AJ596" s="18" t="n">
        <f aca="false">IF(T596&gt;0,100*S596/T596,"")</f>
        <v>16.6032466838163</v>
      </c>
      <c r="AK596" s="18" t="n">
        <f aca="false">IFERROR(100*U596/G596,"")</f>
        <v>0.843499779821749</v>
      </c>
      <c r="AL596" s="18" t="n">
        <f aca="false">IFERROR(100*J596/H596,"")</f>
        <v>77.601929338373</v>
      </c>
      <c r="AM596" s="18" t="n">
        <f aca="false">IFERROR(100*L596/J596,"")</f>
        <v>96.1362171092396</v>
      </c>
      <c r="AN596" s="18" t="n">
        <f aca="false">IFERROR(100*M596/J596,"")</f>
        <v>3.09062336301729</v>
      </c>
      <c r="AO596" s="18" t="n">
        <f aca="false">IFERROR(100*N596/J596,"")</f>
        <v>0.397912721118588</v>
      </c>
    </row>
    <row r="597" customFormat="false" ht="15" hidden="false" customHeight="false" outlineLevel="0" collapsed="false">
      <c r="A597" s="17" t="n">
        <v>28837</v>
      </c>
      <c r="B597" s="23" t="n">
        <v>45382</v>
      </c>
      <c r="C597" s="17" t="s">
        <v>142</v>
      </c>
      <c r="D597" s="17" t="s">
        <v>113</v>
      </c>
      <c r="E597" s="17" t="s">
        <v>118</v>
      </c>
      <c r="F597" s="17" t="n">
        <v>280957</v>
      </c>
      <c r="G597" s="17" t="n">
        <v>283081</v>
      </c>
      <c r="H597" s="17" t="n">
        <v>251772</v>
      </c>
      <c r="I597" s="17" t="n">
        <v>26570</v>
      </c>
      <c r="J597" s="17" t="n">
        <v>197084</v>
      </c>
      <c r="K597" s="17" t="n">
        <v>197810</v>
      </c>
      <c r="L597" s="17" t="n">
        <v>188594</v>
      </c>
      <c r="M597" s="17" t="n">
        <v>6456</v>
      </c>
      <c r="N597" s="17" t="n">
        <v>1299</v>
      </c>
      <c r="O597" s="17" t="n">
        <v>89</v>
      </c>
      <c r="P597" s="17" t="n">
        <v>795</v>
      </c>
      <c r="Q597" s="17" t="n">
        <v>38</v>
      </c>
      <c r="R597" s="17" t="n">
        <v>0</v>
      </c>
      <c r="S597" s="17" t="n">
        <v>26929</v>
      </c>
      <c r="T597" s="17" t="n">
        <v>159355</v>
      </c>
      <c r="U597" s="17" t="n">
        <v>2092</v>
      </c>
      <c r="V597" s="17" t="n">
        <v>0.73901109576411</v>
      </c>
      <c r="W597" s="17" t="n">
        <v>7.94</v>
      </c>
      <c r="X597" s="17" t="n">
        <v>3.635695510501</v>
      </c>
      <c r="Y597" s="17" t="n">
        <v>1.08329443283067</v>
      </c>
      <c r="Z597" s="17" t="n">
        <v>16.8987480781902</v>
      </c>
      <c r="AA597" s="17" t="n">
        <v>9.45696316518186</v>
      </c>
      <c r="AB597" s="17" t="n">
        <v>-2.58720819363496</v>
      </c>
      <c r="AC597" s="17" t="n">
        <v>4.77618288144603</v>
      </c>
      <c r="AD597" s="17" t="n">
        <v>-3.53082720595279</v>
      </c>
      <c r="AE597" s="17" t="n">
        <v>-0.120121875805547</v>
      </c>
      <c r="AF597" s="17" t="n">
        <v>0.0250898071793159</v>
      </c>
      <c r="AG597" s="18" t="n">
        <f aca="false">IFERROR(100*O597/F597,"")</f>
        <v>0.0316774453030179</v>
      </c>
      <c r="AH597" s="18" t="n">
        <f aca="false">IFERROR(100*(P597+Q597)/F597,"")</f>
        <v>0.296486650982179</v>
      </c>
      <c r="AI597" s="18" t="n">
        <f aca="false">IFERROR(100*R597/K597,"")</f>
        <v>0</v>
      </c>
      <c r="AJ597" s="18" t="n">
        <f aca="false">IF(T597&gt;0,100*S597/T597,"")</f>
        <v>16.8987480781902</v>
      </c>
      <c r="AK597" s="18" t="n">
        <f aca="false">IFERROR(100*U597/G597,"")</f>
        <v>0.73901109576411</v>
      </c>
      <c r="AL597" s="18" t="n">
        <f aca="false">IFERROR(100*J597/H597,"")</f>
        <v>78.2787601480705</v>
      </c>
      <c r="AM597" s="18" t="n">
        <f aca="false">IFERROR(100*L597/J597,"")</f>
        <v>95.6921921617178</v>
      </c>
      <c r="AN597" s="18" t="n">
        <f aca="false">IFERROR(100*M597/J597,"")</f>
        <v>3.27576058939336</v>
      </c>
      <c r="AO597" s="18" t="n">
        <f aca="false">IFERROR(100*N597/J597,"")</f>
        <v>0.659109821192994</v>
      </c>
    </row>
    <row r="598" customFormat="false" ht="15" hidden="false" customHeight="false" outlineLevel="0" collapsed="false">
      <c r="A598" s="17" t="n">
        <v>28837</v>
      </c>
      <c r="B598" s="23" t="n">
        <v>45473</v>
      </c>
      <c r="C598" s="17" t="s">
        <v>142</v>
      </c>
      <c r="D598" s="17" t="s">
        <v>113</v>
      </c>
      <c r="E598" s="17" t="s">
        <v>118</v>
      </c>
      <c r="F598" s="17" t="n">
        <v>285118</v>
      </c>
      <c r="G598" s="17" t="n">
        <v>283760</v>
      </c>
      <c r="H598" s="17" t="n">
        <v>254557</v>
      </c>
      <c r="I598" s="17" t="n">
        <v>27060</v>
      </c>
      <c r="J598" s="17" t="n">
        <v>202274</v>
      </c>
      <c r="K598" s="17" t="n">
        <v>199298</v>
      </c>
      <c r="L598" s="17" t="n">
        <v>192922</v>
      </c>
      <c r="M598" s="17" t="n">
        <v>7061</v>
      </c>
      <c r="N598" s="17" t="n">
        <v>834</v>
      </c>
      <c r="O598" s="17" t="n">
        <v>155</v>
      </c>
      <c r="P598" s="17" t="n">
        <v>105</v>
      </c>
      <c r="Q598" s="17" t="n">
        <v>0</v>
      </c>
      <c r="R598" s="17" t="n">
        <v>0</v>
      </c>
      <c r="S598" s="17" t="n">
        <v>27489</v>
      </c>
      <c r="T598" s="17" t="n">
        <v>164216</v>
      </c>
      <c r="U598" s="17" t="n">
        <v>2032</v>
      </c>
      <c r="V598" s="17" t="n">
        <v>0.716098111079786</v>
      </c>
      <c r="W598" s="17" t="n">
        <v>7.65</v>
      </c>
      <c r="X598" s="17" t="n">
        <v>3.68099996257625</v>
      </c>
      <c r="Y598" s="17" t="n">
        <v>1.10493686781297</v>
      </c>
      <c r="Z598" s="17" t="n">
        <v>16.7395381692405</v>
      </c>
      <c r="AA598" s="17" t="n">
        <v>9.49080731486613</v>
      </c>
      <c r="AB598" s="17" t="n">
        <v>-0.0269990708111956</v>
      </c>
      <c r="AC598" s="17" t="n">
        <v>4.79975130822237</v>
      </c>
      <c r="AD598" s="17" t="n">
        <v>-0.8977548342891</v>
      </c>
      <c r="AE598" s="17" t="n">
        <v>-0.282081971297817</v>
      </c>
      <c r="AF598" s="17" t="n">
        <v>0.0410392397698175</v>
      </c>
      <c r="AG598" s="18" t="n">
        <f aca="false">IFERROR(100*O598/F598,"")</f>
        <v>0.054363456533786</v>
      </c>
      <c r="AH598" s="18" t="n">
        <f aca="false">IFERROR(100*(P598+Q598)/F598,"")</f>
        <v>0.0368268576519196</v>
      </c>
      <c r="AI598" s="18" t="n">
        <f aca="false">IFERROR(100*R598/K598,"")</f>
        <v>0</v>
      </c>
      <c r="AJ598" s="18" t="n">
        <f aca="false">IF(T598&gt;0,100*S598/T598,"")</f>
        <v>16.7395381692405</v>
      </c>
      <c r="AK598" s="18" t="n">
        <f aca="false">IFERROR(100*U598/G598,"")</f>
        <v>0.716098111079786</v>
      </c>
      <c r="AL598" s="18" t="n">
        <f aca="false">IFERROR(100*J598/H598,"")</f>
        <v>79.4611815821211</v>
      </c>
      <c r="AM598" s="18" t="n">
        <f aca="false">IFERROR(100*L598/J598,"")</f>
        <v>95.3765684170976</v>
      </c>
      <c r="AN598" s="18" t="n">
        <f aca="false">IFERROR(100*M598/J598,"")</f>
        <v>3.49080949603014</v>
      </c>
      <c r="AO598" s="18" t="n">
        <f aca="false">IFERROR(100*N598/J598,"")</f>
        <v>0.412312012418798</v>
      </c>
    </row>
    <row r="599" customFormat="false" ht="15" hidden="false" customHeight="false" outlineLevel="0" collapsed="false">
      <c r="A599" s="17" t="n">
        <v>28837</v>
      </c>
      <c r="B599" s="23" t="n">
        <v>45565</v>
      </c>
      <c r="C599" s="17" t="s">
        <v>142</v>
      </c>
      <c r="D599" s="17" t="s">
        <v>113</v>
      </c>
      <c r="E599" s="17" t="s">
        <v>118</v>
      </c>
      <c r="F599" s="17" t="n">
        <v>283014</v>
      </c>
      <c r="G599" s="17" t="n">
        <v>283573.5</v>
      </c>
      <c r="H599" s="17" t="n">
        <v>251476</v>
      </c>
      <c r="I599" s="17" t="n">
        <v>28217</v>
      </c>
      <c r="J599" s="17" t="n">
        <v>203765</v>
      </c>
      <c r="K599" s="17" t="n">
        <v>200414.75</v>
      </c>
      <c r="L599" s="17" t="n">
        <v>194609</v>
      </c>
      <c r="M599" s="17" t="n">
        <v>6862</v>
      </c>
      <c r="N599" s="17" t="n">
        <v>1628</v>
      </c>
      <c r="O599" s="17" t="n">
        <v>30</v>
      </c>
      <c r="P599" s="17" t="n">
        <v>79</v>
      </c>
      <c r="Q599" s="17" t="n">
        <v>0</v>
      </c>
      <c r="R599" s="17" t="n">
        <v>-74.6648</v>
      </c>
      <c r="S599" s="17" t="n">
        <v>28308</v>
      </c>
      <c r="T599" s="17" t="n">
        <v>159655</v>
      </c>
      <c r="U599" s="17" t="n">
        <v>2510.6039</v>
      </c>
      <c r="V599" s="17" t="n">
        <v>0.88534503400353</v>
      </c>
      <c r="W599" s="17" t="n">
        <v>9.3</v>
      </c>
      <c r="X599" s="17" t="n">
        <v>3.77863202834045</v>
      </c>
      <c r="Y599" s="17" t="n">
        <v>1.12678821191078</v>
      </c>
      <c r="Z599" s="17" t="n">
        <v>17.7307318906392</v>
      </c>
      <c r="AA599" s="17" t="n">
        <v>9.97017815373091</v>
      </c>
      <c r="AB599" s="17" t="n">
        <v>0.0456015695423861</v>
      </c>
      <c r="AC599" s="17" t="n">
        <v>4.8945469146543</v>
      </c>
      <c r="AD599" s="17" t="n">
        <v>-0.851223214461727</v>
      </c>
      <c r="AE599" s="17" t="n">
        <v>-0.0313550377012248</v>
      </c>
      <c r="AF599" s="17" t="n">
        <v>-0.00778184570945679</v>
      </c>
      <c r="AG599" s="18" t="n">
        <f aca="false">IFERROR(100*O599/F599,"")</f>
        <v>0.010600182323136</v>
      </c>
      <c r="AH599" s="18" t="n">
        <f aca="false">IFERROR(100*(P599+Q599)/F599,"")</f>
        <v>0.0279138134509247</v>
      </c>
      <c r="AI599" s="18" t="n">
        <f aca="false">IFERROR(100*R599/K599,"")</f>
        <v>-0.0372551421489686</v>
      </c>
      <c r="AJ599" s="18" t="n">
        <f aca="false">IF(T599&gt;0,100*S599/T599,"")</f>
        <v>17.7307318906392</v>
      </c>
      <c r="AK599" s="18" t="n">
        <f aca="false">IFERROR(100*U599/G599,"")</f>
        <v>0.88534503400353</v>
      </c>
      <c r="AL599" s="18" t="n">
        <f aca="false">IFERROR(100*J599/H599,"")</f>
        <v>81.0276129730074</v>
      </c>
      <c r="AM599" s="18" t="n">
        <f aca="false">IFERROR(100*L599/J599,"")</f>
        <v>95.5065884720143</v>
      </c>
      <c r="AN599" s="18" t="n">
        <f aca="false">IFERROR(100*M599/J599,"")</f>
        <v>3.36760483890757</v>
      </c>
      <c r="AO599" s="18" t="n">
        <f aca="false">IFERROR(100*N599/J599,"")</f>
        <v>0.798959585797365</v>
      </c>
    </row>
    <row r="600" customFormat="false" ht="15" hidden="false" customHeight="false" outlineLevel="0" collapsed="false">
      <c r="A600" s="17" t="n">
        <v>28837</v>
      </c>
      <c r="B600" s="23" t="n">
        <v>45657</v>
      </c>
      <c r="C600" s="17" t="s">
        <v>142</v>
      </c>
      <c r="D600" s="17" t="s">
        <v>113</v>
      </c>
      <c r="E600" s="17" t="s">
        <v>118</v>
      </c>
      <c r="F600" s="17" t="n">
        <v>287826</v>
      </c>
      <c r="G600" s="17" t="n">
        <v>284424</v>
      </c>
      <c r="H600" s="17" t="n">
        <v>255992</v>
      </c>
      <c r="I600" s="17" t="n">
        <v>28739</v>
      </c>
      <c r="J600" s="17" t="n">
        <v>205742</v>
      </c>
      <c r="K600" s="17" t="n">
        <v>201480.2</v>
      </c>
      <c r="L600" s="17" t="n">
        <v>197027</v>
      </c>
      <c r="M600" s="17" t="n">
        <v>7327</v>
      </c>
      <c r="N600" s="17" t="n">
        <v>776</v>
      </c>
      <c r="O600" s="17" t="n">
        <v>0</v>
      </c>
      <c r="P600" s="17" t="n">
        <v>688</v>
      </c>
      <c r="Q600" s="17" t="n">
        <v>0</v>
      </c>
      <c r="R600" s="17" t="n">
        <v>-56</v>
      </c>
      <c r="S600" s="17" t="n">
        <v>29017</v>
      </c>
      <c r="T600" s="17" t="n">
        <v>162532</v>
      </c>
      <c r="U600" s="17" t="n">
        <v>2552</v>
      </c>
      <c r="V600" s="17" t="n">
        <v>0.89725198998678</v>
      </c>
      <c r="W600" s="17" t="n">
        <v>9.33</v>
      </c>
      <c r="X600" s="17" t="n">
        <v>3.81936249099964</v>
      </c>
      <c r="Y600" s="17" t="n">
        <v>1.08825616548882</v>
      </c>
      <c r="Z600" s="17" t="n">
        <v>17.8530996972904</v>
      </c>
      <c r="AA600" s="17" t="n">
        <v>9.98485195916978</v>
      </c>
      <c r="AB600" s="17" t="n">
        <v>0.918988096281614</v>
      </c>
      <c r="AC600" s="17" t="n">
        <v>3.62956844098803</v>
      </c>
      <c r="AD600" s="17" t="n">
        <v>0.0598032356286637</v>
      </c>
      <c r="AE600" s="17" t="n">
        <v>0.0537522101650317</v>
      </c>
      <c r="AF600" s="17" t="n">
        <v>-0.0312056240248243</v>
      </c>
      <c r="AG600" s="18" t="n">
        <f aca="false">IFERROR(100*O600/F600,"")</f>
        <v>0</v>
      </c>
      <c r="AH600" s="18" t="n">
        <f aca="false">IFERROR(100*(P600+Q600)/F600,"")</f>
        <v>0.239033304843899</v>
      </c>
      <c r="AI600" s="18" t="n">
        <f aca="false">IFERROR(100*R600/K600,"")</f>
        <v>-0.0277942944269462</v>
      </c>
      <c r="AJ600" s="18" t="n">
        <f aca="false">IF(T600&gt;0,100*S600/T600,"")</f>
        <v>17.8530996972904</v>
      </c>
      <c r="AK600" s="18" t="n">
        <f aca="false">IFERROR(100*U600/G600,"")</f>
        <v>0.89725198998678</v>
      </c>
      <c r="AL600" s="18" t="n">
        <f aca="false">IFERROR(100*J600/H600,"")</f>
        <v>80.3704803275102</v>
      </c>
      <c r="AM600" s="18" t="n">
        <f aca="false">IFERROR(100*L600/J600,"")</f>
        <v>95.764112334866</v>
      </c>
      <c r="AN600" s="18" t="n">
        <f aca="false">IFERROR(100*M600/J600,"")</f>
        <v>3.56125633074433</v>
      </c>
      <c r="AO600" s="18" t="n">
        <f aca="false">IFERROR(100*N600/J600,"")</f>
        <v>0.377171408851863</v>
      </c>
    </row>
    <row r="601" customFormat="false" ht="15" hidden="false" customHeight="false" outlineLevel="0" collapsed="false">
      <c r="A601" s="17" t="n">
        <v>28837</v>
      </c>
      <c r="B601" s="23" t="n">
        <v>45747</v>
      </c>
      <c r="C601" s="17" t="s">
        <v>142</v>
      </c>
      <c r="D601" s="17" t="s">
        <v>113</v>
      </c>
      <c r="E601" s="17" t="s">
        <v>118</v>
      </c>
      <c r="F601" s="17" t="n">
        <v>289565</v>
      </c>
      <c r="G601" s="17" t="n">
        <v>288695.5</v>
      </c>
      <c r="H601" s="17" t="n">
        <v>257144</v>
      </c>
      <c r="I601" s="17" t="n">
        <v>29273</v>
      </c>
      <c r="J601" s="17" t="n">
        <v>204142</v>
      </c>
      <c r="K601" s="17" t="n">
        <v>204942</v>
      </c>
      <c r="L601" s="17" t="n">
        <v>195050</v>
      </c>
      <c r="M601" s="17" t="n">
        <v>7281</v>
      </c>
      <c r="N601" s="17" t="n">
        <v>1412</v>
      </c>
      <c r="O601" s="17" t="n">
        <v>0</v>
      </c>
      <c r="P601" s="17" t="n">
        <v>1378</v>
      </c>
      <c r="Q601" s="17" t="n">
        <v>0</v>
      </c>
      <c r="R601" s="17" t="n">
        <v>0</v>
      </c>
      <c r="S601" s="17" t="n">
        <v>29527</v>
      </c>
      <c r="T601" s="17" t="n">
        <v>162449</v>
      </c>
      <c r="U601" s="17" t="n">
        <v>2016</v>
      </c>
      <c r="V601" s="17" t="n">
        <v>0.698313621099047</v>
      </c>
      <c r="W601" s="17" t="n">
        <v>6.95</v>
      </c>
      <c r="X601" s="17" t="n">
        <v>3.95504030292047</v>
      </c>
      <c r="Y601" s="17" t="n">
        <v>1.08062035249973</v>
      </c>
      <c r="Z601" s="17" t="n">
        <v>18.1761660582706</v>
      </c>
      <c r="AA601" s="17" t="n">
        <v>10.1093018838603</v>
      </c>
      <c r="AB601" s="17" t="n">
        <v>3.06381403559974</v>
      </c>
      <c r="AC601" s="17" t="n">
        <v>3.58121410160135</v>
      </c>
      <c r="AD601" s="17" t="n">
        <v>2.13367650096119</v>
      </c>
      <c r="AE601" s="17" t="n">
        <v>-0.0406974746650627</v>
      </c>
      <c r="AF601" s="17" t="n">
        <v>-0.0316774453030179</v>
      </c>
      <c r="AG601" s="18" t="n">
        <f aca="false">IFERROR(100*O601/F601,"")</f>
        <v>0</v>
      </c>
      <c r="AH601" s="18" t="n">
        <f aca="false">IFERROR(100*(P601+Q601)/F601,"")</f>
        <v>0.47588624315784</v>
      </c>
      <c r="AI601" s="18" t="n">
        <f aca="false">IFERROR(100*R601/K601,"")</f>
        <v>0</v>
      </c>
      <c r="AJ601" s="18" t="n">
        <f aca="false">IF(T601&gt;0,100*S601/T601,"")</f>
        <v>18.1761660582706</v>
      </c>
      <c r="AK601" s="18" t="n">
        <f aca="false">IFERROR(100*U601/G601,"")</f>
        <v>0.698313621099047</v>
      </c>
      <c r="AL601" s="18" t="n">
        <f aca="false">IFERROR(100*J601/H601,"")</f>
        <v>79.388202719099</v>
      </c>
      <c r="AM601" s="18" t="n">
        <f aca="false">IFERROR(100*L601/J601,"")</f>
        <v>95.5462374229703</v>
      </c>
      <c r="AN601" s="18" t="n">
        <f aca="false">IFERROR(100*M601/J601,"")</f>
        <v>3.56663498937014</v>
      </c>
      <c r="AO601" s="18" t="n">
        <f aca="false">IFERROR(100*N601/J601,"")</f>
        <v>0.691675402415965</v>
      </c>
    </row>
    <row r="602" customFormat="false" ht="15" hidden="false" customHeight="false" outlineLevel="0" collapsed="false">
      <c r="A602" s="17" t="n">
        <v>28837</v>
      </c>
      <c r="B602" s="23" t="n">
        <v>45838</v>
      </c>
      <c r="C602" s="17" t="s">
        <v>142</v>
      </c>
      <c r="D602" s="17" t="s">
        <v>113</v>
      </c>
      <c r="E602" s="17" t="s">
        <v>118</v>
      </c>
      <c r="F602" s="17" t="n">
        <v>279103</v>
      </c>
      <c r="G602" s="17" t="n">
        <v>285498</v>
      </c>
      <c r="H602" s="17" t="n">
        <v>248250</v>
      </c>
      <c r="I602" s="17" t="n">
        <v>28295</v>
      </c>
      <c r="J602" s="17" t="n">
        <v>208887</v>
      </c>
      <c r="K602" s="17" t="n">
        <v>206257</v>
      </c>
      <c r="L602" s="17" t="n">
        <v>199905</v>
      </c>
      <c r="M602" s="17" t="n">
        <v>7567</v>
      </c>
      <c r="N602" s="17" t="n">
        <v>1028</v>
      </c>
      <c r="O602" s="17" t="n">
        <v>253</v>
      </c>
      <c r="P602" s="17" t="n">
        <v>1246</v>
      </c>
      <c r="Q602" s="17" t="n">
        <v>71</v>
      </c>
      <c r="R602" s="17" t="n">
        <v>-4</v>
      </c>
      <c r="S602" s="17" t="n">
        <v>30326</v>
      </c>
      <c r="T602" s="17" t="n">
        <v>168576</v>
      </c>
      <c r="U602" s="17" t="n">
        <v>-932</v>
      </c>
      <c r="V602" s="17" t="n">
        <v>-0.326447120470196</v>
      </c>
      <c r="W602" s="17" t="n">
        <v>-3.24</v>
      </c>
      <c r="X602" s="17" t="n">
        <v>4.00864887356595</v>
      </c>
      <c r="Y602" s="17" t="n">
        <v>1.03979663645895</v>
      </c>
      <c r="Z602" s="17" t="n">
        <v>17.9895121488231</v>
      </c>
      <c r="AA602" s="17" t="n">
        <v>10.1378344195512</v>
      </c>
      <c r="AB602" s="17" t="n">
        <v>-2.10965284548853</v>
      </c>
      <c r="AC602" s="17" t="n">
        <v>3.26932774355577</v>
      </c>
      <c r="AD602" s="17" t="n">
        <v>-2.47763762143646</v>
      </c>
      <c r="AE602" s="17" t="n">
        <v>-1.04254523154998</v>
      </c>
      <c r="AF602" s="17" t="n">
        <v>0.0362840821884778</v>
      </c>
      <c r="AG602" s="18" t="n">
        <f aca="false">IFERROR(100*O602/F602,"")</f>
        <v>0.0906475387222638</v>
      </c>
      <c r="AH602" s="18" t="n">
        <f aca="false">IFERROR(100*(P602+Q602)/F602,"")</f>
        <v>0.471868808289413</v>
      </c>
      <c r="AI602" s="18" t="n">
        <f aca="false">IFERROR(100*R602/K602,"")</f>
        <v>-0.0019393281197729</v>
      </c>
      <c r="AJ602" s="18" t="n">
        <f aca="false">IF(T602&gt;0,100*S602/T602,"")</f>
        <v>17.9895121488231</v>
      </c>
      <c r="AK602" s="18" t="n">
        <f aca="false">IFERROR(100*U602/G602,"")</f>
        <v>-0.326447120470196</v>
      </c>
      <c r="AL602" s="18" t="n">
        <f aca="false">IFERROR(100*J602/H602,"")</f>
        <v>84.1438066465257</v>
      </c>
      <c r="AM602" s="18" t="n">
        <f aca="false">IFERROR(100*L602/J602,"")</f>
        <v>95.7000675006104</v>
      </c>
      <c r="AN602" s="18" t="n">
        <f aca="false">IFERROR(100*M602/J602,"")</f>
        <v>3.62253275694514</v>
      </c>
      <c r="AO602" s="18" t="n">
        <f aca="false">IFERROR(100*N602/J602,"")</f>
        <v>0.492132109705247</v>
      </c>
    </row>
    <row r="603" customFormat="false" ht="15" hidden="false" customHeight="false" outlineLevel="0" collapsed="false">
      <c r="A603" s="17" t="n">
        <v>29636</v>
      </c>
      <c r="B603" s="23" t="n">
        <v>44651</v>
      </c>
      <c r="C603" s="17" t="s">
        <v>123</v>
      </c>
      <c r="D603" s="17" t="s">
        <v>108</v>
      </c>
      <c r="E603" s="17" t="s">
        <v>111</v>
      </c>
      <c r="F603" s="17" t="n">
        <v>179872</v>
      </c>
      <c r="G603" s="17" t="n">
        <v>179954</v>
      </c>
      <c r="H603" s="17" t="n">
        <v>154524</v>
      </c>
      <c r="I603" s="17" t="n">
        <v>24006</v>
      </c>
      <c r="J603" s="17" t="n">
        <v>108632</v>
      </c>
      <c r="K603" s="17" t="n">
        <v>108588.5</v>
      </c>
      <c r="L603" s="17" t="n">
        <v>105234</v>
      </c>
      <c r="M603" s="17" t="n">
        <v>1323</v>
      </c>
      <c r="N603" s="17" t="n">
        <v>2075</v>
      </c>
      <c r="O603" s="17" t="n">
        <v>1233</v>
      </c>
      <c r="P603" s="17" t="n">
        <v>2145</v>
      </c>
      <c r="Q603" s="17" t="n">
        <v>0</v>
      </c>
      <c r="R603" s="17" t="n">
        <v>-8</v>
      </c>
      <c r="S603" s="17" t="n">
        <v>25663</v>
      </c>
      <c r="T603" s="17" t="n">
        <v>80255</v>
      </c>
      <c r="U603" s="17" t="n">
        <v>72</v>
      </c>
      <c r="V603" s="17" t="n">
        <v>0.0400102248352357</v>
      </c>
      <c r="W603" s="17" t="n">
        <v>0.3</v>
      </c>
      <c r="X603" s="17" t="n">
        <v>2.99433190856718</v>
      </c>
      <c r="Y603" s="17" t="n">
        <v>1.53637970395464</v>
      </c>
      <c r="Z603" s="17" t="n">
        <v>31.9768238739019</v>
      </c>
      <c r="AA603" s="17" t="n">
        <v>13.3461572673901</v>
      </c>
      <c r="AB603" s="17"/>
      <c r="AC603" s="17"/>
      <c r="AD603" s="17"/>
      <c r="AE603" s="17"/>
      <c r="AF603" s="17"/>
      <c r="AG603" s="18" t="n">
        <f aca="false">IFERROR(100*O603/F603,"")</f>
        <v>0.685487457747732</v>
      </c>
      <c r="AH603" s="18" t="n">
        <f aca="false">IFERROR(100*(P603+Q603)/F603,"")</f>
        <v>1.19251467710372</v>
      </c>
      <c r="AI603" s="18" t="n">
        <f aca="false">IFERROR(100*R603/K603,"")</f>
        <v>-0.00736726264751792</v>
      </c>
      <c r="AJ603" s="18" t="n">
        <f aca="false">IF(T603&gt;0,100*S603/T603,"")</f>
        <v>31.9768238739019</v>
      </c>
      <c r="AK603" s="18" t="n">
        <f aca="false">IFERROR(100*U603/G603,"")</f>
        <v>0.0400102248352357</v>
      </c>
      <c r="AL603" s="18" t="n">
        <f aca="false">IFERROR(100*J603/H603,"")</f>
        <v>70.3010535580234</v>
      </c>
      <c r="AM603" s="18" t="n">
        <f aca="false">IFERROR(100*L603/J603,"")</f>
        <v>96.87200824803</v>
      </c>
      <c r="AN603" s="18" t="n">
        <f aca="false">IFERROR(100*M603/J603,"")</f>
        <v>1.21787318653804</v>
      </c>
      <c r="AO603" s="18" t="n">
        <f aca="false">IFERROR(100*N603/J603,"")</f>
        <v>1.91011856543192</v>
      </c>
    </row>
    <row r="604" customFormat="false" ht="15" hidden="false" customHeight="false" outlineLevel="0" collapsed="false">
      <c r="A604" s="17" t="n">
        <v>29636</v>
      </c>
      <c r="B604" s="23" t="n">
        <v>44742</v>
      </c>
      <c r="C604" s="17" t="s">
        <v>123</v>
      </c>
      <c r="D604" s="17" t="s">
        <v>108</v>
      </c>
      <c r="E604" s="17" t="s">
        <v>111</v>
      </c>
      <c r="F604" s="17" t="n">
        <v>182713</v>
      </c>
      <c r="G604" s="17" t="n">
        <v>180873.666666667</v>
      </c>
      <c r="H604" s="17" t="n">
        <v>157371</v>
      </c>
      <c r="I604" s="17" t="n">
        <v>23979</v>
      </c>
      <c r="J604" s="17" t="n">
        <v>111784</v>
      </c>
      <c r="K604" s="17" t="n">
        <v>109653.666666667</v>
      </c>
      <c r="L604" s="17" t="n">
        <v>108292</v>
      </c>
      <c r="M604" s="17" t="n">
        <v>1377</v>
      </c>
      <c r="N604" s="17" t="n">
        <v>2115</v>
      </c>
      <c r="O604" s="17" t="n">
        <v>2116</v>
      </c>
      <c r="P604" s="17" t="n">
        <v>1771</v>
      </c>
      <c r="Q604" s="17" t="n">
        <v>0</v>
      </c>
      <c r="R604" s="17" t="n">
        <v>-6</v>
      </c>
      <c r="S604" s="17" t="n">
        <v>25806</v>
      </c>
      <c r="T604" s="17" t="n">
        <v>83652</v>
      </c>
      <c r="U604" s="17" t="n">
        <v>240</v>
      </c>
      <c r="V604" s="17" t="n">
        <v>0.132689298792343</v>
      </c>
      <c r="W604" s="17" t="n">
        <v>0.99</v>
      </c>
      <c r="X604" s="17" t="n">
        <v>3.03270209827388</v>
      </c>
      <c r="Y604" s="17" t="n">
        <v>1.51005510627639</v>
      </c>
      <c r="Z604" s="17" t="n">
        <v>30.849232534787</v>
      </c>
      <c r="AA604" s="17" t="n">
        <v>13.1238609184897</v>
      </c>
      <c r="AB604" s="17"/>
      <c r="AC604" s="17"/>
      <c r="AD604" s="17"/>
      <c r="AE604" s="17"/>
      <c r="AF604" s="17"/>
      <c r="AG604" s="18" t="n">
        <f aca="false">IFERROR(100*O604/F604,"")</f>
        <v>1.1581004088379</v>
      </c>
      <c r="AH604" s="18" t="n">
        <f aca="false">IFERROR(100*(P604+Q604)/F604,"")</f>
        <v>0.969279690005637</v>
      </c>
      <c r="AI604" s="18" t="n">
        <f aca="false">IFERROR(100*R604/K604,"")</f>
        <v>-0.00547177324971653</v>
      </c>
      <c r="AJ604" s="18" t="n">
        <f aca="false">IF(T604&gt;0,100*S604/T604,"")</f>
        <v>30.849232534787</v>
      </c>
      <c r="AK604" s="18" t="n">
        <f aca="false">IFERROR(100*U604/G604,"")</f>
        <v>0.132689298792343</v>
      </c>
      <c r="AL604" s="18" t="n">
        <f aca="false">IFERROR(100*J604/H604,"")</f>
        <v>71.0321469648156</v>
      </c>
      <c r="AM604" s="18" t="n">
        <f aca="false">IFERROR(100*L604/J604,"")</f>
        <v>96.8761182280112</v>
      </c>
      <c r="AN604" s="18" t="n">
        <f aca="false">IFERROR(100*M604/J604,"")</f>
        <v>1.23183997709869</v>
      </c>
      <c r="AO604" s="18" t="n">
        <f aca="false">IFERROR(100*N604/J604,"")</f>
        <v>1.89204179489015</v>
      </c>
    </row>
    <row r="605" customFormat="false" ht="15" hidden="false" customHeight="false" outlineLevel="0" collapsed="false">
      <c r="A605" s="17" t="n">
        <v>29636</v>
      </c>
      <c r="B605" s="23" t="n">
        <v>44834</v>
      </c>
      <c r="C605" s="17" t="s">
        <v>123</v>
      </c>
      <c r="D605" s="17" t="s">
        <v>108</v>
      </c>
      <c r="E605" s="17" t="s">
        <v>111</v>
      </c>
      <c r="F605" s="17" t="n">
        <v>180105</v>
      </c>
      <c r="G605" s="17" t="n">
        <v>180681.5</v>
      </c>
      <c r="H605" s="17" t="n">
        <v>155107</v>
      </c>
      <c r="I605" s="17" t="n">
        <v>23599</v>
      </c>
      <c r="J605" s="17" t="n">
        <v>116795</v>
      </c>
      <c r="K605" s="17" t="n">
        <v>111439</v>
      </c>
      <c r="L605" s="17" t="n">
        <v>113497</v>
      </c>
      <c r="M605" s="17" t="n">
        <v>1340</v>
      </c>
      <c r="N605" s="17" t="n">
        <v>1958</v>
      </c>
      <c r="O605" s="17" t="n">
        <v>2099</v>
      </c>
      <c r="P605" s="17" t="n">
        <v>1876</v>
      </c>
      <c r="Q605" s="17" t="n">
        <v>0</v>
      </c>
      <c r="R605" s="17" t="n">
        <v>-5.3332</v>
      </c>
      <c r="S605" s="17" t="n">
        <v>26055</v>
      </c>
      <c r="T605" s="17" t="n">
        <v>83117</v>
      </c>
      <c r="U605" s="17" t="n">
        <v>499.9875</v>
      </c>
      <c r="V605" s="17" t="n">
        <v>0.276723128820604</v>
      </c>
      <c r="W605" s="17" t="n">
        <v>2.08</v>
      </c>
      <c r="X605" s="17" t="n">
        <v>3.25257717128124</v>
      </c>
      <c r="Y605" s="17" t="n">
        <v>1.4735219829616</v>
      </c>
      <c r="Z605" s="17" t="n">
        <v>31.34737779275</v>
      </c>
      <c r="AA605" s="17" t="n">
        <v>13.1029121901113</v>
      </c>
      <c r="AB605" s="17"/>
      <c r="AC605" s="17"/>
      <c r="AD605" s="17"/>
      <c r="AE605" s="17"/>
      <c r="AF605" s="17"/>
      <c r="AG605" s="18" t="n">
        <f aca="false">IFERROR(100*O605/F605,"")</f>
        <v>1.16543127619999</v>
      </c>
      <c r="AH605" s="18" t="n">
        <f aca="false">IFERROR(100*(P605+Q605)/F605,"")</f>
        <v>1.04161461369757</v>
      </c>
      <c r="AI605" s="18" t="n">
        <f aca="false">IFERROR(100*R605/K605,"")</f>
        <v>-0.00478575723041305</v>
      </c>
      <c r="AJ605" s="18" t="n">
        <f aca="false">IF(T605&gt;0,100*S605/T605,"")</f>
        <v>31.34737779275</v>
      </c>
      <c r="AK605" s="18" t="n">
        <f aca="false">IFERROR(100*U605/G605,"")</f>
        <v>0.276723128820604</v>
      </c>
      <c r="AL605" s="18" t="n">
        <f aca="false">IFERROR(100*J605/H605,"")</f>
        <v>75.2996318670337</v>
      </c>
      <c r="AM605" s="18" t="n">
        <f aca="false">IFERROR(100*L605/J605,"")</f>
        <v>97.1762489832613</v>
      </c>
      <c r="AN605" s="18" t="n">
        <f aca="false">IFERROR(100*M605/J605,"")</f>
        <v>1.14730938824436</v>
      </c>
      <c r="AO605" s="18" t="n">
        <f aca="false">IFERROR(100*N605/J605,"")</f>
        <v>1.67644162849437</v>
      </c>
    </row>
    <row r="606" customFormat="false" ht="15" hidden="false" customHeight="false" outlineLevel="0" collapsed="false">
      <c r="A606" s="17" t="n">
        <v>29636</v>
      </c>
      <c r="B606" s="23" t="n">
        <v>44926</v>
      </c>
      <c r="C606" s="17" t="s">
        <v>123</v>
      </c>
      <c r="D606" s="17" t="s">
        <v>108</v>
      </c>
      <c r="E606" s="17" t="s">
        <v>111</v>
      </c>
      <c r="F606" s="17" t="n">
        <v>181529</v>
      </c>
      <c r="G606" s="17" t="n">
        <v>180851</v>
      </c>
      <c r="H606" s="17" t="n">
        <v>149099</v>
      </c>
      <c r="I606" s="17" t="n">
        <v>24331</v>
      </c>
      <c r="J606" s="17" t="n">
        <v>125359</v>
      </c>
      <c r="K606" s="17" t="n">
        <v>114223</v>
      </c>
      <c r="L606" s="17" t="n">
        <v>121892</v>
      </c>
      <c r="M606" s="17" t="n">
        <v>1648</v>
      </c>
      <c r="N606" s="17" t="n">
        <v>1819</v>
      </c>
      <c r="O606" s="17" t="n">
        <v>2260</v>
      </c>
      <c r="P606" s="17" t="n">
        <v>2724</v>
      </c>
      <c r="Q606" s="17" t="n">
        <v>0</v>
      </c>
      <c r="R606" s="17" t="n">
        <v>-42</v>
      </c>
      <c r="S606" s="17" t="n">
        <v>26497</v>
      </c>
      <c r="T606" s="17" t="n">
        <v>96322</v>
      </c>
      <c r="U606" s="17" t="n">
        <v>653</v>
      </c>
      <c r="V606" s="17" t="n">
        <v>0.361070715672017</v>
      </c>
      <c r="W606" s="17" t="n">
        <v>2.71</v>
      </c>
      <c r="X606" s="17" t="n">
        <v>3.34702562270041</v>
      </c>
      <c r="Y606" s="17" t="n">
        <v>1.4302922007993</v>
      </c>
      <c r="Z606" s="17" t="n">
        <v>27.508772658375</v>
      </c>
      <c r="AA606" s="17" t="n">
        <v>13.4033680568945</v>
      </c>
      <c r="AB606" s="17"/>
      <c r="AC606" s="17"/>
      <c r="AD606" s="17"/>
      <c r="AE606" s="17"/>
      <c r="AF606" s="17"/>
      <c r="AG606" s="18" t="n">
        <f aca="false">IFERROR(100*O606/F606,"")</f>
        <v>1.24498014091412</v>
      </c>
      <c r="AH606" s="18" t="n">
        <f aca="false">IFERROR(100*(P606+Q606)/F606,"")</f>
        <v>1.5005866831195</v>
      </c>
      <c r="AI606" s="18" t="n">
        <f aca="false">IFERROR(100*R606/K606,"")</f>
        <v>-0.0367701776349772</v>
      </c>
      <c r="AJ606" s="18" t="n">
        <f aca="false">IF(T606&gt;0,100*S606/T606,"")</f>
        <v>27.508772658375</v>
      </c>
      <c r="AK606" s="18" t="n">
        <f aca="false">IFERROR(100*U606/G606,"")</f>
        <v>0.361070715672017</v>
      </c>
      <c r="AL606" s="18" t="n">
        <f aca="false">IFERROR(100*J606/H606,"")</f>
        <v>84.0776933446905</v>
      </c>
      <c r="AM606" s="18" t="n">
        <f aca="false">IFERROR(100*L606/J606,"")</f>
        <v>97.2343429669988</v>
      </c>
      <c r="AN606" s="18" t="n">
        <f aca="false">IFERROR(100*M606/J606,"")</f>
        <v>1.31462439872686</v>
      </c>
      <c r="AO606" s="18" t="n">
        <f aca="false">IFERROR(100*N606/J606,"")</f>
        <v>1.45103263427436</v>
      </c>
    </row>
    <row r="607" customFormat="false" ht="15" hidden="false" customHeight="false" outlineLevel="0" collapsed="false">
      <c r="A607" s="17" t="n">
        <v>29636</v>
      </c>
      <c r="B607" s="23" t="n">
        <v>45016</v>
      </c>
      <c r="C607" s="17" t="s">
        <v>123</v>
      </c>
      <c r="D607" s="17" t="s">
        <v>108</v>
      </c>
      <c r="E607" s="17" t="s">
        <v>111</v>
      </c>
      <c r="F607" s="17" t="n">
        <v>185057</v>
      </c>
      <c r="G607" s="17" t="n">
        <v>183293</v>
      </c>
      <c r="H607" s="17" t="n">
        <v>147344</v>
      </c>
      <c r="I607" s="17" t="n">
        <v>24743</v>
      </c>
      <c r="J607" s="17" t="n">
        <v>127987</v>
      </c>
      <c r="K607" s="17" t="n">
        <v>126673</v>
      </c>
      <c r="L607" s="17" t="n">
        <v>124654</v>
      </c>
      <c r="M607" s="17" t="n">
        <v>1626</v>
      </c>
      <c r="N607" s="17" t="n">
        <v>1707</v>
      </c>
      <c r="O607" s="17" t="n">
        <v>2472</v>
      </c>
      <c r="P607" s="17" t="n">
        <v>2283</v>
      </c>
      <c r="Q607" s="17" t="n">
        <v>0</v>
      </c>
      <c r="R607" s="17" t="n">
        <v>12</v>
      </c>
      <c r="S607" s="17" t="n">
        <v>26672</v>
      </c>
      <c r="T607" s="17" t="n">
        <v>100820</v>
      </c>
      <c r="U607" s="17" t="n">
        <v>600</v>
      </c>
      <c r="V607" s="17" t="n">
        <v>0.327344743116213</v>
      </c>
      <c r="W607" s="17" t="n">
        <v>2.45</v>
      </c>
      <c r="X607" s="17" t="n">
        <v>3.56806733632053</v>
      </c>
      <c r="Y607" s="17" t="n">
        <v>1.44858462187566</v>
      </c>
      <c r="Z607" s="17" t="n">
        <v>26.4550684388018</v>
      </c>
      <c r="AA607" s="17" t="n">
        <v>13.3704750428246</v>
      </c>
      <c r="AB607" s="17" t="n">
        <v>2.88260540829035</v>
      </c>
      <c r="AC607" s="17" t="n">
        <v>17.8170336549083</v>
      </c>
      <c r="AD607" s="17" t="n">
        <v>-4.64652740027439</v>
      </c>
      <c r="AE607" s="17" t="n">
        <v>0.287334518280977</v>
      </c>
      <c r="AF607" s="17" t="n">
        <v>0.650317186226828</v>
      </c>
      <c r="AG607" s="18" t="n">
        <f aca="false">IFERROR(100*O607/F607,"")</f>
        <v>1.33580464397456</v>
      </c>
      <c r="AH607" s="18" t="n">
        <f aca="false">IFERROR(100*(P607+Q607)/F607,"")</f>
        <v>1.23367394910757</v>
      </c>
      <c r="AI607" s="18" t="n">
        <f aca="false">IFERROR(100*R607/K607,"")</f>
        <v>0.00947321054999882</v>
      </c>
      <c r="AJ607" s="18" t="n">
        <f aca="false">IF(T607&gt;0,100*S607/T607,"")</f>
        <v>26.4550684388018</v>
      </c>
      <c r="AK607" s="18" t="n">
        <f aca="false">IFERROR(100*U607/G607,"")</f>
        <v>0.327344743116213</v>
      </c>
      <c r="AL607" s="18" t="n">
        <f aca="false">IFERROR(100*J607/H607,"")</f>
        <v>86.862715821479</v>
      </c>
      <c r="AM607" s="18" t="n">
        <f aca="false">IFERROR(100*L607/J607,"")</f>
        <v>97.3958292639096</v>
      </c>
      <c r="AN607" s="18" t="n">
        <f aca="false">IFERROR(100*M607/J607,"")</f>
        <v>1.27044152921781</v>
      </c>
      <c r="AO607" s="18" t="n">
        <f aca="false">IFERROR(100*N607/J607,"")</f>
        <v>1.33372920687257</v>
      </c>
    </row>
    <row r="608" customFormat="false" ht="15" hidden="false" customHeight="false" outlineLevel="0" collapsed="false">
      <c r="A608" s="17" t="n">
        <v>29636</v>
      </c>
      <c r="B608" s="23" t="n">
        <v>45107</v>
      </c>
      <c r="C608" s="17" t="s">
        <v>123</v>
      </c>
      <c r="D608" s="17" t="s">
        <v>108</v>
      </c>
      <c r="E608" s="17" t="s">
        <v>111</v>
      </c>
      <c r="F608" s="17" t="n">
        <v>182034</v>
      </c>
      <c r="G608" s="17" t="n">
        <v>182873.333333333</v>
      </c>
      <c r="H608" s="17" t="n">
        <v>145903</v>
      </c>
      <c r="I608" s="17" t="n">
        <v>24760</v>
      </c>
      <c r="J608" s="17" t="n">
        <v>130004</v>
      </c>
      <c r="K608" s="17" t="n">
        <v>127783.333333333</v>
      </c>
      <c r="L608" s="17" t="n">
        <v>126522</v>
      </c>
      <c r="M608" s="17" t="n">
        <v>2015</v>
      </c>
      <c r="N608" s="17" t="n">
        <v>1467</v>
      </c>
      <c r="O608" s="17" t="n">
        <v>2061</v>
      </c>
      <c r="P608" s="17" t="n">
        <v>2273</v>
      </c>
      <c r="Q608" s="17" t="n">
        <v>0</v>
      </c>
      <c r="R608" s="17" t="n">
        <v>-10</v>
      </c>
      <c r="S608" s="17" t="n">
        <v>26897</v>
      </c>
      <c r="T608" s="17" t="n">
        <v>100694</v>
      </c>
      <c r="U608" s="17" t="n">
        <v>750</v>
      </c>
      <c r="V608" s="17" t="n">
        <v>0.410119937297218</v>
      </c>
      <c r="W608" s="17" t="n">
        <v>3.05</v>
      </c>
      <c r="X608" s="17" t="n">
        <v>3.55071845607826</v>
      </c>
      <c r="Y608" s="17" t="n">
        <v>1.4568782499</v>
      </c>
      <c r="Z608" s="17" t="n">
        <v>26.711621347846</v>
      </c>
      <c r="AA608" s="17" t="n">
        <v>13.6018545985915</v>
      </c>
      <c r="AB608" s="17" t="n">
        <v>-0.371621066919159</v>
      </c>
      <c r="AC608" s="17" t="n">
        <v>16.2992914907321</v>
      </c>
      <c r="AD608" s="17" t="n">
        <v>-7.28723843656074</v>
      </c>
      <c r="AE608" s="17" t="n">
        <v>0.277430638504875</v>
      </c>
      <c r="AF608" s="17" t="n">
        <v>-0.0258943374446481</v>
      </c>
      <c r="AG608" s="18" t="n">
        <f aca="false">IFERROR(100*O608/F608,"")</f>
        <v>1.13220607139326</v>
      </c>
      <c r="AH608" s="18" t="n">
        <f aca="false">IFERROR(100*(P608+Q608)/F608,"")</f>
        <v>1.24866783128427</v>
      </c>
      <c r="AI608" s="18" t="n">
        <f aca="false">IFERROR(100*R608/K608,"")</f>
        <v>-0.00782574670666493</v>
      </c>
      <c r="AJ608" s="18" t="n">
        <f aca="false">IF(T608&gt;0,100*S608/T608,"")</f>
        <v>26.711621347846</v>
      </c>
      <c r="AK608" s="18" t="n">
        <f aca="false">IFERROR(100*U608/G608,"")</f>
        <v>0.410119937297219</v>
      </c>
      <c r="AL608" s="18" t="n">
        <f aca="false">IFERROR(100*J608/H608,"")</f>
        <v>89.1030342076585</v>
      </c>
      <c r="AM608" s="18" t="n">
        <f aca="false">IFERROR(100*L608/J608,"")</f>
        <v>97.3216208732039</v>
      </c>
      <c r="AN608" s="18" t="n">
        <f aca="false">IFERROR(100*M608/J608,"")</f>
        <v>1.54995230915972</v>
      </c>
      <c r="AO608" s="18" t="n">
        <f aca="false">IFERROR(100*N608/J608,"")</f>
        <v>1.12842681763638</v>
      </c>
    </row>
    <row r="609" customFormat="false" ht="15" hidden="false" customHeight="false" outlineLevel="0" collapsed="false">
      <c r="A609" s="17" t="n">
        <v>29636</v>
      </c>
      <c r="B609" s="23" t="n">
        <v>45199</v>
      </c>
      <c r="C609" s="17" t="s">
        <v>123</v>
      </c>
      <c r="D609" s="17" t="s">
        <v>108</v>
      </c>
      <c r="E609" s="17" t="s">
        <v>111</v>
      </c>
      <c r="F609" s="17" t="n">
        <v>180600</v>
      </c>
      <c r="G609" s="17" t="n">
        <v>182305</v>
      </c>
      <c r="H609" s="17" t="n">
        <v>148201</v>
      </c>
      <c r="I609" s="17" t="n">
        <v>24993</v>
      </c>
      <c r="J609" s="17" t="n">
        <v>132430</v>
      </c>
      <c r="K609" s="17" t="n">
        <v>128945</v>
      </c>
      <c r="L609" s="17" t="n">
        <v>129022</v>
      </c>
      <c r="M609" s="17" t="n">
        <v>1905</v>
      </c>
      <c r="N609" s="17" t="n">
        <v>1503</v>
      </c>
      <c r="O609" s="17" t="n">
        <v>1460</v>
      </c>
      <c r="P609" s="17" t="n">
        <v>2021</v>
      </c>
      <c r="Q609" s="17" t="n">
        <v>0</v>
      </c>
      <c r="R609" s="17" t="n">
        <v>-9.3331</v>
      </c>
      <c r="S609" s="17" t="n">
        <v>27119</v>
      </c>
      <c r="T609" s="17" t="n">
        <v>100777</v>
      </c>
      <c r="U609" s="17" t="n">
        <v>794.6468</v>
      </c>
      <c r="V609" s="17" t="n">
        <v>0.435888648144593</v>
      </c>
      <c r="W609" s="17" t="n">
        <v>3.22</v>
      </c>
      <c r="X609" s="17" t="n">
        <v>3.59795728465481</v>
      </c>
      <c r="Y609" s="17" t="n">
        <v>1.43396511364495</v>
      </c>
      <c r="Z609" s="17" t="n">
        <v>26.9099099993054</v>
      </c>
      <c r="AA609" s="17" t="n">
        <v>13.8388704318937</v>
      </c>
      <c r="AB609" s="17" t="n">
        <v>0.274839676855176</v>
      </c>
      <c r="AC609" s="17" t="n">
        <v>13.3867031979109</v>
      </c>
      <c r="AD609" s="17" t="n">
        <v>-4.45241027161895</v>
      </c>
      <c r="AE609" s="17" t="n">
        <v>0.159165519323989</v>
      </c>
      <c r="AF609" s="17" t="n">
        <v>-0.357014886388256</v>
      </c>
      <c r="AG609" s="18" t="n">
        <f aca="false">IFERROR(100*O609/F609,"")</f>
        <v>0.808416389811739</v>
      </c>
      <c r="AH609" s="18" t="n">
        <f aca="false">IFERROR(100*(P609+Q609)/F609,"")</f>
        <v>1.11904761904762</v>
      </c>
      <c r="AI609" s="18" t="n">
        <f aca="false">IFERROR(100*R609/K609,"")</f>
        <v>-0.00723804722943891</v>
      </c>
      <c r="AJ609" s="18" t="n">
        <f aca="false">IF(T609&gt;0,100*S609/T609,"")</f>
        <v>26.9099099993054</v>
      </c>
      <c r="AK609" s="18" t="n">
        <f aca="false">IFERROR(100*U609/G609,"")</f>
        <v>0.435888648144593</v>
      </c>
      <c r="AL609" s="18" t="n">
        <f aca="false">IFERROR(100*J609/H609,"")</f>
        <v>89.3583714010027</v>
      </c>
      <c r="AM609" s="18" t="n">
        <f aca="false">IFERROR(100*L609/J609,"")</f>
        <v>97.4265649777241</v>
      </c>
      <c r="AN609" s="18" t="n">
        <f aca="false">IFERROR(100*M609/J609,"")</f>
        <v>1.4384958091067</v>
      </c>
      <c r="AO609" s="18" t="n">
        <f aca="false">IFERROR(100*N609/J609,"")</f>
        <v>1.13493921316922</v>
      </c>
    </row>
    <row r="610" customFormat="false" ht="15" hidden="false" customHeight="false" outlineLevel="0" collapsed="false">
      <c r="A610" s="17" t="n">
        <v>29636</v>
      </c>
      <c r="B610" s="23" t="n">
        <v>45291</v>
      </c>
      <c r="C610" s="17" t="s">
        <v>123</v>
      </c>
      <c r="D610" s="17" t="s">
        <v>108</v>
      </c>
      <c r="E610" s="17" t="s">
        <v>111</v>
      </c>
      <c r="F610" s="17" t="n">
        <v>179139</v>
      </c>
      <c r="G610" s="17" t="n">
        <v>181671.8</v>
      </c>
      <c r="H610" s="17" t="n">
        <v>140257</v>
      </c>
      <c r="I610" s="17" t="n">
        <v>25841</v>
      </c>
      <c r="J610" s="17" t="n">
        <v>134978</v>
      </c>
      <c r="K610" s="17" t="n">
        <v>130151.6</v>
      </c>
      <c r="L610" s="17" t="n">
        <v>131783</v>
      </c>
      <c r="M610" s="17" t="n">
        <v>1690</v>
      </c>
      <c r="N610" s="17" t="n">
        <v>1505</v>
      </c>
      <c r="O610" s="17" t="n">
        <v>1361</v>
      </c>
      <c r="P610" s="17" t="n">
        <v>2467</v>
      </c>
      <c r="Q610" s="17" t="n">
        <v>0</v>
      </c>
      <c r="R610" s="17" t="n">
        <v>-10</v>
      </c>
      <c r="S610" s="17" t="n">
        <v>27269</v>
      </c>
      <c r="T610" s="17" t="n">
        <v>100617</v>
      </c>
      <c r="U610" s="17" t="n">
        <v>748</v>
      </c>
      <c r="V610" s="17" t="n">
        <v>0.411731485018589</v>
      </c>
      <c r="W610" s="17" t="n">
        <v>3</v>
      </c>
      <c r="X610" s="17" t="n">
        <v>3.65429206434729</v>
      </c>
      <c r="Y610" s="17" t="n">
        <v>1.41134110743973</v>
      </c>
      <c r="Z610" s="17" t="n">
        <v>27.101782005029</v>
      </c>
      <c r="AA610" s="17" t="n">
        <v>14.4251112264778</v>
      </c>
      <c r="AB610" s="17" t="n">
        <v>-1.31659404282511</v>
      </c>
      <c r="AC610" s="17" t="n">
        <v>7.67316267679226</v>
      </c>
      <c r="AD610" s="17" t="n">
        <v>-5.93028792949651</v>
      </c>
      <c r="AE610" s="17" t="n">
        <v>0.0506607693465712</v>
      </c>
      <c r="AF610" s="17" t="n">
        <v>-0.485234915139725</v>
      </c>
      <c r="AG610" s="18" t="n">
        <f aca="false">IFERROR(100*O610/F610,"")</f>
        <v>0.759745225774399</v>
      </c>
      <c r="AH610" s="18" t="n">
        <f aca="false">IFERROR(100*(P610+Q610)/F610,"")</f>
        <v>1.37714288904147</v>
      </c>
      <c r="AI610" s="18" t="n">
        <f aca="false">IFERROR(100*R610/K610,"")</f>
        <v>-0.00768334772680474</v>
      </c>
      <c r="AJ610" s="18" t="n">
        <f aca="false">IF(T610&gt;0,100*S610/T610,"")</f>
        <v>27.101782005029</v>
      </c>
      <c r="AK610" s="18" t="n">
        <f aca="false">IFERROR(100*U610/G610,"")</f>
        <v>0.411731485018589</v>
      </c>
      <c r="AL610" s="18" t="n">
        <f aca="false">IFERROR(100*J610/H610,"")</f>
        <v>96.2361949849205</v>
      </c>
      <c r="AM610" s="18" t="n">
        <f aca="false">IFERROR(100*L610/J610,"")</f>
        <v>97.6329475914594</v>
      </c>
      <c r="AN610" s="18" t="n">
        <f aca="false">IFERROR(100*M610/J610,"")</f>
        <v>1.25205589058958</v>
      </c>
      <c r="AO610" s="18" t="n">
        <f aca="false">IFERROR(100*N610/J610,"")</f>
        <v>1.11499651795107</v>
      </c>
    </row>
    <row r="611" customFormat="false" ht="15" hidden="false" customHeight="false" outlineLevel="0" collapsed="false">
      <c r="A611" s="17" t="n">
        <v>29636</v>
      </c>
      <c r="B611" s="23" t="n">
        <v>45382</v>
      </c>
      <c r="C611" s="17" t="s">
        <v>123</v>
      </c>
      <c r="D611" s="17" t="s">
        <v>108</v>
      </c>
      <c r="E611" s="17" t="s">
        <v>111</v>
      </c>
      <c r="F611" s="17" t="n">
        <v>178210</v>
      </c>
      <c r="G611" s="17" t="n">
        <v>178674.5</v>
      </c>
      <c r="H611" s="17" t="n">
        <v>137138</v>
      </c>
      <c r="I611" s="17" t="n">
        <v>25969</v>
      </c>
      <c r="J611" s="17" t="n">
        <v>135540</v>
      </c>
      <c r="K611" s="17" t="n">
        <v>135259</v>
      </c>
      <c r="L611" s="17" t="n">
        <v>132513</v>
      </c>
      <c r="M611" s="17" t="n">
        <v>1456</v>
      </c>
      <c r="N611" s="17" t="n">
        <v>1571</v>
      </c>
      <c r="O611" s="17" t="n">
        <v>899</v>
      </c>
      <c r="P611" s="17" t="n">
        <v>3809</v>
      </c>
      <c r="Q611" s="17" t="n">
        <v>0</v>
      </c>
      <c r="R611" s="17" t="n">
        <v>0</v>
      </c>
      <c r="S611" s="17" t="n">
        <v>27399</v>
      </c>
      <c r="T611" s="17" t="n">
        <v>99959</v>
      </c>
      <c r="U611" s="17" t="n">
        <v>556</v>
      </c>
      <c r="V611" s="17" t="n">
        <v>0.311180386680808</v>
      </c>
      <c r="W611" s="17" t="n">
        <v>2.15</v>
      </c>
      <c r="X611" s="17" t="n">
        <v>3.5569459283869</v>
      </c>
      <c r="Y611" s="17" t="n">
        <v>1.40696473365796</v>
      </c>
      <c r="Z611" s="17" t="n">
        <v>27.410238197661</v>
      </c>
      <c r="AA611" s="17" t="n">
        <v>14.5721339992144</v>
      </c>
      <c r="AB611" s="17" t="n">
        <v>-3.69994109922889</v>
      </c>
      <c r="AC611" s="17" t="n">
        <v>5.9013806089681</v>
      </c>
      <c r="AD611" s="17" t="n">
        <v>-6.92664784449995</v>
      </c>
      <c r="AE611" s="17" t="n">
        <v>-0.016164356435405</v>
      </c>
      <c r="AF611" s="17" t="n">
        <v>-0.831343614851614</v>
      </c>
      <c r="AG611" s="18" t="n">
        <f aca="false">IFERROR(100*O611/F611,"")</f>
        <v>0.504461029122945</v>
      </c>
      <c r="AH611" s="18" t="n">
        <f aca="false">IFERROR(100*(P611+Q611)/F611,"")</f>
        <v>2.13736602884238</v>
      </c>
      <c r="AI611" s="18" t="n">
        <f aca="false">IFERROR(100*R611/K611,"")</f>
        <v>0</v>
      </c>
      <c r="AJ611" s="18" t="n">
        <f aca="false">IF(T611&gt;0,100*S611/T611,"")</f>
        <v>27.410238197661</v>
      </c>
      <c r="AK611" s="18" t="n">
        <f aca="false">IFERROR(100*U611/G611,"")</f>
        <v>0.311180386680808</v>
      </c>
      <c r="AL611" s="18" t="n">
        <f aca="false">IFERROR(100*J611/H611,"")</f>
        <v>98.8347503974099</v>
      </c>
      <c r="AM611" s="18" t="n">
        <f aca="false">IFERROR(100*L611/J611,"")</f>
        <v>97.7667109340416</v>
      </c>
      <c r="AN611" s="18" t="n">
        <f aca="false">IFERROR(100*M611/J611,"")</f>
        <v>1.07422163199056</v>
      </c>
      <c r="AO611" s="18" t="n">
        <f aca="false">IFERROR(100*N611/J611,"")</f>
        <v>1.15906743396783</v>
      </c>
    </row>
    <row r="612" customFormat="false" ht="15" hidden="false" customHeight="false" outlineLevel="0" collapsed="false">
      <c r="A612" s="17" t="n">
        <v>29636</v>
      </c>
      <c r="B612" s="23" t="n">
        <v>45473</v>
      </c>
      <c r="C612" s="17" t="s">
        <v>123</v>
      </c>
      <c r="D612" s="17" t="s">
        <v>108</v>
      </c>
      <c r="E612" s="17" t="s">
        <v>111</v>
      </c>
      <c r="F612" s="17" t="n">
        <v>180255</v>
      </c>
      <c r="G612" s="17" t="n">
        <v>179201.333333333</v>
      </c>
      <c r="H612" s="17" t="n">
        <v>137021</v>
      </c>
      <c r="I612" s="17" t="n">
        <v>26121</v>
      </c>
      <c r="J612" s="17" t="n">
        <v>138577</v>
      </c>
      <c r="K612" s="17" t="n">
        <v>136365</v>
      </c>
      <c r="L612" s="17" t="n">
        <v>135371</v>
      </c>
      <c r="M612" s="17" t="n">
        <v>1433</v>
      </c>
      <c r="N612" s="17" t="n">
        <v>1772</v>
      </c>
      <c r="O612" s="17" t="n">
        <v>2731</v>
      </c>
      <c r="P612" s="17" t="n">
        <v>3204</v>
      </c>
      <c r="Q612" s="17" t="n">
        <v>0</v>
      </c>
      <c r="R612" s="17" t="n">
        <v>-2</v>
      </c>
      <c r="S612" s="17" t="n">
        <v>27514</v>
      </c>
      <c r="T612" s="17" t="n">
        <v>102441</v>
      </c>
      <c r="U612" s="17" t="n">
        <v>444</v>
      </c>
      <c r="V612" s="17" t="n">
        <v>0.247766013645732</v>
      </c>
      <c r="W612" s="17" t="n">
        <v>1.71</v>
      </c>
      <c r="X612" s="17" t="n">
        <v>3.44418295303387</v>
      </c>
      <c r="Y612" s="17" t="n">
        <v>1.39056264748118</v>
      </c>
      <c r="Z612" s="17" t="n">
        <v>26.8583867787312</v>
      </c>
      <c r="AA612" s="17" t="n">
        <v>14.4911375551302</v>
      </c>
      <c r="AB612" s="17" t="n">
        <v>-0.977289956821248</v>
      </c>
      <c r="AC612" s="17" t="n">
        <v>6.59441247961601</v>
      </c>
      <c r="AD612" s="17" t="n">
        <v>-6.08760614929097</v>
      </c>
      <c r="AE612" s="17" t="n">
        <v>-0.162353923651487</v>
      </c>
      <c r="AF612" s="17" t="n">
        <v>0.382869793353908</v>
      </c>
      <c r="AG612" s="18" t="n">
        <f aca="false">IFERROR(100*O612/F612,"")</f>
        <v>1.51507586474716</v>
      </c>
      <c r="AH612" s="18" t="n">
        <f aca="false">IFERROR(100*(P612+Q612)/F612,"")</f>
        <v>1.77748190064076</v>
      </c>
      <c r="AI612" s="18" t="n">
        <f aca="false">IFERROR(100*R612/K612,"")</f>
        <v>-0.00146665200014667</v>
      </c>
      <c r="AJ612" s="18" t="n">
        <f aca="false">IF(T612&gt;0,100*S612/T612,"")</f>
        <v>26.8583867787312</v>
      </c>
      <c r="AK612" s="18" t="n">
        <f aca="false">IFERROR(100*U612/G612,"")</f>
        <v>0.247766013645732</v>
      </c>
      <c r="AL612" s="18" t="n">
        <f aca="false">IFERROR(100*J612/H612,"")</f>
        <v>101.135592354457</v>
      </c>
      <c r="AM612" s="18" t="n">
        <f aca="false">IFERROR(100*L612/J612,"")</f>
        <v>97.6864847702</v>
      </c>
      <c r="AN612" s="18" t="n">
        <f aca="false">IFERROR(100*M612/J612,"")</f>
        <v>1.034082134842</v>
      </c>
      <c r="AO612" s="18" t="n">
        <f aca="false">IFERROR(100*N612/J612,"")</f>
        <v>1.27871147448711</v>
      </c>
    </row>
    <row r="613" customFormat="false" ht="15" hidden="false" customHeight="false" outlineLevel="0" collapsed="false">
      <c r="A613" s="17" t="n">
        <v>29636</v>
      </c>
      <c r="B613" s="23" t="n">
        <v>45565</v>
      </c>
      <c r="C613" s="17" t="s">
        <v>123</v>
      </c>
      <c r="D613" s="17" t="s">
        <v>108</v>
      </c>
      <c r="E613" s="17" t="s">
        <v>111</v>
      </c>
      <c r="F613" s="17" t="n">
        <v>181616</v>
      </c>
      <c r="G613" s="17" t="n">
        <v>179805</v>
      </c>
      <c r="H613" s="17" t="n">
        <v>140789</v>
      </c>
      <c r="I613" s="17" t="n">
        <v>26607</v>
      </c>
      <c r="J613" s="17" t="n">
        <v>139743</v>
      </c>
      <c r="K613" s="17" t="n">
        <v>137209.5</v>
      </c>
      <c r="L613" s="17" t="n">
        <v>136319</v>
      </c>
      <c r="M613" s="17" t="n">
        <v>1634</v>
      </c>
      <c r="N613" s="17" t="n">
        <v>1790</v>
      </c>
      <c r="O613" s="17" t="n">
        <v>2870</v>
      </c>
      <c r="P613" s="17" t="n">
        <v>2593</v>
      </c>
      <c r="Q613" s="17" t="n">
        <v>0</v>
      </c>
      <c r="R613" s="17" t="n">
        <v>-2.6666</v>
      </c>
      <c r="S613" s="17" t="n">
        <v>27748</v>
      </c>
      <c r="T613" s="17" t="n">
        <v>102703</v>
      </c>
      <c r="U613" s="17" t="n">
        <v>603.9849</v>
      </c>
      <c r="V613" s="17" t="n">
        <v>0.335911070326187</v>
      </c>
      <c r="W613" s="17" t="n">
        <v>2.31</v>
      </c>
      <c r="X613" s="17" t="n">
        <v>3.53035431343076</v>
      </c>
      <c r="Y613" s="17" t="n">
        <v>1.40185912711191</v>
      </c>
      <c r="Z613" s="17" t="n">
        <v>27.01771126452</v>
      </c>
      <c r="AA613" s="17" t="n">
        <v>14.6501409567439</v>
      </c>
      <c r="AB613" s="17" t="n">
        <v>0.562569213732012</v>
      </c>
      <c r="AC613" s="17" t="n">
        <v>5.52216265196708</v>
      </c>
      <c r="AD613" s="17" t="n">
        <v>-5.00131578059527</v>
      </c>
      <c r="AE613" s="17" t="n">
        <v>-0.0999775778184062</v>
      </c>
      <c r="AF613" s="17" t="n">
        <v>0.771840856245877</v>
      </c>
      <c r="AG613" s="18" t="n">
        <f aca="false">IFERROR(100*O613/F613,"")</f>
        <v>1.58025724605762</v>
      </c>
      <c r="AH613" s="18" t="n">
        <f aca="false">IFERROR(100*(P613+Q613)/F613,"")</f>
        <v>1.42773764426042</v>
      </c>
      <c r="AI613" s="18" t="n">
        <f aca="false">IFERROR(100*R613/K613,"")</f>
        <v>-0.00194345143740047</v>
      </c>
      <c r="AJ613" s="18" t="n">
        <f aca="false">IF(T613&gt;0,100*S613/T613,"")</f>
        <v>27.01771126452</v>
      </c>
      <c r="AK613" s="18" t="n">
        <f aca="false">IFERROR(100*U613/G613,"")</f>
        <v>0.335911070326187</v>
      </c>
      <c r="AL613" s="18" t="n">
        <f aca="false">IFERROR(100*J613/H613,"")</f>
        <v>99.2570442293077</v>
      </c>
      <c r="AM613" s="18" t="n">
        <f aca="false">IFERROR(100*L613/J613,"")</f>
        <v>97.5497878247927</v>
      </c>
      <c r="AN613" s="18" t="n">
        <f aca="false">IFERROR(100*M613/J613,"")</f>
        <v>1.16928933828528</v>
      </c>
      <c r="AO613" s="18" t="n">
        <f aca="false">IFERROR(100*N613/J613,"")</f>
        <v>1.28092283692206</v>
      </c>
    </row>
    <row r="614" customFormat="false" ht="15" hidden="false" customHeight="false" outlineLevel="0" collapsed="false">
      <c r="A614" s="17" t="n">
        <v>29636</v>
      </c>
      <c r="B614" s="23" t="n">
        <v>45657</v>
      </c>
      <c r="C614" s="17" t="s">
        <v>123</v>
      </c>
      <c r="D614" s="17" t="s">
        <v>108</v>
      </c>
      <c r="E614" s="17" t="s">
        <v>111</v>
      </c>
      <c r="F614" s="17" t="n">
        <v>182860</v>
      </c>
      <c r="G614" s="17" t="n">
        <v>180416</v>
      </c>
      <c r="H614" s="17" t="n">
        <v>141498</v>
      </c>
      <c r="I614" s="17" t="n">
        <v>27319</v>
      </c>
      <c r="J614" s="17" t="n">
        <v>143339</v>
      </c>
      <c r="K614" s="17" t="n">
        <v>138435.4</v>
      </c>
      <c r="L614" s="17" t="n">
        <v>139835</v>
      </c>
      <c r="M614" s="17" t="n">
        <v>1557</v>
      </c>
      <c r="N614" s="17" t="n">
        <v>1947</v>
      </c>
      <c r="O614" s="17" t="n">
        <v>2868</v>
      </c>
      <c r="P614" s="17" t="n">
        <v>4173</v>
      </c>
      <c r="Q614" s="17" t="n">
        <v>0</v>
      </c>
      <c r="R614" s="17" t="n">
        <v>1</v>
      </c>
      <c r="S614" s="17" t="n">
        <v>28092</v>
      </c>
      <c r="T614" s="17" t="n">
        <v>105012</v>
      </c>
      <c r="U614" s="17" t="n">
        <v>678</v>
      </c>
      <c r="V614" s="17" t="n">
        <v>0.375798155374246</v>
      </c>
      <c r="W614" s="17" t="n">
        <v>2.57</v>
      </c>
      <c r="X614" s="17" t="n">
        <v>3.5143306118266</v>
      </c>
      <c r="Y614" s="17" t="n">
        <v>1.37296897564515</v>
      </c>
      <c r="Z614" s="17" t="n">
        <v>26.7512284310365</v>
      </c>
      <c r="AA614" s="17" t="n">
        <v>14.9398446899267</v>
      </c>
      <c r="AB614" s="17" t="n">
        <v>2.07715796113632</v>
      </c>
      <c r="AC614" s="17" t="n">
        <v>6.19434278178666</v>
      </c>
      <c r="AD614" s="17" t="n">
        <v>0.884804323491872</v>
      </c>
      <c r="AE614" s="17" t="n">
        <v>-0.0359333296443423</v>
      </c>
      <c r="AF614" s="17" t="n">
        <v>0.808667767772577</v>
      </c>
      <c r="AG614" s="18" t="n">
        <f aca="false">IFERROR(100*O614/F614,"")</f>
        <v>1.56841299354698</v>
      </c>
      <c r="AH614" s="18" t="n">
        <f aca="false">IFERROR(100*(P614+Q614)/F614,"")</f>
        <v>2.28207371759816</v>
      </c>
      <c r="AI614" s="18" t="n">
        <f aca="false">IFERROR(100*R614/K614,"")</f>
        <v>0.000722358587471124</v>
      </c>
      <c r="AJ614" s="18" t="n">
        <f aca="false">IF(T614&gt;0,100*S614/T614,"")</f>
        <v>26.7512284310365</v>
      </c>
      <c r="AK614" s="18" t="n">
        <f aca="false">IFERROR(100*U614/G614,"")</f>
        <v>0.375798155374246</v>
      </c>
      <c r="AL614" s="18" t="n">
        <f aca="false">IFERROR(100*J614/H614,"")</f>
        <v>101.301078460473</v>
      </c>
      <c r="AM614" s="18" t="n">
        <f aca="false">IFERROR(100*L614/J614,"")</f>
        <v>97.5554454823879</v>
      </c>
      <c r="AN614" s="18" t="n">
        <f aca="false">IFERROR(100*M614/J614,"")</f>
        <v>1.08623612554853</v>
      </c>
      <c r="AO614" s="18" t="n">
        <f aca="false">IFERROR(100*N614/J614,"")</f>
        <v>1.35831839206357</v>
      </c>
    </row>
    <row r="615" customFormat="false" ht="15" hidden="false" customHeight="false" outlineLevel="0" collapsed="false">
      <c r="A615" s="17" t="n">
        <v>29636</v>
      </c>
      <c r="B615" s="23" t="n">
        <v>45747</v>
      </c>
      <c r="C615" s="17" t="s">
        <v>123</v>
      </c>
      <c r="D615" s="17" t="s">
        <v>108</v>
      </c>
      <c r="E615" s="17" t="s">
        <v>111</v>
      </c>
      <c r="F615" s="17" t="n">
        <v>186509</v>
      </c>
      <c r="G615" s="17" t="n">
        <v>184684.5</v>
      </c>
      <c r="H615" s="17" t="n">
        <v>143798</v>
      </c>
      <c r="I615" s="17" t="n">
        <v>27465</v>
      </c>
      <c r="J615" s="17" t="n">
        <v>144596</v>
      </c>
      <c r="K615" s="17" t="n">
        <v>143967.5</v>
      </c>
      <c r="L615" s="17" t="n">
        <v>141230</v>
      </c>
      <c r="M615" s="17" t="n">
        <v>1641</v>
      </c>
      <c r="N615" s="17" t="n">
        <v>1725</v>
      </c>
      <c r="O615" s="17" t="n">
        <v>3216</v>
      </c>
      <c r="P615" s="17" t="n">
        <v>3952</v>
      </c>
      <c r="Q615" s="17" t="n">
        <v>0</v>
      </c>
      <c r="R615" s="17" t="n">
        <v>40</v>
      </c>
      <c r="S615" s="17" t="n">
        <v>28140</v>
      </c>
      <c r="T615" s="17" t="n">
        <v>103681</v>
      </c>
      <c r="U615" s="17" t="n">
        <v>256</v>
      </c>
      <c r="V615" s="17" t="n">
        <v>0.138614772761114</v>
      </c>
      <c r="W615" s="17" t="n">
        <v>0.93</v>
      </c>
      <c r="X615" s="17" t="n">
        <v>3.42549547345241</v>
      </c>
      <c r="Y615" s="17" t="n">
        <v>1.35480926166699</v>
      </c>
      <c r="Z615" s="17" t="n">
        <v>27.1409419276435</v>
      </c>
      <c r="AA615" s="17" t="n">
        <v>14.7258309250492</v>
      </c>
      <c r="AB615" s="17" t="n">
        <v>4.65686549576343</v>
      </c>
      <c r="AC615" s="17" t="n">
        <v>6.68142245831489</v>
      </c>
      <c r="AD615" s="17" t="n">
        <v>4.85642199827912</v>
      </c>
      <c r="AE615" s="17" t="n">
        <v>-0.172565613919694</v>
      </c>
      <c r="AF615" s="17" t="n">
        <v>1.21985254287626</v>
      </c>
      <c r="AG615" s="18" t="n">
        <f aca="false">IFERROR(100*O615/F615,"")</f>
        <v>1.72431357199921</v>
      </c>
      <c r="AH615" s="18" t="n">
        <f aca="false">IFERROR(100*(P615+Q615)/F615,"")</f>
        <v>2.11893259842689</v>
      </c>
      <c r="AI615" s="18" t="n">
        <f aca="false">IFERROR(100*R615/K615,"")</f>
        <v>0.0277840484831646</v>
      </c>
      <c r="AJ615" s="18" t="n">
        <f aca="false">IF(T615&gt;0,100*S615/T615,"")</f>
        <v>27.1409419276434</v>
      </c>
      <c r="AK615" s="18" t="n">
        <f aca="false">IFERROR(100*U615/G615,"")</f>
        <v>0.138614772761114</v>
      </c>
      <c r="AL615" s="18" t="n">
        <f aca="false">IFERROR(100*J615/H615,"")</f>
        <v>100.554945131365</v>
      </c>
      <c r="AM615" s="18" t="n">
        <f aca="false">IFERROR(100*L615/J615,"")</f>
        <v>97.6721347755125</v>
      </c>
      <c r="AN615" s="18" t="n">
        <f aca="false">IFERROR(100*M615/J615,"")</f>
        <v>1.13488616559241</v>
      </c>
      <c r="AO615" s="18" t="n">
        <f aca="false">IFERROR(100*N615/J615,"")</f>
        <v>1.19297905889513</v>
      </c>
    </row>
    <row r="616" customFormat="false" ht="15" hidden="false" customHeight="false" outlineLevel="0" collapsed="false">
      <c r="A616" s="17" t="n">
        <v>29636</v>
      </c>
      <c r="B616" s="23" t="n">
        <v>45838</v>
      </c>
      <c r="C616" s="17" t="s">
        <v>123</v>
      </c>
      <c r="D616" s="17" t="s">
        <v>108</v>
      </c>
      <c r="E616" s="17" t="s">
        <v>111</v>
      </c>
      <c r="F616" s="17" t="n">
        <v>185573</v>
      </c>
      <c r="G616" s="17" t="n">
        <v>184980.666666667</v>
      </c>
      <c r="H616" s="17" t="n">
        <v>139676</v>
      </c>
      <c r="I616" s="17" t="n">
        <v>27646</v>
      </c>
      <c r="J616" s="17" t="n">
        <v>146916</v>
      </c>
      <c r="K616" s="17" t="n">
        <v>144950.333333333</v>
      </c>
      <c r="L616" s="17" t="n">
        <v>143630</v>
      </c>
      <c r="M616" s="17" t="n">
        <v>1667</v>
      </c>
      <c r="N616" s="17" t="n">
        <v>1619</v>
      </c>
      <c r="O616" s="17" t="n">
        <v>3102</v>
      </c>
      <c r="P616" s="17" t="n">
        <v>4225</v>
      </c>
      <c r="Q616" s="17" t="n">
        <v>0</v>
      </c>
      <c r="R616" s="17" t="n">
        <v>46</v>
      </c>
      <c r="S616" s="17" t="n">
        <v>28299</v>
      </c>
      <c r="T616" s="17" t="n">
        <v>104166</v>
      </c>
      <c r="U616" s="17" t="n">
        <v>434</v>
      </c>
      <c r="V616" s="17" t="n">
        <v>0.234619113348782</v>
      </c>
      <c r="W616" s="17" t="n">
        <v>1.58</v>
      </c>
      <c r="X616" s="17" t="n">
        <v>3.50724516740479</v>
      </c>
      <c r="Y616" s="17" t="n">
        <v>1.32524707996406</v>
      </c>
      <c r="Z616" s="17" t="n">
        <v>27.1672138701688</v>
      </c>
      <c r="AA616" s="17" t="n">
        <v>14.897641359465</v>
      </c>
      <c r="AB616" s="17" t="n">
        <v>2.95026490249923</v>
      </c>
      <c r="AC616" s="17" t="n">
        <v>6.01759310708125</v>
      </c>
      <c r="AD616" s="17" t="n">
        <v>1.93765919092694</v>
      </c>
      <c r="AE616" s="17" t="n">
        <v>-0.0131469002969494</v>
      </c>
      <c r="AF616" s="17" t="n">
        <v>0.156503513718453</v>
      </c>
      <c r="AG616" s="18" t="n">
        <f aca="false">IFERROR(100*O616/F616,"")</f>
        <v>1.67157937846562</v>
      </c>
      <c r="AH616" s="18" t="n">
        <f aca="false">IFERROR(100*(P616+Q616)/F616,"")</f>
        <v>2.27673206770381</v>
      </c>
      <c r="AI616" s="18" t="n">
        <f aca="false">IFERROR(100*R616/K616,"")</f>
        <v>0.0317350080832285</v>
      </c>
      <c r="AJ616" s="18" t="n">
        <f aca="false">IF(T616&gt;0,100*S616/T616,"")</f>
        <v>27.1672138701688</v>
      </c>
      <c r="AK616" s="18" t="n">
        <f aca="false">IFERROR(100*U616/G616,"")</f>
        <v>0.234619113348782</v>
      </c>
      <c r="AL616" s="18" t="n">
        <f aca="false">IFERROR(100*J616/H616,"")</f>
        <v>105.183424496692</v>
      </c>
      <c r="AM616" s="18" t="n">
        <f aca="false">IFERROR(100*L616/J616,"")</f>
        <v>97.7633477633478</v>
      </c>
      <c r="AN616" s="18" t="n">
        <f aca="false">IFERROR(100*M616/J616,"")</f>
        <v>1.13466198371859</v>
      </c>
      <c r="AO616" s="18" t="n">
        <f aca="false">IFERROR(100*N616/J616,"")</f>
        <v>1.10199025293365</v>
      </c>
    </row>
    <row r="617" customFormat="false" ht="15" hidden="false" customHeight="false" outlineLevel="0" collapsed="false">
      <c r="A617" s="17" t="n">
        <v>29743</v>
      </c>
      <c r="B617" s="23" t="n">
        <v>44651</v>
      </c>
      <c r="C617" s="17" t="s">
        <v>140</v>
      </c>
      <c r="D617" s="17" t="s">
        <v>108</v>
      </c>
      <c r="E617" s="17" t="s">
        <v>111</v>
      </c>
      <c r="F617" s="17" t="n">
        <v>172820</v>
      </c>
      <c r="G617" s="17" t="n">
        <v>174768</v>
      </c>
      <c r="H617" s="17" t="n">
        <v>154916</v>
      </c>
      <c r="I617" s="17" t="n">
        <v>15360</v>
      </c>
      <c r="J617" s="17" t="n">
        <v>116977</v>
      </c>
      <c r="K617" s="17" t="n">
        <v>116502</v>
      </c>
      <c r="L617" s="17" t="n">
        <v>77243</v>
      </c>
      <c r="M617" s="17" t="n">
        <v>22643</v>
      </c>
      <c r="N617" s="17" t="n">
        <v>17066</v>
      </c>
      <c r="O617" s="17" t="n">
        <v>442</v>
      </c>
      <c r="P617" s="17" t="n">
        <v>646</v>
      </c>
      <c r="Q617" s="17" t="n">
        <v>0</v>
      </c>
      <c r="R617" s="17" t="n">
        <v>48</v>
      </c>
      <c r="S617" s="17" t="n">
        <v>17728</v>
      </c>
      <c r="T617" s="17" t="n">
        <v>102643</v>
      </c>
      <c r="U617" s="17" t="n">
        <v>1064</v>
      </c>
      <c r="V617" s="17" t="n">
        <v>0.608807104275382</v>
      </c>
      <c r="W617" s="17" t="n">
        <v>6.58</v>
      </c>
      <c r="X617" s="17" t="n">
        <v>2.48846786023577</v>
      </c>
      <c r="Y617" s="17" t="n">
        <v>0.442822093232003</v>
      </c>
      <c r="Z617" s="17" t="n">
        <v>17.2715138879417</v>
      </c>
      <c r="AA617" s="17" t="n">
        <v>8.88786020136558</v>
      </c>
      <c r="AB617" s="17"/>
      <c r="AC617" s="17"/>
      <c r="AD617" s="17"/>
      <c r="AE617" s="17"/>
      <c r="AF617" s="17"/>
      <c r="AG617" s="18" t="n">
        <f aca="false">IFERROR(100*O617/F617,"")</f>
        <v>0.255757435482004</v>
      </c>
      <c r="AH617" s="18" t="n">
        <f aca="false">IFERROR(100*(P617+Q617)/F617,"")</f>
        <v>0.373799328781391</v>
      </c>
      <c r="AI617" s="18" t="n">
        <f aca="false">IFERROR(100*R617/K617,"")</f>
        <v>0.0412010094247309</v>
      </c>
      <c r="AJ617" s="18" t="n">
        <f aca="false">IF(T617&gt;0,100*S617/T617,"")</f>
        <v>17.2715138879417</v>
      </c>
      <c r="AK617" s="18" t="n">
        <f aca="false">IFERROR(100*U617/G617,"")</f>
        <v>0.608807104275382</v>
      </c>
      <c r="AL617" s="18" t="n">
        <f aca="false">IFERROR(100*J617/H617,"")</f>
        <v>75.5099537814041</v>
      </c>
      <c r="AM617" s="18" t="n">
        <f aca="false">IFERROR(100*L617/J617,"")</f>
        <v>66.0326388948255</v>
      </c>
      <c r="AN617" s="18" t="n">
        <f aca="false">IFERROR(100*M617/J617,"")</f>
        <v>19.356796635236</v>
      </c>
      <c r="AO617" s="18" t="n">
        <f aca="false">IFERROR(100*N617/J617,"")</f>
        <v>14.5891927472922</v>
      </c>
    </row>
    <row r="618" customFormat="false" ht="15" hidden="false" customHeight="false" outlineLevel="0" collapsed="false">
      <c r="A618" s="17" t="n">
        <v>29743</v>
      </c>
      <c r="B618" s="23" t="n">
        <v>44742</v>
      </c>
      <c r="C618" s="17" t="s">
        <v>140</v>
      </c>
      <c r="D618" s="17" t="s">
        <v>108</v>
      </c>
      <c r="E618" s="17" t="s">
        <v>111</v>
      </c>
      <c r="F618" s="17" t="n">
        <v>176966</v>
      </c>
      <c r="G618" s="17" t="n">
        <v>175500.666666667</v>
      </c>
      <c r="H618" s="17" t="n">
        <v>160168</v>
      </c>
      <c r="I618" s="17" t="n">
        <v>14544</v>
      </c>
      <c r="J618" s="17" t="n">
        <v>118848</v>
      </c>
      <c r="K618" s="17" t="n">
        <v>117284</v>
      </c>
      <c r="L618" s="17" t="n">
        <v>78376</v>
      </c>
      <c r="M618" s="17" t="n">
        <v>21981</v>
      </c>
      <c r="N618" s="17" t="n">
        <v>18389</v>
      </c>
      <c r="O618" s="17" t="n">
        <v>467</v>
      </c>
      <c r="P618" s="17" t="n">
        <v>84</v>
      </c>
      <c r="Q618" s="17" t="n">
        <v>0</v>
      </c>
      <c r="R618" s="17" t="n">
        <v>196</v>
      </c>
      <c r="S618" s="17" t="n">
        <v>18037</v>
      </c>
      <c r="T618" s="17" t="n">
        <v>102411</v>
      </c>
      <c r="U618" s="17" t="n">
        <v>1322</v>
      </c>
      <c r="V618" s="17" t="n">
        <v>0.753273491838588</v>
      </c>
      <c r="W618" s="17" t="n">
        <v>8.46</v>
      </c>
      <c r="X618" s="17" t="n">
        <v>2.56107379395051</v>
      </c>
      <c r="Y618" s="17" t="n">
        <v>0.363489499192246</v>
      </c>
      <c r="Z618" s="17" t="n">
        <v>17.6123658591362</v>
      </c>
      <c r="AA618" s="17" t="n">
        <v>8.21852785280789</v>
      </c>
      <c r="AB618" s="17"/>
      <c r="AC618" s="17"/>
      <c r="AD618" s="17"/>
      <c r="AE618" s="17"/>
      <c r="AF618" s="17"/>
      <c r="AG618" s="18" t="n">
        <f aca="false">IFERROR(100*O618/F618,"")</f>
        <v>0.263892499124126</v>
      </c>
      <c r="AH618" s="18" t="n">
        <f aca="false">IFERROR(100*(P618+Q618)/F618,"")</f>
        <v>0.047466745024468</v>
      </c>
      <c r="AI618" s="18" t="n">
        <f aca="false">IFERROR(100*R618/K618,"")</f>
        <v>0.167115719109171</v>
      </c>
      <c r="AJ618" s="18" t="n">
        <f aca="false">IF(T618&gt;0,100*S618/T618,"")</f>
        <v>17.6123658591362</v>
      </c>
      <c r="AK618" s="18" t="n">
        <f aca="false">IFERROR(100*U618/G618,"")</f>
        <v>0.753273491838587</v>
      </c>
      <c r="AL618" s="18" t="n">
        <f aca="false">IFERROR(100*J618/H618,"")</f>
        <v>74.2020878078018</v>
      </c>
      <c r="AM618" s="18" t="n">
        <f aca="false">IFERROR(100*L618/J618,"")</f>
        <v>65.9464189553043</v>
      </c>
      <c r="AN618" s="18" t="n">
        <f aca="false">IFERROR(100*M618/J618,"")</f>
        <v>18.4950525040388</v>
      </c>
      <c r="AO618" s="18" t="n">
        <f aca="false">IFERROR(100*N618/J618,"")</f>
        <v>15.4727046311255</v>
      </c>
    </row>
    <row r="619" customFormat="false" ht="15" hidden="false" customHeight="false" outlineLevel="0" collapsed="false">
      <c r="A619" s="17" t="n">
        <v>29743</v>
      </c>
      <c r="B619" s="23" t="n">
        <v>44834</v>
      </c>
      <c r="C619" s="17" t="s">
        <v>140</v>
      </c>
      <c r="D619" s="17" t="s">
        <v>108</v>
      </c>
      <c r="E619" s="17" t="s">
        <v>111</v>
      </c>
      <c r="F619" s="17" t="n">
        <v>179520</v>
      </c>
      <c r="G619" s="17" t="n">
        <v>176505.5</v>
      </c>
      <c r="H619" s="17" t="n">
        <v>163392</v>
      </c>
      <c r="I619" s="17" t="n">
        <v>13788</v>
      </c>
      <c r="J619" s="17" t="n">
        <v>122316</v>
      </c>
      <c r="K619" s="17" t="n">
        <v>118542</v>
      </c>
      <c r="L619" s="17" t="n">
        <v>80448</v>
      </c>
      <c r="M619" s="17" t="n">
        <v>22426</v>
      </c>
      <c r="N619" s="17" t="n">
        <v>19352</v>
      </c>
      <c r="O619" s="17" t="n">
        <v>502</v>
      </c>
      <c r="P619" s="17" t="n">
        <v>493</v>
      </c>
      <c r="Q619" s="17" t="n">
        <v>0</v>
      </c>
      <c r="R619" s="17" t="n">
        <v>170.6624</v>
      </c>
      <c r="S619" s="17" t="n">
        <v>18378</v>
      </c>
      <c r="T619" s="17" t="n">
        <v>104826</v>
      </c>
      <c r="U619" s="17" t="n">
        <v>1375.9656</v>
      </c>
      <c r="V619" s="17" t="n">
        <v>0.779559617122413</v>
      </c>
      <c r="W619" s="17" t="n">
        <v>9.07</v>
      </c>
      <c r="X619" s="17" t="n">
        <v>2.63766137629584</v>
      </c>
      <c r="Y619" s="17" t="n">
        <v>0.328656921416659</v>
      </c>
      <c r="Z619" s="17" t="n">
        <v>17.5319100223227</v>
      </c>
      <c r="AA619" s="17" t="n">
        <v>7.68048128342246</v>
      </c>
      <c r="AB619" s="17"/>
      <c r="AC619" s="17"/>
      <c r="AD619" s="17"/>
      <c r="AE619" s="17"/>
      <c r="AF619" s="17"/>
      <c r="AG619" s="18" t="n">
        <f aca="false">IFERROR(100*O619/F619,"")</f>
        <v>0.279634581105169</v>
      </c>
      <c r="AH619" s="18" t="n">
        <f aca="false">IFERROR(100*(P619+Q619)/F619,"")</f>
        <v>0.274621212121212</v>
      </c>
      <c r="AI619" s="18" t="n">
        <f aca="false">IFERROR(100*R619/K619,"")</f>
        <v>0.143967876364495</v>
      </c>
      <c r="AJ619" s="18" t="n">
        <f aca="false">IF(T619&gt;0,100*S619/T619,"")</f>
        <v>17.5319100223227</v>
      </c>
      <c r="AK619" s="18" t="n">
        <f aca="false">IFERROR(100*U619/G619,"")</f>
        <v>0.779559617122413</v>
      </c>
      <c r="AL619" s="18" t="n">
        <f aca="false">IFERROR(100*J619/H619,"")</f>
        <v>74.8604582843713</v>
      </c>
      <c r="AM619" s="18" t="n">
        <f aca="false">IFERROR(100*L619/J619,"")</f>
        <v>65.7706269008143</v>
      </c>
      <c r="AN619" s="18" t="n">
        <f aca="false">IFERROR(100*M619/J619,"")</f>
        <v>18.3344779096766</v>
      </c>
      <c r="AO619" s="18" t="n">
        <f aca="false">IFERROR(100*N619/J619,"")</f>
        <v>15.8213152817293</v>
      </c>
    </row>
    <row r="620" customFormat="false" ht="15" hidden="false" customHeight="false" outlineLevel="0" collapsed="false">
      <c r="A620" s="17" t="n">
        <v>29743</v>
      </c>
      <c r="B620" s="23" t="n">
        <v>44926</v>
      </c>
      <c r="C620" s="17" t="s">
        <v>140</v>
      </c>
      <c r="D620" s="17" t="s">
        <v>108</v>
      </c>
      <c r="E620" s="17" t="s">
        <v>111</v>
      </c>
      <c r="F620" s="17" t="n">
        <v>185569</v>
      </c>
      <c r="G620" s="17" t="n">
        <v>178318.2</v>
      </c>
      <c r="H620" s="17" t="n">
        <v>165554</v>
      </c>
      <c r="I620" s="17" t="n">
        <v>15292</v>
      </c>
      <c r="J620" s="17" t="n">
        <v>123871</v>
      </c>
      <c r="K620" s="17" t="n">
        <v>119607.8</v>
      </c>
      <c r="L620" s="17" t="n">
        <v>81025</v>
      </c>
      <c r="M620" s="17" t="n">
        <v>22468</v>
      </c>
      <c r="N620" s="17" t="n">
        <v>20308</v>
      </c>
      <c r="O620" s="17" t="n">
        <v>643</v>
      </c>
      <c r="P620" s="17" t="n">
        <v>910</v>
      </c>
      <c r="Q620" s="17" t="n">
        <v>0</v>
      </c>
      <c r="R620" s="17" t="n">
        <v>128</v>
      </c>
      <c r="S620" s="17" t="n">
        <v>18738</v>
      </c>
      <c r="T620" s="17" t="n">
        <v>105181</v>
      </c>
      <c r="U620" s="17" t="n">
        <v>1391</v>
      </c>
      <c r="V620" s="17" t="n">
        <v>0.780066196271609</v>
      </c>
      <c r="W620" s="17" t="n">
        <v>9.16</v>
      </c>
      <c r="X620" s="17" t="n">
        <v>2.65814854829539</v>
      </c>
      <c r="Y620" s="17" t="n">
        <v>0.324531165486676</v>
      </c>
      <c r="Z620" s="17" t="n">
        <v>17.815004611099</v>
      </c>
      <c r="AA620" s="17" t="n">
        <v>8.24060053133875</v>
      </c>
      <c r="AB620" s="17"/>
      <c r="AC620" s="17"/>
      <c r="AD620" s="17"/>
      <c r="AE620" s="17"/>
      <c r="AF620" s="17"/>
      <c r="AG620" s="18" t="n">
        <f aca="false">IFERROR(100*O620/F620,"")</f>
        <v>0.346501840285824</v>
      </c>
      <c r="AH620" s="18" t="n">
        <f aca="false">IFERROR(100*(P620+Q620)/F620,"")</f>
        <v>0.490383630886624</v>
      </c>
      <c r="AI620" s="18" t="n">
        <f aca="false">IFERROR(100*R620/K620,"")</f>
        <v>0.107016432038713</v>
      </c>
      <c r="AJ620" s="18" t="n">
        <f aca="false">IF(T620&gt;0,100*S620/T620,"")</f>
        <v>17.815004611099</v>
      </c>
      <c r="AK620" s="18" t="n">
        <f aca="false">IFERROR(100*U620/G620,"")</f>
        <v>0.780066196271609</v>
      </c>
      <c r="AL620" s="18" t="n">
        <f aca="false">IFERROR(100*J620/H620,"")</f>
        <v>74.8221124225328</v>
      </c>
      <c r="AM620" s="18" t="n">
        <f aca="false">IFERROR(100*L620/J620,"")</f>
        <v>65.4107902576067</v>
      </c>
      <c r="AN620" s="18" t="n">
        <f aca="false">IFERROR(100*M620/J620,"")</f>
        <v>18.1382244431707</v>
      </c>
      <c r="AO620" s="18" t="n">
        <f aca="false">IFERROR(100*N620/J620,"")</f>
        <v>16.3944748972722</v>
      </c>
    </row>
    <row r="621" customFormat="false" ht="15" hidden="false" customHeight="false" outlineLevel="0" collapsed="false">
      <c r="A621" s="17" t="n">
        <v>29743</v>
      </c>
      <c r="B621" s="23" t="n">
        <v>45016</v>
      </c>
      <c r="C621" s="17" t="s">
        <v>140</v>
      </c>
      <c r="D621" s="17" t="s">
        <v>108</v>
      </c>
      <c r="E621" s="17" t="s">
        <v>111</v>
      </c>
      <c r="F621" s="17" t="n">
        <v>189487</v>
      </c>
      <c r="G621" s="17" t="n">
        <v>187528</v>
      </c>
      <c r="H621" s="17" t="n">
        <v>163950</v>
      </c>
      <c r="I621" s="17" t="n">
        <v>16226</v>
      </c>
      <c r="J621" s="17" t="n">
        <v>126279</v>
      </c>
      <c r="K621" s="17" t="n">
        <v>125075</v>
      </c>
      <c r="L621" s="17" t="n">
        <v>80937</v>
      </c>
      <c r="M621" s="17" t="n">
        <v>24692</v>
      </c>
      <c r="N621" s="17" t="n">
        <v>20551</v>
      </c>
      <c r="O621" s="17" t="n">
        <v>203</v>
      </c>
      <c r="P621" s="17" t="n">
        <v>607</v>
      </c>
      <c r="Q621" s="17" t="n">
        <v>0</v>
      </c>
      <c r="R621" s="17" t="n">
        <v>0</v>
      </c>
      <c r="S621" s="17" t="n">
        <v>19174</v>
      </c>
      <c r="T621" s="17" t="n">
        <v>107060</v>
      </c>
      <c r="U621" s="17" t="n">
        <v>1332</v>
      </c>
      <c r="V621" s="17" t="n">
        <v>0.71029392943987</v>
      </c>
      <c r="W621" s="17" t="n">
        <v>8.45</v>
      </c>
      <c r="X621" s="17" t="n">
        <v>2.47345429828997</v>
      </c>
      <c r="Y621" s="17" t="n">
        <v>0.754678133339669</v>
      </c>
      <c r="Z621" s="17" t="n">
        <v>17.9095834111713</v>
      </c>
      <c r="AA621" s="17" t="n">
        <v>8.5631204251479</v>
      </c>
      <c r="AB621" s="17" t="n">
        <v>9.64413840990626</v>
      </c>
      <c r="AC621" s="17" t="n">
        <v>7.95199056224727</v>
      </c>
      <c r="AD621" s="17" t="n">
        <v>5.83154741924656</v>
      </c>
      <c r="AE621" s="17" t="n">
        <v>0.101486825164488</v>
      </c>
      <c r="AF621" s="17" t="n">
        <v>-0.148626075547022</v>
      </c>
      <c r="AG621" s="18" t="n">
        <f aca="false">IFERROR(100*O621/F621,"")</f>
        <v>0.107131359934982</v>
      </c>
      <c r="AH621" s="18" t="n">
        <f aca="false">IFERROR(100*(P621+Q621)/F621,"")</f>
        <v>0.320338598426277</v>
      </c>
      <c r="AI621" s="18" t="n">
        <f aca="false">IFERROR(100*R621/K621,"")</f>
        <v>0</v>
      </c>
      <c r="AJ621" s="18" t="n">
        <f aca="false">IF(T621&gt;0,100*S621/T621,"")</f>
        <v>17.9095834111713</v>
      </c>
      <c r="AK621" s="18" t="n">
        <f aca="false">IFERROR(100*U621/G621,"")</f>
        <v>0.71029392943987</v>
      </c>
      <c r="AL621" s="18" t="n">
        <f aca="false">IFERROR(100*J621/H621,"")</f>
        <v>77.0228728270814</v>
      </c>
      <c r="AM621" s="18" t="n">
        <f aca="false">IFERROR(100*L621/J621,"")</f>
        <v>64.0937923170123</v>
      </c>
      <c r="AN621" s="18" t="n">
        <f aca="false">IFERROR(100*M621/J621,"")</f>
        <v>19.5535282984503</v>
      </c>
      <c r="AO621" s="18" t="n">
        <f aca="false">IFERROR(100*N621/J621,"")</f>
        <v>16.2742815511684</v>
      </c>
    </row>
    <row r="622" customFormat="false" ht="15" hidden="false" customHeight="false" outlineLevel="0" collapsed="false">
      <c r="A622" s="17" t="n">
        <v>29743</v>
      </c>
      <c r="B622" s="23" t="n">
        <v>45107</v>
      </c>
      <c r="C622" s="17" t="s">
        <v>140</v>
      </c>
      <c r="D622" s="17" t="s">
        <v>108</v>
      </c>
      <c r="E622" s="17" t="s">
        <v>111</v>
      </c>
      <c r="F622" s="17" t="n">
        <v>185445</v>
      </c>
      <c r="G622" s="17" t="n">
        <v>186833.666666667</v>
      </c>
      <c r="H622" s="17" t="n">
        <v>165388</v>
      </c>
      <c r="I622" s="17" t="n">
        <v>15742</v>
      </c>
      <c r="J622" s="17" t="n">
        <v>130074</v>
      </c>
      <c r="K622" s="17" t="n">
        <v>126741.333333333</v>
      </c>
      <c r="L622" s="17" t="n">
        <v>81523</v>
      </c>
      <c r="M622" s="17" t="n">
        <v>27495</v>
      </c>
      <c r="N622" s="17" t="n">
        <v>20952</v>
      </c>
      <c r="O622" s="17" t="n">
        <v>624</v>
      </c>
      <c r="P622" s="17" t="n">
        <v>575</v>
      </c>
      <c r="Q622" s="17" t="n">
        <v>0</v>
      </c>
      <c r="R622" s="17" t="n">
        <v>16</v>
      </c>
      <c r="S622" s="17" t="n">
        <v>19388</v>
      </c>
      <c r="T622" s="17" t="n">
        <v>109820</v>
      </c>
      <c r="U622" s="17" t="n">
        <v>1108</v>
      </c>
      <c r="V622" s="17" t="n">
        <v>0.593040868794168</v>
      </c>
      <c r="W622" s="17" t="n">
        <v>7.03</v>
      </c>
      <c r="X622" s="17" t="n">
        <v>2.39838700420097</v>
      </c>
      <c r="Y622" s="17" t="n">
        <v>0.72650952534711</v>
      </c>
      <c r="Z622" s="17" t="n">
        <v>17.6543434711346</v>
      </c>
      <c r="AA622" s="17" t="n">
        <v>8.48877025533177</v>
      </c>
      <c r="AB622" s="17" t="n">
        <v>4.79131584598171</v>
      </c>
      <c r="AC622" s="17" t="n">
        <v>9.44567851373181</v>
      </c>
      <c r="AD622" s="17" t="n">
        <v>3.25907796813345</v>
      </c>
      <c r="AE622" s="17" t="n">
        <v>-0.160232623044419</v>
      </c>
      <c r="AF622" s="17" t="n">
        <v>0.0725954083416999</v>
      </c>
      <c r="AG622" s="18" t="n">
        <f aca="false">IFERROR(100*O622/F622,"")</f>
        <v>0.336487907465825</v>
      </c>
      <c r="AH622" s="18" t="n">
        <f aca="false">IFERROR(100*(P622+Q622)/F622,"")</f>
        <v>0.310064978834695</v>
      </c>
      <c r="AI622" s="18" t="n">
        <f aca="false">IFERROR(100*R622/K622,"")</f>
        <v>0.0126241373506144</v>
      </c>
      <c r="AJ622" s="18" t="n">
        <f aca="false">IF(T622&gt;0,100*S622/T622,"")</f>
        <v>17.6543434711346</v>
      </c>
      <c r="AK622" s="18" t="n">
        <f aca="false">IFERROR(100*U622/G622,"")</f>
        <v>0.593040868794168</v>
      </c>
      <c r="AL622" s="18" t="n">
        <f aca="false">IFERROR(100*J622/H622,"")</f>
        <v>78.6477858127555</v>
      </c>
      <c r="AM622" s="18" t="n">
        <f aca="false">IFERROR(100*L622/J622,"")</f>
        <v>62.6743238464259</v>
      </c>
      <c r="AN622" s="18" t="n">
        <f aca="false">IFERROR(100*M622/J622,"")</f>
        <v>21.1379676184326</v>
      </c>
      <c r="AO622" s="18" t="n">
        <f aca="false">IFERROR(100*N622/J622,"")</f>
        <v>16.1077540476959</v>
      </c>
    </row>
    <row r="623" customFormat="false" ht="15" hidden="false" customHeight="false" outlineLevel="0" collapsed="false">
      <c r="A623" s="17" t="n">
        <v>29743</v>
      </c>
      <c r="B623" s="23" t="n">
        <v>45199</v>
      </c>
      <c r="C623" s="17" t="s">
        <v>140</v>
      </c>
      <c r="D623" s="17" t="s">
        <v>108</v>
      </c>
      <c r="E623" s="17" t="s">
        <v>111</v>
      </c>
      <c r="F623" s="17" t="n">
        <v>181231</v>
      </c>
      <c r="G623" s="17" t="n">
        <v>185433</v>
      </c>
      <c r="H623" s="17" t="n">
        <v>161163</v>
      </c>
      <c r="I623" s="17" t="n">
        <v>15641</v>
      </c>
      <c r="J623" s="17" t="n">
        <v>132637</v>
      </c>
      <c r="K623" s="17" t="n">
        <v>128215.25</v>
      </c>
      <c r="L623" s="17" t="n">
        <v>83811</v>
      </c>
      <c r="M623" s="17" t="n">
        <v>27176</v>
      </c>
      <c r="N623" s="17" t="n">
        <v>21550</v>
      </c>
      <c r="O623" s="17" t="n">
        <v>267</v>
      </c>
      <c r="P623" s="17" t="n">
        <v>442</v>
      </c>
      <c r="Q623" s="17" t="n">
        <v>0</v>
      </c>
      <c r="R623" s="17" t="n">
        <v>11.9997</v>
      </c>
      <c r="S623" s="17" t="n">
        <v>19685</v>
      </c>
      <c r="T623" s="17" t="n">
        <v>109500</v>
      </c>
      <c r="U623" s="17" t="n">
        <v>1130.6384</v>
      </c>
      <c r="V623" s="17" t="n">
        <v>0.609728796923956</v>
      </c>
      <c r="W623" s="17" t="n">
        <v>7.19</v>
      </c>
      <c r="X623" s="17" t="n">
        <v>2.41981937458205</v>
      </c>
      <c r="Y623" s="17" t="n">
        <v>0.714732691481261</v>
      </c>
      <c r="Z623" s="17" t="n">
        <v>17.9771689497717</v>
      </c>
      <c r="AA623" s="17" t="n">
        <v>8.63042194768003</v>
      </c>
      <c r="AB623" s="17" t="n">
        <v>0.953097147950088</v>
      </c>
      <c r="AC623" s="17" t="n">
        <v>8.43798031328689</v>
      </c>
      <c r="AD623" s="17" t="n">
        <v>-1.36420387779084</v>
      </c>
      <c r="AE623" s="17" t="n">
        <v>-0.169830820198456</v>
      </c>
      <c r="AF623" s="17" t="n">
        <v>-0.132308792470775</v>
      </c>
      <c r="AG623" s="18" t="n">
        <f aca="false">IFERROR(100*O623/F623,"")</f>
        <v>0.147325788634395</v>
      </c>
      <c r="AH623" s="18" t="n">
        <f aca="false">IFERROR(100*(P623+Q623)/F623,"")</f>
        <v>0.243887635117612</v>
      </c>
      <c r="AI623" s="18" t="n">
        <f aca="false">IFERROR(100*R623/K623,"")</f>
        <v>0.00935902710481008</v>
      </c>
      <c r="AJ623" s="18" t="n">
        <f aca="false">IF(T623&gt;0,100*S623/T623,"")</f>
        <v>17.9771689497717</v>
      </c>
      <c r="AK623" s="18" t="n">
        <f aca="false">IFERROR(100*U623/G623,"")</f>
        <v>0.609728796923956</v>
      </c>
      <c r="AL623" s="18" t="n">
        <f aca="false">IFERROR(100*J623/H623,"")</f>
        <v>82.2999075470176</v>
      </c>
      <c r="AM623" s="18" t="n">
        <f aca="false">IFERROR(100*L623/J623,"")</f>
        <v>63.188250638962</v>
      </c>
      <c r="AN623" s="18" t="n">
        <f aca="false">IFERROR(100*M623/J623,"")</f>
        <v>20.4890038224628</v>
      </c>
      <c r="AO623" s="18" t="n">
        <f aca="false">IFERROR(100*N623/J623,"")</f>
        <v>16.2473517947481</v>
      </c>
    </row>
    <row r="624" customFormat="false" ht="15" hidden="false" customHeight="false" outlineLevel="0" collapsed="false">
      <c r="A624" s="17" t="n">
        <v>29743</v>
      </c>
      <c r="B624" s="23" t="n">
        <v>45291</v>
      </c>
      <c r="C624" s="17" t="s">
        <v>140</v>
      </c>
      <c r="D624" s="17" t="s">
        <v>108</v>
      </c>
      <c r="E624" s="17" t="s">
        <v>111</v>
      </c>
      <c r="F624" s="17" t="n">
        <v>188129</v>
      </c>
      <c r="G624" s="17" t="n">
        <v>185972.2</v>
      </c>
      <c r="H624" s="17" t="n">
        <v>163831</v>
      </c>
      <c r="I624" s="17" t="n">
        <v>16795</v>
      </c>
      <c r="J624" s="17" t="n">
        <v>133848</v>
      </c>
      <c r="K624" s="17" t="n">
        <v>129341.8</v>
      </c>
      <c r="L624" s="17" t="n">
        <v>85948</v>
      </c>
      <c r="M624" s="17" t="n">
        <v>26224</v>
      </c>
      <c r="N624" s="17" t="n">
        <v>21579</v>
      </c>
      <c r="O624" s="17" t="n">
        <v>436</v>
      </c>
      <c r="P624" s="17" t="n">
        <v>573</v>
      </c>
      <c r="Q624" s="17" t="n">
        <v>0</v>
      </c>
      <c r="R624" s="17" t="n">
        <v>10</v>
      </c>
      <c r="S624" s="17" t="n">
        <v>19768</v>
      </c>
      <c r="T624" s="17" t="n">
        <v>110882</v>
      </c>
      <c r="U624" s="17" t="n">
        <v>987</v>
      </c>
      <c r="V624" s="17" t="n">
        <v>0.530724484627272</v>
      </c>
      <c r="W624" s="17" t="n">
        <v>6.19</v>
      </c>
      <c r="X624" s="17" t="n">
        <v>2.35417694416758</v>
      </c>
      <c r="Y624" s="17" t="n">
        <v>0.666427589504513</v>
      </c>
      <c r="Z624" s="17" t="n">
        <v>17.8279612561101</v>
      </c>
      <c r="AA624" s="17" t="n">
        <v>8.92738493267917</v>
      </c>
      <c r="AB624" s="17" t="n">
        <v>1.37954076381293</v>
      </c>
      <c r="AC624" s="17" t="n">
        <v>8.05434686084716</v>
      </c>
      <c r="AD624" s="17" t="n">
        <v>-1.04074803387414</v>
      </c>
      <c r="AE624" s="17" t="n">
        <v>-0.249341711644337</v>
      </c>
      <c r="AF624" s="17" t="n">
        <v>-0.114745970643185</v>
      </c>
      <c r="AG624" s="18" t="n">
        <f aca="false">IFERROR(100*O624/F624,"")</f>
        <v>0.231755869642639</v>
      </c>
      <c r="AH624" s="18" t="n">
        <f aca="false">IFERROR(100*(P624+Q624)/F624,"")</f>
        <v>0.304578241525762</v>
      </c>
      <c r="AI624" s="18" t="n">
        <f aca="false">IFERROR(100*R624/K624,"")</f>
        <v>0.00773145263170916</v>
      </c>
      <c r="AJ624" s="18" t="n">
        <f aca="false">IF(T624&gt;0,100*S624/T624,"")</f>
        <v>17.8279612561101</v>
      </c>
      <c r="AK624" s="18" t="n">
        <f aca="false">IFERROR(100*U624/G624,"")</f>
        <v>0.530724484627272</v>
      </c>
      <c r="AL624" s="18" t="n">
        <f aca="false">IFERROR(100*J624/H624,"")</f>
        <v>81.6988237879278</v>
      </c>
      <c r="AM624" s="18" t="n">
        <f aca="false">IFERROR(100*L624/J624,"")</f>
        <v>64.2131372900604</v>
      </c>
      <c r="AN624" s="18" t="n">
        <f aca="false">IFERROR(100*M624/J624,"")</f>
        <v>19.5923734385273</v>
      </c>
      <c r="AO624" s="18" t="n">
        <f aca="false">IFERROR(100*N624/J624,"")</f>
        <v>16.1220190066344</v>
      </c>
    </row>
    <row r="625" customFormat="false" ht="15" hidden="false" customHeight="false" outlineLevel="0" collapsed="false">
      <c r="A625" s="17" t="n">
        <v>29743</v>
      </c>
      <c r="B625" s="23" t="n">
        <v>45382</v>
      </c>
      <c r="C625" s="17" t="s">
        <v>140</v>
      </c>
      <c r="D625" s="17" t="s">
        <v>108</v>
      </c>
      <c r="E625" s="17" t="s">
        <v>111</v>
      </c>
      <c r="F625" s="17" t="n">
        <v>184760</v>
      </c>
      <c r="G625" s="17" t="n">
        <v>186444.5</v>
      </c>
      <c r="H625" s="17" t="n">
        <v>160737</v>
      </c>
      <c r="I625" s="17" t="n">
        <v>16808</v>
      </c>
      <c r="J625" s="17" t="n">
        <v>133015</v>
      </c>
      <c r="K625" s="17" t="n">
        <v>133431.5</v>
      </c>
      <c r="L625" s="17" t="n">
        <v>85228</v>
      </c>
      <c r="M625" s="17" t="n">
        <v>26800</v>
      </c>
      <c r="N625" s="17" t="n">
        <v>20933</v>
      </c>
      <c r="O625" s="17" t="n">
        <v>140</v>
      </c>
      <c r="P625" s="17" t="n">
        <v>596</v>
      </c>
      <c r="Q625" s="17" t="n">
        <v>0</v>
      </c>
      <c r="R625" s="17" t="n">
        <v>0</v>
      </c>
      <c r="S625" s="17" t="n">
        <v>19909</v>
      </c>
      <c r="T625" s="17" t="n">
        <v>108772</v>
      </c>
      <c r="U625" s="17" t="n">
        <v>560</v>
      </c>
      <c r="V625" s="17" t="n">
        <v>0.300357479035316</v>
      </c>
      <c r="W625" s="17" t="n">
        <v>3.33</v>
      </c>
      <c r="X625" s="17" t="n">
        <v>2.19674669047229</v>
      </c>
      <c r="Y625" s="17" t="n">
        <v>0.670601060030824</v>
      </c>
      <c r="Z625" s="17" t="n">
        <v>18.3034236752105</v>
      </c>
      <c r="AA625" s="17" t="n">
        <v>9.09720718770297</v>
      </c>
      <c r="AB625" s="17" t="n">
        <v>-2.49463023848602</v>
      </c>
      <c r="AC625" s="17" t="n">
        <v>5.33422025831689</v>
      </c>
      <c r="AD625" s="17" t="n">
        <v>-1.95974382433669</v>
      </c>
      <c r="AE625" s="17" t="n">
        <v>-0.409936450404554</v>
      </c>
      <c r="AF625" s="17" t="n">
        <v>-0.0313573828836725</v>
      </c>
      <c r="AG625" s="18" t="n">
        <f aca="false">IFERROR(100*O625/F625,"")</f>
        <v>0.0757739770513098</v>
      </c>
      <c r="AH625" s="18" t="n">
        <f aca="false">IFERROR(100*(P625+Q625)/F625,"")</f>
        <v>0.32258064516129</v>
      </c>
      <c r="AI625" s="18" t="n">
        <f aca="false">IFERROR(100*R625/K625,"")</f>
        <v>0</v>
      </c>
      <c r="AJ625" s="18" t="n">
        <f aca="false">IF(T625&gt;0,100*S625/T625,"")</f>
        <v>18.3034236752105</v>
      </c>
      <c r="AK625" s="18" t="n">
        <f aca="false">IFERROR(100*U625/G625,"")</f>
        <v>0.300357479035316</v>
      </c>
      <c r="AL625" s="18" t="n">
        <f aca="false">IFERROR(100*J625/H625,"")</f>
        <v>82.7531931042635</v>
      </c>
      <c r="AM625" s="18" t="n">
        <f aca="false">IFERROR(100*L625/J625,"")</f>
        <v>64.0739766191783</v>
      </c>
      <c r="AN625" s="18" t="n">
        <f aca="false">IFERROR(100*M625/J625,"")</f>
        <v>20.1481035973386</v>
      </c>
      <c r="AO625" s="18" t="n">
        <f aca="false">IFERROR(100*N625/J625,"")</f>
        <v>15.7373228583243</v>
      </c>
    </row>
    <row r="626" customFormat="false" ht="15" hidden="false" customHeight="false" outlineLevel="0" collapsed="false">
      <c r="A626" s="17" t="n">
        <v>29743</v>
      </c>
      <c r="B626" s="23" t="n">
        <v>45473</v>
      </c>
      <c r="C626" s="17" t="s">
        <v>140</v>
      </c>
      <c r="D626" s="17" t="s">
        <v>108</v>
      </c>
      <c r="E626" s="17" t="s">
        <v>111</v>
      </c>
      <c r="F626" s="17" t="n">
        <v>189887</v>
      </c>
      <c r="G626" s="17" t="n">
        <v>187592</v>
      </c>
      <c r="H626" s="17" t="n">
        <v>166017</v>
      </c>
      <c r="I626" s="17" t="n">
        <v>17099</v>
      </c>
      <c r="J626" s="17" t="n">
        <v>133832</v>
      </c>
      <c r="K626" s="17" t="n">
        <v>133565</v>
      </c>
      <c r="L626" s="17" t="n">
        <v>86883</v>
      </c>
      <c r="M626" s="17" t="n">
        <v>25921</v>
      </c>
      <c r="N626" s="17" t="n">
        <v>20978</v>
      </c>
      <c r="O626" s="17" t="n">
        <v>167</v>
      </c>
      <c r="P626" s="17" t="n">
        <v>907</v>
      </c>
      <c r="Q626" s="17" t="n">
        <v>0</v>
      </c>
      <c r="R626" s="17" t="n">
        <v>-34</v>
      </c>
      <c r="S626" s="17" t="n">
        <v>20024</v>
      </c>
      <c r="T626" s="17" t="n">
        <v>109170</v>
      </c>
      <c r="U626" s="17" t="n">
        <v>556</v>
      </c>
      <c r="V626" s="17" t="n">
        <v>0.296387905667619</v>
      </c>
      <c r="W626" s="17" t="n">
        <v>3.29</v>
      </c>
      <c r="X626" s="17" t="n">
        <v>2.15546538885176</v>
      </c>
      <c r="Y626" s="17" t="n">
        <v>0.649321537449937</v>
      </c>
      <c r="Z626" s="17" t="n">
        <v>18.342035357699</v>
      </c>
      <c r="AA626" s="17" t="n">
        <v>9.00482918788543</v>
      </c>
      <c r="AB626" s="17" t="n">
        <v>2.39531936692821</v>
      </c>
      <c r="AC626" s="17" t="n">
        <v>2.8891246521211</v>
      </c>
      <c r="AD626" s="17" t="n">
        <v>0.380317798147378</v>
      </c>
      <c r="AE626" s="17" t="n">
        <v>-0.296652963126549</v>
      </c>
      <c r="AF626" s="17" t="n">
        <v>-0.248540865277577</v>
      </c>
      <c r="AG626" s="18" t="n">
        <f aca="false">IFERROR(100*O626/F626,"")</f>
        <v>0.0879470421882488</v>
      </c>
      <c r="AH626" s="18" t="n">
        <f aca="false">IFERROR(100*(P626+Q626)/F626,"")</f>
        <v>0.477652498591267</v>
      </c>
      <c r="AI626" s="18" t="n">
        <f aca="false">IFERROR(100*R626/K626,"")</f>
        <v>-0.025455770598585</v>
      </c>
      <c r="AJ626" s="18" t="n">
        <f aca="false">IF(T626&gt;0,100*S626/T626,"")</f>
        <v>18.342035357699</v>
      </c>
      <c r="AK626" s="18" t="n">
        <f aca="false">IFERROR(100*U626/G626,"")</f>
        <v>0.296387905667619</v>
      </c>
      <c r="AL626" s="18" t="n">
        <f aca="false">IFERROR(100*J626/H626,"")</f>
        <v>80.6134311546408</v>
      </c>
      <c r="AM626" s="18" t="n">
        <f aca="false">IFERROR(100*L626/J626,"")</f>
        <v>64.9194512523163</v>
      </c>
      <c r="AN626" s="18" t="n">
        <f aca="false">IFERROR(100*M626/J626,"")</f>
        <v>19.3683125112081</v>
      </c>
      <c r="AO626" s="18" t="n">
        <f aca="false">IFERROR(100*N626/J626,"")</f>
        <v>15.674875963895</v>
      </c>
    </row>
    <row r="627" customFormat="false" ht="15" hidden="false" customHeight="false" outlineLevel="0" collapsed="false">
      <c r="A627" s="17" t="n">
        <v>29743</v>
      </c>
      <c r="B627" s="23" t="n">
        <v>45565</v>
      </c>
      <c r="C627" s="17" t="s">
        <v>140</v>
      </c>
      <c r="D627" s="17" t="s">
        <v>108</v>
      </c>
      <c r="E627" s="17" t="s">
        <v>111</v>
      </c>
      <c r="F627" s="17" t="n">
        <v>194865</v>
      </c>
      <c r="G627" s="17" t="n">
        <v>189410.25</v>
      </c>
      <c r="H627" s="17" t="n">
        <v>169632</v>
      </c>
      <c r="I627" s="17" t="n">
        <v>18304</v>
      </c>
      <c r="J627" s="17" t="n">
        <v>135474</v>
      </c>
      <c r="K627" s="17" t="n">
        <v>134042.25</v>
      </c>
      <c r="L627" s="17" t="n">
        <v>88755</v>
      </c>
      <c r="M627" s="17" t="n">
        <v>25149</v>
      </c>
      <c r="N627" s="17" t="n">
        <v>21525</v>
      </c>
      <c r="O627" s="17" t="n">
        <v>713</v>
      </c>
      <c r="P627" s="17" t="n">
        <v>555</v>
      </c>
      <c r="Q627" s="17" t="n">
        <v>0</v>
      </c>
      <c r="R627" s="17" t="n">
        <v>-9.3331</v>
      </c>
      <c r="S627" s="17" t="n">
        <v>20172</v>
      </c>
      <c r="T627" s="17" t="n">
        <v>110667</v>
      </c>
      <c r="U627" s="17" t="n">
        <v>582.6521</v>
      </c>
      <c r="V627" s="17" t="n">
        <v>0.307613817098072</v>
      </c>
      <c r="W627" s="17" t="n">
        <v>3.38</v>
      </c>
      <c r="X627" s="17" t="n">
        <v>2.17302516204695</v>
      </c>
      <c r="Y627" s="17" t="n">
        <v>0.634070006052822</v>
      </c>
      <c r="Z627" s="17" t="n">
        <v>18.2276559407954</v>
      </c>
      <c r="AA627" s="17" t="n">
        <v>9.39316963025684</v>
      </c>
      <c r="AB627" s="17" t="n">
        <v>7.5229955140125</v>
      </c>
      <c r="AC627" s="17" t="n">
        <v>2.13892051237588</v>
      </c>
      <c r="AD627" s="17" t="n">
        <v>5.25492824035294</v>
      </c>
      <c r="AE627" s="17" t="n">
        <v>-0.302114979825885</v>
      </c>
      <c r="AF627" s="17" t="n">
        <v>0.218568548470781</v>
      </c>
      <c r="AG627" s="18" t="n">
        <f aca="false">IFERROR(100*O627/F627,"")</f>
        <v>0.365894337105175</v>
      </c>
      <c r="AH627" s="18" t="n">
        <f aca="false">IFERROR(100*(P627+Q627)/F627,"")</f>
        <v>0.284812562543299</v>
      </c>
      <c r="AI627" s="18" t="n">
        <f aca="false">IFERROR(100*R627/K627,"")</f>
        <v>-0.00696280463808986</v>
      </c>
      <c r="AJ627" s="18" t="n">
        <f aca="false">IF(T627&gt;0,100*S627/T627,"")</f>
        <v>18.2276559407954</v>
      </c>
      <c r="AK627" s="18" t="n">
        <f aca="false">IFERROR(100*U627/G627,"")</f>
        <v>0.307613817098072</v>
      </c>
      <c r="AL627" s="18" t="n">
        <f aca="false">IFERROR(100*J627/H627,"")</f>
        <v>79.8634691567629</v>
      </c>
      <c r="AM627" s="18" t="n">
        <f aca="false">IFERROR(100*L627/J627,"")</f>
        <v>65.5144160503122</v>
      </c>
      <c r="AN627" s="18" t="n">
        <f aca="false">IFERROR(100*M627/J627,"")</f>
        <v>18.5637096417025</v>
      </c>
      <c r="AO627" s="18" t="n">
        <f aca="false">IFERROR(100*N627/J627,"")</f>
        <v>15.8886576021967</v>
      </c>
    </row>
    <row r="628" customFormat="false" ht="15" hidden="false" customHeight="false" outlineLevel="0" collapsed="false">
      <c r="A628" s="17" t="n">
        <v>29743</v>
      </c>
      <c r="B628" s="23" t="n">
        <v>45657</v>
      </c>
      <c r="C628" s="17" t="s">
        <v>140</v>
      </c>
      <c r="D628" s="17" t="s">
        <v>108</v>
      </c>
      <c r="E628" s="17" t="s">
        <v>111</v>
      </c>
      <c r="F628" s="17" t="n">
        <v>202964</v>
      </c>
      <c r="G628" s="17" t="n">
        <v>192121</v>
      </c>
      <c r="H628" s="17" t="n">
        <v>178152</v>
      </c>
      <c r="I628" s="17" t="n">
        <v>18066</v>
      </c>
      <c r="J628" s="17" t="n">
        <v>135025</v>
      </c>
      <c r="K628" s="17" t="n">
        <v>134238.8</v>
      </c>
      <c r="L628" s="17" t="n">
        <v>88138</v>
      </c>
      <c r="M628" s="17" t="n">
        <v>25569</v>
      </c>
      <c r="N628" s="17" t="n">
        <v>21278</v>
      </c>
      <c r="O628" s="17" t="n">
        <v>647</v>
      </c>
      <c r="P628" s="17" t="n">
        <v>1156</v>
      </c>
      <c r="Q628" s="17" t="n">
        <v>0</v>
      </c>
      <c r="R628" s="17" t="n">
        <v>-7</v>
      </c>
      <c r="S628" s="17" t="n">
        <v>20439</v>
      </c>
      <c r="T628" s="17" t="n">
        <v>110991</v>
      </c>
      <c r="U628" s="17" t="n">
        <v>697</v>
      </c>
      <c r="V628" s="17" t="n">
        <v>0.362792198666465</v>
      </c>
      <c r="W628" s="17" t="n">
        <v>4</v>
      </c>
      <c r="X628" s="17" t="n">
        <v>2.2949156982309</v>
      </c>
      <c r="Y628" s="17" t="n">
        <v>0.639881503425292</v>
      </c>
      <c r="Z628" s="17" t="n">
        <v>18.4150066221586</v>
      </c>
      <c r="AA628" s="17" t="n">
        <v>8.90108590686033</v>
      </c>
      <c r="AB628" s="17" t="n">
        <v>7.88554661960677</v>
      </c>
      <c r="AC628" s="17" t="n">
        <v>0.879355687048</v>
      </c>
      <c r="AD628" s="17" t="n">
        <v>8.7413249018806</v>
      </c>
      <c r="AE628" s="17" t="n">
        <v>-0.167932285960807</v>
      </c>
      <c r="AF628" s="17" t="n">
        <v>0.0870198738389638</v>
      </c>
      <c r="AG628" s="18" t="n">
        <f aca="false">IFERROR(100*O628/F628,"")</f>
        <v>0.318775743481603</v>
      </c>
      <c r="AH628" s="18" t="n">
        <f aca="false">IFERROR(100*(P628+Q628)/F628,"")</f>
        <v>0.569559133639463</v>
      </c>
      <c r="AI628" s="18" t="n">
        <f aca="false">IFERROR(100*R628/K628,"")</f>
        <v>-0.0052145877346937</v>
      </c>
      <c r="AJ628" s="18" t="n">
        <f aca="false">IF(T628&gt;0,100*S628/T628,"")</f>
        <v>18.4150066221586</v>
      </c>
      <c r="AK628" s="18" t="n">
        <f aca="false">IFERROR(100*U628/G628,"")</f>
        <v>0.362792198666465</v>
      </c>
      <c r="AL628" s="18" t="n">
        <f aca="false">IFERROR(100*J628/H628,"")</f>
        <v>75.7920202972742</v>
      </c>
      <c r="AM628" s="18" t="n">
        <f aca="false">IFERROR(100*L628/J628,"")</f>
        <v>65.275319385299</v>
      </c>
      <c r="AN628" s="18" t="n">
        <f aca="false">IFERROR(100*M628/J628,"")</f>
        <v>18.9364932419922</v>
      </c>
      <c r="AO628" s="18" t="n">
        <f aca="false">IFERROR(100*N628/J628,"")</f>
        <v>15.7585632290317</v>
      </c>
    </row>
    <row r="629" customFormat="false" ht="15" hidden="false" customHeight="false" outlineLevel="0" collapsed="false">
      <c r="A629" s="17" t="n">
        <v>29743</v>
      </c>
      <c r="B629" s="23" t="n">
        <v>45747</v>
      </c>
      <c r="C629" s="17" t="s">
        <v>140</v>
      </c>
      <c r="D629" s="17" t="s">
        <v>108</v>
      </c>
      <c r="E629" s="17" t="s">
        <v>111</v>
      </c>
      <c r="F629" s="17" t="n">
        <v>199014</v>
      </c>
      <c r="G629" s="17" t="n">
        <v>200989</v>
      </c>
      <c r="H629" s="17" t="n">
        <v>176536</v>
      </c>
      <c r="I629" s="17" t="n">
        <v>18836</v>
      </c>
      <c r="J629" s="17" t="n">
        <v>136324</v>
      </c>
      <c r="K629" s="17" t="n">
        <v>135674.5</v>
      </c>
      <c r="L629" s="17" t="n">
        <v>87895</v>
      </c>
      <c r="M629" s="17" t="n">
        <v>26500</v>
      </c>
      <c r="N629" s="17" t="n">
        <v>21890</v>
      </c>
      <c r="O629" s="17" t="n">
        <v>448</v>
      </c>
      <c r="P629" s="17" t="n">
        <v>816</v>
      </c>
      <c r="Q629" s="17" t="n">
        <v>0</v>
      </c>
      <c r="R629" s="17" t="n">
        <v>144</v>
      </c>
      <c r="S629" s="17" t="n">
        <v>20708</v>
      </c>
      <c r="T629" s="17" t="n">
        <v>112494</v>
      </c>
      <c r="U629" s="17" t="n">
        <v>1224</v>
      </c>
      <c r="V629" s="17" t="n">
        <v>0.608988551612277</v>
      </c>
      <c r="W629" s="17" t="n">
        <v>6.63</v>
      </c>
      <c r="X629" s="17" t="n">
        <v>2.66721502501885</v>
      </c>
      <c r="Y629" s="17" t="n">
        <v>0.60737654411549</v>
      </c>
      <c r="Z629" s="17" t="n">
        <v>18.4080928760645</v>
      </c>
      <c r="AA629" s="17" t="n">
        <v>9.46466077763374</v>
      </c>
      <c r="AB629" s="17" t="n">
        <v>7.71487334920979</v>
      </c>
      <c r="AC629" s="17" t="n">
        <v>2.48768935834305</v>
      </c>
      <c r="AD629" s="17" t="n">
        <v>9.82909970946329</v>
      </c>
      <c r="AE629" s="17" t="n">
        <v>0.308631072576961</v>
      </c>
      <c r="AF629" s="17" t="n">
        <v>0.149335814219656</v>
      </c>
      <c r="AG629" s="18" t="n">
        <f aca="false">IFERROR(100*O629/F629,"")</f>
        <v>0.225109791270966</v>
      </c>
      <c r="AH629" s="18" t="n">
        <f aca="false">IFERROR(100*(P629+Q629)/F629,"")</f>
        <v>0.410021405529259</v>
      </c>
      <c r="AI629" s="18" t="n">
        <f aca="false">IFERROR(100*R629/K629,"")</f>
        <v>0.106136377874988</v>
      </c>
      <c r="AJ629" s="18" t="n">
        <f aca="false">IF(T629&gt;0,100*S629/T629,"")</f>
        <v>18.4080928760645</v>
      </c>
      <c r="AK629" s="18" t="n">
        <f aca="false">IFERROR(100*U629/G629,"")</f>
        <v>0.608988551612277</v>
      </c>
      <c r="AL629" s="18" t="n">
        <f aca="false">IFERROR(100*J629/H629,"")</f>
        <v>77.2216431775955</v>
      </c>
      <c r="AM629" s="18" t="n">
        <f aca="false">IFERROR(100*L629/J629,"")</f>
        <v>64.4750740882016</v>
      </c>
      <c r="AN629" s="18" t="n">
        <f aca="false">IFERROR(100*M629/J629,"")</f>
        <v>19.4389835978991</v>
      </c>
      <c r="AO629" s="18" t="n">
        <f aca="false">IFERROR(100*N629/J629,"")</f>
        <v>16.0573339984155</v>
      </c>
    </row>
    <row r="630" customFormat="false" ht="15" hidden="false" customHeight="false" outlineLevel="0" collapsed="false">
      <c r="A630" s="17" t="n">
        <v>29743</v>
      </c>
      <c r="B630" s="23" t="n">
        <v>45838</v>
      </c>
      <c r="C630" s="17" t="s">
        <v>140</v>
      </c>
      <c r="D630" s="17" t="s">
        <v>108</v>
      </c>
      <c r="E630" s="17" t="s">
        <v>111</v>
      </c>
      <c r="F630" s="17" t="n">
        <v>200783</v>
      </c>
      <c r="G630" s="17" t="n">
        <v>200920.333333333</v>
      </c>
      <c r="H630" s="17" t="n">
        <v>176912</v>
      </c>
      <c r="I630" s="17" t="n">
        <v>19214</v>
      </c>
      <c r="J630" s="17" t="n">
        <v>140338</v>
      </c>
      <c r="K630" s="17" t="n">
        <v>137229</v>
      </c>
      <c r="L630" s="17" t="n">
        <v>89612</v>
      </c>
      <c r="M630" s="17" t="n">
        <v>26522</v>
      </c>
      <c r="N630" s="17" t="n">
        <v>23119</v>
      </c>
      <c r="O630" s="17" t="n">
        <v>662</v>
      </c>
      <c r="P630" s="17" t="n">
        <v>763</v>
      </c>
      <c r="Q630" s="17" t="n">
        <v>0</v>
      </c>
      <c r="R630" s="17" t="n">
        <v>72</v>
      </c>
      <c r="S630" s="17" t="n">
        <v>20995</v>
      </c>
      <c r="T630" s="17" t="n">
        <v>115811</v>
      </c>
      <c r="U630" s="17" t="n">
        <v>1082</v>
      </c>
      <c r="V630" s="17" t="n">
        <v>0.538521901715605</v>
      </c>
      <c r="W630" s="17" t="n">
        <v>5.78</v>
      </c>
      <c r="X630" s="17" t="n">
        <v>2.75663046959155</v>
      </c>
      <c r="Y630" s="17" t="n">
        <v>0.62705753252861</v>
      </c>
      <c r="Z630" s="17" t="n">
        <v>18.1286751690254</v>
      </c>
      <c r="AA630" s="17" t="n">
        <v>9.56953526942022</v>
      </c>
      <c r="AB630" s="17" t="n">
        <v>5.73814953103689</v>
      </c>
      <c r="AC630" s="17" t="n">
        <v>4.861318668181</v>
      </c>
      <c r="AD630" s="17" t="n">
        <v>6.5625809405061</v>
      </c>
      <c r="AE630" s="17" t="n">
        <v>0.242133996047986</v>
      </c>
      <c r="AF630" s="17" t="n">
        <v>0.241762146338668</v>
      </c>
      <c r="AG630" s="18" t="n">
        <f aca="false">IFERROR(100*O630/F630,"")</f>
        <v>0.329709188526917</v>
      </c>
      <c r="AH630" s="18" t="n">
        <f aca="false">IFERROR(100*(P630+Q630)/F630,"")</f>
        <v>0.38001225203329</v>
      </c>
      <c r="AI630" s="18" t="n">
        <f aca="false">IFERROR(100*R630/K630,"")</f>
        <v>0.0524670441379009</v>
      </c>
      <c r="AJ630" s="18" t="n">
        <f aca="false">IF(T630&gt;0,100*S630/T630,"")</f>
        <v>18.1286751690254</v>
      </c>
      <c r="AK630" s="18" t="n">
        <f aca="false">IFERROR(100*U630/G630,"")</f>
        <v>0.538521901715605</v>
      </c>
      <c r="AL630" s="18" t="n">
        <f aca="false">IFERROR(100*J630/H630,"")</f>
        <v>79.3264447861084</v>
      </c>
      <c r="AM630" s="18" t="n">
        <f aca="false">IFERROR(100*L630/J630,"")</f>
        <v>63.8544086419929</v>
      </c>
      <c r="AN630" s="18" t="n">
        <f aca="false">IFERROR(100*M630/J630,"")</f>
        <v>18.8986589519588</v>
      </c>
      <c r="AO630" s="18" t="n">
        <f aca="false">IFERROR(100*N630/J630,"")</f>
        <v>16.4737989710556</v>
      </c>
    </row>
    <row r="631" customFormat="false" ht="15" hidden="false" customHeight="false" outlineLevel="0" collapsed="false">
      <c r="A631" s="17" t="n">
        <v>29744</v>
      </c>
      <c r="B631" s="23" t="n">
        <v>44651</v>
      </c>
      <c r="C631" s="17" t="s">
        <v>137</v>
      </c>
      <c r="D631" s="17" t="s">
        <v>116</v>
      </c>
      <c r="E631" s="17" t="s">
        <v>118</v>
      </c>
      <c r="F631" s="17" t="n">
        <v>499707</v>
      </c>
      <c r="G631" s="17" t="n">
        <v>493581.5</v>
      </c>
      <c r="H631" s="17" t="n">
        <v>400905</v>
      </c>
      <c r="I631" s="17" t="n">
        <v>46362</v>
      </c>
      <c r="J631" s="17" t="n">
        <v>379456</v>
      </c>
      <c r="K631" s="17" t="n">
        <v>378171.5</v>
      </c>
      <c r="L631" s="17" t="n">
        <v>345285</v>
      </c>
      <c r="M631" s="17" t="n">
        <v>28459</v>
      </c>
      <c r="N631" s="17" t="n">
        <v>5712</v>
      </c>
      <c r="O631" s="17" t="n">
        <v>795</v>
      </c>
      <c r="P631" s="17" t="n">
        <v>138</v>
      </c>
      <c r="Q631" s="17" t="n">
        <v>0</v>
      </c>
      <c r="R631" s="17" t="n">
        <v>32</v>
      </c>
      <c r="S631" s="17" t="n">
        <v>53699</v>
      </c>
      <c r="T631" s="17" t="n">
        <v>310453</v>
      </c>
      <c r="U631" s="17" t="n">
        <v>1576</v>
      </c>
      <c r="V631" s="17" t="n">
        <v>0.319298839198795</v>
      </c>
      <c r="W631" s="17" t="n">
        <v>3.25</v>
      </c>
      <c r="X631" s="17" t="n">
        <v>3.18765437827873</v>
      </c>
      <c r="Y631" s="17" t="n">
        <v>0.959795075054815</v>
      </c>
      <c r="Z631" s="17" t="n">
        <v>17.2969821518877</v>
      </c>
      <c r="AA631" s="17" t="n">
        <v>9.27783681237205</v>
      </c>
      <c r="AB631" s="17"/>
      <c r="AC631" s="17"/>
      <c r="AD631" s="17"/>
      <c r="AE631" s="17"/>
      <c r="AF631" s="17"/>
      <c r="AG631" s="18" t="n">
        <f aca="false">IFERROR(100*O631/F631,"")</f>
        <v>0.159093228631978</v>
      </c>
      <c r="AH631" s="18" t="n">
        <f aca="false">IFERROR(100*(P631+Q631)/F631,"")</f>
        <v>0.0276161830832868</v>
      </c>
      <c r="AI631" s="18" t="n">
        <f aca="false">IFERROR(100*R631/K631,"")</f>
        <v>0.00846176932952377</v>
      </c>
      <c r="AJ631" s="18" t="n">
        <f aca="false">IF(T631&gt;0,100*S631/T631,"")</f>
        <v>17.2969821518877</v>
      </c>
      <c r="AK631" s="18" t="n">
        <f aca="false">IFERROR(100*U631/G631,"")</f>
        <v>0.319298839198795</v>
      </c>
      <c r="AL631" s="18" t="n">
        <f aca="false">IFERROR(100*J631/H631,"")</f>
        <v>94.6498547037328</v>
      </c>
      <c r="AM631" s="18" t="n">
        <f aca="false">IFERROR(100*L631/J631,"")</f>
        <v>90.994739838084</v>
      </c>
      <c r="AN631" s="18" t="n">
        <f aca="false">IFERROR(100*M631/J631,"")</f>
        <v>7.49994729296677</v>
      </c>
      <c r="AO631" s="18" t="n">
        <f aca="false">IFERROR(100*N631/J631,"")</f>
        <v>1.50531286894923</v>
      </c>
    </row>
    <row r="632" customFormat="false" ht="15" hidden="false" customHeight="false" outlineLevel="0" collapsed="false">
      <c r="A632" s="17" t="n">
        <v>29744</v>
      </c>
      <c r="B632" s="23" t="n">
        <v>44742</v>
      </c>
      <c r="C632" s="17" t="s">
        <v>137</v>
      </c>
      <c r="D632" s="17" t="s">
        <v>116</v>
      </c>
      <c r="E632" s="17" t="s">
        <v>118</v>
      </c>
      <c r="F632" s="17" t="n">
        <v>510338</v>
      </c>
      <c r="G632" s="17" t="n">
        <v>499167</v>
      </c>
      <c r="H632" s="17" t="n">
        <v>400169</v>
      </c>
      <c r="I632" s="17" t="n">
        <v>42675</v>
      </c>
      <c r="J632" s="17" t="n">
        <v>384539</v>
      </c>
      <c r="K632" s="17" t="n">
        <v>380294</v>
      </c>
      <c r="L632" s="17" t="n">
        <v>352732</v>
      </c>
      <c r="M632" s="17" t="n">
        <v>24641</v>
      </c>
      <c r="N632" s="17" t="n">
        <v>7166</v>
      </c>
      <c r="O632" s="17" t="n">
        <v>602</v>
      </c>
      <c r="P632" s="17" t="n">
        <v>10</v>
      </c>
      <c r="Q632" s="17" t="n">
        <v>0</v>
      </c>
      <c r="R632" s="17" t="n">
        <v>14</v>
      </c>
      <c r="S632" s="17" t="n">
        <v>54064</v>
      </c>
      <c r="T632" s="17" t="n">
        <v>323717</v>
      </c>
      <c r="U632" s="17" t="n">
        <v>1276</v>
      </c>
      <c r="V632" s="17" t="n">
        <v>0.255625872703925</v>
      </c>
      <c r="W632" s="17" t="n">
        <v>2.74</v>
      </c>
      <c r="X632" s="17" t="n">
        <v>3.18052641179198</v>
      </c>
      <c r="Y632" s="17" t="n">
        <v>0.947368147314057</v>
      </c>
      <c r="Z632" s="17" t="n">
        <v>16.7010073613681</v>
      </c>
      <c r="AA632" s="17" t="n">
        <v>8.36210511464951</v>
      </c>
      <c r="AB632" s="17"/>
      <c r="AC632" s="17"/>
      <c r="AD632" s="17"/>
      <c r="AE632" s="17"/>
      <c r="AF632" s="17"/>
      <c r="AG632" s="18" t="n">
        <f aca="false">IFERROR(100*O632/F632,"")</f>
        <v>0.117961037586854</v>
      </c>
      <c r="AH632" s="18" t="n">
        <f aca="false">IFERROR(100*(P632+Q632)/F632,"")</f>
        <v>0.00195948567420024</v>
      </c>
      <c r="AI632" s="18" t="n">
        <f aca="false">IFERROR(100*R632/K632,"")</f>
        <v>0.0036813623144199</v>
      </c>
      <c r="AJ632" s="18" t="n">
        <f aca="false">IF(T632&gt;0,100*S632/T632,"")</f>
        <v>16.7010073613681</v>
      </c>
      <c r="AK632" s="18" t="n">
        <f aca="false">IFERROR(100*U632/G632,"")</f>
        <v>0.255625872703925</v>
      </c>
      <c r="AL632" s="18" t="n">
        <f aca="false">IFERROR(100*J632/H632,"")</f>
        <v>96.0941502215314</v>
      </c>
      <c r="AM632" s="18" t="n">
        <f aca="false">IFERROR(100*L632/J632,"")</f>
        <v>91.7285372875053</v>
      </c>
      <c r="AN632" s="18" t="n">
        <f aca="false">IFERROR(100*M632/J632,"")</f>
        <v>6.40793261541742</v>
      </c>
      <c r="AO632" s="18" t="n">
        <f aca="false">IFERROR(100*N632/J632,"")</f>
        <v>1.86353009707728</v>
      </c>
    </row>
    <row r="633" customFormat="false" ht="15" hidden="false" customHeight="false" outlineLevel="0" collapsed="false">
      <c r="A633" s="17" t="n">
        <v>29744</v>
      </c>
      <c r="B633" s="23" t="n">
        <v>44834</v>
      </c>
      <c r="C633" s="17" t="s">
        <v>137</v>
      </c>
      <c r="D633" s="17" t="s">
        <v>116</v>
      </c>
      <c r="E633" s="17" t="s">
        <v>118</v>
      </c>
      <c r="F633" s="17" t="n">
        <v>523655</v>
      </c>
      <c r="G633" s="17" t="n">
        <v>505289</v>
      </c>
      <c r="H633" s="17" t="n">
        <v>398937</v>
      </c>
      <c r="I633" s="17" t="n">
        <v>38532</v>
      </c>
      <c r="J633" s="17" t="n">
        <v>395319</v>
      </c>
      <c r="K633" s="17" t="n">
        <v>384050.25</v>
      </c>
      <c r="L633" s="17" t="n">
        <v>362877</v>
      </c>
      <c r="M633" s="17" t="n">
        <v>25090</v>
      </c>
      <c r="N633" s="17" t="n">
        <v>7352</v>
      </c>
      <c r="O633" s="17" t="n">
        <v>5</v>
      </c>
      <c r="P633" s="17" t="n">
        <v>280</v>
      </c>
      <c r="Q633" s="17" t="n">
        <v>0</v>
      </c>
      <c r="R633" s="17" t="n">
        <v>7.9998</v>
      </c>
      <c r="S633" s="17" t="n">
        <v>54630</v>
      </c>
      <c r="T633" s="17" t="n">
        <v>333689</v>
      </c>
      <c r="U633" s="17" t="n">
        <v>1473.2965</v>
      </c>
      <c r="V633" s="17" t="n">
        <v>0.291575019444318</v>
      </c>
      <c r="W633" s="17" t="n">
        <v>3.31</v>
      </c>
      <c r="X633" s="17" t="n">
        <v>3.15459338694802</v>
      </c>
      <c r="Y633" s="17" t="n">
        <v>0.906609598830312</v>
      </c>
      <c r="Z633" s="17" t="n">
        <v>16.3715315758086</v>
      </c>
      <c r="AA633" s="17" t="n">
        <v>7.35827978344521</v>
      </c>
      <c r="AB633" s="17"/>
      <c r="AC633" s="17"/>
      <c r="AD633" s="17"/>
      <c r="AE633" s="17"/>
      <c r="AF633" s="17"/>
      <c r="AG633" s="18" t="n">
        <f aca="false">IFERROR(100*O633/F633,"")</f>
        <v>0.000954827128548376</v>
      </c>
      <c r="AH633" s="18" t="n">
        <f aca="false">IFERROR(100*(P633+Q633)/F633,"")</f>
        <v>0.0534703191987091</v>
      </c>
      <c r="AI633" s="18" t="n">
        <f aca="false">IFERROR(100*R633/K633,"")</f>
        <v>0.00208300866878748</v>
      </c>
      <c r="AJ633" s="18" t="n">
        <f aca="false">IF(T633&gt;0,100*S633/T633,"")</f>
        <v>16.3715315758086</v>
      </c>
      <c r="AK633" s="18" t="n">
        <f aca="false">IFERROR(100*U633/G633,"")</f>
        <v>0.291575019444318</v>
      </c>
      <c r="AL633" s="18" t="n">
        <f aca="false">IFERROR(100*J633/H633,"")</f>
        <v>99.093089886373</v>
      </c>
      <c r="AM633" s="18" t="n">
        <f aca="false">IFERROR(100*L633/J633,"")</f>
        <v>91.7934630007665</v>
      </c>
      <c r="AN633" s="18" t="n">
        <f aca="false">IFERROR(100*M633/J633,"")</f>
        <v>6.34677311234724</v>
      </c>
      <c r="AO633" s="18" t="n">
        <f aca="false">IFERROR(100*N633/J633,"")</f>
        <v>1.85976388688629</v>
      </c>
    </row>
    <row r="634" customFormat="false" ht="15" hidden="false" customHeight="false" outlineLevel="0" collapsed="false">
      <c r="A634" s="17" t="n">
        <v>29744</v>
      </c>
      <c r="B634" s="23" t="n">
        <v>44926</v>
      </c>
      <c r="C634" s="17" t="s">
        <v>137</v>
      </c>
      <c r="D634" s="17" t="s">
        <v>116</v>
      </c>
      <c r="E634" s="17" t="s">
        <v>118</v>
      </c>
      <c r="F634" s="17" t="n">
        <v>537395</v>
      </c>
      <c r="G634" s="17" t="n">
        <v>511710.2</v>
      </c>
      <c r="H634" s="17" t="n">
        <v>393417</v>
      </c>
      <c r="I634" s="17" t="n">
        <v>39950</v>
      </c>
      <c r="J634" s="17" t="n">
        <v>402003</v>
      </c>
      <c r="K634" s="17" t="n">
        <v>387640.8</v>
      </c>
      <c r="L634" s="17" t="n">
        <v>369776</v>
      </c>
      <c r="M634" s="17" t="n">
        <v>24059</v>
      </c>
      <c r="N634" s="17" t="n">
        <v>8168</v>
      </c>
      <c r="O634" s="17" t="n">
        <v>89</v>
      </c>
      <c r="P634" s="17" t="n">
        <v>13</v>
      </c>
      <c r="Q634" s="17" t="n">
        <v>0</v>
      </c>
      <c r="R634" s="17" t="n">
        <v>10</v>
      </c>
      <c r="S634" s="17" t="n">
        <v>52475</v>
      </c>
      <c r="T634" s="17" t="n">
        <v>337846</v>
      </c>
      <c r="U634" s="17" t="n">
        <v>-499</v>
      </c>
      <c r="V634" s="17" t="n">
        <v>-0.0975161331550553</v>
      </c>
      <c r="W634" s="17" t="n">
        <v>-1.14</v>
      </c>
      <c r="X634" s="17" t="n">
        <v>3.10480213755178</v>
      </c>
      <c r="Y634" s="17" t="n">
        <v>0.890540617856086</v>
      </c>
      <c r="Z634" s="17" t="n">
        <v>15.5322247414503</v>
      </c>
      <c r="AA634" s="17" t="n">
        <v>7.43401036481545</v>
      </c>
      <c r="AB634" s="17"/>
      <c r="AC634" s="17"/>
      <c r="AD634" s="17"/>
      <c r="AE634" s="17"/>
      <c r="AF634" s="17"/>
      <c r="AG634" s="18" t="n">
        <f aca="false">IFERROR(100*O634/F634,"")</f>
        <v>0.0165613747801896</v>
      </c>
      <c r="AH634" s="18" t="n">
        <f aca="false">IFERROR(100*(P634+Q634)/F634,"")</f>
        <v>0.00241907721508388</v>
      </c>
      <c r="AI634" s="18" t="n">
        <f aca="false">IFERROR(100*R634/K634,"")</f>
        <v>0.00257970781197438</v>
      </c>
      <c r="AJ634" s="18" t="n">
        <f aca="false">IF(T634&gt;0,100*S634/T634,"")</f>
        <v>15.5322247414502</v>
      </c>
      <c r="AK634" s="18" t="n">
        <f aca="false">IFERROR(100*U634/G634,"")</f>
        <v>-0.0975161331550553</v>
      </c>
      <c r="AL634" s="18" t="n">
        <f aca="false">IFERROR(100*J634/H634,"")</f>
        <v>102.182417129916</v>
      </c>
      <c r="AM634" s="18" t="n">
        <f aca="false">IFERROR(100*L634/J634,"")</f>
        <v>91.9833931587575</v>
      </c>
      <c r="AN634" s="18" t="n">
        <f aca="false">IFERROR(100*M634/J634,"")</f>
        <v>5.98478120810044</v>
      </c>
      <c r="AO634" s="18" t="n">
        <f aca="false">IFERROR(100*N634/J634,"")</f>
        <v>2.03182563314204</v>
      </c>
    </row>
    <row r="635" customFormat="false" ht="15" hidden="false" customHeight="false" outlineLevel="0" collapsed="false">
      <c r="A635" s="17" t="n">
        <v>29744</v>
      </c>
      <c r="B635" s="23" t="n">
        <v>45016</v>
      </c>
      <c r="C635" s="17" t="s">
        <v>137</v>
      </c>
      <c r="D635" s="17" t="s">
        <v>116</v>
      </c>
      <c r="E635" s="17" t="s">
        <v>118</v>
      </c>
      <c r="F635" s="17" t="n">
        <v>548387</v>
      </c>
      <c r="G635" s="17" t="n">
        <v>542891</v>
      </c>
      <c r="H635" s="17" t="n">
        <v>438333</v>
      </c>
      <c r="I635" s="17" t="n">
        <v>54173</v>
      </c>
      <c r="J635" s="17" t="n">
        <v>405809</v>
      </c>
      <c r="K635" s="17" t="n">
        <v>403906</v>
      </c>
      <c r="L635" s="17" t="n">
        <v>372826</v>
      </c>
      <c r="M635" s="17" t="n">
        <v>24690</v>
      </c>
      <c r="N635" s="17" t="n">
        <v>8293</v>
      </c>
      <c r="O635" s="17" t="n">
        <v>88</v>
      </c>
      <c r="P635" s="17" t="n">
        <v>240</v>
      </c>
      <c r="Q635" s="17" t="n">
        <v>0</v>
      </c>
      <c r="R635" s="17" t="n">
        <v>-4</v>
      </c>
      <c r="S635" s="17" t="n">
        <v>65983</v>
      </c>
      <c r="T635" s="17" t="n">
        <v>333903</v>
      </c>
      <c r="U635" s="17" t="n">
        <v>1856</v>
      </c>
      <c r="V635" s="17" t="n">
        <v>0.341873414737028</v>
      </c>
      <c r="W635" s="17" t="n">
        <v>3.94</v>
      </c>
      <c r="X635" s="17" t="n">
        <v>2.48227565047063</v>
      </c>
      <c r="Y635" s="17" t="n">
        <v>0.809740542964794</v>
      </c>
      <c r="Z635" s="17" t="n">
        <v>19.7611282318518</v>
      </c>
      <c r="AA635" s="17" t="n">
        <v>9.87860762563664</v>
      </c>
      <c r="AB635" s="17" t="n">
        <v>9.74170864126378</v>
      </c>
      <c r="AC635" s="17" t="n">
        <v>6.94494223309159</v>
      </c>
      <c r="AD635" s="17" t="n">
        <v>9.33587757698209</v>
      </c>
      <c r="AE635" s="17" t="n">
        <v>0.0225745755382333</v>
      </c>
      <c r="AF635" s="17" t="n">
        <v>-0.143046166976615</v>
      </c>
      <c r="AG635" s="18" t="n">
        <f aca="false">IFERROR(100*O635/F635,"")</f>
        <v>0.0160470616553638</v>
      </c>
      <c r="AH635" s="18" t="n">
        <f aca="false">IFERROR(100*(P635+Q635)/F635,"")</f>
        <v>0.0437647136055377</v>
      </c>
      <c r="AI635" s="18" t="n">
        <f aca="false">IFERROR(100*R635/K635,"")</f>
        <v>-0.000990329433085916</v>
      </c>
      <c r="AJ635" s="18" t="n">
        <f aca="false">IF(T635&gt;0,100*S635/T635,"")</f>
        <v>19.7611282318518</v>
      </c>
      <c r="AK635" s="18" t="n">
        <f aca="false">IFERROR(100*U635/G635,"")</f>
        <v>0.341873414737028</v>
      </c>
      <c r="AL635" s="18" t="n">
        <f aca="false">IFERROR(100*J635/H635,"")</f>
        <v>92.5800704030954</v>
      </c>
      <c r="AM635" s="18" t="n">
        <f aca="false">IFERROR(100*L635/J635,"")</f>
        <v>91.8722847447937</v>
      </c>
      <c r="AN635" s="18" t="n">
        <f aca="false">IFERROR(100*M635/J635,"")</f>
        <v>6.08414303280607</v>
      </c>
      <c r="AO635" s="18" t="n">
        <f aca="false">IFERROR(100*N635/J635,"")</f>
        <v>2.04357222240019</v>
      </c>
    </row>
    <row r="636" customFormat="false" ht="15" hidden="false" customHeight="false" outlineLevel="0" collapsed="false">
      <c r="A636" s="17" t="n">
        <v>29744</v>
      </c>
      <c r="B636" s="23" t="n">
        <v>45107</v>
      </c>
      <c r="C636" s="17" t="s">
        <v>137</v>
      </c>
      <c r="D636" s="17" t="s">
        <v>116</v>
      </c>
      <c r="E636" s="17" t="s">
        <v>118</v>
      </c>
      <c r="F636" s="17" t="n">
        <v>552677</v>
      </c>
      <c r="G636" s="17" t="n">
        <v>546153</v>
      </c>
      <c r="H636" s="17" t="n">
        <v>410619</v>
      </c>
      <c r="I636" s="17" t="n">
        <v>52781</v>
      </c>
      <c r="J636" s="17" t="n">
        <v>417149</v>
      </c>
      <c r="K636" s="17" t="n">
        <v>408320.333333333</v>
      </c>
      <c r="L636" s="17" t="n">
        <v>384059</v>
      </c>
      <c r="M636" s="17" t="n">
        <v>24168</v>
      </c>
      <c r="N636" s="17" t="n">
        <v>8922</v>
      </c>
      <c r="O636" s="17" t="n">
        <v>3</v>
      </c>
      <c r="P636" s="17" t="n">
        <v>0</v>
      </c>
      <c r="Q636" s="17" t="n">
        <v>0</v>
      </c>
      <c r="R636" s="17" t="n">
        <v>4</v>
      </c>
      <c r="S636" s="17" t="n">
        <v>65881</v>
      </c>
      <c r="T636" s="17" t="n">
        <v>352536</v>
      </c>
      <c r="U636" s="17" t="n">
        <v>-152</v>
      </c>
      <c r="V636" s="17" t="n">
        <v>-0.0278310290339887</v>
      </c>
      <c r="W636" s="17" t="n">
        <v>-0.31</v>
      </c>
      <c r="X636" s="17" t="n">
        <v>2.38092808099468</v>
      </c>
      <c r="Y636" s="17" t="n">
        <v>0.795638968330261</v>
      </c>
      <c r="Z636" s="17" t="n">
        <v>18.6877368552432</v>
      </c>
      <c r="AA636" s="17" t="n">
        <v>9.55006269484708</v>
      </c>
      <c r="AB636" s="17" t="n">
        <v>8.29626639599639</v>
      </c>
      <c r="AC636" s="17" t="n">
        <v>8.48028418443903</v>
      </c>
      <c r="AD636" s="17" t="n">
        <v>2.61139668490062</v>
      </c>
      <c r="AE636" s="17" t="n">
        <v>-0.283456901737913</v>
      </c>
      <c r="AF636" s="17" t="n">
        <v>-0.117418225058017</v>
      </c>
      <c r="AG636" s="18" t="n">
        <f aca="false">IFERROR(100*O636/F636,"")</f>
        <v>0.000542812528836916</v>
      </c>
      <c r="AH636" s="18" t="n">
        <f aca="false">IFERROR(100*(P636+Q636)/F636,"")</f>
        <v>0</v>
      </c>
      <c r="AI636" s="18" t="n">
        <f aca="false">IFERROR(100*R636/K636,"")</f>
        <v>0.000979623024733033</v>
      </c>
      <c r="AJ636" s="18" t="n">
        <f aca="false">IF(T636&gt;0,100*S636/T636,"")</f>
        <v>18.6877368552432</v>
      </c>
      <c r="AK636" s="18" t="n">
        <f aca="false">IFERROR(100*U636/G636,"")</f>
        <v>-0.0278310290339886</v>
      </c>
      <c r="AL636" s="18" t="n">
        <f aca="false">IFERROR(100*J636/H636,"")</f>
        <v>101.5902819889</v>
      </c>
      <c r="AM636" s="18" t="n">
        <f aca="false">IFERROR(100*L636/J636,"")</f>
        <v>92.0675825664211</v>
      </c>
      <c r="AN636" s="18" t="n">
        <f aca="false">IFERROR(100*M636/J636,"")</f>
        <v>5.79361331322861</v>
      </c>
      <c r="AO636" s="18" t="n">
        <f aca="false">IFERROR(100*N636/J636,"")</f>
        <v>2.13880412035028</v>
      </c>
    </row>
    <row r="637" customFormat="false" ht="15" hidden="false" customHeight="false" outlineLevel="0" collapsed="false">
      <c r="A637" s="17" t="n">
        <v>29744</v>
      </c>
      <c r="B637" s="23" t="n">
        <v>45199</v>
      </c>
      <c r="C637" s="17" t="s">
        <v>137</v>
      </c>
      <c r="D637" s="17" t="s">
        <v>116</v>
      </c>
      <c r="E637" s="17" t="s">
        <v>118</v>
      </c>
      <c r="F637" s="17" t="n">
        <v>556748</v>
      </c>
      <c r="G637" s="17" t="n">
        <v>548801.75</v>
      </c>
      <c r="H637" s="17" t="n">
        <v>435499</v>
      </c>
      <c r="I637" s="17" t="n">
        <v>47207</v>
      </c>
      <c r="J637" s="17" t="n">
        <v>427991</v>
      </c>
      <c r="K637" s="17" t="n">
        <v>413238</v>
      </c>
      <c r="L637" s="17" t="n">
        <v>393303</v>
      </c>
      <c r="M637" s="17" t="n">
        <v>24875</v>
      </c>
      <c r="N637" s="17" t="n">
        <v>9813</v>
      </c>
      <c r="O637" s="17" t="n">
        <v>0</v>
      </c>
      <c r="P637" s="17" t="n">
        <v>0</v>
      </c>
      <c r="Q637" s="17" t="n">
        <v>0</v>
      </c>
      <c r="R637" s="17" t="n">
        <v>2.6666</v>
      </c>
      <c r="S637" s="17" t="n">
        <v>65432</v>
      </c>
      <c r="T637" s="17" t="n">
        <v>365035</v>
      </c>
      <c r="U637" s="17" t="n">
        <v>-1315.9671</v>
      </c>
      <c r="V637" s="17" t="n">
        <v>-0.23978915883559</v>
      </c>
      <c r="W637" s="17" t="n">
        <v>-2.71</v>
      </c>
      <c r="X637" s="17" t="n">
        <v>2.23388795792033</v>
      </c>
      <c r="Y637" s="17" t="n">
        <v>0.782493089807963</v>
      </c>
      <c r="Z637" s="17" t="n">
        <v>17.9248565206076</v>
      </c>
      <c r="AA637" s="17" t="n">
        <v>8.4790605444474</v>
      </c>
      <c r="AB637" s="17" t="n">
        <v>6.31961883301029</v>
      </c>
      <c r="AC637" s="17" t="n">
        <v>8.26471786076561</v>
      </c>
      <c r="AD637" s="17" t="n">
        <v>9.16485560376701</v>
      </c>
      <c r="AE637" s="17" t="n">
        <v>-0.531364178279908</v>
      </c>
      <c r="AF637" s="17" t="n">
        <v>-0.000954827128548376</v>
      </c>
      <c r="AG637" s="18" t="n">
        <f aca="false">IFERROR(100*O637/F637,"")</f>
        <v>0</v>
      </c>
      <c r="AH637" s="18" t="n">
        <f aca="false">IFERROR(100*(P637+Q637)/F637,"")</f>
        <v>0</v>
      </c>
      <c r="AI637" s="18" t="n">
        <f aca="false">IFERROR(100*R637/K637,"")</f>
        <v>0.000645293995227932</v>
      </c>
      <c r="AJ637" s="18" t="n">
        <f aca="false">IF(T637&gt;0,100*S637/T637,"")</f>
        <v>17.9248565206076</v>
      </c>
      <c r="AK637" s="18" t="n">
        <f aca="false">IFERROR(100*U637/G637,"")</f>
        <v>-0.239789158835591</v>
      </c>
      <c r="AL637" s="18" t="n">
        <f aca="false">IFERROR(100*J637/H637,"")</f>
        <v>98.2760006337558</v>
      </c>
      <c r="AM637" s="18" t="n">
        <f aca="false">IFERROR(100*L637/J637,"")</f>
        <v>91.8951566738553</v>
      </c>
      <c r="AN637" s="18" t="n">
        <f aca="false">IFERROR(100*M637/J637,"")</f>
        <v>5.81203810360498</v>
      </c>
      <c r="AO637" s="18" t="n">
        <f aca="false">IFERROR(100*N637/J637,"")</f>
        <v>2.29280522253973</v>
      </c>
    </row>
    <row r="638" customFormat="false" ht="15" hidden="false" customHeight="false" outlineLevel="0" collapsed="false">
      <c r="A638" s="17" t="n">
        <v>29744</v>
      </c>
      <c r="B638" s="23" t="n">
        <v>45291</v>
      </c>
      <c r="C638" s="17" t="s">
        <v>137</v>
      </c>
      <c r="D638" s="17" t="s">
        <v>116</v>
      </c>
      <c r="E638" s="17" t="s">
        <v>118</v>
      </c>
      <c r="F638" s="17" t="n">
        <v>571301</v>
      </c>
      <c r="G638" s="17" t="n">
        <v>553301.6</v>
      </c>
      <c r="H638" s="17" t="n">
        <v>426673</v>
      </c>
      <c r="I638" s="17" t="n">
        <v>46181</v>
      </c>
      <c r="J638" s="17" t="n">
        <v>429667</v>
      </c>
      <c r="K638" s="17" t="n">
        <v>416523.8</v>
      </c>
      <c r="L638" s="17" t="n">
        <v>394330</v>
      </c>
      <c r="M638" s="17" t="n">
        <v>25511</v>
      </c>
      <c r="N638" s="17" t="n">
        <v>9826</v>
      </c>
      <c r="O638" s="17" t="n">
        <v>141</v>
      </c>
      <c r="P638" s="17" t="n">
        <v>4</v>
      </c>
      <c r="Q638" s="17" t="n">
        <v>0</v>
      </c>
      <c r="R638" s="17" t="n">
        <v>1</v>
      </c>
      <c r="S638" s="17" t="n">
        <v>55659</v>
      </c>
      <c r="T638" s="17" t="n">
        <v>363626</v>
      </c>
      <c r="U638" s="17" t="n">
        <v>-10656</v>
      </c>
      <c r="V638" s="17" t="n">
        <v>-1.92589358136684</v>
      </c>
      <c r="W638" s="17" t="n">
        <v>-22.17</v>
      </c>
      <c r="X638" s="17" t="n">
        <v>2.18195327583115</v>
      </c>
      <c r="Y638" s="17" t="n">
        <v>0.788983096211718</v>
      </c>
      <c r="Z638" s="17" t="n">
        <v>15.3066612398453</v>
      </c>
      <c r="AA638" s="17" t="n">
        <v>8.08347963682892</v>
      </c>
      <c r="AB638" s="17" t="n">
        <v>6.30932554266415</v>
      </c>
      <c r="AC638" s="17" t="n">
        <v>6.88154068501976</v>
      </c>
      <c r="AD638" s="17" t="n">
        <v>8.45311717592274</v>
      </c>
      <c r="AE638" s="17" t="n">
        <v>-1.82837744821178</v>
      </c>
      <c r="AF638" s="17" t="n">
        <v>0.00811913514365088</v>
      </c>
      <c r="AG638" s="18" t="n">
        <f aca="false">IFERROR(100*O638/F638,"")</f>
        <v>0.0246805099238405</v>
      </c>
      <c r="AH638" s="18" t="n">
        <f aca="false">IFERROR(100*(P638+Q638)/F638,"")</f>
        <v>0.000700156309896184</v>
      </c>
      <c r="AI638" s="18" t="n">
        <f aca="false">IFERROR(100*R638/K638,"")</f>
        <v>0.000240082319425685</v>
      </c>
      <c r="AJ638" s="18" t="n">
        <f aca="false">IF(T638&gt;0,100*S638/T638,"")</f>
        <v>15.3066612398453</v>
      </c>
      <c r="AK638" s="18" t="n">
        <f aca="false">IFERROR(100*U638/G638,"")</f>
        <v>-1.92589358136684</v>
      </c>
      <c r="AL638" s="18" t="n">
        <f aca="false">IFERROR(100*J638/H638,"")</f>
        <v>100.701708334017</v>
      </c>
      <c r="AM638" s="18" t="n">
        <f aca="false">IFERROR(100*L638/J638,"")</f>
        <v>91.7757239909046</v>
      </c>
      <c r="AN638" s="18" t="n">
        <f aca="false">IFERROR(100*M638/J638,"")</f>
        <v>5.93738872196375</v>
      </c>
      <c r="AO638" s="18" t="n">
        <f aca="false">IFERROR(100*N638/J638,"")</f>
        <v>2.28688728713166</v>
      </c>
    </row>
    <row r="639" customFormat="false" ht="15" hidden="false" customHeight="false" outlineLevel="0" collapsed="false">
      <c r="A639" s="17" t="n">
        <v>29744</v>
      </c>
      <c r="B639" s="23" t="n">
        <v>45382</v>
      </c>
      <c r="C639" s="17" t="s">
        <v>137</v>
      </c>
      <c r="D639" s="17" t="s">
        <v>116</v>
      </c>
      <c r="E639" s="17" t="s">
        <v>118</v>
      </c>
      <c r="F639" s="17" t="n">
        <v>576540</v>
      </c>
      <c r="G639" s="17" t="n">
        <v>573920.5</v>
      </c>
      <c r="H639" s="17" t="n">
        <v>428893</v>
      </c>
      <c r="I639" s="17" t="n">
        <v>44302</v>
      </c>
      <c r="J639" s="17" t="n">
        <v>431608</v>
      </c>
      <c r="K639" s="17" t="n">
        <v>430637.5</v>
      </c>
      <c r="L639" s="17" t="n">
        <v>396224</v>
      </c>
      <c r="M639" s="17" t="n">
        <v>25394</v>
      </c>
      <c r="N639" s="17" t="n">
        <v>9990</v>
      </c>
      <c r="O639" s="17" t="n">
        <v>141</v>
      </c>
      <c r="P639" s="17" t="n">
        <v>0</v>
      </c>
      <c r="Q639" s="17" t="n">
        <v>0</v>
      </c>
      <c r="R639" s="17" t="n">
        <v>0</v>
      </c>
      <c r="S639" s="17" t="n">
        <v>54692</v>
      </c>
      <c r="T639" s="17" t="n">
        <v>367809</v>
      </c>
      <c r="U639" s="17" t="n">
        <v>-4612</v>
      </c>
      <c r="V639" s="17" t="n">
        <v>-0.803595619950847</v>
      </c>
      <c r="W639" s="17" t="n">
        <v>-10.19</v>
      </c>
      <c r="X639" s="17" t="n">
        <v>2.09105523042831</v>
      </c>
      <c r="Y639" s="17" t="n">
        <v>0.792385683305221</v>
      </c>
      <c r="Z639" s="17" t="n">
        <v>14.8696742059058</v>
      </c>
      <c r="AA639" s="17" t="n">
        <v>7.68411558608249</v>
      </c>
      <c r="AB639" s="17" t="n">
        <v>5.13378325890292</v>
      </c>
      <c r="AC639" s="17" t="n">
        <v>6.35742430552304</v>
      </c>
      <c r="AD639" s="17" t="n">
        <v>-2.15361380502951</v>
      </c>
      <c r="AE639" s="17" t="n">
        <v>-1.14546903468788</v>
      </c>
      <c r="AF639" s="17" t="n">
        <v>0.00840917728729411</v>
      </c>
      <c r="AG639" s="18" t="n">
        <f aca="false">IFERROR(100*O639/F639,"")</f>
        <v>0.0244562389426579</v>
      </c>
      <c r="AH639" s="18" t="n">
        <f aca="false">IFERROR(100*(P639+Q639)/F639,"")</f>
        <v>0</v>
      </c>
      <c r="AI639" s="18" t="n">
        <f aca="false">IFERROR(100*R639/K639,"")</f>
        <v>0</v>
      </c>
      <c r="AJ639" s="18" t="n">
        <f aca="false">IF(T639&gt;0,100*S639/T639,"")</f>
        <v>14.8696742059058</v>
      </c>
      <c r="AK639" s="18" t="n">
        <f aca="false">IFERROR(100*U639/G639,"")</f>
        <v>-0.803595619950847</v>
      </c>
      <c r="AL639" s="18" t="n">
        <f aca="false">IFERROR(100*J639/H639,"")</f>
        <v>100.633025020226</v>
      </c>
      <c r="AM639" s="18" t="n">
        <f aca="false">IFERROR(100*L639/J639,"")</f>
        <v>91.8018201701544</v>
      </c>
      <c r="AN639" s="18" t="n">
        <f aca="false">IFERROR(100*M639/J639,"")</f>
        <v>5.8835795444014</v>
      </c>
      <c r="AO639" s="18" t="n">
        <f aca="false">IFERROR(100*N639/J639,"")</f>
        <v>2.3146002854442</v>
      </c>
    </row>
    <row r="640" customFormat="false" ht="15" hidden="false" customHeight="false" outlineLevel="0" collapsed="false">
      <c r="A640" s="17" t="n">
        <v>29744</v>
      </c>
      <c r="B640" s="23" t="n">
        <v>45473</v>
      </c>
      <c r="C640" s="17" t="s">
        <v>137</v>
      </c>
      <c r="D640" s="17" t="s">
        <v>116</v>
      </c>
      <c r="E640" s="17" t="s">
        <v>118</v>
      </c>
      <c r="F640" s="17" t="n">
        <v>602018</v>
      </c>
      <c r="G640" s="17" t="n">
        <v>583286.333333333</v>
      </c>
      <c r="H640" s="17" t="n">
        <v>471240</v>
      </c>
      <c r="I640" s="17" t="n">
        <v>46233</v>
      </c>
      <c r="J640" s="17" t="n">
        <v>434882</v>
      </c>
      <c r="K640" s="17" t="n">
        <v>432052.333333333</v>
      </c>
      <c r="L640" s="17" t="n">
        <v>400003</v>
      </c>
      <c r="M640" s="17" t="n">
        <v>23531</v>
      </c>
      <c r="N640" s="17" t="n">
        <v>11348</v>
      </c>
      <c r="O640" s="17" t="n">
        <v>141</v>
      </c>
      <c r="P640" s="17" t="n">
        <v>0</v>
      </c>
      <c r="Q640" s="17" t="n">
        <v>0</v>
      </c>
      <c r="R640" s="17" t="n">
        <v>-2</v>
      </c>
      <c r="S640" s="17" t="n">
        <v>56900</v>
      </c>
      <c r="T640" s="17" t="n">
        <v>366450</v>
      </c>
      <c r="U640" s="17" t="n">
        <v>1730</v>
      </c>
      <c r="V640" s="17" t="n">
        <v>0.296595325680526</v>
      </c>
      <c r="W640" s="17" t="n">
        <v>3.8</v>
      </c>
      <c r="X640" s="17" t="n">
        <v>2.1079483156263</v>
      </c>
      <c r="Y640" s="17" t="n">
        <v>0.793548594791231</v>
      </c>
      <c r="Z640" s="17" t="n">
        <v>15.527357074635</v>
      </c>
      <c r="AA640" s="17" t="n">
        <v>7.67967070752037</v>
      </c>
      <c r="AB640" s="17" t="n">
        <v>8.92763766178075</v>
      </c>
      <c r="AC640" s="17" t="n">
        <v>4.25099904350723</v>
      </c>
      <c r="AD640" s="17" t="n">
        <v>14.7633207425862</v>
      </c>
      <c r="AE640" s="17" t="n">
        <v>0.324426354714515</v>
      </c>
      <c r="AF640" s="17" t="n">
        <v>0.0228784140790054</v>
      </c>
      <c r="AG640" s="18" t="n">
        <f aca="false">IFERROR(100*O640/F640,"")</f>
        <v>0.0234212266078423</v>
      </c>
      <c r="AH640" s="18" t="n">
        <f aca="false">IFERROR(100*(P640+Q640)/F640,"")</f>
        <v>0</v>
      </c>
      <c r="AI640" s="18" t="n">
        <f aca="false">IFERROR(100*R640/K640,"")</f>
        <v>-0.000462906885508469</v>
      </c>
      <c r="AJ640" s="18" t="n">
        <f aca="false">IF(T640&gt;0,100*S640/T640,"")</f>
        <v>15.527357074635</v>
      </c>
      <c r="AK640" s="18" t="n">
        <f aca="false">IFERROR(100*U640/G640,"")</f>
        <v>0.296595325680526</v>
      </c>
      <c r="AL640" s="18" t="n">
        <f aca="false">IFERROR(100*J640/H640,"")</f>
        <v>92.2846108140226</v>
      </c>
      <c r="AM640" s="18" t="n">
        <f aca="false">IFERROR(100*L640/J640,"")</f>
        <v>91.9796634489356</v>
      </c>
      <c r="AN640" s="18" t="n">
        <f aca="false">IFERROR(100*M640/J640,"")</f>
        <v>5.41089306984423</v>
      </c>
      <c r="AO640" s="18" t="n">
        <f aca="false">IFERROR(100*N640/J640,"")</f>
        <v>2.60944348122019</v>
      </c>
    </row>
    <row r="641" customFormat="false" ht="15" hidden="false" customHeight="false" outlineLevel="0" collapsed="false">
      <c r="A641" s="17" t="n">
        <v>29744</v>
      </c>
      <c r="B641" s="23" t="n">
        <v>45565</v>
      </c>
      <c r="C641" s="17" t="s">
        <v>137</v>
      </c>
      <c r="D641" s="17" t="s">
        <v>116</v>
      </c>
      <c r="E641" s="17" t="s">
        <v>118</v>
      </c>
      <c r="F641" s="17" t="n">
        <v>602075</v>
      </c>
      <c r="G641" s="17" t="n">
        <v>587983.5</v>
      </c>
      <c r="H641" s="17" t="n">
        <v>467670</v>
      </c>
      <c r="I641" s="17" t="n">
        <v>48662</v>
      </c>
      <c r="J641" s="17" t="n">
        <v>436785</v>
      </c>
      <c r="K641" s="17" t="n">
        <v>433235.5</v>
      </c>
      <c r="L641" s="17" t="n">
        <v>400419</v>
      </c>
      <c r="M641" s="17" t="n">
        <v>24096</v>
      </c>
      <c r="N641" s="17" t="n">
        <v>12270</v>
      </c>
      <c r="O641" s="17" t="n">
        <v>0</v>
      </c>
      <c r="P641" s="17" t="n">
        <v>0</v>
      </c>
      <c r="Q641" s="17" t="n">
        <v>0</v>
      </c>
      <c r="R641" s="17" t="n">
        <v>33.3325</v>
      </c>
      <c r="S641" s="17" t="n">
        <v>57150</v>
      </c>
      <c r="T641" s="17" t="n">
        <v>364897</v>
      </c>
      <c r="U641" s="17" t="n">
        <v>1222.6361</v>
      </c>
      <c r="V641" s="17" t="n">
        <v>0.207937144494701</v>
      </c>
      <c r="W641" s="17" t="n">
        <v>2.64</v>
      </c>
      <c r="X641" s="17" t="n">
        <v>2.09710586176728</v>
      </c>
      <c r="Y641" s="17" t="n">
        <v>0.788717561271564</v>
      </c>
      <c r="Z641" s="17" t="n">
        <v>15.6619539212435</v>
      </c>
      <c r="AA641" s="17" t="n">
        <v>8.08238176306939</v>
      </c>
      <c r="AB641" s="17" t="n">
        <v>8.14138533052655</v>
      </c>
      <c r="AC641" s="17" t="n">
        <v>2.05471610384331</v>
      </c>
      <c r="AD641" s="17" t="n">
        <v>7.38715817946769</v>
      </c>
      <c r="AE641" s="17" t="n">
        <v>0.447726303330291</v>
      </c>
      <c r="AF641" s="17" t="n">
        <v>0</v>
      </c>
      <c r="AG641" s="18" t="n">
        <f aca="false">IFERROR(100*O641/F641,"")</f>
        <v>0</v>
      </c>
      <c r="AH641" s="18" t="n">
        <f aca="false">IFERROR(100*(P641+Q641)/F641,"")</f>
        <v>0</v>
      </c>
      <c r="AI641" s="18" t="n">
        <f aca="false">IFERROR(100*R641/K641,"")</f>
        <v>0.00769385241975785</v>
      </c>
      <c r="AJ641" s="18" t="n">
        <f aca="false">IF(T641&gt;0,100*S641/T641,"")</f>
        <v>15.6619539212435</v>
      </c>
      <c r="AK641" s="18" t="n">
        <f aca="false">IFERROR(100*U641/G641,"")</f>
        <v>0.207937144494701</v>
      </c>
      <c r="AL641" s="18" t="n">
        <f aca="false">IFERROR(100*J641/H641,"")</f>
        <v>93.3959843479376</v>
      </c>
      <c r="AM641" s="18" t="n">
        <f aca="false">IFERROR(100*L641/J641,"")</f>
        <v>91.6741646347745</v>
      </c>
      <c r="AN641" s="18" t="n">
        <f aca="false">IFERROR(100*M641/J641,"")</f>
        <v>5.51667296267042</v>
      </c>
      <c r="AO641" s="18" t="n">
        <f aca="false">IFERROR(100*N641/J641,"")</f>
        <v>2.80916240255503</v>
      </c>
    </row>
    <row r="642" customFormat="false" ht="15" hidden="false" customHeight="false" outlineLevel="0" collapsed="false">
      <c r="A642" s="17" t="n">
        <v>29744</v>
      </c>
      <c r="B642" s="23" t="n">
        <v>45657</v>
      </c>
      <c r="C642" s="17" t="s">
        <v>137</v>
      </c>
      <c r="D642" s="17" t="s">
        <v>116</v>
      </c>
      <c r="E642" s="17" t="s">
        <v>118</v>
      </c>
      <c r="F642" s="17" t="n">
        <v>581057</v>
      </c>
      <c r="G642" s="17" t="n">
        <v>586598.2</v>
      </c>
      <c r="H642" s="17" t="n">
        <v>472402</v>
      </c>
      <c r="I642" s="17" t="n">
        <v>44991</v>
      </c>
      <c r="J642" s="17" t="n">
        <v>437679</v>
      </c>
      <c r="K642" s="17" t="n">
        <v>434124.2</v>
      </c>
      <c r="L642" s="17" t="n">
        <v>401559</v>
      </c>
      <c r="M642" s="17" t="n">
        <v>23711</v>
      </c>
      <c r="N642" s="17" t="n">
        <v>12409</v>
      </c>
      <c r="O642" s="17" t="n">
        <v>0</v>
      </c>
      <c r="P642" s="17" t="n">
        <v>0</v>
      </c>
      <c r="Q642" s="17" t="n">
        <v>0</v>
      </c>
      <c r="R642" s="17" t="n">
        <v>24</v>
      </c>
      <c r="S642" s="17" t="n">
        <v>55506</v>
      </c>
      <c r="T642" s="17" t="n">
        <v>356942</v>
      </c>
      <c r="U642" s="17" t="n">
        <v>-489</v>
      </c>
      <c r="V642" s="17" t="n">
        <v>-0.0833620014517603</v>
      </c>
      <c r="W642" s="17" t="n">
        <v>-1.06</v>
      </c>
      <c r="X642" s="17" t="n">
        <v>2.10953348286959</v>
      </c>
      <c r="Y642" s="17" t="n">
        <v>0.796474128299507</v>
      </c>
      <c r="Z642" s="17" t="n">
        <v>15.5504255593346</v>
      </c>
      <c r="AA642" s="17" t="n">
        <v>7.74295809189116</v>
      </c>
      <c r="AB642" s="17" t="n">
        <v>1.7076812398368</v>
      </c>
      <c r="AC642" s="17" t="n">
        <v>1.86469987222664</v>
      </c>
      <c r="AD642" s="17" t="n">
        <v>10.7175752859918</v>
      </c>
      <c r="AE642" s="17" t="n">
        <v>1.84253157991508</v>
      </c>
      <c r="AF642" s="17" t="n">
        <v>-0.0246805099238405</v>
      </c>
      <c r="AG642" s="18" t="n">
        <f aca="false">IFERROR(100*O642/F642,"")</f>
        <v>0</v>
      </c>
      <c r="AH642" s="18" t="n">
        <f aca="false">IFERROR(100*(P642+Q642)/F642,"")</f>
        <v>0</v>
      </c>
      <c r="AI642" s="18" t="n">
        <f aca="false">IFERROR(100*R642/K642,"")</f>
        <v>0.00552837183460401</v>
      </c>
      <c r="AJ642" s="18" t="n">
        <f aca="false">IF(T642&gt;0,100*S642/T642,"")</f>
        <v>15.5504255593346</v>
      </c>
      <c r="AK642" s="18" t="n">
        <f aca="false">IFERROR(100*U642/G642,"")</f>
        <v>-0.0833620014517603</v>
      </c>
      <c r="AL642" s="18" t="n">
        <f aca="false">IFERROR(100*J642/H642,"")</f>
        <v>92.6496924229787</v>
      </c>
      <c r="AM642" s="18" t="n">
        <f aca="false">IFERROR(100*L642/J642,"")</f>
        <v>91.7473765019569</v>
      </c>
      <c r="AN642" s="18" t="n">
        <f aca="false">IFERROR(100*M642/J642,"")</f>
        <v>5.41744063571704</v>
      </c>
      <c r="AO642" s="18" t="n">
        <f aca="false">IFERROR(100*N642/J642,"")</f>
        <v>2.83518286232604</v>
      </c>
    </row>
    <row r="643" customFormat="false" ht="15" hidden="false" customHeight="false" outlineLevel="0" collapsed="false">
      <c r="A643" s="17" t="n">
        <v>29744</v>
      </c>
      <c r="B643" s="23" t="n">
        <v>45747</v>
      </c>
      <c r="C643" s="17" t="s">
        <v>137</v>
      </c>
      <c r="D643" s="17" t="s">
        <v>116</v>
      </c>
      <c r="E643" s="17" t="s">
        <v>118</v>
      </c>
      <c r="F643" s="17" t="n">
        <v>592720</v>
      </c>
      <c r="G643" s="17" t="n">
        <v>586888.5</v>
      </c>
      <c r="H643" s="17" t="n">
        <v>473305</v>
      </c>
      <c r="I643" s="17" t="n">
        <v>44713</v>
      </c>
      <c r="J643" s="17" t="n">
        <v>448262</v>
      </c>
      <c r="K643" s="17" t="n">
        <v>442970.5</v>
      </c>
      <c r="L643" s="17" t="n">
        <v>411212</v>
      </c>
      <c r="M643" s="17" t="n">
        <v>24565</v>
      </c>
      <c r="N643" s="17" t="n">
        <v>12485</v>
      </c>
      <c r="O643" s="17" t="n">
        <v>0</v>
      </c>
      <c r="P643" s="17" t="n">
        <v>0</v>
      </c>
      <c r="Q643" s="17" t="n">
        <v>0</v>
      </c>
      <c r="R643" s="17" t="n">
        <v>-4</v>
      </c>
      <c r="S643" s="17" t="n">
        <v>55162</v>
      </c>
      <c r="T643" s="17" t="n">
        <v>363763</v>
      </c>
      <c r="U643" s="17" t="n">
        <v>-2396</v>
      </c>
      <c r="V643" s="17" t="n">
        <v>-0.408254719593245</v>
      </c>
      <c r="W643" s="17" t="n">
        <v>-5.34</v>
      </c>
      <c r="X643" s="17" t="n">
        <v>2.2587388531661</v>
      </c>
      <c r="Y643" s="17" t="n">
        <v>0.784585800268593</v>
      </c>
      <c r="Z643" s="17" t="n">
        <v>15.1642690433057</v>
      </c>
      <c r="AA643" s="17" t="n">
        <v>7.54369685517614</v>
      </c>
      <c r="AB643" s="17" t="n">
        <v>2.80639678079577</v>
      </c>
      <c r="AC643" s="17" t="n">
        <v>3.85859390928807</v>
      </c>
      <c r="AD643" s="17" t="n">
        <v>10.3550302756165</v>
      </c>
      <c r="AE643" s="17" t="n">
        <v>0.395340900357602</v>
      </c>
      <c r="AF643" s="17" t="n">
        <v>-0.0244562389426579</v>
      </c>
      <c r="AG643" s="18" t="n">
        <f aca="false">IFERROR(100*O643/F643,"")</f>
        <v>0</v>
      </c>
      <c r="AH643" s="18" t="n">
        <f aca="false">IFERROR(100*(P643+Q643)/F643,"")</f>
        <v>0</v>
      </c>
      <c r="AI643" s="18" t="n">
        <f aca="false">IFERROR(100*R643/K643,"")</f>
        <v>-0.000902994668945223</v>
      </c>
      <c r="AJ643" s="18" t="n">
        <f aca="false">IF(T643&gt;0,100*S643/T643,"")</f>
        <v>15.1642690433057</v>
      </c>
      <c r="AK643" s="18" t="n">
        <f aca="false">IFERROR(100*U643/G643,"")</f>
        <v>-0.408254719593245</v>
      </c>
      <c r="AL643" s="18" t="n">
        <f aca="false">IFERROR(100*J643/H643,"")</f>
        <v>94.7089086318547</v>
      </c>
      <c r="AM643" s="18" t="n">
        <f aca="false">IFERROR(100*L643/J643,"")</f>
        <v>91.7347444128657</v>
      </c>
      <c r="AN643" s="18" t="n">
        <f aca="false">IFERROR(100*M643/J643,"")</f>
        <v>5.48005407551834</v>
      </c>
      <c r="AO643" s="18" t="n">
        <f aca="false">IFERROR(100*N643/J643,"")</f>
        <v>2.78520151161597</v>
      </c>
    </row>
    <row r="644" customFormat="false" ht="15" hidden="false" customHeight="false" outlineLevel="0" collapsed="false">
      <c r="A644" s="17" t="n">
        <v>29744</v>
      </c>
      <c r="B644" s="23" t="n">
        <v>45838</v>
      </c>
      <c r="C644" s="17" t="s">
        <v>137</v>
      </c>
      <c r="D644" s="17" t="s">
        <v>116</v>
      </c>
      <c r="E644" s="17" t="s">
        <v>118</v>
      </c>
      <c r="F644" s="17" t="n">
        <v>605109</v>
      </c>
      <c r="G644" s="17" t="n">
        <v>592962</v>
      </c>
      <c r="H644" s="17" t="n">
        <v>489906</v>
      </c>
      <c r="I644" s="17" t="n">
        <v>44554</v>
      </c>
      <c r="J644" s="17" t="n">
        <v>439729</v>
      </c>
      <c r="K644" s="17" t="n">
        <v>441890</v>
      </c>
      <c r="L644" s="17" t="n">
        <v>402053</v>
      </c>
      <c r="M644" s="17" t="n">
        <v>24902</v>
      </c>
      <c r="N644" s="17" t="n">
        <v>12774</v>
      </c>
      <c r="O644" s="17" t="n">
        <v>14</v>
      </c>
      <c r="P644" s="17" t="n">
        <v>200</v>
      </c>
      <c r="Q644" s="17" t="n">
        <v>0</v>
      </c>
      <c r="R644" s="17" t="n">
        <v>-2</v>
      </c>
      <c r="S644" s="17" t="n">
        <v>54954</v>
      </c>
      <c r="T644" s="17" t="n">
        <v>360814</v>
      </c>
      <c r="U644" s="17" t="n">
        <v>-2286</v>
      </c>
      <c r="V644" s="17" t="n">
        <v>-0.385522175114088</v>
      </c>
      <c r="W644" s="17" t="n">
        <v>-5.11</v>
      </c>
      <c r="X644" s="17" t="n">
        <v>2.32561114451281</v>
      </c>
      <c r="Y644" s="17" t="n">
        <v>0.799810792556325</v>
      </c>
      <c r="Z644" s="17" t="n">
        <v>15.2305620070175</v>
      </c>
      <c r="AA644" s="17" t="n">
        <v>7.36297096886677</v>
      </c>
      <c r="AB644" s="17" t="n">
        <v>0.51343979748113</v>
      </c>
      <c r="AC644" s="17" t="n">
        <v>1.11455521267838</v>
      </c>
      <c r="AD644" s="17" t="n">
        <v>3.96103896103897</v>
      </c>
      <c r="AE644" s="17" t="n">
        <v>-0.682117500794615</v>
      </c>
      <c r="AF644" s="17" t="n">
        <v>-0.0211075938573792</v>
      </c>
      <c r="AG644" s="18" t="n">
        <f aca="false">IFERROR(100*O644/F644,"")</f>
        <v>0.00231363275046314</v>
      </c>
      <c r="AH644" s="18" t="n">
        <f aca="false">IFERROR(100*(P644+Q644)/F644,"")</f>
        <v>0.0330518964351877</v>
      </c>
      <c r="AI644" s="18" t="n">
        <f aca="false">IFERROR(100*R644/K644,"")</f>
        <v>-0.000452601326121886</v>
      </c>
      <c r="AJ644" s="18" t="n">
        <f aca="false">IF(T644&gt;0,100*S644/T644,"")</f>
        <v>15.2305620070175</v>
      </c>
      <c r="AK644" s="18" t="n">
        <f aca="false">IFERROR(100*U644/G644,"")</f>
        <v>-0.385522175114088</v>
      </c>
      <c r="AL644" s="18" t="n">
        <f aca="false">IFERROR(100*J644/H644,"")</f>
        <v>89.7578310941283</v>
      </c>
      <c r="AM644" s="18" t="n">
        <f aca="false">IFERROR(100*L644/J644,"")</f>
        <v>91.4319956154814</v>
      </c>
      <c r="AN644" s="18" t="n">
        <f aca="false">IFERROR(100*M644/J644,"")</f>
        <v>5.6630333682791</v>
      </c>
      <c r="AO644" s="18" t="n">
        <f aca="false">IFERROR(100*N644/J644,"")</f>
        <v>2.90497101623955</v>
      </c>
    </row>
    <row r="645" customFormat="false" ht="15" hidden="false" customHeight="false" outlineLevel="0" collapsed="false">
      <c r="A645" s="17" t="n">
        <v>30350</v>
      </c>
      <c r="B645" s="23" t="n">
        <v>44651</v>
      </c>
      <c r="C645" s="17" t="s">
        <v>154</v>
      </c>
      <c r="D645" s="17" t="s">
        <v>113</v>
      </c>
      <c r="E645" s="17" t="s">
        <v>118</v>
      </c>
      <c r="F645" s="17" t="n">
        <v>558084</v>
      </c>
      <c r="G645" s="17" t="n">
        <v>550471.5</v>
      </c>
      <c r="H645" s="17" t="n">
        <v>471489</v>
      </c>
      <c r="I645" s="17" t="n">
        <v>51735</v>
      </c>
      <c r="J645" s="17" t="n">
        <v>367722</v>
      </c>
      <c r="K645" s="17" t="n">
        <v>366441</v>
      </c>
      <c r="L645" s="17" t="n">
        <v>353740</v>
      </c>
      <c r="M645" s="17" t="n">
        <v>11781</v>
      </c>
      <c r="N645" s="17" t="n">
        <v>796</v>
      </c>
      <c r="O645" s="17" t="n">
        <v>2750</v>
      </c>
      <c r="P645" s="17" t="n">
        <v>1525</v>
      </c>
      <c r="Q645" s="17" t="n">
        <v>0</v>
      </c>
      <c r="R645" s="17" t="n">
        <v>-16</v>
      </c>
      <c r="S645" s="17" t="n">
        <v>59446</v>
      </c>
      <c r="T645" s="17" t="n">
        <v>275529</v>
      </c>
      <c r="U645" s="17" t="n">
        <v>3476</v>
      </c>
      <c r="V645" s="17" t="n">
        <v>0.631458667705776</v>
      </c>
      <c r="W645" s="17" t="n">
        <v>6.56</v>
      </c>
      <c r="X645" s="17" t="n">
        <v>2.64878933304511</v>
      </c>
      <c r="Y645" s="17" t="n">
        <v>1.44320981611108</v>
      </c>
      <c r="Z645" s="17" t="n">
        <v>21.5752243865437</v>
      </c>
      <c r="AA645" s="17" t="n">
        <v>9.27010987593266</v>
      </c>
      <c r="AB645" s="17"/>
      <c r="AC645" s="17"/>
      <c r="AD645" s="17"/>
      <c r="AE645" s="17"/>
      <c r="AF645" s="17"/>
      <c r="AG645" s="18" t="n">
        <f aca="false">IFERROR(100*O645/F645,"")</f>
        <v>0.492757362690921</v>
      </c>
      <c r="AH645" s="18" t="n">
        <f aca="false">IFERROR(100*(P645+Q645)/F645,"")</f>
        <v>0.273256355674056</v>
      </c>
      <c r="AI645" s="18" t="n">
        <f aca="false">IFERROR(100*R645/K645,"")</f>
        <v>-0.00436632363736591</v>
      </c>
      <c r="AJ645" s="18" t="n">
        <f aca="false">IF(T645&gt;0,100*S645/T645,"")</f>
        <v>21.5752243865437</v>
      </c>
      <c r="AK645" s="18" t="n">
        <f aca="false">IFERROR(100*U645/G645,"")</f>
        <v>0.631458667705776</v>
      </c>
      <c r="AL645" s="18" t="n">
        <f aca="false">IFERROR(100*J645/H645,"")</f>
        <v>77.9916392535139</v>
      </c>
      <c r="AM645" s="18" t="n">
        <f aca="false">IFERROR(100*L645/J645,"")</f>
        <v>96.1976710667298</v>
      </c>
      <c r="AN645" s="18" t="n">
        <f aca="false">IFERROR(100*M645/J645,"")</f>
        <v>3.20377894170052</v>
      </c>
      <c r="AO645" s="18" t="n">
        <f aca="false">IFERROR(100*N645/J645,"")</f>
        <v>0.216467875188322</v>
      </c>
    </row>
    <row r="646" customFormat="false" ht="15" hidden="false" customHeight="false" outlineLevel="0" collapsed="false">
      <c r="A646" s="17" t="n">
        <v>30350</v>
      </c>
      <c r="B646" s="23" t="n">
        <v>44742</v>
      </c>
      <c r="C646" s="17" t="s">
        <v>154</v>
      </c>
      <c r="D646" s="17" t="s">
        <v>113</v>
      </c>
      <c r="E646" s="17" t="s">
        <v>118</v>
      </c>
      <c r="F646" s="17" t="n">
        <v>543454</v>
      </c>
      <c r="G646" s="17" t="n">
        <v>548132.333333333</v>
      </c>
      <c r="H646" s="17" t="n">
        <v>468153</v>
      </c>
      <c r="I646" s="17" t="n">
        <v>50997</v>
      </c>
      <c r="J646" s="17" t="n">
        <v>371004</v>
      </c>
      <c r="K646" s="17" t="n">
        <v>367962</v>
      </c>
      <c r="L646" s="17" t="n">
        <v>358181</v>
      </c>
      <c r="M646" s="17" t="n">
        <v>10553</v>
      </c>
      <c r="N646" s="17" t="n">
        <v>876</v>
      </c>
      <c r="O646" s="17" t="n">
        <v>2718</v>
      </c>
      <c r="P646" s="17" t="n">
        <v>662</v>
      </c>
      <c r="Q646" s="17" t="n">
        <v>0</v>
      </c>
      <c r="R646" s="17" t="n">
        <v>426</v>
      </c>
      <c r="S646" s="17" t="n">
        <v>60041</v>
      </c>
      <c r="T646" s="17" t="n">
        <v>282727</v>
      </c>
      <c r="U646" s="17" t="n">
        <v>2756</v>
      </c>
      <c r="V646" s="17" t="n">
        <v>0.502798290193913</v>
      </c>
      <c r="W646" s="17" t="n">
        <v>5.27</v>
      </c>
      <c r="X646" s="17" t="n">
        <v>2.72249357426288</v>
      </c>
      <c r="Y646" s="17" t="n">
        <v>1.3722224019148</v>
      </c>
      <c r="Z646" s="17" t="n">
        <v>21.2363870447464</v>
      </c>
      <c r="AA646" s="17" t="n">
        <v>9.38386689581823</v>
      </c>
      <c r="AB646" s="17"/>
      <c r="AC646" s="17"/>
      <c r="AD646" s="17"/>
      <c r="AE646" s="17"/>
      <c r="AF646" s="17"/>
      <c r="AG646" s="18" t="n">
        <f aca="false">IFERROR(100*O646/F646,"")</f>
        <v>0.500134325996313</v>
      </c>
      <c r="AH646" s="18" t="n">
        <f aca="false">IFERROR(100*(P646+Q646)/F646,"")</f>
        <v>0.121813437751861</v>
      </c>
      <c r="AI646" s="18" t="n">
        <f aca="false">IFERROR(100*R646/K646,"")</f>
        <v>0.115772824367734</v>
      </c>
      <c r="AJ646" s="18" t="n">
        <f aca="false">IF(T646&gt;0,100*S646/T646,"")</f>
        <v>21.2363870447463</v>
      </c>
      <c r="AK646" s="18" t="n">
        <f aca="false">IFERROR(100*U646/G646,"")</f>
        <v>0.502798290193913</v>
      </c>
      <c r="AL646" s="18" t="n">
        <f aca="false">IFERROR(100*J646/H646,"")</f>
        <v>79.2484508269732</v>
      </c>
      <c r="AM646" s="18" t="n">
        <f aca="false">IFERROR(100*L646/J646,"")</f>
        <v>96.5437030328514</v>
      </c>
      <c r="AN646" s="18" t="n">
        <f aca="false">IFERROR(100*M646/J646,"")</f>
        <v>2.84444372567412</v>
      </c>
      <c r="AO646" s="18" t="n">
        <f aca="false">IFERROR(100*N646/J646,"")</f>
        <v>0.236116052657114</v>
      </c>
    </row>
    <row r="647" customFormat="false" ht="15" hidden="false" customHeight="false" outlineLevel="0" collapsed="false">
      <c r="A647" s="17" t="n">
        <v>30350</v>
      </c>
      <c r="B647" s="23" t="n">
        <v>44834</v>
      </c>
      <c r="C647" s="17" t="s">
        <v>154</v>
      </c>
      <c r="D647" s="17" t="s">
        <v>113</v>
      </c>
      <c r="E647" s="17" t="s">
        <v>118</v>
      </c>
      <c r="F647" s="17" t="n">
        <v>541685</v>
      </c>
      <c r="G647" s="17" t="n">
        <v>546520.5</v>
      </c>
      <c r="H647" s="17" t="n">
        <v>473333</v>
      </c>
      <c r="I647" s="17" t="n">
        <v>49256</v>
      </c>
      <c r="J647" s="17" t="n">
        <v>378298</v>
      </c>
      <c r="K647" s="17" t="n">
        <v>370546</v>
      </c>
      <c r="L647" s="17" t="n">
        <v>363012</v>
      </c>
      <c r="M647" s="17" t="n">
        <v>11326</v>
      </c>
      <c r="N647" s="17" t="n">
        <v>1056</v>
      </c>
      <c r="O647" s="17" t="n">
        <v>1989</v>
      </c>
      <c r="P647" s="17" t="n">
        <v>720</v>
      </c>
      <c r="Q647" s="17" t="n">
        <v>0</v>
      </c>
      <c r="R647" s="17" t="n">
        <v>274.6598</v>
      </c>
      <c r="S647" s="17" t="n">
        <v>61380</v>
      </c>
      <c r="T647" s="17" t="n">
        <v>288563</v>
      </c>
      <c r="U647" s="17" t="n">
        <v>3547.9113</v>
      </c>
      <c r="V647" s="17" t="n">
        <v>0.649181741581514</v>
      </c>
      <c r="W647" s="17" t="n">
        <v>6.88</v>
      </c>
      <c r="X647" s="17" t="n">
        <v>2.870390732848</v>
      </c>
      <c r="Y647" s="17" t="n">
        <v>1.34735050145652</v>
      </c>
      <c r="Z647" s="17" t="n">
        <v>21.2709183090001</v>
      </c>
      <c r="AA647" s="17" t="n">
        <v>9.09310761789601</v>
      </c>
      <c r="AB647" s="17"/>
      <c r="AC647" s="17"/>
      <c r="AD647" s="17"/>
      <c r="AE647" s="17"/>
      <c r="AF647" s="17"/>
      <c r="AG647" s="18" t="n">
        <f aca="false">IFERROR(100*O647/F647,"")</f>
        <v>0.367187572112944</v>
      </c>
      <c r="AH647" s="18" t="n">
        <f aca="false">IFERROR(100*(P647+Q647)/F647,"")</f>
        <v>0.132918578140432</v>
      </c>
      <c r="AI647" s="18" t="n">
        <f aca="false">IFERROR(100*R647/K647,"")</f>
        <v>0.0741229968748819</v>
      </c>
      <c r="AJ647" s="18" t="n">
        <f aca="false">IF(T647&gt;0,100*S647/T647,"")</f>
        <v>21.2709183090001</v>
      </c>
      <c r="AK647" s="18" t="n">
        <f aca="false">IFERROR(100*U647/G647,"")</f>
        <v>0.649181741581514</v>
      </c>
      <c r="AL647" s="18" t="n">
        <f aca="false">IFERROR(100*J647/H647,"")</f>
        <v>79.9221689592739</v>
      </c>
      <c r="AM647" s="18" t="n">
        <f aca="false">IFERROR(100*L647/J647,"")</f>
        <v>95.9592702049707</v>
      </c>
      <c r="AN647" s="18" t="n">
        <f aca="false">IFERROR(100*M647/J647,"")</f>
        <v>2.99393599754691</v>
      </c>
      <c r="AO647" s="18" t="n">
        <f aca="false">IFERROR(100*N647/J647,"")</f>
        <v>0.279145012661976</v>
      </c>
    </row>
    <row r="648" customFormat="false" ht="15" hidden="false" customHeight="false" outlineLevel="0" collapsed="false">
      <c r="A648" s="17" t="n">
        <v>30350</v>
      </c>
      <c r="B648" s="23" t="n">
        <v>44926</v>
      </c>
      <c r="C648" s="17" t="s">
        <v>154</v>
      </c>
      <c r="D648" s="17" t="s">
        <v>113</v>
      </c>
      <c r="E648" s="17" t="s">
        <v>118</v>
      </c>
      <c r="F648" s="17" t="n">
        <v>551789</v>
      </c>
      <c r="G648" s="17" t="n">
        <v>547574.2</v>
      </c>
      <c r="H648" s="17" t="n">
        <v>463644</v>
      </c>
      <c r="I648" s="17" t="n">
        <v>51142</v>
      </c>
      <c r="J648" s="17" t="n">
        <v>392714</v>
      </c>
      <c r="K648" s="17" t="n">
        <v>374979.6</v>
      </c>
      <c r="L648" s="17" t="n">
        <v>373732</v>
      </c>
      <c r="M648" s="17" t="n">
        <v>16386</v>
      </c>
      <c r="N648" s="17" t="n">
        <v>1149</v>
      </c>
      <c r="O648" s="17" t="n">
        <v>1476</v>
      </c>
      <c r="P648" s="17" t="n">
        <v>909</v>
      </c>
      <c r="Q648" s="17" t="n">
        <v>0</v>
      </c>
      <c r="R648" s="17" t="n">
        <v>194</v>
      </c>
      <c r="S648" s="17" t="n">
        <v>62834</v>
      </c>
      <c r="T648" s="17" t="n">
        <v>299798</v>
      </c>
      <c r="U648" s="17" t="n">
        <v>3976</v>
      </c>
      <c r="V648" s="17" t="n">
        <v>0.726111639299295</v>
      </c>
      <c r="W648" s="17" t="n">
        <v>7.72</v>
      </c>
      <c r="X648" s="17" t="n">
        <v>2.92072690193104</v>
      </c>
      <c r="Y648" s="17" t="n">
        <v>1.30094674495944</v>
      </c>
      <c r="Z648" s="17" t="n">
        <v>20.9587789111335</v>
      </c>
      <c r="AA648" s="17" t="n">
        <v>9.26839788397377</v>
      </c>
      <c r="AB648" s="17"/>
      <c r="AC648" s="17"/>
      <c r="AD648" s="17"/>
      <c r="AE648" s="17"/>
      <c r="AF648" s="17"/>
      <c r="AG648" s="18" t="n">
        <f aca="false">IFERROR(100*O648/F648,"")</f>
        <v>0.2674935527892</v>
      </c>
      <c r="AH648" s="18" t="n">
        <f aca="false">IFERROR(100*(P648+Q648)/F648,"")</f>
        <v>0.164736883120178</v>
      </c>
      <c r="AI648" s="18" t="n">
        <f aca="false">IFERROR(100*R648/K648,"")</f>
        <v>0.0517361477797726</v>
      </c>
      <c r="AJ648" s="18" t="n">
        <f aca="false">IF(T648&gt;0,100*S648/T648,"")</f>
        <v>20.9587789111335</v>
      </c>
      <c r="AK648" s="18" t="n">
        <f aca="false">IFERROR(100*U648/G648,"")</f>
        <v>0.726111639299295</v>
      </c>
      <c r="AL648" s="18" t="n">
        <f aca="false">IFERROR(100*J648/H648,"")</f>
        <v>84.7016245222628</v>
      </c>
      <c r="AM648" s="18" t="n">
        <f aca="false">IFERROR(100*L648/J648,"")</f>
        <v>95.1664570145195</v>
      </c>
      <c r="AN648" s="18" t="n">
        <f aca="false">IFERROR(100*M648/J648,"")</f>
        <v>4.17250212622927</v>
      </c>
      <c r="AO648" s="18" t="n">
        <f aca="false">IFERROR(100*N648/J648,"")</f>
        <v>0.292579332542257</v>
      </c>
    </row>
    <row r="649" customFormat="false" ht="15" hidden="false" customHeight="false" outlineLevel="0" collapsed="false">
      <c r="A649" s="17" t="n">
        <v>30350</v>
      </c>
      <c r="B649" s="23" t="n">
        <v>45016</v>
      </c>
      <c r="C649" s="17" t="s">
        <v>154</v>
      </c>
      <c r="D649" s="17" t="s">
        <v>113</v>
      </c>
      <c r="E649" s="17" t="s">
        <v>118</v>
      </c>
      <c r="F649" s="17" t="n">
        <v>554362</v>
      </c>
      <c r="G649" s="17" t="n">
        <v>553075.5</v>
      </c>
      <c r="H649" s="17" t="n">
        <v>454335</v>
      </c>
      <c r="I649" s="17" t="n">
        <v>53124</v>
      </c>
      <c r="J649" s="17" t="n">
        <v>393124</v>
      </c>
      <c r="K649" s="17" t="n">
        <v>392919</v>
      </c>
      <c r="L649" s="17" t="n">
        <v>373761</v>
      </c>
      <c r="M649" s="17" t="n">
        <v>16693</v>
      </c>
      <c r="N649" s="17" t="n">
        <v>1231</v>
      </c>
      <c r="O649" s="17" t="n">
        <v>1313</v>
      </c>
      <c r="P649" s="17" t="n">
        <v>1612</v>
      </c>
      <c r="Q649" s="17" t="n">
        <v>0</v>
      </c>
      <c r="R649" s="17" t="n">
        <v>-64</v>
      </c>
      <c r="S649" s="17" t="n">
        <v>63943</v>
      </c>
      <c r="T649" s="17" t="n">
        <v>297593</v>
      </c>
      <c r="U649" s="17" t="n">
        <v>4544</v>
      </c>
      <c r="V649" s="17" t="n">
        <v>0.821587649425802</v>
      </c>
      <c r="W649" s="17" t="n">
        <v>8.72</v>
      </c>
      <c r="X649" s="17" t="n">
        <v>3.03436326107607</v>
      </c>
      <c r="Y649" s="17" t="n">
        <v>1.30365991392029</v>
      </c>
      <c r="Z649" s="17" t="n">
        <v>21.4867285184799</v>
      </c>
      <c r="AA649" s="17" t="n">
        <v>9.58290791937398</v>
      </c>
      <c r="AB649" s="17" t="n">
        <v>-0.666924692340221</v>
      </c>
      <c r="AC649" s="17" t="n">
        <v>6.90793588634893</v>
      </c>
      <c r="AD649" s="17" t="n">
        <v>-3.63826091382832</v>
      </c>
      <c r="AE649" s="17" t="n">
        <v>0.190128981720026</v>
      </c>
      <c r="AF649" s="17" t="n">
        <v>-0.255908516630044</v>
      </c>
      <c r="AG649" s="18" t="n">
        <f aca="false">IFERROR(100*O649/F649,"")</f>
        <v>0.236848846060877</v>
      </c>
      <c r="AH649" s="18" t="n">
        <f aca="false">IFERROR(100*(P649+Q649)/F649,"")</f>
        <v>0.290784721896523</v>
      </c>
      <c r="AI649" s="18" t="n">
        <f aca="false">IFERROR(100*R649/K649,"")</f>
        <v>-0.0162883444170427</v>
      </c>
      <c r="AJ649" s="18" t="n">
        <f aca="false">IF(T649&gt;0,100*S649/T649,"")</f>
        <v>21.4867285184799</v>
      </c>
      <c r="AK649" s="18" t="n">
        <f aca="false">IFERROR(100*U649/G649,"")</f>
        <v>0.821587649425802</v>
      </c>
      <c r="AL649" s="18" t="n">
        <f aca="false">IFERROR(100*J649/H649,"")</f>
        <v>86.5273421594198</v>
      </c>
      <c r="AM649" s="18" t="n">
        <f aca="false">IFERROR(100*L649/J649,"")</f>
        <v>95.0745820657096</v>
      </c>
      <c r="AN649" s="18" t="n">
        <f aca="false">IFERROR(100*M649/J649,"")</f>
        <v>4.24624291572125</v>
      </c>
      <c r="AO649" s="18" t="n">
        <f aca="false">IFERROR(100*N649/J649,"")</f>
        <v>0.313132752007</v>
      </c>
    </row>
    <row r="650" customFormat="false" ht="15" hidden="false" customHeight="false" outlineLevel="0" collapsed="false">
      <c r="A650" s="17" t="n">
        <v>30350</v>
      </c>
      <c r="B650" s="23" t="n">
        <v>45107</v>
      </c>
      <c r="C650" s="17" t="s">
        <v>154</v>
      </c>
      <c r="D650" s="17" t="s">
        <v>113</v>
      </c>
      <c r="E650" s="17" t="s">
        <v>118</v>
      </c>
      <c r="F650" s="17" t="n">
        <v>551849</v>
      </c>
      <c r="G650" s="17" t="n">
        <v>552666.666666667</v>
      </c>
      <c r="H650" s="17" t="n">
        <v>438525</v>
      </c>
      <c r="I650" s="17" t="n">
        <v>53168</v>
      </c>
      <c r="J650" s="17" t="n">
        <v>396729</v>
      </c>
      <c r="K650" s="17" t="n">
        <v>394189</v>
      </c>
      <c r="L650" s="17" t="n">
        <v>376669</v>
      </c>
      <c r="M650" s="17" t="n">
        <v>17162</v>
      </c>
      <c r="N650" s="17" t="n">
        <v>1216</v>
      </c>
      <c r="O650" s="17" t="n">
        <v>1166</v>
      </c>
      <c r="P650" s="17" t="n">
        <v>486</v>
      </c>
      <c r="Q650" s="17" t="n">
        <v>0</v>
      </c>
      <c r="R650" s="17" t="n">
        <v>-40</v>
      </c>
      <c r="S650" s="17" t="n">
        <v>64623</v>
      </c>
      <c r="T650" s="17" t="n">
        <v>300572</v>
      </c>
      <c r="U650" s="17" t="n">
        <v>3758</v>
      </c>
      <c r="V650" s="17" t="n">
        <v>0.679975874547648</v>
      </c>
      <c r="W650" s="17" t="n">
        <v>7.16</v>
      </c>
      <c r="X650" s="17" t="n">
        <v>2.96883492457416</v>
      </c>
      <c r="Y650" s="17" t="n">
        <v>1.29282205233295</v>
      </c>
      <c r="Z650" s="17" t="n">
        <v>21.5000066539798</v>
      </c>
      <c r="AA650" s="17" t="n">
        <v>9.63451958778579</v>
      </c>
      <c r="AB650" s="17" t="n">
        <v>1.54474895759347</v>
      </c>
      <c r="AC650" s="17" t="n">
        <v>6.93388750525601</v>
      </c>
      <c r="AD650" s="17" t="n">
        <v>-6.32870023261626</v>
      </c>
      <c r="AE650" s="17" t="n">
        <v>0.177177584353735</v>
      </c>
      <c r="AF650" s="17" t="n">
        <v>-0.288844643492584</v>
      </c>
      <c r="AG650" s="18" t="n">
        <f aca="false">IFERROR(100*O650/F650,"")</f>
        <v>0.211289682503728</v>
      </c>
      <c r="AH650" s="18" t="n">
        <f aca="false">IFERROR(100*(P650+Q650)/F650,"")</f>
        <v>0.0880675692082436</v>
      </c>
      <c r="AI650" s="18" t="n">
        <f aca="false">IFERROR(100*R650/K650,"")</f>
        <v>-0.0101474165945777</v>
      </c>
      <c r="AJ650" s="18" t="n">
        <f aca="false">IF(T650&gt;0,100*S650/T650,"")</f>
        <v>21.5000066539797</v>
      </c>
      <c r="AK650" s="18" t="n">
        <f aca="false">IFERROR(100*U650/G650,"")</f>
        <v>0.679975874547648</v>
      </c>
      <c r="AL650" s="18" t="n">
        <f aca="false">IFERROR(100*J650/H650,"")</f>
        <v>90.4689584402258</v>
      </c>
      <c r="AM650" s="18" t="n">
        <f aca="false">IFERROR(100*L650/J650,"")</f>
        <v>94.9436517118739</v>
      </c>
      <c r="AN650" s="18" t="n">
        <f aca="false">IFERROR(100*M650/J650,"")</f>
        <v>4.3258748415165</v>
      </c>
      <c r="AO650" s="18" t="n">
        <f aca="false">IFERROR(100*N650/J650,"")</f>
        <v>0.306506456548425</v>
      </c>
    </row>
    <row r="651" customFormat="false" ht="15" hidden="false" customHeight="false" outlineLevel="0" collapsed="false">
      <c r="A651" s="17" t="n">
        <v>30350</v>
      </c>
      <c r="B651" s="23" t="n">
        <v>45199</v>
      </c>
      <c r="C651" s="17" t="s">
        <v>154</v>
      </c>
      <c r="D651" s="17" t="s">
        <v>113</v>
      </c>
      <c r="E651" s="17" t="s">
        <v>118</v>
      </c>
      <c r="F651" s="17" t="n">
        <v>558317</v>
      </c>
      <c r="G651" s="17" t="n">
        <v>554079.25</v>
      </c>
      <c r="H651" s="17" t="n">
        <v>447436</v>
      </c>
      <c r="I651" s="17" t="n">
        <v>53432</v>
      </c>
      <c r="J651" s="17" t="n">
        <v>405415</v>
      </c>
      <c r="K651" s="17" t="n">
        <v>396995.5</v>
      </c>
      <c r="L651" s="17" t="n">
        <v>383676</v>
      </c>
      <c r="M651" s="17" t="n">
        <v>16937</v>
      </c>
      <c r="N651" s="17" t="n">
        <v>1367</v>
      </c>
      <c r="O651" s="17" t="n">
        <v>1501</v>
      </c>
      <c r="P651" s="17" t="n">
        <v>857</v>
      </c>
      <c r="Q651" s="17" t="n">
        <v>0</v>
      </c>
      <c r="R651" s="17" t="n">
        <v>-34.6658</v>
      </c>
      <c r="S651" s="17" t="n">
        <v>65847</v>
      </c>
      <c r="T651" s="17" t="n">
        <v>328216</v>
      </c>
      <c r="U651" s="17" t="n">
        <v>3818.5712</v>
      </c>
      <c r="V651" s="17" t="n">
        <v>0.68917419304188</v>
      </c>
      <c r="W651" s="17" t="n">
        <v>7.24</v>
      </c>
      <c r="X651" s="17" t="n">
        <v>2.88804492626645</v>
      </c>
      <c r="Y651" s="17" t="n">
        <v>1.29940924731448</v>
      </c>
      <c r="Z651" s="17" t="n">
        <v>20.0620932556609</v>
      </c>
      <c r="AA651" s="17" t="n">
        <v>9.5701904115404</v>
      </c>
      <c r="AB651" s="17" t="n">
        <v>3.07041915504398</v>
      </c>
      <c r="AC651" s="17" t="n">
        <v>7.16815843594203</v>
      </c>
      <c r="AD651" s="17" t="n">
        <v>-5.47120103605707</v>
      </c>
      <c r="AE651" s="17" t="n">
        <v>0.0399924514603656</v>
      </c>
      <c r="AF651" s="17" t="n">
        <v>-0.0983438865364703</v>
      </c>
      <c r="AG651" s="18" t="n">
        <f aca="false">IFERROR(100*O651/F651,"")</f>
        <v>0.268843685576474</v>
      </c>
      <c r="AH651" s="18" t="n">
        <f aca="false">IFERROR(100*(P651+Q651)/F651,"")</f>
        <v>0.153497027674242</v>
      </c>
      <c r="AI651" s="18" t="n">
        <f aca="false">IFERROR(100*R651/K651,"")</f>
        <v>-0.00873203852436615</v>
      </c>
      <c r="AJ651" s="18" t="n">
        <f aca="false">IF(T651&gt;0,100*S651/T651,"")</f>
        <v>20.0620932556609</v>
      </c>
      <c r="AK651" s="18" t="n">
        <f aca="false">IFERROR(100*U651/G651,"")</f>
        <v>0.68917419304188</v>
      </c>
      <c r="AL651" s="18" t="n">
        <f aca="false">IFERROR(100*J651/H651,"")</f>
        <v>90.608489258799</v>
      </c>
      <c r="AM651" s="18" t="n">
        <f aca="false">IFERROR(100*L651/J651,"")</f>
        <v>94.637840237781</v>
      </c>
      <c r="AN651" s="18" t="n">
        <f aca="false">IFERROR(100*M651/J651,"")</f>
        <v>4.17769446123108</v>
      </c>
      <c r="AO651" s="18" t="n">
        <f aca="false">IFERROR(100*N651/J651,"")</f>
        <v>0.337185353279972</v>
      </c>
    </row>
    <row r="652" customFormat="false" ht="15" hidden="false" customHeight="false" outlineLevel="0" collapsed="false">
      <c r="A652" s="17" t="n">
        <v>30350</v>
      </c>
      <c r="B652" s="23" t="n">
        <v>45291</v>
      </c>
      <c r="C652" s="17" t="s">
        <v>154</v>
      </c>
      <c r="D652" s="17" t="s">
        <v>113</v>
      </c>
      <c r="E652" s="17" t="s">
        <v>118</v>
      </c>
      <c r="F652" s="17" t="n">
        <v>552031</v>
      </c>
      <c r="G652" s="17" t="n">
        <v>553669.6</v>
      </c>
      <c r="H652" s="17" t="n">
        <v>441306</v>
      </c>
      <c r="I652" s="17" t="n">
        <v>56419</v>
      </c>
      <c r="J652" s="17" t="n">
        <v>403381</v>
      </c>
      <c r="K652" s="17" t="n">
        <v>398272.6</v>
      </c>
      <c r="L652" s="17" t="n">
        <v>383810</v>
      </c>
      <c r="M652" s="17" t="n">
        <v>16929</v>
      </c>
      <c r="N652" s="17" t="n">
        <v>1371</v>
      </c>
      <c r="O652" s="17" t="n">
        <v>2020</v>
      </c>
      <c r="P652" s="17" t="n">
        <v>904</v>
      </c>
      <c r="Q652" s="17" t="n">
        <v>0</v>
      </c>
      <c r="R652" s="17" t="n">
        <v>-22</v>
      </c>
      <c r="S652" s="17" t="n">
        <v>66757</v>
      </c>
      <c r="T652" s="17" t="n">
        <v>322205</v>
      </c>
      <c r="U652" s="17" t="n">
        <v>3846</v>
      </c>
      <c r="V652" s="17" t="n">
        <v>0.694638101857137</v>
      </c>
      <c r="W652" s="17" t="n">
        <v>7.19</v>
      </c>
      <c r="X652" s="17" t="n">
        <v>2.83298526110028</v>
      </c>
      <c r="Y652" s="17" t="n">
        <v>1.30472183865874</v>
      </c>
      <c r="Z652" s="17" t="n">
        <v>20.7187970391521</v>
      </c>
      <c r="AA652" s="17" t="n">
        <v>10.2202593694919</v>
      </c>
      <c r="AB652" s="17" t="n">
        <v>0.0438573440209922</v>
      </c>
      <c r="AC652" s="17" t="n">
        <v>2.7162260576399</v>
      </c>
      <c r="AD652" s="17" t="n">
        <v>-4.81792064601289</v>
      </c>
      <c r="AE652" s="17" t="n">
        <v>-0.0314735374421585</v>
      </c>
      <c r="AF652" s="17" t="n">
        <v>0.0984279262581721</v>
      </c>
      <c r="AG652" s="18" t="n">
        <f aca="false">IFERROR(100*O652/F652,"")</f>
        <v>0.365921479047372</v>
      </c>
      <c r="AH652" s="18" t="n">
        <f aca="false">IFERROR(100*(P652+Q652)/F652,"")</f>
        <v>0.163758919336052</v>
      </c>
      <c r="AI652" s="18" t="n">
        <f aca="false">IFERROR(100*R652/K652,"")</f>
        <v>-0.00552385476681047</v>
      </c>
      <c r="AJ652" s="18" t="n">
        <f aca="false">IF(T652&gt;0,100*S652/T652,"")</f>
        <v>20.7187970391521</v>
      </c>
      <c r="AK652" s="18" t="n">
        <f aca="false">IFERROR(100*U652/G652,"")</f>
        <v>0.694638101857137</v>
      </c>
      <c r="AL652" s="18" t="n">
        <f aca="false">IFERROR(100*J652/H652,"")</f>
        <v>91.4061898093386</v>
      </c>
      <c r="AM652" s="18" t="n">
        <f aca="false">IFERROR(100*L652/J652,"")</f>
        <v>95.148259337946</v>
      </c>
      <c r="AN652" s="18" t="n">
        <f aca="false">IFERROR(100*M652/J652,"")</f>
        <v>4.19677674456655</v>
      </c>
      <c r="AO652" s="18" t="n">
        <f aca="false">IFERROR(100*N652/J652,"")</f>
        <v>0.339877188067856</v>
      </c>
    </row>
    <row r="653" customFormat="false" ht="15" hidden="false" customHeight="false" outlineLevel="0" collapsed="false">
      <c r="A653" s="17" t="n">
        <v>30350</v>
      </c>
      <c r="B653" s="23" t="n">
        <v>45382</v>
      </c>
      <c r="C653" s="17" t="s">
        <v>154</v>
      </c>
      <c r="D653" s="17" t="s">
        <v>113</v>
      </c>
      <c r="E653" s="17" t="s">
        <v>118</v>
      </c>
      <c r="F653" s="17" t="n">
        <v>558824</v>
      </c>
      <c r="G653" s="17" t="n">
        <v>555427.5</v>
      </c>
      <c r="H653" s="17" t="n">
        <v>445096</v>
      </c>
      <c r="I653" s="17" t="n">
        <v>56764</v>
      </c>
      <c r="J653" s="17" t="n">
        <v>404058</v>
      </c>
      <c r="K653" s="17" t="n">
        <v>403719.5</v>
      </c>
      <c r="L653" s="17" t="n">
        <v>385261</v>
      </c>
      <c r="M653" s="17" t="n">
        <v>16001</v>
      </c>
      <c r="N653" s="17" t="n">
        <v>1534</v>
      </c>
      <c r="O653" s="17" t="n">
        <v>1795</v>
      </c>
      <c r="P653" s="17" t="n">
        <v>726</v>
      </c>
      <c r="Q653" s="17" t="n">
        <v>0</v>
      </c>
      <c r="R653" s="17" t="n">
        <v>-28</v>
      </c>
      <c r="S653" s="17" t="n">
        <v>67383</v>
      </c>
      <c r="T653" s="17" t="n">
        <v>321724</v>
      </c>
      <c r="U653" s="17" t="n">
        <v>2536</v>
      </c>
      <c r="V653" s="17" t="n">
        <v>0.456585242898488</v>
      </c>
      <c r="W653" s="17" t="n">
        <v>4.48</v>
      </c>
      <c r="X653" s="17" t="n">
        <v>2.55278608364277</v>
      </c>
      <c r="Y653" s="17" t="n">
        <v>1.27184711105831</v>
      </c>
      <c r="Z653" s="17" t="n">
        <v>20.9443498153697</v>
      </c>
      <c r="AA653" s="17" t="n">
        <v>10.1577598671496</v>
      </c>
      <c r="AB653" s="17" t="n">
        <v>0.804889224008853</v>
      </c>
      <c r="AC653" s="17" t="n">
        <v>2.78131073147403</v>
      </c>
      <c r="AD653" s="17" t="n">
        <v>-2.03352152046398</v>
      </c>
      <c r="AE653" s="17" t="n">
        <v>-0.365002406527314</v>
      </c>
      <c r="AF653" s="17" t="n">
        <v>0.0843614097620653</v>
      </c>
      <c r="AG653" s="18" t="n">
        <f aca="false">IFERROR(100*O653/F653,"")</f>
        <v>0.321210255822943</v>
      </c>
      <c r="AH653" s="18" t="n">
        <f aca="false">IFERROR(100*(P653+Q653)/F653,"")</f>
        <v>0.129915680071006</v>
      </c>
      <c r="AI653" s="18" t="n">
        <f aca="false">IFERROR(100*R653/K653,"")</f>
        <v>-0.00693550844088532</v>
      </c>
      <c r="AJ653" s="18" t="n">
        <f aca="false">IF(T653&gt;0,100*S653/T653,"")</f>
        <v>20.9443498153697</v>
      </c>
      <c r="AK653" s="18" t="n">
        <f aca="false">IFERROR(100*U653/G653,"")</f>
        <v>0.456585242898488</v>
      </c>
      <c r="AL653" s="18" t="n">
        <f aca="false">IFERROR(100*J653/H653,"")</f>
        <v>90.7799665690098</v>
      </c>
      <c r="AM653" s="18" t="n">
        <f aca="false">IFERROR(100*L653/J653,"")</f>
        <v>95.347945096991</v>
      </c>
      <c r="AN653" s="18" t="n">
        <f aca="false">IFERROR(100*M653/J653,"")</f>
        <v>3.96007503873206</v>
      </c>
      <c r="AO653" s="18" t="n">
        <f aca="false">IFERROR(100*N653/J653,"")</f>
        <v>0.379648466309292</v>
      </c>
    </row>
    <row r="654" customFormat="false" ht="15" hidden="false" customHeight="false" outlineLevel="0" collapsed="false">
      <c r="A654" s="17" t="n">
        <v>30350</v>
      </c>
      <c r="B654" s="23" t="n">
        <v>45473</v>
      </c>
      <c r="C654" s="17" t="s">
        <v>154</v>
      </c>
      <c r="D654" s="17" t="s">
        <v>113</v>
      </c>
      <c r="E654" s="17" t="s">
        <v>118</v>
      </c>
      <c r="F654" s="17" t="n">
        <v>564787</v>
      </c>
      <c r="G654" s="17" t="n">
        <v>558547.333333333</v>
      </c>
      <c r="H654" s="17" t="n">
        <v>443952</v>
      </c>
      <c r="I654" s="17" t="n">
        <v>57863</v>
      </c>
      <c r="J654" s="17" t="n">
        <v>416045</v>
      </c>
      <c r="K654" s="17" t="n">
        <v>407828</v>
      </c>
      <c r="L654" s="17" t="n">
        <v>396859</v>
      </c>
      <c r="M654" s="17" t="n">
        <v>16189</v>
      </c>
      <c r="N654" s="17" t="n">
        <v>1741</v>
      </c>
      <c r="O654" s="17" t="n">
        <v>1683</v>
      </c>
      <c r="P654" s="17" t="n">
        <v>1867</v>
      </c>
      <c r="Q654" s="17" t="n">
        <v>0</v>
      </c>
      <c r="R654" s="17" t="n">
        <v>-420</v>
      </c>
      <c r="S654" s="17" t="n">
        <v>68334</v>
      </c>
      <c r="T654" s="17" t="n">
        <v>328685</v>
      </c>
      <c r="U654" s="17" t="n">
        <v>2992</v>
      </c>
      <c r="V654" s="17" t="n">
        <v>0.535675281474205</v>
      </c>
      <c r="W654" s="17" t="n">
        <v>5.25</v>
      </c>
      <c r="X654" s="17" t="n">
        <v>2.61238644826905</v>
      </c>
      <c r="Y654" s="17" t="n">
        <v>1.27341994255429</v>
      </c>
      <c r="Z654" s="17" t="n">
        <v>20.7901181982749</v>
      </c>
      <c r="AA654" s="17" t="n">
        <v>10.24510125056</v>
      </c>
      <c r="AB654" s="17" t="n">
        <v>2.34448191443675</v>
      </c>
      <c r="AC654" s="17" t="n">
        <v>4.8688147324748</v>
      </c>
      <c r="AD654" s="17" t="n">
        <v>1.23755772190868</v>
      </c>
      <c r="AE654" s="17" t="n">
        <v>-0.144300593073443</v>
      </c>
      <c r="AF654" s="17" t="n">
        <v>0.086698762697737</v>
      </c>
      <c r="AG654" s="18" t="n">
        <f aca="false">IFERROR(100*O654/F654,"")</f>
        <v>0.297988445201465</v>
      </c>
      <c r="AH654" s="18" t="n">
        <f aca="false">IFERROR(100*(P654+Q654)/F654,"")</f>
        <v>0.330567098746961</v>
      </c>
      <c r="AI654" s="18" t="n">
        <f aca="false">IFERROR(100*R654/K654,"")</f>
        <v>-0.102984591543494</v>
      </c>
      <c r="AJ654" s="18" t="n">
        <f aca="false">IF(T654&gt;0,100*S654/T654,"")</f>
        <v>20.7901181982749</v>
      </c>
      <c r="AK654" s="18" t="n">
        <f aca="false">IFERROR(100*U654/G654,"")</f>
        <v>0.535675281474205</v>
      </c>
      <c r="AL654" s="18" t="n">
        <f aca="false">IFERROR(100*J654/H654,"")</f>
        <v>93.7139600677551</v>
      </c>
      <c r="AM654" s="18" t="n">
        <f aca="false">IFERROR(100*L654/J654,"")</f>
        <v>95.3884796115805</v>
      </c>
      <c r="AN654" s="18" t="n">
        <f aca="false">IFERROR(100*M654/J654,"")</f>
        <v>3.8911656191037</v>
      </c>
      <c r="AO654" s="18" t="n">
        <f aca="false">IFERROR(100*N654/J654,"")</f>
        <v>0.418464348808422</v>
      </c>
    </row>
    <row r="655" customFormat="false" ht="15" hidden="false" customHeight="false" outlineLevel="0" collapsed="false">
      <c r="A655" s="17" t="n">
        <v>30350</v>
      </c>
      <c r="B655" s="23" t="n">
        <v>45565</v>
      </c>
      <c r="C655" s="17" t="s">
        <v>154</v>
      </c>
      <c r="D655" s="17" t="s">
        <v>113</v>
      </c>
      <c r="E655" s="17" t="s">
        <v>118</v>
      </c>
      <c r="F655" s="17" t="n">
        <v>583685</v>
      </c>
      <c r="G655" s="17" t="n">
        <v>564831.75</v>
      </c>
      <c r="H655" s="17" t="n">
        <v>462099</v>
      </c>
      <c r="I655" s="17" t="n">
        <v>60586</v>
      </c>
      <c r="J655" s="17" t="n">
        <v>434699</v>
      </c>
      <c r="K655" s="17" t="n">
        <v>414545.75</v>
      </c>
      <c r="L655" s="17" t="n">
        <v>415141</v>
      </c>
      <c r="M655" s="17" t="n">
        <v>14987</v>
      </c>
      <c r="N655" s="17" t="n">
        <v>1823</v>
      </c>
      <c r="O655" s="17" t="n">
        <v>1774</v>
      </c>
      <c r="P655" s="17" t="n">
        <v>639</v>
      </c>
      <c r="Q655" s="17" t="n">
        <v>0</v>
      </c>
      <c r="R655" s="17" t="n">
        <v>-281.3263</v>
      </c>
      <c r="S655" s="17" t="n">
        <v>69567</v>
      </c>
      <c r="T655" s="17" t="n">
        <v>336343</v>
      </c>
      <c r="U655" s="17" t="n">
        <v>3511.9122</v>
      </c>
      <c r="V655" s="17" t="n">
        <v>0.62176253371026</v>
      </c>
      <c r="W655" s="17" t="n">
        <v>6.06</v>
      </c>
      <c r="X655" s="17" t="n">
        <v>2.61400574385989</v>
      </c>
      <c r="Y655" s="17" t="n">
        <v>1.21923445878643</v>
      </c>
      <c r="Z655" s="17" t="n">
        <v>20.6833500325561</v>
      </c>
      <c r="AA655" s="17" t="n">
        <v>10.3799138233808</v>
      </c>
      <c r="AB655" s="17" t="n">
        <v>4.54365530693137</v>
      </c>
      <c r="AC655" s="17" t="n">
        <v>7.22321571722802</v>
      </c>
      <c r="AD655" s="17" t="n">
        <v>3.27711672730848</v>
      </c>
      <c r="AE655" s="17" t="n">
        <v>-0.0674116593316202</v>
      </c>
      <c r="AF655" s="17" t="n">
        <v>0.0350873731281359</v>
      </c>
      <c r="AG655" s="18" t="n">
        <f aca="false">IFERROR(100*O655/F655,"")</f>
        <v>0.30393105870461</v>
      </c>
      <c r="AH655" s="18" t="n">
        <f aca="false">IFERROR(100*(P655+Q655)/F655,"")</f>
        <v>0.109476858236891</v>
      </c>
      <c r="AI655" s="18" t="n">
        <f aca="false">IFERROR(100*R655/K655,"")</f>
        <v>-0.0678637520707908</v>
      </c>
      <c r="AJ655" s="18" t="n">
        <f aca="false">IF(T655&gt;0,100*S655/T655,"")</f>
        <v>20.6833500325561</v>
      </c>
      <c r="AK655" s="18" t="n">
        <f aca="false">IFERROR(100*U655/G655,"")</f>
        <v>0.62176253371026</v>
      </c>
      <c r="AL655" s="18" t="n">
        <f aca="false">IFERROR(100*J655/H655,"")</f>
        <v>94.0705346689779</v>
      </c>
      <c r="AM655" s="18" t="n">
        <f aca="false">IFERROR(100*L655/J655,"")</f>
        <v>95.5007948028406</v>
      </c>
      <c r="AN655" s="18" t="n">
        <f aca="false">IFERROR(100*M655/J655,"")</f>
        <v>3.4476729875155</v>
      </c>
      <c r="AO655" s="18" t="n">
        <f aca="false">IFERROR(100*N655/J655,"")</f>
        <v>0.419370644975029</v>
      </c>
    </row>
    <row r="656" customFormat="false" ht="15" hidden="false" customHeight="false" outlineLevel="0" collapsed="false">
      <c r="A656" s="17" t="n">
        <v>30350</v>
      </c>
      <c r="B656" s="23" t="n">
        <v>45657</v>
      </c>
      <c r="C656" s="17" t="s">
        <v>154</v>
      </c>
      <c r="D656" s="17" t="s">
        <v>113</v>
      </c>
      <c r="E656" s="17" t="s">
        <v>118</v>
      </c>
      <c r="F656" s="17" t="n">
        <v>593799</v>
      </c>
      <c r="G656" s="17" t="n">
        <v>570625.2</v>
      </c>
      <c r="H656" s="17" t="n">
        <v>466175</v>
      </c>
      <c r="I656" s="17" t="n">
        <v>60826</v>
      </c>
      <c r="J656" s="17" t="n">
        <v>456385</v>
      </c>
      <c r="K656" s="17" t="n">
        <v>422913.6</v>
      </c>
      <c r="L656" s="17" t="n">
        <v>438311</v>
      </c>
      <c r="M656" s="17" t="n">
        <v>15211</v>
      </c>
      <c r="N656" s="17" t="n">
        <v>1706</v>
      </c>
      <c r="O656" s="17" t="n">
        <v>1585</v>
      </c>
      <c r="P656" s="17" t="n">
        <v>5535</v>
      </c>
      <c r="Q656" s="17" t="n">
        <v>0</v>
      </c>
      <c r="R656" s="17" t="n">
        <v>-208</v>
      </c>
      <c r="S656" s="17" t="n">
        <v>70876</v>
      </c>
      <c r="T656" s="17" t="n">
        <v>350670</v>
      </c>
      <c r="U656" s="17" t="n">
        <v>3766</v>
      </c>
      <c r="V656" s="17" t="n">
        <v>0.659977862877419</v>
      </c>
      <c r="W656" s="17" t="n">
        <v>6.44</v>
      </c>
      <c r="X656" s="17" t="n">
        <v>2.64702965497799</v>
      </c>
      <c r="Y656" s="17" t="n">
        <v>1.16042376502295</v>
      </c>
      <c r="Z656" s="17" t="n">
        <v>20.2115949468161</v>
      </c>
      <c r="AA656" s="17" t="n">
        <v>10.2435335862809</v>
      </c>
      <c r="AB656" s="17" t="n">
        <v>7.56624175091616</v>
      </c>
      <c r="AC656" s="17" t="n">
        <v>13.1399347019319</v>
      </c>
      <c r="AD656" s="17" t="n">
        <v>5.63531880373256</v>
      </c>
      <c r="AE656" s="17" t="n">
        <v>-0.034660238979717</v>
      </c>
      <c r="AF656" s="17" t="n">
        <v>-0.0989961389912254</v>
      </c>
      <c r="AG656" s="18" t="n">
        <f aca="false">IFERROR(100*O656/F656,"")</f>
        <v>0.266925340056147</v>
      </c>
      <c r="AH656" s="18" t="n">
        <f aca="false">IFERROR(100*(P656+Q656)/F656,"")</f>
        <v>0.932133600763895</v>
      </c>
      <c r="AI656" s="18" t="n">
        <f aca="false">IFERROR(100*R656/K656,"")</f>
        <v>-0.0491826226444361</v>
      </c>
      <c r="AJ656" s="18" t="n">
        <f aca="false">IF(T656&gt;0,100*S656/T656,"")</f>
        <v>20.2115949468161</v>
      </c>
      <c r="AK656" s="18" t="n">
        <f aca="false">IFERROR(100*U656/G656,"")</f>
        <v>0.659977862877419</v>
      </c>
      <c r="AL656" s="18" t="n">
        <f aca="false">IFERROR(100*J656/H656,"")</f>
        <v>97.8999302836918</v>
      </c>
      <c r="AM656" s="18" t="n">
        <f aca="false">IFERROR(100*L656/J656,"")</f>
        <v>96.039747143311</v>
      </c>
      <c r="AN656" s="18" t="n">
        <f aca="false">IFERROR(100*M656/J656,"")</f>
        <v>3.33293162571075</v>
      </c>
      <c r="AO656" s="18" t="n">
        <f aca="false">IFERROR(100*N656/J656,"")</f>
        <v>0.373807202252484</v>
      </c>
    </row>
    <row r="657" customFormat="false" ht="15" hidden="false" customHeight="false" outlineLevel="0" collapsed="false">
      <c r="A657" s="17" t="n">
        <v>30350</v>
      </c>
      <c r="B657" s="23" t="n">
        <v>45747</v>
      </c>
      <c r="C657" s="17" t="s">
        <v>154</v>
      </c>
      <c r="D657" s="17" t="s">
        <v>113</v>
      </c>
      <c r="E657" s="17" t="s">
        <v>118</v>
      </c>
      <c r="F657" s="17" t="n">
        <v>609028</v>
      </c>
      <c r="G657" s="17" t="n">
        <v>601413.5</v>
      </c>
      <c r="H657" s="17" t="n">
        <v>474831</v>
      </c>
      <c r="I657" s="17" t="n">
        <v>62866</v>
      </c>
      <c r="J657" s="17" t="n">
        <v>464716</v>
      </c>
      <c r="K657" s="17" t="n">
        <v>460550.5</v>
      </c>
      <c r="L657" s="17" t="n">
        <v>446528</v>
      </c>
      <c r="M657" s="17" t="n">
        <v>15504</v>
      </c>
      <c r="N657" s="17" t="n">
        <v>1535</v>
      </c>
      <c r="O657" s="17" t="n">
        <v>1587</v>
      </c>
      <c r="P657" s="17" t="n">
        <v>4067</v>
      </c>
      <c r="Q657" s="17" t="n">
        <v>0</v>
      </c>
      <c r="R657" s="17" t="n">
        <v>160</v>
      </c>
      <c r="S657" s="17" t="n">
        <v>72125</v>
      </c>
      <c r="T657" s="17" t="n">
        <v>357298</v>
      </c>
      <c r="U657" s="17" t="n">
        <v>4672</v>
      </c>
      <c r="V657" s="17" t="n">
        <v>0.776836569182434</v>
      </c>
      <c r="W657" s="17" t="n">
        <v>7.55</v>
      </c>
      <c r="X657" s="17" t="n">
        <v>2.7130241139161</v>
      </c>
      <c r="Y657" s="17" t="n">
        <v>1.14220297988449</v>
      </c>
      <c r="Z657" s="17" t="n">
        <v>20.1862311012096</v>
      </c>
      <c r="AA657" s="17" t="n">
        <v>10.3223497113433</v>
      </c>
      <c r="AB657" s="17" t="n">
        <v>8.98386611884958</v>
      </c>
      <c r="AC657" s="17" t="n">
        <v>15.0122012186369</v>
      </c>
      <c r="AD657" s="17" t="n">
        <v>6.68058126786131</v>
      </c>
      <c r="AE657" s="17" t="n">
        <v>0.320251326283946</v>
      </c>
      <c r="AF657" s="17" t="n">
        <v>-0.0606311034686993</v>
      </c>
      <c r="AG657" s="18" t="n">
        <f aca="false">IFERROR(100*O657/F657,"")</f>
        <v>0.260579152354243</v>
      </c>
      <c r="AH657" s="18" t="n">
        <f aca="false">IFERROR(100*(P657+Q657)/F657,"")</f>
        <v>0.667785389177509</v>
      </c>
      <c r="AI657" s="18" t="n">
        <f aca="false">IFERROR(100*R657/K657,"")</f>
        <v>0.0347410327423377</v>
      </c>
      <c r="AJ657" s="18" t="n">
        <f aca="false">IF(T657&gt;0,100*S657/T657,"")</f>
        <v>20.1862311012096</v>
      </c>
      <c r="AK657" s="18" t="n">
        <f aca="false">IFERROR(100*U657/G657,"")</f>
        <v>0.776836569182434</v>
      </c>
      <c r="AL657" s="18" t="n">
        <f aca="false">IFERROR(100*J657/H657,"")</f>
        <v>97.8697684018103</v>
      </c>
      <c r="AM657" s="18" t="n">
        <f aca="false">IFERROR(100*L657/J657,"")</f>
        <v>96.0862117938698</v>
      </c>
      <c r="AN657" s="18" t="n">
        <f aca="false">IFERROR(100*M657/J657,"")</f>
        <v>3.33623116053676</v>
      </c>
      <c r="AO657" s="18" t="n">
        <f aca="false">IFERROR(100*N657/J657,"")</f>
        <v>0.33030926415273</v>
      </c>
    </row>
    <row r="658" customFormat="false" ht="15" hidden="false" customHeight="false" outlineLevel="0" collapsed="false">
      <c r="A658" s="17" t="n">
        <v>30350</v>
      </c>
      <c r="B658" s="23" t="n">
        <v>45838</v>
      </c>
      <c r="C658" s="17" t="s">
        <v>154</v>
      </c>
      <c r="D658" s="17" t="s">
        <v>113</v>
      </c>
      <c r="E658" s="17" t="s">
        <v>118</v>
      </c>
      <c r="F658" s="17" t="n">
        <v>621434</v>
      </c>
      <c r="G658" s="17" t="n">
        <v>608087</v>
      </c>
      <c r="H658" s="17" t="n">
        <v>477487</v>
      </c>
      <c r="I658" s="17" t="n">
        <v>64425</v>
      </c>
      <c r="J658" s="17" t="n">
        <v>479059</v>
      </c>
      <c r="K658" s="17" t="n">
        <v>466720</v>
      </c>
      <c r="L658" s="17" t="n">
        <v>461052</v>
      </c>
      <c r="M658" s="17" t="n">
        <v>15301</v>
      </c>
      <c r="N658" s="17" t="n">
        <v>1564</v>
      </c>
      <c r="O658" s="17" t="n">
        <v>1787</v>
      </c>
      <c r="P658" s="17" t="n">
        <v>1554</v>
      </c>
      <c r="Q658" s="17" t="n">
        <v>0</v>
      </c>
      <c r="R658" s="17" t="n">
        <v>70</v>
      </c>
      <c r="S658" s="17" t="n">
        <v>73317</v>
      </c>
      <c r="T658" s="17" t="n">
        <v>366328</v>
      </c>
      <c r="U658" s="17" t="n">
        <v>4576</v>
      </c>
      <c r="V658" s="17" t="n">
        <v>0.75252389871844</v>
      </c>
      <c r="W658" s="17" t="n">
        <v>7.3</v>
      </c>
      <c r="X658" s="17" t="n">
        <v>2.7562664518235</v>
      </c>
      <c r="Y658" s="17" t="n">
        <v>1.10904919853296</v>
      </c>
      <c r="Z658" s="17" t="n">
        <v>20.0140311414907</v>
      </c>
      <c r="AA658" s="17" t="n">
        <v>10.367150815694</v>
      </c>
      <c r="AB658" s="17" t="n">
        <v>10.0297988445202</v>
      </c>
      <c r="AC658" s="17" t="n">
        <v>15.1459577689913</v>
      </c>
      <c r="AD658" s="17" t="n">
        <v>7.55374454896025</v>
      </c>
      <c r="AE658" s="17" t="n">
        <v>0.216848617244235</v>
      </c>
      <c r="AF658" s="17" t="n">
        <v>-0.0104277388352221</v>
      </c>
      <c r="AG658" s="18" t="n">
        <f aca="false">IFERROR(100*O658/F658,"")</f>
        <v>0.287560706366243</v>
      </c>
      <c r="AH658" s="18" t="n">
        <f aca="false">IFERROR(100*(P658+Q658)/F658,"")</f>
        <v>0.250066781025821</v>
      </c>
      <c r="AI658" s="18" t="n">
        <f aca="false">IFERROR(100*R658/K658,"")</f>
        <v>0.0149982859101817</v>
      </c>
      <c r="AJ658" s="18" t="n">
        <f aca="false">IF(T658&gt;0,100*S658/T658,"")</f>
        <v>20.0140311414907</v>
      </c>
      <c r="AK658" s="18" t="n">
        <f aca="false">IFERROR(100*U658/G658,"")</f>
        <v>0.75252389871844</v>
      </c>
      <c r="AL658" s="18" t="n">
        <f aca="false">IFERROR(100*J658/H658,"")</f>
        <v>100.329223622842</v>
      </c>
      <c r="AM658" s="18" t="n">
        <f aca="false">IFERROR(100*L658/J658,"")</f>
        <v>96.2411727991751</v>
      </c>
      <c r="AN658" s="18" t="n">
        <f aca="false">IFERROR(100*M658/J658,"")</f>
        <v>3.1939698450504</v>
      </c>
      <c r="AO658" s="18" t="n">
        <f aca="false">IFERROR(100*N658/J658,"")</f>
        <v>0.326473357143901</v>
      </c>
    </row>
    <row r="659" customFormat="false" ht="15" hidden="false" customHeight="false" outlineLevel="0" collapsed="false">
      <c r="A659" s="17" t="n">
        <v>30878</v>
      </c>
      <c r="B659" s="23" t="n">
        <v>44651</v>
      </c>
      <c r="C659" s="17" t="s">
        <v>110</v>
      </c>
      <c r="D659" s="17" t="s">
        <v>108</v>
      </c>
      <c r="E659" s="17" t="s">
        <v>111</v>
      </c>
      <c r="F659" s="17" t="n">
        <v>100633</v>
      </c>
      <c r="G659" s="17" t="n">
        <v>100512.5</v>
      </c>
      <c r="H659" s="17" t="n">
        <v>78705</v>
      </c>
      <c r="I659" s="17" t="n">
        <v>12369</v>
      </c>
      <c r="J659" s="17" t="n">
        <v>68876</v>
      </c>
      <c r="K659" s="17" t="n">
        <v>68848</v>
      </c>
      <c r="L659" s="17" t="n">
        <v>68753</v>
      </c>
      <c r="M659" s="17" t="n">
        <v>0</v>
      </c>
      <c r="N659" s="17" t="n">
        <v>122</v>
      </c>
      <c r="O659" s="17" t="n">
        <v>539</v>
      </c>
      <c r="P659" s="17" t="n">
        <v>375</v>
      </c>
      <c r="Q659" s="17" t="n">
        <v>0</v>
      </c>
      <c r="R659" s="17" t="n">
        <v>0</v>
      </c>
      <c r="S659" s="17" t="n">
        <v>0</v>
      </c>
      <c r="T659" s="17" t="n">
        <v>0</v>
      </c>
      <c r="U659" s="17" t="n">
        <v>176</v>
      </c>
      <c r="V659" s="17" t="n">
        <v>0.175102599179207</v>
      </c>
      <c r="W659" s="17" t="n">
        <v>1.41</v>
      </c>
      <c r="X659" s="17" t="n">
        <v>1.98516265592569</v>
      </c>
      <c r="Y659" s="17" t="n">
        <v>1.1397293687206</v>
      </c>
      <c r="Z659" s="17" t="n">
        <v>0</v>
      </c>
      <c r="AA659" s="17" t="n">
        <v>12.2911967247324</v>
      </c>
      <c r="AB659" s="17"/>
      <c r="AC659" s="17"/>
      <c r="AD659" s="17"/>
      <c r="AE659" s="17"/>
      <c r="AF659" s="17"/>
      <c r="AG659" s="18" t="n">
        <f aca="false">IFERROR(100*O659/F659,"")</f>
        <v>0.535609591287152</v>
      </c>
      <c r="AH659" s="18" t="n">
        <f aca="false">IFERROR(100*(P659+Q659)/F659,"")</f>
        <v>0.37264118132223</v>
      </c>
      <c r="AI659" s="18" t="n">
        <f aca="false">IFERROR(100*R659/K659,"")</f>
        <v>0</v>
      </c>
      <c r="AJ659" s="18" t="str">
        <f aca="false">IF(T659&gt;0,100*S659/T659,"")</f>
        <v/>
      </c>
      <c r="AK659" s="18" t="n">
        <f aca="false">IFERROR(100*U659/G659,"")</f>
        <v>0.175102599179207</v>
      </c>
      <c r="AL659" s="18" t="n">
        <f aca="false">IFERROR(100*J659/H659,"")</f>
        <v>87.5115939266883</v>
      </c>
      <c r="AM659" s="18" t="n">
        <f aca="false">IFERROR(100*L659/J659,"")</f>
        <v>99.8214182008247</v>
      </c>
      <c r="AN659" s="18" t="n">
        <f aca="false">IFERROR(100*M659/J659,"")</f>
        <v>0</v>
      </c>
      <c r="AO659" s="18" t="n">
        <f aca="false">IFERROR(100*N659/J659,"")</f>
        <v>0.177129914629189</v>
      </c>
    </row>
    <row r="660" customFormat="false" ht="15" hidden="false" customHeight="false" outlineLevel="0" collapsed="false">
      <c r="A660" s="17" t="n">
        <v>30878</v>
      </c>
      <c r="B660" s="23" t="n">
        <v>44742</v>
      </c>
      <c r="C660" s="17" t="s">
        <v>110</v>
      </c>
      <c r="D660" s="17" t="s">
        <v>108</v>
      </c>
      <c r="E660" s="17" t="s">
        <v>111</v>
      </c>
      <c r="F660" s="17" t="n">
        <v>100800</v>
      </c>
      <c r="G660" s="17" t="n">
        <v>100608.333333333</v>
      </c>
      <c r="H660" s="17" t="n">
        <v>78524</v>
      </c>
      <c r="I660" s="17" t="n">
        <v>12406</v>
      </c>
      <c r="J660" s="17" t="n">
        <v>72560</v>
      </c>
      <c r="K660" s="17" t="n">
        <v>70085.3333333333</v>
      </c>
      <c r="L660" s="17" t="n">
        <v>72468</v>
      </c>
      <c r="M660" s="17" t="n">
        <v>0</v>
      </c>
      <c r="N660" s="17" t="n">
        <v>92</v>
      </c>
      <c r="O660" s="17" t="n">
        <v>466</v>
      </c>
      <c r="P660" s="17" t="n">
        <v>361</v>
      </c>
      <c r="Q660" s="17" t="n">
        <v>0</v>
      </c>
      <c r="R660" s="17" t="n">
        <v>0</v>
      </c>
      <c r="S660" s="17" t="n">
        <v>0</v>
      </c>
      <c r="T660" s="17" t="n">
        <v>0</v>
      </c>
      <c r="U660" s="17" t="n">
        <v>312</v>
      </c>
      <c r="V660" s="17" t="n">
        <v>0.310113476352191</v>
      </c>
      <c r="W660" s="17" t="n">
        <v>2.51</v>
      </c>
      <c r="X660" s="17" t="n">
        <v>2.04745215081734</v>
      </c>
      <c r="Y660" s="17" t="n">
        <v>1.10804851157663</v>
      </c>
      <c r="Z660" s="17" t="n">
        <v>0</v>
      </c>
      <c r="AA660" s="17" t="n">
        <v>12.3075396825397</v>
      </c>
      <c r="AB660" s="17"/>
      <c r="AC660" s="17"/>
      <c r="AD660" s="17"/>
      <c r="AE660" s="17"/>
      <c r="AF660" s="17"/>
      <c r="AG660" s="18" t="n">
        <f aca="false">IFERROR(100*O660/F660,"")</f>
        <v>0.462301587301587</v>
      </c>
      <c r="AH660" s="18" t="n">
        <f aca="false">IFERROR(100*(P660+Q660)/F660,"")</f>
        <v>0.358134920634921</v>
      </c>
      <c r="AI660" s="18" t="n">
        <f aca="false">IFERROR(100*R660/K660,"")</f>
        <v>0</v>
      </c>
      <c r="AJ660" s="18" t="str">
        <f aca="false">IF(T660&gt;0,100*S660/T660,"")</f>
        <v/>
      </c>
      <c r="AK660" s="18" t="n">
        <f aca="false">IFERROR(100*U660/G660,"")</f>
        <v>0.310113476352191</v>
      </c>
      <c r="AL660" s="18" t="n">
        <f aca="false">IFERROR(100*J660/H660,"")</f>
        <v>92.4048698487087</v>
      </c>
      <c r="AM660" s="18" t="n">
        <f aca="false">IFERROR(100*L660/J660,"")</f>
        <v>99.8732083792723</v>
      </c>
      <c r="AN660" s="18" t="n">
        <f aca="false">IFERROR(100*M660/J660,"")</f>
        <v>0</v>
      </c>
      <c r="AO660" s="18" t="n">
        <f aca="false">IFERROR(100*N660/J660,"")</f>
        <v>0.126791620727674</v>
      </c>
    </row>
    <row r="661" customFormat="false" ht="15" hidden="false" customHeight="false" outlineLevel="0" collapsed="false">
      <c r="A661" s="17" t="n">
        <v>30878</v>
      </c>
      <c r="B661" s="23" t="n">
        <v>44834</v>
      </c>
      <c r="C661" s="17" t="s">
        <v>110</v>
      </c>
      <c r="D661" s="17" t="s">
        <v>108</v>
      </c>
      <c r="E661" s="17" t="s">
        <v>111</v>
      </c>
      <c r="F661" s="17" t="n">
        <v>100514</v>
      </c>
      <c r="G661" s="17" t="n">
        <v>100584.75</v>
      </c>
      <c r="H661" s="17" t="n">
        <v>76264</v>
      </c>
      <c r="I661" s="17" t="n">
        <v>12319</v>
      </c>
      <c r="J661" s="17" t="n">
        <v>77064</v>
      </c>
      <c r="K661" s="17" t="n">
        <v>71830</v>
      </c>
      <c r="L661" s="17" t="n">
        <v>76961</v>
      </c>
      <c r="M661" s="17" t="n">
        <v>0</v>
      </c>
      <c r="N661" s="17" t="n">
        <v>103</v>
      </c>
      <c r="O661" s="17" t="n">
        <v>589</v>
      </c>
      <c r="P661" s="17" t="n">
        <v>284</v>
      </c>
      <c r="Q661" s="17" t="n">
        <v>0</v>
      </c>
      <c r="R661" s="17" t="n">
        <v>0</v>
      </c>
      <c r="S661" s="17" t="n">
        <v>0</v>
      </c>
      <c r="T661" s="17" t="n">
        <v>0</v>
      </c>
      <c r="U661" s="17" t="n">
        <v>297.3259</v>
      </c>
      <c r="V661" s="17" t="n">
        <v>0.295597394237198</v>
      </c>
      <c r="W661" s="17" t="n">
        <v>2.4</v>
      </c>
      <c r="X661" s="17" t="n">
        <v>2.14957788304442</v>
      </c>
      <c r="Y661" s="17" t="n">
        <v>1.09130073704973</v>
      </c>
      <c r="Z661" s="17" t="n">
        <v>0</v>
      </c>
      <c r="AA661" s="17" t="n">
        <v>12.2560041387269</v>
      </c>
      <c r="AB661" s="17"/>
      <c r="AC661" s="17"/>
      <c r="AD661" s="17"/>
      <c r="AE661" s="17"/>
      <c r="AF661" s="17"/>
      <c r="AG661" s="18" t="n">
        <f aca="false">IFERROR(100*O661/F661,"")</f>
        <v>0.585988021569135</v>
      </c>
      <c r="AH661" s="18" t="n">
        <f aca="false">IFERROR(100*(P661+Q661)/F661,"")</f>
        <v>0.282547704797342</v>
      </c>
      <c r="AI661" s="18" t="n">
        <f aca="false">IFERROR(100*R661/K661,"")</f>
        <v>0</v>
      </c>
      <c r="AJ661" s="18" t="str">
        <f aca="false">IF(T661&gt;0,100*S661/T661,"")</f>
        <v/>
      </c>
      <c r="AK661" s="18" t="n">
        <f aca="false">IFERROR(100*U661/G661,"")</f>
        <v>0.295597394237198</v>
      </c>
      <c r="AL661" s="18" t="n">
        <f aca="false">IFERROR(100*J661/H661,"")</f>
        <v>101.048987726844</v>
      </c>
      <c r="AM661" s="18" t="n">
        <f aca="false">IFERROR(100*L661/J661,"")</f>
        <v>99.8663448562234</v>
      </c>
      <c r="AN661" s="18" t="n">
        <f aca="false">IFERROR(100*M661/J661,"")</f>
        <v>0</v>
      </c>
      <c r="AO661" s="18" t="n">
        <f aca="false">IFERROR(100*N661/J661,"")</f>
        <v>0.133655143776601</v>
      </c>
    </row>
    <row r="662" customFormat="false" ht="15" hidden="false" customHeight="false" outlineLevel="0" collapsed="false">
      <c r="A662" s="17" t="n">
        <v>30878</v>
      </c>
      <c r="B662" s="23" t="n">
        <v>44926</v>
      </c>
      <c r="C662" s="17" t="s">
        <v>110</v>
      </c>
      <c r="D662" s="17" t="s">
        <v>108</v>
      </c>
      <c r="E662" s="17" t="s">
        <v>111</v>
      </c>
      <c r="F662" s="17" t="n">
        <v>101068</v>
      </c>
      <c r="G662" s="17" t="n">
        <v>100681.4</v>
      </c>
      <c r="H662" s="17" t="n">
        <v>73524</v>
      </c>
      <c r="I662" s="17" t="n">
        <v>12458</v>
      </c>
      <c r="J662" s="17" t="n">
        <v>81665</v>
      </c>
      <c r="K662" s="17" t="n">
        <v>73797</v>
      </c>
      <c r="L662" s="17" t="n">
        <v>81554</v>
      </c>
      <c r="M662" s="17" t="n">
        <v>0</v>
      </c>
      <c r="N662" s="17" t="n">
        <v>110</v>
      </c>
      <c r="O662" s="17" t="n">
        <v>710</v>
      </c>
      <c r="P662" s="17" t="n">
        <v>0</v>
      </c>
      <c r="Q662" s="17" t="n">
        <v>0</v>
      </c>
      <c r="R662" s="17" t="n">
        <v>0</v>
      </c>
      <c r="S662" s="17" t="n">
        <v>0</v>
      </c>
      <c r="T662" s="17" t="n">
        <v>0</v>
      </c>
      <c r="U662" s="17" t="n">
        <v>314</v>
      </c>
      <c r="V662" s="17" t="n">
        <v>0.311874884536767</v>
      </c>
      <c r="W662" s="17" t="n">
        <v>2.53</v>
      </c>
      <c r="X662" s="17" t="n">
        <v>2.2059004756858</v>
      </c>
      <c r="Y662" s="17" t="n">
        <v>1.0530827159738</v>
      </c>
      <c r="Z662" s="17" t="n">
        <v>0</v>
      </c>
      <c r="AA662" s="17" t="n">
        <v>12.3263545335814</v>
      </c>
      <c r="AB662" s="17"/>
      <c r="AC662" s="17"/>
      <c r="AD662" s="17"/>
      <c r="AE662" s="17"/>
      <c r="AF662" s="17"/>
      <c r="AG662" s="18" t="n">
        <f aca="false">IFERROR(100*O662/F662,"")</f>
        <v>0.702497328531286</v>
      </c>
      <c r="AH662" s="18" t="n">
        <f aca="false">IFERROR(100*(P662+Q662)/F662,"")</f>
        <v>0</v>
      </c>
      <c r="AI662" s="18" t="n">
        <f aca="false">IFERROR(100*R662/K662,"")</f>
        <v>0</v>
      </c>
      <c r="AJ662" s="18" t="str">
        <f aca="false">IF(T662&gt;0,100*S662/T662,"")</f>
        <v/>
      </c>
      <c r="AK662" s="18" t="n">
        <f aca="false">IFERROR(100*U662/G662,"")</f>
        <v>0.311874884536767</v>
      </c>
      <c r="AL662" s="18" t="n">
        <f aca="false">IFERROR(100*J662/H662,"")</f>
        <v>111.072574941516</v>
      </c>
      <c r="AM662" s="18" t="n">
        <f aca="false">IFERROR(100*L662/J662,"")</f>
        <v>99.8640788587522</v>
      </c>
      <c r="AN662" s="18" t="n">
        <f aca="false">IFERROR(100*M662/J662,"")</f>
        <v>0</v>
      </c>
      <c r="AO662" s="18" t="n">
        <f aca="false">IFERROR(100*N662/J662,"")</f>
        <v>0.134696626461765</v>
      </c>
    </row>
    <row r="663" customFormat="false" ht="15" hidden="false" customHeight="false" outlineLevel="0" collapsed="false">
      <c r="A663" s="17" t="n">
        <v>30878</v>
      </c>
      <c r="B663" s="23" t="n">
        <v>45016</v>
      </c>
      <c r="C663" s="17" t="s">
        <v>110</v>
      </c>
      <c r="D663" s="17" t="s">
        <v>108</v>
      </c>
      <c r="E663" s="17" t="s">
        <v>111</v>
      </c>
      <c r="F663" s="17" t="n">
        <v>104047</v>
      </c>
      <c r="G663" s="17" t="n">
        <v>102557.5</v>
      </c>
      <c r="H663" s="17" t="n">
        <v>76408</v>
      </c>
      <c r="I663" s="17" t="n">
        <v>12490</v>
      </c>
      <c r="J663" s="17" t="n">
        <v>83118</v>
      </c>
      <c r="K663" s="17" t="n">
        <v>82391.5</v>
      </c>
      <c r="L663" s="17" t="n">
        <v>83020</v>
      </c>
      <c r="M663" s="17" t="n">
        <v>0</v>
      </c>
      <c r="N663" s="17" t="n">
        <v>97</v>
      </c>
      <c r="O663" s="17" t="n">
        <v>710</v>
      </c>
      <c r="P663" s="17" t="n">
        <v>25</v>
      </c>
      <c r="Q663" s="17" t="n">
        <v>0</v>
      </c>
      <c r="R663" s="17" t="n">
        <v>0</v>
      </c>
      <c r="S663" s="17" t="n">
        <v>0</v>
      </c>
      <c r="T663" s="17" t="n">
        <v>0</v>
      </c>
      <c r="U663" s="17" t="n">
        <v>-308</v>
      </c>
      <c r="V663" s="17" t="n">
        <v>-0.300319333057066</v>
      </c>
      <c r="W663" s="17" t="n">
        <v>-2.47</v>
      </c>
      <c r="X663" s="17" t="n">
        <v>2.00579294029632</v>
      </c>
      <c r="Y663" s="17" t="n">
        <v>1.01662696407517</v>
      </c>
      <c r="Z663" s="17" t="n">
        <v>0</v>
      </c>
      <c r="AA663" s="17" t="n">
        <v>12.0041904139475</v>
      </c>
      <c r="AB663" s="17" t="n">
        <v>3.39252531475758</v>
      </c>
      <c r="AC663" s="17" t="n">
        <v>20.6777397061386</v>
      </c>
      <c r="AD663" s="17" t="n">
        <v>-2.91849310717235</v>
      </c>
      <c r="AE663" s="17" t="n">
        <v>-0.475421932236272</v>
      </c>
      <c r="AF663" s="17" t="n">
        <v>0.146774331363188</v>
      </c>
      <c r="AG663" s="18" t="n">
        <f aca="false">IFERROR(100*O663/F663,"")</f>
        <v>0.682383922650341</v>
      </c>
      <c r="AH663" s="18" t="n">
        <f aca="false">IFERROR(100*(P663+Q663)/F663,"")</f>
        <v>0.0240276029102233</v>
      </c>
      <c r="AI663" s="18" t="n">
        <f aca="false">IFERROR(100*R663/K663,"")</f>
        <v>0</v>
      </c>
      <c r="AJ663" s="18" t="str">
        <f aca="false">IF(T663&gt;0,100*S663/T663,"")</f>
        <v/>
      </c>
      <c r="AK663" s="18" t="n">
        <f aca="false">IFERROR(100*U663/G663,"")</f>
        <v>-0.300319333057066</v>
      </c>
      <c r="AL663" s="18" t="n">
        <f aca="false">IFERROR(100*J663/H663,"")</f>
        <v>108.78180295257</v>
      </c>
      <c r="AM663" s="18" t="n">
        <f aca="false">IFERROR(100*L663/J663,"")</f>
        <v>99.8820953343439</v>
      </c>
      <c r="AN663" s="18" t="n">
        <f aca="false">IFERROR(100*M663/J663,"")</f>
        <v>0</v>
      </c>
      <c r="AO663" s="18" t="n">
        <f aca="false">IFERROR(100*N663/J663,"")</f>
        <v>0.11670155682283</v>
      </c>
    </row>
    <row r="664" customFormat="false" ht="15" hidden="false" customHeight="false" outlineLevel="0" collapsed="false">
      <c r="A664" s="17" t="n">
        <v>30878</v>
      </c>
      <c r="B664" s="23" t="n">
        <v>45107</v>
      </c>
      <c r="C664" s="17" t="s">
        <v>110</v>
      </c>
      <c r="D664" s="17" t="s">
        <v>108</v>
      </c>
      <c r="E664" s="17" t="s">
        <v>111</v>
      </c>
      <c r="F664" s="17" t="n">
        <v>102023</v>
      </c>
      <c r="G664" s="17" t="n">
        <v>102379.333333333</v>
      </c>
      <c r="H664" s="17" t="n">
        <v>73248</v>
      </c>
      <c r="I664" s="17" t="n">
        <v>12549</v>
      </c>
      <c r="J664" s="17" t="n">
        <v>84437</v>
      </c>
      <c r="K664" s="17" t="n">
        <v>83073.3333333333</v>
      </c>
      <c r="L664" s="17" t="n">
        <v>84259</v>
      </c>
      <c r="M664" s="17" t="n">
        <v>0</v>
      </c>
      <c r="N664" s="17" t="n">
        <v>178</v>
      </c>
      <c r="O664" s="17" t="n">
        <v>704</v>
      </c>
      <c r="P664" s="17" t="n">
        <v>109</v>
      </c>
      <c r="Q664" s="17" t="n">
        <v>0</v>
      </c>
      <c r="R664" s="17" t="n">
        <v>0</v>
      </c>
      <c r="S664" s="17" t="n">
        <v>0</v>
      </c>
      <c r="T664" s="17" t="n">
        <v>0</v>
      </c>
      <c r="U664" s="17" t="n">
        <v>98</v>
      </c>
      <c r="V664" s="17" t="n">
        <v>0.0957224439828351</v>
      </c>
      <c r="W664" s="17" t="n">
        <v>0.78</v>
      </c>
      <c r="X664" s="17" t="n">
        <v>1.78418160806126</v>
      </c>
      <c r="Y664" s="17" t="n">
        <v>0.824283193386785</v>
      </c>
      <c r="Z664" s="17" t="n">
        <v>0</v>
      </c>
      <c r="AA664" s="17" t="n">
        <v>12.3001676092646</v>
      </c>
      <c r="AB664" s="17" t="n">
        <v>1.21329365079366</v>
      </c>
      <c r="AC664" s="17" t="n">
        <v>16.3685226019846</v>
      </c>
      <c r="AD664" s="17" t="n">
        <v>-6.71896490245021</v>
      </c>
      <c r="AE664" s="17" t="n">
        <v>-0.214391032369356</v>
      </c>
      <c r="AF664" s="17" t="n">
        <v>0.227738893766407</v>
      </c>
      <c r="AG664" s="18" t="n">
        <f aca="false">IFERROR(100*O664/F664,"")</f>
        <v>0.690040481067994</v>
      </c>
      <c r="AH664" s="18" t="n">
        <f aca="false">IFERROR(100*(P664+Q664)/F664,"")</f>
        <v>0.106838654028993</v>
      </c>
      <c r="AI664" s="18" t="n">
        <f aca="false">IFERROR(100*R664/K664,"")</f>
        <v>0</v>
      </c>
      <c r="AJ664" s="18" t="str">
        <f aca="false">IF(T664&gt;0,100*S664/T664,"")</f>
        <v/>
      </c>
      <c r="AK664" s="18" t="n">
        <f aca="false">IFERROR(100*U664/G664,"")</f>
        <v>0.0957224439828351</v>
      </c>
      <c r="AL664" s="18" t="n">
        <f aca="false">IFERROR(100*J664/H664,"")</f>
        <v>115.275502402796</v>
      </c>
      <c r="AM664" s="18" t="n">
        <f aca="false">IFERROR(100*L664/J664,"")</f>
        <v>99.7891919419212</v>
      </c>
      <c r="AN664" s="18" t="n">
        <f aca="false">IFERROR(100*M664/J664,"")</f>
        <v>0</v>
      </c>
      <c r="AO664" s="18" t="n">
        <f aca="false">IFERROR(100*N664/J664,"")</f>
        <v>0.210808058078804</v>
      </c>
    </row>
    <row r="665" customFormat="false" ht="15" hidden="false" customHeight="false" outlineLevel="0" collapsed="false">
      <c r="A665" s="17" t="n">
        <v>30878</v>
      </c>
      <c r="B665" s="23" t="n">
        <v>45199</v>
      </c>
      <c r="C665" s="17" t="s">
        <v>110</v>
      </c>
      <c r="D665" s="17" t="s">
        <v>108</v>
      </c>
      <c r="E665" s="17" t="s">
        <v>111</v>
      </c>
      <c r="F665" s="17" t="n">
        <v>103998</v>
      </c>
      <c r="G665" s="17" t="n">
        <v>102784</v>
      </c>
      <c r="H665" s="17" t="n">
        <v>73816</v>
      </c>
      <c r="I665" s="17" t="n">
        <v>12376</v>
      </c>
      <c r="J665" s="17" t="n">
        <v>86316</v>
      </c>
      <c r="K665" s="17" t="n">
        <v>83884</v>
      </c>
      <c r="L665" s="17" t="n">
        <v>86120</v>
      </c>
      <c r="M665" s="17" t="n">
        <v>0</v>
      </c>
      <c r="N665" s="17" t="n">
        <v>196</v>
      </c>
      <c r="O665" s="17" t="n">
        <v>700</v>
      </c>
      <c r="P665" s="17" t="n">
        <v>215</v>
      </c>
      <c r="Q665" s="17" t="n">
        <v>0</v>
      </c>
      <c r="R665" s="17" t="n">
        <v>0</v>
      </c>
      <c r="S665" s="17" t="n">
        <v>0</v>
      </c>
      <c r="T665" s="17" t="n">
        <v>0</v>
      </c>
      <c r="U665" s="17" t="n">
        <v>-194.6618</v>
      </c>
      <c r="V665" s="17" t="n">
        <v>-0.189389204545455</v>
      </c>
      <c r="W665" s="17" t="n">
        <v>-1.56</v>
      </c>
      <c r="X665" s="17" t="n">
        <v>1.57863495847898</v>
      </c>
      <c r="Y665" s="17" t="n">
        <v>0.82951017192641</v>
      </c>
      <c r="Z665" s="17" t="n">
        <v>0</v>
      </c>
      <c r="AA665" s="17" t="n">
        <v>11.9002288505548</v>
      </c>
      <c r="AB665" s="17" t="n">
        <v>3.46618381518993</v>
      </c>
      <c r="AC665" s="17" t="n">
        <v>12.0056057303021</v>
      </c>
      <c r="AD665" s="17" t="n">
        <v>-3.2099024441414</v>
      </c>
      <c r="AE665" s="17" t="n">
        <v>-0.484986598782653</v>
      </c>
      <c r="AF665" s="17" t="n">
        <v>0.0871018455436945</v>
      </c>
      <c r="AG665" s="18" t="n">
        <f aca="false">IFERROR(100*O665/F665,"")</f>
        <v>0.673089867112829</v>
      </c>
      <c r="AH665" s="18" t="n">
        <f aca="false">IFERROR(100*(P665+Q665)/F665,"")</f>
        <v>0.20673474489894</v>
      </c>
      <c r="AI665" s="18" t="n">
        <f aca="false">IFERROR(100*R665/K665,"")</f>
        <v>0</v>
      </c>
      <c r="AJ665" s="18" t="str">
        <f aca="false">IF(T665&gt;0,100*S665/T665,"")</f>
        <v/>
      </c>
      <c r="AK665" s="18" t="n">
        <f aca="false">IFERROR(100*U665/G665,"")</f>
        <v>-0.189389204545455</v>
      </c>
      <c r="AL665" s="18" t="n">
        <f aca="false">IFERROR(100*J665/H665,"")</f>
        <v>116.933998049203</v>
      </c>
      <c r="AM665" s="18" t="n">
        <f aca="false">IFERROR(100*L665/J665,"")</f>
        <v>99.772927383104</v>
      </c>
      <c r="AN665" s="18" t="n">
        <f aca="false">IFERROR(100*M665/J665,"")</f>
        <v>0</v>
      </c>
      <c r="AO665" s="18" t="n">
        <f aca="false">IFERROR(100*N665/J665,"")</f>
        <v>0.227072616896056</v>
      </c>
    </row>
    <row r="666" customFormat="false" ht="15" hidden="false" customHeight="false" outlineLevel="0" collapsed="false">
      <c r="A666" s="17" t="n">
        <v>30878</v>
      </c>
      <c r="B666" s="23" t="n">
        <v>45291</v>
      </c>
      <c r="C666" s="17" t="s">
        <v>110</v>
      </c>
      <c r="D666" s="17" t="s">
        <v>108</v>
      </c>
      <c r="E666" s="17" t="s">
        <v>111</v>
      </c>
      <c r="F666" s="17" t="n">
        <v>105203</v>
      </c>
      <c r="G666" s="17" t="n">
        <v>103267.8</v>
      </c>
      <c r="H666" s="17" t="n">
        <v>73899</v>
      </c>
      <c r="I666" s="17" t="n">
        <v>12316</v>
      </c>
      <c r="J666" s="17" t="n">
        <v>86638</v>
      </c>
      <c r="K666" s="17" t="n">
        <v>84434.8</v>
      </c>
      <c r="L666" s="17" t="n">
        <v>86535</v>
      </c>
      <c r="M666" s="17" t="n">
        <v>0</v>
      </c>
      <c r="N666" s="17" t="n">
        <v>104</v>
      </c>
      <c r="O666" s="17" t="n">
        <v>584</v>
      </c>
      <c r="P666" s="17" t="n">
        <v>151</v>
      </c>
      <c r="Q666" s="17" t="n">
        <v>0</v>
      </c>
      <c r="R666" s="17" t="n">
        <v>0</v>
      </c>
      <c r="S666" s="17" t="n">
        <v>0</v>
      </c>
      <c r="T666" s="17" t="n">
        <v>0</v>
      </c>
      <c r="U666" s="17" t="n">
        <v>-294</v>
      </c>
      <c r="V666" s="17" t="n">
        <v>-0.284696681831123</v>
      </c>
      <c r="W666" s="17" t="n">
        <v>-2.36</v>
      </c>
      <c r="X666" s="17" t="n">
        <v>1.43139746208405</v>
      </c>
      <c r="Y666" s="17" t="n">
        <v>0.814884923474688</v>
      </c>
      <c r="Z666" s="17" t="n">
        <v>0</v>
      </c>
      <c r="AA666" s="17" t="n">
        <v>11.7068904879138</v>
      </c>
      <c r="AB666" s="17" t="n">
        <v>4.09130486405192</v>
      </c>
      <c r="AC666" s="17" t="n">
        <v>6.08951203085777</v>
      </c>
      <c r="AD666" s="17" t="n">
        <v>0.510037538762842</v>
      </c>
      <c r="AE666" s="17" t="n">
        <v>-0.596571566367889</v>
      </c>
      <c r="AF666" s="17" t="n">
        <v>-0.147380079023192</v>
      </c>
      <c r="AG666" s="18" t="n">
        <f aca="false">IFERROR(100*O666/F666,"")</f>
        <v>0.555117249508094</v>
      </c>
      <c r="AH666" s="18" t="n">
        <f aca="false">IFERROR(100*(P666+Q666)/F666,"")</f>
        <v>0.143532028554319</v>
      </c>
      <c r="AI666" s="18" t="n">
        <f aca="false">IFERROR(100*R666/K666,"")</f>
        <v>0</v>
      </c>
      <c r="AJ666" s="18" t="str">
        <f aca="false">IF(T666&gt;0,100*S666/T666,"")</f>
        <v/>
      </c>
      <c r="AK666" s="18" t="n">
        <f aca="false">IFERROR(100*U666/G666,"")</f>
        <v>-0.284696681831123</v>
      </c>
      <c r="AL666" s="18" t="n">
        <f aca="false">IFERROR(100*J666/H666,"")</f>
        <v>117.238392941718</v>
      </c>
      <c r="AM666" s="18" t="n">
        <f aca="false">IFERROR(100*L666/J666,"")</f>
        <v>99.8811145224959</v>
      </c>
      <c r="AN666" s="18" t="n">
        <f aca="false">IFERROR(100*M666/J666,"")</f>
        <v>0</v>
      </c>
      <c r="AO666" s="18" t="n">
        <f aca="false">IFERROR(100*N666/J666,"")</f>
        <v>0.120039705441031</v>
      </c>
    </row>
    <row r="667" customFormat="false" ht="15" hidden="false" customHeight="false" outlineLevel="0" collapsed="false">
      <c r="A667" s="17" t="n">
        <v>30878</v>
      </c>
      <c r="B667" s="23" t="n">
        <v>45382</v>
      </c>
      <c r="C667" s="17" t="s">
        <v>110</v>
      </c>
      <c r="D667" s="17" t="s">
        <v>108</v>
      </c>
      <c r="E667" s="17" t="s">
        <v>111</v>
      </c>
      <c r="F667" s="17" t="n">
        <v>102792</v>
      </c>
      <c r="G667" s="17" t="n">
        <v>103997.5</v>
      </c>
      <c r="H667" s="17" t="n">
        <v>74987</v>
      </c>
      <c r="I667" s="17" t="n">
        <v>12317</v>
      </c>
      <c r="J667" s="17" t="n">
        <v>87874</v>
      </c>
      <c r="K667" s="17" t="n">
        <v>87256</v>
      </c>
      <c r="L667" s="17" t="n">
        <v>87769</v>
      </c>
      <c r="M667" s="17" t="n">
        <v>0</v>
      </c>
      <c r="N667" s="17" t="n">
        <v>105</v>
      </c>
      <c r="O667" s="17" t="n">
        <v>836</v>
      </c>
      <c r="P667" s="17" t="n">
        <v>1125</v>
      </c>
      <c r="Q667" s="17" t="n">
        <v>0</v>
      </c>
      <c r="R667" s="17" t="n">
        <v>0</v>
      </c>
      <c r="S667" s="17" t="n">
        <v>0</v>
      </c>
      <c r="T667" s="17" t="n">
        <v>0</v>
      </c>
      <c r="U667" s="17" t="n">
        <v>64</v>
      </c>
      <c r="V667" s="17" t="n">
        <v>0.0615399408639631</v>
      </c>
      <c r="W667" s="17" t="n">
        <v>0.52</v>
      </c>
      <c r="X667" s="17" t="n">
        <v>0.966458498694582</v>
      </c>
      <c r="Y667" s="17" t="n">
        <v>0.622482190408995</v>
      </c>
      <c r="Z667" s="17" t="n">
        <v>0</v>
      </c>
      <c r="AA667" s="17" t="n">
        <v>11.9824499961087</v>
      </c>
      <c r="AB667" s="17" t="n">
        <v>-1.20618566609321</v>
      </c>
      <c r="AC667" s="17" t="n">
        <v>5.72198561081836</v>
      </c>
      <c r="AD667" s="17" t="n">
        <v>-1.85975290545493</v>
      </c>
      <c r="AE667" s="17" t="n">
        <v>0.361859273921029</v>
      </c>
      <c r="AF667" s="17" t="n">
        <v>0.1309089406075</v>
      </c>
      <c r="AG667" s="18" t="n">
        <f aca="false">IFERROR(100*O667/F667,"")</f>
        <v>0.813292863257841</v>
      </c>
      <c r="AH667" s="18" t="n">
        <f aca="false">IFERROR(100*(P667+Q667)/F667,"")</f>
        <v>1.09444314732664</v>
      </c>
      <c r="AI667" s="18" t="n">
        <f aca="false">IFERROR(100*R667/K667,"")</f>
        <v>0</v>
      </c>
      <c r="AJ667" s="18" t="str">
        <f aca="false">IF(T667&gt;0,100*S667/T667,"")</f>
        <v/>
      </c>
      <c r="AK667" s="18" t="n">
        <f aca="false">IFERROR(100*U667/G667,"")</f>
        <v>0.0615399408639631</v>
      </c>
      <c r="AL667" s="18" t="n">
        <f aca="false">IFERROR(100*J667/H667,"")</f>
        <v>117.185645511889</v>
      </c>
      <c r="AM667" s="18" t="n">
        <f aca="false">IFERROR(100*L667/J667,"")</f>
        <v>99.8805107312743</v>
      </c>
      <c r="AN667" s="18" t="n">
        <f aca="false">IFERROR(100*M667/J667,"")</f>
        <v>0</v>
      </c>
      <c r="AO667" s="18" t="n">
        <f aca="false">IFERROR(100*N667/J667,"")</f>
        <v>0.119489268725675</v>
      </c>
    </row>
    <row r="668" customFormat="false" ht="15" hidden="false" customHeight="false" outlineLevel="0" collapsed="false">
      <c r="A668" s="17" t="n">
        <v>30878</v>
      </c>
      <c r="B668" s="23" t="n">
        <v>45473</v>
      </c>
      <c r="C668" s="17" t="s">
        <v>110</v>
      </c>
      <c r="D668" s="17" t="s">
        <v>108</v>
      </c>
      <c r="E668" s="17" t="s">
        <v>111</v>
      </c>
      <c r="F668" s="17" t="n">
        <v>102920</v>
      </c>
      <c r="G668" s="17" t="n">
        <v>103638.333333333</v>
      </c>
      <c r="H668" s="17" t="n">
        <v>76575</v>
      </c>
      <c r="I668" s="17" t="n">
        <v>12189</v>
      </c>
      <c r="J668" s="17" t="n">
        <v>88156</v>
      </c>
      <c r="K668" s="17" t="n">
        <v>87556</v>
      </c>
      <c r="L668" s="17" t="n">
        <v>87984</v>
      </c>
      <c r="M668" s="17" t="n">
        <v>0</v>
      </c>
      <c r="N668" s="17" t="n">
        <v>172</v>
      </c>
      <c r="O668" s="17" t="n">
        <v>1829</v>
      </c>
      <c r="P668" s="17" t="n">
        <v>1197</v>
      </c>
      <c r="Q668" s="17" t="n">
        <v>0</v>
      </c>
      <c r="R668" s="17" t="n">
        <v>0</v>
      </c>
      <c r="S668" s="17" t="n">
        <v>0</v>
      </c>
      <c r="T668" s="17" t="n">
        <v>0</v>
      </c>
      <c r="U668" s="17" t="n">
        <v>-236</v>
      </c>
      <c r="V668" s="17" t="n">
        <v>-0.227714970329511</v>
      </c>
      <c r="W668" s="17" t="n">
        <v>-1.92</v>
      </c>
      <c r="X668" s="17" t="n">
        <v>0.954583739989572</v>
      </c>
      <c r="Y668" s="17" t="n">
        <v>0.594400834883615</v>
      </c>
      <c r="Z668" s="17" t="n">
        <v>0</v>
      </c>
      <c r="AA668" s="17" t="n">
        <v>11.8431791682861</v>
      </c>
      <c r="AB668" s="17" t="n">
        <v>0.879213510678967</v>
      </c>
      <c r="AC668" s="17" t="n">
        <v>4.40446723592738</v>
      </c>
      <c r="AD668" s="17" t="n">
        <v>4.54210353866318</v>
      </c>
      <c r="AE668" s="17" t="n">
        <v>-0.323437414312346</v>
      </c>
      <c r="AF668" s="17" t="n">
        <v>1.08706795266695</v>
      </c>
      <c r="AG668" s="18" t="n">
        <f aca="false">IFERROR(100*O668/F668,"")</f>
        <v>1.77710843373494</v>
      </c>
      <c r="AH668" s="18" t="n">
        <f aca="false">IFERROR(100*(P668+Q668)/F668,"")</f>
        <v>1.16303925378935</v>
      </c>
      <c r="AI668" s="18" t="n">
        <f aca="false">IFERROR(100*R668/K668,"")</f>
        <v>0</v>
      </c>
      <c r="AJ668" s="18" t="str">
        <f aca="false">IF(T668&gt;0,100*S668/T668,"")</f>
        <v/>
      </c>
      <c r="AK668" s="18" t="n">
        <f aca="false">IFERROR(100*U668/G668,"")</f>
        <v>-0.227714970329511</v>
      </c>
      <c r="AL668" s="18" t="n">
        <f aca="false">IFERROR(100*J668/H668,"")</f>
        <v>115.123734900424</v>
      </c>
      <c r="AM668" s="18" t="n">
        <f aca="false">IFERROR(100*L668/J668,"")</f>
        <v>99.8048913290077</v>
      </c>
      <c r="AN668" s="18" t="n">
        <f aca="false">IFERROR(100*M668/J668,"")</f>
        <v>0</v>
      </c>
      <c r="AO668" s="18" t="n">
        <f aca="false">IFERROR(100*N668/J668,"")</f>
        <v>0.195108670992332</v>
      </c>
    </row>
    <row r="669" customFormat="false" ht="15" hidden="false" customHeight="false" outlineLevel="0" collapsed="false">
      <c r="A669" s="17" t="n">
        <v>30878</v>
      </c>
      <c r="B669" s="23" t="n">
        <v>45565</v>
      </c>
      <c r="C669" s="17" t="s">
        <v>110</v>
      </c>
      <c r="D669" s="17" t="s">
        <v>108</v>
      </c>
      <c r="E669" s="17" t="s">
        <v>111</v>
      </c>
      <c r="F669" s="17" t="n">
        <v>101059</v>
      </c>
      <c r="G669" s="17" t="n">
        <v>102993.5</v>
      </c>
      <c r="H669" s="17" t="n">
        <v>76246</v>
      </c>
      <c r="I669" s="17" t="n">
        <v>11989</v>
      </c>
      <c r="J669" s="17" t="n">
        <v>87769</v>
      </c>
      <c r="K669" s="17" t="n">
        <v>87609.25</v>
      </c>
      <c r="L669" s="17" t="n">
        <v>87603</v>
      </c>
      <c r="M669" s="17" t="n">
        <v>0</v>
      </c>
      <c r="N669" s="17" t="n">
        <v>166</v>
      </c>
      <c r="O669" s="17" t="n">
        <v>1674</v>
      </c>
      <c r="P669" s="17" t="n">
        <v>365</v>
      </c>
      <c r="Q669" s="17" t="n">
        <v>0</v>
      </c>
      <c r="R669" s="17" t="n">
        <v>0</v>
      </c>
      <c r="S669" s="17" t="n">
        <v>0</v>
      </c>
      <c r="T669" s="17" t="n">
        <v>0</v>
      </c>
      <c r="U669" s="17" t="n">
        <v>-549.3196</v>
      </c>
      <c r="V669" s="17" t="n">
        <v>-0.533353658240569</v>
      </c>
      <c r="W669" s="17" t="n">
        <v>-4.5</v>
      </c>
      <c r="X669" s="17" t="n">
        <v>1.00204128984096</v>
      </c>
      <c r="Y669" s="17" t="n">
        <v>0.792990691474211</v>
      </c>
      <c r="Z669" s="17" t="n">
        <v>0</v>
      </c>
      <c r="AA669" s="17" t="n">
        <v>11.8633669440624</v>
      </c>
      <c r="AB669" s="17" t="n">
        <v>-2.82601588492086</v>
      </c>
      <c r="AC669" s="17" t="n">
        <v>1.68334955280598</v>
      </c>
      <c r="AD669" s="17" t="n">
        <v>3.29196922076516</v>
      </c>
      <c r="AE669" s="17" t="n">
        <v>-0.343964453695114</v>
      </c>
      <c r="AF669" s="17" t="n">
        <v>0.983368241516783</v>
      </c>
      <c r="AG669" s="18" t="n">
        <f aca="false">IFERROR(100*O669/F669,"")</f>
        <v>1.65645810862961</v>
      </c>
      <c r="AH669" s="18" t="n">
        <f aca="false">IFERROR(100*(P669+Q669)/F669,"")</f>
        <v>0.361175155107413</v>
      </c>
      <c r="AI669" s="18" t="n">
        <f aca="false">IFERROR(100*R669/K669,"")</f>
        <v>0</v>
      </c>
      <c r="AJ669" s="18" t="str">
        <f aca="false">IF(T669&gt;0,100*S669/T669,"")</f>
        <v/>
      </c>
      <c r="AK669" s="18" t="n">
        <f aca="false">IFERROR(100*U669/G669,"")</f>
        <v>-0.533353658240569</v>
      </c>
      <c r="AL669" s="18" t="n">
        <f aca="false">IFERROR(100*J669/H669,"")</f>
        <v>115.112923956667</v>
      </c>
      <c r="AM669" s="18" t="n">
        <f aca="false">IFERROR(100*L669/J669,"")</f>
        <v>99.8108671626656</v>
      </c>
      <c r="AN669" s="18" t="n">
        <f aca="false">IFERROR(100*M669/J669,"")</f>
        <v>0</v>
      </c>
      <c r="AO669" s="18" t="n">
        <f aca="false">IFERROR(100*N669/J669,"")</f>
        <v>0.189132837334366</v>
      </c>
    </row>
    <row r="670" customFormat="false" ht="15" hidden="false" customHeight="false" outlineLevel="0" collapsed="false">
      <c r="A670" s="17" t="n">
        <v>30878</v>
      </c>
      <c r="B670" s="23" t="n">
        <v>45657</v>
      </c>
      <c r="C670" s="17" t="s">
        <v>110</v>
      </c>
      <c r="D670" s="17" t="s">
        <v>108</v>
      </c>
      <c r="E670" s="17" t="s">
        <v>111</v>
      </c>
      <c r="F670" s="17" t="n">
        <v>99802</v>
      </c>
      <c r="G670" s="17" t="n">
        <v>102355.2</v>
      </c>
      <c r="H670" s="17" t="n">
        <v>75762</v>
      </c>
      <c r="I670" s="17" t="n">
        <v>11821</v>
      </c>
      <c r="J670" s="17" t="n">
        <v>86046</v>
      </c>
      <c r="K670" s="17" t="n">
        <v>87296.6</v>
      </c>
      <c r="L670" s="17" t="n">
        <v>85877</v>
      </c>
      <c r="M670" s="17" t="n">
        <v>0</v>
      </c>
      <c r="N670" s="17" t="n">
        <v>168</v>
      </c>
      <c r="O670" s="17" t="n">
        <v>1428</v>
      </c>
      <c r="P670" s="17" t="n">
        <v>720</v>
      </c>
      <c r="Q670" s="17" t="n">
        <v>0</v>
      </c>
      <c r="R670" s="17" t="n">
        <v>0</v>
      </c>
      <c r="S670" s="17" t="n">
        <v>0</v>
      </c>
      <c r="T670" s="17" t="n">
        <v>0</v>
      </c>
      <c r="U670" s="17" t="n">
        <v>-532</v>
      </c>
      <c r="V670" s="17" t="n">
        <v>-0.519758644406928</v>
      </c>
      <c r="W670" s="17" t="n">
        <v>-4.39</v>
      </c>
      <c r="X670" s="17" t="n">
        <v>1.05272775262421</v>
      </c>
      <c r="Y670" s="17" t="n">
        <v>0.822815703228506</v>
      </c>
      <c r="Z670" s="17" t="n">
        <v>0</v>
      </c>
      <c r="AA670" s="17" t="n">
        <v>11.8444520149897</v>
      </c>
      <c r="AB670" s="17" t="n">
        <v>-5.13388401471441</v>
      </c>
      <c r="AC670" s="17" t="n">
        <v>-0.683302938664332</v>
      </c>
      <c r="AD670" s="17" t="n">
        <v>2.52100840336134</v>
      </c>
      <c r="AE670" s="17" t="n">
        <v>-0.235061962575805</v>
      </c>
      <c r="AF670" s="17" t="n">
        <v>0.875715799929793</v>
      </c>
      <c r="AG670" s="18" t="n">
        <f aca="false">IFERROR(100*O670/F670,"")</f>
        <v>1.43083304943789</v>
      </c>
      <c r="AH670" s="18" t="n">
        <f aca="false">IFERROR(100*(P670+Q670)/F670,"")</f>
        <v>0.72142842828801</v>
      </c>
      <c r="AI670" s="18" t="n">
        <f aca="false">IFERROR(100*R670/K670,"")</f>
        <v>0</v>
      </c>
      <c r="AJ670" s="18" t="str">
        <f aca="false">IF(T670&gt;0,100*S670/T670,"")</f>
        <v/>
      </c>
      <c r="AK670" s="18" t="n">
        <f aca="false">IFERROR(100*U670/G670,"")</f>
        <v>-0.519758644406928</v>
      </c>
      <c r="AL670" s="18" t="n">
        <f aca="false">IFERROR(100*J670/H670,"")</f>
        <v>113.574087273303</v>
      </c>
      <c r="AM670" s="18" t="n">
        <f aca="false">IFERROR(100*L670/J670,"")</f>
        <v>99.8035934267717</v>
      </c>
      <c r="AN670" s="18" t="n">
        <f aca="false">IFERROR(100*M670/J670,"")</f>
        <v>0</v>
      </c>
      <c r="AO670" s="18" t="n">
        <f aca="false">IFERROR(100*N670/J670,"")</f>
        <v>0.195244404155917</v>
      </c>
    </row>
    <row r="671" customFormat="false" ht="15" hidden="false" customHeight="false" outlineLevel="0" collapsed="false">
      <c r="A671" s="17" t="n">
        <v>30878</v>
      </c>
      <c r="B671" s="23" t="n">
        <v>45747</v>
      </c>
      <c r="C671" s="17" t="s">
        <v>110</v>
      </c>
      <c r="D671" s="17" t="s">
        <v>108</v>
      </c>
      <c r="E671" s="17" t="s">
        <v>111</v>
      </c>
      <c r="F671" s="17" t="n">
        <v>98994</v>
      </c>
      <c r="G671" s="17" t="n">
        <v>99398</v>
      </c>
      <c r="H671" s="17" t="n">
        <v>72918</v>
      </c>
      <c r="I671" s="17" t="n">
        <v>11849</v>
      </c>
      <c r="J671" s="17" t="n">
        <v>85658</v>
      </c>
      <c r="K671" s="17" t="n">
        <v>85852</v>
      </c>
      <c r="L671" s="17" t="n">
        <v>85506</v>
      </c>
      <c r="M671" s="17" t="n">
        <v>0</v>
      </c>
      <c r="N671" s="17" t="n">
        <v>153</v>
      </c>
      <c r="O671" s="17" t="n">
        <v>1420</v>
      </c>
      <c r="P671" s="17" t="n">
        <v>405</v>
      </c>
      <c r="Q671" s="17" t="n">
        <v>0</v>
      </c>
      <c r="R671" s="17" t="n">
        <v>0</v>
      </c>
      <c r="S671" s="17" t="n">
        <v>0</v>
      </c>
      <c r="T671" s="17" t="n">
        <v>0</v>
      </c>
      <c r="U671" s="17" t="n">
        <v>-68</v>
      </c>
      <c r="V671" s="17" t="n">
        <v>-0.06841183927242</v>
      </c>
      <c r="W671" s="17" t="n">
        <v>-0.57</v>
      </c>
      <c r="X671" s="17" t="n">
        <v>1.43458371454712</v>
      </c>
      <c r="Y671" s="17" t="n">
        <v>0.81486843026921</v>
      </c>
      <c r="Z671" s="17" t="n">
        <v>0</v>
      </c>
      <c r="AA671" s="17" t="n">
        <v>11.9694122876134</v>
      </c>
      <c r="AB671" s="17" t="n">
        <v>-3.69484006537474</v>
      </c>
      <c r="AC671" s="17" t="n">
        <v>-2.52179256662949</v>
      </c>
      <c r="AD671" s="17" t="n">
        <v>-2.75914491845253</v>
      </c>
      <c r="AE671" s="17" t="n">
        <v>-0.129951780136383</v>
      </c>
      <c r="AF671" s="17" t="n">
        <v>0.621137506259504</v>
      </c>
      <c r="AG671" s="18" t="n">
        <f aca="false">IFERROR(100*O671/F671,"")</f>
        <v>1.43443036951734</v>
      </c>
      <c r="AH671" s="18" t="n">
        <f aca="false">IFERROR(100*(P671+Q671)/F671,"")</f>
        <v>0.40911570398206</v>
      </c>
      <c r="AI671" s="18" t="n">
        <f aca="false">IFERROR(100*R671/K671,"")</f>
        <v>0</v>
      </c>
      <c r="AJ671" s="18" t="str">
        <f aca="false">IF(T671&gt;0,100*S671/T671,"")</f>
        <v/>
      </c>
      <c r="AK671" s="18" t="n">
        <f aca="false">IFERROR(100*U671/G671,"")</f>
        <v>-0.06841183927242</v>
      </c>
      <c r="AL671" s="18" t="n">
        <f aca="false">IFERROR(100*J671/H671,"")</f>
        <v>117.471680517842</v>
      </c>
      <c r="AM671" s="18" t="n">
        <f aca="false">IFERROR(100*L671/J671,"")</f>
        <v>99.8225501412594</v>
      </c>
      <c r="AN671" s="18" t="n">
        <f aca="false">IFERROR(100*M671/J671,"")</f>
        <v>0</v>
      </c>
      <c r="AO671" s="18" t="n">
        <f aca="false">IFERROR(100*N671/J671,"")</f>
        <v>0.178617292021761</v>
      </c>
    </row>
    <row r="672" customFormat="false" ht="15" hidden="false" customHeight="false" outlineLevel="0" collapsed="false">
      <c r="A672" s="17" t="n">
        <v>30878</v>
      </c>
      <c r="B672" s="23" t="n">
        <v>45838</v>
      </c>
      <c r="C672" s="17" t="s">
        <v>110</v>
      </c>
      <c r="D672" s="17" t="s">
        <v>108</v>
      </c>
      <c r="E672" s="17" t="s">
        <v>111</v>
      </c>
      <c r="F672" s="17" t="n">
        <v>98909</v>
      </c>
      <c r="G672" s="17" t="n">
        <v>99235</v>
      </c>
      <c r="H672" s="17" t="n">
        <v>72725</v>
      </c>
      <c r="I672" s="17" t="n">
        <v>11891</v>
      </c>
      <c r="J672" s="17" t="n">
        <v>86036</v>
      </c>
      <c r="K672" s="17" t="n">
        <v>85913.3333333333</v>
      </c>
      <c r="L672" s="17" t="n">
        <v>85860</v>
      </c>
      <c r="M672" s="17" t="n">
        <v>0</v>
      </c>
      <c r="N672" s="17" t="n">
        <v>176</v>
      </c>
      <c r="O672" s="17" t="n">
        <v>1353</v>
      </c>
      <c r="P672" s="17" t="n">
        <v>771</v>
      </c>
      <c r="Q672" s="17" t="n">
        <v>0</v>
      </c>
      <c r="R672" s="17" t="n">
        <v>0</v>
      </c>
      <c r="S672" s="17" t="n">
        <v>0</v>
      </c>
      <c r="T672" s="17" t="n">
        <v>0</v>
      </c>
      <c r="U672" s="17" t="n">
        <v>2</v>
      </c>
      <c r="V672" s="17" t="n">
        <v>0.00201541794729682</v>
      </c>
      <c r="W672" s="17" t="n">
        <v>0.02</v>
      </c>
      <c r="X672" s="17" t="n">
        <v>1.49226620464168</v>
      </c>
      <c r="Y672" s="17" t="n">
        <v>0.788042214886792</v>
      </c>
      <c r="Z672" s="17" t="n">
        <v>0</v>
      </c>
      <c r="AA672" s="17" t="n">
        <v>12.0221617850752</v>
      </c>
      <c r="AB672" s="17" t="n">
        <v>-3.89720171006607</v>
      </c>
      <c r="AC672" s="17" t="n">
        <v>-2.40482780525432</v>
      </c>
      <c r="AD672" s="17" t="n">
        <v>-5.02775057133529</v>
      </c>
      <c r="AE672" s="17" t="n">
        <v>0.229730388276808</v>
      </c>
      <c r="AF672" s="17" t="n">
        <v>-0.409184382334157</v>
      </c>
      <c r="AG672" s="18" t="n">
        <f aca="false">IFERROR(100*O672/F672,"")</f>
        <v>1.36792405140078</v>
      </c>
      <c r="AH672" s="18" t="n">
        <f aca="false">IFERROR(100*(P672+Q672)/F672,"")</f>
        <v>0.779504392926832</v>
      </c>
      <c r="AI672" s="18" t="n">
        <f aca="false">IFERROR(100*R672/K672,"")</f>
        <v>0</v>
      </c>
      <c r="AJ672" s="18" t="str">
        <f aca="false">IF(T672&gt;0,100*S672/T672,"")</f>
        <v/>
      </c>
      <c r="AK672" s="18" t="n">
        <f aca="false">IFERROR(100*U672/G672,"")</f>
        <v>0.00201541794729682</v>
      </c>
      <c r="AL672" s="18" t="n">
        <f aca="false">IFERROR(100*J672/H672,"")</f>
        <v>118.303196974905</v>
      </c>
      <c r="AM672" s="18" t="n">
        <f aca="false">IFERROR(100*L672/J672,"")</f>
        <v>99.7954344692919</v>
      </c>
      <c r="AN672" s="18" t="n">
        <f aca="false">IFERROR(100*M672/J672,"")</f>
        <v>0</v>
      </c>
      <c r="AO672" s="18" t="n">
        <f aca="false">IFERROR(100*N672/J672,"")</f>
        <v>0.204565530708076</v>
      </c>
    </row>
    <row r="673" customFormat="false" ht="15" hidden="false" customHeight="false" outlineLevel="0" collapsed="false">
      <c r="A673" s="17" t="n">
        <v>33418</v>
      </c>
      <c r="B673" s="23" t="n">
        <v>44651</v>
      </c>
      <c r="C673" s="17" t="s">
        <v>133</v>
      </c>
      <c r="D673" s="17" t="s">
        <v>113</v>
      </c>
      <c r="E673" s="17" t="s">
        <v>118</v>
      </c>
      <c r="F673" s="17" t="n">
        <v>757509</v>
      </c>
      <c r="G673" s="17" t="n">
        <v>763127</v>
      </c>
      <c r="H673" s="17" t="n">
        <v>686918</v>
      </c>
      <c r="I673" s="17" t="n">
        <v>49895</v>
      </c>
      <c r="J673" s="17" t="n">
        <v>358959</v>
      </c>
      <c r="K673" s="17" t="n">
        <v>360820.5</v>
      </c>
      <c r="L673" s="17" t="n">
        <v>303204</v>
      </c>
      <c r="M673" s="17" t="n">
        <v>41526</v>
      </c>
      <c r="N673" s="17" t="n">
        <v>14294</v>
      </c>
      <c r="O673" s="17" t="n">
        <v>1659</v>
      </c>
      <c r="P673" s="17" t="n">
        <v>308</v>
      </c>
      <c r="Q673" s="17" t="n">
        <v>0</v>
      </c>
      <c r="R673" s="17" t="n">
        <v>-20</v>
      </c>
      <c r="S673" s="17" t="n">
        <v>69059</v>
      </c>
      <c r="T673" s="17" t="n">
        <v>457327</v>
      </c>
      <c r="U673" s="17" t="n">
        <v>8300</v>
      </c>
      <c r="V673" s="17" t="n">
        <v>1.08763023716891</v>
      </c>
      <c r="W673" s="17" t="n">
        <v>13.83</v>
      </c>
      <c r="X673" s="17" t="n">
        <v>2.64547208066041</v>
      </c>
      <c r="Y673" s="17" t="n">
        <v>2.08213194264526</v>
      </c>
      <c r="Z673" s="17" t="n">
        <v>15.1005735502168</v>
      </c>
      <c r="AA673" s="17" t="n">
        <v>6.58672042180357</v>
      </c>
      <c r="AB673" s="17"/>
      <c r="AC673" s="17"/>
      <c r="AD673" s="17"/>
      <c r="AE673" s="17"/>
      <c r="AF673" s="17"/>
      <c r="AG673" s="18" t="n">
        <f aca="false">IFERROR(100*O673/F673,"")</f>
        <v>0.219007298923181</v>
      </c>
      <c r="AH673" s="18" t="n">
        <f aca="false">IFERROR(100*(P673+Q673)/F673,"")</f>
        <v>0.0406595829224471</v>
      </c>
      <c r="AI673" s="18" t="n">
        <f aca="false">IFERROR(100*R673/K673,"")</f>
        <v>-0.00554292231178661</v>
      </c>
      <c r="AJ673" s="18" t="n">
        <f aca="false">IF(T673&gt;0,100*S673/T673,"")</f>
        <v>15.1005735502168</v>
      </c>
      <c r="AK673" s="18" t="n">
        <f aca="false">IFERROR(100*U673/G673,"")</f>
        <v>1.08763023716891</v>
      </c>
      <c r="AL673" s="18" t="n">
        <f aca="false">IFERROR(100*J673/H673,"")</f>
        <v>52.2564556468167</v>
      </c>
      <c r="AM673" s="18" t="n">
        <f aca="false">IFERROR(100*L673/J673,"")</f>
        <v>84.4675854345482</v>
      </c>
      <c r="AN673" s="18" t="n">
        <f aca="false">IFERROR(100*M673/J673,"")</f>
        <v>11.5684521073437</v>
      </c>
      <c r="AO673" s="18" t="n">
        <f aca="false">IFERROR(100*N673/J673,"")</f>
        <v>3.98207037572536</v>
      </c>
    </row>
    <row r="674" customFormat="false" ht="15" hidden="false" customHeight="false" outlineLevel="0" collapsed="false">
      <c r="A674" s="17" t="n">
        <v>33418</v>
      </c>
      <c r="B674" s="23" t="n">
        <v>44742</v>
      </c>
      <c r="C674" s="17" t="s">
        <v>133</v>
      </c>
      <c r="D674" s="17" t="s">
        <v>113</v>
      </c>
      <c r="E674" s="17" t="s">
        <v>118</v>
      </c>
      <c r="F674" s="17" t="n">
        <v>732318</v>
      </c>
      <c r="G674" s="17" t="n">
        <v>752857.333333333</v>
      </c>
      <c r="H674" s="17" t="n">
        <v>570903</v>
      </c>
      <c r="I674" s="17" t="n">
        <v>59389</v>
      </c>
      <c r="J674" s="17" t="n">
        <v>354978</v>
      </c>
      <c r="K674" s="17" t="n">
        <v>358873</v>
      </c>
      <c r="L674" s="17" t="n">
        <v>301150</v>
      </c>
      <c r="M674" s="17" t="n">
        <v>40513</v>
      </c>
      <c r="N674" s="17" t="n">
        <v>13342</v>
      </c>
      <c r="O674" s="17" t="n">
        <v>2652</v>
      </c>
      <c r="P674" s="17" t="n">
        <v>497</v>
      </c>
      <c r="Q674" s="17" t="n">
        <v>0</v>
      </c>
      <c r="R674" s="17" t="n">
        <v>4</v>
      </c>
      <c r="S674" s="17" t="n">
        <v>85391</v>
      </c>
      <c r="T674" s="17" t="n">
        <v>458903</v>
      </c>
      <c r="U674" s="17" t="n">
        <v>8776</v>
      </c>
      <c r="V674" s="17" t="n">
        <v>1.16569230469518</v>
      </c>
      <c r="W674" s="17" t="n">
        <v>14.67</v>
      </c>
      <c r="X674" s="17" t="n">
        <v>2.71692040204904</v>
      </c>
      <c r="Y674" s="17" t="n">
        <v>2.10322893249723</v>
      </c>
      <c r="Z674" s="17" t="n">
        <v>18.6076360363737</v>
      </c>
      <c r="AA674" s="17" t="n">
        <v>8.10972828743797</v>
      </c>
      <c r="AB674" s="17"/>
      <c r="AC674" s="17"/>
      <c r="AD674" s="17"/>
      <c r="AE674" s="17"/>
      <c r="AF674" s="17"/>
      <c r="AG674" s="18" t="n">
        <f aca="false">IFERROR(100*O674/F674,"")</f>
        <v>0.36213775982565</v>
      </c>
      <c r="AH674" s="18" t="n">
        <f aca="false">IFERROR(100*(P674+Q674)/F674,"")</f>
        <v>0.0678666917923634</v>
      </c>
      <c r="AI674" s="18" t="n">
        <f aca="false">IFERROR(100*R674/K674,"")</f>
        <v>0.00111460042967847</v>
      </c>
      <c r="AJ674" s="18" t="n">
        <f aca="false">IF(T674&gt;0,100*S674/T674,"")</f>
        <v>18.6076360363737</v>
      </c>
      <c r="AK674" s="18" t="n">
        <f aca="false">IFERROR(100*U674/G674,"")</f>
        <v>1.16569230469518</v>
      </c>
      <c r="AL674" s="18" t="n">
        <f aca="false">IFERROR(100*J674/H674,"")</f>
        <v>62.1783385268601</v>
      </c>
      <c r="AM674" s="18" t="n">
        <f aca="false">IFERROR(100*L674/J674,"")</f>
        <v>84.8362433728287</v>
      </c>
      <c r="AN674" s="18" t="n">
        <f aca="false">IFERROR(100*M674/J674,"")</f>
        <v>11.4128199494053</v>
      </c>
      <c r="AO674" s="18" t="n">
        <f aca="false">IFERROR(100*N674/J674,"")</f>
        <v>3.75854278293303</v>
      </c>
    </row>
    <row r="675" customFormat="false" ht="15" hidden="false" customHeight="false" outlineLevel="0" collapsed="false">
      <c r="A675" s="17" t="n">
        <v>33418</v>
      </c>
      <c r="B675" s="23" t="n">
        <v>44834</v>
      </c>
      <c r="C675" s="17" t="s">
        <v>133</v>
      </c>
      <c r="D675" s="17" t="s">
        <v>113</v>
      </c>
      <c r="E675" s="17" t="s">
        <v>118</v>
      </c>
      <c r="F675" s="17" t="n">
        <v>728017</v>
      </c>
      <c r="G675" s="17" t="n">
        <v>746647.25</v>
      </c>
      <c r="H675" s="17" t="n">
        <v>571364</v>
      </c>
      <c r="I675" s="17" t="n">
        <v>59731</v>
      </c>
      <c r="J675" s="17" t="n">
        <v>353551</v>
      </c>
      <c r="K675" s="17" t="n">
        <v>357542.5</v>
      </c>
      <c r="L675" s="17" t="n">
        <v>302851</v>
      </c>
      <c r="M675" s="17" t="n">
        <v>38891</v>
      </c>
      <c r="N675" s="17" t="n">
        <v>11836</v>
      </c>
      <c r="O675" s="17" t="n">
        <v>3182</v>
      </c>
      <c r="P675" s="17" t="n">
        <v>192</v>
      </c>
      <c r="Q675" s="17" t="n">
        <v>0</v>
      </c>
      <c r="R675" s="17" t="n">
        <v>-1.3333</v>
      </c>
      <c r="S675" s="17" t="n">
        <v>86986</v>
      </c>
      <c r="T675" s="17" t="n">
        <v>457829</v>
      </c>
      <c r="U675" s="17" t="n">
        <v>8939.7765</v>
      </c>
      <c r="V675" s="17" t="n">
        <v>1.19732263126932</v>
      </c>
      <c r="W675" s="17" t="n">
        <v>14.95</v>
      </c>
      <c r="X675" s="17" t="n">
        <v>2.74288198149817</v>
      </c>
      <c r="Y675" s="17" t="n">
        <v>1.90071587974578</v>
      </c>
      <c r="Z675" s="17" t="n">
        <v>18.9996701825354</v>
      </c>
      <c r="AA675" s="17" t="n">
        <v>8.20461610099764</v>
      </c>
      <c r="AB675" s="17"/>
      <c r="AC675" s="17"/>
      <c r="AD675" s="17"/>
      <c r="AE675" s="17"/>
      <c r="AF675" s="17"/>
      <c r="AG675" s="18" t="n">
        <f aca="false">IFERROR(100*O675/F675,"")</f>
        <v>0.437077705603029</v>
      </c>
      <c r="AH675" s="18" t="n">
        <f aca="false">IFERROR(100*(P675+Q675)/F675,"")</f>
        <v>0.0263730105203587</v>
      </c>
      <c r="AI675" s="18" t="n">
        <f aca="false">IFERROR(100*R675/K675,"")</f>
        <v>-0.000372906717383248</v>
      </c>
      <c r="AJ675" s="18" t="n">
        <f aca="false">IF(T675&gt;0,100*S675/T675,"")</f>
        <v>18.9996701825354</v>
      </c>
      <c r="AK675" s="18" t="n">
        <f aca="false">IFERROR(100*U675/G675,"")</f>
        <v>1.19732263126932</v>
      </c>
      <c r="AL675" s="18" t="n">
        <f aca="false">IFERROR(100*J675/H675,"")</f>
        <v>61.8784172611505</v>
      </c>
      <c r="AM675" s="18" t="n">
        <f aca="false">IFERROR(100*L675/J675,"")</f>
        <v>85.659777514418</v>
      </c>
      <c r="AN675" s="18" t="n">
        <f aca="false">IFERROR(100*M675/J675,"")</f>
        <v>11.0001103094037</v>
      </c>
      <c r="AO675" s="18" t="n">
        <f aca="false">IFERROR(100*N675/J675,"")</f>
        <v>3.34774898105224</v>
      </c>
    </row>
    <row r="676" customFormat="false" ht="15" hidden="false" customHeight="false" outlineLevel="0" collapsed="false">
      <c r="A676" s="17" t="n">
        <v>33418</v>
      </c>
      <c r="B676" s="23" t="n">
        <v>44926</v>
      </c>
      <c r="C676" s="17" t="s">
        <v>133</v>
      </c>
      <c r="D676" s="17" t="s">
        <v>113</v>
      </c>
      <c r="E676" s="17" t="s">
        <v>118</v>
      </c>
      <c r="F676" s="17" t="n">
        <v>742176</v>
      </c>
      <c r="G676" s="17" t="n">
        <v>745753</v>
      </c>
      <c r="H676" s="17" t="n">
        <v>574586</v>
      </c>
      <c r="I676" s="17" t="n">
        <v>65423</v>
      </c>
      <c r="J676" s="17" t="n">
        <v>362057</v>
      </c>
      <c r="K676" s="17" t="n">
        <v>358445.4</v>
      </c>
      <c r="L676" s="17" t="n">
        <v>308351</v>
      </c>
      <c r="M676" s="17" t="n">
        <v>41788</v>
      </c>
      <c r="N676" s="17" t="n">
        <v>11928</v>
      </c>
      <c r="O676" s="17" t="n">
        <v>1487</v>
      </c>
      <c r="P676" s="17" t="n">
        <v>238</v>
      </c>
      <c r="Q676" s="17" t="n">
        <v>0</v>
      </c>
      <c r="R676" s="17" t="n">
        <v>-8</v>
      </c>
      <c r="S676" s="17" t="n">
        <v>85453</v>
      </c>
      <c r="T676" s="17" t="n">
        <v>455446</v>
      </c>
      <c r="U676" s="17" t="n">
        <v>7714</v>
      </c>
      <c r="V676" s="17" t="n">
        <v>1.03439074331582</v>
      </c>
      <c r="W676" s="17" t="n">
        <v>12.66</v>
      </c>
      <c r="X676" s="17" t="n">
        <v>2.81376676100904</v>
      </c>
      <c r="Y676" s="17" t="n">
        <v>1.0614350779021</v>
      </c>
      <c r="Z676" s="17" t="n">
        <v>18.7624877592514</v>
      </c>
      <c r="AA676" s="17" t="n">
        <v>8.81502500754538</v>
      </c>
      <c r="AB676" s="17"/>
      <c r="AC676" s="17"/>
      <c r="AD676" s="17"/>
      <c r="AE676" s="17"/>
      <c r="AF676" s="17"/>
      <c r="AG676" s="18" t="n">
        <f aca="false">IFERROR(100*O676/F676,"")</f>
        <v>0.200356788686242</v>
      </c>
      <c r="AH676" s="18" t="n">
        <f aca="false">IFERROR(100*(P676+Q676)/F676,"")</f>
        <v>0.0320678653041866</v>
      </c>
      <c r="AI676" s="18" t="n">
        <f aca="false">IFERROR(100*R676/K676,"")</f>
        <v>-0.00223186013825258</v>
      </c>
      <c r="AJ676" s="18" t="n">
        <f aca="false">IF(T676&gt;0,100*S676/T676,"")</f>
        <v>18.7624877592514</v>
      </c>
      <c r="AK676" s="18" t="n">
        <f aca="false">IFERROR(100*U676/G676,"")</f>
        <v>1.03439074331582</v>
      </c>
      <c r="AL676" s="18" t="n">
        <f aca="false">IFERROR(100*J676/H676,"")</f>
        <v>63.011803280971</v>
      </c>
      <c r="AM676" s="18" t="n">
        <f aca="false">IFERROR(100*L676/J676,"")</f>
        <v>85.1664240713479</v>
      </c>
      <c r="AN676" s="18" t="n">
        <f aca="false">IFERROR(100*M676/J676,"")</f>
        <v>11.5418290490171</v>
      </c>
      <c r="AO676" s="18" t="n">
        <f aca="false">IFERROR(100*N676/J676,"")</f>
        <v>3.29450887567427</v>
      </c>
    </row>
    <row r="677" customFormat="false" ht="15" hidden="false" customHeight="false" outlineLevel="0" collapsed="false">
      <c r="A677" s="17" t="n">
        <v>33418</v>
      </c>
      <c r="B677" s="23" t="n">
        <v>45016</v>
      </c>
      <c r="C677" s="17" t="s">
        <v>133</v>
      </c>
      <c r="D677" s="17" t="s">
        <v>113</v>
      </c>
      <c r="E677" s="17" t="s">
        <v>118</v>
      </c>
      <c r="F677" s="17" t="n">
        <v>745394</v>
      </c>
      <c r="G677" s="17" t="n">
        <v>743785</v>
      </c>
      <c r="H677" s="17" t="n">
        <v>529254</v>
      </c>
      <c r="I677" s="17" t="n">
        <v>67356</v>
      </c>
      <c r="J677" s="17" t="n">
        <v>363499</v>
      </c>
      <c r="K677" s="17" t="n">
        <v>362778</v>
      </c>
      <c r="L677" s="17" t="n">
        <v>305729</v>
      </c>
      <c r="M677" s="17" t="n">
        <v>46441</v>
      </c>
      <c r="N677" s="17" t="n">
        <v>11330</v>
      </c>
      <c r="O677" s="17" t="n">
        <v>1287</v>
      </c>
      <c r="P677" s="17" t="n">
        <v>237</v>
      </c>
      <c r="Q677" s="17" t="n">
        <v>0</v>
      </c>
      <c r="R677" s="17" t="n">
        <v>8</v>
      </c>
      <c r="S677" s="17" t="n">
        <v>86096</v>
      </c>
      <c r="T677" s="17" t="n">
        <v>455395</v>
      </c>
      <c r="U677" s="17" t="n">
        <v>6932</v>
      </c>
      <c r="V677" s="17" t="n">
        <v>0.931989755103962</v>
      </c>
      <c r="W677" s="17" t="n">
        <v>10.44</v>
      </c>
      <c r="X677" s="17" t="n">
        <v>3.00755226824019</v>
      </c>
      <c r="Y677" s="17" t="n">
        <v>0.783495965601006</v>
      </c>
      <c r="Z677" s="17" t="n">
        <v>18.9057850876711</v>
      </c>
      <c r="AA677" s="17" t="n">
        <v>9.03629489907351</v>
      </c>
      <c r="AB677" s="17" t="n">
        <v>-1.59932093216054</v>
      </c>
      <c r="AC677" s="17" t="n">
        <v>1.26476839973368</v>
      </c>
      <c r="AD677" s="17" t="n">
        <v>-22.9523756838516</v>
      </c>
      <c r="AE677" s="17" t="n">
        <v>-0.15564048206495</v>
      </c>
      <c r="AF677" s="17" t="n">
        <v>-0.0463469340691576</v>
      </c>
      <c r="AG677" s="18" t="n">
        <f aca="false">IFERROR(100*O677/F677,"")</f>
        <v>0.172660364854024</v>
      </c>
      <c r="AH677" s="18" t="n">
        <f aca="false">IFERROR(100*(P677+Q677)/F677,"")</f>
        <v>0.0317952653227689</v>
      </c>
      <c r="AI677" s="18" t="n">
        <f aca="false">IFERROR(100*R677/K677,"")</f>
        <v>0.00220520538731676</v>
      </c>
      <c r="AJ677" s="18" t="n">
        <f aca="false">IF(T677&gt;0,100*S677/T677,"")</f>
        <v>18.9057850876711</v>
      </c>
      <c r="AK677" s="18" t="n">
        <f aca="false">IFERROR(100*U677/G677,"")</f>
        <v>0.931989755103962</v>
      </c>
      <c r="AL677" s="18" t="n">
        <f aca="false">IFERROR(100*J677/H677,"")</f>
        <v>68.6813892762265</v>
      </c>
      <c r="AM677" s="18" t="n">
        <f aca="false">IFERROR(100*L677/J677,"")</f>
        <v>84.1072465123701</v>
      </c>
      <c r="AN677" s="18" t="n">
        <f aca="false">IFERROR(100*M677/J677,"")</f>
        <v>12.7761011722178</v>
      </c>
      <c r="AO677" s="18" t="n">
        <f aca="false">IFERROR(100*N677/J677,"")</f>
        <v>3.11692741933265</v>
      </c>
    </row>
    <row r="678" customFormat="false" ht="15" hidden="false" customHeight="false" outlineLevel="0" collapsed="false">
      <c r="A678" s="17" t="n">
        <v>33418</v>
      </c>
      <c r="B678" s="23" t="n">
        <v>45107</v>
      </c>
      <c r="C678" s="17" t="s">
        <v>133</v>
      </c>
      <c r="D678" s="17" t="s">
        <v>113</v>
      </c>
      <c r="E678" s="17" t="s">
        <v>118</v>
      </c>
      <c r="F678" s="17" t="n">
        <v>749197</v>
      </c>
      <c r="G678" s="17" t="n">
        <v>745589</v>
      </c>
      <c r="H678" s="17" t="n">
        <v>565840</v>
      </c>
      <c r="I678" s="17" t="n">
        <v>68367</v>
      </c>
      <c r="J678" s="17" t="n">
        <v>371810</v>
      </c>
      <c r="K678" s="17" t="n">
        <v>365788.666666667</v>
      </c>
      <c r="L678" s="17" t="n">
        <v>314793</v>
      </c>
      <c r="M678" s="17" t="n">
        <v>45951</v>
      </c>
      <c r="N678" s="17" t="n">
        <v>11428</v>
      </c>
      <c r="O678" s="17" t="n">
        <v>1120</v>
      </c>
      <c r="P678" s="17" t="n">
        <v>58</v>
      </c>
      <c r="Q678" s="17" t="n">
        <v>0</v>
      </c>
      <c r="R678" s="17" t="n">
        <v>-48</v>
      </c>
      <c r="S678" s="17" t="n">
        <v>86590</v>
      </c>
      <c r="T678" s="17" t="n">
        <v>467034</v>
      </c>
      <c r="U678" s="17" t="n">
        <v>5440</v>
      </c>
      <c r="V678" s="17" t="n">
        <v>0.729624498215505</v>
      </c>
      <c r="W678" s="17" t="n">
        <v>8.11</v>
      </c>
      <c r="X678" s="17" t="n">
        <v>2.80710680168781</v>
      </c>
      <c r="Y678" s="17" t="n">
        <v>0.836717678384121</v>
      </c>
      <c r="Z678" s="17" t="n">
        <v>18.5404060518078</v>
      </c>
      <c r="AA678" s="17" t="n">
        <v>9.12537022972596</v>
      </c>
      <c r="AB678" s="17" t="n">
        <v>2.30487301964448</v>
      </c>
      <c r="AC678" s="17" t="n">
        <v>4.74170230267792</v>
      </c>
      <c r="AD678" s="17" t="n">
        <v>-0.8868406717078</v>
      </c>
      <c r="AE678" s="17" t="n">
        <v>-0.436067806479674</v>
      </c>
      <c r="AF678" s="17" t="n">
        <v>-0.212644368901767</v>
      </c>
      <c r="AG678" s="18" t="n">
        <f aca="false">IFERROR(100*O678/F678,"")</f>
        <v>0.149493390923883</v>
      </c>
      <c r="AH678" s="18" t="n">
        <f aca="false">IFERROR(100*(P678+Q678)/F678,"")</f>
        <v>0.00774162202998677</v>
      </c>
      <c r="AI678" s="18" t="n">
        <f aca="false">IFERROR(100*R678/K678,"")</f>
        <v>-0.0131223311092197</v>
      </c>
      <c r="AJ678" s="18" t="n">
        <f aca="false">IF(T678&gt;0,100*S678/T678,"")</f>
        <v>18.5404060518078</v>
      </c>
      <c r="AK678" s="18" t="n">
        <f aca="false">IFERROR(100*U678/G678,"")</f>
        <v>0.729624498215505</v>
      </c>
      <c r="AL678" s="18" t="n">
        <f aca="false">IFERROR(100*J678/H678,"")</f>
        <v>65.7093878128093</v>
      </c>
      <c r="AM678" s="18" t="n">
        <f aca="false">IFERROR(100*L678/J678,"")</f>
        <v>84.6650170786154</v>
      </c>
      <c r="AN678" s="18" t="n">
        <f aca="false">IFERROR(100*M678/J678,"")</f>
        <v>12.358731610231</v>
      </c>
      <c r="AO678" s="18" t="n">
        <f aca="false">IFERROR(100*N678/J678,"")</f>
        <v>3.0736128667868</v>
      </c>
    </row>
    <row r="679" customFormat="false" ht="15" hidden="false" customHeight="false" outlineLevel="0" collapsed="false">
      <c r="A679" s="17" t="n">
        <v>33418</v>
      </c>
      <c r="B679" s="23" t="n">
        <v>45199</v>
      </c>
      <c r="C679" s="17" t="s">
        <v>133</v>
      </c>
      <c r="D679" s="17" t="s">
        <v>113</v>
      </c>
      <c r="E679" s="17" t="s">
        <v>118</v>
      </c>
      <c r="F679" s="17" t="n">
        <v>798886</v>
      </c>
      <c r="G679" s="17" t="n">
        <v>758913.25</v>
      </c>
      <c r="H679" s="17" t="n">
        <v>597610</v>
      </c>
      <c r="I679" s="17" t="n">
        <v>66192</v>
      </c>
      <c r="J679" s="17" t="n">
        <v>384973</v>
      </c>
      <c r="K679" s="17" t="n">
        <v>370584.75</v>
      </c>
      <c r="L679" s="17" t="n">
        <v>329540</v>
      </c>
      <c r="M679" s="17" t="n">
        <v>45738</v>
      </c>
      <c r="N679" s="17" t="n">
        <v>10764</v>
      </c>
      <c r="O679" s="17" t="n">
        <v>1080</v>
      </c>
      <c r="P679" s="17" t="n">
        <v>452</v>
      </c>
      <c r="Q679" s="17" t="n">
        <v>0</v>
      </c>
      <c r="R679" s="17" t="n">
        <v>-35.9991</v>
      </c>
      <c r="S679" s="17" t="n">
        <v>86611</v>
      </c>
      <c r="T679" s="17" t="n">
        <v>493824</v>
      </c>
      <c r="U679" s="17" t="n">
        <v>5047.8738</v>
      </c>
      <c r="V679" s="17" t="n">
        <v>0.6651450346927</v>
      </c>
      <c r="W679" s="17" t="n">
        <v>7.55</v>
      </c>
      <c r="X679" s="17" t="n">
        <v>2.64905350409492</v>
      </c>
      <c r="Y679" s="17" t="n">
        <v>0.709660157985105</v>
      </c>
      <c r="Z679" s="17" t="n">
        <v>17.5388397485744</v>
      </c>
      <c r="AA679" s="17" t="n">
        <v>8.28553761112349</v>
      </c>
      <c r="AB679" s="17" t="n">
        <v>9.73452543003803</v>
      </c>
      <c r="AC679" s="17" t="n">
        <v>8.88754380556129</v>
      </c>
      <c r="AD679" s="17" t="n">
        <v>4.59356907330528</v>
      </c>
      <c r="AE679" s="17" t="n">
        <v>-0.532177596576617</v>
      </c>
      <c r="AF679" s="17" t="n">
        <v>-0.301889455965408</v>
      </c>
      <c r="AG679" s="18" t="n">
        <f aca="false">IFERROR(100*O679/F679,"")</f>
        <v>0.13518824963762</v>
      </c>
      <c r="AH679" s="18" t="n">
        <f aca="false">IFERROR(100*(P679+Q679)/F679,"")</f>
        <v>0.0565787859594485</v>
      </c>
      <c r="AI679" s="18" t="n">
        <f aca="false">IFERROR(100*R679/K679,"")</f>
        <v>-0.00971413421626227</v>
      </c>
      <c r="AJ679" s="18" t="n">
        <f aca="false">IF(T679&gt;0,100*S679/T679,"")</f>
        <v>17.5388397485744</v>
      </c>
      <c r="AK679" s="18" t="n">
        <f aca="false">IFERROR(100*U679/G679,"")</f>
        <v>0.6651450346927</v>
      </c>
      <c r="AL679" s="18" t="n">
        <f aca="false">IFERROR(100*J679/H679,"")</f>
        <v>64.4187680929034</v>
      </c>
      <c r="AM679" s="18" t="n">
        <f aca="false">IFERROR(100*L679/J679,"")</f>
        <v>85.6008083683791</v>
      </c>
      <c r="AN679" s="18" t="n">
        <f aca="false">IFERROR(100*M679/J679,"")</f>
        <v>11.8808332012894</v>
      </c>
      <c r="AO679" s="18" t="n">
        <f aca="false">IFERROR(100*N679/J679,"")</f>
        <v>2.79604024178319</v>
      </c>
    </row>
    <row r="680" customFormat="false" ht="15" hidden="false" customHeight="false" outlineLevel="0" collapsed="false">
      <c r="A680" s="17" t="n">
        <v>33418</v>
      </c>
      <c r="B680" s="23" t="n">
        <v>45291</v>
      </c>
      <c r="C680" s="17" t="s">
        <v>133</v>
      </c>
      <c r="D680" s="17" t="s">
        <v>113</v>
      </c>
      <c r="E680" s="17" t="s">
        <v>118</v>
      </c>
      <c r="F680" s="17" t="n">
        <v>854116</v>
      </c>
      <c r="G680" s="17" t="n">
        <v>777953.8</v>
      </c>
      <c r="H680" s="17" t="n">
        <v>664122</v>
      </c>
      <c r="I680" s="17" t="n">
        <v>68784</v>
      </c>
      <c r="J680" s="17" t="n">
        <v>418780</v>
      </c>
      <c r="K680" s="17" t="n">
        <v>380223.8</v>
      </c>
      <c r="L680" s="17" t="n">
        <v>354004</v>
      </c>
      <c r="M680" s="17" t="n">
        <v>52712</v>
      </c>
      <c r="N680" s="17" t="n">
        <v>11771</v>
      </c>
      <c r="O680" s="17" t="n">
        <v>1741</v>
      </c>
      <c r="P680" s="17" t="n">
        <v>1957</v>
      </c>
      <c r="Q680" s="17" t="n">
        <v>0</v>
      </c>
      <c r="R680" s="17" t="n">
        <v>-50</v>
      </c>
      <c r="S680" s="17" t="n">
        <v>86949</v>
      </c>
      <c r="T680" s="17" t="n">
        <v>536631</v>
      </c>
      <c r="U680" s="17" t="n">
        <v>4141</v>
      </c>
      <c r="V680" s="17" t="n">
        <v>0.532293820018618</v>
      </c>
      <c r="W680" s="17" t="n">
        <v>6.16</v>
      </c>
      <c r="X680" s="17" t="n">
        <v>2.54550855392525</v>
      </c>
      <c r="Y680" s="17" t="n">
        <v>0.663833038827069</v>
      </c>
      <c r="Z680" s="17" t="n">
        <v>16.202753847616</v>
      </c>
      <c r="AA680" s="17" t="n">
        <v>8.05323867015721</v>
      </c>
      <c r="AB680" s="17" t="n">
        <v>15.0826758073557</v>
      </c>
      <c r="AC680" s="17" t="n">
        <v>15.6668701337082</v>
      </c>
      <c r="AD680" s="17" t="n">
        <v>15.5826978032879</v>
      </c>
      <c r="AE680" s="17" t="n">
        <v>-0.502096923297198</v>
      </c>
      <c r="AF680" s="17" t="n">
        <v>0.00347969254113273</v>
      </c>
      <c r="AG680" s="18" t="n">
        <f aca="false">IFERROR(100*O680/F680,"")</f>
        <v>0.203836481227374</v>
      </c>
      <c r="AH680" s="18" t="n">
        <f aca="false">IFERROR(100*(P680+Q680)/F680,"")</f>
        <v>0.229125786192976</v>
      </c>
      <c r="AI680" s="18" t="n">
        <f aca="false">IFERROR(100*R680/K680,"")</f>
        <v>-0.0131501499906108</v>
      </c>
      <c r="AJ680" s="18" t="n">
        <f aca="false">IF(T680&gt;0,100*S680/T680,"")</f>
        <v>16.202753847616</v>
      </c>
      <c r="AK680" s="18" t="n">
        <f aca="false">IFERROR(100*U680/G680,"")</f>
        <v>0.532293820018618</v>
      </c>
      <c r="AL680" s="18" t="n">
        <f aca="false">IFERROR(100*J680/H680,"")</f>
        <v>63.0576912073384</v>
      </c>
      <c r="AM680" s="18" t="n">
        <f aca="false">IFERROR(100*L680/J680,"")</f>
        <v>84.5322126176035</v>
      </c>
      <c r="AN680" s="18" t="n">
        <f aca="false">IFERROR(100*M680/J680,"")</f>
        <v>12.5870385405225</v>
      </c>
      <c r="AO680" s="18" t="n">
        <f aca="false">IFERROR(100*N680/J680,"")</f>
        <v>2.810783705048</v>
      </c>
    </row>
    <row r="681" customFormat="false" ht="15" hidden="false" customHeight="false" outlineLevel="0" collapsed="false">
      <c r="A681" s="17" t="n">
        <v>33418</v>
      </c>
      <c r="B681" s="23" t="n">
        <v>45382</v>
      </c>
      <c r="C681" s="17" t="s">
        <v>133</v>
      </c>
      <c r="D681" s="17" t="s">
        <v>113</v>
      </c>
      <c r="E681" s="17" t="s">
        <v>118</v>
      </c>
      <c r="F681" s="17" t="n">
        <v>893621</v>
      </c>
      <c r="G681" s="17" t="n">
        <v>873868.5</v>
      </c>
      <c r="H681" s="17" t="n">
        <v>783873</v>
      </c>
      <c r="I681" s="17" t="n">
        <v>68407</v>
      </c>
      <c r="J681" s="17" t="n">
        <v>457449</v>
      </c>
      <c r="K681" s="17" t="n">
        <v>438114.5</v>
      </c>
      <c r="L681" s="17" t="n">
        <v>381804</v>
      </c>
      <c r="M681" s="17" t="n">
        <v>61228</v>
      </c>
      <c r="N681" s="17" t="n">
        <v>14835</v>
      </c>
      <c r="O681" s="17" t="n">
        <v>1692</v>
      </c>
      <c r="P681" s="17" t="n">
        <v>118</v>
      </c>
      <c r="Q681" s="17" t="n">
        <v>0</v>
      </c>
      <c r="R681" s="17" t="n">
        <v>-20</v>
      </c>
      <c r="S681" s="17" t="n">
        <v>87386</v>
      </c>
      <c r="T681" s="17" t="n">
        <v>585920</v>
      </c>
      <c r="U681" s="17" t="n">
        <v>2772</v>
      </c>
      <c r="V681" s="17" t="n">
        <v>0.317210198101888</v>
      </c>
      <c r="W681" s="17" t="n">
        <v>4.04</v>
      </c>
      <c r="X681" s="17" t="n">
        <v>2.16942321806463</v>
      </c>
      <c r="Y681" s="17" t="n">
        <v>0.726201172152524</v>
      </c>
      <c r="Z681" s="17" t="n">
        <v>14.9143227744402</v>
      </c>
      <c r="AA681" s="17" t="n">
        <v>7.65503496448718</v>
      </c>
      <c r="AB681" s="17" t="n">
        <v>19.8857248649707</v>
      </c>
      <c r="AC681" s="17" t="n">
        <v>25.846013331536</v>
      </c>
      <c r="AD681" s="17" t="n">
        <v>48.1090364928749</v>
      </c>
      <c r="AE681" s="17" t="n">
        <v>-0.614779557002073</v>
      </c>
      <c r="AF681" s="17" t="n">
        <v>0.0166816492660565</v>
      </c>
      <c r="AG681" s="18" t="n">
        <f aca="false">IFERROR(100*O681/F681,"")</f>
        <v>0.18934201412008</v>
      </c>
      <c r="AH681" s="18" t="n">
        <f aca="false">IFERROR(100*(P681+Q681)/F681,"")</f>
        <v>0.0132047031123933</v>
      </c>
      <c r="AI681" s="18" t="n">
        <f aca="false">IFERROR(100*R681/K681,"")</f>
        <v>-0.00456501667942969</v>
      </c>
      <c r="AJ681" s="18" t="n">
        <f aca="false">IF(T681&gt;0,100*S681/T681,"")</f>
        <v>14.9143227744402</v>
      </c>
      <c r="AK681" s="18" t="n">
        <f aca="false">IFERROR(100*U681/G681,"")</f>
        <v>0.317210198101888</v>
      </c>
      <c r="AL681" s="18" t="n">
        <f aca="false">IFERROR(100*J681/H681,"")</f>
        <v>58.3575400606986</v>
      </c>
      <c r="AM681" s="18" t="n">
        <f aca="false">IFERROR(100*L681/J681,"")</f>
        <v>83.4637303830591</v>
      </c>
      <c r="AN681" s="18" t="n">
        <f aca="false">IFERROR(100*M681/J681,"")</f>
        <v>13.3846614595288</v>
      </c>
      <c r="AO681" s="18" t="n">
        <f aca="false">IFERROR(100*N681/J681,"")</f>
        <v>3.24298446384187</v>
      </c>
    </row>
    <row r="682" customFormat="false" ht="15" hidden="false" customHeight="false" outlineLevel="0" collapsed="false">
      <c r="A682" s="17" t="n">
        <v>33418</v>
      </c>
      <c r="B682" s="23" t="n">
        <v>45473</v>
      </c>
      <c r="C682" s="17" t="s">
        <v>133</v>
      </c>
      <c r="D682" s="17" t="s">
        <v>113</v>
      </c>
      <c r="E682" s="17" t="s">
        <v>118</v>
      </c>
      <c r="F682" s="17" t="n">
        <v>907185</v>
      </c>
      <c r="G682" s="17" t="n">
        <v>884974</v>
      </c>
      <c r="H682" s="17" t="n">
        <v>797623</v>
      </c>
      <c r="I682" s="17" t="n">
        <v>68495</v>
      </c>
      <c r="J682" s="17" t="n">
        <v>496078</v>
      </c>
      <c r="K682" s="17" t="n">
        <v>457435.666666667</v>
      </c>
      <c r="L682" s="17" t="n">
        <v>409365</v>
      </c>
      <c r="M682" s="17" t="n">
        <v>70095</v>
      </c>
      <c r="N682" s="17" t="n">
        <v>17201</v>
      </c>
      <c r="O682" s="17" t="n">
        <v>964</v>
      </c>
      <c r="P682" s="17" t="n">
        <v>641</v>
      </c>
      <c r="Q682" s="17" t="n">
        <v>0</v>
      </c>
      <c r="R682" s="17" t="n">
        <v>-8</v>
      </c>
      <c r="S682" s="17" t="n">
        <v>87737</v>
      </c>
      <c r="T682" s="17" t="n">
        <v>609385</v>
      </c>
      <c r="U682" s="17" t="n">
        <v>3316</v>
      </c>
      <c r="V682" s="17" t="n">
        <v>0.374700273680357</v>
      </c>
      <c r="W682" s="17" t="n">
        <v>4.84</v>
      </c>
      <c r="X682" s="17" t="n">
        <v>2.21373217341351</v>
      </c>
      <c r="Y682" s="17" t="n">
        <v>0.687190320876959</v>
      </c>
      <c r="Z682" s="17" t="n">
        <v>14.3976303978601</v>
      </c>
      <c r="AA682" s="17" t="n">
        <v>7.55027916025948</v>
      </c>
      <c r="AB682" s="17" t="n">
        <v>21.0876445047164</v>
      </c>
      <c r="AC682" s="17" t="n">
        <v>33.4224469487104</v>
      </c>
      <c r="AD682" s="17" t="n">
        <v>40.962639615439</v>
      </c>
      <c r="AE682" s="17" t="n">
        <v>-0.354924224535148</v>
      </c>
      <c r="AF682" s="17" t="n">
        <v>-0.0432306110057842</v>
      </c>
      <c r="AG682" s="18" t="n">
        <f aca="false">IFERROR(100*O682/F682,"")</f>
        <v>0.106262779918098</v>
      </c>
      <c r="AH682" s="18" t="n">
        <f aca="false">IFERROR(100*(P682+Q682)/F682,"")</f>
        <v>0.0706581347795654</v>
      </c>
      <c r="AI682" s="18" t="n">
        <f aca="false">IFERROR(100*R682/K682,"")</f>
        <v>-0.00174887980604923</v>
      </c>
      <c r="AJ682" s="18" t="n">
        <f aca="false">IF(T682&gt;0,100*S682/T682,"")</f>
        <v>14.3976303978601</v>
      </c>
      <c r="AK682" s="18" t="n">
        <f aca="false">IFERROR(100*U682/G682,"")</f>
        <v>0.374700273680357</v>
      </c>
      <c r="AL682" s="18" t="n">
        <f aca="false">IFERROR(100*J682/H682,"")</f>
        <v>62.194545543446</v>
      </c>
      <c r="AM682" s="18" t="n">
        <f aca="false">IFERROR(100*L682/J682,"")</f>
        <v>82.5202891480775</v>
      </c>
      <c r="AN682" s="18" t="n">
        <f aca="false">IFERROR(100*M682/J682,"")</f>
        <v>14.1298344211999</v>
      </c>
      <c r="AO682" s="18" t="n">
        <f aca="false">IFERROR(100*N682/J682,"")</f>
        <v>3.46739827204593</v>
      </c>
    </row>
    <row r="683" customFormat="false" ht="15" hidden="false" customHeight="false" outlineLevel="0" collapsed="false">
      <c r="A683" s="17" t="n">
        <v>33418</v>
      </c>
      <c r="B683" s="23" t="n">
        <v>45565</v>
      </c>
      <c r="C683" s="17" t="s">
        <v>133</v>
      </c>
      <c r="D683" s="17" t="s">
        <v>113</v>
      </c>
      <c r="E683" s="17" t="s">
        <v>118</v>
      </c>
      <c r="F683" s="17" t="n">
        <v>938865</v>
      </c>
      <c r="G683" s="17" t="n">
        <v>898446.75</v>
      </c>
      <c r="H683" s="17" t="n">
        <v>826469</v>
      </c>
      <c r="I683" s="17" t="n">
        <v>69813</v>
      </c>
      <c r="J683" s="17" t="n">
        <v>532153</v>
      </c>
      <c r="K683" s="17" t="n">
        <v>476115</v>
      </c>
      <c r="L683" s="17" t="n">
        <v>442986</v>
      </c>
      <c r="M683" s="17" t="n">
        <v>72013</v>
      </c>
      <c r="N683" s="17" t="n">
        <v>16431</v>
      </c>
      <c r="O683" s="17" t="n">
        <v>1024</v>
      </c>
      <c r="P683" s="17" t="n">
        <v>278</v>
      </c>
      <c r="Q683" s="17" t="n">
        <v>0</v>
      </c>
      <c r="R683" s="17" t="n">
        <v>-6.6665</v>
      </c>
      <c r="S683" s="17" t="n">
        <v>88161</v>
      </c>
      <c r="T683" s="17" t="n">
        <v>631846</v>
      </c>
      <c r="U683" s="17" t="n">
        <v>3555.9111</v>
      </c>
      <c r="V683" s="17" t="n">
        <v>0.395784291055647</v>
      </c>
      <c r="W683" s="17" t="n">
        <v>5.16</v>
      </c>
      <c r="X683" s="17" t="n">
        <v>2.23329594620879</v>
      </c>
      <c r="Y683" s="17" t="n">
        <v>0.689839200380342</v>
      </c>
      <c r="Z683" s="17" t="n">
        <v>13.9529252381118</v>
      </c>
      <c r="AA683" s="17" t="n">
        <v>7.43589333929798</v>
      </c>
      <c r="AB683" s="17" t="n">
        <v>17.521774070393</v>
      </c>
      <c r="AC683" s="17" t="n">
        <v>38.2312525813499</v>
      </c>
      <c r="AD683" s="17" t="n">
        <v>38.2957112498118</v>
      </c>
      <c r="AE683" s="17" t="n">
        <v>-0.269360743637054</v>
      </c>
      <c r="AF683" s="17" t="n">
        <v>-0.0261203857807294</v>
      </c>
      <c r="AG683" s="18" t="n">
        <f aca="false">IFERROR(100*O683/F683,"")</f>
        <v>0.109067863856891</v>
      </c>
      <c r="AH683" s="18" t="n">
        <f aca="false">IFERROR(100*(P683+Q683)/F683,"")</f>
        <v>0.0296102208517732</v>
      </c>
      <c r="AI683" s="18" t="n">
        <f aca="false">IFERROR(100*R683/K683,"")</f>
        <v>-0.00140018692962835</v>
      </c>
      <c r="AJ683" s="18" t="n">
        <f aca="false">IF(T683&gt;0,100*S683/T683,"")</f>
        <v>13.9529252381118</v>
      </c>
      <c r="AK683" s="18" t="n">
        <f aca="false">IFERROR(100*U683/G683,"")</f>
        <v>0.395784291055647</v>
      </c>
      <c r="AL683" s="18" t="n">
        <f aca="false">IFERROR(100*J683/H683,"")</f>
        <v>64.3887429534562</v>
      </c>
      <c r="AM683" s="18" t="n">
        <f aca="false">IFERROR(100*L683/J683,"")</f>
        <v>83.2441046090128</v>
      </c>
      <c r="AN683" s="18" t="n">
        <f aca="false">IFERROR(100*M683/J683,"")</f>
        <v>13.5323863625687</v>
      </c>
      <c r="AO683" s="18" t="n">
        <f aca="false">IFERROR(100*N683/J683,"")</f>
        <v>3.0876458462134</v>
      </c>
    </row>
    <row r="684" customFormat="false" ht="15" hidden="false" customHeight="false" outlineLevel="0" collapsed="false">
      <c r="A684" s="17" t="n">
        <v>33418</v>
      </c>
      <c r="B684" s="23" t="n">
        <v>45657</v>
      </c>
      <c r="C684" s="17" t="s">
        <v>133</v>
      </c>
      <c r="D684" s="17" t="s">
        <v>113</v>
      </c>
      <c r="E684" s="17" t="s">
        <v>118</v>
      </c>
      <c r="F684" s="17" t="n">
        <v>950082</v>
      </c>
      <c r="G684" s="17" t="n">
        <v>908773.8</v>
      </c>
      <c r="H684" s="17" t="n">
        <v>811387</v>
      </c>
      <c r="I684" s="17" t="n">
        <v>69717</v>
      </c>
      <c r="J684" s="17" t="n">
        <v>579725</v>
      </c>
      <c r="K684" s="17" t="n">
        <v>496837</v>
      </c>
      <c r="L684" s="17" t="n">
        <v>490295</v>
      </c>
      <c r="M684" s="17" t="n">
        <v>72559</v>
      </c>
      <c r="N684" s="17" t="n">
        <v>17090</v>
      </c>
      <c r="O684" s="17" t="n">
        <v>1277</v>
      </c>
      <c r="P684" s="17" t="n">
        <v>451</v>
      </c>
      <c r="Q684" s="17" t="n">
        <v>0</v>
      </c>
      <c r="R684" s="17" t="n">
        <v>-53</v>
      </c>
      <c r="S684" s="17" t="n">
        <v>83777</v>
      </c>
      <c r="T684" s="17" t="n">
        <v>658393</v>
      </c>
      <c r="U684" s="17" t="n">
        <v>4238</v>
      </c>
      <c r="V684" s="17" t="n">
        <v>0.466342669650027</v>
      </c>
      <c r="W684" s="17" t="n">
        <v>6.14</v>
      </c>
      <c r="X684" s="17" t="n">
        <v>2.29282626037659</v>
      </c>
      <c r="Y684" s="17" t="n">
        <v>0.648410884471085</v>
      </c>
      <c r="Z684" s="17" t="n">
        <v>12.7244669976746</v>
      </c>
      <c r="AA684" s="17" t="n">
        <v>7.33799819384011</v>
      </c>
      <c r="AB684" s="17" t="n">
        <v>11.2357103718933</v>
      </c>
      <c r="AC684" s="17" t="n">
        <v>38.4318735374182</v>
      </c>
      <c r="AD684" s="17" t="n">
        <v>22.174389645276</v>
      </c>
      <c r="AE684" s="17" t="n">
        <v>-0.0659511503685907</v>
      </c>
      <c r="AF684" s="17" t="n">
        <v>-0.0694270302536688</v>
      </c>
      <c r="AG684" s="18" t="n">
        <f aca="false">IFERROR(100*O684/F684,"")</f>
        <v>0.134409450973705</v>
      </c>
      <c r="AH684" s="18" t="n">
        <f aca="false">IFERROR(100*(P684+Q684)/F684,"")</f>
        <v>0.0474695868356626</v>
      </c>
      <c r="AI684" s="18" t="n">
        <f aca="false">IFERROR(100*R684/K684,"")</f>
        <v>-0.0106674824942587</v>
      </c>
      <c r="AJ684" s="18" t="n">
        <f aca="false">IF(T684&gt;0,100*S684/T684,"")</f>
        <v>12.7244669976746</v>
      </c>
      <c r="AK684" s="18" t="n">
        <f aca="false">IFERROR(100*U684/G684,"")</f>
        <v>0.466342669650027</v>
      </c>
      <c r="AL684" s="18" t="n">
        <f aca="false">IFERROR(100*J684/H684,"")</f>
        <v>71.4486428794151</v>
      </c>
      <c r="AM684" s="18" t="n">
        <f aca="false">IFERROR(100*L684/J684,"")</f>
        <v>84.5737202984174</v>
      </c>
      <c r="AN684" s="18" t="n">
        <f aca="false">IFERROR(100*M684/J684,"")</f>
        <v>12.5161067747639</v>
      </c>
      <c r="AO684" s="18" t="n">
        <f aca="false">IFERROR(100*N684/J684,"")</f>
        <v>2.94794945879512</v>
      </c>
    </row>
    <row r="685" customFormat="false" ht="15" hidden="false" customHeight="false" outlineLevel="0" collapsed="false">
      <c r="A685" s="17" t="n">
        <v>33418</v>
      </c>
      <c r="B685" s="23" t="n">
        <v>45747</v>
      </c>
      <c r="C685" s="17" t="s">
        <v>133</v>
      </c>
      <c r="D685" s="17" t="s">
        <v>113</v>
      </c>
      <c r="E685" s="17" t="s">
        <v>118</v>
      </c>
      <c r="F685" s="17" t="n">
        <v>974770</v>
      </c>
      <c r="G685" s="17" t="n">
        <v>962426</v>
      </c>
      <c r="H685" s="17" t="n">
        <v>799352</v>
      </c>
      <c r="I685" s="17" t="n">
        <v>70425</v>
      </c>
      <c r="J685" s="17" t="n">
        <v>608662</v>
      </c>
      <c r="K685" s="17" t="n">
        <v>594193.5</v>
      </c>
      <c r="L685" s="17" t="n">
        <v>511573</v>
      </c>
      <c r="M685" s="17" t="n">
        <v>78920</v>
      </c>
      <c r="N685" s="17" t="n">
        <v>18037</v>
      </c>
      <c r="O685" s="17" t="n">
        <v>1231</v>
      </c>
      <c r="P685" s="17" t="n">
        <v>526</v>
      </c>
      <c r="Q685" s="17" t="n">
        <v>0</v>
      </c>
      <c r="R685" s="17" t="n">
        <v>72</v>
      </c>
      <c r="S685" s="17" t="n">
        <v>84940</v>
      </c>
      <c r="T685" s="17" t="n">
        <v>682160</v>
      </c>
      <c r="U685" s="17" t="n">
        <v>5772</v>
      </c>
      <c r="V685" s="17" t="n">
        <v>0.599734421139911</v>
      </c>
      <c r="W685" s="17" t="n">
        <v>8.24</v>
      </c>
      <c r="X685" s="17" t="n">
        <v>2.57488790792595</v>
      </c>
      <c r="Y685" s="17" t="n">
        <v>0.686259368910824</v>
      </c>
      <c r="Z685" s="17" t="n">
        <v>12.4516242523748</v>
      </c>
      <c r="AA685" s="17" t="n">
        <v>7.22478123044411</v>
      </c>
      <c r="AB685" s="17" t="n">
        <v>9.08091909209834</v>
      </c>
      <c r="AC685" s="17" t="n">
        <v>33.0557067563816</v>
      </c>
      <c r="AD685" s="17" t="n">
        <v>1.97468212325211</v>
      </c>
      <c r="AE685" s="17" t="n">
        <v>0.282524223038023</v>
      </c>
      <c r="AF685" s="17" t="n">
        <v>-0.0630558132727006</v>
      </c>
      <c r="AG685" s="18" t="n">
        <f aca="false">IFERROR(100*O685/F685,"")</f>
        <v>0.126286200847379</v>
      </c>
      <c r="AH685" s="18" t="n">
        <f aca="false">IFERROR(100*(P685+Q685)/F685,"")</f>
        <v>0.0539614473157771</v>
      </c>
      <c r="AI685" s="18" t="n">
        <f aca="false">IFERROR(100*R685/K685,"")</f>
        <v>0.0121172648303962</v>
      </c>
      <c r="AJ685" s="18" t="n">
        <f aca="false">IF(T685&gt;0,100*S685/T685,"")</f>
        <v>12.4516242523748</v>
      </c>
      <c r="AK685" s="18" t="n">
        <f aca="false">IFERROR(100*U685/G685,"")</f>
        <v>0.599734421139911</v>
      </c>
      <c r="AL685" s="18" t="n">
        <f aca="false">IFERROR(100*J685/H685,"")</f>
        <v>76.1444269858585</v>
      </c>
      <c r="AM685" s="18" t="n">
        <f aca="false">IFERROR(100*L685/J685,"")</f>
        <v>84.0487824112562</v>
      </c>
      <c r="AN685" s="18" t="n">
        <f aca="false">IFERROR(100*M685/J685,"")</f>
        <v>12.9661454140393</v>
      </c>
      <c r="AO685" s="18" t="n">
        <f aca="false">IFERROR(100*N685/J685,"")</f>
        <v>2.96338526144231</v>
      </c>
    </row>
    <row r="686" customFormat="false" ht="15" hidden="false" customHeight="false" outlineLevel="0" collapsed="false">
      <c r="A686" s="17" t="n">
        <v>33418</v>
      </c>
      <c r="B686" s="23" t="n">
        <v>45838</v>
      </c>
      <c r="C686" s="17" t="s">
        <v>133</v>
      </c>
      <c r="D686" s="17" t="s">
        <v>113</v>
      </c>
      <c r="E686" s="17" t="s">
        <v>118</v>
      </c>
      <c r="F686" s="17" t="n">
        <v>993609</v>
      </c>
      <c r="G686" s="17" t="n">
        <v>972820.333333333</v>
      </c>
      <c r="H686" s="17" t="n">
        <v>817518</v>
      </c>
      <c r="I686" s="17" t="n">
        <v>69945</v>
      </c>
      <c r="J686" s="17" t="n">
        <v>629355</v>
      </c>
      <c r="K686" s="17" t="n">
        <v>605914</v>
      </c>
      <c r="L686" s="17" t="n">
        <v>528008</v>
      </c>
      <c r="M686" s="17" t="n">
        <v>83984</v>
      </c>
      <c r="N686" s="17" t="n">
        <v>17087</v>
      </c>
      <c r="O686" s="17" t="n">
        <v>1191</v>
      </c>
      <c r="P686" s="17" t="n">
        <v>580</v>
      </c>
      <c r="Q686" s="17" t="n">
        <v>0</v>
      </c>
      <c r="R686" s="17" t="n">
        <v>-6</v>
      </c>
      <c r="S686" s="17" t="n">
        <v>85991</v>
      </c>
      <c r="T686" s="17" t="n">
        <v>692019</v>
      </c>
      <c r="U686" s="17" t="n">
        <v>6020</v>
      </c>
      <c r="V686" s="17" t="n">
        <v>0.618819302365185</v>
      </c>
      <c r="W686" s="17" t="n">
        <v>8.6</v>
      </c>
      <c r="X686" s="17" t="n">
        <v>2.58498658033812</v>
      </c>
      <c r="Y686" s="17" t="n">
        <v>0.702306329496071</v>
      </c>
      <c r="Z686" s="17" t="n">
        <v>12.4261039075517</v>
      </c>
      <c r="AA686" s="17" t="n">
        <v>7.03948937660589</v>
      </c>
      <c r="AB686" s="17" t="n">
        <v>9.52661254319682</v>
      </c>
      <c r="AC686" s="17" t="n">
        <v>26.8661379863651</v>
      </c>
      <c r="AD686" s="17" t="n">
        <v>2.49428614771641</v>
      </c>
      <c r="AE686" s="17" t="n">
        <v>0.244119028684828</v>
      </c>
      <c r="AF686" s="17" t="n">
        <v>0.0136032840970223</v>
      </c>
      <c r="AG686" s="18" t="n">
        <f aca="false">IFERROR(100*O686/F686,"")</f>
        <v>0.119866064015121</v>
      </c>
      <c r="AH686" s="18" t="n">
        <f aca="false">IFERROR(100*(P686+Q686)/F686,"")</f>
        <v>0.0583730622407808</v>
      </c>
      <c r="AI686" s="18" t="n">
        <f aca="false">IFERROR(100*R686/K686,"")</f>
        <v>-0.000990239538944471</v>
      </c>
      <c r="AJ686" s="18" t="n">
        <f aca="false">IF(T686&gt;0,100*S686/T686,"")</f>
        <v>12.4261039075517</v>
      </c>
      <c r="AK686" s="18" t="n">
        <f aca="false">IFERROR(100*U686/G686,"")</f>
        <v>0.618819302365185</v>
      </c>
      <c r="AL686" s="18" t="n">
        <f aca="false">IFERROR(100*J686/H686,"")</f>
        <v>76.9836260486008</v>
      </c>
      <c r="AM686" s="18" t="n">
        <f aca="false">IFERROR(100*L686/J686,"")</f>
        <v>83.8966878788601</v>
      </c>
      <c r="AN686" s="18" t="n">
        <f aca="false">IFERROR(100*M686/J686,"")</f>
        <v>13.3444558317643</v>
      </c>
      <c r="AO686" s="18" t="n">
        <f aca="false">IFERROR(100*N686/J686,"")</f>
        <v>2.71500186699081</v>
      </c>
    </row>
    <row r="687" customFormat="false" ht="15" hidden="false" customHeight="false" outlineLevel="0" collapsed="false">
      <c r="A687" s="17" t="n">
        <v>35206</v>
      </c>
      <c r="B687" s="23" t="n">
        <v>44742</v>
      </c>
      <c r="C687" s="17" t="s">
        <v>166</v>
      </c>
      <c r="D687" s="17" t="s">
        <v>116</v>
      </c>
      <c r="E687" s="17" t="s">
        <v>111</v>
      </c>
      <c r="F687" s="17" t="n">
        <v>62457</v>
      </c>
      <c r="G687" s="17" t="n">
        <v>64901</v>
      </c>
      <c r="H687" s="17" t="n">
        <v>500</v>
      </c>
      <c r="I687" s="17" t="n">
        <v>57487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0</v>
      </c>
      <c r="O687" s="17" t="n">
        <v>0</v>
      </c>
      <c r="P687" s="17" t="n">
        <v>0</v>
      </c>
      <c r="Q687" s="17" t="n">
        <v>0</v>
      </c>
      <c r="R687" s="17" t="n">
        <v>0</v>
      </c>
      <c r="S687" s="17" t="n">
        <v>0</v>
      </c>
      <c r="T687" s="17" t="n">
        <v>0</v>
      </c>
      <c r="U687" s="17" t="n">
        <v>1478</v>
      </c>
      <c r="V687" s="17" t="n">
        <v>2.27731467928075</v>
      </c>
      <c r="W687" s="17" t="n">
        <v>2.59</v>
      </c>
      <c r="X687" s="17" t="n">
        <v>3.17266832579952</v>
      </c>
      <c r="Y687" s="17" t="n">
        <v>0</v>
      </c>
      <c r="Z687" s="17" t="n">
        <v>0</v>
      </c>
      <c r="AA687" s="17" t="n">
        <v>92.0425252573771</v>
      </c>
      <c r="AB687" s="17"/>
      <c r="AC687" s="17"/>
      <c r="AD687" s="17"/>
      <c r="AE687" s="17"/>
      <c r="AF687" s="17"/>
      <c r="AG687" s="18" t="n">
        <f aca="false">IFERROR(100*O687/F687,"")</f>
        <v>0</v>
      </c>
      <c r="AH687" s="18" t="n">
        <f aca="false">IFERROR(100*(P687+Q687)/F687,"")</f>
        <v>0</v>
      </c>
      <c r="AI687" s="18" t="str">
        <f aca="false">IFERROR(100*R687/K687,"")</f>
        <v/>
      </c>
      <c r="AJ687" s="18" t="str">
        <f aca="false">IF(T687&gt;0,100*S687/T687,"")</f>
        <v/>
      </c>
      <c r="AK687" s="18" t="n">
        <f aca="false">IFERROR(100*U687/G687,"")</f>
        <v>2.27731467928075</v>
      </c>
      <c r="AL687" s="18" t="n">
        <f aca="false">IFERROR(100*J687/H687,"")</f>
        <v>0</v>
      </c>
      <c r="AM687" s="18" t="str">
        <f aca="false">IFERROR(100*L687/J687,"")</f>
        <v/>
      </c>
      <c r="AN687" s="18" t="str">
        <f aca="false">IFERROR(100*M687/J687,"")</f>
        <v/>
      </c>
      <c r="AO687" s="18" t="str">
        <f aca="false">IFERROR(100*N687/J687,"")</f>
        <v/>
      </c>
    </row>
    <row r="688" customFormat="false" ht="15" hidden="false" customHeight="false" outlineLevel="0" collapsed="false">
      <c r="A688" s="17" t="n">
        <v>35206</v>
      </c>
      <c r="B688" s="23" t="n">
        <v>44834</v>
      </c>
      <c r="C688" s="17" t="s">
        <v>166</v>
      </c>
      <c r="D688" s="17" t="s">
        <v>116</v>
      </c>
      <c r="E688" s="17" t="s">
        <v>111</v>
      </c>
      <c r="F688" s="17" t="n">
        <v>60178</v>
      </c>
      <c r="G688" s="17" t="n">
        <v>63720.25</v>
      </c>
      <c r="H688" s="17" t="n">
        <v>500</v>
      </c>
      <c r="I688" s="17" t="n">
        <v>57817</v>
      </c>
      <c r="J688" s="17" t="n">
        <v>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7" t="n">
        <v>0</v>
      </c>
      <c r="R688" s="17" t="n">
        <v>0</v>
      </c>
      <c r="S688" s="17" t="n">
        <v>0</v>
      </c>
      <c r="T688" s="17" t="n">
        <v>0</v>
      </c>
      <c r="U688" s="17" t="n">
        <v>1425.2977</v>
      </c>
      <c r="V688" s="17" t="n">
        <v>2.23680494034471</v>
      </c>
      <c r="W688" s="17" t="n">
        <v>2.49</v>
      </c>
      <c r="X688" s="17" t="n">
        <v>3.62402262771205</v>
      </c>
      <c r="Y688" s="17" t="n">
        <v>0</v>
      </c>
      <c r="Z688" s="17" t="n">
        <v>0</v>
      </c>
      <c r="AA688" s="17" t="n">
        <v>96.0766393033999</v>
      </c>
      <c r="AB688" s="17"/>
      <c r="AC688" s="17"/>
      <c r="AD688" s="17"/>
      <c r="AE688" s="17"/>
      <c r="AF688" s="17"/>
      <c r="AG688" s="18" t="n">
        <f aca="false">IFERROR(100*O688/F688,"")</f>
        <v>0</v>
      </c>
      <c r="AH688" s="18" t="n">
        <f aca="false">IFERROR(100*(P688+Q688)/F688,"")</f>
        <v>0</v>
      </c>
      <c r="AI688" s="18" t="str">
        <f aca="false">IFERROR(100*R688/K688,"")</f>
        <v/>
      </c>
      <c r="AJ688" s="18" t="str">
        <f aca="false">IF(T688&gt;0,100*S688/T688,"")</f>
        <v/>
      </c>
      <c r="AK688" s="18" t="n">
        <f aca="false">IFERROR(100*U688/G688,"")</f>
        <v>2.23680494034471</v>
      </c>
      <c r="AL688" s="18" t="n">
        <f aca="false">IFERROR(100*J688/H688,"")</f>
        <v>0</v>
      </c>
      <c r="AM688" s="18" t="str">
        <f aca="false">IFERROR(100*L688/J688,"")</f>
        <v/>
      </c>
      <c r="AN688" s="18" t="str">
        <f aca="false">IFERROR(100*M688/J688,"")</f>
        <v/>
      </c>
      <c r="AO688" s="18" t="str">
        <f aca="false">IFERROR(100*N688/J688,"")</f>
        <v/>
      </c>
    </row>
    <row r="689" customFormat="false" ht="15" hidden="false" customHeight="false" outlineLevel="0" collapsed="false">
      <c r="A689" s="17" t="n">
        <v>35206</v>
      </c>
      <c r="B689" s="23" t="n">
        <v>44926</v>
      </c>
      <c r="C689" s="17" t="s">
        <v>166</v>
      </c>
      <c r="D689" s="17" t="s">
        <v>116</v>
      </c>
      <c r="E689" s="17" t="s">
        <v>111</v>
      </c>
      <c r="F689" s="17" t="n">
        <v>65008</v>
      </c>
      <c r="G689" s="17" t="n">
        <v>63977.8</v>
      </c>
      <c r="H689" s="17" t="n">
        <v>500</v>
      </c>
      <c r="I689" s="17" t="n">
        <v>60620</v>
      </c>
      <c r="J689" s="17" t="n">
        <v>0</v>
      </c>
      <c r="K689" s="17" t="n">
        <v>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7" t="n">
        <v>0</v>
      </c>
      <c r="R689" s="17" t="n">
        <v>0</v>
      </c>
      <c r="S689" s="17" t="n">
        <v>0</v>
      </c>
      <c r="T689" s="17" t="n">
        <v>0</v>
      </c>
      <c r="U689" s="17" t="n">
        <v>3872</v>
      </c>
      <c r="V689" s="17" t="n">
        <v>6.0520993219523</v>
      </c>
      <c r="W689" s="17" t="n">
        <v>6.69</v>
      </c>
      <c r="X689" s="17" t="n">
        <v>4.03106585162927</v>
      </c>
      <c r="Y689" s="17" t="n">
        <v>0</v>
      </c>
      <c r="Z689" s="17" t="n">
        <v>0</v>
      </c>
      <c r="AA689" s="17" t="n">
        <v>93.2500615308885</v>
      </c>
      <c r="AB689" s="17"/>
      <c r="AC689" s="17"/>
      <c r="AD689" s="17"/>
      <c r="AE689" s="17"/>
      <c r="AF689" s="17"/>
      <c r="AG689" s="18" t="n">
        <f aca="false">IFERROR(100*O689/F689,"")</f>
        <v>0</v>
      </c>
      <c r="AH689" s="18" t="n">
        <f aca="false">IFERROR(100*(P689+Q689)/F689,"")</f>
        <v>0</v>
      </c>
      <c r="AI689" s="18" t="str">
        <f aca="false">IFERROR(100*R689/K689,"")</f>
        <v/>
      </c>
      <c r="AJ689" s="18" t="str">
        <f aca="false">IF(T689&gt;0,100*S689/T689,"")</f>
        <v/>
      </c>
      <c r="AK689" s="18" t="n">
        <f aca="false">IFERROR(100*U689/G689,"")</f>
        <v>6.0520993219523</v>
      </c>
      <c r="AL689" s="18" t="n">
        <f aca="false">IFERROR(100*J689/H689,"")</f>
        <v>0</v>
      </c>
      <c r="AM689" s="18" t="str">
        <f aca="false">IFERROR(100*L689/J689,"")</f>
        <v/>
      </c>
      <c r="AN689" s="18" t="str">
        <f aca="false">IFERROR(100*M689/J689,"")</f>
        <v/>
      </c>
      <c r="AO689" s="18" t="str">
        <f aca="false">IFERROR(100*N689/J689,"")</f>
        <v/>
      </c>
    </row>
    <row r="690" customFormat="false" ht="15" hidden="false" customHeight="false" outlineLevel="0" collapsed="false">
      <c r="A690" s="17" t="n">
        <v>35206</v>
      </c>
      <c r="B690" s="23" t="n">
        <v>45016</v>
      </c>
      <c r="C690" s="17" t="s">
        <v>166</v>
      </c>
      <c r="D690" s="17" t="s">
        <v>116</v>
      </c>
      <c r="E690" s="17" t="s">
        <v>111</v>
      </c>
      <c r="F690" s="17" t="n">
        <v>66610</v>
      </c>
      <c r="G690" s="17" t="n">
        <v>65809</v>
      </c>
      <c r="H690" s="17" t="n">
        <v>500</v>
      </c>
      <c r="I690" s="17" t="n">
        <v>64048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0</v>
      </c>
      <c r="O690" s="17" t="n">
        <v>0</v>
      </c>
      <c r="P690" s="17" t="n">
        <v>0</v>
      </c>
      <c r="Q690" s="17" t="n">
        <v>0</v>
      </c>
      <c r="R690" s="17" t="n">
        <v>0</v>
      </c>
      <c r="S690" s="17" t="n">
        <v>0</v>
      </c>
      <c r="T690" s="17" t="n">
        <v>0</v>
      </c>
      <c r="U690" s="17" t="n">
        <v>13712</v>
      </c>
      <c r="V690" s="17" t="n">
        <v>20.8360558586212</v>
      </c>
      <c r="W690" s="17" t="n">
        <v>22</v>
      </c>
      <c r="X690" s="17" t="n">
        <v>4.34943363248294</v>
      </c>
      <c r="Y690" s="17" t="n">
        <v>0</v>
      </c>
      <c r="Z690" s="17" t="n">
        <v>0</v>
      </c>
      <c r="AA690" s="17" t="n">
        <v>96.1537306710704</v>
      </c>
      <c r="AB690" s="17"/>
      <c r="AC690" s="17"/>
      <c r="AD690" s="17"/>
      <c r="AE690" s="17"/>
      <c r="AF690" s="17"/>
      <c r="AG690" s="18" t="n">
        <f aca="false">IFERROR(100*O690/F690,"")</f>
        <v>0</v>
      </c>
      <c r="AH690" s="18" t="n">
        <f aca="false">IFERROR(100*(P690+Q690)/F690,"")</f>
        <v>0</v>
      </c>
      <c r="AI690" s="18" t="str">
        <f aca="false">IFERROR(100*R690/K690,"")</f>
        <v/>
      </c>
      <c r="AJ690" s="18" t="str">
        <f aca="false">IF(T690&gt;0,100*S690/T690,"")</f>
        <v/>
      </c>
      <c r="AK690" s="18" t="n">
        <f aca="false">IFERROR(100*U690/G690,"")</f>
        <v>20.8360558586212</v>
      </c>
      <c r="AL690" s="18" t="n">
        <f aca="false">IFERROR(100*J690/H690,"")</f>
        <v>0</v>
      </c>
      <c r="AM690" s="18" t="str">
        <f aca="false">IFERROR(100*L690/J690,"")</f>
        <v/>
      </c>
      <c r="AN690" s="18" t="str">
        <f aca="false">IFERROR(100*M690/J690,"")</f>
        <v/>
      </c>
      <c r="AO690" s="18" t="str">
        <f aca="false">IFERROR(100*N690/J690,"")</f>
        <v/>
      </c>
    </row>
    <row r="691" customFormat="false" ht="15" hidden="false" customHeight="false" outlineLevel="0" collapsed="false">
      <c r="A691" s="17" t="n">
        <v>35206</v>
      </c>
      <c r="B691" s="23" t="n">
        <v>45107</v>
      </c>
      <c r="C691" s="17" t="s">
        <v>166</v>
      </c>
      <c r="D691" s="17" t="s">
        <v>116</v>
      </c>
      <c r="E691" s="17" t="s">
        <v>111</v>
      </c>
      <c r="F691" s="17" t="n">
        <v>69697</v>
      </c>
      <c r="G691" s="17" t="n">
        <v>67105</v>
      </c>
      <c r="H691" s="17" t="n">
        <v>500</v>
      </c>
      <c r="I691" s="17" t="n">
        <v>67177</v>
      </c>
      <c r="J691" s="17" t="n">
        <v>0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7" t="n">
        <v>0</v>
      </c>
      <c r="R691" s="17" t="n">
        <v>0</v>
      </c>
      <c r="S691" s="17" t="n">
        <v>0</v>
      </c>
      <c r="T691" s="17" t="n">
        <v>0</v>
      </c>
      <c r="U691" s="17" t="n">
        <v>13114</v>
      </c>
      <c r="V691" s="17" t="n">
        <v>19.5425080098353</v>
      </c>
      <c r="W691" s="17" t="n">
        <v>20.51</v>
      </c>
      <c r="X691" s="17" t="n">
        <v>4.70983556889856</v>
      </c>
      <c r="Y691" s="17" t="n">
        <v>0</v>
      </c>
      <c r="Z691" s="17" t="n">
        <v>0</v>
      </c>
      <c r="AA691" s="17" t="n">
        <v>96.384349398109</v>
      </c>
      <c r="AB691" s="17" t="n">
        <v>11.5919752789919</v>
      </c>
      <c r="AC691" s="17"/>
      <c r="AD691" s="17" t="n">
        <v>0</v>
      </c>
      <c r="AE691" s="17" t="n">
        <v>17.2651933305546</v>
      </c>
      <c r="AF691" s="17" t="n">
        <v>0</v>
      </c>
      <c r="AG691" s="18" t="n">
        <f aca="false">IFERROR(100*O691/F691,"")</f>
        <v>0</v>
      </c>
      <c r="AH691" s="18" t="n">
        <f aca="false">IFERROR(100*(P691+Q691)/F691,"")</f>
        <v>0</v>
      </c>
      <c r="AI691" s="18" t="str">
        <f aca="false">IFERROR(100*R691/K691,"")</f>
        <v/>
      </c>
      <c r="AJ691" s="18" t="str">
        <f aca="false">IF(T691&gt;0,100*S691/T691,"")</f>
        <v/>
      </c>
      <c r="AK691" s="18" t="n">
        <f aca="false">IFERROR(100*U691/G691,"")</f>
        <v>19.5425080098353</v>
      </c>
      <c r="AL691" s="18" t="n">
        <f aca="false">IFERROR(100*J691/H691,"")</f>
        <v>0</v>
      </c>
      <c r="AM691" s="18" t="str">
        <f aca="false">IFERROR(100*L691/J691,"")</f>
        <v/>
      </c>
      <c r="AN691" s="18" t="str">
        <f aca="false">IFERROR(100*M691/J691,"")</f>
        <v/>
      </c>
      <c r="AO691" s="18" t="str">
        <f aca="false">IFERROR(100*N691/J691,"")</f>
        <v/>
      </c>
    </row>
    <row r="692" customFormat="false" ht="15" hidden="false" customHeight="false" outlineLevel="0" collapsed="false">
      <c r="A692" s="17" t="n">
        <v>35206</v>
      </c>
      <c r="B692" s="23" t="n">
        <v>45199</v>
      </c>
      <c r="C692" s="17" t="s">
        <v>166</v>
      </c>
      <c r="D692" s="17" t="s">
        <v>116</v>
      </c>
      <c r="E692" s="17" t="s">
        <v>111</v>
      </c>
      <c r="F692" s="17" t="n">
        <v>71615</v>
      </c>
      <c r="G692" s="17" t="n">
        <v>68232.5</v>
      </c>
      <c r="H692" s="17" t="n">
        <v>500</v>
      </c>
      <c r="I692" s="17" t="n">
        <v>69069</v>
      </c>
      <c r="J692" s="17" t="n">
        <v>0</v>
      </c>
      <c r="K692" s="17" t="n">
        <v>0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7" t="n">
        <v>0</v>
      </c>
      <c r="R692" s="17" t="n">
        <v>0</v>
      </c>
      <c r="S692" s="17" t="n">
        <v>0</v>
      </c>
      <c r="T692" s="17" t="n">
        <v>0</v>
      </c>
      <c r="U692" s="17" t="n">
        <v>11265.0517</v>
      </c>
      <c r="V692" s="17" t="n">
        <v>16.5098035393691</v>
      </c>
      <c r="W692" s="17" t="n">
        <v>17.27</v>
      </c>
      <c r="X692" s="17" t="n">
        <v>4.55333780973658</v>
      </c>
      <c r="Y692" s="17" t="n">
        <v>0</v>
      </c>
      <c r="Z692" s="17" t="n">
        <v>0</v>
      </c>
      <c r="AA692" s="17" t="n">
        <v>96.4448788661593</v>
      </c>
      <c r="AB692" s="17" t="n">
        <v>19.0052843231746</v>
      </c>
      <c r="AC692" s="17"/>
      <c r="AD692" s="17" t="n">
        <v>0</v>
      </c>
      <c r="AE692" s="17" t="n">
        <v>14.2729985990244</v>
      </c>
      <c r="AF692" s="17" t="n">
        <v>0</v>
      </c>
      <c r="AG692" s="18" t="n">
        <f aca="false">IFERROR(100*O692/F692,"")</f>
        <v>0</v>
      </c>
      <c r="AH692" s="18" t="n">
        <f aca="false">IFERROR(100*(P692+Q692)/F692,"")</f>
        <v>0</v>
      </c>
      <c r="AI692" s="18" t="str">
        <f aca="false">IFERROR(100*R692/K692,"")</f>
        <v/>
      </c>
      <c r="AJ692" s="18" t="str">
        <f aca="false">IF(T692&gt;0,100*S692/T692,"")</f>
        <v/>
      </c>
      <c r="AK692" s="18" t="n">
        <f aca="false">IFERROR(100*U692/G692,"")</f>
        <v>16.5098035393691</v>
      </c>
      <c r="AL692" s="18" t="n">
        <f aca="false">IFERROR(100*J692/H692,"")</f>
        <v>0</v>
      </c>
      <c r="AM692" s="18" t="str">
        <f aca="false">IFERROR(100*L692/J692,"")</f>
        <v/>
      </c>
      <c r="AN692" s="18" t="str">
        <f aca="false">IFERROR(100*M692/J692,"")</f>
        <v/>
      </c>
      <c r="AO692" s="18" t="str">
        <f aca="false">IFERROR(100*N692/J692,"")</f>
        <v/>
      </c>
    </row>
    <row r="693" customFormat="false" ht="15" hidden="false" customHeight="false" outlineLevel="0" collapsed="false">
      <c r="A693" s="17" t="n">
        <v>35206</v>
      </c>
      <c r="B693" s="23" t="n">
        <v>45291</v>
      </c>
      <c r="C693" s="17" t="s">
        <v>166</v>
      </c>
      <c r="D693" s="17" t="s">
        <v>116</v>
      </c>
      <c r="E693" s="17" t="s">
        <v>111</v>
      </c>
      <c r="F693" s="17" t="n">
        <v>78004</v>
      </c>
      <c r="G693" s="17" t="n">
        <v>70186.8</v>
      </c>
      <c r="H693" s="17" t="n">
        <v>500</v>
      </c>
      <c r="I693" s="17" t="n">
        <v>74403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0</v>
      </c>
      <c r="O693" s="17" t="n">
        <v>0</v>
      </c>
      <c r="P693" s="17" t="n">
        <v>0</v>
      </c>
      <c r="Q693" s="17" t="n">
        <v>0</v>
      </c>
      <c r="R693" s="17" t="n">
        <v>0</v>
      </c>
      <c r="S693" s="17" t="n">
        <v>0</v>
      </c>
      <c r="T693" s="17" t="n">
        <v>0</v>
      </c>
      <c r="U693" s="17" t="n">
        <v>13783</v>
      </c>
      <c r="V693" s="17" t="n">
        <v>19.6375956732605</v>
      </c>
      <c r="W693" s="17" t="n">
        <v>20.55</v>
      </c>
      <c r="X693" s="17" t="n">
        <v>4.44282523941103</v>
      </c>
      <c r="Y693" s="17" t="n">
        <v>0</v>
      </c>
      <c r="Z693" s="17" t="n">
        <v>0</v>
      </c>
      <c r="AA693" s="17" t="n">
        <v>95.3835700733296</v>
      </c>
      <c r="AB693" s="17" t="n">
        <v>19.9913856756092</v>
      </c>
      <c r="AC693" s="17"/>
      <c r="AD693" s="17" t="n">
        <v>0</v>
      </c>
      <c r="AE693" s="17" t="n">
        <v>13.5854963513082</v>
      </c>
      <c r="AF693" s="17" t="n">
        <v>0</v>
      </c>
      <c r="AG693" s="18" t="n">
        <f aca="false">IFERROR(100*O693/F693,"")</f>
        <v>0</v>
      </c>
      <c r="AH693" s="18" t="n">
        <f aca="false">IFERROR(100*(P693+Q693)/F693,"")</f>
        <v>0</v>
      </c>
      <c r="AI693" s="18" t="str">
        <f aca="false">IFERROR(100*R693/K693,"")</f>
        <v/>
      </c>
      <c r="AJ693" s="18" t="str">
        <f aca="false">IF(T693&gt;0,100*S693/T693,"")</f>
        <v/>
      </c>
      <c r="AK693" s="18" t="n">
        <f aca="false">IFERROR(100*U693/G693,"")</f>
        <v>19.6375956732605</v>
      </c>
      <c r="AL693" s="18" t="n">
        <f aca="false">IFERROR(100*J693/H693,"")</f>
        <v>0</v>
      </c>
      <c r="AM693" s="18" t="str">
        <f aca="false">IFERROR(100*L693/J693,"")</f>
        <v/>
      </c>
      <c r="AN693" s="18" t="str">
        <f aca="false">IFERROR(100*M693/J693,"")</f>
        <v/>
      </c>
      <c r="AO693" s="18" t="str">
        <f aca="false">IFERROR(100*N693/J693,"")</f>
        <v/>
      </c>
    </row>
    <row r="694" customFormat="false" ht="15" hidden="false" customHeight="false" outlineLevel="0" collapsed="false">
      <c r="A694" s="17" t="n">
        <v>35206</v>
      </c>
      <c r="B694" s="23" t="n">
        <v>45382</v>
      </c>
      <c r="C694" s="17" t="s">
        <v>166</v>
      </c>
      <c r="D694" s="17" t="s">
        <v>116</v>
      </c>
      <c r="E694" s="17" t="s">
        <v>111</v>
      </c>
      <c r="F694" s="17" t="n">
        <v>79848</v>
      </c>
      <c r="G694" s="17" t="n">
        <v>78926</v>
      </c>
      <c r="H694" s="17" t="n">
        <v>500</v>
      </c>
      <c r="I694" s="17" t="n">
        <v>77369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0</v>
      </c>
      <c r="O694" s="17" t="n">
        <v>0</v>
      </c>
      <c r="P694" s="17" t="n">
        <v>0</v>
      </c>
      <c r="Q694" s="17" t="n">
        <v>0</v>
      </c>
      <c r="R694" s="17" t="n">
        <v>0</v>
      </c>
      <c r="S694" s="17" t="n">
        <v>0</v>
      </c>
      <c r="T694" s="17" t="n">
        <v>0</v>
      </c>
      <c r="U694" s="17" t="n">
        <v>11864</v>
      </c>
      <c r="V694" s="17" t="n">
        <v>15.0318019410587</v>
      </c>
      <c r="W694" s="17" t="n">
        <v>15.63</v>
      </c>
      <c r="X694" s="17" t="n">
        <v>4.56962007745589</v>
      </c>
      <c r="Y694" s="17" t="n">
        <v>0</v>
      </c>
      <c r="Z694" s="17" t="n">
        <v>0</v>
      </c>
      <c r="AA694" s="17" t="n">
        <v>96.8953511672177</v>
      </c>
      <c r="AB694" s="17" t="n">
        <v>19.8738928088876</v>
      </c>
      <c r="AC694" s="17"/>
      <c r="AD694" s="17" t="n">
        <v>0</v>
      </c>
      <c r="AE694" s="17" t="n">
        <v>-5.80425391756245</v>
      </c>
      <c r="AF694" s="17" t="n">
        <v>0</v>
      </c>
      <c r="AG694" s="18" t="n">
        <f aca="false">IFERROR(100*O694/F694,"")</f>
        <v>0</v>
      </c>
      <c r="AH694" s="18" t="n">
        <f aca="false">IFERROR(100*(P694+Q694)/F694,"")</f>
        <v>0</v>
      </c>
      <c r="AI694" s="18" t="str">
        <f aca="false">IFERROR(100*R694/K694,"")</f>
        <v/>
      </c>
      <c r="AJ694" s="18" t="str">
        <f aca="false">IF(T694&gt;0,100*S694/T694,"")</f>
        <v/>
      </c>
      <c r="AK694" s="18" t="n">
        <f aca="false">IFERROR(100*U694/G694,"")</f>
        <v>15.0318019410587</v>
      </c>
      <c r="AL694" s="18" t="n">
        <f aca="false">IFERROR(100*J694/H694,"")</f>
        <v>0</v>
      </c>
      <c r="AM694" s="18" t="str">
        <f aca="false">IFERROR(100*L694/J694,"")</f>
        <v/>
      </c>
      <c r="AN694" s="18" t="str">
        <f aca="false">IFERROR(100*M694/J694,"")</f>
        <v/>
      </c>
      <c r="AO694" s="18" t="str">
        <f aca="false">IFERROR(100*N694/J694,"")</f>
        <v/>
      </c>
    </row>
    <row r="695" customFormat="false" ht="15" hidden="false" customHeight="false" outlineLevel="0" collapsed="false">
      <c r="A695" s="17" t="n">
        <v>35206</v>
      </c>
      <c r="B695" s="23" t="n">
        <v>45473</v>
      </c>
      <c r="C695" s="17" t="s">
        <v>166</v>
      </c>
      <c r="D695" s="17" t="s">
        <v>116</v>
      </c>
      <c r="E695" s="17" t="s">
        <v>111</v>
      </c>
      <c r="F695" s="17" t="n">
        <v>84424</v>
      </c>
      <c r="G695" s="17" t="n">
        <v>80758.6666666667</v>
      </c>
      <c r="H695" s="17" t="n">
        <v>500</v>
      </c>
      <c r="I695" s="17" t="n">
        <v>82008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0</v>
      </c>
      <c r="O695" s="17" t="n">
        <v>0</v>
      </c>
      <c r="P695" s="17" t="n">
        <v>0</v>
      </c>
      <c r="Q695" s="17" t="n">
        <v>0</v>
      </c>
      <c r="R695" s="17" t="n">
        <v>0</v>
      </c>
      <c r="S695" s="17" t="n">
        <v>0</v>
      </c>
      <c r="T695" s="17" t="n">
        <v>0</v>
      </c>
      <c r="U695" s="17" t="n">
        <v>15210</v>
      </c>
      <c r="V695" s="17" t="n">
        <v>18.8338919249121</v>
      </c>
      <c r="W695" s="17" t="n">
        <v>19.52</v>
      </c>
      <c r="X695" s="17" t="n">
        <v>4.69597610771469</v>
      </c>
      <c r="Y695" s="17" t="n">
        <v>0</v>
      </c>
      <c r="Z695" s="17" t="n">
        <v>0</v>
      </c>
      <c r="AA695" s="17" t="n">
        <v>97.1382545247797</v>
      </c>
      <c r="AB695" s="17" t="n">
        <v>21.1300342912894</v>
      </c>
      <c r="AC695" s="17"/>
      <c r="AD695" s="17" t="n">
        <v>0</v>
      </c>
      <c r="AE695" s="17" t="n">
        <v>-0.70861608492325</v>
      </c>
      <c r="AF695" s="17" t="n">
        <v>0</v>
      </c>
      <c r="AG695" s="18" t="n">
        <f aca="false">IFERROR(100*O695/F695,"")</f>
        <v>0</v>
      </c>
      <c r="AH695" s="18" t="n">
        <f aca="false">IFERROR(100*(P695+Q695)/F695,"")</f>
        <v>0</v>
      </c>
      <c r="AI695" s="18" t="str">
        <f aca="false">IFERROR(100*R695/K695,"")</f>
        <v/>
      </c>
      <c r="AJ695" s="18" t="str">
        <f aca="false">IF(T695&gt;0,100*S695/T695,"")</f>
        <v/>
      </c>
      <c r="AK695" s="18" t="n">
        <f aca="false">IFERROR(100*U695/G695,"")</f>
        <v>18.8338919249121</v>
      </c>
      <c r="AL695" s="18" t="n">
        <f aca="false">IFERROR(100*J695/H695,"")</f>
        <v>0</v>
      </c>
      <c r="AM695" s="18" t="str">
        <f aca="false">IFERROR(100*L695/J695,"")</f>
        <v/>
      </c>
      <c r="AN695" s="18" t="str">
        <f aca="false">IFERROR(100*M695/J695,"")</f>
        <v/>
      </c>
      <c r="AO695" s="18" t="str">
        <f aca="false">IFERROR(100*N695/J695,"")</f>
        <v/>
      </c>
    </row>
    <row r="696" customFormat="false" ht="15" hidden="false" customHeight="false" outlineLevel="0" collapsed="false">
      <c r="A696" s="17" t="n">
        <v>35206</v>
      </c>
      <c r="B696" s="23" t="n">
        <v>45565</v>
      </c>
      <c r="C696" s="17" t="s">
        <v>166</v>
      </c>
      <c r="D696" s="17" t="s">
        <v>116</v>
      </c>
      <c r="E696" s="17" t="s">
        <v>111</v>
      </c>
      <c r="F696" s="17" t="n">
        <v>90470</v>
      </c>
      <c r="G696" s="17" t="n">
        <v>83186.5</v>
      </c>
      <c r="H696" s="17" t="n">
        <v>500</v>
      </c>
      <c r="I696" s="17" t="n">
        <v>87835</v>
      </c>
      <c r="J696" s="17" t="n">
        <v>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7" t="n">
        <v>0</v>
      </c>
      <c r="R696" s="17" t="n">
        <v>0</v>
      </c>
      <c r="S696" s="17" t="n">
        <v>0</v>
      </c>
      <c r="T696" s="17" t="n">
        <v>0</v>
      </c>
      <c r="U696" s="17" t="n">
        <v>17908.8856</v>
      </c>
      <c r="V696" s="17" t="n">
        <v>21.5285961063394</v>
      </c>
      <c r="W696" s="17" t="n">
        <v>22.27</v>
      </c>
      <c r="X696" s="17" t="n">
        <v>4.71607983660487</v>
      </c>
      <c r="Y696" s="17" t="n">
        <v>0</v>
      </c>
      <c r="Z696" s="17" t="n">
        <v>0</v>
      </c>
      <c r="AA696" s="17" t="n">
        <v>97.0874322979993</v>
      </c>
      <c r="AB696" s="17" t="n">
        <v>26.3282831808979</v>
      </c>
      <c r="AC696" s="17"/>
      <c r="AD696" s="17" t="n">
        <v>0</v>
      </c>
      <c r="AE696" s="17" t="n">
        <v>5.0187925669703</v>
      </c>
      <c r="AF696" s="17" t="n">
        <v>0</v>
      </c>
      <c r="AG696" s="18" t="n">
        <f aca="false">IFERROR(100*O696/F696,"")</f>
        <v>0</v>
      </c>
      <c r="AH696" s="18" t="n">
        <f aca="false">IFERROR(100*(P696+Q696)/F696,"")</f>
        <v>0</v>
      </c>
      <c r="AI696" s="18" t="str">
        <f aca="false">IFERROR(100*R696/K696,"")</f>
        <v/>
      </c>
      <c r="AJ696" s="18" t="str">
        <f aca="false">IF(T696&gt;0,100*S696/T696,"")</f>
        <v/>
      </c>
      <c r="AK696" s="18" t="n">
        <f aca="false">IFERROR(100*U696/G696,"")</f>
        <v>21.5285961063394</v>
      </c>
      <c r="AL696" s="18" t="n">
        <f aca="false">IFERROR(100*J696/H696,"")</f>
        <v>0</v>
      </c>
      <c r="AM696" s="18" t="str">
        <f aca="false">IFERROR(100*L696/J696,"")</f>
        <v/>
      </c>
      <c r="AN696" s="18" t="str">
        <f aca="false">IFERROR(100*M696/J696,"")</f>
        <v/>
      </c>
      <c r="AO696" s="18" t="str">
        <f aca="false">IFERROR(100*N696/J696,"")</f>
        <v/>
      </c>
    </row>
    <row r="697" customFormat="false" ht="15" hidden="false" customHeight="false" outlineLevel="0" collapsed="false">
      <c r="A697" s="17" t="n">
        <v>35206</v>
      </c>
      <c r="B697" s="23" t="n">
        <v>45657</v>
      </c>
      <c r="C697" s="17" t="s">
        <v>166</v>
      </c>
      <c r="D697" s="17" t="s">
        <v>116</v>
      </c>
      <c r="E697" s="17" t="s">
        <v>111</v>
      </c>
      <c r="F697" s="17" t="n">
        <v>63348</v>
      </c>
      <c r="G697" s="17" t="n">
        <v>79218.8</v>
      </c>
      <c r="H697" s="17" t="n">
        <v>500</v>
      </c>
      <c r="I697" s="17" t="n">
        <v>60476</v>
      </c>
      <c r="J697" s="17" t="n">
        <v>0</v>
      </c>
      <c r="K697" s="17" t="n">
        <v>0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7" t="n">
        <v>0</v>
      </c>
      <c r="R697" s="17" t="n">
        <v>0</v>
      </c>
      <c r="S697" s="17" t="n">
        <v>0</v>
      </c>
      <c r="T697" s="17" t="n">
        <v>0</v>
      </c>
      <c r="U697" s="17" t="n">
        <v>16073</v>
      </c>
      <c r="V697" s="17" t="n">
        <v>20.2893757542402</v>
      </c>
      <c r="W697" s="17" t="n">
        <v>21.03</v>
      </c>
      <c r="X697" s="17" t="n">
        <v>5.0749624978779</v>
      </c>
      <c r="Y697" s="17" t="n">
        <v>0</v>
      </c>
      <c r="Z697" s="17" t="n">
        <v>0</v>
      </c>
      <c r="AA697" s="17" t="n">
        <v>95.466313064343</v>
      </c>
      <c r="AB697" s="17" t="n">
        <v>-18.7887800625609</v>
      </c>
      <c r="AC697" s="17"/>
      <c r="AD697" s="17" t="n">
        <v>0</v>
      </c>
      <c r="AE697" s="17" t="n">
        <v>0.651780080979656</v>
      </c>
      <c r="AF697" s="17" t="n">
        <v>0</v>
      </c>
      <c r="AG697" s="18" t="n">
        <f aca="false">IFERROR(100*O697/F697,"")</f>
        <v>0</v>
      </c>
      <c r="AH697" s="18" t="n">
        <f aca="false">IFERROR(100*(P697+Q697)/F697,"")</f>
        <v>0</v>
      </c>
      <c r="AI697" s="18" t="str">
        <f aca="false">IFERROR(100*R697/K697,"")</f>
        <v/>
      </c>
      <c r="AJ697" s="18" t="str">
        <f aca="false">IF(T697&gt;0,100*S697/T697,"")</f>
        <v/>
      </c>
      <c r="AK697" s="18" t="n">
        <f aca="false">IFERROR(100*U697/G697,"")</f>
        <v>20.2893757542402</v>
      </c>
      <c r="AL697" s="18" t="n">
        <f aca="false">IFERROR(100*J697/H697,"")</f>
        <v>0</v>
      </c>
      <c r="AM697" s="18" t="str">
        <f aca="false">IFERROR(100*L697/J697,"")</f>
        <v/>
      </c>
      <c r="AN697" s="18" t="str">
        <f aca="false">IFERROR(100*M697/J697,"")</f>
        <v/>
      </c>
      <c r="AO697" s="18" t="str">
        <f aca="false">IFERROR(100*N697/J697,"")</f>
        <v/>
      </c>
    </row>
    <row r="698" customFormat="false" ht="15" hidden="false" customHeight="false" outlineLevel="0" collapsed="false">
      <c r="A698" s="17" t="n">
        <v>35206</v>
      </c>
      <c r="B698" s="23" t="n">
        <v>45747</v>
      </c>
      <c r="C698" s="17" t="s">
        <v>166</v>
      </c>
      <c r="D698" s="17" t="s">
        <v>116</v>
      </c>
      <c r="E698" s="17" t="s">
        <v>111</v>
      </c>
      <c r="F698" s="17" t="n">
        <v>67144</v>
      </c>
      <c r="G698" s="17" t="n">
        <v>65246</v>
      </c>
      <c r="H698" s="17" t="n">
        <v>500</v>
      </c>
      <c r="I698" s="17" t="n">
        <v>65181</v>
      </c>
      <c r="J698" s="17" t="n">
        <v>0</v>
      </c>
      <c r="K698" s="17" t="n">
        <v>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7" t="n">
        <v>0</v>
      </c>
      <c r="R698" s="17" t="n">
        <v>0</v>
      </c>
      <c r="S698" s="17" t="n">
        <v>0</v>
      </c>
      <c r="T698" s="17" t="n">
        <v>0</v>
      </c>
      <c r="U698" s="17" t="n">
        <v>18820</v>
      </c>
      <c r="V698" s="17" t="n">
        <v>28.844680133648</v>
      </c>
      <c r="W698" s="17" t="n">
        <v>29.95</v>
      </c>
      <c r="X698" s="17" t="n">
        <v>4.23196683239003</v>
      </c>
      <c r="Y698" s="17" t="n">
        <v>0</v>
      </c>
      <c r="Z698" s="17" t="n">
        <v>0</v>
      </c>
      <c r="AA698" s="17" t="n">
        <v>97.0764327415704</v>
      </c>
      <c r="AB698" s="17" t="n">
        <v>-15.9102294359283</v>
      </c>
      <c r="AC698" s="17"/>
      <c r="AD698" s="17" t="n">
        <v>0</v>
      </c>
      <c r="AE698" s="17" t="n">
        <v>13.8128781925893</v>
      </c>
      <c r="AF698" s="17" t="n">
        <v>0</v>
      </c>
      <c r="AG698" s="18" t="n">
        <f aca="false">IFERROR(100*O698/F698,"")</f>
        <v>0</v>
      </c>
      <c r="AH698" s="18" t="n">
        <f aca="false">IFERROR(100*(P698+Q698)/F698,"")</f>
        <v>0</v>
      </c>
      <c r="AI698" s="18" t="str">
        <f aca="false">IFERROR(100*R698/K698,"")</f>
        <v/>
      </c>
      <c r="AJ698" s="18" t="str">
        <f aca="false">IF(T698&gt;0,100*S698/T698,"")</f>
        <v/>
      </c>
      <c r="AK698" s="18" t="n">
        <f aca="false">IFERROR(100*U698/G698,"")</f>
        <v>28.844680133648</v>
      </c>
      <c r="AL698" s="18" t="n">
        <f aca="false">IFERROR(100*J698/H698,"")</f>
        <v>0</v>
      </c>
      <c r="AM698" s="18" t="str">
        <f aca="false">IFERROR(100*L698/J698,"")</f>
        <v/>
      </c>
      <c r="AN698" s="18" t="str">
        <f aca="false">IFERROR(100*M698/J698,"")</f>
        <v/>
      </c>
      <c r="AO698" s="18" t="str">
        <f aca="false">IFERROR(100*N698/J698,"")</f>
        <v/>
      </c>
    </row>
    <row r="699" customFormat="false" ht="15" hidden="false" customHeight="false" outlineLevel="0" collapsed="false">
      <c r="A699" s="17" t="n">
        <v>35206</v>
      </c>
      <c r="B699" s="23" t="n">
        <v>45838</v>
      </c>
      <c r="C699" s="17" t="s">
        <v>166</v>
      </c>
      <c r="D699" s="17" t="s">
        <v>116</v>
      </c>
      <c r="E699" s="17" t="s">
        <v>111</v>
      </c>
      <c r="F699" s="17" t="n">
        <v>72604</v>
      </c>
      <c r="G699" s="17" t="n">
        <v>67698.6666666667</v>
      </c>
      <c r="H699" s="17" t="n">
        <v>500</v>
      </c>
      <c r="I699" s="17" t="n">
        <v>70119</v>
      </c>
      <c r="J699" s="17" t="n">
        <v>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7" t="n">
        <v>0</v>
      </c>
      <c r="R699" s="17" t="n">
        <v>0</v>
      </c>
      <c r="S699" s="17" t="n">
        <v>0</v>
      </c>
      <c r="T699" s="17" t="n">
        <v>0</v>
      </c>
      <c r="U699" s="17" t="n">
        <v>19286</v>
      </c>
      <c r="V699" s="17" t="n">
        <v>28.4880056721944</v>
      </c>
      <c r="W699" s="17" t="n">
        <v>29.55</v>
      </c>
      <c r="X699" s="17" t="n">
        <v>4.14720593593693</v>
      </c>
      <c r="Y699" s="17" t="n">
        <v>0</v>
      </c>
      <c r="Z699" s="17" t="n">
        <v>0</v>
      </c>
      <c r="AA699" s="17" t="n">
        <v>96.57732356344</v>
      </c>
      <c r="AB699" s="17" t="n">
        <v>-14.0007580782716</v>
      </c>
      <c r="AC699" s="17"/>
      <c r="AD699" s="17" t="n">
        <v>0</v>
      </c>
      <c r="AE699" s="17" t="n">
        <v>9.65411374728234</v>
      </c>
      <c r="AF699" s="17" t="n">
        <v>0</v>
      </c>
      <c r="AG699" s="18" t="n">
        <f aca="false">IFERROR(100*O699/F699,"")</f>
        <v>0</v>
      </c>
      <c r="AH699" s="18" t="n">
        <f aca="false">IFERROR(100*(P699+Q699)/F699,"")</f>
        <v>0</v>
      </c>
      <c r="AI699" s="18" t="str">
        <f aca="false">IFERROR(100*R699/K699,"")</f>
        <v/>
      </c>
      <c r="AJ699" s="18" t="str">
        <f aca="false">IF(T699&gt;0,100*S699/T699,"")</f>
        <v/>
      </c>
      <c r="AK699" s="18" t="n">
        <f aca="false">IFERROR(100*U699/G699,"")</f>
        <v>28.4880056721944</v>
      </c>
      <c r="AL699" s="18" t="n">
        <f aca="false">IFERROR(100*J699/H699,"")</f>
        <v>0</v>
      </c>
      <c r="AM699" s="18" t="str">
        <f aca="false">IFERROR(100*L699/J699,"")</f>
        <v/>
      </c>
      <c r="AN699" s="18" t="str">
        <f aca="false">IFERROR(100*M699/J699,"")</f>
        <v/>
      </c>
      <c r="AO699" s="18" t="str">
        <f aca="false">IFERROR(100*N699/J699,"")</f>
        <v/>
      </c>
    </row>
    <row r="700" customFormat="false" ht="15" hidden="false" customHeight="false" outlineLevel="0" collapsed="false">
      <c r="A700" s="17" t="n">
        <v>59086</v>
      </c>
      <c r="B700" s="23" t="n">
        <v>44651</v>
      </c>
      <c r="C700" s="17" t="s">
        <v>141</v>
      </c>
      <c r="D700" s="17" t="s">
        <v>116</v>
      </c>
      <c r="E700" s="17" t="s">
        <v>118</v>
      </c>
      <c r="F700" s="17" t="n">
        <v>702304</v>
      </c>
      <c r="G700" s="17" t="n">
        <v>686541</v>
      </c>
      <c r="H700" s="17" t="n">
        <v>631646</v>
      </c>
      <c r="I700" s="17" t="n">
        <v>66816</v>
      </c>
      <c r="J700" s="17" t="n">
        <v>518583</v>
      </c>
      <c r="K700" s="17" t="n">
        <v>510319.5</v>
      </c>
      <c r="L700" s="17" t="n">
        <v>404171</v>
      </c>
      <c r="M700" s="17" t="n">
        <v>115306</v>
      </c>
      <c r="N700" s="17" t="n">
        <v>0</v>
      </c>
      <c r="O700" s="17" t="n">
        <v>2111</v>
      </c>
      <c r="P700" s="17" t="n">
        <v>0</v>
      </c>
      <c r="Q700" s="17" t="n">
        <v>341</v>
      </c>
      <c r="R700" s="17" t="n">
        <v>0</v>
      </c>
      <c r="S700" s="17" t="n">
        <v>72783</v>
      </c>
      <c r="T700" s="17" t="n">
        <v>534850</v>
      </c>
      <c r="U700" s="17" t="n">
        <v>7752</v>
      </c>
      <c r="V700" s="17" t="n">
        <v>1.1291386821763</v>
      </c>
      <c r="W700" s="17" t="n">
        <v>11.87</v>
      </c>
      <c r="X700" s="17" t="n">
        <v>3.2247228753779</v>
      </c>
      <c r="Y700" s="17" t="n">
        <v>1.1506354816876</v>
      </c>
      <c r="Z700" s="17" t="n">
        <v>13.608114424605</v>
      </c>
      <c r="AA700" s="17" t="n">
        <v>9.51382876930788</v>
      </c>
      <c r="AB700" s="17"/>
      <c r="AC700" s="17"/>
      <c r="AD700" s="17"/>
      <c r="AE700" s="17"/>
      <c r="AF700" s="17"/>
      <c r="AG700" s="18" t="n">
        <f aca="false">IFERROR(100*O700/F700,"")</f>
        <v>0.300582084111724</v>
      </c>
      <c r="AH700" s="18" t="n">
        <f aca="false">IFERROR(100*(P700+Q700)/F700,"")</f>
        <v>0.048554472137422</v>
      </c>
      <c r="AI700" s="18" t="n">
        <f aca="false">IFERROR(100*R700/K700,"")</f>
        <v>0</v>
      </c>
      <c r="AJ700" s="18" t="n">
        <f aca="false">IF(T700&gt;0,100*S700/T700,"")</f>
        <v>13.608114424605</v>
      </c>
      <c r="AK700" s="18" t="n">
        <f aca="false">IFERROR(100*U700/G700,"")</f>
        <v>1.1291386821763</v>
      </c>
      <c r="AL700" s="18" t="n">
        <f aca="false">IFERROR(100*J700/H700,"")</f>
        <v>82.1002586892025</v>
      </c>
      <c r="AM700" s="18" t="n">
        <f aca="false">IFERROR(100*L700/J700,"")</f>
        <v>77.9375721919153</v>
      </c>
      <c r="AN700" s="18" t="n">
        <f aca="false">IFERROR(100*M700/J700,"")</f>
        <v>22.2348206555171</v>
      </c>
      <c r="AO700" s="18" t="n">
        <f aca="false">IFERROR(100*N700/J700,"")</f>
        <v>0</v>
      </c>
    </row>
    <row r="701" customFormat="false" ht="15" hidden="false" customHeight="false" outlineLevel="0" collapsed="false">
      <c r="A701" s="17" t="n">
        <v>59086</v>
      </c>
      <c r="B701" s="23" t="n">
        <v>44742</v>
      </c>
      <c r="C701" s="17" t="s">
        <v>141</v>
      </c>
      <c r="D701" s="17" t="s">
        <v>116</v>
      </c>
      <c r="E701" s="17" t="s">
        <v>118</v>
      </c>
      <c r="F701" s="17" t="n">
        <v>670113</v>
      </c>
      <c r="G701" s="17" t="n">
        <v>681065</v>
      </c>
      <c r="H701" s="17" t="n">
        <v>597579</v>
      </c>
      <c r="I701" s="17" t="n">
        <v>69673</v>
      </c>
      <c r="J701" s="17" t="n">
        <v>534095</v>
      </c>
      <c r="K701" s="17" t="n">
        <v>518244.666666667</v>
      </c>
      <c r="L701" s="17" t="n">
        <v>420476</v>
      </c>
      <c r="M701" s="17" t="n">
        <v>114300</v>
      </c>
      <c r="N701" s="17" t="n">
        <v>0</v>
      </c>
      <c r="O701" s="17" t="n">
        <v>2111</v>
      </c>
      <c r="P701" s="17" t="n">
        <v>0</v>
      </c>
      <c r="Q701" s="17" t="n">
        <v>341</v>
      </c>
      <c r="R701" s="17" t="n">
        <v>0</v>
      </c>
      <c r="S701" s="17" t="n">
        <v>75912</v>
      </c>
      <c r="T701" s="17" t="n">
        <v>556925</v>
      </c>
      <c r="U701" s="17" t="n">
        <v>8586</v>
      </c>
      <c r="V701" s="17" t="n">
        <v>1.26067262302423</v>
      </c>
      <c r="W701" s="17" t="n">
        <v>12.86</v>
      </c>
      <c r="X701" s="17" t="n">
        <v>3.41245944030732</v>
      </c>
      <c r="Y701" s="17" t="n">
        <v>1.16814424400154</v>
      </c>
      <c r="Z701" s="17" t="n">
        <v>13.6305606679535</v>
      </c>
      <c r="AA701" s="17" t="n">
        <v>10.3972016659877</v>
      </c>
      <c r="AB701" s="17"/>
      <c r="AC701" s="17"/>
      <c r="AD701" s="17"/>
      <c r="AE701" s="17"/>
      <c r="AF701" s="17"/>
      <c r="AG701" s="18" t="n">
        <f aca="false">IFERROR(100*O701/F701,"")</f>
        <v>0.315021496374492</v>
      </c>
      <c r="AH701" s="18" t="n">
        <f aca="false">IFERROR(100*(P701+Q701)/F701,"")</f>
        <v>0.0508869399638568</v>
      </c>
      <c r="AI701" s="18" t="n">
        <f aca="false">IFERROR(100*R701/K701,"")</f>
        <v>0</v>
      </c>
      <c r="AJ701" s="18" t="n">
        <f aca="false">IF(T701&gt;0,100*S701/T701,"")</f>
        <v>13.6305606679535</v>
      </c>
      <c r="AK701" s="18" t="n">
        <f aca="false">IFERROR(100*U701/G701,"")</f>
        <v>1.26067262302423</v>
      </c>
      <c r="AL701" s="18" t="n">
        <f aca="false">IFERROR(100*J701/H701,"")</f>
        <v>89.3764673792084</v>
      </c>
      <c r="AM701" s="18" t="n">
        <f aca="false">IFERROR(100*L701/J701,"")</f>
        <v>78.7268182626686</v>
      </c>
      <c r="AN701" s="18" t="n">
        <f aca="false">IFERROR(100*M701/J701,"")</f>
        <v>21.4006871436729</v>
      </c>
      <c r="AO701" s="18" t="n">
        <f aca="false">IFERROR(100*N701/J701,"")</f>
        <v>0</v>
      </c>
    </row>
    <row r="702" customFormat="false" ht="15" hidden="false" customHeight="false" outlineLevel="0" collapsed="false">
      <c r="A702" s="17" t="n">
        <v>59086</v>
      </c>
      <c r="B702" s="23" t="n">
        <v>44834</v>
      </c>
      <c r="C702" s="17" t="s">
        <v>141</v>
      </c>
      <c r="D702" s="17" t="s">
        <v>116</v>
      </c>
      <c r="E702" s="17" t="s">
        <v>118</v>
      </c>
      <c r="F702" s="17" t="n">
        <v>686995</v>
      </c>
      <c r="G702" s="17" t="n">
        <v>682547.5</v>
      </c>
      <c r="H702" s="17" t="n">
        <v>610836</v>
      </c>
      <c r="I702" s="17" t="n">
        <v>72795</v>
      </c>
      <c r="J702" s="17" t="n">
        <v>552647</v>
      </c>
      <c r="K702" s="17" t="n">
        <v>526845.25</v>
      </c>
      <c r="L702" s="17" t="n">
        <v>433350</v>
      </c>
      <c r="M702" s="17" t="n">
        <v>119943</v>
      </c>
      <c r="N702" s="17" t="n">
        <v>0</v>
      </c>
      <c r="O702" s="17" t="n">
        <v>2111</v>
      </c>
      <c r="P702" s="17" t="n">
        <v>0</v>
      </c>
      <c r="Q702" s="17" t="n">
        <v>341</v>
      </c>
      <c r="R702" s="17" t="n">
        <v>0</v>
      </c>
      <c r="S702" s="17" t="n">
        <v>79306</v>
      </c>
      <c r="T702" s="17" t="n">
        <v>576794</v>
      </c>
      <c r="U702" s="17" t="n">
        <v>9643.7589</v>
      </c>
      <c r="V702" s="17" t="n">
        <v>1.41290663287171</v>
      </c>
      <c r="W702" s="17" t="n">
        <v>14.12</v>
      </c>
      <c r="X702" s="17" t="n">
        <v>3.62661752418511</v>
      </c>
      <c r="Y702" s="17" t="n">
        <v>1.17814807643939</v>
      </c>
      <c r="Z702" s="17" t="n">
        <v>13.7494495435112</v>
      </c>
      <c r="AA702" s="17" t="n">
        <v>10.5961469879693</v>
      </c>
      <c r="AB702" s="17"/>
      <c r="AC702" s="17"/>
      <c r="AD702" s="17"/>
      <c r="AE702" s="17"/>
      <c r="AF702" s="17"/>
      <c r="AG702" s="18" t="n">
        <f aca="false">IFERROR(100*O702/F702,"")</f>
        <v>0.307280256770428</v>
      </c>
      <c r="AH702" s="18" t="n">
        <f aca="false">IFERROR(100*(P702+Q702)/F702,"")</f>
        <v>0.0496364602362463</v>
      </c>
      <c r="AI702" s="18" t="n">
        <f aca="false">IFERROR(100*R702/K702,"")</f>
        <v>0</v>
      </c>
      <c r="AJ702" s="18" t="n">
        <f aca="false">IF(T702&gt;0,100*S702/T702,"")</f>
        <v>13.7494495435112</v>
      </c>
      <c r="AK702" s="18" t="n">
        <f aca="false">IFERROR(100*U702/G702,"")</f>
        <v>1.4129066328717</v>
      </c>
      <c r="AL702" s="18" t="n">
        <f aca="false">IFERROR(100*J702/H702,"")</f>
        <v>90.4738751481576</v>
      </c>
      <c r="AM702" s="18" t="n">
        <f aca="false">IFERROR(100*L702/J702,"")</f>
        <v>78.4135261749363</v>
      </c>
      <c r="AN702" s="18" t="n">
        <f aca="false">IFERROR(100*M702/J702,"")</f>
        <v>21.7033658013162</v>
      </c>
      <c r="AO702" s="18" t="n">
        <f aca="false">IFERROR(100*N702/J702,"")</f>
        <v>0</v>
      </c>
    </row>
    <row r="703" customFormat="false" ht="15" hidden="false" customHeight="false" outlineLevel="0" collapsed="false">
      <c r="A703" s="17" t="n">
        <v>59086</v>
      </c>
      <c r="B703" s="23" t="n">
        <v>44926</v>
      </c>
      <c r="C703" s="17" t="s">
        <v>141</v>
      </c>
      <c r="D703" s="17" t="s">
        <v>116</v>
      </c>
      <c r="E703" s="17" t="s">
        <v>118</v>
      </c>
      <c r="F703" s="17" t="n">
        <v>654191</v>
      </c>
      <c r="G703" s="17" t="n">
        <v>676876.2</v>
      </c>
      <c r="H703" s="17" t="n">
        <v>564578</v>
      </c>
      <c r="I703" s="17" t="n">
        <v>76313</v>
      </c>
      <c r="J703" s="17" t="n">
        <v>575471</v>
      </c>
      <c r="K703" s="17" t="n">
        <v>536570.4</v>
      </c>
      <c r="L703" s="17" t="n">
        <v>455851</v>
      </c>
      <c r="M703" s="17" t="n">
        <v>120243</v>
      </c>
      <c r="N703" s="17" t="n">
        <v>0</v>
      </c>
      <c r="O703" s="17" t="n">
        <v>2111</v>
      </c>
      <c r="P703" s="17" t="n">
        <v>0</v>
      </c>
      <c r="Q703" s="17" t="n">
        <v>341</v>
      </c>
      <c r="R703" s="17" t="n">
        <v>0</v>
      </c>
      <c r="S703" s="17" t="n">
        <v>83424</v>
      </c>
      <c r="T703" s="17" t="n">
        <v>598826</v>
      </c>
      <c r="U703" s="17" t="n">
        <v>10667</v>
      </c>
      <c r="V703" s="17" t="n">
        <v>1.57591595036138</v>
      </c>
      <c r="W703" s="17" t="n">
        <v>15.26</v>
      </c>
      <c r="X703" s="17" t="n">
        <v>3.91319114659101</v>
      </c>
      <c r="Y703" s="17" t="n">
        <v>1.23568346623896</v>
      </c>
      <c r="Z703" s="17" t="n">
        <v>13.9312588297769</v>
      </c>
      <c r="AA703" s="17" t="n">
        <v>11.6652476111717</v>
      </c>
      <c r="AB703" s="17"/>
      <c r="AC703" s="17"/>
      <c r="AD703" s="17"/>
      <c r="AE703" s="17"/>
      <c r="AF703" s="17"/>
      <c r="AG703" s="18" t="n">
        <f aca="false">IFERROR(100*O703/F703,"")</f>
        <v>0.322688633747636</v>
      </c>
      <c r="AH703" s="18" t="n">
        <f aca="false">IFERROR(100*(P703+Q703)/F703,"")</f>
        <v>0.0521254496011104</v>
      </c>
      <c r="AI703" s="18" t="n">
        <f aca="false">IFERROR(100*R703/K703,"")</f>
        <v>0</v>
      </c>
      <c r="AJ703" s="18" t="n">
        <f aca="false">IF(T703&gt;0,100*S703/T703,"")</f>
        <v>13.9312588297769</v>
      </c>
      <c r="AK703" s="18" t="n">
        <f aca="false">IFERROR(100*U703/G703,"")</f>
        <v>1.57591595036138</v>
      </c>
      <c r="AL703" s="18" t="n">
        <f aca="false">IFERROR(100*J703/H703,"")</f>
        <v>101.929405679995</v>
      </c>
      <c r="AM703" s="18" t="n">
        <f aca="false">IFERROR(100*L703/J703,"")</f>
        <v>79.2135485541409</v>
      </c>
      <c r="AN703" s="18" t="n">
        <f aca="false">IFERROR(100*M703/J703,"")</f>
        <v>20.8947105935833</v>
      </c>
      <c r="AO703" s="18" t="n">
        <f aca="false">IFERROR(100*N703/J703,"")</f>
        <v>0</v>
      </c>
    </row>
    <row r="704" customFormat="false" ht="15" hidden="false" customHeight="false" outlineLevel="0" collapsed="false">
      <c r="A704" s="17" t="n">
        <v>59086</v>
      </c>
      <c r="B704" s="23" t="n">
        <v>45016</v>
      </c>
      <c r="C704" s="17" t="s">
        <v>141</v>
      </c>
      <c r="D704" s="17" t="s">
        <v>116</v>
      </c>
      <c r="E704" s="17" t="s">
        <v>118</v>
      </c>
      <c r="F704" s="17" t="n">
        <v>693867</v>
      </c>
      <c r="G704" s="17" t="n">
        <v>674029</v>
      </c>
      <c r="H704" s="17" t="n">
        <v>607363</v>
      </c>
      <c r="I704" s="17" t="n">
        <v>80605</v>
      </c>
      <c r="J704" s="17" t="n">
        <v>581159</v>
      </c>
      <c r="K704" s="17" t="n">
        <v>578315</v>
      </c>
      <c r="L704" s="17" t="n">
        <v>463062</v>
      </c>
      <c r="M704" s="17" t="n">
        <v>118646</v>
      </c>
      <c r="N704" s="17" t="n">
        <v>0</v>
      </c>
      <c r="O704" s="17" t="n">
        <v>4263</v>
      </c>
      <c r="P704" s="17" t="n">
        <v>200</v>
      </c>
      <c r="Q704" s="17" t="n">
        <v>0</v>
      </c>
      <c r="R704" s="17" t="n">
        <v>0</v>
      </c>
      <c r="S704" s="17" t="n">
        <v>87006</v>
      </c>
      <c r="T704" s="17" t="n">
        <v>606299</v>
      </c>
      <c r="U704" s="17" t="n">
        <v>11124</v>
      </c>
      <c r="V704" s="17" t="n">
        <v>1.65037409369627</v>
      </c>
      <c r="W704" s="17" t="n">
        <v>14.18</v>
      </c>
      <c r="X704" s="17" t="n">
        <v>4.14472638660804</v>
      </c>
      <c r="Y704" s="17" t="n">
        <v>1.10141974915643</v>
      </c>
      <c r="Z704" s="17" t="n">
        <v>14.3503452916795</v>
      </c>
      <c r="AA704" s="17" t="n">
        <v>11.6167795845602</v>
      </c>
      <c r="AB704" s="17" t="n">
        <v>-1.20133161707751</v>
      </c>
      <c r="AC704" s="17" t="n">
        <v>12.0667279876124</v>
      </c>
      <c r="AD704" s="17" t="n">
        <v>-3.84440018618023</v>
      </c>
      <c r="AE704" s="17" t="n">
        <v>0.521235411519964</v>
      </c>
      <c r="AF704" s="17" t="n">
        <v>0.313800787533707</v>
      </c>
      <c r="AG704" s="18" t="n">
        <f aca="false">IFERROR(100*O704/F704,"")</f>
        <v>0.614382871645431</v>
      </c>
      <c r="AH704" s="18" t="n">
        <f aca="false">IFERROR(100*(P704+Q704)/F704,"")</f>
        <v>0.0288239677056266</v>
      </c>
      <c r="AI704" s="18" t="n">
        <f aca="false">IFERROR(100*R704/K704,"")</f>
        <v>0</v>
      </c>
      <c r="AJ704" s="18" t="n">
        <f aca="false">IF(T704&gt;0,100*S704/T704,"")</f>
        <v>14.3503452916795</v>
      </c>
      <c r="AK704" s="18" t="n">
        <f aca="false">IFERROR(100*U704/G704,"")</f>
        <v>1.65037409369627</v>
      </c>
      <c r="AL704" s="18" t="n">
        <f aca="false">IFERROR(100*J704/H704,"")</f>
        <v>95.6856114053704</v>
      </c>
      <c r="AM704" s="18" t="n">
        <f aca="false">IFERROR(100*L704/J704,"")</f>
        <v>79.6790551294913</v>
      </c>
      <c r="AN704" s="18" t="n">
        <f aca="false">IFERROR(100*M704/J704,"")</f>
        <v>20.4154112729907</v>
      </c>
      <c r="AO704" s="18" t="n">
        <f aca="false">IFERROR(100*N704/J704,"")</f>
        <v>0</v>
      </c>
    </row>
    <row r="705" customFormat="false" ht="15" hidden="false" customHeight="false" outlineLevel="0" collapsed="false">
      <c r="A705" s="17" t="n">
        <v>59086</v>
      </c>
      <c r="B705" s="23" t="n">
        <v>45107</v>
      </c>
      <c r="C705" s="17" t="s">
        <v>141</v>
      </c>
      <c r="D705" s="17" t="s">
        <v>116</v>
      </c>
      <c r="E705" s="17" t="s">
        <v>118</v>
      </c>
      <c r="F705" s="17" t="n">
        <v>695227</v>
      </c>
      <c r="G705" s="17" t="n">
        <v>681095</v>
      </c>
      <c r="H705" s="17" t="n">
        <v>607749</v>
      </c>
      <c r="I705" s="17" t="n">
        <v>83914</v>
      </c>
      <c r="J705" s="17" t="n">
        <v>582250</v>
      </c>
      <c r="K705" s="17" t="n">
        <v>579626.666666667</v>
      </c>
      <c r="L705" s="17" t="n">
        <v>466335</v>
      </c>
      <c r="M705" s="17" t="n">
        <v>116363</v>
      </c>
      <c r="N705" s="17" t="n">
        <v>0</v>
      </c>
      <c r="O705" s="17" t="n">
        <v>4947</v>
      </c>
      <c r="P705" s="17" t="n">
        <v>1699</v>
      </c>
      <c r="Q705" s="17" t="n">
        <v>45</v>
      </c>
      <c r="R705" s="17" t="n">
        <v>626</v>
      </c>
      <c r="S705" s="17" t="n">
        <v>89936</v>
      </c>
      <c r="T705" s="17" t="n">
        <v>611527</v>
      </c>
      <c r="U705" s="17" t="n">
        <v>11528</v>
      </c>
      <c r="V705" s="17" t="n">
        <v>1.69256858441187</v>
      </c>
      <c r="W705" s="17" t="n">
        <v>14.36</v>
      </c>
      <c r="X705" s="17" t="n">
        <v>4.13253602764002</v>
      </c>
      <c r="Y705" s="17" t="n">
        <v>1.03426363246028</v>
      </c>
      <c r="Z705" s="17" t="n">
        <v>14.706791359989</v>
      </c>
      <c r="AA705" s="17" t="n">
        <v>12.0700145420129</v>
      </c>
      <c r="AB705" s="17" t="n">
        <v>3.74772612977214</v>
      </c>
      <c r="AC705" s="17" t="n">
        <v>9.01618625899887</v>
      </c>
      <c r="AD705" s="17" t="n">
        <v>1.7018670334801</v>
      </c>
      <c r="AE705" s="17" t="n">
        <v>0.431895961387632</v>
      </c>
      <c r="AF705" s="17" t="n">
        <v>0.396544653962017</v>
      </c>
      <c r="AG705" s="18" t="n">
        <f aca="false">IFERROR(100*O705/F705,"")</f>
        <v>0.711566150336509</v>
      </c>
      <c r="AH705" s="18" t="n">
        <f aca="false">IFERROR(100*(P705+Q705)/F705,"")</f>
        <v>0.250853318412547</v>
      </c>
      <c r="AI705" s="18" t="n">
        <f aca="false">IFERROR(100*R705/K705,"")</f>
        <v>0.108000552079499</v>
      </c>
      <c r="AJ705" s="18" t="n">
        <f aca="false">IF(T705&gt;0,100*S705/T705,"")</f>
        <v>14.706791359989</v>
      </c>
      <c r="AK705" s="18" t="n">
        <f aca="false">IFERROR(100*U705/G705,"")</f>
        <v>1.69256858441187</v>
      </c>
      <c r="AL705" s="18" t="n">
        <f aca="false">IFERROR(100*J705/H705,"")</f>
        <v>95.8043534419637</v>
      </c>
      <c r="AM705" s="18" t="n">
        <f aca="false">IFERROR(100*L705/J705,"")</f>
        <v>80.0918849291542</v>
      </c>
      <c r="AN705" s="18" t="n">
        <f aca="false">IFERROR(100*M705/J705,"")</f>
        <v>19.9850579647918</v>
      </c>
      <c r="AO705" s="18" t="n">
        <f aca="false">IFERROR(100*N705/J705,"")</f>
        <v>0</v>
      </c>
    </row>
    <row r="706" customFormat="false" ht="15" hidden="false" customHeight="false" outlineLevel="0" collapsed="false">
      <c r="A706" s="17" t="n">
        <v>59086</v>
      </c>
      <c r="B706" s="23" t="n">
        <v>45199</v>
      </c>
      <c r="C706" s="17" t="s">
        <v>141</v>
      </c>
      <c r="D706" s="17" t="s">
        <v>116</v>
      </c>
      <c r="E706" s="17" t="s">
        <v>118</v>
      </c>
      <c r="F706" s="17" t="n">
        <v>697563</v>
      </c>
      <c r="G706" s="17" t="n">
        <v>685212</v>
      </c>
      <c r="H706" s="17" t="n">
        <v>607269</v>
      </c>
      <c r="I706" s="17" t="n">
        <v>86533</v>
      </c>
      <c r="J706" s="17" t="n">
        <v>579195</v>
      </c>
      <c r="K706" s="17" t="n">
        <v>579518.75</v>
      </c>
      <c r="L706" s="17" t="n">
        <v>463924</v>
      </c>
      <c r="M706" s="17" t="n">
        <v>115698</v>
      </c>
      <c r="N706" s="17" t="n">
        <v>0</v>
      </c>
      <c r="O706" s="17" t="n">
        <v>6396</v>
      </c>
      <c r="P706" s="17" t="n">
        <v>2283</v>
      </c>
      <c r="Q706" s="17" t="n">
        <v>1232</v>
      </c>
      <c r="R706" s="17" t="n">
        <v>683.9829</v>
      </c>
      <c r="S706" s="17" t="n">
        <v>92895</v>
      </c>
      <c r="T706" s="17" t="n">
        <v>607638</v>
      </c>
      <c r="U706" s="17" t="n">
        <v>10925.0602</v>
      </c>
      <c r="V706" s="17" t="n">
        <v>1.59440584811708</v>
      </c>
      <c r="W706" s="17" t="n">
        <v>13.35</v>
      </c>
      <c r="X706" s="17" t="n">
        <v>4.07526020642892</v>
      </c>
      <c r="Y706" s="17" t="n">
        <v>1.09824843101201</v>
      </c>
      <c r="Z706" s="17" t="n">
        <v>15.287885221135</v>
      </c>
      <c r="AA706" s="17" t="n">
        <v>12.405044418927</v>
      </c>
      <c r="AB706" s="17" t="n">
        <v>1.53829358292272</v>
      </c>
      <c r="AC706" s="17" t="n">
        <v>4.80378976091429</v>
      </c>
      <c r="AD706" s="17" t="n">
        <v>-0.583953794471837</v>
      </c>
      <c r="AE706" s="17" t="n">
        <v>0.181499215245374</v>
      </c>
      <c r="AF706" s="17" t="n">
        <v>0.609626173186436</v>
      </c>
      <c r="AG706" s="18" t="n">
        <f aca="false">IFERROR(100*O706/F706,"")</f>
        <v>0.916906429956864</v>
      </c>
      <c r="AH706" s="18" t="n">
        <f aca="false">IFERROR(100*(P706+Q706)/F706,"")</f>
        <v>0.503897139039771</v>
      </c>
      <c r="AI706" s="18" t="n">
        <f aca="false">IFERROR(100*R706/K706,"")</f>
        <v>0.118026017277267</v>
      </c>
      <c r="AJ706" s="18" t="n">
        <f aca="false">IF(T706&gt;0,100*S706/T706,"")</f>
        <v>15.287885221135</v>
      </c>
      <c r="AK706" s="18" t="n">
        <f aca="false">IFERROR(100*U706/G706,"")</f>
        <v>1.59440584811708</v>
      </c>
      <c r="AL706" s="18" t="n">
        <f aca="false">IFERROR(100*J706/H706,"")</f>
        <v>95.3770075534895</v>
      </c>
      <c r="AM706" s="18" t="n">
        <f aca="false">IFERROR(100*L706/J706,"")</f>
        <v>80.0980671449167</v>
      </c>
      <c r="AN706" s="18" t="n">
        <f aca="false">IFERROR(100*M706/J706,"")</f>
        <v>19.975655867195</v>
      </c>
      <c r="AO706" s="18" t="n">
        <f aca="false">IFERROR(100*N706/J706,"")</f>
        <v>0</v>
      </c>
    </row>
    <row r="707" customFormat="false" ht="15" hidden="false" customHeight="false" outlineLevel="0" collapsed="false">
      <c r="A707" s="17" t="n">
        <v>59086</v>
      </c>
      <c r="B707" s="23" t="n">
        <v>45291</v>
      </c>
      <c r="C707" s="17" t="s">
        <v>141</v>
      </c>
      <c r="D707" s="17" t="s">
        <v>116</v>
      </c>
      <c r="E707" s="17" t="s">
        <v>118</v>
      </c>
      <c r="F707" s="17" t="n">
        <v>693138</v>
      </c>
      <c r="G707" s="17" t="n">
        <v>686797.2</v>
      </c>
      <c r="H707" s="17" t="n">
        <v>600781</v>
      </c>
      <c r="I707" s="17" t="n">
        <v>88263</v>
      </c>
      <c r="J707" s="17" t="n">
        <v>588570</v>
      </c>
      <c r="K707" s="17" t="n">
        <v>581329</v>
      </c>
      <c r="L707" s="17" t="n">
        <v>473617</v>
      </c>
      <c r="M707" s="17" t="n">
        <v>115313</v>
      </c>
      <c r="N707" s="17" t="n">
        <v>0</v>
      </c>
      <c r="O707" s="17" t="n">
        <v>4555</v>
      </c>
      <c r="P707" s="17" t="n">
        <v>0</v>
      </c>
      <c r="Q707" s="17" t="n">
        <v>1112</v>
      </c>
      <c r="R707" s="17" t="n">
        <v>540</v>
      </c>
      <c r="S707" s="17" t="n">
        <v>94974</v>
      </c>
      <c r="T707" s="17" t="n">
        <v>623388</v>
      </c>
      <c r="U707" s="17" t="n">
        <v>10001</v>
      </c>
      <c r="V707" s="17" t="n">
        <v>1.45617949519887</v>
      </c>
      <c r="W707" s="17" t="n">
        <v>12.03</v>
      </c>
      <c r="X707" s="17" t="n">
        <v>4.0764259406766</v>
      </c>
      <c r="Y707" s="17" t="n">
        <v>1.14039111745417</v>
      </c>
      <c r="Z707" s="17" t="n">
        <v>15.2351344587961</v>
      </c>
      <c r="AA707" s="17" t="n">
        <v>12.7338278957437</v>
      </c>
      <c r="AB707" s="17" t="n">
        <v>5.95346007511568</v>
      </c>
      <c r="AC707" s="17" t="n">
        <v>2.27622243345016</v>
      </c>
      <c r="AD707" s="17" t="n">
        <v>6.41240005809649</v>
      </c>
      <c r="AE707" s="17" t="n">
        <v>-0.119736455162507</v>
      </c>
      <c r="AF707" s="17" t="n">
        <v>0.334467661247011</v>
      </c>
      <c r="AG707" s="18" t="n">
        <f aca="false">IFERROR(100*O707/F707,"")</f>
        <v>0.657156294994648</v>
      </c>
      <c r="AH707" s="18" t="n">
        <f aca="false">IFERROR(100*(P707+Q707)/F707,"")</f>
        <v>0.160429813399352</v>
      </c>
      <c r="AI707" s="18" t="n">
        <f aca="false">IFERROR(100*R707/K707,"")</f>
        <v>0.0928906006753491</v>
      </c>
      <c r="AJ707" s="18" t="n">
        <f aca="false">IF(T707&gt;0,100*S707/T707,"")</f>
        <v>15.2351344587961</v>
      </c>
      <c r="AK707" s="18" t="n">
        <f aca="false">IFERROR(100*U707/G707,"")</f>
        <v>1.45617949519887</v>
      </c>
      <c r="AL707" s="18" t="n">
        <f aca="false">IFERROR(100*J707/H707,"")</f>
        <v>97.9674789981707</v>
      </c>
      <c r="AM707" s="18" t="n">
        <f aca="false">IFERROR(100*L707/J707,"")</f>
        <v>80.4691030803473</v>
      </c>
      <c r="AN707" s="18" t="n">
        <f aca="false">IFERROR(100*M707/J707,"")</f>
        <v>19.5920621166556</v>
      </c>
      <c r="AO707" s="18" t="n">
        <f aca="false">IFERROR(100*N707/J707,"")</f>
        <v>0</v>
      </c>
    </row>
    <row r="708" customFormat="false" ht="15" hidden="false" customHeight="false" outlineLevel="0" collapsed="false">
      <c r="A708" s="17" t="n">
        <v>59086</v>
      </c>
      <c r="B708" s="23" t="n">
        <v>45382</v>
      </c>
      <c r="C708" s="17" t="s">
        <v>141</v>
      </c>
      <c r="D708" s="17" t="s">
        <v>116</v>
      </c>
      <c r="E708" s="17" t="s">
        <v>118</v>
      </c>
      <c r="F708" s="17" t="n">
        <v>697280</v>
      </c>
      <c r="G708" s="17" t="n">
        <v>695209</v>
      </c>
      <c r="H708" s="17" t="n">
        <v>594743</v>
      </c>
      <c r="I708" s="17" t="n">
        <v>90844</v>
      </c>
      <c r="J708" s="17" t="n">
        <v>585578</v>
      </c>
      <c r="K708" s="17" t="n">
        <v>587074</v>
      </c>
      <c r="L708" s="17" t="n">
        <v>474718</v>
      </c>
      <c r="M708" s="17" t="n">
        <v>111257</v>
      </c>
      <c r="N708" s="17" t="n">
        <v>0</v>
      </c>
      <c r="O708" s="17" t="n">
        <v>4483</v>
      </c>
      <c r="P708" s="17" t="n">
        <v>366</v>
      </c>
      <c r="Q708" s="17" t="n">
        <v>0</v>
      </c>
      <c r="R708" s="17" t="n">
        <v>640</v>
      </c>
      <c r="S708" s="17" t="n">
        <v>96879</v>
      </c>
      <c r="T708" s="17" t="n">
        <v>622125</v>
      </c>
      <c r="U708" s="17" t="n">
        <v>10488</v>
      </c>
      <c r="V708" s="17" t="n">
        <v>1.50861107954586</v>
      </c>
      <c r="W708" s="17" t="n">
        <v>11.71</v>
      </c>
      <c r="X708" s="17" t="n">
        <v>3.69176625852335</v>
      </c>
      <c r="Y708" s="17" t="n">
        <v>1.03077642944236</v>
      </c>
      <c r="Z708" s="17" t="n">
        <v>15.5722724532851</v>
      </c>
      <c r="AA708" s="17" t="n">
        <v>13.0283386874713</v>
      </c>
      <c r="AB708" s="17" t="n">
        <v>0.491881008896522</v>
      </c>
      <c r="AC708" s="17" t="n">
        <v>0.760377108502142</v>
      </c>
      <c r="AD708" s="17" t="n">
        <v>-2.0778348368274</v>
      </c>
      <c r="AE708" s="17" t="n">
        <v>-0.141763014150402</v>
      </c>
      <c r="AF708" s="17" t="n">
        <v>0.0285439296395625</v>
      </c>
      <c r="AG708" s="18" t="n">
        <f aca="false">IFERROR(100*O708/F708,"")</f>
        <v>0.642926801284993</v>
      </c>
      <c r="AH708" s="18" t="n">
        <f aca="false">IFERROR(100*(P708+Q708)/F708,"")</f>
        <v>0.0524896741624598</v>
      </c>
      <c r="AI708" s="18" t="n">
        <f aca="false">IFERROR(100*R708/K708,"")</f>
        <v>0.109015217843066</v>
      </c>
      <c r="AJ708" s="18" t="n">
        <f aca="false">IF(T708&gt;0,100*S708/T708,"")</f>
        <v>15.5722724532851</v>
      </c>
      <c r="AK708" s="18" t="n">
        <f aca="false">IFERROR(100*U708/G708,"")</f>
        <v>1.50861107954586</v>
      </c>
      <c r="AL708" s="18" t="n">
        <f aca="false">IFERROR(100*J708/H708,"")</f>
        <v>98.4589982563897</v>
      </c>
      <c r="AM708" s="18" t="n">
        <f aca="false">IFERROR(100*L708/J708,"")</f>
        <v>81.0682778383068</v>
      </c>
      <c r="AN708" s="18" t="n">
        <f aca="false">IFERROR(100*M708/J708,"")</f>
        <v>18.999518424531</v>
      </c>
      <c r="AO708" s="18" t="n">
        <f aca="false">IFERROR(100*N708/J708,"")</f>
        <v>0</v>
      </c>
    </row>
    <row r="709" customFormat="false" ht="15" hidden="false" customHeight="false" outlineLevel="0" collapsed="false">
      <c r="A709" s="17" t="n">
        <v>59086</v>
      </c>
      <c r="B709" s="23" t="n">
        <v>45473</v>
      </c>
      <c r="C709" s="17" t="s">
        <v>141</v>
      </c>
      <c r="D709" s="17" t="s">
        <v>116</v>
      </c>
      <c r="E709" s="17" t="s">
        <v>118</v>
      </c>
      <c r="F709" s="17" t="n">
        <v>706680</v>
      </c>
      <c r="G709" s="17" t="n">
        <v>699032.666666667</v>
      </c>
      <c r="H709" s="17" t="n">
        <v>602024</v>
      </c>
      <c r="I709" s="17" t="n">
        <v>93282</v>
      </c>
      <c r="J709" s="17" t="n">
        <v>594567</v>
      </c>
      <c r="K709" s="17" t="n">
        <v>589571.666666667</v>
      </c>
      <c r="L709" s="17" t="n">
        <v>475386</v>
      </c>
      <c r="M709" s="17" t="n">
        <v>119550</v>
      </c>
      <c r="N709" s="17" t="n">
        <v>0</v>
      </c>
      <c r="O709" s="17" t="n">
        <v>4045</v>
      </c>
      <c r="P709" s="17" t="n">
        <v>4573</v>
      </c>
      <c r="Q709" s="17" t="n">
        <v>0</v>
      </c>
      <c r="R709" s="17" t="n">
        <v>652</v>
      </c>
      <c r="S709" s="17" t="n">
        <v>100105</v>
      </c>
      <c r="T709" s="17" t="n">
        <v>636563</v>
      </c>
      <c r="U709" s="17" t="n">
        <v>9896</v>
      </c>
      <c r="V709" s="17" t="n">
        <v>1.41567060766831</v>
      </c>
      <c r="W709" s="17" t="n">
        <v>10.9</v>
      </c>
      <c r="X709" s="17" t="n">
        <v>3.75691693165666</v>
      </c>
      <c r="Y709" s="17" t="n">
        <v>0.973145162782327</v>
      </c>
      <c r="Z709" s="17" t="n">
        <v>15.7258590273076</v>
      </c>
      <c r="AA709" s="17" t="n">
        <v>13.2000339616234</v>
      </c>
      <c r="AB709" s="17" t="n">
        <v>1.64737560537782</v>
      </c>
      <c r="AC709" s="17" t="n">
        <v>2.11541434091884</v>
      </c>
      <c r="AD709" s="17" t="n">
        <v>-0.942000727273928</v>
      </c>
      <c r="AE709" s="17" t="n">
        <v>-0.276897976743555</v>
      </c>
      <c r="AF709" s="17" t="n">
        <v>-0.139171289862178</v>
      </c>
      <c r="AG709" s="18" t="n">
        <f aca="false">IFERROR(100*O709/F709,"")</f>
        <v>0.572394860474331</v>
      </c>
      <c r="AH709" s="18" t="n">
        <f aca="false">IFERROR(100*(P709+Q709)/F709,"")</f>
        <v>0.647110431878644</v>
      </c>
      <c r="AI709" s="18" t="n">
        <f aca="false">IFERROR(100*R709/K709,"")</f>
        <v>0.110588760766998</v>
      </c>
      <c r="AJ709" s="18" t="n">
        <f aca="false">IF(T709&gt;0,100*S709/T709,"")</f>
        <v>15.7258590273076</v>
      </c>
      <c r="AK709" s="18" t="n">
        <f aca="false">IFERROR(100*U709/G709,"")</f>
        <v>1.41567060766831</v>
      </c>
      <c r="AL709" s="18" t="n">
        <f aca="false">IFERROR(100*J709/H709,"")</f>
        <v>98.7613450626553</v>
      </c>
      <c r="AM709" s="18" t="n">
        <f aca="false">IFERROR(100*L709/J709,"")</f>
        <v>79.9549924566954</v>
      </c>
      <c r="AN709" s="18" t="n">
        <f aca="false">IFERROR(100*M709/J709,"")</f>
        <v>20.1070695144534</v>
      </c>
      <c r="AO709" s="18" t="n">
        <f aca="false">IFERROR(100*N709/J709,"")</f>
        <v>0</v>
      </c>
    </row>
    <row r="710" customFormat="false" ht="15" hidden="false" customHeight="false" outlineLevel="0" collapsed="false">
      <c r="A710" s="17" t="n">
        <v>59086</v>
      </c>
      <c r="B710" s="23" t="n">
        <v>45565</v>
      </c>
      <c r="C710" s="17" t="s">
        <v>141</v>
      </c>
      <c r="D710" s="17" t="s">
        <v>116</v>
      </c>
      <c r="E710" s="17" t="s">
        <v>118</v>
      </c>
      <c r="F710" s="17" t="n">
        <v>716744</v>
      </c>
      <c r="G710" s="17" t="n">
        <v>703460.5</v>
      </c>
      <c r="H710" s="17" t="n">
        <v>614764</v>
      </c>
      <c r="I710" s="17" t="n">
        <v>96571</v>
      </c>
      <c r="J710" s="17" t="n">
        <v>599117</v>
      </c>
      <c r="K710" s="17" t="n">
        <v>591958</v>
      </c>
      <c r="L710" s="17" t="n">
        <v>474334</v>
      </c>
      <c r="M710" s="17" t="n">
        <v>125183</v>
      </c>
      <c r="N710" s="17" t="n">
        <v>0</v>
      </c>
      <c r="O710" s="17" t="n">
        <v>3521</v>
      </c>
      <c r="P710" s="17" t="n">
        <v>2343</v>
      </c>
      <c r="Q710" s="17" t="n">
        <v>6307</v>
      </c>
      <c r="R710" s="17" t="n">
        <v>433.3225</v>
      </c>
      <c r="S710" s="17" t="n">
        <v>103485</v>
      </c>
      <c r="T710" s="17" t="n">
        <v>645008</v>
      </c>
      <c r="U710" s="17" t="n">
        <v>10159.746</v>
      </c>
      <c r="V710" s="17" t="n">
        <v>1.44425252021969</v>
      </c>
      <c r="W710" s="17" t="n">
        <v>11.01</v>
      </c>
      <c r="X710" s="17" t="n">
        <v>3.76669432270729</v>
      </c>
      <c r="Y710" s="17" t="n">
        <v>0.974100217486735</v>
      </c>
      <c r="Z710" s="17" t="n">
        <v>16.0439870513234</v>
      </c>
      <c r="AA710" s="17" t="n">
        <v>13.473569363678</v>
      </c>
      <c r="AB710" s="17" t="n">
        <v>2.74971579627934</v>
      </c>
      <c r="AC710" s="17" t="n">
        <v>3.43960151589706</v>
      </c>
      <c r="AD710" s="17" t="n">
        <v>1.23421416209291</v>
      </c>
      <c r="AE710" s="17" t="n">
        <v>-0.150153327897394</v>
      </c>
      <c r="AF710" s="17" t="n">
        <v>-0.425657113604024</v>
      </c>
      <c r="AG710" s="18" t="n">
        <f aca="false">IFERROR(100*O710/F710,"")</f>
        <v>0.49124931635284</v>
      </c>
      <c r="AH710" s="18" t="n">
        <f aca="false">IFERROR(100*(P710+Q710)/F710,"")</f>
        <v>1.206846517027</v>
      </c>
      <c r="AI710" s="18" t="n">
        <f aca="false">IFERROR(100*R710/K710,"")</f>
        <v>0.0732015615972755</v>
      </c>
      <c r="AJ710" s="18" t="n">
        <f aca="false">IF(T710&gt;0,100*S710/T710,"")</f>
        <v>16.0439870513234</v>
      </c>
      <c r="AK710" s="18" t="n">
        <f aca="false">IFERROR(100*U710/G710,"")</f>
        <v>1.44425252021969</v>
      </c>
      <c r="AL710" s="18" t="n">
        <f aca="false">IFERROR(100*J710/H710,"")</f>
        <v>97.4547956614245</v>
      </c>
      <c r="AM710" s="18" t="n">
        <f aca="false">IFERROR(100*L710/J710,"")</f>
        <v>79.1721817274422</v>
      </c>
      <c r="AN710" s="18" t="n">
        <f aca="false">IFERROR(100*M710/J710,"")</f>
        <v>20.8945831949352</v>
      </c>
      <c r="AO710" s="18" t="n">
        <f aca="false">IFERROR(100*N710/J710,"")</f>
        <v>0</v>
      </c>
    </row>
    <row r="711" customFormat="false" ht="15" hidden="false" customHeight="false" outlineLevel="0" collapsed="false">
      <c r="A711" s="17" t="n">
        <v>59086</v>
      </c>
      <c r="B711" s="23" t="n">
        <v>45657</v>
      </c>
      <c r="C711" s="17" t="s">
        <v>141</v>
      </c>
      <c r="D711" s="17" t="s">
        <v>116</v>
      </c>
      <c r="E711" s="17" t="s">
        <v>118</v>
      </c>
      <c r="F711" s="17" t="n">
        <v>708844</v>
      </c>
      <c r="G711" s="17" t="n">
        <v>704537.2</v>
      </c>
      <c r="H711" s="17" t="n">
        <v>603651</v>
      </c>
      <c r="I711" s="17" t="n">
        <v>99876</v>
      </c>
      <c r="J711" s="17" t="n">
        <v>599071</v>
      </c>
      <c r="K711" s="17" t="n">
        <v>593380.6</v>
      </c>
      <c r="L711" s="17" t="n">
        <v>477361</v>
      </c>
      <c r="M711" s="17" t="n">
        <v>122091</v>
      </c>
      <c r="N711" s="17" t="n">
        <v>0</v>
      </c>
      <c r="O711" s="17" t="n">
        <v>4078</v>
      </c>
      <c r="P711" s="17" t="n">
        <v>513</v>
      </c>
      <c r="Q711" s="17" t="n">
        <v>486</v>
      </c>
      <c r="R711" s="17" t="n">
        <v>405</v>
      </c>
      <c r="S711" s="17" t="n">
        <v>106816</v>
      </c>
      <c r="T711" s="17" t="n">
        <v>649150</v>
      </c>
      <c r="U711" s="17" t="n">
        <v>10672</v>
      </c>
      <c r="V711" s="17" t="n">
        <v>1.51475323091527</v>
      </c>
      <c r="W711" s="17" t="n">
        <v>11.38</v>
      </c>
      <c r="X711" s="17" t="n">
        <v>3.84189620368562</v>
      </c>
      <c r="Y711" s="17" t="n">
        <v>0.978515067496173</v>
      </c>
      <c r="Z711" s="17" t="n">
        <v>16.4547485172918</v>
      </c>
      <c r="AA711" s="17" t="n">
        <v>14.0899831274582</v>
      </c>
      <c r="AB711" s="17" t="n">
        <v>2.26592684285092</v>
      </c>
      <c r="AC711" s="17" t="n">
        <v>1.78415481590974</v>
      </c>
      <c r="AD711" s="17" t="n">
        <v>0.477711512181633</v>
      </c>
      <c r="AE711" s="17" t="n">
        <v>0.0585737357163996</v>
      </c>
      <c r="AF711" s="17" t="n">
        <v>-0.0818534074763784</v>
      </c>
      <c r="AG711" s="18" t="n">
        <f aca="false">IFERROR(100*O711/F711,"")</f>
        <v>0.575302887518269</v>
      </c>
      <c r="AH711" s="18" t="n">
        <f aca="false">IFERROR(100*(P711+Q711)/F711,"")</f>
        <v>0.140933689217938</v>
      </c>
      <c r="AI711" s="18" t="n">
        <f aca="false">IFERROR(100*R711/K711,"")</f>
        <v>0.0682529897337392</v>
      </c>
      <c r="AJ711" s="18" t="n">
        <f aca="false">IF(T711&gt;0,100*S711/T711,"")</f>
        <v>16.4547485172918</v>
      </c>
      <c r="AK711" s="18" t="n">
        <f aca="false">IFERROR(100*U711/G711,"")</f>
        <v>1.51475323091527</v>
      </c>
      <c r="AL711" s="18" t="n">
        <f aca="false">IFERROR(100*J711/H711,"")</f>
        <v>99.2412834568319</v>
      </c>
      <c r="AM711" s="18" t="n">
        <f aca="false">IFERROR(100*L711/J711,"")</f>
        <v>79.6835433529582</v>
      </c>
      <c r="AN711" s="18" t="n">
        <f aca="false">IFERROR(100*M711/J711,"")</f>
        <v>20.3800551186754</v>
      </c>
      <c r="AO711" s="18" t="n">
        <f aca="false">IFERROR(100*N711/J711,"")</f>
        <v>0</v>
      </c>
    </row>
    <row r="712" customFormat="false" ht="15" hidden="false" customHeight="false" outlineLevel="0" collapsed="false">
      <c r="A712" s="17" t="n">
        <v>59086</v>
      </c>
      <c r="B712" s="23" t="n">
        <v>45747</v>
      </c>
      <c r="C712" s="17" t="s">
        <v>141</v>
      </c>
      <c r="D712" s="17" t="s">
        <v>116</v>
      </c>
      <c r="E712" s="17" t="s">
        <v>118</v>
      </c>
      <c r="F712" s="17" t="n">
        <v>699078</v>
      </c>
      <c r="G712" s="17" t="n">
        <v>703961</v>
      </c>
      <c r="H712" s="17" t="n">
        <v>590147</v>
      </c>
      <c r="I712" s="17" t="n">
        <v>102573</v>
      </c>
      <c r="J712" s="17" t="n">
        <v>604662</v>
      </c>
      <c r="K712" s="17" t="n">
        <v>601866.5</v>
      </c>
      <c r="L712" s="17" t="n">
        <v>482306</v>
      </c>
      <c r="M712" s="17" t="n">
        <v>122650</v>
      </c>
      <c r="N712" s="17" t="n">
        <v>0</v>
      </c>
      <c r="O712" s="17" t="n">
        <v>4011</v>
      </c>
      <c r="P712" s="17" t="n">
        <v>5858</v>
      </c>
      <c r="Q712" s="17" t="n">
        <v>100</v>
      </c>
      <c r="R712" s="17" t="n">
        <v>-4</v>
      </c>
      <c r="S712" s="17" t="n">
        <v>109603</v>
      </c>
      <c r="T712" s="17" t="n">
        <v>649331</v>
      </c>
      <c r="U712" s="17" t="n">
        <v>9660</v>
      </c>
      <c r="V712" s="17" t="n">
        <v>1.37223510961545</v>
      </c>
      <c r="W712" s="17" t="n">
        <v>9.54</v>
      </c>
      <c r="X712" s="17" t="n">
        <v>3.7878842642324</v>
      </c>
      <c r="Y712" s="17" t="n">
        <v>0.972940254224674</v>
      </c>
      <c r="Z712" s="17" t="n">
        <v>16.87937276982</v>
      </c>
      <c r="AA712" s="17" t="n">
        <v>14.6726116399028</v>
      </c>
      <c r="AB712" s="17" t="n">
        <v>0.257859109683345</v>
      </c>
      <c r="AC712" s="17" t="n">
        <v>3.25900221661333</v>
      </c>
      <c r="AD712" s="17" t="n">
        <v>-0.772770759807173</v>
      </c>
      <c r="AE712" s="17" t="n">
        <v>-0.136375969930416</v>
      </c>
      <c r="AF712" s="17" t="n">
        <v>-0.0691710830389605</v>
      </c>
      <c r="AG712" s="18" t="n">
        <f aca="false">IFERROR(100*O712/F712,"")</f>
        <v>0.573755718246033</v>
      </c>
      <c r="AH712" s="18" t="n">
        <f aca="false">IFERROR(100*(P712+Q712)/F712,"")</f>
        <v>0.852265412443247</v>
      </c>
      <c r="AI712" s="18" t="n">
        <f aca="false">IFERROR(100*R712/K712,"")</f>
        <v>-0.000664599209293091</v>
      </c>
      <c r="AJ712" s="18" t="n">
        <f aca="false">IF(T712&gt;0,100*S712/T712,"")</f>
        <v>16.87937276982</v>
      </c>
      <c r="AK712" s="18" t="n">
        <f aca="false">IFERROR(100*U712/G712,"")</f>
        <v>1.37223510961545</v>
      </c>
      <c r="AL712" s="18" t="n">
        <f aca="false">IFERROR(100*J712/H712,"")</f>
        <v>102.459556686724</v>
      </c>
      <c r="AM712" s="18" t="n">
        <f aca="false">IFERROR(100*L712/J712,"")</f>
        <v>79.7645626812996</v>
      </c>
      <c r="AN712" s="18" t="n">
        <f aca="false">IFERROR(100*M712/J712,"")</f>
        <v>20.2840595241639</v>
      </c>
      <c r="AO712" s="18" t="n">
        <f aca="false">IFERROR(100*N712/J712,"")</f>
        <v>0</v>
      </c>
    </row>
    <row r="713" customFormat="false" ht="15" hidden="false" customHeight="false" outlineLevel="0" collapsed="false">
      <c r="A713" s="17" t="n">
        <v>59086</v>
      </c>
      <c r="B713" s="23" t="n">
        <v>45838</v>
      </c>
      <c r="C713" s="17" t="s">
        <v>141</v>
      </c>
      <c r="D713" s="17" t="s">
        <v>116</v>
      </c>
      <c r="E713" s="17" t="s">
        <v>118</v>
      </c>
      <c r="F713" s="17" t="n">
        <v>724753</v>
      </c>
      <c r="G713" s="17" t="n">
        <v>710891.666666667</v>
      </c>
      <c r="H713" s="17" t="n">
        <v>612986</v>
      </c>
      <c r="I713" s="17" t="n">
        <v>105815</v>
      </c>
      <c r="J713" s="17" t="n">
        <v>619103</v>
      </c>
      <c r="K713" s="17" t="n">
        <v>607612</v>
      </c>
      <c r="L713" s="17" t="n">
        <v>495338</v>
      </c>
      <c r="M713" s="17" t="n">
        <v>124137</v>
      </c>
      <c r="N713" s="17" t="n">
        <v>0</v>
      </c>
      <c r="O713" s="17" t="n">
        <v>5998</v>
      </c>
      <c r="P713" s="17" t="n">
        <v>2944</v>
      </c>
      <c r="Q713" s="17" t="n">
        <v>7830</v>
      </c>
      <c r="R713" s="17" t="n">
        <v>-4</v>
      </c>
      <c r="S713" s="17" t="n">
        <v>113026</v>
      </c>
      <c r="T713" s="17" t="n">
        <v>673552</v>
      </c>
      <c r="U713" s="17" t="n">
        <v>11068</v>
      </c>
      <c r="V713" s="17" t="n">
        <v>1.55691795515022</v>
      </c>
      <c r="W713" s="17" t="n">
        <v>10.77</v>
      </c>
      <c r="X713" s="17" t="n">
        <v>3.90746208360731</v>
      </c>
      <c r="Y713" s="17" t="n">
        <v>0.973020644383891</v>
      </c>
      <c r="Z713" s="17" t="n">
        <v>16.7805900658004</v>
      </c>
      <c r="AA713" s="17" t="n">
        <v>14.6001465326808</v>
      </c>
      <c r="AB713" s="17" t="n">
        <v>2.55745174619346</v>
      </c>
      <c r="AC713" s="17" t="n">
        <v>4.12670060733273</v>
      </c>
      <c r="AD713" s="17" t="n">
        <v>1.82085764022697</v>
      </c>
      <c r="AE713" s="17" t="n">
        <v>0.141247347481911</v>
      </c>
      <c r="AF713" s="17" t="n">
        <v>0.255197436487531</v>
      </c>
      <c r="AG713" s="18" t="n">
        <f aca="false">IFERROR(100*O713/F713,"")</f>
        <v>0.827592296961862</v>
      </c>
      <c r="AH713" s="18" t="n">
        <f aca="false">IFERROR(100*(P713+Q713)/F713,"")</f>
        <v>1.48657542638664</v>
      </c>
      <c r="AI713" s="18" t="n">
        <f aca="false">IFERROR(100*R713/K713,"")</f>
        <v>-0.000658314845658085</v>
      </c>
      <c r="AJ713" s="18" t="n">
        <f aca="false">IF(T713&gt;0,100*S713/T713,"")</f>
        <v>16.7805900658004</v>
      </c>
      <c r="AK713" s="18" t="n">
        <f aca="false">IFERROR(100*U713/G713,"")</f>
        <v>1.55691795515022</v>
      </c>
      <c r="AL713" s="18" t="n">
        <f aca="false">IFERROR(100*J713/H713,"")</f>
        <v>100.997902072804</v>
      </c>
      <c r="AM713" s="18" t="n">
        <f aca="false">IFERROR(100*L713/J713,"")</f>
        <v>80.0089807350312</v>
      </c>
      <c r="AN713" s="18" t="n">
        <f aca="false">IFERROR(100*M713/J713,"")</f>
        <v>20.0511061971917</v>
      </c>
      <c r="AO713" s="18" t="n">
        <f aca="false">IFERROR(100*N713/J713,"")</f>
        <v>0</v>
      </c>
    </row>
    <row r="714" customFormat="false" ht="15" hidden="false" customHeight="false" outlineLevel="0" collapsed="false">
      <c r="A714" s="17" t="n">
        <v>59176</v>
      </c>
      <c r="B714" s="23" t="n">
        <v>44651</v>
      </c>
      <c r="C714" s="17" t="s">
        <v>151</v>
      </c>
      <c r="D714" s="17" t="s">
        <v>116</v>
      </c>
      <c r="E714" s="17" t="s">
        <v>111</v>
      </c>
      <c r="F714" s="17" t="n">
        <v>146747</v>
      </c>
      <c r="G714" s="17" t="n">
        <v>137681</v>
      </c>
      <c r="H714" s="17" t="n">
        <v>124821</v>
      </c>
      <c r="I714" s="17" t="n">
        <v>21476</v>
      </c>
      <c r="J714" s="17" t="n">
        <v>112552</v>
      </c>
      <c r="K714" s="17" t="n">
        <v>102184.5</v>
      </c>
      <c r="L714" s="17" t="n">
        <v>97793</v>
      </c>
      <c r="M714" s="17" t="n">
        <v>14832</v>
      </c>
      <c r="N714" s="17" t="n">
        <v>14</v>
      </c>
      <c r="O714" s="17" t="n">
        <v>42</v>
      </c>
      <c r="P714" s="17" t="n">
        <v>0</v>
      </c>
      <c r="Q714" s="17" t="n">
        <v>0</v>
      </c>
      <c r="R714" s="17" t="n">
        <v>0</v>
      </c>
      <c r="S714" s="17" t="n">
        <v>22432</v>
      </c>
      <c r="T714" s="17" t="n">
        <v>113037</v>
      </c>
      <c r="U714" s="17" t="n">
        <v>44</v>
      </c>
      <c r="V714" s="17" t="n">
        <v>0.0319579317407631</v>
      </c>
      <c r="W714" s="17" t="n">
        <v>0.23</v>
      </c>
      <c r="X714" s="17" t="n">
        <v>2.98511873974789</v>
      </c>
      <c r="Y714" s="17" t="n">
        <v>0.849385173075556</v>
      </c>
      <c r="Z714" s="17" t="n">
        <v>19.8448295690792</v>
      </c>
      <c r="AA714" s="17" t="n">
        <v>14.6347114421419</v>
      </c>
      <c r="AB714" s="17"/>
      <c r="AC714" s="17"/>
      <c r="AD714" s="17"/>
      <c r="AE714" s="17"/>
      <c r="AF714" s="17"/>
      <c r="AG714" s="18" t="n">
        <f aca="false">IFERROR(100*O714/F714,"")</f>
        <v>0.0286206873053623</v>
      </c>
      <c r="AH714" s="18" t="n">
        <f aca="false">IFERROR(100*(P714+Q714)/F714,"")</f>
        <v>0</v>
      </c>
      <c r="AI714" s="18" t="n">
        <f aca="false">IFERROR(100*R714/K714,"")</f>
        <v>0</v>
      </c>
      <c r="AJ714" s="18" t="n">
        <f aca="false">IF(T714&gt;0,100*S714/T714,"")</f>
        <v>19.8448295690792</v>
      </c>
      <c r="AK714" s="18" t="n">
        <f aca="false">IFERROR(100*U714/G714,"")</f>
        <v>0.0319579317407631</v>
      </c>
      <c r="AL714" s="18" t="n">
        <f aca="false">IFERROR(100*J714/H714,"")</f>
        <v>90.1707244774517</v>
      </c>
      <c r="AM714" s="18" t="n">
        <f aca="false">IFERROR(100*L714/J714,"")</f>
        <v>86.8869500319852</v>
      </c>
      <c r="AN714" s="18" t="n">
        <f aca="false">IFERROR(100*M714/J714,"")</f>
        <v>13.1779088776743</v>
      </c>
      <c r="AO714" s="18" t="n">
        <f aca="false">IFERROR(100*N714/J714,"")</f>
        <v>0.0124386950031985</v>
      </c>
    </row>
    <row r="715" customFormat="false" ht="15" hidden="false" customHeight="false" outlineLevel="0" collapsed="false">
      <c r="A715" s="17" t="n">
        <v>59176</v>
      </c>
      <c r="B715" s="23" t="n">
        <v>44742</v>
      </c>
      <c r="C715" s="17" t="s">
        <v>151</v>
      </c>
      <c r="D715" s="17" t="s">
        <v>116</v>
      </c>
      <c r="E715" s="17" t="s">
        <v>111</v>
      </c>
      <c r="F715" s="17" t="n">
        <v>167702</v>
      </c>
      <c r="G715" s="17" t="n">
        <v>147688</v>
      </c>
      <c r="H715" s="17" t="n">
        <v>142565</v>
      </c>
      <c r="I715" s="17" t="n">
        <v>21565</v>
      </c>
      <c r="J715" s="17" t="n">
        <v>124324</v>
      </c>
      <c r="K715" s="17" t="n">
        <v>109564.333333333</v>
      </c>
      <c r="L715" s="17" t="n">
        <v>106199</v>
      </c>
      <c r="M715" s="17" t="n">
        <v>18121</v>
      </c>
      <c r="N715" s="17" t="n">
        <v>13</v>
      </c>
      <c r="O715" s="17" t="n">
        <v>39</v>
      </c>
      <c r="P715" s="17" t="n">
        <v>0</v>
      </c>
      <c r="Q715" s="17" t="n">
        <v>0</v>
      </c>
      <c r="R715" s="17" t="n">
        <v>0</v>
      </c>
      <c r="S715" s="17" t="n">
        <v>23946</v>
      </c>
      <c r="T715" s="17" t="n">
        <v>126784</v>
      </c>
      <c r="U715" s="17" t="n">
        <v>246</v>
      </c>
      <c r="V715" s="17" t="n">
        <v>0.166567358214615</v>
      </c>
      <c r="W715" s="17" t="n">
        <v>1.23</v>
      </c>
      <c r="X715" s="17" t="n">
        <v>3.10754446567691</v>
      </c>
      <c r="Y715" s="17" t="n">
        <v>0.87191531803996</v>
      </c>
      <c r="Z715" s="17" t="n">
        <v>18.8872412922766</v>
      </c>
      <c r="AA715" s="17" t="n">
        <v>12.8591191518288</v>
      </c>
      <c r="AB715" s="17"/>
      <c r="AC715" s="17"/>
      <c r="AD715" s="17"/>
      <c r="AE715" s="17"/>
      <c r="AF715" s="17"/>
      <c r="AG715" s="18" t="n">
        <f aca="false">IFERROR(100*O715/F715,"")</f>
        <v>0.0232555366065998</v>
      </c>
      <c r="AH715" s="18" t="n">
        <f aca="false">IFERROR(100*(P715+Q715)/F715,"")</f>
        <v>0</v>
      </c>
      <c r="AI715" s="18" t="n">
        <f aca="false">IFERROR(100*R715/K715,"")</f>
        <v>0</v>
      </c>
      <c r="AJ715" s="18" t="n">
        <f aca="false">IF(T715&gt;0,100*S715/T715,"")</f>
        <v>18.8872412922766</v>
      </c>
      <c r="AK715" s="18" t="n">
        <f aca="false">IFERROR(100*U715/G715,"")</f>
        <v>0.166567358214615</v>
      </c>
      <c r="AL715" s="18" t="n">
        <f aca="false">IFERROR(100*J715/H715,"")</f>
        <v>87.2051345000526</v>
      </c>
      <c r="AM715" s="18" t="n">
        <f aca="false">IFERROR(100*L715/J715,"")</f>
        <v>85.4211576204112</v>
      </c>
      <c r="AN715" s="18" t="n">
        <f aca="false">IFERROR(100*M715/J715,"")</f>
        <v>14.5756249798913</v>
      </c>
      <c r="AO715" s="18" t="n">
        <f aca="false">IFERROR(100*N715/J715,"")</f>
        <v>0.0104565490170844</v>
      </c>
    </row>
    <row r="716" customFormat="false" ht="15" hidden="false" customHeight="false" outlineLevel="0" collapsed="false">
      <c r="A716" s="17" t="n">
        <v>59176</v>
      </c>
      <c r="B716" s="23" t="n">
        <v>44834</v>
      </c>
      <c r="C716" s="17" t="s">
        <v>151</v>
      </c>
      <c r="D716" s="17" t="s">
        <v>116</v>
      </c>
      <c r="E716" s="17" t="s">
        <v>111</v>
      </c>
      <c r="F716" s="17" t="n">
        <v>182612</v>
      </c>
      <c r="G716" s="17" t="n">
        <v>156419</v>
      </c>
      <c r="H716" s="17" t="n">
        <v>160518</v>
      </c>
      <c r="I716" s="17" t="n">
        <v>21662</v>
      </c>
      <c r="J716" s="17" t="n">
        <v>124839</v>
      </c>
      <c r="K716" s="17" t="n">
        <v>113383</v>
      </c>
      <c r="L716" s="17" t="n">
        <v>107791</v>
      </c>
      <c r="M716" s="17" t="n">
        <v>17036</v>
      </c>
      <c r="N716" s="17" t="n">
        <v>12</v>
      </c>
      <c r="O716" s="17" t="n">
        <v>0</v>
      </c>
      <c r="P716" s="17" t="n">
        <v>0</v>
      </c>
      <c r="Q716" s="17" t="n">
        <v>0</v>
      </c>
      <c r="R716" s="17" t="n">
        <v>0</v>
      </c>
      <c r="S716" s="17" t="n">
        <v>24194</v>
      </c>
      <c r="T716" s="17" t="n">
        <v>129880</v>
      </c>
      <c r="U716" s="17" t="n">
        <v>350.6579</v>
      </c>
      <c r="V716" s="17" t="n">
        <v>0.224178584443066</v>
      </c>
      <c r="W716" s="17" t="n">
        <v>1.72</v>
      </c>
      <c r="X716" s="17" t="n">
        <v>3.09322288309581</v>
      </c>
      <c r="Y716" s="17" t="n">
        <v>0.944416408333934</v>
      </c>
      <c r="Z716" s="17" t="n">
        <v>18.6279642747151</v>
      </c>
      <c r="AA716" s="17" t="n">
        <v>11.8623091582152</v>
      </c>
      <c r="AB716" s="17"/>
      <c r="AC716" s="17"/>
      <c r="AD716" s="17"/>
      <c r="AE716" s="17"/>
      <c r="AF716" s="17"/>
      <c r="AG716" s="18" t="n">
        <f aca="false">IFERROR(100*O716/F716,"")</f>
        <v>0</v>
      </c>
      <c r="AH716" s="18" t="n">
        <f aca="false">IFERROR(100*(P716+Q716)/F716,"")</f>
        <v>0</v>
      </c>
      <c r="AI716" s="18" t="n">
        <f aca="false">IFERROR(100*R716/K716,"")</f>
        <v>0</v>
      </c>
      <c r="AJ716" s="18" t="n">
        <f aca="false">IF(T716&gt;0,100*S716/T716,"")</f>
        <v>18.6279642747151</v>
      </c>
      <c r="AK716" s="18" t="n">
        <f aca="false">IFERROR(100*U716/G716,"")</f>
        <v>0.224178584443066</v>
      </c>
      <c r="AL716" s="18" t="n">
        <f aca="false">IFERROR(100*J716/H716,"")</f>
        <v>77.7725862520091</v>
      </c>
      <c r="AM716" s="18" t="n">
        <f aca="false">IFERROR(100*L716/J716,"")</f>
        <v>86.3440110862791</v>
      </c>
      <c r="AN716" s="18" t="n">
        <f aca="false">IFERROR(100*M716/J716,"")</f>
        <v>13.6463765329745</v>
      </c>
      <c r="AO716" s="18" t="n">
        <f aca="false">IFERROR(100*N716/J716,"")</f>
        <v>0.00961238074640137</v>
      </c>
    </row>
    <row r="717" customFormat="false" ht="15" hidden="false" customHeight="false" outlineLevel="0" collapsed="false">
      <c r="A717" s="17" t="n">
        <v>59176</v>
      </c>
      <c r="B717" s="23" t="n">
        <v>44926</v>
      </c>
      <c r="C717" s="17" t="s">
        <v>151</v>
      </c>
      <c r="D717" s="17" t="s">
        <v>116</v>
      </c>
      <c r="E717" s="17" t="s">
        <v>111</v>
      </c>
      <c r="F717" s="17" t="n">
        <v>176672</v>
      </c>
      <c r="G717" s="17" t="n">
        <v>160469.6</v>
      </c>
      <c r="H717" s="17" t="n">
        <v>151831</v>
      </c>
      <c r="I717" s="17" t="n">
        <v>23234</v>
      </c>
      <c r="J717" s="17" t="n">
        <v>134845</v>
      </c>
      <c r="K717" s="17" t="n">
        <v>117675.4</v>
      </c>
      <c r="L717" s="17" t="n">
        <v>116593</v>
      </c>
      <c r="M717" s="17" t="n">
        <v>18249</v>
      </c>
      <c r="N717" s="17" t="n">
        <v>9</v>
      </c>
      <c r="O717" s="17" t="n">
        <v>0</v>
      </c>
      <c r="P717" s="17" t="n">
        <v>0</v>
      </c>
      <c r="Q717" s="17" t="n">
        <v>0</v>
      </c>
      <c r="R717" s="17" t="n">
        <v>0</v>
      </c>
      <c r="S717" s="17" t="n">
        <v>25118</v>
      </c>
      <c r="T717" s="17" t="n">
        <v>137160</v>
      </c>
      <c r="U717" s="17" t="n">
        <v>1407</v>
      </c>
      <c r="V717" s="17" t="n">
        <v>0.876801587341154</v>
      </c>
      <c r="W717" s="17" t="n">
        <v>6.71</v>
      </c>
      <c r="X717" s="17" t="n">
        <v>3.22916520994024</v>
      </c>
      <c r="Y717" s="17" t="n">
        <v>0.947013237420742</v>
      </c>
      <c r="Z717" s="17" t="n">
        <v>18.312919218431</v>
      </c>
      <c r="AA717" s="17" t="n">
        <v>13.1509237456982</v>
      </c>
      <c r="AB717" s="17"/>
      <c r="AC717" s="17"/>
      <c r="AD717" s="17"/>
      <c r="AE717" s="17"/>
      <c r="AF717" s="17"/>
      <c r="AG717" s="18" t="n">
        <f aca="false">IFERROR(100*O717/F717,"")</f>
        <v>0</v>
      </c>
      <c r="AH717" s="18" t="n">
        <f aca="false">IFERROR(100*(P717+Q717)/F717,"")</f>
        <v>0</v>
      </c>
      <c r="AI717" s="18" t="n">
        <f aca="false">IFERROR(100*R717/K717,"")</f>
        <v>0</v>
      </c>
      <c r="AJ717" s="18" t="n">
        <f aca="false">IF(T717&gt;0,100*S717/T717,"")</f>
        <v>18.312919218431</v>
      </c>
      <c r="AK717" s="18" t="n">
        <f aca="false">IFERROR(100*U717/G717,"")</f>
        <v>0.876801587341154</v>
      </c>
      <c r="AL717" s="18" t="n">
        <f aca="false">IFERROR(100*J717/H717,"")</f>
        <v>88.8125613346418</v>
      </c>
      <c r="AM717" s="18" t="n">
        <f aca="false">IFERROR(100*L717/J717,"")</f>
        <v>86.4644591938893</v>
      </c>
      <c r="AN717" s="18" t="n">
        <f aca="false">IFERROR(100*M717/J717,"")</f>
        <v>13.5333160295154</v>
      </c>
      <c r="AO717" s="18" t="n">
        <f aca="false">IFERROR(100*N717/J717,"")</f>
        <v>0.00667432978605065</v>
      </c>
    </row>
    <row r="718" customFormat="false" ht="15" hidden="false" customHeight="false" outlineLevel="0" collapsed="false">
      <c r="A718" s="17" t="n">
        <v>59176</v>
      </c>
      <c r="B718" s="23" t="n">
        <v>45016</v>
      </c>
      <c r="C718" s="17" t="s">
        <v>151</v>
      </c>
      <c r="D718" s="17" t="s">
        <v>116</v>
      </c>
      <c r="E718" s="17" t="s">
        <v>111</v>
      </c>
      <c r="F718" s="17" t="n">
        <v>191655</v>
      </c>
      <c r="G718" s="17" t="n">
        <v>184163.5</v>
      </c>
      <c r="H718" s="17" t="n">
        <v>161440</v>
      </c>
      <c r="I718" s="17" t="n">
        <v>23472</v>
      </c>
      <c r="J718" s="17" t="n">
        <v>138506</v>
      </c>
      <c r="K718" s="17" t="n">
        <v>136675.5</v>
      </c>
      <c r="L718" s="17" t="n">
        <v>119629</v>
      </c>
      <c r="M718" s="17" t="n">
        <v>18881</v>
      </c>
      <c r="N718" s="17" t="n">
        <v>8</v>
      </c>
      <c r="O718" s="17" t="n">
        <v>0</v>
      </c>
      <c r="P718" s="17" t="n">
        <v>0</v>
      </c>
      <c r="Q718" s="17" t="n">
        <v>0</v>
      </c>
      <c r="R718" s="17" t="n">
        <v>0</v>
      </c>
      <c r="S718" s="17" t="n">
        <v>25431</v>
      </c>
      <c r="T718" s="17" t="n">
        <v>139439</v>
      </c>
      <c r="U718" s="17" t="n">
        <v>388</v>
      </c>
      <c r="V718" s="17" t="n">
        <v>0.210682355624214</v>
      </c>
      <c r="W718" s="17" t="n">
        <v>1.66</v>
      </c>
      <c r="X718" s="17" t="n">
        <v>2.88197979481557</v>
      </c>
      <c r="Y718" s="17" t="n">
        <v>0.988404834447605</v>
      </c>
      <c r="Z718" s="17" t="n">
        <v>18.2380826024283</v>
      </c>
      <c r="AA718" s="17" t="n">
        <v>12.2470063395163</v>
      </c>
      <c r="AB718" s="17" t="n">
        <v>30.6023291787907</v>
      </c>
      <c r="AC718" s="17" t="n">
        <v>23.059563579501</v>
      </c>
      <c r="AD718" s="17" t="n">
        <v>29.3372108859887</v>
      </c>
      <c r="AE718" s="17" t="n">
        <v>0.178724423883451</v>
      </c>
      <c r="AF718" s="17" t="n">
        <v>-0.0286206873053623</v>
      </c>
      <c r="AG718" s="18" t="n">
        <f aca="false">IFERROR(100*O718/F718,"")</f>
        <v>0</v>
      </c>
      <c r="AH718" s="18" t="n">
        <f aca="false">IFERROR(100*(P718+Q718)/F718,"")</f>
        <v>0</v>
      </c>
      <c r="AI718" s="18" t="n">
        <f aca="false">IFERROR(100*R718/K718,"")</f>
        <v>0</v>
      </c>
      <c r="AJ718" s="18" t="n">
        <f aca="false">IF(T718&gt;0,100*S718/T718,"")</f>
        <v>18.2380826024283</v>
      </c>
      <c r="AK718" s="18" t="n">
        <f aca="false">IFERROR(100*U718/G718,"")</f>
        <v>0.210682355624214</v>
      </c>
      <c r="AL718" s="18" t="n">
        <f aca="false">IFERROR(100*J718/H718,"")</f>
        <v>85.7941030723489</v>
      </c>
      <c r="AM718" s="18" t="n">
        <f aca="false">IFERROR(100*L718/J718,"")</f>
        <v>86.370987538446</v>
      </c>
      <c r="AN718" s="18" t="n">
        <f aca="false">IFERROR(100*M718/J718,"")</f>
        <v>13.6319004230864</v>
      </c>
      <c r="AO718" s="18" t="n">
        <f aca="false">IFERROR(100*N718/J718,"")</f>
        <v>0.00577592306470478</v>
      </c>
    </row>
    <row r="719" customFormat="false" ht="15" hidden="false" customHeight="false" outlineLevel="0" collapsed="false">
      <c r="A719" s="17" t="n">
        <v>59176</v>
      </c>
      <c r="B719" s="23" t="n">
        <v>45107</v>
      </c>
      <c r="C719" s="17" t="s">
        <v>151</v>
      </c>
      <c r="D719" s="17" t="s">
        <v>116</v>
      </c>
      <c r="E719" s="17" t="s">
        <v>111</v>
      </c>
      <c r="F719" s="17" t="n">
        <v>202708</v>
      </c>
      <c r="G719" s="17" t="n">
        <v>190345</v>
      </c>
      <c r="H719" s="17" t="n">
        <v>173553</v>
      </c>
      <c r="I719" s="17" t="n">
        <v>23273</v>
      </c>
      <c r="J719" s="17" t="n">
        <v>137040</v>
      </c>
      <c r="K719" s="17" t="n">
        <v>136797</v>
      </c>
      <c r="L719" s="17" t="n">
        <v>117163</v>
      </c>
      <c r="M719" s="17" t="n">
        <v>19871</v>
      </c>
      <c r="N719" s="17" t="n">
        <v>6</v>
      </c>
      <c r="O719" s="17" t="n">
        <v>0</v>
      </c>
      <c r="P719" s="17" t="n">
        <v>0</v>
      </c>
      <c r="Q719" s="17" t="n">
        <v>0</v>
      </c>
      <c r="R719" s="17" t="n">
        <v>68</v>
      </c>
      <c r="S719" s="17" t="n">
        <v>25294</v>
      </c>
      <c r="T719" s="17" t="n">
        <v>136832</v>
      </c>
      <c r="U719" s="17" t="n">
        <v>-216</v>
      </c>
      <c r="V719" s="17" t="n">
        <v>-0.113478158081379</v>
      </c>
      <c r="W719" s="17" t="n">
        <v>-0.93</v>
      </c>
      <c r="X719" s="17" t="n">
        <v>2.54666176438783</v>
      </c>
      <c r="Y719" s="17" t="n">
        <v>1.04495037945126</v>
      </c>
      <c r="Z719" s="17" t="n">
        <v>18.4854420018709</v>
      </c>
      <c r="AA719" s="17" t="n">
        <v>11.4810466286481</v>
      </c>
      <c r="AB719" s="17" t="n">
        <v>20.8739311397598</v>
      </c>
      <c r="AC719" s="17" t="n">
        <v>10.2281136385573</v>
      </c>
      <c r="AD719" s="17" t="n">
        <v>21.7360502227054</v>
      </c>
      <c r="AE719" s="17" t="n">
        <v>-0.280045516295993</v>
      </c>
      <c r="AF719" s="17" t="n">
        <v>-0.0232555366065998</v>
      </c>
      <c r="AG719" s="18" t="n">
        <f aca="false">IFERROR(100*O719/F719,"")</f>
        <v>0</v>
      </c>
      <c r="AH719" s="18" t="n">
        <f aca="false">IFERROR(100*(P719+Q719)/F719,"")</f>
        <v>0</v>
      </c>
      <c r="AI719" s="18" t="n">
        <f aca="false">IFERROR(100*R719/K719,"")</f>
        <v>0.0497086924420857</v>
      </c>
      <c r="AJ719" s="18" t="n">
        <f aca="false">IF(T719&gt;0,100*S719/T719,"")</f>
        <v>18.4854420018709</v>
      </c>
      <c r="AK719" s="18" t="n">
        <f aca="false">IFERROR(100*U719/G719,"")</f>
        <v>-0.113478158081379</v>
      </c>
      <c r="AL719" s="18" t="n">
        <f aca="false">IFERROR(100*J719/H719,"")</f>
        <v>78.9614699832328</v>
      </c>
      <c r="AM719" s="18" t="n">
        <f aca="false">IFERROR(100*L719/J719,"")</f>
        <v>85.4954757734968</v>
      </c>
      <c r="AN719" s="18" t="n">
        <f aca="false">IFERROR(100*M719/J719,"")</f>
        <v>14.5001459427904</v>
      </c>
      <c r="AO719" s="18" t="n">
        <f aca="false">IFERROR(100*N719/J719,"")</f>
        <v>0.00437828371278459</v>
      </c>
    </row>
    <row r="720" customFormat="false" ht="15" hidden="false" customHeight="false" outlineLevel="0" collapsed="false">
      <c r="A720" s="17" t="n">
        <v>59176</v>
      </c>
      <c r="B720" s="23" t="n">
        <v>45199</v>
      </c>
      <c r="C720" s="17" t="s">
        <v>151</v>
      </c>
      <c r="D720" s="17" t="s">
        <v>116</v>
      </c>
      <c r="E720" s="17" t="s">
        <v>111</v>
      </c>
      <c r="F720" s="17" t="n">
        <v>219071</v>
      </c>
      <c r="G720" s="17" t="n">
        <v>197526.5</v>
      </c>
      <c r="H720" s="17" t="n">
        <v>188051</v>
      </c>
      <c r="I720" s="17" t="n">
        <v>23030</v>
      </c>
      <c r="J720" s="17" t="n">
        <v>145767</v>
      </c>
      <c r="K720" s="17" t="n">
        <v>139039.5</v>
      </c>
      <c r="L720" s="17" t="n">
        <v>124886</v>
      </c>
      <c r="M720" s="17" t="n">
        <v>20876</v>
      </c>
      <c r="N720" s="17" t="n">
        <v>5</v>
      </c>
      <c r="O720" s="17" t="n">
        <v>0</v>
      </c>
      <c r="P720" s="17" t="n">
        <v>0</v>
      </c>
      <c r="Q720" s="17" t="n">
        <v>0</v>
      </c>
      <c r="R720" s="17" t="n">
        <v>45.3322</v>
      </c>
      <c r="S720" s="17" t="n">
        <v>25200</v>
      </c>
      <c r="T720" s="17" t="n">
        <v>145510</v>
      </c>
      <c r="U720" s="17" t="n">
        <v>-442.6556</v>
      </c>
      <c r="V720" s="17" t="n">
        <v>-0.224099348694985</v>
      </c>
      <c r="W720" s="17" t="n">
        <v>-1.9</v>
      </c>
      <c r="X720" s="17" t="n">
        <v>2.37742627283054</v>
      </c>
      <c r="Y720" s="17" t="n">
        <v>1.05648054772342</v>
      </c>
      <c r="Z720" s="17" t="n">
        <v>17.3183973610061</v>
      </c>
      <c r="AA720" s="17" t="n">
        <v>10.5125735492146</v>
      </c>
      <c r="AB720" s="17" t="n">
        <v>19.965281580619</v>
      </c>
      <c r="AC720" s="17" t="n">
        <v>16.763992021724</v>
      </c>
      <c r="AD720" s="17" t="n">
        <v>17.152593478613</v>
      </c>
      <c r="AE720" s="17" t="n">
        <v>-0.448277933138052</v>
      </c>
      <c r="AF720" s="17" t="n">
        <v>0</v>
      </c>
      <c r="AG720" s="18" t="n">
        <f aca="false">IFERROR(100*O720/F720,"")</f>
        <v>0</v>
      </c>
      <c r="AH720" s="18" t="n">
        <f aca="false">IFERROR(100*(P720+Q720)/F720,"")</f>
        <v>0</v>
      </c>
      <c r="AI720" s="18" t="n">
        <f aca="false">IFERROR(100*R720/K720,"")</f>
        <v>0.0326038284084739</v>
      </c>
      <c r="AJ720" s="18" t="n">
        <f aca="false">IF(T720&gt;0,100*S720/T720,"")</f>
        <v>17.3183973610061</v>
      </c>
      <c r="AK720" s="18" t="n">
        <f aca="false">IFERROR(100*U720/G720,"")</f>
        <v>-0.224099348694985</v>
      </c>
      <c r="AL720" s="18" t="n">
        <f aca="false">IFERROR(100*J720/H720,"")</f>
        <v>77.514610398243</v>
      </c>
      <c r="AM720" s="18" t="n">
        <f aca="false">IFERROR(100*L720/J720,"")</f>
        <v>85.675084209732</v>
      </c>
      <c r="AN720" s="18" t="n">
        <f aca="false">IFERROR(100*M720/J720,"")</f>
        <v>14.3214856586196</v>
      </c>
      <c r="AO720" s="18" t="n">
        <f aca="false">IFERROR(100*N720/J720,"")</f>
        <v>0.00343013164845267</v>
      </c>
    </row>
    <row r="721" customFormat="false" ht="15" hidden="false" customHeight="false" outlineLevel="0" collapsed="false">
      <c r="A721" s="17" t="n">
        <v>59176</v>
      </c>
      <c r="B721" s="23" t="n">
        <v>45291</v>
      </c>
      <c r="C721" s="17" t="s">
        <v>151</v>
      </c>
      <c r="D721" s="17" t="s">
        <v>116</v>
      </c>
      <c r="E721" s="17" t="s">
        <v>111</v>
      </c>
      <c r="F721" s="17" t="n">
        <v>238058</v>
      </c>
      <c r="G721" s="17" t="n">
        <v>205632.8</v>
      </c>
      <c r="H721" s="17" t="n">
        <v>197828</v>
      </c>
      <c r="I721" s="17" t="n">
        <v>23051</v>
      </c>
      <c r="J721" s="17" t="n">
        <v>151977</v>
      </c>
      <c r="K721" s="17" t="n">
        <v>141627</v>
      </c>
      <c r="L721" s="17" t="n">
        <v>128774</v>
      </c>
      <c r="M721" s="17" t="n">
        <v>23200</v>
      </c>
      <c r="N721" s="17" t="n">
        <v>4</v>
      </c>
      <c r="O721" s="17" t="n">
        <v>0</v>
      </c>
      <c r="P721" s="17" t="n">
        <v>0</v>
      </c>
      <c r="Q721" s="17" t="n">
        <v>0</v>
      </c>
      <c r="R721" s="17" t="n">
        <v>66</v>
      </c>
      <c r="S721" s="17" t="n">
        <v>25233</v>
      </c>
      <c r="T721" s="17" t="n">
        <v>157171</v>
      </c>
      <c r="U721" s="17" t="n">
        <v>-394</v>
      </c>
      <c r="V721" s="17" t="n">
        <v>-0.191603674122027</v>
      </c>
      <c r="W721" s="17" t="n">
        <v>-1.7</v>
      </c>
      <c r="X721" s="17" t="n">
        <v>2.3031848814327</v>
      </c>
      <c r="Y721" s="17" t="n">
        <v>0.981727498239865</v>
      </c>
      <c r="Z721" s="17" t="n">
        <v>16.0544884234369</v>
      </c>
      <c r="AA721" s="17" t="n">
        <v>9.68293441094187</v>
      </c>
      <c r="AB721" s="17" t="n">
        <v>34.7457435247238</v>
      </c>
      <c r="AC721" s="17" t="n">
        <v>12.7049575438466</v>
      </c>
      <c r="AD721" s="17" t="n">
        <v>30.2948673195856</v>
      </c>
      <c r="AE721" s="17" t="n">
        <v>-1.06840526146318</v>
      </c>
      <c r="AF721" s="17" t="n">
        <v>0</v>
      </c>
      <c r="AG721" s="18" t="n">
        <f aca="false">IFERROR(100*O721/F721,"")</f>
        <v>0</v>
      </c>
      <c r="AH721" s="18" t="n">
        <f aca="false">IFERROR(100*(P721+Q721)/F721,"")</f>
        <v>0</v>
      </c>
      <c r="AI721" s="18" t="n">
        <f aca="false">IFERROR(100*R721/K721,"")</f>
        <v>0.0466012836535406</v>
      </c>
      <c r="AJ721" s="18" t="n">
        <f aca="false">IF(T721&gt;0,100*S721/T721,"")</f>
        <v>16.0544884234369</v>
      </c>
      <c r="AK721" s="18" t="n">
        <f aca="false">IFERROR(100*U721/G721,"")</f>
        <v>-0.191603674122027</v>
      </c>
      <c r="AL721" s="18" t="n">
        <f aca="false">IFERROR(100*J721/H721,"")</f>
        <v>76.8227955597792</v>
      </c>
      <c r="AM721" s="18" t="n">
        <f aca="false">IFERROR(100*L721/J721,"")</f>
        <v>84.7325582160459</v>
      </c>
      <c r="AN721" s="18" t="n">
        <f aca="false">IFERROR(100*M721/J721,"")</f>
        <v>15.2654678010488</v>
      </c>
      <c r="AO721" s="18" t="n">
        <f aca="false">IFERROR(100*N721/J721,"")</f>
        <v>0.00263197720707739</v>
      </c>
    </row>
    <row r="722" customFormat="false" ht="15" hidden="false" customHeight="false" outlineLevel="0" collapsed="false">
      <c r="A722" s="17" t="n">
        <v>59176</v>
      </c>
      <c r="B722" s="23" t="n">
        <v>45382</v>
      </c>
      <c r="C722" s="17" t="s">
        <v>151</v>
      </c>
      <c r="D722" s="17" t="s">
        <v>116</v>
      </c>
      <c r="E722" s="17" t="s">
        <v>111</v>
      </c>
      <c r="F722" s="17" t="n">
        <v>222037</v>
      </c>
      <c r="G722" s="17" t="n">
        <v>230047.5</v>
      </c>
      <c r="H722" s="17" t="n">
        <v>182535</v>
      </c>
      <c r="I722" s="17" t="n">
        <v>26809</v>
      </c>
      <c r="J722" s="17" t="n">
        <v>155520</v>
      </c>
      <c r="K722" s="17" t="n">
        <v>153748.5</v>
      </c>
      <c r="L722" s="17" t="n">
        <v>132126</v>
      </c>
      <c r="M722" s="17" t="n">
        <v>23317</v>
      </c>
      <c r="N722" s="17" t="n">
        <v>93</v>
      </c>
      <c r="O722" s="17" t="n">
        <v>0</v>
      </c>
      <c r="P722" s="17" t="n">
        <v>0</v>
      </c>
      <c r="Q722" s="17" t="n">
        <v>0</v>
      </c>
      <c r="R722" s="17" t="n">
        <v>-128</v>
      </c>
      <c r="S722" s="17" t="n">
        <v>28992</v>
      </c>
      <c r="T722" s="17" t="n">
        <v>160921</v>
      </c>
      <c r="U722" s="17" t="n">
        <v>-148</v>
      </c>
      <c r="V722" s="17" t="n">
        <v>-0.0643345396059509</v>
      </c>
      <c r="W722" s="17" t="n">
        <v>-0.59</v>
      </c>
      <c r="X722" s="17" t="n">
        <v>2.28395268572195</v>
      </c>
      <c r="Y722" s="17" t="n">
        <v>0.965149176954733</v>
      </c>
      <c r="Z722" s="17" t="n">
        <v>18.0162937093356</v>
      </c>
      <c r="AA722" s="17" t="n">
        <v>12.0741137738305</v>
      </c>
      <c r="AB722" s="17" t="n">
        <v>15.8524431921943</v>
      </c>
      <c r="AC722" s="17" t="n">
        <v>12.2839443778609</v>
      </c>
      <c r="AD722" s="17" t="n">
        <v>13.0667740336967</v>
      </c>
      <c r="AE722" s="17" t="n">
        <v>-0.275016895230165</v>
      </c>
      <c r="AF722" s="17" t="n">
        <v>0</v>
      </c>
      <c r="AG722" s="18" t="n">
        <f aca="false">IFERROR(100*O722/F722,"")</f>
        <v>0</v>
      </c>
      <c r="AH722" s="18" t="n">
        <f aca="false">IFERROR(100*(P722+Q722)/F722,"")</f>
        <v>0</v>
      </c>
      <c r="AI722" s="18" t="n">
        <f aca="false">IFERROR(100*R722/K722,"")</f>
        <v>-0.0832528447432007</v>
      </c>
      <c r="AJ722" s="18" t="n">
        <f aca="false">IF(T722&gt;0,100*S722/T722,"")</f>
        <v>18.0162937093356</v>
      </c>
      <c r="AK722" s="18" t="n">
        <f aca="false">IFERROR(100*U722/G722,"")</f>
        <v>-0.0643345396059509</v>
      </c>
      <c r="AL722" s="18" t="n">
        <f aca="false">IFERROR(100*J722/H722,"")</f>
        <v>85.2000986112252</v>
      </c>
      <c r="AM722" s="18" t="n">
        <f aca="false">IFERROR(100*L722/J722,"")</f>
        <v>84.9575617283951</v>
      </c>
      <c r="AN722" s="18" t="n">
        <f aca="false">IFERROR(100*M722/J722,"")</f>
        <v>14.9929269547325</v>
      </c>
      <c r="AO722" s="18" t="n">
        <f aca="false">IFERROR(100*N722/J722,"")</f>
        <v>0.0597993827160494</v>
      </c>
    </row>
    <row r="723" customFormat="false" ht="15" hidden="false" customHeight="false" outlineLevel="0" collapsed="false">
      <c r="A723" s="17" t="n">
        <v>59176</v>
      </c>
      <c r="B723" s="23" t="n">
        <v>45473</v>
      </c>
      <c r="C723" s="17" t="s">
        <v>151</v>
      </c>
      <c r="D723" s="17" t="s">
        <v>116</v>
      </c>
      <c r="E723" s="17" t="s">
        <v>111</v>
      </c>
      <c r="F723" s="17" t="n">
        <v>229589</v>
      </c>
      <c r="G723" s="17" t="n">
        <v>229894.666666667</v>
      </c>
      <c r="H723" s="17" t="n">
        <v>190049</v>
      </c>
      <c r="I723" s="17" t="n">
        <v>26811</v>
      </c>
      <c r="J723" s="17" t="n">
        <v>167384</v>
      </c>
      <c r="K723" s="17" t="n">
        <v>158293.666666667</v>
      </c>
      <c r="L723" s="17" t="n">
        <v>145359</v>
      </c>
      <c r="M723" s="17" t="n">
        <v>21990</v>
      </c>
      <c r="N723" s="17" t="n">
        <v>1</v>
      </c>
      <c r="O723" s="17" t="n">
        <v>0</v>
      </c>
      <c r="P723" s="17" t="n">
        <v>2371</v>
      </c>
      <c r="Q723" s="17" t="n">
        <v>0</v>
      </c>
      <c r="R723" s="17" t="n">
        <v>-64</v>
      </c>
      <c r="S723" s="17" t="n">
        <v>0</v>
      </c>
      <c r="T723" s="17" t="n">
        <v>0</v>
      </c>
      <c r="U723" s="17" t="n">
        <v>-132</v>
      </c>
      <c r="V723" s="17" t="n">
        <v>-0.0574175999443223</v>
      </c>
      <c r="W723" s="17" t="n">
        <v>-0.52</v>
      </c>
      <c r="X723" s="17" t="n">
        <v>2.33544128301684</v>
      </c>
      <c r="Y723" s="17" t="n">
        <v>0.961262725230607</v>
      </c>
      <c r="Z723" s="17" t="n">
        <v>0</v>
      </c>
      <c r="AA723" s="17" t="n">
        <v>11.6778242860067</v>
      </c>
      <c r="AB723" s="17" t="n">
        <v>13.2609467805908</v>
      </c>
      <c r="AC723" s="17" t="n">
        <v>22.1424401634559</v>
      </c>
      <c r="AD723" s="17" t="n">
        <v>9.50487747258761</v>
      </c>
      <c r="AE723" s="17" t="n">
        <v>0.0560605581370562</v>
      </c>
      <c r="AF723" s="17" t="n">
        <v>0</v>
      </c>
      <c r="AG723" s="18" t="n">
        <f aca="false">IFERROR(100*O723/F723,"")</f>
        <v>0</v>
      </c>
      <c r="AH723" s="18" t="n">
        <f aca="false">IFERROR(100*(P723+Q723)/F723,"")</f>
        <v>1.03271498198956</v>
      </c>
      <c r="AI723" s="18" t="n">
        <f aca="false">IFERROR(100*R723/K723,"")</f>
        <v>-0.0404311817065749</v>
      </c>
      <c r="AJ723" s="18" t="str">
        <f aca="false">IF(T723&gt;0,100*S723/T723,"")</f>
        <v/>
      </c>
      <c r="AK723" s="18" t="n">
        <f aca="false">IFERROR(100*U723/G723,"")</f>
        <v>-0.0574175999443223</v>
      </c>
      <c r="AL723" s="18" t="n">
        <f aca="false">IFERROR(100*J723/H723,"")</f>
        <v>88.0741282511352</v>
      </c>
      <c r="AM723" s="18" t="n">
        <f aca="false">IFERROR(100*L723/J723,"")</f>
        <v>86.8416336089471</v>
      </c>
      <c r="AN723" s="18" t="n">
        <f aca="false">IFERROR(100*M723/J723,"")</f>
        <v>13.1374563877073</v>
      </c>
      <c r="AO723" s="18" t="n">
        <f aca="false">IFERROR(100*N723/J723,"")</f>
        <v>0.000597428667017158</v>
      </c>
    </row>
    <row r="724" customFormat="false" ht="15" hidden="false" customHeight="false" outlineLevel="0" collapsed="false">
      <c r="A724" s="17" t="n">
        <v>59176</v>
      </c>
      <c r="B724" s="23" t="n">
        <v>45565</v>
      </c>
      <c r="C724" s="17" t="s">
        <v>151</v>
      </c>
      <c r="D724" s="17" t="s">
        <v>116</v>
      </c>
      <c r="E724" s="17" t="s">
        <v>111</v>
      </c>
      <c r="F724" s="17" t="n">
        <v>228046</v>
      </c>
      <c r="G724" s="17" t="n">
        <v>229432.5</v>
      </c>
      <c r="H724" s="17" t="n">
        <v>192544</v>
      </c>
      <c r="I724" s="17" t="n">
        <v>27016</v>
      </c>
      <c r="J724" s="17" t="n">
        <v>169029</v>
      </c>
      <c r="K724" s="17" t="n">
        <v>160977.5</v>
      </c>
      <c r="L724" s="17" t="n">
        <v>146756</v>
      </c>
      <c r="M724" s="17" t="n">
        <v>22234</v>
      </c>
      <c r="N724" s="17" t="n">
        <v>0</v>
      </c>
      <c r="O724" s="17" t="n">
        <v>0</v>
      </c>
      <c r="P724" s="17" t="n">
        <v>0</v>
      </c>
      <c r="Q724" s="17" t="n">
        <v>0</v>
      </c>
      <c r="R724" s="17" t="n">
        <v>-42.6656</v>
      </c>
      <c r="S724" s="17" t="n">
        <v>0</v>
      </c>
      <c r="T724" s="17" t="n">
        <v>0</v>
      </c>
      <c r="U724" s="17" t="n">
        <v>109.3306</v>
      </c>
      <c r="V724" s="17" t="n">
        <v>0.0476526211412943</v>
      </c>
      <c r="W724" s="17" t="n">
        <v>0.42</v>
      </c>
      <c r="X724" s="17" t="n">
        <v>2.448461114472</v>
      </c>
      <c r="Y724" s="17" t="n">
        <v>0.9519076608156</v>
      </c>
      <c r="Z724" s="17" t="n">
        <v>0</v>
      </c>
      <c r="AA724" s="17" t="n">
        <v>11.8467326767407</v>
      </c>
      <c r="AB724" s="17" t="n">
        <v>4.0968453149892</v>
      </c>
      <c r="AC724" s="17" t="n">
        <v>15.9583444812612</v>
      </c>
      <c r="AD724" s="17" t="n">
        <v>2.38924547064361</v>
      </c>
      <c r="AE724" s="17" t="n">
        <v>0.27175196983628</v>
      </c>
      <c r="AF724" s="17" t="n">
        <v>0</v>
      </c>
      <c r="AG724" s="18" t="n">
        <f aca="false">IFERROR(100*O724/F724,"")</f>
        <v>0</v>
      </c>
      <c r="AH724" s="18" t="n">
        <f aca="false">IFERROR(100*(P724+Q724)/F724,"")</f>
        <v>0</v>
      </c>
      <c r="AI724" s="18" t="n">
        <f aca="false">IFERROR(100*R724/K724,"")</f>
        <v>-0.0265040766566756</v>
      </c>
      <c r="AJ724" s="18" t="str">
        <f aca="false">IF(T724&gt;0,100*S724/T724,"")</f>
        <v/>
      </c>
      <c r="AK724" s="18" t="n">
        <f aca="false">IFERROR(100*U724/G724,"")</f>
        <v>0.0476526211412943</v>
      </c>
      <c r="AL724" s="18" t="n">
        <f aca="false">IFERROR(100*J724/H724,"")</f>
        <v>87.7872070799402</v>
      </c>
      <c r="AM724" s="18" t="n">
        <f aca="false">IFERROR(100*L724/J724,"")</f>
        <v>86.8229712061244</v>
      </c>
      <c r="AN724" s="18" t="n">
        <f aca="false">IFERROR(100*M724/J724,"")</f>
        <v>13.1539558300647</v>
      </c>
      <c r="AO724" s="18" t="n">
        <f aca="false">IFERROR(100*N724/J724,"")</f>
        <v>0</v>
      </c>
    </row>
    <row r="725" customFormat="false" ht="15" hidden="false" customHeight="false" outlineLevel="0" collapsed="false">
      <c r="A725" s="17" t="n">
        <v>59176</v>
      </c>
      <c r="B725" s="23" t="n">
        <v>45657</v>
      </c>
      <c r="C725" s="17" t="s">
        <v>151</v>
      </c>
      <c r="D725" s="17" t="s">
        <v>116</v>
      </c>
      <c r="E725" s="17" t="s">
        <v>111</v>
      </c>
      <c r="F725" s="17" t="n">
        <v>237381</v>
      </c>
      <c r="G725" s="17" t="n">
        <v>231022.2</v>
      </c>
      <c r="H725" s="17" t="n">
        <v>196927</v>
      </c>
      <c r="I725" s="17" t="n">
        <v>27230</v>
      </c>
      <c r="J725" s="17" t="n">
        <v>180752</v>
      </c>
      <c r="K725" s="17" t="n">
        <v>164932.4</v>
      </c>
      <c r="L725" s="17" t="n">
        <v>156611</v>
      </c>
      <c r="M725" s="17" t="n">
        <v>24140</v>
      </c>
      <c r="N725" s="17" t="n">
        <v>0</v>
      </c>
      <c r="O725" s="17" t="n">
        <v>0</v>
      </c>
      <c r="P725" s="17" t="n">
        <v>0</v>
      </c>
      <c r="Q725" s="17" t="n">
        <v>0</v>
      </c>
      <c r="R725" s="17" t="n">
        <v>-32</v>
      </c>
      <c r="S725" s="17" t="n">
        <v>0</v>
      </c>
      <c r="T725" s="17" t="n">
        <v>0</v>
      </c>
      <c r="U725" s="17" t="n">
        <v>262</v>
      </c>
      <c r="V725" s="17" t="n">
        <v>0.113409014371779</v>
      </c>
      <c r="W725" s="17" t="n">
        <v>1</v>
      </c>
      <c r="X725" s="17" t="n">
        <v>2.52736720420682</v>
      </c>
      <c r="Y725" s="17" t="n">
        <v>0.938302204124989</v>
      </c>
      <c r="Z725" s="17" t="n">
        <v>0</v>
      </c>
      <c r="AA725" s="17" t="n">
        <v>11.4710107380119</v>
      </c>
      <c r="AB725" s="17" t="n">
        <v>-0.284384477732314</v>
      </c>
      <c r="AC725" s="17" t="n">
        <v>18.933786033413</v>
      </c>
      <c r="AD725" s="17" t="n">
        <v>-0.455446145136174</v>
      </c>
      <c r="AE725" s="17" t="n">
        <v>0.305012688493806</v>
      </c>
      <c r="AF725" s="17" t="n">
        <v>0</v>
      </c>
      <c r="AG725" s="18" t="n">
        <f aca="false">IFERROR(100*O725/F725,"")</f>
        <v>0</v>
      </c>
      <c r="AH725" s="18" t="n">
        <f aca="false">IFERROR(100*(P725+Q725)/F725,"")</f>
        <v>0</v>
      </c>
      <c r="AI725" s="18" t="n">
        <f aca="false">IFERROR(100*R725/K725,"")</f>
        <v>-0.0194018882887777</v>
      </c>
      <c r="AJ725" s="18" t="str">
        <f aca="false">IF(T725&gt;0,100*S725/T725,"")</f>
        <v/>
      </c>
      <c r="AK725" s="18" t="n">
        <f aca="false">IFERROR(100*U725/G725,"")</f>
        <v>0.113409014371779</v>
      </c>
      <c r="AL725" s="18" t="n">
        <f aca="false">IFERROR(100*J725/H725,"")</f>
        <v>91.7862964448755</v>
      </c>
      <c r="AM725" s="18" t="n">
        <f aca="false">IFERROR(100*L725/J725,"")</f>
        <v>86.6441311852704</v>
      </c>
      <c r="AN725" s="18" t="n">
        <f aca="false">IFERROR(100*M725/J725,"")</f>
        <v>13.3553155705054</v>
      </c>
      <c r="AO725" s="18" t="n">
        <f aca="false">IFERROR(100*N725/J725,"")</f>
        <v>0</v>
      </c>
    </row>
    <row r="726" customFormat="false" ht="15" hidden="false" customHeight="false" outlineLevel="0" collapsed="false">
      <c r="A726" s="17" t="n">
        <v>59176</v>
      </c>
      <c r="B726" s="23" t="n">
        <v>45747</v>
      </c>
      <c r="C726" s="17" t="s">
        <v>151</v>
      </c>
      <c r="D726" s="17" t="s">
        <v>116</v>
      </c>
      <c r="E726" s="17" t="s">
        <v>118</v>
      </c>
      <c r="F726" s="17" t="n">
        <v>253661</v>
      </c>
      <c r="G726" s="17" t="n">
        <v>245521</v>
      </c>
      <c r="H726" s="17" t="n">
        <v>203852</v>
      </c>
      <c r="I726" s="17" t="n">
        <v>27423</v>
      </c>
      <c r="J726" s="17" t="n">
        <v>193343</v>
      </c>
      <c r="K726" s="17" t="n">
        <v>187047.5</v>
      </c>
      <c r="L726" s="17" t="n">
        <v>166487</v>
      </c>
      <c r="M726" s="17" t="n">
        <v>25658</v>
      </c>
      <c r="N726" s="17" t="n">
        <v>0</v>
      </c>
      <c r="O726" s="17" t="n">
        <v>0</v>
      </c>
      <c r="P726" s="17" t="n">
        <v>0</v>
      </c>
      <c r="Q726" s="17" t="n">
        <v>0</v>
      </c>
      <c r="R726" s="17" t="n">
        <v>0</v>
      </c>
      <c r="S726" s="17" t="n">
        <v>0</v>
      </c>
      <c r="T726" s="17" t="n">
        <v>0</v>
      </c>
      <c r="U726" s="17" t="n">
        <v>484</v>
      </c>
      <c r="V726" s="17" t="n">
        <v>0.197131813571955</v>
      </c>
      <c r="W726" s="17" t="n">
        <v>1.77</v>
      </c>
      <c r="X726" s="17" t="n">
        <v>2.8022107639942</v>
      </c>
      <c r="Y726" s="17" t="n">
        <v>0.933574010954625</v>
      </c>
      <c r="Z726" s="17" t="n">
        <v>0</v>
      </c>
      <c r="AA726" s="17" t="n">
        <v>10.8108853942861</v>
      </c>
      <c r="AB726" s="17" t="n">
        <v>14.2426712665006</v>
      </c>
      <c r="AC726" s="17" t="n">
        <v>24.3203446502058</v>
      </c>
      <c r="AD726" s="17" t="n">
        <v>11.6783082696469</v>
      </c>
      <c r="AE726" s="17" t="n">
        <v>0.261466353177906</v>
      </c>
      <c r="AF726" s="17" t="n">
        <v>0</v>
      </c>
      <c r="AG726" s="18" t="n">
        <f aca="false">IFERROR(100*O726/F726,"")</f>
        <v>0</v>
      </c>
      <c r="AH726" s="18" t="n">
        <f aca="false">IFERROR(100*(P726+Q726)/F726,"")</f>
        <v>0</v>
      </c>
      <c r="AI726" s="18" t="n">
        <f aca="false">IFERROR(100*R726/K726,"")</f>
        <v>0</v>
      </c>
      <c r="AJ726" s="18" t="str">
        <f aca="false">IF(T726&gt;0,100*S726/T726,"")</f>
        <v/>
      </c>
      <c r="AK726" s="18" t="n">
        <f aca="false">IFERROR(100*U726/G726,"")</f>
        <v>0.197131813571955</v>
      </c>
      <c r="AL726" s="18" t="n">
        <f aca="false">IFERROR(100*J726/H726,"")</f>
        <v>94.8447893569845</v>
      </c>
      <c r="AM726" s="18" t="n">
        <f aca="false">IFERROR(100*L726/J726,"")</f>
        <v>86.1096600342397</v>
      </c>
      <c r="AN726" s="18" t="n">
        <f aca="false">IFERROR(100*M726/J726,"")</f>
        <v>13.2707157745561</v>
      </c>
      <c r="AO726" s="18" t="n">
        <f aca="false">IFERROR(100*N726/J726,"")</f>
        <v>0</v>
      </c>
    </row>
    <row r="727" customFormat="false" ht="15" hidden="false" customHeight="false" outlineLevel="0" collapsed="false">
      <c r="A727" s="17" t="n">
        <v>59176</v>
      </c>
      <c r="B727" s="23" t="n">
        <v>45838</v>
      </c>
      <c r="C727" s="17" t="s">
        <v>151</v>
      </c>
      <c r="D727" s="17" t="s">
        <v>116</v>
      </c>
      <c r="E727" s="17" t="s">
        <v>118</v>
      </c>
      <c r="F727" s="17" t="n">
        <v>279006</v>
      </c>
      <c r="G727" s="17" t="n">
        <v>256682.666666667</v>
      </c>
      <c r="H727" s="17" t="n">
        <v>229104</v>
      </c>
      <c r="I727" s="17" t="n">
        <v>28607</v>
      </c>
      <c r="J727" s="17" t="n">
        <v>209550</v>
      </c>
      <c r="K727" s="17" t="n">
        <v>194548.333333333</v>
      </c>
      <c r="L727" s="17" t="n">
        <v>180172</v>
      </c>
      <c r="M727" s="17" t="n">
        <v>28021</v>
      </c>
      <c r="N727" s="17" t="n">
        <v>0</v>
      </c>
      <c r="O727" s="17" t="n">
        <v>0</v>
      </c>
      <c r="P727" s="17" t="n">
        <v>0</v>
      </c>
      <c r="Q727" s="17" t="n">
        <v>0</v>
      </c>
      <c r="R727" s="17" t="n">
        <v>0</v>
      </c>
      <c r="S727" s="17" t="n">
        <v>0</v>
      </c>
      <c r="T727" s="17" t="n">
        <v>0</v>
      </c>
      <c r="U727" s="17" t="n">
        <v>432</v>
      </c>
      <c r="V727" s="17" t="n">
        <v>0.168301196808511</v>
      </c>
      <c r="W727" s="17" t="n">
        <v>1.56</v>
      </c>
      <c r="X727" s="17" t="n">
        <v>2.74321019851507</v>
      </c>
      <c r="Y727" s="17" t="n">
        <v>0.947267955141971</v>
      </c>
      <c r="Z727" s="17" t="n">
        <v>0</v>
      </c>
      <c r="AA727" s="17" t="n">
        <v>10.2531845193293</v>
      </c>
      <c r="AB727" s="17" t="n">
        <v>21.5241148312855</v>
      </c>
      <c r="AC727" s="17" t="n">
        <v>25.1911771734455</v>
      </c>
      <c r="AD727" s="17" t="n">
        <v>20.5499634304837</v>
      </c>
      <c r="AE727" s="17" t="n">
        <v>0.225718796752833</v>
      </c>
      <c r="AF727" s="17" t="n">
        <v>0</v>
      </c>
      <c r="AG727" s="18" t="n">
        <f aca="false">IFERROR(100*O727/F727,"")</f>
        <v>0</v>
      </c>
      <c r="AH727" s="18" t="n">
        <f aca="false">IFERROR(100*(P727+Q727)/F727,"")</f>
        <v>0</v>
      </c>
      <c r="AI727" s="18" t="n">
        <f aca="false">IFERROR(100*R727/K727,"")</f>
        <v>0</v>
      </c>
      <c r="AJ727" s="18" t="str">
        <f aca="false">IF(T727&gt;0,100*S727/T727,"")</f>
        <v/>
      </c>
      <c r="AK727" s="18" t="n">
        <f aca="false">IFERROR(100*U727/G727,"")</f>
        <v>0.168301196808511</v>
      </c>
      <c r="AL727" s="18" t="n">
        <f aca="false">IFERROR(100*J727/H727,"")</f>
        <v>91.4650115231511</v>
      </c>
      <c r="AM727" s="18" t="n">
        <f aca="false">IFERROR(100*L727/J727,"")</f>
        <v>85.9804342638988</v>
      </c>
      <c r="AN727" s="18" t="n">
        <f aca="false">IFERROR(100*M727/J727,"")</f>
        <v>13.37198759246</v>
      </c>
      <c r="AO727" s="18" t="n">
        <f aca="false">IFERROR(100*N727/J727,"")</f>
        <v>0</v>
      </c>
    </row>
    <row r="728" customFormat="false" ht="15" hidden="false" customHeight="false" outlineLevel="0" collapsed="false">
      <c r="A728" s="17" t="n">
        <v>59289</v>
      </c>
      <c r="B728" s="23" t="n">
        <v>44926</v>
      </c>
      <c r="C728" s="17" t="s">
        <v>121</v>
      </c>
      <c r="D728" s="17" t="s">
        <v>116</v>
      </c>
      <c r="E728" s="17" t="s">
        <v>111</v>
      </c>
      <c r="F728" s="17" t="n">
        <v>22693</v>
      </c>
      <c r="G728" s="17" t="n">
        <v>22693</v>
      </c>
      <c r="H728" s="17" t="n">
        <v>525</v>
      </c>
      <c r="I728" s="17" t="n">
        <v>21542</v>
      </c>
      <c r="J728" s="17" t="n">
        <v>4726</v>
      </c>
      <c r="K728" s="17" t="n">
        <v>4726</v>
      </c>
      <c r="L728" s="17" t="n">
        <v>2961</v>
      </c>
      <c r="M728" s="17" t="n">
        <v>1605</v>
      </c>
      <c r="N728" s="17" t="n">
        <v>0</v>
      </c>
      <c r="O728" s="17" t="n">
        <v>0</v>
      </c>
      <c r="P728" s="17" t="n">
        <v>0</v>
      </c>
      <c r="Q728" s="17" t="n">
        <v>0</v>
      </c>
      <c r="R728" s="17" t="n">
        <v>0</v>
      </c>
      <c r="S728" s="17" t="n">
        <v>0</v>
      </c>
      <c r="T728" s="17" t="n">
        <v>0</v>
      </c>
      <c r="U728" s="17" t="n">
        <v>-2833</v>
      </c>
      <c r="V728" s="17" t="n">
        <v>-12.4840259110739</v>
      </c>
      <c r="W728" s="17" t="n">
        <v>-13.15</v>
      </c>
      <c r="X728" s="17" t="n">
        <v>1.36841090874048</v>
      </c>
      <c r="Y728" s="17" t="n">
        <v>1.07913669064748</v>
      </c>
      <c r="Z728" s="17" t="n">
        <v>0</v>
      </c>
      <c r="AA728" s="17" t="n">
        <v>94.9279513506368</v>
      </c>
      <c r="AB728" s="17"/>
      <c r="AC728" s="17"/>
      <c r="AD728" s="17"/>
      <c r="AE728" s="17"/>
      <c r="AF728" s="17"/>
      <c r="AG728" s="18" t="n">
        <f aca="false">IFERROR(100*O728/F728,"")</f>
        <v>0</v>
      </c>
      <c r="AH728" s="18" t="n">
        <f aca="false">IFERROR(100*(P728+Q728)/F728,"")</f>
        <v>0</v>
      </c>
      <c r="AI728" s="18" t="n">
        <f aca="false">IFERROR(100*R728/K728,"")</f>
        <v>0</v>
      </c>
      <c r="AJ728" s="18" t="str">
        <f aca="false">IF(T728&gt;0,100*S728/T728,"")</f>
        <v/>
      </c>
      <c r="AK728" s="18" t="n">
        <f aca="false">IFERROR(100*U728/G728,"")</f>
        <v>-12.4840259110739</v>
      </c>
      <c r="AL728" s="18" t="n">
        <f aca="false">IFERROR(100*J728/H728,"")</f>
        <v>900.190476190476</v>
      </c>
      <c r="AM728" s="18" t="n">
        <f aca="false">IFERROR(100*L728/J728,"")</f>
        <v>62.6534066864156</v>
      </c>
      <c r="AN728" s="18" t="n">
        <f aca="false">IFERROR(100*M728/J728,"")</f>
        <v>33.9610664409649</v>
      </c>
      <c r="AO728" s="18" t="n">
        <f aca="false">IFERROR(100*N728/J728,"")</f>
        <v>0</v>
      </c>
    </row>
    <row r="729" customFormat="false" ht="15" hidden="false" customHeight="false" outlineLevel="0" collapsed="false">
      <c r="A729" s="17" t="n">
        <v>59289</v>
      </c>
      <c r="B729" s="23" t="n">
        <v>45016</v>
      </c>
      <c r="C729" s="17" t="s">
        <v>121</v>
      </c>
      <c r="D729" s="17" t="s">
        <v>116</v>
      </c>
      <c r="E729" s="17" t="s">
        <v>111</v>
      </c>
      <c r="F729" s="17" t="n">
        <v>44619</v>
      </c>
      <c r="G729" s="17" t="n">
        <v>33656</v>
      </c>
      <c r="H729" s="17" t="n">
        <v>22939</v>
      </c>
      <c r="I729" s="17" t="n">
        <v>20800</v>
      </c>
      <c r="J729" s="17" t="n">
        <v>11029</v>
      </c>
      <c r="K729" s="17" t="n">
        <v>7877.5</v>
      </c>
      <c r="L729" s="17" t="n">
        <v>4676</v>
      </c>
      <c r="M729" s="17" t="n">
        <v>5881</v>
      </c>
      <c r="N729" s="17" t="n">
        <v>0</v>
      </c>
      <c r="O729" s="17" t="n">
        <v>0</v>
      </c>
      <c r="P729" s="17" t="n">
        <v>0</v>
      </c>
      <c r="Q729" s="17" t="n">
        <v>0</v>
      </c>
      <c r="R729" s="17" t="n">
        <v>0</v>
      </c>
      <c r="S729" s="17" t="n">
        <v>0</v>
      </c>
      <c r="T729" s="17" t="n">
        <v>0</v>
      </c>
      <c r="U729" s="17" t="n">
        <v>-2756</v>
      </c>
      <c r="V729" s="17" t="n">
        <v>-8.18873306394105</v>
      </c>
      <c r="W729" s="17" t="n">
        <v>-13.02</v>
      </c>
      <c r="X729" s="17" t="n">
        <v>3.92436110451776</v>
      </c>
      <c r="Y729" s="17" t="n">
        <v>1.1515096563605</v>
      </c>
      <c r="Z729" s="17" t="n">
        <v>0</v>
      </c>
      <c r="AA729" s="17" t="n">
        <v>46.6169120778144</v>
      </c>
      <c r="AB729" s="17"/>
      <c r="AC729" s="17"/>
      <c r="AD729" s="17"/>
      <c r="AE729" s="17"/>
      <c r="AF729" s="17"/>
      <c r="AG729" s="18" t="n">
        <f aca="false">IFERROR(100*O729/F729,"")</f>
        <v>0</v>
      </c>
      <c r="AH729" s="18" t="n">
        <f aca="false">IFERROR(100*(P729+Q729)/F729,"")</f>
        <v>0</v>
      </c>
      <c r="AI729" s="18" t="n">
        <f aca="false">IFERROR(100*R729/K729,"")</f>
        <v>0</v>
      </c>
      <c r="AJ729" s="18" t="str">
        <f aca="false">IF(T729&gt;0,100*S729/T729,"")</f>
        <v/>
      </c>
      <c r="AK729" s="18" t="n">
        <f aca="false">IFERROR(100*U729/G729,"")</f>
        <v>-8.18873306394105</v>
      </c>
      <c r="AL729" s="18" t="n">
        <f aca="false">IFERROR(100*J729/H729,"")</f>
        <v>48.0796896115785</v>
      </c>
      <c r="AM729" s="18" t="n">
        <f aca="false">IFERROR(100*L729/J729,"")</f>
        <v>42.3973161664702</v>
      </c>
      <c r="AN729" s="18" t="n">
        <f aca="false">IFERROR(100*M729/J729,"")</f>
        <v>53.3230573941427</v>
      </c>
      <c r="AO729" s="18" t="n">
        <f aca="false">IFERROR(100*N729/J729,"")</f>
        <v>0</v>
      </c>
    </row>
    <row r="730" customFormat="false" ht="15" hidden="false" customHeight="false" outlineLevel="0" collapsed="false">
      <c r="A730" s="17" t="n">
        <v>59289</v>
      </c>
      <c r="B730" s="23" t="n">
        <v>45107</v>
      </c>
      <c r="C730" s="17" t="s">
        <v>121</v>
      </c>
      <c r="D730" s="17" t="s">
        <v>116</v>
      </c>
      <c r="E730" s="17" t="s">
        <v>111</v>
      </c>
      <c r="F730" s="17" t="n">
        <v>50390</v>
      </c>
      <c r="G730" s="17" t="n">
        <v>39234</v>
      </c>
      <c r="H730" s="17" t="n">
        <v>29218</v>
      </c>
      <c r="I730" s="17" t="n">
        <v>20357</v>
      </c>
      <c r="J730" s="17" t="n">
        <v>17374</v>
      </c>
      <c r="K730" s="17" t="n">
        <v>11043</v>
      </c>
      <c r="L730" s="17" t="n">
        <v>7760</v>
      </c>
      <c r="M730" s="17" t="n">
        <v>8750</v>
      </c>
      <c r="N730" s="17" t="n">
        <v>0</v>
      </c>
      <c r="O730" s="17" t="n">
        <v>0</v>
      </c>
      <c r="P730" s="17" t="n">
        <v>0</v>
      </c>
      <c r="Q730" s="17" t="n">
        <v>0</v>
      </c>
      <c r="R730" s="17" t="n">
        <v>0</v>
      </c>
      <c r="S730" s="17" t="n">
        <v>0</v>
      </c>
      <c r="T730" s="17" t="n">
        <v>0</v>
      </c>
      <c r="U730" s="17" t="n">
        <v>-2264</v>
      </c>
      <c r="V730" s="17" t="n">
        <v>-5.7705051740837</v>
      </c>
      <c r="W730" s="17" t="n">
        <v>-10.83</v>
      </c>
      <c r="X730" s="17" t="n">
        <v>4.45994655954665</v>
      </c>
      <c r="Y730" s="17" t="n">
        <v>1.17992402440428</v>
      </c>
      <c r="Z730" s="17" t="n">
        <v>0</v>
      </c>
      <c r="AA730" s="17" t="n">
        <v>40.3988886683866</v>
      </c>
      <c r="AB730" s="17"/>
      <c r="AC730" s="17"/>
      <c r="AD730" s="17"/>
      <c r="AE730" s="17"/>
      <c r="AF730" s="17"/>
      <c r="AG730" s="18" t="n">
        <f aca="false">IFERROR(100*O730/F730,"")</f>
        <v>0</v>
      </c>
      <c r="AH730" s="18" t="n">
        <f aca="false">IFERROR(100*(P730+Q730)/F730,"")</f>
        <v>0</v>
      </c>
      <c r="AI730" s="18" t="n">
        <f aca="false">IFERROR(100*R730/K730,"")</f>
        <v>0</v>
      </c>
      <c r="AJ730" s="18" t="str">
        <f aca="false">IF(T730&gt;0,100*S730/T730,"")</f>
        <v/>
      </c>
      <c r="AK730" s="18" t="n">
        <f aca="false">IFERROR(100*U730/G730,"")</f>
        <v>-5.7705051740837</v>
      </c>
      <c r="AL730" s="18" t="n">
        <f aca="false">IFERROR(100*J730/H730,"")</f>
        <v>59.463344513656</v>
      </c>
      <c r="AM730" s="18" t="n">
        <f aca="false">IFERROR(100*L730/J730,"")</f>
        <v>44.6644411189133</v>
      </c>
      <c r="AN730" s="18" t="n">
        <f aca="false">IFERROR(100*M730/J730,"")</f>
        <v>50.3626107977438</v>
      </c>
      <c r="AO730" s="18" t="n">
        <f aca="false">IFERROR(100*N730/J730,"")</f>
        <v>0</v>
      </c>
    </row>
    <row r="731" customFormat="false" ht="15" hidden="false" customHeight="false" outlineLevel="0" collapsed="false">
      <c r="A731" s="17" t="n">
        <v>59289</v>
      </c>
      <c r="B731" s="23" t="n">
        <v>45199</v>
      </c>
      <c r="C731" s="17" t="s">
        <v>121</v>
      </c>
      <c r="D731" s="17" t="s">
        <v>116</v>
      </c>
      <c r="E731" s="17" t="s">
        <v>111</v>
      </c>
      <c r="F731" s="17" t="n">
        <v>61993</v>
      </c>
      <c r="G731" s="17" t="n">
        <v>44923.75</v>
      </c>
      <c r="H731" s="17" t="n">
        <v>41455</v>
      </c>
      <c r="I731" s="17" t="n">
        <v>19641</v>
      </c>
      <c r="J731" s="17" t="n">
        <v>30270</v>
      </c>
      <c r="K731" s="17" t="n">
        <v>15849.75</v>
      </c>
      <c r="L731" s="17" t="n">
        <v>13029</v>
      </c>
      <c r="M731" s="17" t="n">
        <v>16338</v>
      </c>
      <c r="N731" s="17" t="n">
        <v>0</v>
      </c>
      <c r="O731" s="17" t="n">
        <v>0</v>
      </c>
      <c r="P731" s="17" t="n">
        <v>0</v>
      </c>
      <c r="Q731" s="17" t="n">
        <v>0</v>
      </c>
      <c r="R731" s="17" t="n">
        <v>0</v>
      </c>
      <c r="S731" s="17" t="n">
        <v>0</v>
      </c>
      <c r="T731" s="17" t="n">
        <v>0</v>
      </c>
      <c r="U731" s="17" t="n">
        <v>-2463.9384</v>
      </c>
      <c r="V731" s="17" t="n">
        <v>-5.48471220679485</v>
      </c>
      <c r="W731" s="17" t="n">
        <v>-11.97</v>
      </c>
      <c r="X731" s="17" t="n">
        <v>4.55562914912624</v>
      </c>
      <c r="Y731" s="17" t="n">
        <v>1.30161876445325</v>
      </c>
      <c r="Z731" s="17" t="n">
        <v>0</v>
      </c>
      <c r="AA731" s="17" t="n">
        <v>31.6826093268595</v>
      </c>
      <c r="AB731" s="17"/>
      <c r="AC731" s="17"/>
      <c r="AD731" s="17"/>
      <c r="AE731" s="17"/>
      <c r="AF731" s="17"/>
      <c r="AG731" s="18" t="n">
        <f aca="false">IFERROR(100*O731/F731,"")</f>
        <v>0</v>
      </c>
      <c r="AH731" s="18" t="n">
        <f aca="false">IFERROR(100*(P731+Q731)/F731,"")</f>
        <v>0</v>
      </c>
      <c r="AI731" s="18" t="n">
        <f aca="false">IFERROR(100*R731/K731,"")</f>
        <v>0</v>
      </c>
      <c r="AJ731" s="18" t="str">
        <f aca="false">IF(T731&gt;0,100*S731/T731,"")</f>
        <v/>
      </c>
      <c r="AK731" s="18" t="n">
        <f aca="false">IFERROR(100*U731/G731,"")</f>
        <v>-5.48471220679485</v>
      </c>
      <c r="AL731" s="18" t="n">
        <f aca="false">IFERROR(100*J731/H731,"")</f>
        <v>73.018936195875</v>
      </c>
      <c r="AM731" s="18" t="n">
        <f aca="false">IFERROR(100*L731/J731,"")</f>
        <v>43.0426164519326</v>
      </c>
      <c r="AN731" s="18" t="n">
        <f aca="false">IFERROR(100*M731/J731,"")</f>
        <v>53.9742319127849</v>
      </c>
      <c r="AO731" s="18" t="n">
        <f aca="false">IFERROR(100*N731/J731,"")</f>
        <v>0</v>
      </c>
    </row>
    <row r="732" customFormat="false" ht="15" hidden="false" customHeight="false" outlineLevel="0" collapsed="false">
      <c r="A732" s="17" t="n">
        <v>59289</v>
      </c>
      <c r="B732" s="23" t="n">
        <v>45291</v>
      </c>
      <c r="C732" s="17" t="s">
        <v>121</v>
      </c>
      <c r="D732" s="17" t="s">
        <v>116</v>
      </c>
      <c r="E732" s="17" t="s">
        <v>111</v>
      </c>
      <c r="F732" s="17" t="n">
        <v>75597</v>
      </c>
      <c r="G732" s="17" t="n">
        <v>51058.4</v>
      </c>
      <c r="H732" s="17" t="n">
        <v>55515</v>
      </c>
      <c r="I732" s="17" t="n">
        <v>19214</v>
      </c>
      <c r="J732" s="17" t="n">
        <v>34267</v>
      </c>
      <c r="K732" s="17" t="n">
        <v>19533.2</v>
      </c>
      <c r="L732" s="17" t="n">
        <v>13703</v>
      </c>
      <c r="M732" s="17" t="n">
        <v>19039</v>
      </c>
      <c r="N732" s="17" t="n">
        <v>0</v>
      </c>
      <c r="O732" s="17" t="n">
        <v>0</v>
      </c>
      <c r="P732" s="17" t="n">
        <v>0</v>
      </c>
      <c r="Q732" s="17" t="n">
        <v>0</v>
      </c>
      <c r="R732" s="17" t="n">
        <v>0</v>
      </c>
      <c r="S732" s="17" t="n">
        <v>0</v>
      </c>
      <c r="T732" s="17" t="n">
        <v>0</v>
      </c>
      <c r="U732" s="17" t="n">
        <v>-2275</v>
      </c>
      <c r="V732" s="17" t="n">
        <v>-4.45568212086552</v>
      </c>
      <c r="W732" s="17" t="n">
        <v>-11.2</v>
      </c>
      <c r="X732" s="17" t="n">
        <v>4.5859950609221</v>
      </c>
      <c r="Y732" s="17" t="n">
        <v>1.35699069075204</v>
      </c>
      <c r="Z732" s="17" t="n">
        <v>0</v>
      </c>
      <c r="AA732" s="17" t="n">
        <v>25.4163525007606</v>
      </c>
      <c r="AB732" s="17" t="n">
        <v>233.129158771427</v>
      </c>
      <c r="AC732" s="17" t="n">
        <v>625.074058400339</v>
      </c>
      <c r="AD732" s="17" t="n">
        <v>10474.2857142857</v>
      </c>
      <c r="AE732" s="17" t="n">
        <v>8.02834379020838</v>
      </c>
      <c r="AF732" s="17" t="n">
        <v>0</v>
      </c>
      <c r="AG732" s="18" t="n">
        <f aca="false">IFERROR(100*O732/F732,"")</f>
        <v>0</v>
      </c>
      <c r="AH732" s="18" t="n">
        <f aca="false">IFERROR(100*(P732+Q732)/F732,"")</f>
        <v>0</v>
      </c>
      <c r="AI732" s="18" t="n">
        <f aca="false">IFERROR(100*R732/K732,"")</f>
        <v>0</v>
      </c>
      <c r="AJ732" s="18" t="str">
        <f aca="false">IF(T732&gt;0,100*S732/T732,"")</f>
        <v/>
      </c>
      <c r="AK732" s="18" t="n">
        <f aca="false">IFERROR(100*U732/G732,"")</f>
        <v>-4.45568212086552</v>
      </c>
      <c r="AL732" s="18" t="n">
        <f aca="false">IFERROR(100*J732/H732,"")</f>
        <v>61.7256597316041</v>
      </c>
      <c r="AM732" s="18" t="n">
        <f aca="false">IFERROR(100*L732/J732,"")</f>
        <v>39.98891061371</v>
      </c>
      <c r="AN732" s="18" t="n">
        <f aca="false">IFERROR(100*M732/J732,"")</f>
        <v>55.5607435725333</v>
      </c>
      <c r="AO732" s="18" t="n">
        <f aca="false">IFERROR(100*N732/J732,"")</f>
        <v>0</v>
      </c>
    </row>
    <row r="733" customFormat="false" ht="15" hidden="false" customHeight="false" outlineLevel="0" collapsed="false">
      <c r="A733" s="17" t="n">
        <v>59289</v>
      </c>
      <c r="B733" s="23" t="n">
        <v>45382</v>
      </c>
      <c r="C733" s="17" t="s">
        <v>121</v>
      </c>
      <c r="D733" s="17" t="s">
        <v>116</v>
      </c>
      <c r="E733" s="17" t="s">
        <v>111</v>
      </c>
      <c r="F733" s="17" t="n">
        <v>93964</v>
      </c>
      <c r="G733" s="17" t="n">
        <v>84780.5</v>
      </c>
      <c r="H733" s="17" t="n">
        <v>74106</v>
      </c>
      <c r="I733" s="17" t="n">
        <v>18864</v>
      </c>
      <c r="J733" s="17" t="n">
        <v>45541</v>
      </c>
      <c r="K733" s="17" t="n">
        <v>39904</v>
      </c>
      <c r="L733" s="17" t="n">
        <v>18119</v>
      </c>
      <c r="M733" s="17" t="n">
        <v>25938</v>
      </c>
      <c r="N733" s="17" t="n">
        <v>0</v>
      </c>
      <c r="O733" s="17" t="n">
        <v>327</v>
      </c>
      <c r="P733" s="17" t="n">
        <v>0</v>
      </c>
      <c r="Q733" s="17" t="n">
        <v>0</v>
      </c>
      <c r="R733" s="17" t="n">
        <v>0</v>
      </c>
      <c r="S733" s="17" t="n">
        <v>0</v>
      </c>
      <c r="T733" s="17" t="n">
        <v>0</v>
      </c>
      <c r="U733" s="17" t="n">
        <v>-1404</v>
      </c>
      <c r="V733" s="17" t="n">
        <v>-1.65604118871675</v>
      </c>
      <c r="W733" s="17" t="n">
        <v>-7.37</v>
      </c>
      <c r="X733" s="17" t="n">
        <v>4.14001571851762</v>
      </c>
      <c r="Y733" s="17" t="n">
        <v>1.32408159680288</v>
      </c>
      <c r="Z733" s="17" t="n">
        <v>0</v>
      </c>
      <c r="AA733" s="17" t="n">
        <v>20.0757737005662</v>
      </c>
      <c r="AB733" s="17" t="n">
        <v>110.591900311527</v>
      </c>
      <c r="AC733" s="17" t="n">
        <v>312.920482364675</v>
      </c>
      <c r="AD733" s="17" t="n">
        <v>223.056802824883</v>
      </c>
      <c r="AE733" s="17" t="n">
        <v>6.53269187522431</v>
      </c>
      <c r="AF733" s="17" t="n">
        <v>0.3480056191733</v>
      </c>
      <c r="AG733" s="18" t="n">
        <f aca="false">IFERROR(100*O733/F733,"")</f>
        <v>0.3480056191733</v>
      </c>
      <c r="AH733" s="18" t="n">
        <f aca="false">IFERROR(100*(P733+Q733)/F733,"")</f>
        <v>0</v>
      </c>
      <c r="AI733" s="18" t="n">
        <f aca="false">IFERROR(100*R733/K733,"")</f>
        <v>0</v>
      </c>
      <c r="AJ733" s="18" t="str">
        <f aca="false">IF(T733&gt;0,100*S733/T733,"")</f>
        <v/>
      </c>
      <c r="AK733" s="18" t="n">
        <f aca="false">IFERROR(100*U733/G733,"")</f>
        <v>-1.65604118871675</v>
      </c>
      <c r="AL733" s="18" t="n">
        <f aca="false">IFERROR(100*J733/H733,"")</f>
        <v>61.4538633848811</v>
      </c>
      <c r="AM733" s="18" t="n">
        <f aca="false">IFERROR(100*L733/J733,"")</f>
        <v>39.7861267868514</v>
      </c>
      <c r="AN733" s="18" t="n">
        <f aca="false">IFERROR(100*M733/J733,"")</f>
        <v>56.9552710744165</v>
      </c>
      <c r="AO733" s="18" t="n">
        <f aca="false">IFERROR(100*N733/J733,"")</f>
        <v>0</v>
      </c>
    </row>
    <row r="734" customFormat="false" ht="15" hidden="false" customHeight="false" outlineLevel="0" collapsed="false">
      <c r="A734" s="17" t="n">
        <v>59289</v>
      </c>
      <c r="B734" s="23" t="n">
        <v>45473</v>
      </c>
      <c r="C734" s="17" t="s">
        <v>121</v>
      </c>
      <c r="D734" s="17" t="s">
        <v>116</v>
      </c>
      <c r="E734" s="17" t="s">
        <v>111</v>
      </c>
      <c r="F734" s="17" t="n">
        <v>105919</v>
      </c>
      <c r="G734" s="17" t="n">
        <v>91826.6666666667</v>
      </c>
      <c r="H734" s="17" t="n">
        <v>86145</v>
      </c>
      <c r="I734" s="17" t="n">
        <v>18695</v>
      </c>
      <c r="J734" s="17" t="n">
        <v>51371</v>
      </c>
      <c r="K734" s="17" t="n">
        <v>43726.3333333333</v>
      </c>
      <c r="L734" s="17" t="n">
        <v>20661</v>
      </c>
      <c r="M734" s="17" t="n">
        <v>29253</v>
      </c>
      <c r="N734" s="17" t="n">
        <v>0</v>
      </c>
      <c r="O734" s="17" t="n">
        <v>326</v>
      </c>
      <c r="P734" s="17" t="n">
        <v>4505</v>
      </c>
      <c r="Q734" s="17" t="n">
        <v>0</v>
      </c>
      <c r="R734" s="17" t="n">
        <v>0</v>
      </c>
      <c r="S734" s="17" t="n">
        <v>0</v>
      </c>
      <c r="T734" s="17" t="n">
        <v>0</v>
      </c>
      <c r="U734" s="17" t="n">
        <v>-1038</v>
      </c>
      <c r="V734" s="17" t="n">
        <v>-1.13039059096849</v>
      </c>
      <c r="W734" s="17" t="n">
        <v>-5.49</v>
      </c>
      <c r="X734" s="17" t="n">
        <v>4.06258129250437</v>
      </c>
      <c r="Y734" s="17" t="n">
        <v>1.16018765451325</v>
      </c>
      <c r="Z734" s="17" t="n">
        <v>0</v>
      </c>
      <c r="AA734" s="17" t="n">
        <v>17.6502799308906</v>
      </c>
      <c r="AB734" s="17" t="n">
        <v>110.198452073824</v>
      </c>
      <c r="AC734" s="17" t="n">
        <v>195.677449061817</v>
      </c>
      <c r="AD734" s="17" t="n">
        <v>194.835375453488</v>
      </c>
      <c r="AE734" s="17" t="n">
        <v>4.64011458311521</v>
      </c>
      <c r="AF734" s="17" t="n">
        <v>0.307782361993599</v>
      </c>
      <c r="AG734" s="18" t="n">
        <f aca="false">IFERROR(100*O734/F734,"")</f>
        <v>0.307782361993599</v>
      </c>
      <c r="AH734" s="18" t="n">
        <f aca="false">IFERROR(100*(P734+Q734)/F734,"")</f>
        <v>4.25325012509559</v>
      </c>
      <c r="AI734" s="18" t="n">
        <f aca="false">IFERROR(100*R734/K734,"")</f>
        <v>0</v>
      </c>
      <c r="AJ734" s="18" t="str">
        <f aca="false">IF(T734&gt;0,100*S734/T734,"")</f>
        <v/>
      </c>
      <c r="AK734" s="18" t="n">
        <f aca="false">IFERROR(100*U734/G734,"")</f>
        <v>-1.13039059096849</v>
      </c>
      <c r="AL734" s="18" t="n">
        <f aca="false">IFERROR(100*J734/H734,"")</f>
        <v>59.6331766208137</v>
      </c>
      <c r="AM734" s="18" t="n">
        <f aca="false">IFERROR(100*L734/J734,"")</f>
        <v>40.2191898152654</v>
      </c>
      <c r="AN734" s="18" t="n">
        <f aca="false">IFERROR(100*M734/J734,"")</f>
        <v>56.9445796266376</v>
      </c>
      <c r="AO734" s="18" t="n">
        <f aca="false">IFERROR(100*N734/J734,"")</f>
        <v>0</v>
      </c>
    </row>
    <row r="735" customFormat="false" ht="15" hidden="false" customHeight="false" outlineLevel="0" collapsed="false">
      <c r="A735" s="17" t="n">
        <v>59289</v>
      </c>
      <c r="B735" s="23" t="n">
        <v>45565</v>
      </c>
      <c r="C735" s="17" t="s">
        <v>121</v>
      </c>
      <c r="D735" s="17" t="s">
        <v>116</v>
      </c>
      <c r="E735" s="17" t="s">
        <v>111</v>
      </c>
      <c r="F735" s="17" t="n">
        <v>120497</v>
      </c>
      <c r="G735" s="17" t="n">
        <v>98994.25</v>
      </c>
      <c r="H735" s="17" t="n">
        <v>102833</v>
      </c>
      <c r="I735" s="17" t="n">
        <v>16578</v>
      </c>
      <c r="J735" s="17" t="n">
        <v>73232</v>
      </c>
      <c r="K735" s="17" t="n">
        <v>51102.75</v>
      </c>
      <c r="L735" s="17" t="n">
        <v>31000</v>
      </c>
      <c r="M735" s="17" t="n">
        <v>37285</v>
      </c>
      <c r="N735" s="17" t="n">
        <v>0</v>
      </c>
      <c r="O735" s="17" t="n">
        <v>4832</v>
      </c>
      <c r="P735" s="17" t="n">
        <v>0</v>
      </c>
      <c r="Q735" s="17" t="n">
        <v>0</v>
      </c>
      <c r="R735" s="17" t="n">
        <v>0</v>
      </c>
      <c r="S735" s="17" t="n">
        <v>0</v>
      </c>
      <c r="T735" s="17" t="n">
        <v>0</v>
      </c>
      <c r="U735" s="17" t="n">
        <v>-3514.5788</v>
      </c>
      <c r="V735" s="17" t="n">
        <v>-3.55028579942775</v>
      </c>
      <c r="W735" s="17" t="n">
        <v>-19.17</v>
      </c>
      <c r="X735" s="17" t="n">
        <v>3.76116711341111</v>
      </c>
      <c r="Y735" s="17" t="n">
        <v>3.3359733449858</v>
      </c>
      <c r="Z735" s="17" t="n">
        <v>0</v>
      </c>
      <c r="AA735" s="17" t="n">
        <v>13.7580188718391</v>
      </c>
      <c r="AB735" s="17" t="n">
        <v>94.3719452196216</v>
      </c>
      <c r="AC735" s="17" t="n">
        <v>141.929302940205</v>
      </c>
      <c r="AD735" s="17" t="n">
        <v>148.059341454589</v>
      </c>
      <c r="AE735" s="17" t="n">
        <v>1.9344264073671</v>
      </c>
      <c r="AF735" s="17" t="n">
        <v>4.01005834170145</v>
      </c>
      <c r="AG735" s="18" t="n">
        <f aca="false">IFERROR(100*O735/F735,"")</f>
        <v>4.01005834170145</v>
      </c>
      <c r="AH735" s="18" t="n">
        <f aca="false">IFERROR(100*(P735+Q735)/F735,"")</f>
        <v>0</v>
      </c>
      <c r="AI735" s="18" t="n">
        <f aca="false">IFERROR(100*R735/K735,"")</f>
        <v>0</v>
      </c>
      <c r="AJ735" s="18" t="str">
        <f aca="false">IF(T735&gt;0,100*S735/T735,"")</f>
        <v/>
      </c>
      <c r="AK735" s="18" t="n">
        <f aca="false">IFERROR(100*U735/G735,"")</f>
        <v>-3.55028579942774</v>
      </c>
      <c r="AL735" s="18" t="n">
        <f aca="false">IFERROR(100*J735/H735,"")</f>
        <v>71.2144934019235</v>
      </c>
      <c r="AM735" s="18" t="n">
        <f aca="false">IFERROR(100*L735/J735,"")</f>
        <v>42.3312213240114</v>
      </c>
      <c r="AN735" s="18" t="n">
        <f aca="false">IFERROR(100*M735/J735,"")</f>
        <v>50.9135350666375</v>
      </c>
      <c r="AO735" s="18" t="n">
        <f aca="false">IFERROR(100*N735/J735,"")</f>
        <v>0</v>
      </c>
    </row>
    <row r="736" customFormat="false" ht="15" hidden="false" customHeight="false" outlineLevel="0" collapsed="false">
      <c r="A736" s="17" t="n">
        <v>59289</v>
      </c>
      <c r="B736" s="23" t="n">
        <v>45657</v>
      </c>
      <c r="C736" s="17" t="s">
        <v>121</v>
      </c>
      <c r="D736" s="17" t="s">
        <v>116</v>
      </c>
      <c r="E736" s="17" t="s">
        <v>111</v>
      </c>
      <c r="F736" s="17" t="n">
        <v>123766</v>
      </c>
      <c r="G736" s="17" t="n">
        <v>103948.6</v>
      </c>
      <c r="H736" s="17" t="n">
        <v>107030</v>
      </c>
      <c r="I736" s="17" t="n">
        <v>15858</v>
      </c>
      <c r="J736" s="17" t="n">
        <v>86219</v>
      </c>
      <c r="K736" s="17" t="n">
        <v>58126</v>
      </c>
      <c r="L736" s="17" t="n">
        <v>35426</v>
      </c>
      <c r="M736" s="17" t="n">
        <v>38749</v>
      </c>
      <c r="N736" s="17" t="n">
        <v>0</v>
      </c>
      <c r="O736" s="17" t="n">
        <v>2234</v>
      </c>
      <c r="P736" s="17" t="n">
        <v>2590</v>
      </c>
      <c r="Q736" s="17" t="n">
        <v>0</v>
      </c>
      <c r="R736" s="17" t="n">
        <v>2553</v>
      </c>
      <c r="S736" s="17" t="n">
        <v>0</v>
      </c>
      <c r="T736" s="17" t="n">
        <v>0</v>
      </c>
      <c r="U736" s="17" t="n">
        <v>-3355</v>
      </c>
      <c r="V736" s="17" t="n">
        <v>-3.22755669629028</v>
      </c>
      <c r="W736" s="17" t="n">
        <v>-18.8</v>
      </c>
      <c r="X736" s="17" t="n">
        <v>3.81997554271963</v>
      </c>
      <c r="Y736" s="17" t="n">
        <v>0.666906366346165</v>
      </c>
      <c r="Z736" s="17" t="n">
        <v>0</v>
      </c>
      <c r="AA736" s="17" t="n">
        <v>12.8128888386148</v>
      </c>
      <c r="AB736" s="17" t="n">
        <v>63.718136963107</v>
      </c>
      <c r="AC736" s="17" t="n">
        <v>151.609420141827</v>
      </c>
      <c r="AD736" s="17" t="n">
        <v>92.794740160317</v>
      </c>
      <c r="AE736" s="17" t="n">
        <v>1.22812542457524</v>
      </c>
      <c r="AF736" s="17" t="n">
        <v>1.80501914903932</v>
      </c>
      <c r="AG736" s="18" t="n">
        <f aca="false">IFERROR(100*O736/F736,"")</f>
        <v>1.80501914903932</v>
      </c>
      <c r="AH736" s="18" t="n">
        <f aca="false">IFERROR(100*(P736+Q736)/F736,"")</f>
        <v>2.09265872695248</v>
      </c>
      <c r="AI736" s="18" t="n">
        <f aca="false">IFERROR(100*R736/K736,"")</f>
        <v>4.39218250008602</v>
      </c>
      <c r="AJ736" s="18" t="str">
        <f aca="false">IF(T736&gt;0,100*S736/T736,"")</f>
        <v/>
      </c>
      <c r="AK736" s="18" t="n">
        <f aca="false">IFERROR(100*U736/G736,"")</f>
        <v>-3.22755669629028</v>
      </c>
      <c r="AL736" s="18" t="n">
        <f aca="false">IFERROR(100*J736/H736,"")</f>
        <v>80.5559189012427</v>
      </c>
      <c r="AM736" s="18" t="n">
        <f aca="false">IFERROR(100*L736/J736,"")</f>
        <v>41.0883911898769</v>
      </c>
      <c r="AN736" s="18" t="n">
        <f aca="false">IFERROR(100*M736/J736,"")</f>
        <v>44.9425300687783</v>
      </c>
      <c r="AO736" s="18" t="n">
        <f aca="false">IFERROR(100*N736/J736,"")</f>
        <v>0</v>
      </c>
    </row>
    <row r="737" customFormat="false" ht="15" hidden="false" customHeight="false" outlineLevel="0" collapsed="false">
      <c r="A737" s="17" t="n">
        <v>59289</v>
      </c>
      <c r="B737" s="23" t="n">
        <v>45747</v>
      </c>
      <c r="C737" s="17" t="s">
        <v>121</v>
      </c>
      <c r="D737" s="17" t="s">
        <v>116</v>
      </c>
      <c r="E737" s="17" t="s">
        <v>111</v>
      </c>
      <c r="F737" s="17" t="n">
        <v>130262</v>
      </c>
      <c r="G737" s="17" t="n">
        <v>127014</v>
      </c>
      <c r="H737" s="17" t="n">
        <v>113554</v>
      </c>
      <c r="I737" s="17" t="n">
        <v>15654</v>
      </c>
      <c r="J737" s="17" t="n">
        <v>97607</v>
      </c>
      <c r="K737" s="17" t="n">
        <v>91913</v>
      </c>
      <c r="L737" s="17" t="n">
        <v>38027</v>
      </c>
      <c r="M737" s="17" t="n">
        <v>47651</v>
      </c>
      <c r="N737" s="17" t="n">
        <v>0</v>
      </c>
      <c r="O737" s="17" t="n">
        <v>4568</v>
      </c>
      <c r="P737" s="17" t="n">
        <v>174</v>
      </c>
      <c r="Q737" s="17" t="n">
        <v>0</v>
      </c>
      <c r="R737" s="17" t="n">
        <v>132</v>
      </c>
      <c r="S737" s="17" t="n">
        <v>0</v>
      </c>
      <c r="T737" s="17" t="n">
        <v>0</v>
      </c>
      <c r="U737" s="17" t="n">
        <v>-816</v>
      </c>
      <c r="V737" s="17" t="n">
        <v>-0.642448863904766</v>
      </c>
      <c r="W737" s="17" t="n">
        <v>-5.18</v>
      </c>
      <c r="X737" s="17" t="n">
        <v>3.91613321903266</v>
      </c>
      <c r="Y737" s="17" t="n">
        <v>0.671058428186503</v>
      </c>
      <c r="Z737" s="17" t="n">
        <v>0</v>
      </c>
      <c r="AA737" s="17" t="n">
        <v>12.0173189418249</v>
      </c>
      <c r="AB737" s="17" t="n">
        <v>38.6296879656038</v>
      </c>
      <c r="AC737" s="17" t="n">
        <v>114.327748622121</v>
      </c>
      <c r="AD737" s="17" t="n">
        <v>53.231857069603</v>
      </c>
      <c r="AE737" s="17" t="n">
        <v>1.01359232481198</v>
      </c>
      <c r="AF737" s="17" t="n">
        <v>3.15877302693992</v>
      </c>
      <c r="AG737" s="18" t="n">
        <f aca="false">IFERROR(100*O737/F737,"")</f>
        <v>3.50677864611322</v>
      </c>
      <c r="AH737" s="18" t="n">
        <f aca="false">IFERROR(100*(P737+Q737)/F737,"")</f>
        <v>0.133576944926379</v>
      </c>
      <c r="AI737" s="18" t="n">
        <f aca="false">IFERROR(100*R737/K737,"")</f>
        <v>0.143614069826902</v>
      </c>
      <c r="AJ737" s="18" t="str">
        <f aca="false">IF(T737&gt;0,100*S737/T737,"")</f>
        <v/>
      </c>
      <c r="AK737" s="18" t="n">
        <f aca="false">IFERROR(100*U737/G737,"")</f>
        <v>-0.642448863904766</v>
      </c>
      <c r="AL737" s="18" t="n">
        <f aca="false">IFERROR(100*J737/H737,"")</f>
        <v>85.956461243109</v>
      </c>
      <c r="AM737" s="18" t="n">
        <f aca="false">IFERROR(100*L737/J737,"")</f>
        <v>38.9592959521346</v>
      </c>
      <c r="AN737" s="18" t="n">
        <f aca="false">IFERROR(100*M737/J737,"")</f>
        <v>48.819244521397</v>
      </c>
      <c r="AO737" s="18" t="n">
        <f aca="false">IFERROR(100*N737/J737,"")</f>
        <v>0</v>
      </c>
    </row>
    <row r="738" customFormat="false" ht="15" hidden="false" customHeight="false" outlineLevel="0" collapsed="false">
      <c r="A738" s="17" t="n">
        <v>59289</v>
      </c>
      <c r="B738" s="23" t="n">
        <v>45838</v>
      </c>
      <c r="C738" s="17" t="s">
        <v>121</v>
      </c>
      <c r="D738" s="17" t="s">
        <v>116</v>
      </c>
      <c r="E738" s="17" t="s">
        <v>111</v>
      </c>
      <c r="F738" s="17" t="n">
        <v>145991</v>
      </c>
      <c r="G738" s="17" t="n">
        <v>133339.666666667</v>
      </c>
      <c r="H738" s="17" t="n">
        <v>129078</v>
      </c>
      <c r="I738" s="17" t="n">
        <v>15698</v>
      </c>
      <c r="J738" s="17" t="n">
        <v>106204</v>
      </c>
      <c r="K738" s="17" t="n">
        <v>96676.6666666667</v>
      </c>
      <c r="L738" s="17" t="n">
        <v>38420</v>
      </c>
      <c r="M738" s="17" t="n">
        <v>52242</v>
      </c>
      <c r="N738" s="17" t="n">
        <v>0</v>
      </c>
      <c r="O738" s="17" t="n">
        <v>2835</v>
      </c>
      <c r="P738" s="17" t="n">
        <v>3478</v>
      </c>
      <c r="Q738" s="17" t="n">
        <v>0</v>
      </c>
      <c r="R738" s="17" t="n">
        <v>-196</v>
      </c>
      <c r="S738" s="17" t="n">
        <v>0</v>
      </c>
      <c r="T738" s="17" t="n">
        <v>0</v>
      </c>
      <c r="U738" s="17" t="n">
        <v>-320</v>
      </c>
      <c r="V738" s="17" t="n">
        <v>-0.239988600541474</v>
      </c>
      <c r="W738" s="17" t="n">
        <v>-2.03</v>
      </c>
      <c r="X738" s="17" t="n">
        <v>3.99218654620925</v>
      </c>
      <c r="Y738" s="17" t="n">
        <v>0.679823735452525</v>
      </c>
      <c r="Z738" s="17" t="n">
        <v>0</v>
      </c>
      <c r="AA738" s="17" t="n">
        <v>10.7527176332788</v>
      </c>
      <c r="AB738" s="17" t="n">
        <v>37.8326834656672</v>
      </c>
      <c r="AC738" s="17" t="n">
        <v>106.7392108388</v>
      </c>
      <c r="AD738" s="17" t="n">
        <v>49.838063729758</v>
      </c>
      <c r="AE738" s="17" t="n">
        <v>0.890401990427017</v>
      </c>
      <c r="AF738" s="17" t="n">
        <v>1.63411816612115</v>
      </c>
      <c r="AG738" s="18" t="n">
        <f aca="false">IFERROR(100*O738/F738,"")</f>
        <v>1.94190052811475</v>
      </c>
      <c r="AH738" s="18" t="n">
        <f aca="false">IFERROR(100*(P738+Q738)/F738,"")</f>
        <v>2.38233863731326</v>
      </c>
      <c r="AI738" s="18" t="n">
        <f aca="false">IFERROR(100*R738/K738,"")</f>
        <v>-0.202737647829535</v>
      </c>
      <c r="AJ738" s="18" t="str">
        <f aca="false">IF(T738&gt;0,100*S738/T738,"")</f>
        <v/>
      </c>
      <c r="AK738" s="18" t="n">
        <f aca="false">IFERROR(100*U738/G738,"")</f>
        <v>-0.239988600541474</v>
      </c>
      <c r="AL738" s="18" t="n">
        <f aca="false">IFERROR(100*J738/H738,"")</f>
        <v>82.278932118564</v>
      </c>
      <c r="AM738" s="18" t="n">
        <f aca="false">IFERROR(100*L738/J738,"")</f>
        <v>36.1756619336372</v>
      </c>
      <c r="AN738" s="18" t="n">
        <f aca="false">IFERROR(100*M738/J738,"")</f>
        <v>49.1902376558322</v>
      </c>
      <c r="AO738" s="18" t="n">
        <f aca="false">IFERROR(100*N738/J738,"")</f>
        <v>0</v>
      </c>
    </row>
    <row r="739" customFormat="false" ht="15" hidden="false" customHeight="false" outlineLevel="0" collapsed="false">
      <c r="A739" s="17" t="n">
        <v>59298</v>
      </c>
      <c r="B739" s="23" t="n">
        <v>44834</v>
      </c>
      <c r="C739" s="17" t="s">
        <v>160</v>
      </c>
      <c r="D739" s="17" t="s">
        <v>113</v>
      </c>
      <c r="E739" s="17" t="s">
        <v>111</v>
      </c>
      <c r="F739" s="17" t="n">
        <v>38217</v>
      </c>
      <c r="G739" s="17" t="n">
        <v>38217</v>
      </c>
      <c r="H739" s="17" t="n">
        <v>6690</v>
      </c>
      <c r="I739" s="17" t="n">
        <v>30598</v>
      </c>
      <c r="J739" s="17" t="n">
        <v>7648</v>
      </c>
      <c r="K739" s="17" t="n">
        <v>7648</v>
      </c>
      <c r="L739" s="17" t="n">
        <v>4565</v>
      </c>
      <c r="M739" s="17" t="n">
        <v>3084</v>
      </c>
      <c r="N739" s="17" t="n">
        <v>0</v>
      </c>
      <c r="O739" s="17" t="n">
        <v>0</v>
      </c>
      <c r="P739" s="17" t="n">
        <v>0</v>
      </c>
      <c r="Q739" s="17" t="n">
        <v>0</v>
      </c>
      <c r="R739" s="17" t="n">
        <v>0</v>
      </c>
      <c r="S739" s="17" t="n">
        <v>0</v>
      </c>
      <c r="T739" s="17" t="n">
        <v>0</v>
      </c>
      <c r="U739" s="17" t="n">
        <v>-685.3162</v>
      </c>
      <c r="V739" s="17" t="n">
        <v>-1.79322343459717</v>
      </c>
      <c r="W739" s="17" t="n">
        <v>-2.24</v>
      </c>
      <c r="X739" s="17" t="n">
        <v>0.568493727280182</v>
      </c>
      <c r="Y739" s="17" t="n">
        <v>0.993723849372385</v>
      </c>
      <c r="Z739" s="17" t="n">
        <v>0</v>
      </c>
      <c r="AA739" s="17" t="n">
        <v>80.0638459324385</v>
      </c>
      <c r="AB739" s="17"/>
      <c r="AC739" s="17"/>
      <c r="AD739" s="17"/>
      <c r="AE739" s="17"/>
      <c r="AF739" s="17"/>
      <c r="AG739" s="18" t="n">
        <f aca="false">IFERROR(100*O739/F739,"")</f>
        <v>0</v>
      </c>
      <c r="AH739" s="18" t="n">
        <f aca="false">IFERROR(100*(P739+Q739)/F739,"")</f>
        <v>0</v>
      </c>
      <c r="AI739" s="18" t="n">
        <f aca="false">IFERROR(100*R739/K739,"")</f>
        <v>0</v>
      </c>
      <c r="AJ739" s="18" t="str">
        <f aca="false">IF(T739&gt;0,100*S739/T739,"")</f>
        <v/>
      </c>
      <c r="AK739" s="18" t="n">
        <f aca="false">IFERROR(100*U739/G739,"")</f>
        <v>-1.79322343459717</v>
      </c>
      <c r="AL739" s="18" t="n">
        <f aca="false">IFERROR(100*J739/H739,"")</f>
        <v>114.319880418535</v>
      </c>
      <c r="AM739" s="18" t="n">
        <f aca="false">IFERROR(100*L739/J739,"")</f>
        <v>59.6888075313808</v>
      </c>
      <c r="AN739" s="18" t="n">
        <f aca="false">IFERROR(100*M739/J739,"")</f>
        <v>40.3242677824268</v>
      </c>
      <c r="AO739" s="18" t="n">
        <f aca="false">IFERROR(100*N739/J739,"")</f>
        <v>0</v>
      </c>
    </row>
    <row r="740" customFormat="false" ht="15" hidden="false" customHeight="false" outlineLevel="0" collapsed="false">
      <c r="A740" s="17" t="n">
        <v>59298</v>
      </c>
      <c r="B740" s="23" t="n">
        <v>44926</v>
      </c>
      <c r="C740" s="17" t="s">
        <v>160</v>
      </c>
      <c r="D740" s="17" t="s">
        <v>113</v>
      </c>
      <c r="E740" s="17" t="s">
        <v>111</v>
      </c>
      <c r="F740" s="17" t="n">
        <v>87230</v>
      </c>
      <c r="G740" s="17" t="n">
        <v>62723.5</v>
      </c>
      <c r="H740" s="17" t="n">
        <v>56740</v>
      </c>
      <c r="I740" s="17" t="n">
        <v>29627</v>
      </c>
      <c r="J740" s="17" t="n">
        <v>22351</v>
      </c>
      <c r="K740" s="17" t="n">
        <v>14999.5</v>
      </c>
      <c r="L740" s="17" t="n">
        <v>15722</v>
      </c>
      <c r="M740" s="17" t="n">
        <v>6633</v>
      </c>
      <c r="N740" s="17" t="n">
        <v>0</v>
      </c>
      <c r="O740" s="17" t="n">
        <v>0</v>
      </c>
      <c r="P740" s="17" t="n">
        <v>0</v>
      </c>
      <c r="Q740" s="17" t="n">
        <v>0</v>
      </c>
      <c r="R740" s="17" t="n">
        <v>0</v>
      </c>
      <c r="S740" s="17" t="n">
        <v>0</v>
      </c>
      <c r="T740" s="17" t="n">
        <v>0</v>
      </c>
      <c r="U740" s="17" t="n">
        <v>-1467</v>
      </c>
      <c r="V740" s="17" t="n">
        <v>-2.33883632131498</v>
      </c>
      <c r="W740" s="17" t="n">
        <v>-4.87</v>
      </c>
      <c r="X740" s="17" t="n">
        <v>0.821136479111009</v>
      </c>
      <c r="Y740" s="17" t="n">
        <v>1.00219229564673</v>
      </c>
      <c r="Z740" s="17" t="n">
        <v>0</v>
      </c>
      <c r="AA740" s="17" t="n">
        <v>33.9642324888227</v>
      </c>
      <c r="AB740" s="17"/>
      <c r="AC740" s="17"/>
      <c r="AD740" s="17"/>
      <c r="AE740" s="17"/>
      <c r="AF740" s="17"/>
      <c r="AG740" s="18" t="n">
        <f aca="false">IFERROR(100*O740/F740,"")</f>
        <v>0</v>
      </c>
      <c r="AH740" s="18" t="n">
        <f aca="false">IFERROR(100*(P740+Q740)/F740,"")</f>
        <v>0</v>
      </c>
      <c r="AI740" s="18" t="n">
        <f aca="false">IFERROR(100*R740/K740,"")</f>
        <v>0</v>
      </c>
      <c r="AJ740" s="18" t="str">
        <f aca="false">IF(T740&gt;0,100*S740/T740,"")</f>
        <v/>
      </c>
      <c r="AK740" s="18" t="n">
        <f aca="false">IFERROR(100*U740/G740,"")</f>
        <v>-2.33883632131498</v>
      </c>
      <c r="AL740" s="18" t="n">
        <f aca="false">IFERROR(100*J740/H740,"")</f>
        <v>39.391963341558</v>
      </c>
      <c r="AM740" s="18" t="n">
        <f aca="false">IFERROR(100*L740/J740,"")</f>
        <v>70.3413717507047</v>
      </c>
      <c r="AN740" s="18" t="n">
        <f aca="false">IFERROR(100*M740/J740,"")</f>
        <v>29.676524540289</v>
      </c>
      <c r="AO740" s="18" t="n">
        <f aca="false">IFERROR(100*N740/J740,"")</f>
        <v>0</v>
      </c>
    </row>
    <row r="741" customFormat="false" ht="15" hidden="false" customHeight="false" outlineLevel="0" collapsed="false">
      <c r="A741" s="17" t="n">
        <v>59298</v>
      </c>
      <c r="B741" s="23" t="n">
        <v>45016</v>
      </c>
      <c r="C741" s="17" t="s">
        <v>160</v>
      </c>
      <c r="D741" s="17" t="s">
        <v>113</v>
      </c>
      <c r="E741" s="17" t="s">
        <v>111</v>
      </c>
      <c r="F741" s="17" t="n">
        <v>115337</v>
      </c>
      <c r="G741" s="17" t="n">
        <v>101283.5</v>
      </c>
      <c r="H741" s="17" t="n">
        <v>85635</v>
      </c>
      <c r="I741" s="17" t="n">
        <v>28720</v>
      </c>
      <c r="J741" s="17" t="n">
        <v>37121</v>
      </c>
      <c r="K741" s="17" t="n">
        <v>29736</v>
      </c>
      <c r="L741" s="17" t="n">
        <v>28863</v>
      </c>
      <c r="M741" s="17" t="n">
        <v>8264</v>
      </c>
      <c r="N741" s="17" t="n">
        <v>0</v>
      </c>
      <c r="O741" s="17" t="n">
        <v>0</v>
      </c>
      <c r="P741" s="17" t="n">
        <v>0</v>
      </c>
      <c r="Q741" s="17" t="n">
        <v>0</v>
      </c>
      <c r="R741" s="17" t="n">
        <v>0</v>
      </c>
      <c r="S741" s="17" t="n">
        <v>0</v>
      </c>
      <c r="T741" s="17" t="n">
        <v>0</v>
      </c>
      <c r="U741" s="17" t="n">
        <v>-3628</v>
      </c>
      <c r="V741" s="17" t="n">
        <v>-3.58202471281107</v>
      </c>
      <c r="W741" s="17" t="n">
        <v>-12.44</v>
      </c>
      <c r="X741" s="17" t="n">
        <v>2.41809750847441</v>
      </c>
      <c r="Y741" s="17" t="n">
        <v>0.999434282481614</v>
      </c>
      <c r="Z741" s="17" t="n">
        <v>0</v>
      </c>
      <c r="AA741" s="17" t="n">
        <v>24.9009424555867</v>
      </c>
      <c r="AB741" s="17"/>
      <c r="AC741" s="17"/>
      <c r="AD741" s="17"/>
      <c r="AE741" s="17"/>
      <c r="AF741" s="17"/>
      <c r="AG741" s="18" t="n">
        <f aca="false">IFERROR(100*O741/F741,"")</f>
        <v>0</v>
      </c>
      <c r="AH741" s="18" t="n">
        <f aca="false">IFERROR(100*(P741+Q741)/F741,"")</f>
        <v>0</v>
      </c>
      <c r="AI741" s="18" t="n">
        <f aca="false">IFERROR(100*R741/K741,"")</f>
        <v>0</v>
      </c>
      <c r="AJ741" s="18" t="str">
        <f aca="false">IF(T741&gt;0,100*S741/T741,"")</f>
        <v/>
      </c>
      <c r="AK741" s="18" t="n">
        <f aca="false">IFERROR(100*U741/G741,"")</f>
        <v>-3.58202471281107</v>
      </c>
      <c r="AL741" s="18" t="n">
        <f aca="false">IFERROR(100*J741/H741,"")</f>
        <v>43.3479301687394</v>
      </c>
      <c r="AM741" s="18" t="n">
        <f aca="false">IFERROR(100*L741/J741,"")</f>
        <v>77.7538320627138</v>
      </c>
      <c r="AN741" s="18" t="n">
        <f aca="false">IFERROR(100*M741/J741,"")</f>
        <v>22.2623312949543</v>
      </c>
      <c r="AO741" s="18" t="n">
        <f aca="false">IFERROR(100*N741/J741,"")</f>
        <v>0</v>
      </c>
    </row>
    <row r="742" customFormat="false" ht="15" hidden="false" customHeight="false" outlineLevel="0" collapsed="false">
      <c r="A742" s="17" t="n">
        <v>59298</v>
      </c>
      <c r="B742" s="23" t="n">
        <v>45107</v>
      </c>
      <c r="C742" s="17" t="s">
        <v>160</v>
      </c>
      <c r="D742" s="17" t="s">
        <v>113</v>
      </c>
      <c r="E742" s="17" t="s">
        <v>111</v>
      </c>
      <c r="F742" s="17" t="n">
        <v>125919</v>
      </c>
      <c r="G742" s="17" t="n">
        <v>109495.333333333</v>
      </c>
      <c r="H742" s="17" t="n">
        <v>96751</v>
      </c>
      <c r="I742" s="17" t="n">
        <v>28131</v>
      </c>
      <c r="J742" s="17" t="n">
        <v>45897</v>
      </c>
      <c r="K742" s="17" t="n">
        <v>35123</v>
      </c>
      <c r="L742" s="17" t="n">
        <v>35680</v>
      </c>
      <c r="M742" s="17" t="n">
        <v>10224</v>
      </c>
      <c r="N742" s="17" t="n">
        <v>0</v>
      </c>
      <c r="O742" s="17" t="n">
        <v>0</v>
      </c>
      <c r="P742" s="17" t="n">
        <v>0</v>
      </c>
      <c r="Q742" s="17" t="n">
        <v>0</v>
      </c>
      <c r="R742" s="17" t="n">
        <v>0</v>
      </c>
      <c r="S742" s="17" t="n">
        <v>0</v>
      </c>
      <c r="T742" s="17" t="n">
        <v>0</v>
      </c>
      <c r="U742" s="17" t="n">
        <v>-2984</v>
      </c>
      <c r="V742" s="17" t="n">
        <v>-2.72523029900818</v>
      </c>
      <c r="W742" s="17" t="n">
        <v>-10.35</v>
      </c>
      <c r="X742" s="17" t="n">
        <v>2.64668436492276</v>
      </c>
      <c r="Y742" s="17" t="n">
        <v>0.769113449680807</v>
      </c>
      <c r="Z742" s="17" t="n">
        <v>0</v>
      </c>
      <c r="AA742" s="17" t="n">
        <v>22.3405522597861</v>
      </c>
      <c r="AB742" s="17"/>
      <c r="AC742" s="17"/>
      <c r="AD742" s="17"/>
      <c r="AE742" s="17"/>
      <c r="AF742" s="17"/>
      <c r="AG742" s="18" t="n">
        <f aca="false">IFERROR(100*O742/F742,"")</f>
        <v>0</v>
      </c>
      <c r="AH742" s="18" t="n">
        <f aca="false">IFERROR(100*(P742+Q742)/F742,"")</f>
        <v>0</v>
      </c>
      <c r="AI742" s="18" t="n">
        <f aca="false">IFERROR(100*R742/K742,"")</f>
        <v>0</v>
      </c>
      <c r="AJ742" s="18" t="str">
        <f aca="false">IF(T742&gt;0,100*S742/T742,"")</f>
        <v/>
      </c>
      <c r="AK742" s="18" t="n">
        <f aca="false">IFERROR(100*U742/G742,"")</f>
        <v>-2.72523029900818</v>
      </c>
      <c r="AL742" s="18" t="n">
        <f aca="false">IFERROR(100*J742/H742,"")</f>
        <v>47.4382693718928</v>
      </c>
      <c r="AM742" s="18" t="n">
        <f aca="false">IFERROR(100*L742/J742,"")</f>
        <v>77.7392857920997</v>
      </c>
      <c r="AN742" s="18" t="n">
        <f aca="false">IFERROR(100*M742/J742,"")</f>
        <v>22.2759657493954</v>
      </c>
      <c r="AO742" s="18" t="n">
        <f aca="false">IFERROR(100*N742/J742,"")</f>
        <v>0</v>
      </c>
    </row>
    <row r="743" customFormat="false" ht="15" hidden="false" customHeight="false" outlineLevel="0" collapsed="false">
      <c r="A743" s="17" t="n">
        <v>59298</v>
      </c>
      <c r="B743" s="23" t="n">
        <v>45199</v>
      </c>
      <c r="C743" s="17" t="s">
        <v>160</v>
      </c>
      <c r="D743" s="17" t="s">
        <v>113</v>
      </c>
      <c r="E743" s="17" t="s">
        <v>111</v>
      </c>
      <c r="F743" s="17" t="n">
        <v>134128</v>
      </c>
      <c r="G743" s="17" t="n">
        <v>115653.5</v>
      </c>
      <c r="H743" s="17" t="n">
        <v>105729</v>
      </c>
      <c r="I743" s="17" t="n">
        <v>27342</v>
      </c>
      <c r="J743" s="17" t="n">
        <v>53456</v>
      </c>
      <c r="K743" s="17" t="n">
        <v>39706.25</v>
      </c>
      <c r="L743" s="17" t="n">
        <v>38015</v>
      </c>
      <c r="M743" s="17" t="n">
        <v>15440</v>
      </c>
      <c r="N743" s="17" t="n">
        <v>0</v>
      </c>
      <c r="O743" s="17" t="n">
        <v>0</v>
      </c>
      <c r="P743" s="17" t="n">
        <v>0</v>
      </c>
      <c r="Q743" s="17" t="n">
        <v>0</v>
      </c>
      <c r="R743" s="17" t="n">
        <v>0</v>
      </c>
      <c r="S743" s="17" t="n">
        <v>0</v>
      </c>
      <c r="T743" s="17" t="n">
        <v>0</v>
      </c>
      <c r="U743" s="17" t="n">
        <v>-2699.9325</v>
      </c>
      <c r="V743" s="17" t="n">
        <v>-2.33450133372531</v>
      </c>
      <c r="W743" s="17" t="n">
        <v>-9.49</v>
      </c>
      <c r="X743" s="17" t="n">
        <v>2.77001222612168</v>
      </c>
      <c r="Y743" s="17" t="n">
        <v>0.789434301107453</v>
      </c>
      <c r="Z743" s="17" t="n">
        <v>0</v>
      </c>
      <c r="AA743" s="17" t="n">
        <v>20.3850053680067</v>
      </c>
      <c r="AB743" s="17" t="n">
        <v>250.964230578015</v>
      </c>
      <c r="AC743" s="17" t="n">
        <v>598.953974895398</v>
      </c>
      <c r="AD743" s="17" t="n">
        <v>1480.40358744395</v>
      </c>
      <c r="AE743" s="17" t="n">
        <v>-0.54127789912814</v>
      </c>
      <c r="AF743" s="17" t="n">
        <v>0</v>
      </c>
      <c r="AG743" s="18" t="n">
        <f aca="false">IFERROR(100*O743/F743,"")</f>
        <v>0</v>
      </c>
      <c r="AH743" s="18" t="n">
        <f aca="false">IFERROR(100*(P743+Q743)/F743,"")</f>
        <v>0</v>
      </c>
      <c r="AI743" s="18" t="n">
        <f aca="false">IFERROR(100*R743/K743,"")</f>
        <v>0</v>
      </c>
      <c r="AJ743" s="18" t="str">
        <f aca="false">IF(T743&gt;0,100*S743/T743,"")</f>
        <v/>
      </c>
      <c r="AK743" s="18" t="n">
        <f aca="false">IFERROR(100*U743/G743,"")</f>
        <v>-2.33450133372531</v>
      </c>
      <c r="AL743" s="18" t="n">
        <f aca="false">IFERROR(100*J743/H743,"")</f>
        <v>50.5594491577524</v>
      </c>
      <c r="AM743" s="18" t="n">
        <f aca="false">IFERROR(100*L743/J743,"")</f>
        <v>71.1145615085304</v>
      </c>
      <c r="AN743" s="18" t="n">
        <f aca="false">IFERROR(100*M743/J743,"")</f>
        <v>28.8835677940736</v>
      </c>
      <c r="AO743" s="18" t="n">
        <f aca="false">IFERROR(100*N743/J743,"")</f>
        <v>0</v>
      </c>
    </row>
    <row r="744" customFormat="false" ht="15" hidden="false" customHeight="false" outlineLevel="0" collapsed="false">
      <c r="A744" s="17" t="n">
        <v>59298</v>
      </c>
      <c r="B744" s="23" t="n">
        <v>45291</v>
      </c>
      <c r="C744" s="17" t="s">
        <v>160</v>
      </c>
      <c r="D744" s="17" t="s">
        <v>113</v>
      </c>
      <c r="E744" s="17" t="s">
        <v>111</v>
      </c>
      <c r="F744" s="17" t="n">
        <v>159178</v>
      </c>
      <c r="G744" s="17" t="n">
        <v>124358.4</v>
      </c>
      <c r="H744" s="17" t="n">
        <v>130214</v>
      </c>
      <c r="I744" s="17" t="n">
        <v>27360</v>
      </c>
      <c r="J744" s="17" t="n">
        <v>77426</v>
      </c>
      <c r="K744" s="17" t="n">
        <v>47250.2</v>
      </c>
      <c r="L744" s="17" t="n">
        <v>58407</v>
      </c>
      <c r="M744" s="17" t="n">
        <v>19027</v>
      </c>
      <c r="N744" s="17" t="n">
        <v>0</v>
      </c>
      <c r="O744" s="17" t="n">
        <v>0</v>
      </c>
      <c r="P744" s="17" t="n">
        <v>0</v>
      </c>
      <c r="Q744" s="17" t="n">
        <v>0</v>
      </c>
      <c r="R744" s="17" t="n">
        <v>0</v>
      </c>
      <c r="S744" s="17" t="n">
        <v>0</v>
      </c>
      <c r="T744" s="17" t="n">
        <v>0</v>
      </c>
      <c r="U744" s="17" t="n">
        <v>-2619</v>
      </c>
      <c r="V744" s="17" t="n">
        <v>-2.10600972672534</v>
      </c>
      <c r="W744" s="17" t="n">
        <v>-9.28</v>
      </c>
      <c r="X744" s="17" t="n">
        <v>2.77710579481781</v>
      </c>
      <c r="Y744" s="17" t="n">
        <v>0.790432154573399</v>
      </c>
      <c r="Z744" s="17" t="n">
        <v>0</v>
      </c>
      <c r="AA744" s="17" t="n">
        <v>17.1883049165086</v>
      </c>
      <c r="AB744" s="17" t="n">
        <v>82.480797890634</v>
      </c>
      <c r="AC744" s="17" t="n">
        <v>246.409556619391</v>
      </c>
      <c r="AD744" s="17" t="n">
        <v>129.492421572083</v>
      </c>
      <c r="AE744" s="17" t="n">
        <v>0.232826594589642</v>
      </c>
      <c r="AF744" s="17" t="n">
        <v>0</v>
      </c>
      <c r="AG744" s="18" t="n">
        <f aca="false">IFERROR(100*O744/F744,"")</f>
        <v>0</v>
      </c>
      <c r="AH744" s="18" t="n">
        <f aca="false">IFERROR(100*(P744+Q744)/F744,"")</f>
        <v>0</v>
      </c>
      <c r="AI744" s="18" t="n">
        <f aca="false">IFERROR(100*R744/K744,"")</f>
        <v>0</v>
      </c>
      <c r="AJ744" s="18" t="str">
        <f aca="false">IF(T744&gt;0,100*S744/T744,"")</f>
        <v/>
      </c>
      <c r="AK744" s="18" t="n">
        <f aca="false">IFERROR(100*U744/G744,"")</f>
        <v>-2.10600972672534</v>
      </c>
      <c r="AL744" s="18" t="n">
        <f aca="false">IFERROR(100*J744/H744,"")</f>
        <v>59.4605802755464</v>
      </c>
      <c r="AM744" s="18" t="n">
        <f aca="false">IFERROR(100*L744/J744,"")</f>
        <v>75.4359000852427</v>
      </c>
      <c r="AN744" s="18" t="n">
        <f aca="false">IFERROR(100*M744/J744,"")</f>
        <v>24.5744323612223</v>
      </c>
      <c r="AO744" s="18" t="n">
        <f aca="false">IFERROR(100*N744/J744,"")</f>
        <v>0</v>
      </c>
    </row>
    <row r="745" customFormat="false" ht="15" hidden="false" customHeight="false" outlineLevel="0" collapsed="false">
      <c r="A745" s="17" t="n">
        <v>59298</v>
      </c>
      <c r="B745" s="23" t="n">
        <v>45382</v>
      </c>
      <c r="C745" s="17" t="s">
        <v>160</v>
      </c>
      <c r="D745" s="17" t="s">
        <v>113</v>
      </c>
      <c r="E745" s="17" t="s">
        <v>111</v>
      </c>
      <c r="F745" s="17" t="n">
        <v>169806</v>
      </c>
      <c r="G745" s="17" t="n">
        <v>164492</v>
      </c>
      <c r="H745" s="17" t="n">
        <v>142779</v>
      </c>
      <c r="I745" s="17" t="n">
        <v>26235</v>
      </c>
      <c r="J745" s="17" t="n">
        <v>84880</v>
      </c>
      <c r="K745" s="17" t="n">
        <v>81153</v>
      </c>
      <c r="L745" s="17" t="n">
        <v>66264</v>
      </c>
      <c r="M745" s="17" t="n">
        <v>18628</v>
      </c>
      <c r="N745" s="17" t="n">
        <v>0</v>
      </c>
      <c r="O745" s="17" t="n">
        <v>0</v>
      </c>
      <c r="P745" s="17" t="n">
        <v>0</v>
      </c>
      <c r="Q745" s="17" t="n">
        <v>0</v>
      </c>
      <c r="R745" s="17" t="n">
        <v>0</v>
      </c>
      <c r="S745" s="17" t="n">
        <v>0</v>
      </c>
      <c r="T745" s="17" t="n">
        <v>0</v>
      </c>
      <c r="U745" s="17" t="n">
        <v>-2100</v>
      </c>
      <c r="V745" s="17" t="n">
        <v>-1.2766578313839</v>
      </c>
      <c r="W745" s="17" t="n">
        <v>-7.84</v>
      </c>
      <c r="X745" s="17" t="n">
        <v>2.25176342919154</v>
      </c>
      <c r="Y745" s="17" t="n">
        <v>0.79995287464656</v>
      </c>
      <c r="Z745" s="17" t="n">
        <v>0</v>
      </c>
      <c r="AA745" s="17" t="n">
        <v>15.4499840995018</v>
      </c>
      <c r="AB745" s="17" t="n">
        <v>47.2259552441974</v>
      </c>
      <c r="AC745" s="17" t="n">
        <v>128.657633145659</v>
      </c>
      <c r="AD745" s="17" t="n">
        <v>66.729724995621</v>
      </c>
      <c r="AE745" s="17" t="n">
        <v>2.30536688142717</v>
      </c>
      <c r="AF745" s="17" t="n">
        <v>0</v>
      </c>
      <c r="AG745" s="18" t="n">
        <f aca="false">IFERROR(100*O745/F745,"")</f>
        <v>0</v>
      </c>
      <c r="AH745" s="18" t="n">
        <f aca="false">IFERROR(100*(P745+Q745)/F745,"")</f>
        <v>0</v>
      </c>
      <c r="AI745" s="18" t="n">
        <f aca="false">IFERROR(100*R745/K745,"")</f>
        <v>0</v>
      </c>
      <c r="AJ745" s="18" t="str">
        <f aca="false">IF(T745&gt;0,100*S745/T745,"")</f>
        <v/>
      </c>
      <c r="AK745" s="18" t="n">
        <f aca="false">IFERROR(100*U745/G745,"")</f>
        <v>-1.2766578313839</v>
      </c>
      <c r="AL745" s="18" t="n">
        <f aca="false">IFERROR(100*J745/H745,"")</f>
        <v>59.4485183395317</v>
      </c>
      <c r="AM745" s="18" t="n">
        <f aca="false">IFERROR(100*L745/J745,"")</f>
        <v>78.0678605089538</v>
      </c>
      <c r="AN745" s="18" t="n">
        <f aca="false">IFERROR(100*M745/J745,"")</f>
        <v>21.9462770970782</v>
      </c>
      <c r="AO745" s="18" t="n">
        <f aca="false">IFERROR(100*N745/J745,"")</f>
        <v>0</v>
      </c>
    </row>
    <row r="746" customFormat="false" ht="15" hidden="false" customHeight="false" outlineLevel="0" collapsed="false">
      <c r="A746" s="17" t="n">
        <v>59298</v>
      </c>
      <c r="B746" s="23" t="n">
        <v>45473</v>
      </c>
      <c r="C746" s="17" t="s">
        <v>160</v>
      </c>
      <c r="D746" s="17" t="s">
        <v>113</v>
      </c>
      <c r="E746" s="17" t="s">
        <v>111</v>
      </c>
      <c r="F746" s="17" t="n">
        <v>218470</v>
      </c>
      <c r="G746" s="17" t="n">
        <v>182484.666666667</v>
      </c>
      <c r="H746" s="17" t="n">
        <v>191471</v>
      </c>
      <c r="I746" s="17" t="n">
        <v>25754</v>
      </c>
      <c r="J746" s="17" t="n">
        <v>98920</v>
      </c>
      <c r="K746" s="17" t="n">
        <v>87075.3333333333</v>
      </c>
      <c r="L746" s="17" t="n">
        <v>79488</v>
      </c>
      <c r="M746" s="17" t="n">
        <v>19454</v>
      </c>
      <c r="N746" s="17" t="n">
        <v>0</v>
      </c>
      <c r="O746" s="17" t="n">
        <v>0</v>
      </c>
      <c r="P746" s="17" t="n">
        <v>0</v>
      </c>
      <c r="Q746" s="17" t="n">
        <v>0</v>
      </c>
      <c r="R746" s="17" t="n">
        <v>0</v>
      </c>
      <c r="S746" s="17" t="n">
        <v>0</v>
      </c>
      <c r="T746" s="17" t="n">
        <v>0</v>
      </c>
      <c r="U746" s="17" t="n">
        <v>-2280</v>
      </c>
      <c r="V746" s="17" t="n">
        <v>-1.24942004259719</v>
      </c>
      <c r="W746" s="17" t="n">
        <v>-8.62</v>
      </c>
      <c r="X746" s="17" t="n">
        <v>2.09333816771864</v>
      </c>
      <c r="Y746" s="17" t="n">
        <v>0.788515972503033</v>
      </c>
      <c r="Z746" s="17" t="n">
        <v>0</v>
      </c>
      <c r="AA746" s="17" t="n">
        <v>11.7883462260265</v>
      </c>
      <c r="AB746" s="17" t="n">
        <v>73.5004248763094</v>
      </c>
      <c r="AC746" s="17" t="n">
        <v>115.526069241998</v>
      </c>
      <c r="AD746" s="17" t="n">
        <v>97.9007968909882</v>
      </c>
      <c r="AE746" s="17" t="n">
        <v>1.47581025641099</v>
      </c>
      <c r="AF746" s="17" t="n">
        <v>0</v>
      </c>
      <c r="AG746" s="18" t="n">
        <f aca="false">IFERROR(100*O746/F746,"")</f>
        <v>0</v>
      </c>
      <c r="AH746" s="18" t="n">
        <f aca="false">IFERROR(100*(P746+Q746)/F746,"")</f>
        <v>0</v>
      </c>
      <c r="AI746" s="18" t="n">
        <f aca="false">IFERROR(100*R746/K746,"")</f>
        <v>0</v>
      </c>
      <c r="AJ746" s="18" t="str">
        <f aca="false">IF(T746&gt;0,100*S746/T746,"")</f>
        <v/>
      </c>
      <c r="AK746" s="18" t="n">
        <f aca="false">IFERROR(100*U746/G746,"")</f>
        <v>-1.24942004259719</v>
      </c>
      <c r="AL746" s="18" t="n">
        <f aca="false">IFERROR(100*J746/H746,"")</f>
        <v>51.6631761467794</v>
      </c>
      <c r="AM746" s="18" t="n">
        <f aca="false">IFERROR(100*L746/J746,"")</f>
        <v>80.3558431055398</v>
      </c>
      <c r="AN746" s="18" t="n">
        <f aca="false">IFERROR(100*M746/J746,"")</f>
        <v>19.6663970885564</v>
      </c>
      <c r="AO746" s="18" t="n">
        <f aca="false">IFERROR(100*N746/J746,"")</f>
        <v>0</v>
      </c>
    </row>
    <row r="747" customFormat="false" ht="15" hidden="false" customHeight="false" outlineLevel="0" collapsed="false">
      <c r="A747" s="17" t="n">
        <v>59298</v>
      </c>
      <c r="B747" s="23" t="n">
        <v>45565</v>
      </c>
      <c r="C747" s="17" t="s">
        <v>160</v>
      </c>
      <c r="D747" s="17" t="s">
        <v>113</v>
      </c>
      <c r="E747" s="17" t="s">
        <v>118</v>
      </c>
      <c r="F747" s="17" t="n">
        <v>257839</v>
      </c>
      <c r="G747" s="17" t="n">
        <v>201323.25</v>
      </c>
      <c r="H747" s="17" t="n">
        <v>230108</v>
      </c>
      <c r="I747" s="17" t="n">
        <v>26808</v>
      </c>
      <c r="J747" s="17" t="n">
        <v>111891</v>
      </c>
      <c r="K747" s="17" t="n">
        <v>93279.25</v>
      </c>
      <c r="L747" s="17" t="n">
        <v>88153</v>
      </c>
      <c r="M747" s="17" t="n">
        <v>23764</v>
      </c>
      <c r="N747" s="17" t="n">
        <v>0</v>
      </c>
      <c r="O747" s="17" t="n">
        <v>0</v>
      </c>
      <c r="P747" s="17" t="n">
        <v>0</v>
      </c>
      <c r="Q747" s="17" t="n">
        <v>0</v>
      </c>
      <c r="R747" s="17" t="n">
        <v>0</v>
      </c>
      <c r="S747" s="17" t="n">
        <v>0</v>
      </c>
      <c r="T747" s="17" t="n">
        <v>0</v>
      </c>
      <c r="U747" s="17" t="n">
        <v>-2107.9473</v>
      </c>
      <c r="V747" s="17" t="n">
        <v>-1.04704613103554</v>
      </c>
      <c r="W747" s="17" t="n">
        <v>-7.94</v>
      </c>
      <c r="X747" s="17" t="n">
        <v>1.98479257946533</v>
      </c>
      <c r="Y747" s="17" t="n">
        <v>0.787373425923443</v>
      </c>
      <c r="Z747" s="17" t="n">
        <v>0</v>
      </c>
      <c r="AA747" s="17" t="n">
        <v>10.3971858407766</v>
      </c>
      <c r="AB747" s="17" t="n">
        <v>92.2335381128474</v>
      </c>
      <c r="AC747" s="17" t="n">
        <v>109.31420233463</v>
      </c>
      <c r="AD747" s="17" t="n">
        <v>117.639436673004</v>
      </c>
      <c r="AE747" s="17" t="n">
        <v>1.28745520268977</v>
      </c>
      <c r="AF747" s="17" t="n">
        <v>0</v>
      </c>
      <c r="AG747" s="18" t="n">
        <f aca="false">IFERROR(100*O747/F747,"")</f>
        <v>0</v>
      </c>
      <c r="AH747" s="18" t="n">
        <f aca="false">IFERROR(100*(P747+Q747)/F747,"")</f>
        <v>0</v>
      </c>
      <c r="AI747" s="18" t="n">
        <f aca="false">IFERROR(100*R747/K747,"")</f>
        <v>0</v>
      </c>
      <c r="AJ747" s="18" t="str">
        <f aca="false">IF(T747&gt;0,100*S747/T747,"")</f>
        <v/>
      </c>
      <c r="AK747" s="18" t="n">
        <f aca="false">IFERROR(100*U747/G747,"")</f>
        <v>-1.04704613103554</v>
      </c>
      <c r="AL747" s="18" t="n">
        <f aca="false">IFERROR(100*J747/H747,"")</f>
        <v>48.6254280598675</v>
      </c>
      <c r="AM747" s="18" t="n">
        <f aca="false">IFERROR(100*L747/J747,"")</f>
        <v>78.78471011967</v>
      </c>
      <c r="AN747" s="18" t="n">
        <f aca="false">IFERROR(100*M747/J747,"")</f>
        <v>21.2385267805275</v>
      </c>
      <c r="AO747" s="18" t="n">
        <f aca="false">IFERROR(100*N747/J747,"")</f>
        <v>0</v>
      </c>
    </row>
    <row r="748" customFormat="false" ht="15" hidden="false" customHeight="false" outlineLevel="0" collapsed="false">
      <c r="A748" s="17" t="n">
        <v>59298</v>
      </c>
      <c r="B748" s="23" t="n">
        <v>45657</v>
      </c>
      <c r="C748" s="17" t="s">
        <v>160</v>
      </c>
      <c r="D748" s="17" t="s">
        <v>113</v>
      </c>
      <c r="E748" s="17" t="s">
        <v>118</v>
      </c>
      <c r="F748" s="17" t="n">
        <v>261157</v>
      </c>
      <c r="G748" s="17" t="n">
        <v>213290</v>
      </c>
      <c r="H748" s="17" t="n">
        <v>236473</v>
      </c>
      <c r="I748" s="17" t="n">
        <v>23720</v>
      </c>
      <c r="J748" s="17" t="n">
        <v>137574</v>
      </c>
      <c r="K748" s="17" t="n">
        <v>102138.2</v>
      </c>
      <c r="L748" s="17" t="n">
        <v>105764</v>
      </c>
      <c r="M748" s="17" t="n">
        <v>31832</v>
      </c>
      <c r="N748" s="17" t="n">
        <v>0</v>
      </c>
      <c r="O748" s="17" t="n">
        <v>0</v>
      </c>
      <c r="P748" s="17" t="n">
        <v>0</v>
      </c>
      <c r="Q748" s="17" t="n">
        <v>0</v>
      </c>
      <c r="R748" s="17" t="n">
        <v>0</v>
      </c>
      <c r="S748" s="17" t="n">
        <v>26378</v>
      </c>
      <c r="T748" s="17" t="n">
        <v>150069</v>
      </c>
      <c r="U748" s="17" t="n">
        <v>-2006</v>
      </c>
      <c r="V748" s="17" t="n">
        <v>-0.940503539781518</v>
      </c>
      <c r="W748" s="17" t="n">
        <v>-7.72</v>
      </c>
      <c r="X748" s="17" t="n">
        <v>2.05742766499991</v>
      </c>
      <c r="Y748" s="17" t="n">
        <v>0.800296567665402</v>
      </c>
      <c r="Z748" s="17" t="n">
        <v>17.5772477993456</v>
      </c>
      <c r="AA748" s="17" t="n">
        <v>9.08265909012586</v>
      </c>
      <c r="AB748" s="17" t="n">
        <v>64.0660141476837</v>
      </c>
      <c r="AC748" s="17" t="n">
        <v>77.6844987471909</v>
      </c>
      <c r="AD748" s="17" t="n">
        <v>81.6033606217457</v>
      </c>
      <c r="AE748" s="17" t="n">
        <v>1.16550618694382</v>
      </c>
      <c r="AF748" s="17" t="n">
        <v>0</v>
      </c>
      <c r="AG748" s="18" t="n">
        <f aca="false">IFERROR(100*O748/F748,"")</f>
        <v>0</v>
      </c>
      <c r="AH748" s="18" t="n">
        <f aca="false">IFERROR(100*(P748+Q748)/F748,"")</f>
        <v>0</v>
      </c>
      <c r="AI748" s="18" t="n">
        <f aca="false">IFERROR(100*R748/K748,"")</f>
        <v>0</v>
      </c>
      <c r="AJ748" s="18" t="n">
        <f aca="false">IF(T748&gt;0,100*S748/T748,"")</f>
        <v>17.5772477993456</v>
      </c>
      <c r="AK748" s="18" t="n">
        <f aca="false">IFERROR(100*U748/G748,"")</f>
        <v>-0.940503539781518</v>
      </c>
      <c r="AL748" s="18" t="n">
        <f aca="false">IFERROR(100*J748/H748,"")</f>
        <v>58.1774663492238</v>
      </c>
      <c r="AM748" s="18" t="n">
        <f aca="false">IFERROR(100*L748/J748,"")</f>
        <v>76.8778984401122</v>
      </c>
      <c r="AN748" s="18" t="n">
        <f aca="false">IFERROR(100*M748/J748,"")</f>
        <v>23.1380929536104</v>
      </c>
      <c r="AO748" s="18" t="n">
        <f aca="false">IFERROR(100*N748/J748,"")</f>
        <v>0</v>
      </c>
    </row>
    <row r="749" customFormat="false" ht="15" hidden="false" customHeight="false" outlineLevel="0" collapsed="false">
      <c r="A749" s="17" t="n">
        <v>59298</v>
      </c>
      <c r="B749" s="23" t="n">
        <v>45747</v>
      </c>
      <c r="C749" s="17" t="s">
        <v>160</v>
      </c>
      <c r="D749" s="17" t="s">
        <v>113</v>
      </c>
      <c r="E749" s="17" t="s">
        <v>118</v>
      </c>
      <c r="F749" s="17" t="n">
        <v>273586</v>
      </c>
      <c r="G749" s="17" t="n">
        <v>267371.5</v>
      </c>
      <c r="H749" s="17" t="n">
        <v>247768</v>
      </c>
      <c r="I749" s="17" t="n">
        <v>24927</v>
      </c>
      <c r="J749" s="17" t="n">
        <v>143380</v>
      </c>
      <c r="K749" s="17" t="n">
        <v>140477</v>
      </c>
      <c r="L749" s="17" t="n">
        <v>109081</v>
      </c>
      <c r="M749" s="17" t="n">
        <v>34338</v>
      </c>
      <c r="N749" s="17" t="n">
        <v>0</v>
      </c>
      <c r="O749" s="17" t="n">
        <v>0</v>
      </c>
      <c r="P749" s="17" t="n">
        <v>0</v>
      </c>
      <c r="Q749" s="17" t="n">
        <v>0</v>
      </c>
      <c r="R749" s="17" t="n">
        <v>0</v>
      </c>
      <c r="S749" s="17" t="n">
        <v>26336</v>
      </c>
      <c r="T749" s="17" t="n">
        <v>147716</v>
      </c>
      <c r="U749" s="17" t="n">
        <v>56</v>
      </c>
      <c r="V749" s="17" t="n">
        <v>0.0209446406965589</v>
      </c>
      <c r="W749" s="17" t="n">
        <v>0.23</v>
      </c>
      <c r="X749" s="17" t="n">
        <v>2.31554886483537</v>
      </c>
      <c r="Y749" s="17" t="n">
        <v>0.817408285674432</v>
      </c>
      <c r="Z749" s="17" t="n">
        <v>17.8288066289366</v>
      </c>
      <c r="AA749" s="17" t="n">
        <v>9.11121183101475</v>
      </c>
      <c r="AB749" s="17" t="n">
        <v>61.1168038820772</v>
      </c>
      <c r="AC749" s="17" t="n">
        <v>68.9208294062206</v>
      </c>
      <c r="AD749" s="17" t="n">
        <v>73.5325222896925</v>
      </c>
      <c r="AE749" s="17" t="n">
        <v>1.29760247208046</v>
      </c>
      <c r="AF749" s="17" t="n">
        <v>0</v>
      </c>
      <c r="AG749" s="18" t="n">
        <f aca="false">IFERROR(100*O749/F749,"")</f>
        <v>0</v>
      </c>
      <c r="AH749" s="18" t="n">
        <f aca="false">IFERROR(100*(P749+Q749)/F749,"")</f>
        <v>0</v>
      </c>
      <c r="AI749" s="18" t="n">
        <f aca="false">IFERROR(100*R749/K749,"")</f>
        <v>0</v>
      </c>
      <c r="AJ749" s="18" t="n">
        <f aca="false">IF(T749&gt;0,100*S749/T749,"")</f>
        <v>17.8288066289366</v>
      </c>
      <c r="AK749" s="18" t="n">
        <f aca="false">IFERROR(100*U749/G749,"")</f>
        <v>0.0209446406965589</v>
      </c>
      <c r="AL749" s="18" t="n">
        <f aca="false">IFERROR(100*J749/H749,"")</f>
        <v>57.8686513189758</v>
      </c>
      <c r="AM749" s="18" t="n">
        <f aca="false">IFERROR(100*L749/J749,"")</f>
        <v>76.0782535918538</v>
      </c>
      <c r="AN749" s="18" t="n">
        <f aca="false">IFERROR(100*M749/J749,"")</f>
        <v>23.9489468545125</v>
      </c>
      <c r="AO749" s="18" t="n">
        <f aca="false">IFERROR(100*N749/J749,"")</f>
        <v>0</v>
      </c>
    </row>
    <row r="750" customFormat="false" ht="15" hidden="false" customHeight="false" outlineLevel="0" collapsed="false">
      <c r="A750" s="17" t="n">
        <v>59298</v>
      </c>
      <c r="B750" s="23" t="n">
        <v>45838</v>
      </c>
      <c r="C750" s="17" t="s">
        <v>160</v>
      </c>
      <c r="D750" s="17" t="s">
        <v>113</v>
      </c>
      <c r="E750" s="17" t="s">
        <v>118</v>
      </c>
      <c r="F750" s="17" t="n">
        <v>269483</v>
      </c>
      <c r="G750" s="17" t="n">
        <v>268075.333333333</v>
      </c>
      <c r="H750" s="17" t="n">
        <v>242655</v>
      </c>
      <c r="I750" s="17" t="n">
        <v>25838</v>
      </c>
      <c r="J750" s="17" t="n">
        <v>150271</v>
      </c>
      <c r="K750" s="17" t="n">
        <v>143741.666666667</v>
      </c>
      <c r="L750" s="17" t="n">
        <v>114258</v>
      </c>
      <c r="M750" s="17" t="n">
        <v>35490</v>
      </c>
      <c r="N750" s="17" t="n">
        <v>0</v>
      </c>
      <c r="O750" s="17" t="n">
        <v>0</v>
      </c>
      <c r="P750" s="17" t="n">
        <v>0</v>
      </c>
      <c r="Q750" s="17" t="n">
        <v>0</v>
      </c>
      <c r="R750" s="17" t="n">
        <v>0</v>
      </c>
      <c r="S750" s="17" t="n">
        <v>27786</v>
      </c>
      <c r="T750" s="17" t="n">
        <v>164629</v>
      </c>
      <c r="U750" s="17" t="n">
        <v>164</v>
      </c>
      <c r="V750" s="17" t="n">
        <v>0.0611768333776824</v>
      </c>
      <c r="W750" s="17" t="n">
        <v>0.66</v>
      </c>
      <c r="X750" s="17" t="n">
        <v>2.35397816467433</v>
      </c>
      <c r="Y750" s="17" t="n">
        <v>0.855121746710942</v>
      </c>
      <c r="Z750" s="17" t="n">
        <v>16.8779498144312</v>
      </c>
      <c r="AA750" s="17" t="n">
        <v>9.58798885272912</v>
      </c>
      <c r="AB750" s="17" t="n">
        <v>23.3501167208312</v>
      </c>
      <c r="AC750" s="17" t="n">
        <v>51.9116457743631</v>
      </c>
      <c r="AD750" s="17" t="n">
        <v>26.7319855226118</v>
      </c>
      <c r="AE750" s="17" t="n">
        <v>1.31059687597487</v>
      </c>
      <c r="AF750" s="17" t="n">
        <v>0</v>
      </c>
      <c r="AG750" s="18" t="n">
        <f aca="false">IFERROR(100*O750/F750,"")</f>
        <v>0</v>
      </c>
      <c r="AH750" s="18" t="n">
        <f aca="false">IFERROR(100*(P750+Q750)/F750,"")</f>
        <v>0</v>
      </c>
      <c r="AI750" s="18" t="n">
        <f aca="false">IFERROR(100*R750/K750,"")</f>
        <v>0</v>
      </c>
      <c r="AJ750" s="18" t="n">
        <f aca="false">IF(T750&gt;0,100*S750/T750,"")</f>
        <v>16.8779498144312</v>
      </c>
      <c r="AK750" s="18" t="n">
        <f aca="false">IFERROR(100*U750/G750,"")</f>
        <v>0.0611768333776824</v>
      </c>
      <c r="AL750" s="18" t="n">
        <f aca="false">IFERROR(100*J750/H750,"")</f>
        <v>61.9278399373596</v>
      </c>
      <c r="AM750" s="18" t="n">
        <f aca="false">IFERROR(100*L750/J750,"")</f>
        <v>76.0346307670808</v>
      </c>
      <c r="AN750" s="18" t="n">
        <f aca="false">IFERROR(100*M750/J750,"")</f>
        <v>23.6173313546859</v>
      </c>
      <c r="AO750" s="18" t="n">
        <f aca="false">IFERROR(100*N750/J750,"")</f>
        <v>0</v>
      </c>
    </row>
  </sheetData>
  <autoFilter ref="A4:AO750"/>
  <mergeCells count="2">
    <mergeCell ref="A1:AF1"/>
    <mergeCell ref="A2:A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6"/>
    <col collapsed="false" customWidth="true" hidden="false" outlineLevel="0" max="11" min="3" style="0" width="15"/>
  </cols>
  <sheetData>
    <row r="1" customFormat="false" ht="22.05" hidden="false" customHeight="false" outlineLevel="0" collapsed="false">
      <c r="A1" s="13" t="s">
        <v>197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5" hidden="false" customHeight="false" outlineLevel="0" collapsed="false">
      <c r="A2" s="14" t="s">
        <v>198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customFormat="false" ht="30" hidden="false" customHeight="true" outlineLevel="0" collapsed="false">
      <c r="A4" s="15" t="s">
        <v>81</v>
      </c>
      <c r="B4" s="15" t="s">
        <v>199</v>
      </c>
      <c r="C4" s="15" t="s">
        <v>83</v>
      </c>
      <c r="D4" s="15" t="s">
        <v>200</v>
      </c>
      <c r="E4" s="15" t="s">
        <v>201</v>
      </c>
      <c r="F4" s="15" t="s">
        <v>202</v>
      </c>
      <c r="G4" s="15" t="s">
        <v>203</v>
      </c>
      <c r="H4" s="15" t="s">
        <v>204</v>
      </c>
      <c r="I4" s="15" t="s">
        <v>205</v>
      </c>
      <c r="J4" s="15" t="s">
        <v>206</v>
      </c>
      <c r="K4" s="15" t="s">
        <v>207</v>
      </c>
    </row>
    <row r="5" customFormat="false" ht="15" hidden="false" customHeight="false" outlineLevel="0" collapsed="false">
      <c r="A5" s="17" t="n">
        <v>4255</v>
      </c>
      <c r="B5" s="17" t="s">
        <v>208</v>
      </c>
      <c r="C5" s="17" t="s">
        <v>108</v>
      </c>
      <c r="D5" s="17" t="n">
        <v>1</v>
      </c>
      <c r="E5" s="17" t="s">
        <v>209</v>
      </c>
      <c r="F5" s="17" t="s">
        <v>210</v>
      </c>
      <c r="G5" s="17" t="s">
        <v>211</v>
      </c>
      <c r="H5" s="17" t="n">
        <v>0</v>
      </c>
      <c r="I5" s="17" t="s">
        <v>212</v>
      </c>
      <c r="J5" s="17" t="s">
        <v>213</v>
      </c>
      <c r="K5" s="17" t="s">
        <v>214</v>
      </c>
    </row>
    <row r="6" customFormat="false" ht="15" hidden="false" customHeight="false" outlineLevel="0" collapsed="false">
      <c r="A6" s="17" t="n">
        <v>4256</v>
      </c>
      <c r="B6" s="17" t="s">
        <v>215</v>
      </c>
      <c r="C6" s="17" t="s">
        <v>108</v>
      </c>
      <c r="D6" s="17" t="n">
        <v>1</v>
      </c>
      <c r="E6" s="17" t="s">
        <v>209</v>
      </c>
      <c r="F6" s="17" t="s">
        <v>210</v>
      </c>
      <c r="G6" s="17" t="s">
        <v>211</v>
      </c>
      <c r="H6" s="17" t="n">
        <v>0</v>
      </c>
      <c r="I6" s="17" t="s">
        <v>216</v>
      </c>
      <c r="J6" s="17" t="s">
        <v>217</v>
      </c>
      <c r="K6" s="17" t="s">
        <v>218</v>
      </c>
    </row>
    <row r="7" customFormat="false" ht="15" hidden="false" customHeight="false" outlineLevel="0" collapsed="false">
      <c r="A7" s="17" t="n">
        <v>6271</v>
      </c>
      <c r="B7" s="17" t="s">
        <v>219</v>
      </c>
      <c r="C7" s="17" t="s">
        <v>113</v>
      </c>
      <c r="D7" s="17" t="n">
        <v>1</v>
      </c>
      <c r="E7" s="17" t="s">
        <v>209</v>
      </c>
      <c r="F7" s="17" t="s">
        <v>210</v>
      </c>
      <c r="G7" s="17" t="s">
        <v>211</v>
      </c>
      <c r="H7" s="17" t="n">
        <v>0</v>
      </c>
      <c r="I7" s="17" t="s">
        <v>220</v>
      </c>
      <c r="J7" s="17" t="s">
        <v>221</v>
      </c>
      <c r="K7" s="17" t="s">
        <v>222</v>
      </c>
    </row>
    <row r="8" customFormat="false" ht="15" hidden="false" customHeight="false" outlineLevel="0" collapsed="false">
      <c r="A8" s="17" t="n">
        <v>6275</v>
      </c>
      <c r="B8" s="17" t="s">
        <v>223</v>
      </c>
      <c r="C8" s="17" t="s">
        <v>113</v>
      </c>
      <c r="D8" s="17" t="n">
        <v>1</v>
      </c>
      <c r="E8" s="17" t="s">
        <v>209</v>
      </c>
      <c r="F8" s="17" t="s">
        <v>210</v>
      </c>
      <c r="G8" s="17" t="s">
        <v>211</v>
      </c>
      <c r="H8" s="17" t="n">
        <v>0</v>
      </c>
      <c r="I8" s="17" t="s">
        <v>224</v>
      </c>
      <c r="J8" s="17" t="s">
        <v>225</v>
      </c>
      <c r="K8" s="17" t="s">
        <v>226</v>
      </c>
    </row>
    <row r="9" customFormat="false" ht="15" hidden="false" customHeight="false" outlineLevel="0" collapsed="false">
      <c r="A9" s="17" t="n">
        <v>6280</v>
      </c>
      <c r="B9" s="17" t="s">
        <v>227</v>
      </c>
      <c r="C9" s="17" t="s">
        <v>113</v>
      </c>
      <c r="D9" s="17" t="n">
        <v>1</v>
      </c>
      <c r="E9" s="17" t="s">
        <v>209</v>
      </c>
      <c r="F9" s="17" t="s">
        <v>210</v>
      </c>
      <c r="G9" s="17" t="s">
        <v>211</v>
      </c>
      <c r="H9" s="17" t="n">
        <v>0</v>
      </c>
      <c r="I9" s="17" t="s">
        <v>228</v>
      </c>
      <c r="J9" s="17" t="s">
        <v>229</v>
      </c>
      <c r="K9" s="17" t="s">
        <v>226</v>
      </c>
    </row>
    <row r="10" customFormat="false" ht="15" hidden="false" customHeight="false" outlineLevel="0" collapsed="false">
      <c r="A10" s="17" t="n">
        <v>11971</v>
      </c>
      <c r="B10" s="17" t="s">
        <v>230</v>
      </c>
      <c r="C10" s="17" t="s">
        <v>108</v>
      </c>
      <c r="D10" s="17" t="n">
        <v>1</v>
      </c>
      <c r="E10" s="17" t="s">
        <v>209</v>
      </c>
      <c r="F10" s="17" t="s">
        <v>231</v>
      </c>
      <c r="G10" s="17" t="s">
        <v>232</v>
      </c>
      <c r="H10" s="17" t="n">
        <v>0</v>
      </c>
      <c r="I10" s="17" t="s">
        <v>233</v>
      </c>
      <c r="J10" s="17" t="s">
        <v>234</v>
      </c>
      <c r="K10" s="17" t="s">
        <v>235</v>
      </c>
    </row>
    <row r="11" customFormat="false" ht="15" hidden="false" customHeight="false" outlineLevel="0" collapsed="false">
      <c r="A11" s="17" t="n">
        <v>12874</v>
      </c>
      <c r="B11" s="17" t="s">
        <v>236</v>
      </c>
      <c r="C11" s="17" t="s">
        <v>108</v>
      </c>
      <c r="D11" s="17" t="n">
        <v>1</v>
      </c>
      <c r="E11" s="17" t="s">
        <v>209</v>
      </c>
      <c r="F11" s="17" t="s">
        <v>231</v>
      </c>
      <c r="G11" s="17" t="s">
        <v>232</v>
      </c>
      <c r="H11" s="17" t="n">
        <v>0</v>
      </c>
      <c r="I11" s="17" t="s">
        <v>237</v>
      </c>
      <c r="J11" s="17" t="s">
        <v>238</v>
      </c>
      <c r="K11" s="17" t="s">
        <v>239</v>
      </c>
    </row>
    <row r="12" customFormat="false" ht="15" hidden="false" customHeight="false" outlineLevel="0" collapsed="false">
      <c r="A12" s="17" t="n">
        <v>13063</v>
      </c>
      <c r="B12" s="17" t="s">
        <v>240</v>
      </c>
      <c r="C12" s="17" t="s">
        <v>108</v>
      </c>
      <c r="D12" s="17" t="n">
        <v>1</v>
      </c>
      <c r="E12" s="17" t="s">
        <v>209</v>
      </c>
      <c r="F12" s="17" t="s">
        <v>241</v>
      </c>
      <c r="G12" s="17" t="s">
        <v>232</v>
      </c>
      <c r="H12" s="17" t="n">
        <v>0</v>
      </c>
      <c r="I12" s="17" t="s">
        <v>242</v>
      </c>
      <c r="J12" s="17" t="s">
        <v>243</v>
      </c>
      <c r="K12" s="17" t="s">
        <v>244</v>
      </c>
    </row>
    <row r="13" customFormat="false" ht="15" hidden="false" customHeight="false" outlineLevel="0" collapsed="false">
      <c r="A13" s="17" t="n">
        <v>14134</v>
      </c>
      <c r="B13" s="17" t="s">
        <v>245</v>
      </c>
      <c r="C13" s="17" t="s">
        <v>113</v>
      </c>
      <c r="D13" s="17" t="n">
        <v>1</v>
      </c>
      <c r="E13" s="17" t="s">
        <v>209</v>
      </c>
      <c r="F13" s="17" t="s">
        <v>241</v>
      </c>
      <c r="G13" s="17" t="s">
        <v>232</v>
      </c>
      <c r="H13" s="17" t="n">
        <v>0</v>
      </c>
      <c r="I13" s="17" t="s">
        <v>246</v>
      </c>
      <c r="J13" s="17" t="s">
        <v>247</v>
      </c>
      <c r="K13" s="17" t="s">
        <v>248</v>
      </c>
    </row>
    <row r="14" customFormat="false" ht="15" hidden="false" customHeight="false" outlineLevel="0" collapsed="false">
      <c r="A14" s="17" t="n">
        <v>14136</v>
      </c>
      <c r="B14" s="17" t="s">
        <v>249</v>
      </c>
      <c r="C14" s="17" t="s">
        <v>113</v>
      </c>
      <c r="D14" s="17" t="n">
        <v>1</v>
      </c>
      <c r="E14" s="17" t="s">
        <v>209</v>
      </c>
      <c r="F14" s="17" t="s">
        <v>241</v>
      </c>
      <c r="G14" s="17" t="s">
        <v>232</v>
      </c>
      <c r="H14" s="17" t="n">
        <v>1</v>
      </c>
      <c r="I14" s="17" t="s">
        <v>250</v>
      </c>
      <c r="J14" s="17" t="s">
        <v>251</v>
      </c>
      <c r="K14" s="17" t="s">
        <v>252</v>
      </c>
    </row>
    <row r="15" customFormat="false" ht="15" hidden="false" customHeight="false" outlineLevel="0" collapsed="false">
      <c r="A15" s="17" t="n">
        <v>14140</v>
      </c>
      <c r="B15" s="17" t="s">
        <v>253</v>
      </c>
      <c r="C15" s="17" t="s">
        <v>113</v>
      </c>
      <c r="D15" s="17" t="n">
        <v>1</v>
      </c>
      <c r="E15" s="17" t="s">
        <v>209</v>
      </c>
      <c r="F15" s="17" t="s">
        <v>241</v>
      </c>
      <c r="G15" s="17" t="s">
        <v>232</v>
      </c>
      <c r="H15" s="17" t="n">
        <v>0</v>
      </c>
      <c r="I15" s="17" t="s">
        <v>254</v>
      </c>
      <c r="J15" s="17" t="s">
        <v>255</v>
      </c>
      <c r="K15" s="17" t="s">
        <v>256</v>
      </c>
    </row>
    <row r="16" customFormat="false" ht="15" hidden="false" customHeight="false" outlineLevel="0" collapsed="false">
      <c r="A16" s="17" t="n">
        <v>14158</v>
      </c>
      <c r="B16" s="17" t="s">
        <v>257</v>
      </c>
      <c r="C16" s="17" t="s">
        <v>113</v>
      </c>
      <c r="D16" s="17" t="n">
        <v>1</v>
      </c>
      <c r="E16" s="17" t="s">
        <v>209</v>
      </c>
      <c r="F16" s="17" t="s">
        <v>231</v>
      </c>
      <c r="G16" s="17" t="s">
        <v>232</v>
      </c>
      <c r="H16" s="17" t="n">
        <v>0</v>
      </c>
      <c r="I16" s="17" t="s">
        <v>258</v>
      </c>
      <c r="J16" s="17" t="s">
        <v>259</v>
      </c>
      <c r="K16" s="17" t="s">
        <v>260</v>
      </c>
    </row>
    <row r="17" customFormat="false" ht="15" hidden="false" customHeight="false" outlineLevel="0" collapsed="false">
      <c r="A17" s="17" t="n">
        <v>14168</v>
      </c>
      <c r="B17" s="17" t="s">
        <v>261</v>
      </c>
      <c r="C17" s="17" t="s">
        <v>113</v>
      </c>
      <c r="D17" s="17" t="n">
        <v>1</v>
      </c>
      <c r="E17" s="17" t="s">
        <v>209</v>
      </c>
      <c r="F17" s="17" t="s">
        <v>231</v>
      </c>
      <c r="G17" s="17" t="s">
        <v>232</v>
      </c>
      <c r="H17" s="17" t="n">
        <v>0</v>
      </c>
      <c r="I17" s="17" t="s">
        <v>262</v>
      </c>
      <c r="J17" s="17" t="s">
        <v>263</v>
      </c>
      <c r="K17" s="17" t="s">
        <v>264</v>
      </c>
    </row>
    <row r="18" customFormat="false" ht="15" hidden="false" customHeight="false" outlineLevel="0" collapsed="false">
      <c r="A18" s="17" t="n">
        <v>14240</v>
      </c>
      <c r="B18" s="17" t="s">
        <v>265</v>
      </c>
      <c r="C18" s="17" t="s">
        <v>116</v>
      </c>
      <c r="D18" s="17" t="n">
        <v>0</v>
      </c>
      <c r="E18" s="17" t="s">
        <v>266</v>
      </c>
      <c r="F18" s="17" t="s">
        <v>231</v>
      </c>
      <c r="G18" s="17" t="s">
        <v>232</v>
      </c>
      <c r="H18" s="17" t="n">
        <v>0</v>
      </c>
      <c r="I18" s="17" t="s">
        <v>267</v>
      </c>
      <c r="J18" s="17" t="s">
        <v>268</v>
      </c>
      <c r="K18" s="17" t="s">
        <v>269</v>
      </c>
    </row>
    <row r="19" customFormat="false" ht="15" hidden="false" customHeight="false" outlineLevel="0" collapsed="false">
      <c r="A19" s="17" t="n">
        <v>17115</v>
      </c>
      <c r="B19" s="17" t="s">
        <v>270</v>
      </c>
      <c r="C19" s="17" t="s">
        <v>108</v>
      </c>
      <c r="D19" s="17" t="n">
        <v>1</v>
      </c>
      <c r="E19" s="17" t="s">
        <v>209</v>
      </c>
      <c r="F19" s="17" t="s">
        <v>241</v>
      </c>
      <c r="G19" s="17" t="s">
        <v>232</v>
      </c>
      <c r="H19" s="17" t="n">
        <v>0</v>
      </c>
      <c r="I19" s="17" t="s">
        <v>271</v>
      </c>
      <c r="J19" s="17" t="s">
        <v>272</v>
      </c>
      <c r="K19" s="17" t="s">
        <v>244</v>
      </c>
    </row>
    <row r="20" customFormat="false" ht="15" hidden="false" customHeight="false" outlineLevel="0" collapsed="false">
      <c r="A20" s="17" t="n">
        <v>17180</v>
      </c>
      <c r="B20" s="17" t="s">
        <v>273</v>
      </c>
      <c r="C20" s="17" t="s">
        <v>116</v>
      </c>
      <c r="D20" s="17" t="n">
        <v>1</v>
      </c>
      <c r="E20" s="17" t="s">
        <v>209</v>
      </c>
      <c r="F20" s="17" t="s">
        <v>241</v>
      </c>
      <c r="G20" s="17" t="s">
        <v>232</v>
      </c>
      <c r="H20" s="17" t="n">
        <v>0</v>
      </c>
      <c r="I20" s="17" t="s">
        <v>274</v>
      </c>
      <c r="J20" s="17" t="s">
        <v>275</v>
      </c>
      <c r="K20" s="17" t="s">
        <v>276</v>
      </c>
    </row>
    <row r="21" customFormat="false" ht="15" hidden="false" customHeight="false" outlineLevel="0" collapsed="false">
      <c r="A21" s="17" t="n">
        <v>17443</v>
      </c>
      <c r="B21" s="17" t="s">
        <v>277</v>
      </c>
      <c r="C21" s="17" t="s">
        <v>116</v>
      </c>
      <c r="D21" s="17" t="n">
        <v>1</v>
      </c>
      <c r="E21" s="17" t="s">
        <v>209</v>
      </c>
      <c r="F21" s="17" t="s">
        <v>241</v>
      </c>
      <c r="G21" s="17" t="s">
        <v>232</v>
      </c>
      <c r="H21" s="17" t="n">
        <v>1</v>
      </c>
      <c r="I21" s="17" t="s">
        <v>278</v>
      </c>
      <c r="J21" s="17" t="s">
        <v>279</v>
      </c>
      <c r="K21" s="17" t="s">
        <v>280</v>
      </c>
    </row>
    <row r="22" customFormat="false" ht="15" hidden="false" customHeight="false" outlineLevel="0" collapsed="false">
      <c r="A22" s="17" t="n">
        <v>17658</v>
      </c>
      <c r="B22" s="17" t="s">
        <v>281</v>
      </c>
      <c r="C22" s="17" t="s">
        <v>108</v>
      </c>
      <c r="D22" s="17" t="n">
        <v>1</v>
      </c>
      <c r="E22" s="17" t="s">
        <v>209</v>
      </c>
      <c r="F22" s="17" t="s">
        <v>241</v>
      </c>
      <c r="G22" s="17" t="s">
        <v>232</v>
      </c>
      <c r="H22" s="17" t="n">
        <v>0</v>
      </c>
      <c r="I22" s="17" t="s">
        <v>282</v>
      </c>
      <c r="J22" s="17" t="s">
        <v>283</v>
      </c>
      <c r="K22" s="17" t="s">
        <v>284</v>
      </c>
    </row>
    <row r="23" customFormat="false" ht="15" hidden="false" customHeight="false" outlineLevel="0" collapsed="false">
      <c r="A23" s="17" t="n">
        <v>17741</v>
      </c>
      <c r="B23" s="17" t="s">
        <v>285</v>
      </c>
      <c r="C23" s="17" t="s">
        <v>108</v>
      </c>
      <c r="D23" s="17" t="n">
        <v>1</v>
      </c>
      <c r="E23" s="17" t="s">
        <v>209</v>
      </c>
      <c r="F23" s="17" t="s">
        <v>241</v>
      </c>
      <c r="G23" s="17" t="s">
        <v>232</v>
      </c>
      <c r="H23" s="17" t="n">
        <v>0</v>
      </c>
      <c r="I23" s="17" t="s">
        <v>286</v>
      </c>
      <c r="J23" s="17" t="s">
        <v>287</v>
      </c>
      <c r="K23" s="17" t="s">
        <v>288</v>
      </c>
    </row>
    <row r="24" customFormat="false" ht="15" hidden="false" customHeight="false" outlineLevel="0" collapsed="false">
      <c r="A24" s="17" t="n">
        <v>17743</v>
      </c>
      <c r="B24" s="17" t="s">
        <v>289</v>
      </c>
      <c r="C24" s="17" t="s">
        <v>108</v>
      </c>
      <c r="D24" s="17" t="n">
        <v>1</v>
      </c>
      <c r="E24" s="17" t="s">
        <v>209</v>
      </c>
      <c r="F24" s="17" t="s">
        <v>241</v>
      </c>
      <c r="G24" s="17" t="s">
        <v>232</v>
      </c>
      <c r="H24" s="17" t="n">
        <v>1</v>
      </c>
      <c r="I24" s="17" t="s">
        <v>290</v>
      </c>
      <c r="J24" s="17" t="s">
        <v>291</v>
      </c>
      <c r="K24" s="17" t="s">
        <v>244</v>
      </c>
    </row>
    <row r="25" customFormat="false" ht="15" hidden="false" customHeight="false" outlineLevel="0" collapsed="false">
      <c r="A25" s="17" t="n">
        <v>17748</v>
      </c>
      <c r="B25" s="17" t="s">
        <v>292</v>
      </c>
      <c r="C25" s="17" t="s">
        <v>108</v>
      </c>
      <c r="D25" s="17" t="n">
        <v>0</v>
      </c>
      <c r="E25" s="17" t="s">
        <v>266</v>
      </c>
      <c r="F25" s="17" t="s">
        <v>241</v>
      </c>
      <c r="G25" s="17" t="s">
        <v>232</v>
      </c>
      <c r="H25" s="17" t="n">
        <v>0</v>
      </c>
      <c r="I25" s="17" t="s">
        <v>293</v>
      </c>
      <c r="J25" s="17" t="s">
        <v>294</v>
      </c>
      <c r="K25" s="17" t="s">
        <v>288</v>
      </c>
    </row>
    <row r="26" customFormat="false" ht="15" hidden="false" customHeight="false" outlineLevel="0" collapsed="false">
      <c r="A26" s="17" t="n">
        <v>17749</v>
      </c>
      <c r="B26" s="17" t="s">
        <v>295</v>
      </c>
      <c r="C26" s="17" t="s">
        <v>108</v>
      </c>
      <c r="D26" s="17" t="n">
        <v>1</v>
      </c>
      <c r="E26" s="17" t="s">
        <v>209</v>
      </c>
      <c r="F26" s="17" t="s">
        <v>241</v>
      </c>
      <c r="G26" s="17" t="s">
        <v>232</v>
      </c>
      <c r="H26" s="17" t="n">
        <v>1</v>
      </c>
      <c r="I26" s="17" t="s">
        <v>296</v>
      </c>
      <c r="J26" s="17" t="s">
        <v>297</v>
      </c>
      <c r="K26" s="17" t="s">
        <v>298</v>
      </c>
    </row>
    <row r="27" customFormat="false" ht="15" hidden="false" customHeight="false" outlineLevel="0" collapsed="false">
      <c r="A27" s="17" t="n">
        <v>17751</v>
      </c>
      <c r="B27" s="17" t="s">
        <v>299</v>
      </c>
      <c r="C27" s="17" t="s">
        <v>108</v>
      </c>
      <c r="D27" s="17" t="n">
        <v>1</v>
      </c>
      <c r="E27" s="17" t="s">
        <v>209</v>
      </c>
      <c r="F27" s="17" t="s">
        <v>241</v>
      </c>
      <c r="G27" s="17" t="s">
        <v>232</v>
      </c>
      <c r="H27" s="17" t="n">
        <v>0</v>
      </c>
      <c r="I27" s="17" t="s">
        <v>300</v>
      </c>
      <c r="J27" s="17" t="s">
        <v>301</v>
      </c>
      <c r="K27" s="17" t="s">
        <v>302</v>
      </c>
    </row>
    <row r="28" customFormat="false" ht="15" hidden="false" customHeight="false" outlineLevel="0" collapsed="false">
      <c r="A28" s="17" t="n">
        <v>17897</v>
      </c>
      <c r="B28" s="17" t="s">
        <v>303</v>
      </c>
      <c r="C28" s="17" t="s">
        <v>108</v>
      </c>
      <c r="D28" s="17" t="n">
        <v>1</v>
      </c>
      <c r="E28" s="17" t="s">
        <v>209</v>
      </c>
      <c r="F28" s="17" t="s">
        <v>241</v>
      </c>
      <c r="G28" s="17" t="s">
        <v>232</v>
      </c>
      <c r="H28" s="17" t="n">
        <v>0</v>
      </c>
      <c r="I28" s="17" t="s">
        <v>304</v>
      </c>
      <c r="J28" s="17" t="s">
        <v>305</v>
      </c>
      <c r="K28" s="17" t="s">
        <v>306</v>
      </c>
    </row>
    <row r="29" customFormat="false" ht="15" hidden="false" customHeight="false" outlineLevel="0" collapsed="false">
      <c r="A29" s="17" t="n">
        <v>17951</v>
      </c>
      <c r="B29" s="17" t="s">
        <v>307</v>
      </c>
      <c r="C29" s="17" t="s">
        <v>116</v>
      </c>
      <c r="D29" s="17" t="n">
        <v>1</v>
      </c>
      <c r="E29" s="17" t="s">
        <v>209</v>
      </c>
      <c r="F29" s="17" t="s">
        <v>241</v>
      </c>
      <c r="G29" s="17" t="s">
        <v>232</v>
      </c>
      <c r="H29" s="17" t="n">
        <v>0</v>
      </c>
      <c r="I29" s="17" t="s">
        <v>308</v>
      </c>
      <c r="J29" s="17" t="s">
        <v>264</v>
      </c>
      <c r="K29" s="17" t="s">
        <v>309</v>
      </c>
    </row>
    <row r="30" customFormat="false" ht="15" hidden="false" customHeight="false" outlineLevel="0" collapsed="false">
      <c r="A30" s="17" t="n">
        <v>17960</v>
      </c>
      <c r="B30" s="17" t="s">
        <v>310</v>
      </c>
      <c r="C30" s="17" t="s">
        <v>116</v>
      </c>
      <c r="D30" s="17" t="n">
        <v>1</v>
      </c>
      <c r="E30" s="17" t="s">
        <v>209</v>
      </c>
      <c r="F30" s="17" t="s">
        <v>241</v>
      </c>
      <c r="G30" s="17" t="s">
        <v>232</v>
      </c>
      <c r="H30" s="17" t="n">
        <v>0</v>
      </c>
      <c r="I30" s="17" t="s">
        <v>311</v>
      </c>
      <c r="J30" s="17" t="s">
        <v>312</v>
      </c>
      <c r="K30" s="17" t="s">
        <v>309</v>
      </c>
    </row>
    <row r="31" customFormat="false" ht="15" hidden="false" customHeight="false" outlineLevel="0" collapsed="false">
      <c r="A31" s="17" t="n">
        <v>18012</v>
      </c>
      <c r="B31" s="17" t="s">
        <v>313</v>
      </c>
      <c r="C31" s="17" t="s">
        <v>116</v>
      </c>
      <c r="D31" s="17" t="n">
        <v>1</v>
      </c>
      <c r="E31" s="17" t="s">
        <v>209</v>
      </c>
      <c r="F31" s="17" t="s">
        <v>314</v>
      </c>
      <c r="G31" s="17" t="s">
        <v>232</v>
      </c>
      <c r="H31" s="17" t="n">
        <v>0</v>
      </c>
      <c r="I31" s="17" t="s">
        <v>315</v>
      </c>
      <c r="J31" s="17" t="s">
        <v>316</v>
      </c>
      <c r="K31" s="17" t="s">
        <v>276</v>
      </c>
    </row>
    <row r="32" customFormat="false" ht="15" hidden="false" customHeight="false" outlineLevel="0" collapsed="false">
      <c r="A32" s="17" t="n">
        <v>18013</v>
      </c>
      <c r="B32" s="17" t="s">
        <v>317</v>
      </c>
      <c r="C32" s="17" t="s">
        <v>116</v>
      </c>
      <c r="D32" s="17" t="n">
        <v>1</v>
      </c>
      <c r="E32" s="17" t="s">
        <v>209</v>
      </c>
      <c r="F32" s="17" t="s">
        <v>314</v>
      </c>
      <c r="G32" s="17" t="s">
        <v>232</v>
      </c>
      <c r="H32" s="17" t="n">
        <v>0</v>
      </c>
      <c r="I32" s="17" t="s">
        <v>318</v>
      </c>
      <c r="J32" s="17" t="s">
        <v>319</v>
      </c>
      <c r="K32" s="17" t="s">
        <v>320</v>
      </c>
    </row>
    <row r="33" customFormat="false" ht="15" hidden="false" customHeight="false" outlineLevel="0" collapsed="false">
      <c r="A33" s="17" t="n">
        <v>18028</v>
      </c>
      <c r="B33" s="17" t="s">
        <v>321</v>
      </c>
      <c r="C33" s="17" t="s">
        <v>116</v>
      </c>
      <c r="D33" s="17" t="n">
        <v>1</v>
      </c>
      <c r="E33" s="17" t="s">
        <v>209</v>
      </c>
      <c r="F33" s="17" t="s">
        <v>241</v>
      </c>
      <c r="G33" s="17" t="s">
        <v>232</v>
      </c>
      <c r="H33" s="17" t="n">
        <v>0</v>
      </c>
      <c r="I33" s="17" t="s">
        <v>322</v>
      </c>
      <c r="J33" s="17" t="s">
        <v>323</v>
      </c>
      <c r="K33" s="17" t="s">
        <v>324</v>
      </c>
    </row>
    <row r="34" customFormat="false" ht="15" hidden="false" customHeight="false" outlineLevel="0" collapsed="false">
      <c r="A34" s="17" t="n">
        <v>18030</v>
      </c>
      <c r="B34" s="17" t="s">
        <v>325</v>
      </c>
      <c r="C34" s="17" t="s">
        <v>116</v>
      </c>
      <c r="D34" s="17" t="n">
        <v>1</v>
      </c>
      <c r="E34" s="17" t="s">
        <v>209</v>
      </c>
      <c r="F34" s="17" t="s">
        <v>241</v>
      </c>
      <c r="G34" s="17" t="s">
        <v>232</v>
      </c>
      <c r="H34" s="17" t="n">
        <v>0</v>
      </c>
      <c r="I34" s="17" t="s">
        <v>326</v>
      </c>
      <c r="J34" s="17" t="s">
        <v>327</v>
      </c>
      <c r="K34" s="17" t="s">
        <v>328</v>
      </c>
    </row>
    <row r="35" customFormat="false" ht="15" hidden="false" customHeight="false" outlineLevel="0" collapsed="false">
      <c r="A35" s="17" t="n">
        <v>18031</v>
      </c>
      <c r="B35" s="17" t="s">
        <v>329</v>
      </c>
      <c r="C35" s="17" t="s">
        <v>116</v>
      </c>
      <c r="D35" s="17" t="n">
        <v>0</v>
      </c>
      <c r="E35" s="17" t="s">
        <v>330</v>
      </c>
      <c r="F35" s="17" t="s">
        <v>241</v>
      </c>
      <c r="G35" s="17" t="s">
        <v>232</v>
      </c>
      <c r="H35" s="17" t="n">
        <v>0</v>
      </c>
      <c r="I35" s="17" t="s">
        <v>331</v>
      </c>
      <c r="J35" s="17" t="s">
        <v>332</v>
      </c>
      <c r="K35" s="17" t="s">
        <v>320</v>
      </c>
    </row>
    <row r="36" customFormat="false" ht="15" hidden="false" customHeight="false" outlineLevel="0" collapsed="false">
      <c r="A36" s="17" t="n">
        <v>18038</v>
      </c>
      <c r="B36" s="17" t="s">
        <v>333</v>
      </c>
      <c r="C36" s="17" t="s">
        <v>116</v>
      </c>
      <c r="D36" s="17" t="n">
        <v>1</v>
      </c>
      <c r="E36" s="17" t="s">
        <v>209</v>
      </c>
      <c r="F36" s="17" t="s">
        <v>241</v>
      </c>
      <c r="G36" s="17" t="s">
        <v>232</v>
      </c>
      <c r="H36" s="17" t="n">
        <v>1</v>
      </c>
      <c r="I36" s="17" t="s">
        <v>334</v>
      </c>
      <c r="J36" s="17" t="s">
        <v>335</v>
      </c>
      <c r="K36" s="17" t="s">
        <v>324</v>
      </c>
    </row>
    <row r="37" customFormat="false" ht="15" hidden="false" customHeight="false" outlineLevel="0" collapsed="false">
      <c r="A37" s="17" t="n">
        <v>18408</v>
      </c>
      <c r="B37" s="17" t="s">
        <v>336</v>
      </c>
      <c r="C37" s="17" t="s">
        <v>108</v>
      </c>
      <c r="D37" s="17" t="n">
        <v>1</v>
      </c>
      <c r="E37" s="17" t="s">
        <v>209</v>
      </c>
      <c r="F37" s="17" t="s">
        <v>241</v>
      </c>
      <c r="G37" s="17" t="s">
        <v>232</v>
      </c>
      <c r="H37" s="17" t="n">
        <v>0</v>
      </c>
      <c r="I37" s="17" t="s">
        <v>337</v>
      </c>
      <c r="J37" s="17" t="s">
        <v>338</v>
      </c>
      <c r="K37" s="17" t="s">
        <v>239</v>
      </c>
    </row>
    <row r="38" customFormat="false" ht="15" hidden="false" customHeight="false" outlineLevel="0" collapsed="false">
      <c r="A38" s="17" t="n">
        <v>19531</v>
      </c>
      <c r="B38" s="17" t="s">
        <v>339</v>
      </c>
      <c r="C38" s="17" t="s">
        <v>108</v>
      </c>
      <c r="D38" s="17" t="n">
        <v>1</v>
      </c>
      <c r="E38" s="17" t="s">
        <v>209</v>
      </c>
      <c r="F38" s="17" t="s">
        <v>241</v>
      </c>
      <c r="G38" s="17" t="s">
        <v>232</v>
      </c>
      <c r="H38" s="17" t="n">
        <v>0</v>
      </c>
      <c r="I38" s="17" t="s">
        <v>340</v>
      </c>
      <c r="J38" s="17" t="s">
        <v>341</v>
      </c>
      <c r="K38" s="17" t="s">
        <v>256</v>
      </c>
    </row>
    <row r="39" customFormat="false" ht="15" hidden="false" customHeight="false" outlineLevel="0" collapsed="false">
      <c r="A39" s="17" t="n">
        <v>19532</v>
      </c>
      <c r="B39" s="17" t="s">
        <v>342</v>
      </c>
      <c r="C39" s="17" t="s">
        <v>108</v>
      </c>
      <c r="D39" s="17" t="n">
        <v>1</v>
      </c>
      <c r="E39" s="17" t="s">
        <v>209</v>
      </c>
      <c r="F39" s="17" t="s">
        <v>241</v>
      </c>
      <c r="G39" s="17" t="s">
        <v>232</v>
      </c>
      <c r="H39" s="17" t="n">
        <v>1</v>
      </c>
      <c r="I39" s="17" t="s">
        <v>343</v>
      </c>
      <c r="J39" s="17" t="s">
        <v>344</v>
      </c>
      <c r="K39" s="17" t="s">
        <v>345</v>
      </c>
    </row>
    <row r="40" customFormat="false" ht="15" hidden="false" customHeight="false" outlineLevel="0" collapsed="false">
      <c r="A40" s="17" t="n">
        <v>19690</v>
      </c>
      <c r="B40" s="17" t="s">
        <v>346</v>
      </c>
      <c r="C40" s="17" t="s">
        <v>108</v>
      </c>
      <c r="D40" s="17" t="n">
        <v>1</v>
      </c>
      <c r="E40" s="17" t="s">
        <v>209</v>
      </c>
      <c r="F40" s="17" t="s">
        <v>231</v>
      </c>
      <c r="G40" s="17" t="s">
        <v>232</v>
      </c>
      <c r="H40" s="17" t="n">
        <v>0</v>
      </c>
      <c r="I40" s="17" t="s">
        <v>347</v>
      </c>
      <c r="J40" s="17" t="s">
        <v>287</v>
      </c>
      <c r="K40" s="17" t="s">
        <v>288</v>
      </c>
    </row>
    <row r="41" customFormat="false" ht="15" hidden="false" customHeight="false" outlineLevel="0" collapsed="false">
      <c r="A41" s="17" t="n">
        <v>19836</v>
      </c>
      <c r="B41" s="17" t="s">
        <v>307</v>
      </c>
      <c r="C41" s="17" t="s">
        <v>108</v>
      </c>
      <c r="D41" s="17" t="n">
        <v>1</v>
      </c>
      <c r="E41" s="17" t="s">
        <v>209</v>
      </c>
      <c r="F41" s="17" t="s">
        <v>314</v>
      </c>
      <c r="G41" s="17" t="s">
        <v>232</v>
      </c>
      <c r="H41" s="17" t="n">
        <v>0</v>
      </c>
      <c r="I41" s="17" t="s">
        <v>348</v>
      </c>
      <c r="J41" s="17" t="s">
        <v>349</v>
      </c>
      <c r="K41" s="17" t="s">
        <v>264</v>
      </c>
    </row>
    <row r="42" customFormat="false" ht="15" hidden="false" customHeight="false" outlineLevel="0" collapsed="false">
      <c r="A42" s="17" t="n">
        <v>24540</v>
      </c>
      <c r="B42" s="17" t="s">
        <v>350</v>
      </c>
      <c r="C42" s="17" t="s">
        <v>116</v>
      </c>
      <c r="D42" s="17" t="n">
        <v>1</v>
      </c>
      <c r="E42" s="17" t="s">
        <v>209</v>
      </c>
      <c r="F42" s="17" t="s">
        <v>231</v>
      </c>
      <c r="G42" s="17" t="s">
        <v>232</v>
      </c>
      <c r="H42" s="17" t="n">
        <v>0</v>
      </c>
      <c r="I42" s="17" t="s">
        <v>351</v>
      </c>
      <c r="J42" s="17" t="s">
        <v>352</v>
      </c>
      <c r="K42" s="17" t="s">
        <v>280</v>
      </c>
    </row>
    <row r="43" customFormat="false" ht="15" hidden="false" customHeight="false" outlineLevel="0" collapsed="false">
      <c r="A43" s="17" t="n">
        <v>27824</v>
      </c>
      <c r="B43" s="17" t="s">
        <v>353</v>
      </c>
      <c r="C43" s="17" t="s">
        <v>116</v>
      </c>
      <c r="D43" s="17" t="n">
        <v>1</v>
      </c>
      <c r="E43" s="17" t="s">
        <v>209</v>
      </c>
      <c r="F43" s="17" t="s">
        <v>354</v>
      </c>
      <c r="G43" s="17" t="s">
        <v>232</v>
      </c>
      <c r="H43" s="17" t="n">
        <v>1</v>
      </c>
      <c r="I43" s="17" t="s">
        <v>355</v>
      </c>
      <c r="J43" s="17" t="s">
        <v>352</v>
      </c>
      <c r="K43" s="17" t="s">
        <v>280</v>
      </c>
    </row>
    <row r="44" customFormat="false" ht="15" hidden="false" customHeight="false" outlineLevel="0" collapsed="false">
      <c r="A44" s="17" t="n">
        <v>28155</v>
      </c>
      <c r="B44" s="17" t="s">
        <v>356</v>
      </c>
      <c r="C44" s="17" t="s">
        <v>116</v>
      </c>
      <c r="D44" s="17" t="n">
        <v>1</v>
      </c>
      <c r="E44" s="17" t="s">
        <v>209</v>
      </c>
      <c r="F44" s="17" t="s">
        <v>314</v>
      </c>
      <c r="G44" s="17" t="s">
        <v>232</v>
      </c>
      <c r="H44" s="17" t="n">
        <v>0</v>
      </c>
      <c r="I44" s="17" t="s">
        <v>357</v>
      </c>
      <c r="J44" s="17" t="s">
        <v>358</v>
      </c>
      <c r="K44" s="17" t="s">
        <v>359</v>
      </c>
    </row>
    <row r="45" customFormat="false" ht="15" hidden="false" customHeight="false" outlineLevel="0" collapsed="false">
      <c r="A45" s="17" t="n">
        <v>28288</v>
      </c>
      <c r="B45" s="17" t="s">
        <v>360</v>
      </c>
      <c r="C45" s="17" t="s">
        <v>108</v>
      </c>
      <c r="D45" s="17" t="n">
        <v>1</v>
      </c>
      <c r="E45" s="17" t="s">
        <v>209</v>
      </c>
      <c r="F45" s="17" t="s">
        <v>361</v>
      </c>
      <c r="G45" s="17" t="s">
        <v>211</v>
      </c>
      <c r="H45" s="17" t="n">
        <v>0</v>
      </c>
      <c r="I45" s="17" t="s">
        <v>362</v>
      </c>
      <c r="J45" s="17" t="s">
        <v>363</v>
      </c>
      <c r="K45" s="17" t="s">
        <v>302</v>
      </c>
    </row>
    <row r="46" customFormat="false" ht="15" hidden="false" customHeight="false" outlineLevel="0" collapsed="false">
      <c r="A46" s="17" t="n">
        <v>28369</v>
      </c>
      <c r="B46" s="17" t="s">
        <v>364</v>
      </c>
      <c r="C46" s="17" t="s">
        <v>108</v>
      </c>
      <c r="D46" s="17" t="n">
        <v>1</v>
      </c>
      <c r="E46" s="17" t="s">
        <v>209</v>
      </c>
      <c r="F46" s="17" t="s">
        <v>361</v>
      </c>
      <c r="G46" s="17" t="s">
        <v>211</v>
      </c>
      <c r="H46" s="17" t="n">
        <v>1</v>
      </c>
      <c r="I46" s="17" t="s">
        <v>365</v>
      </c>
      <c r="J46" s="17" t="s">
        <v>366</v>
      </c>
      <c r="K46" s="17" t="s">
        <v>214</v>
      </c>
    </row>
    <row r="47" customFormat="false" ht="15" hidden="false" customHeight="false" outlineLevel="0" collapsed="false">
      <c r="A47" s="17" t="n">
        <v>28837</v>
      </c>
      <c r="B47" s="17" t="s">
        <v>367</v>
      </c>
      <c r="C47" s="17" t="s">
        <v>113</v>
      </c>
      <c r="D47" s="17" t="n">
        <v>1</v>
      </c>
      <c r="E47" s="17" t="s">
        <v>209</v>
      </c>
      <c r="F47" s="17" t="s">
        <v>314</v>
      </c>
      <c r="G47" s="17" t="s">
        <v>232</v>
      </c>
      <c r="H47" s="17" t="n">
        <v>1</v>
      </c>
      <c r="I47" s="17" t="s">
        <v>368</v>
      </c>
      <c r="J47" s="17" t="s">
        <v>369</v>
      </c>
      <c r="K47" s="17" t="s">
        <v>370</v>
      </c>
    </row>
    <row r="48" customFormat="false" ht="15" hidden="false" customHeight="false" outlineLevel="0" collapsed="false">
      <c r="A48" s="17" t="n">
        <v>29636</v>
      </c>
      <c r="B48" s="17" t="s">
        <v>371</v>
      </c>
      <c r="C48" s="17" t="s">
        <v>108</v>
      </c>
      <c r="D48" s="17" t="n">
        <v>1</v>
      </c>
      <c r="E48" s="17" t="s">
        <v>209</v>
      </c>
      <c r="F48" s="17" t="s">
        <v>361</v>
      </c>
      <c r="G48" s="17" t="s">
        <v>211</v>
      </c>
      <c r="H48" s="17" t="n">
        <v>1</v>
      </c>
      <c r="I48" s="17" t="s">
        <v>372</v>
      </c>
      <c r="J48" s="17" t="s">
        <v>297</v>
      </c>
      <c r="K48" s="17" t="s">
        <v>298</v>
      </c>
    </row>
    <row r="49" customFormat="false" ht="15" hidden="false" customHeight="false" outlineLevel="0" collapsed="false">
      <c r="A49" s="17" t="n">
        <v>29743</v>
      </c>
      <c r="B49" s="17" t="s">
        <v>373</v>
      </c>
      <c r="C49" s="17" t="s">
        <v>108</v>
      </c>
      <c r="D49" s="17" t="n">
        <v>1</v>
      </c>
      <c r="E49" s="17" t="s">
        <v>209</v>
      </c>
      <c r="F49" s="17" t="s">
        <v>354</v>
      </c>
      <c r="G49" s="17" t="s">
        <v>211</v>
      </c>
      <c r="H49" s="17" t="n">
        <v>0</v>
      </c>
      <c r="I49" s="17" t="s">
        <v>374</v>
      </c>
      <c r="J49" s="17" t="s">
        <v>375</v>
      </c>
      <c r="K49" s="17" t="s">
        <v>376</v>
      </c>
    </row>
    <row r="50" customFormat="false" ht="15" hidden="false" customHeight="false" outlineLevel="0" collapsed="false">
      <c r="A50" s="17" t="n">
        <v>29744</v>
      </c>
      <c r="B50" s="17" t="s">
        <v>377</v>
      </c>
      <c r="C50" s="17" t="s">
        <v>116</v>
      </c>
      <c r="D50" s="17" t="n">
        <v>1</v>
      </c>
      <c r="E50" s="17" t="s">
        <v>209</v>
      </c>
      <c r="F50" s="17" t="s">
        <v>361</v>
      </c>
      <c r="G50" s="17" t="s">
        <v>211</v>
      </c>
      <c r="H50" s="17" t="n">
        <v>0</v>
      </c>
      <c r="I50" s="17" t="s">
        <v>378</v>
      </c>
      <c r="J50" s="17" t="s">
        <v>379</v>
      </c>
      <c r="K50" s="17" t="s">
        <v>359</v>
      </c>
    </row>
    <row r="51" customFormat="false" ht="15" hidden="false" customHeight="false" outlineLevel="0" collapsed="false">
      <c r="A51" s="17" t="n">
        <v>30350</v>
      </c>
      <c r="B51" s="17" t="s">
        <v>380</v>
      </c>
      <c r="C51" s="17" t="s">
        <v>113</v>
      </c>
      <c r="D51" s="17" t="n">
        <v>1</v>
      </c>
      <c r="E51" s="17" t="s">
        <v>209</v>
      </c>
      <c r="F51" s="17" t="s">
        <v>361</v>
      </c>
      <c r="G51" s="17" t="s">
        <v>211</v>
      </c>
      <c r="H51" s="17" t="n">
        <v>0</v>
      </c>
      <c r="I51" s="17" t="s">
        <v>381</v>
      </c>
      <c r="J51" s="17" t="s">
        <v>382</v>
      </c>
      <c r="K51" s="17" t="s">
        <v>382</v>
      </c>
    </row>
    <row r="52" customFormat="false" ht="15" hidden="false" customHeight="false" outlineLevel="0" collapsed="false">
      <c r="A52" s="17" t="n">
        <v>30878</v>
      </c>
      <c r="B52" s="17" t="s">
        <v>383</v>
      </c>
      <c r="C52" s="17" t="s">
        <v>108</v>
      </c>
      <c r="D52" s="17" t="n">
        <v>1</v>
      </c>
      <c r="E52" s="17" t="s">
        <v>209</v>
      </c>
      <c r="F52" s="17" t="s">
        <v>354</v>
      </c>
      <c r="G52" s="17" t="s">
        <v>232</v>
      </c>
      <c r="H52" s="17" t="n">
        <v>1</v>
      </c>
      <c r="I52" s="17" t="s">
        <v>384</v>
      </c>
      <c r="J52" s="17" t="s">
        <v>234</v>
      </c>
      <c r="K52" s="17" t="s">
        <v>235</v>
      </c>
    </row>
    <row r="53" customFormat="false" ht="15" hidden="false" customHeight="false" outlineLevel="0" collapsed="false">
      <c r="A53" s="17" t="n">
        <v>33418</v>
      </c>
      <c r="B53" s="17" t="s">
        <v>385</v>
      </c>
      <c r="C53" s="17" t="s">
        <v>113</v>
      </c>
      <c r="D53" s="17" t="n">
        <v>1</v>
      </c>
      <c r="E53" s="17" t="s">
        <v>209</v>
      </c>
      <c r="F53" s="17" t="s">
        <v>210</v>
      </c>
      <c r="G53" s="17" t="s">
        <v>211</v>
      </c>
      <c r="H53" s="17" t="n">
        <v>0</v>
      </c>
      <c r="I53" s="17" t="s">
        <v>386</v>
      </c>
      <c r="J53" s="17" t="s">
        <v>387</v>
      </c>
      <c r="K53" s="17" t="s">
        <v>388</v>
      </c>
    </row>
    <row r="54" customFormat="false" ht="15" hidden="false" customHeight="false" outlineLevel="0" collapsed="false">
      <c r="A54" s="17" t="n">
        <v>35206</v>
      </c>
      <c r="B54" s="17" t="s">
        <v>389</v>
      </c>
      <c r="C54" s="17" t="s">
        <v>116</v>
      </c>
      <c r="D54" s="17" t="n">
        <v>1</v>
      </c>
      <c r="E54" s="17" t="s">
        <v>209</v>
      </c>
      <c r="F54" s="17" t="s">
        <v>361</v>
      </c>
      <c r="G54" s="17" t="s">
        <v>211</v>
      </c>
      <c r="H54" s="17" t="n">
        <v>0</v>
      </c>
      <c r="I54" s="17" t="s">
        <v>390</v>
      </c>
      <c r="J54" s="17" t="s">
        <v>309</v>
      </c>
      <c r="K54" s="17" t="s">
        <v>391</v>
      </c>
    </row>
    <row r="55" customFormat="false" ht="15" hidden="false" customHeight="false" outlineLevel="0" collapsed="false">
      <c r="A55" s="17" t="n">
        <v>59086</v>
      </c>
      <c r="B55" s="17" t="s">
        <v>392</v>
      </c>
      <c r="C55" s="17" t="s">
        <v>116</v>
      </c>
      <c r="D55" s="17" t="n">
        <v>1</v>
      </c>
      <c r="E55" s="17" t="s">
        <v>209</v>
      </c>
      <c r="F55" s="17" t="s">
        <v>231</v>
      </c>
      <c r="G55" s="17" t="s">
        <v>232</v>
      </c>
      <c r="H55" s="17" t="n">
        <v>0</v>
      </c>
      <c r="I55" s="17" t="s">
        <v>393</v>
      </c>
      <c r="J55" s="17" t="s">
        <v>394</v>
      </c>
      <c r="K55" s="17" t="s">
        <v>391</v>
      </c>
    </row>
    <row r="56" customFormat="false" ht="15" hidden="false" customHeight="false" outlineLevel="0" collapsed="false">
      <c r="A56" s="17" t="n">
        <v>59176</v>
      </c>
      <c r="B56" s="17" t="s">
        <v>395</v>
      </c>
      <c r="C56" s="17" t="s">
        <v>116</v>
      </c>
      <c r="D56" s="17" t="n">
        <v>1</v>
      </c>
      <c r="E56" s="17" t="s">
        <v>209</v>
      </c>
      <c r="F56" s="17" t="s">
        <v>231</v>
      </c>
      <c r="G56" s="17" t="s">
        <v>232</v>
      </c>
      <c r="H56" s="17" t="n">
        <v>0</v>
      </c>
      <c r="I56" s="17" t="s">
        <v>396</v>
      </c>
      <c r="J56" s="17" t="s">
        <v>397</v>
      </c>
      <c r="K56" s="17" t="s">
        <v>391</v>
      </c>
    </row>
    <row r="57" customFormat="false" ht="15" hidden="false" customHeight="false" outlineLevel="0" collapsed="false">
      <c r="A57" s="17" t="n">
        <v>59289</v>
      </c>
      <c r="B57" s="17" t="s">
        <v>398</v>
      </c>
      <c r="C57" s="17" t="s">
        <v>116</v>
      </c>
      <c r="D57" s="17" t="n">
        <v>1</v>
      </c>
      <c r="E57" s="17" t="s">
        <v>209</v>
      </c>
      <c r="F57" s="17" t="s">
        <v>241</v>
      </c>
      <c r="G57" s="17" t="s">
        <v>232</v>
      </c>
      <c r="H57" s="17" t="n">
        <v>0</v>
      </c>
      <c r="I57" s="17" t="s">
        <v>399</v>
      </c>
      <c r="J57" s="17" t="s">
        <v>312</v>
      </c>
      <c r="K57" s="17" t="s">
        <v>309</v>
      </c>
    </row>
    <row r="58" customFormat="false" ht="15" hidden="false" customHeight="false" outlineLevel="0" collapsed="false">
      <c r="A58" s="17" t="n">
        <v>59298</v>
      </c>
      <c r="B58" s="17" t="s">
        <v>400</v>
      </c>
      <c r="C58" s="17" t="s">
        <v>113</v>
      </c>
      <c r="D58" s="17" t="n">
        <v>1</v>
      </c>
      <c r="E58" s="17" t="s">
        <v>209</v>
      </c>
      <c r="F58" s="17" t="s">
        <v>231</v>
      </c>
      <c r="G58" s="17" t="s">
        <v>232</v>
      </c>
      <c r="H58" s="17" t="n">
        <v>0</v>
      </c>
      <c r="I58" s="17" t="s">
        <v>401</v>
      </c>
      <c r="J58" s="17" t="s">
        <v>402</v>
      </c>
      <c r="K58" s="17" t="s">
        <v>403</v>
      </c>
    </row>
  </sheetData>
  <autoFilter ref="A1:K58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8" min="1" style="0" width="15"/>
  </cols>
  <sheetData>
    <row r="1" customFormat="false" ht="22.05" hidden="false" customHeight="false" outlineLevel="0" collapsed="false">
      <c r="A1" s="13" t="s">
        <v>7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14" t="s">
        <v>404</v>
      </c>
      <c r="B2" s="14"/>
      <c r="C2" s="14"/>
      <c r="D2" s="14"/>
      <c r="E2" s="14"/>
      <c r="F2" s="14"/>
      <c r="G2" s="14"/>
      <c r="H2" s="14"/>
    </row>
    <row r="4" customFormat="false" ht="30" hidden="false" customHeight="true" outlineLevel="0" collapsed="false">
      <c r="A4" s="15" t="s">
        <v>405</v>
      </c>
      <c r="B4" s="15" t="s">
        <v>406</v>
      </c>
      <c r="C4" s="15" t="s">
        <v>407</v>
      </c>
      <c r="D4" s="15" t="s">
        <v>408</v>
      </c>
      <c r="E4" s="15" t="s">
        <v>409</v>
      </c>
      <c r="F4" s="15"/>
      <c r="G4" s="15"/>
      <c r="H4" s="15"/>
    </row>
    <row r="5" customFormat="false" ht="15" hidden="false" customHeight="false" outlineLevel="0" collapsed="false">
      <c r="A5" s="17" t="s">
        <v>410</v>
      </c>
      <c r="B5" s="17" t="n">
        <v>746</v>
      </c>
      <c r="C5" s="17" t="n">
        <v>746</v>
      </c>
      <c r="D5" s="24" t="b">
        <f aca="false">TRUE()</f>
        <v>1</v>
      </c>
      <c r="E5" s="17"/>
      <c r="F5" s="17"/>
      <c r="G5" s="17"/>
      <c r="H5" s="17"/>
    </row>
    <row r="6" customFormat="false" ht="15" hidden="false" customHeight="false" outlineLevel="0" collapsed="false">
      <c r="A6" s="17" t="s">
        <v>411</v>
      </c>
      <c r="B6" s="17" t="n">
        <v>746</v>
      </c>
      <c r="C6" s="17" t="n">
        <v>746</v>
      </c>
      <c r="D6" s="24" t="b">
        <f aca="false">TRUE()</f>
        <v>1</v>
      </c>
      <c r="E6" s="17" t="s">
        <v>412</v>
      </c>
      <c r="F6" s="17"/>
      <c r="G6" s="17"/>
      <c r="H6" s="17"/>
    </row>
    <row r="7" customFormat="false" ht="15" hidden="false" customHeight="false" outlineLevel="0" collapsed="false">
      <c r="A7" s="17" t="s">
        <v>85</v>
      </c>
      <c r="B7" s="17" t="n">
        <v>746</v>
      </c>
      <c r="C7" s="17" t="n">
        <v>746</v>
      </c>
      <c r="D7" s="24" t="b">
        <f aca="false">TRUE()</f>
        <v>1</v>
      </c>
      <c r="E7" s="17" t="s">
        <v>413</v>
      </c>
      <c r="F7" s="17"/>
      <c r="G7" s="17"/>
      <c r="H7" s="17"/>
    </row>
    <row r="8" customFormat="false" ht="15" hidden="false" customHeight="false" outlineLevel="0" collapsed="false">
      <c r="A8" s="17" t="s">
        <v>171</v>
      </c>
      <c r="B8" s="17" t="n">
        <v>746</v>
      </c>
      <c r="C8" s="17" t="n">
        <v>746</v>
      </c>
      <c r="D8" s="24" t="b">
        <f aca="false">TRUE()</f>
        <v>1</v>
      </c>
      <c r="E8" s="17" t="s">
        <v>413</v>
      </c>
      <c r="F8" s="17"/>
      <c r="G8" s="17"/>
      <c r="H8" s="17"/>
    </row>
    <row r="9" customFormat="false" ht="15" hidden="false" customHeight="false" outlineLevel="0" collapsed="false">
      <c r="A9" s="17" t="s">
        <v>414</v>
      </c>
      <c r="B9" s="17" t="n">
        <v>746</v>
      </c>
      <c r="C9" s="17" t="n">
        <v>746</v>
      </c>
      <c r="D9" s="24" t="b">
        <f aca="false">TRUE()</f>
        <v>1</v>
      </c>
      <c r="E9" s="17" t="s">
        <v>413</v>
      </c>
      <c r="F9" s="17"/>
      <c r="G9" s="17"/>
      <c r="H9" s="17"/>
    </row>
    <row r="10" customFormat="false" ht="15" hidden="false" customHeight="false" outlineLevel="0" collapsed="false">
      <c r="A10" s="17" t="s">
        <v>173</v>
      </c>
      <c r="B10" s="17" t="n">
        <v>746</v>
      </c>
      <c r="C10" s="17" t="n">
        <v>746</v>
      </c>
      <c r="D10" s="24" t="b">
        <f aca="false">TRUE()</f>
        <v>1</v>
      </c>
      <c r="E10" s="17" t="s">
        <v>413</v>
      </c>
      <c r="F10" s="17"/>
      <c r="G10" s="17"/>
      <c r="H10" s="17"/>
    </row>
    <row r="11" customFormat="false" ht="15" hidden="false" customHeight="false" outlineLevel="0" collapsed="false">
      <c r="A11" s="17" t="s">
        <v>415</v>
      </c>
      <c r="B11" s="17" t="n">
        <v>746</v>
      </c>
      <c r="C11" s="17" t="n">
        <v>746</v>
      </c>
      <c r="D11" s="24" t="b">
        <f aca="false">TRUE()</f>
        <v>1</v>
      </c>
      <c r="E11" s="17" t="s">
        <v>413</v>
      </c>
      <c r="F11" s="17"/>
      <c r="G11" s="17"/>
      <c r="H11" s="17"/>
    </row>
    <row r="12" customFormat="false" ht="15" hidden="false" customHeight="false" outlineLevel="0" collapsed="false">
      <c r="A12" s="17" t="s">
        <v>178</v>
      </c>
      <c r="B12" s="17" t="n">
        <v>746</v>
      </c>
      <c r="C12" s="17" t="n">
        <v>746</v>
      </c>
      <c r="D12" s="24" t="b">
        <f aca="false">TRUE()</f>
        <v>1</v>
      </c>
      <c r="E12" s="17" t="s">
        <v>413</v>
      </c>
      <c r="F12" s="17"/>
      <c r="G12" s="17"/>
      <c r="H12" s="17"/>
    </row>
    <row r="13" customFormat="false" ht="15" hidden="false" customHeight="false" outlineLevel="0" collapsed="false">
      <c r="A13" s="17" t="s">
        <v>82</v>
      </c>
      <c r="B13" s="17" t="n">
        <v>746</v>
      </c>
      <c r="C13" s="17" t="n">
        <v>746</v>
      </c>
      <c r="D13" s="24" t="b">
        <f aca="false">TRUE()</f>
        <v>1</v>
      </c>
      <c r="E13" s="17" t="s">
        <v>413</v>
      </c>
      <c r="F13" s="17"/>
      <c r="G13" s="17"/>
      <c r="H13" s="17"/>
    </row>
    <row r="14" customFormat="false" ht="15" hidden="false" customHeight="false" outlineLevel="0" collapsed="false">
      <c r="A14" s="17" t="s">
        <v>416</v>
      </c>
      <c r="B14" s="17" t="n">
        <v>746</v>
      </c>
      <c r="C14" s="17" t="n">
        <v>746</v>
      </c>
      <c r="D14" s="24" t="b">
        <f aca="false">TRUE()</f>
        <v>1</v>
      </c>
      <c r="E14" s="17" t="s">
        <v>413</v>
      </c>
      <c r="F14" s="17"/>
      <c r="G14" s="17"/>
      <c r="H14" s="17"/>
    </row>
    <row r="15" customFormat="false" ht="15" hidden="false" customHeight="false" outlineLevel="0" collapsed="false">
      <c r="A15" s="17" t="s">
        <v>417</v>
      </c>
      <c r="B15" s="17" t="n">
        <v>746</v>
      </c>
      <c r="C15" s="17" t="n">
        <v>746</v>
      </c>
      <c r="D15" s="24" t="b">
        <f aca="false">TRUE()</f>
        <v>1</v>
      </c>
      <c r="E15" s="17" t="s">
        <v>413</v>
      </c>
      <c r="F15" s="17"/>
      <c r="G15" s="17"/>
      <c r="H15" s="17"/>
    </row>
    <row r="16" customFormat="false" ht="15" hidden="false" customHeight="false" outlineLevel="0" collapsed="false">
      <c r="A16" s="17" t="s">
        <v>98</v>
      </c>
      <c r="B16" s="17" t="n">
        <v>746</v>
      </c>
      <c r="C16" s="17" t="n">
        <v>746</v>
      </c>
      <c r="D16" s="24" t="b">
        <f aca="false">TRUE()</f>
        <v>1</v>
      </c>
      <c r="E16" s="17" t="s">
        <v>413</v>
      </c>
      <c r="F16" s="17"/>
      <c r="G16" s="17"/>
      <c r="H16" s="17"/>
    </row>
    <row r="17" customFormat="false" ht="15" hidden="false" customHeight="false" outlineLevel="0" collapsed="false">
      <c r="A17" s="17" t="s">
        <v>27</v>
      </c>
      <c r="B17" s="17" t="n">
        <v>746</v>
      </c>
      <c r="C17" s="17" t="n">
        <v>746</v>
      </c>
      <c r="D17" s="24" t="b">
        <f aca="false">TRUE()</f>
        <v>1</v>
      </c>
      <c r="E17" s="17" t="s">
        <v>413</v>
      </c>
      <c r="F17" s="17"/>
      <c r="G17" s="17"/>
      <c r="H17" s="17"/>
    </row>
    <row r="18" customFormat="false" ht="15" hidden="false" customHeight="false" outlineLevel="0" collapsed="false">
      <c r="A18" s="17" t="s">
        <v>83</v>
      </c>
      <c r="B18" s="17" t="n">
        <v>746</v>
      </c>
      <c r="C18" s="17" t="n">
        <v>746</v>
      </c>
      <c r="D18" s="24" t="b">
        <f aca="false">TRUE()</f>
        <v>1</v>
      </c>
      <c r="E18" s="17" t="s">
        <v>413</v>
      </c>
      <c r="F18" s="17"/>
      <c r="G18" s="17"/>
      <c r="H18" s="17"/>
    </row>
  </sheetData>
  <autoFilter ref="A1:H18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85"/>
    <col collapsed="false" customWidth="true" hidden="false" outlineLevel="0" max="4" min="4" style="0" width="70"/>
    <col collapsed="false" customWidth="true" hidden="false" outlineLevel="0" max="8" min="5" style="0" width="15"/>
  </cols>
  <sheetData>
    <row r="1" customFormat="false" ht="22.05" hidden="false" customHeight="false" outlineLevel="0" collapsed="false">
      <c r="A1" s="13" t="s">
        <v>418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14" t="s">
        <v>419</v>
      </c>
      <c r="B2" s="14"/>
      <c r="C2" s="14"/>
      <c r="D2" s="14"/>
      <c r="E2" s="14"/>
      <c r="F2" s="14"/>
      <c r="G2" s="14"/>
      <c r="H2" s="14"/>
    </row>
    <row r="4" customFormat="false" ht="30" hidden="false" customHeight="true" outlineLevel="0" collapsed="false">
      <c r="A4" s="15" t="s">
        <v>420</v>
      </c>
      <c r="B4" s="15" t="s">
        <v>421</v>
      </c>
      <c r="C4" s="15" t="s">
        <v>422</v>
      </c>
      <c r="D4" s="15" t="s">
        <v>423</v>
      </c>
      <c r="E4" s="15"/>
      <c r="F4" s="15"/>
      <c r="G4" s="15"/>
      <c r="H4" s="15"/>
    </row>
    <row r="5" customFormat="false" ht="15" hidden="false" customHeight="false" outlineLevel="0" collapsed="false">
      <c r="A5" s="17" t="s">
        <v>85</v>
      </c>
      <c r="B5" s="17" t="s">
        <v>424</v>
      </c>
      <c r="C5" s="17" t="s">
        <v>425</v>
      </c>
      <c r="D5" s="17"/>
      <c r="E5" s="17"/>
      <c r="F5" s="17"/>
      <c r="G5" s="17"/>
      <c r="H5" s="17"/>
    </row>
    <row r="6" customFormat="false" ht="15" hidden="false" customHeight="false" outlineLevel="0" collapsed="false">
      <c r="A6" s="17" t="s">
        <v>170</v>
      </c>
      <c r="B6" s="17" t="s">
        <v>426</v>
      </c>
      <c r="C6" s="17"/>
      <c r="D6" s="17"/>
      <c r="E6" s="17"/>
      <c r="F6" s="17"/>
      <c r="G6" s="17"/>
      <c r="H6" s="17"/>
    </row>
    <row r="7" customFormat="false" ht="15" hidden="false" customHeight="false" outlineLevel="0" collapsed="false">
      <c r="A7" s="17" t="s">
        <v>171</v>
      </c>
      <c r="B7" s="17" t="s">
        <v>427</v>
      </c>
      <c r="C7" s="17" t="s">
        <v>428</v>
      </c>
      <c r="D7" s="17"/>
      <c r="E7" s="17"/>
      <c r="F7" s="17"/>
      <c r="G7" s="17"/>
      <c r="H7" s="17"/>
    </row>
    <row r="8" customFormat="false" ht="15" hidden="false" customHeight="false" outlineLevel="0" collapsed="false">
      <c r="A8" s="17" t="s">
        <v>172</v>
      </c>
      <c r="B8" s="17" t="s">
        <v>429</v>
      </c>
      <c r="C8" s="17" t="s">
        <v>430</v>
      </c>
      <c r="D8" s="17"/>
      <c r="E8" s="17"/>
      <c r="F8" s="17"/>
      <c r="G8" s="17"/>
      <c r="H8" s="17"/>
    </row>
    <row r="9" customFormat="false" ht="15" hidden="false" customHeight="false" outlineLevel="0" collapsed="false">
      <c r="A9" s="17" t="s">
        <v>99</v>
      </c>
      <c r="B9" s="17" t="s">
        <v>431</v>
      </c>
      <c r="C9" s="17"/>
      <c r="D9" s="17" t="s">
        <v>432</v>
      </c>
      <c r="E9" s="17"/>
      <c r="F9" s="17"/>
      <c r="G9" s="17"/>
      <c r="H9" s="17"/>
    </row>
    <row r="10" customFormat="false" ht="15" hidden="false" customHeight="false" outlineLevel="0" collapsed="false">
      <c r="A10" s="17" t="s">
        <v>185</v>
      </c>
      <c r="B10" s="17" t="s">
        <v>433</v>
      </c>
      <c r="C10" s="17"/>
      <c r="D10" s="17" t="s">
        <v>434</v>
      </c>
      <c r="E10" s="17"/>
      <c r="F10" s="17"/>
      <c r="G10" s="17"/>
      <c r="H10" s="17"/>
    </row>
    <row r="11" customFormat="false" ht="15" hidden="false" customHeight="false" outlineLevel="0" collapsed="false">
      <c r="A11" s="17" t="s">
        <v>176</v>
      </c>
      <c r="B11" s="17" t="s">
        <v>435</v>
      </c>
      <c r="C11" s="17"/>
      <c r="D11" s="17"/>
      <c r="E11" s="17"/>
      <c r="F11" s="17"/>
      <c r="G11" s="17"/>
      <c r="H11" s="17"/>
    </row>
    <row r="12" customFormat="false" ht="15" hidden="false" customHeight="false" outlineLevel="0" collapsed="false">
      <c r="A12" s="17" t="s">
        <v>177</v>
      </c>
      <c r="B12" s="17" t="s">
        <v>436</v>
      </c>
      <c r="C12" s="17"/>
      <c r="D12" s="17"/>
      <c r="E12" s="17"/>
      <c r="F12" s="17"/>
      <c r="G12" s="17"/>
      <c r="H12" s="17"/>
    </row>
    <row r="13" customFormat="false" ht="15" hidden="false" customHeight="false" outlineLevel="0" collapsed="false">
      <c r="A13" s="17" t="s">
        <v>173</v>
      </c>
      <c r="B13" s="17" t="s">
        <v>437</v>
      </c>
      <c r="C13" s="17"/>
      <c r="D13" s="17"/>
      <c r="E13" s="17"/>
      <c r="F13" s="17"/>
      <c r="G13" s="17"/>
      <c r="H13" s="17"/>
    </row>
    <row r="14" customFormat="false" ht="15" hidden="false" customHeight="false" outlineLevel="0" collapsed="false">
      <c r="A14" s="17" t="s">
        <v>174</v>
      </c>
      <c r="B14" s="17" t="s">
        <v>438</v>
      </c>
      <c r="C14" s="17"/>
      <c r="D14" s="17"/>
      <c r="E14" s="17"/>
      <c r="F14" s="17"/>
      <c r="G14" s="17"/>
      <c r="H14" s="17"/>
    </row>
    <row r="15" customFormat="false" ht="15" hidden="false" customHeight="false" outlineLevel="0" collapsed="false">
      <c r="A15" s="17" t="s">
        <v>415</v>
      </c>
      <c r="B15" s="17" t="s">
        <v>439</v>
      </c>
      <c r="C15" s="17"/>
      <c r="D15" s="17"/>
      <c r="E15" s="17"/>
      <c r="F15" s="17"/>
      <c r="G15" s="17"/>
      <c r="H15" s="17"/>
    </row>
    <row r="16" customFormat="false" ht="15" hidden="false" customHeight="false" outlineLevel="0" collapsed="false">
      <c r="A16" s="17" t="s">
        <v>175</v>
      </c>
      <c r="B16" s="17" t="s">
        <v>440</v>
      </c>
      <c r="C16" s="17"/>
      <c r="D16" s="17"/>
      <c r="E16" s="17"/>
      <c r="F16" s="17"/>
      <c r="G16" s="17"/>
      <c r="H16" s="17"/>
    </row>
    <row r="17" customFormat="false" ht="15" hidden="false" customHeight="false" outlineLevel="0" collapsed="false">
      <c r="A17" s="17" t="s">
        <v>178</v>
      </c>
      <c r="B17" s="17" t="s">
        <v>441</v>
      </c>
      <c r="C17" s="17"/>
      <c r="D17" s="17"/>
      <c r="E17" s="17"/>
      <c r="F17" s="17"/>
      <c r="G17" s="17"/>
      <c r="H17" s="17"/>
    </row>
    <row r="18" customFormat="false" ht="15" hidden="false" customHeight="false" outlineLevel="0" collapsed="false">
      <c r="A18" s="17" t="s">
        <v>416</v>
      </c>
      <c r="B18" s="17" t="s">
        <v>442</v>
      </c>
      <c r="C18" s="17"/>
      <c r="D18" s="17" t="s">
        <v>443</v>
      </c>
      <c r="E18" s="17"/>
      <c r="F18" s="17"/>
      <c r="G18" s="17"/>
      <c r="H18" s="17"/>
    </row>
    <row r="19" customFormat="false" ht="15" hidden="false" customHeight="false" outlineLevel="0" collapsed="false">
      <c r="A19" s="17" t="s">
        <v>183</v>
      </c>
      <c r="B19" s="17" t="s">
        <v>444</v>
      </c>
      <c r="C19" s="17"/>
      <c r="D19" s="17"/>
      <c r="E19" s="17"/>
      <c r="F19" s="17"/>
      <c r="G19" s="17"/>
      <c r="H19" s="17"/>
    </row>
    <row r="20" customFormat="false" ht="15" hidden="false" customHeight="false" outlineLevel="0" collapsed="false">
      <c r="A20" s="17" t="s">
        <v>93</v>
      </c>
      <c r="B20" s="17" t="s">
        <v>445</v>
      </c>
      <c r="C20" s="17"/>
      <c r="D20" s="17" t="s">
        <v>446</v>
      </c>
      <c r="E20" s="17"/>
      <c r="F20" s="17"/>
      <c r="G20" s="17"/>
      <c r="H20" s="17"/>
    </row>
    <row r="21" customFormat="false" ht="15" hidden="false" customHeight="false" outlineLevel="0" collapsed="false">
      <c r="A21" s="17" t="s">
        <v>417</v>
      </c>
      <c r="B21" s="17" t="s">
        <v>447</v>
      </c>
      <c r="C21" s="17"/>
      <c r="D21" s="17"/>
      <c r="E21" s="17"/>
      <c r="F21" s="17"/>
      <c r="G21" s="17"/>
      <c r="H21" s="17"/>
    </row>
    <row r="22" customFormat="false" ht="15" hidden="false" customHeight="false" outlineLevel="0" collapsed="false">
      <c r="A22" s="17" t="s">
        <v>181</v>
      </c>
      <c r="B22" s="17" t="s">
        <v>448</v>
      </c>
      <c r="C22" s="17"/>
      <c r="D22" s="17"/>
      <c r="E22" s="17"/>
      <c r="F22" s="17"/>
      <c r="G22" s="17"/>
      <c r="H22" s="17"/>
    </row>
    <row r="23" customFormat="false" ht="15" hidden="false" customHeight="false" outlineLevel="0" collapsed="false">
      <c r="A23" s="17" t="s">
        <v>97</v>
      </c>
      <c r="B23" s="17" t="s">
        <v>449</v>
      </c>
      <c r="C23" s="17"/>
      <c r="D23" s="17" t="s">
        <v>450</v>
      </c>
      <c r="E23" s="17"/>
      <c r="F23" s="17"/>
      <c r="G23" s="17"/>
      <c r="H23" s="17"/>
    </row>
    <row r="24" customFormat="false" ht="15" hidden="false" customHeight="false" outlineLevel="0" collapsed="false">
      <c r="A24" s="17" t="s">
        <v>179</v>
      </c>
      <c r="B24" s="17" t="s">
        <v>451</v>
      </c>
      <c r="C24" s="17"/>
      <c r="D24" s="17"/>
      <c r="E24" s="17"/>
      <c r="F24" s="17"/>
      <c r="G24" s="17"/>
      <c r="H24" s="17"/>
    </row>
    <row r="25" customFormat="false" ht="15" hidden="false" customHeight="false" outlineLevel="0" collapsed="false">
      <c r="A25" s="17" t="s">
        <v>180</v>
      </c>
      <c r="B25" s="17" t="s">
        <v>452</v>
      </c>
      <c r="C25" s="17"/>
      <c r="D25" s="17"/>
      <c r="E25" s="17"/>
      <c r="F25" s="17"/>
      <c r="G25" s="17"/>
      <c r="H25" s="17"/>
    </row>
    <row r="26" customFormat="false" ht="15" hidden="false" customHeight="false" outlineLevel="0" collapsed="false">
      <c r="A26" s="17" t="s">
        <v>49</v>
      </c>
      <c r="B26" s="17" t="s">
        <v>453</v>
      </c>
      <c r="C26" s="17"/>
      <c r="D26" s="17"/>
      <c r="E26" s="17"/>
      <c r="F26" s="17"/>
      <c r="G26" s="17"/>
      <c r="H26" s="17"/>
    </row>
    <row r="27" customFormat="false" ht="15" hidden="false" customHeight="false" outlineLevel="0" collapsed="false">
      <c r="A27" s="17" t="s">
        <v>98</v>
      </c>
      <c r="B27" s="17" t="s">
        <v>454</v>
      </c>
      <c r="C27" s="17"/>
      <c r="D27" s="17" t="s">
        <v>455</v>
      </c>
      <c r="E27" s="17"/>
      <c r="F27" s="17"/>
      <c r="G27" s="17"/>
      <c r="H27" s="17"/>
    </row>
    <row r="28" customFormat="false" ht="15" hidden="false" customHeight="false" outlineLevel="0" collapsed="false">
      <c r="A28" s="17" t="s">
        <v>27</v>
      </c>
      <c r="B28" s="17" t="s">
        <v>456</v>
      </c>
      <c r="C28" s="17" t="s">
        <v>457</v>
      </c>
      <c r="D28" s="17" t="s">
        <v>458</v>
      </c>
      <c r="E28" s="17"/>
      <c r="F28" s="17"/>
      <c r="G28" s="17"/>
      <c r="H28" s="17"/>
    </row>
    <row r="29" customFormat="false" ht="15" hidden="false" customHeight="false" outlineLevel="0" collapsed="false">
      <c r="A29" s="17" t="s">
        <v>184</v>
      </c>
      <c r="B29" s="17" t="s">
        <v>459</v>
      </c>
      <c r="C29" s="17" t="s">
        <v>460</v>
      </c>
      <c r="D29" s="17"/>
      <c r="E29" s="17"/>
      <c r="F29" s="17"/>
      <c r="G29" s="17"/>
      <c r="H29" s="17"/>
    </row>
    <row r="30" customFormat="false" ht="15" hidden="false" customHeight="false" outlineLevel="0" collapsed="false">
      <c r="A30" s="17" t="s">
        <v>182</v>
      </c>
      <c r="B30" s="17" t="s">
        <v>461</v>
      </c>
      <c r="C30" s="17"/>
      <c r="D30" s="17"/>
      <c r="E30" s="17"/>
      <c r="F30" s="17"/>
      <c r="G30" s="17"/>
      <c r="H30" s="17"/>
    </row>
    <row r="31" customFormat="false" ht="15" hidden="false" customHeight="false" outlineLevel="0" collapsed="false">
      <c r="A31" s="17" t="s">
        <v>462</v>
      </c>
      <c r="B31" s="17" t="s">
        <v>463</v>
      </c>
      <c r="C31" s="17"/>
      <c r="D31" s="17"/>
      <c r="E31" s="17"/>
      <c r="F31" s="17"/>
      <c r="G31" s="17"/>
      <c r="H31" s="17"/>
    </row>
  </sheetData>
  <autoFilter ref="A1:H31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46"/>
    <col collapsed="false" customWidth="true" hidden="false" outlineLevel="0" max="34" min="4" style="0" width="15"/>
  </cols>
  <sheetData>
    <row r="1" customFormat="false" ht="22.05" hidden="false" customHeight="false" outlineLevel="0" collapsed="false">
      <c r="A1" s="13" t="s">
        <v>464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customFormat="false" ht="15" hidden="false" customHeight="false" outlineLevel="0" collapsed="false">
      <c r="A2" s="14" t="s">
        <v>465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4" customFormat="false" ht="30" hidden="false" customHeight="true" outlineLevel="0" collapsed="false">
      <c r="A4" s="15" t="s">
        <v>81</v>
      </c>
      <c r="B4" s="15" t="s">
        <v>201</v>
      </c>
      <c r="C4" s="15" t="s">
        <v>82</v>
      </c>
      <c r="D4" s="15" t="s">
        <v>83</v>
      </c>
      <c r="E4" s="15" t="s">
        <v>85</v>
      </c>
      <c r="F4" s="15" t="s">
        <v>170</v>
      </c>
      <c r="G4" s="15" t="s">
        <v>171</v>
      </c>
      <c r="H4" s="15" t="s">
        <v>172</v>
      </c>
      <c r="I4" s="15" t="s">
        <v>99</v>
      </c>
      <c r="J4" s="15" t="s">
        <v>173</v>
      </c>
      <c r="K4" s="15" t="s">
        <v>174</v>
      </c>
      <c r="L4" s="15" t="s">
        <v>415</v>
      </c>
      <c r="M4" s="15" t="s">
        <v>175</v>
      </c>
      <c r="N4" s="15" t="s">
        <v>176</v>
      </c>
      <c r="O4" s="15" t="s">
        <v>177</v>
      </c>
      <c r="P4" s="15" t="s">
        <v>178</v>
      </c>
      <c r="Q4" s="15" t="s">
        <v>179</v>
      </c>
      <c r="R4" s="15" t="s">
        <v>180</v>
      </c>
      <c r="S4" s="15" t="s">
        <v>417</v>
      </c>
      <c r="T4" s="15" t="s">
        <v>181</v>
      </c>
      <c r="U4" s="15" t="s">
        <v>97</v>
      </c>
      <c r="V4" s="15" t="s">
        <v>49</v>
      </c>
      <c r="W4" s="15" t="s">
        <v>182</v>
      </c>
      <c r="X4" s="15" t="s">
        <v>98</v>
      </c>
      <c r="Y4" s="15" t="s">
        <v>183</v>
      </c>
      <c r="Z4" s="15" t="s">
        <v>27</v>
      </c>
      <c r="AA4" s="15" t="s">
        <v>184</v>
      </c>
      <c r="AB4" s="15" t="s">
        <v>93</v>
      </c>
      <c r="AC4" s="15" t="s">
        <v>185</v>
      </c>
      <c r="AD4" s="15" t="s">
        <v>462</v>
      </c>
      <c r="AE4" s="15" t="s">
        <v>200</v>
      </c>
      <c r="AF4" s="15" t="s">
        <v>202</v>
      </c>
      <c r="AG4" s="15" t="s">
        <v>203</v>
      </c>
      <c r="AH4" s="15" t="s">
        <v>204</v>
      </c>
    </row>
    <row r="5" customFormat="false" ht="15" hidden="false" customHeight="false" outlineLevel="0" collapsed="false">
      <c r="A5" s="17" t="n">
        <v>4255</v>
      </c>
      <c r="B5" s="23" t="n">
        <v>44651</v>
      </c>
      <c r="C5" s="17" t="s">
        <v>126</v>
      </c>
      <c r="D5" s="17" t="s">
        <v>108</v>
      </c>
      <c r="E5" s="17" t="n">
        <v>5406954</v>
      </c>
      <c r="F5" s="17" t="n">
        <v>5444095.5</v>
      </c>
      <c r="G5" s="17" t="n">
        <v>4617834</v>
      </c>
      <c r="H5" s="17" t="n">
        <v>494704</v>
      </c>
      <c r="I5" s="17" t="n">
        <v>9.14940278759538</v>
      </c>
      <c r="J5" s="17" t="n">
        <v>3540923</v>
      </c>
      <c r="K5" s="17" t="n">
        <v>3489106</v>
      </c>
      <c r="L5" s="17" t="n">
        <v>3509153</v>
      </c>
      <c r="M5" s="17" t="n">
        <v>3145490</v>
      </c>
      <c r="N5" s="17" t="n">
        <v>332872</v>
      </c>
      <c r="O5" s="17" t="n">
        <v>18973</v>
      </c>
      <c r="P5" s="17" t="n">
        <v>4452</v>
      </c>
      <c r="Q5" s="17" t="n">
        <v>1301</v>
      </c>
      <c r="R5" s="17" t="n">
        <v>0</v>
      </c>
      <c r="S5" s="17" t="n">
        <v>250</v>
      </c>
      <c r="T5" s="17" t="n">
        <v>1000</v>
      </c>
      <c r="U5" s="17" t="n">
        <v>0.0286606368508151</v>
      </c>
      <c r="V5" s="17" t="n">
        <v>496376</v>
      </c>
      <c r="W5" s="17" t="n">
        <v>3661632</v>
      </c>
      <c r="X5" s="17" t="n">
        <v>13.5561410868159</v>
      </c>
      <c r="Y5" s="17" t="n">
        <v>69512</v>
      </c>
      <c r="Z5" s="17" t="n">
        <v>1.27683285497104</v>
      </c>
      <c r="AA5" s="17" t="n">
        <v>13.21</v>
      </c>
      <c r="AB5" s="17" t="n">
        <v>2.92744682140836</v>
      </c>
      <c r="AC5" s="17" t="n">
        <v>0.897223689981398</v>
      </c>
      <c r="AD5" s="17" t="n">
        <v>-0.08</v>
      </c>
      <c r="AE5" s="17" t="n">
        <v>1</v>
      </c>
      <c r="AF5" s="17" t="s">
        <v>210</v>
      </c>
      <c r="AG5" s="17" t="s">
        <v>211</v>
      </c>
      <c r="AH5" s="17" t="n">
        <v>0</v>
      </c>
    </row>
    <row r="6" customFormat="false" ht="15" hidden="false" customHeight="false" outlineLevel="0" collapsed="false">
      <c r="A6" s="17" t="n">
        <v>4256</v>
      </c>
      <c r="B6" s="23" t="n">
        <v>44651</v>
      </c>
      <c r="C6" s="17" t="s">
        <v>135</v>
      </c>
      <c r="D6" s="17" t="s">
        <v>108</v>
      </c>
      <c r="E6" s="17" t="n">
        <v>2514032</v>
      </c>
      <c r="F6" s="17" t="n">
        <v>2505113</v>
      </c>
      <c r="G6" s="17" t="n">
        <v>2159436</v>
      </c>
      <c r="H6" s="17" t="n">
        <v>204756</v>
      </c>
      <c r="I6" s="17" t="n">
        <v>8.14452640220968</v>
      </c>
      <c r="J6" s="17" t="n">
        <v>1707748</v>
      </c>
      <c r="K6" s="17" t="n">
        <v>1678116</v>
      </c>
      <c r="L6" s="17" t="n">
        <v>1691982</v>
      </c>
      <c r="M6" s="17" t="n">
        <v>1367138</v>
      </c>
      <c r="N6" s="17" t="n">
        <v>226654</v>
      </c>
      <c r="O6" s="17" t="n">
        <v>22077</v>
      </c>
      <c r="P6" s="17" t="n">
        <v>5049</v>
      </c>
      <c r="Q6" s="17" t="n">
        <v>892</v>
      </c>
      <c r="R6" s="17" t="n">
        <v>46</v>
      </c>
      <c r="S6" s="17" t="n">
        <v>205</v>
      </c>
      <c r="T6" s="17" t="n">
        <v>820</v>
      </c>
      <c r="U6" s="17" t="n">
        <v>0.0488643216559523</v>
      </c>
      <c r="V6" s="17" t="n">
        <v>237307</v>
      </c>
      <c r="W6" s="17" t="n">
        <v>1694438</v>
      </c>
      <c r="X6" s="17" t="n">
        <v>14.0050565438216</v>
      </c>
      <c r="Y6" s="17" t="n">
        <v>39596</v>
      </c>
      <c r="Z6" s="17" t="n">
        <v>1.58060734186442</v>
      </c>
      <c r="AA6" s="17" t="n">
        <v>18.79</v>
      </c>
      <c r="AB6" s="17" t="n">
        <v>3.15768402829308</v>
      </c>
      <c r="AC6" s="17" t="n">
        <v>0.923204126135706</v>
      </c>
      <c r="AD6" s="17" t="n">
        <v>0.07</v>
      </c>
      <c r="AE6" s="17" t="n">
        <v>1</v>
      </c>
      <c r="AF6" s="17" t="s">
        <v>210</v>
      </c>
      <c r="AG6" s="17" t="s">
        <v>211</v>
      </c>
      <c r="AH6" s="17" t="n">
        <v>0</v>
      </c>
    </row>
    <row r="7" customFormat="false" ht="15" hidden="false" customHeight="false" outlineLevel="0" collapsed="false">
      <c r="A7" s="17" t="n">
        <v>6271</v>
      </c>
      <c r="B7" s="23" t="n">
        <v>44651</v>
      </c>
      <c r="C7" s="17" t="s">
        <v>147</v>
      </c>
      <c r="D7" s="17" t="s">
        <v>113</v>
      </c>
      <c r="E7" s="17" t="n">
        <v>1004765</v>
      </c>
      <c r="F7" s="17" t="n">
        <v>1011649</v>
      </c>
      <c r="G7" s="17" t="n">
        <v>878431</v>
      </c>
      <c r="H7" s="17" t="n">
        <v>89733</v>
      </c>
      <c r="I7" s="17" t="n">
        <v>8.93074500007464</v>
      </c>
      <c r="J7" s="17" t="n">
        <v>696813</v>
      </c>
      <c r="K7" s="17" t="n">
        <v>693551.5</v>
      </c>
      <c r="L7" s="17" t="n">
        <v>688922</v>
      </c>
      <c r="M7" s="17" t="n">
        <v>523731</v>
      </c>
      <c r="N7" s="17" t="n">
        <v>116404</v>
      </c>
      <c r="O7" s="17" t="n">
        <v>3056</v>
      </c>
      <c r="P7" s="17" t="n">
        <v>5415</v>
      </c>
      <c r="Q7" s="17" t="n">
        <v>2673</v>
      </c>
      <c r="R7" s="17" t="n">
        <v>654</v>
      </c>
      <c r="S7" s="17" t="n">
        <v>682</v>
      </c>
      <c r="T7" s="17" t="n">
        <v>2728</v>
      </c>
      <c r="U7" s="17" t="n">
        <v>0.393337769437454</v>
      </c>
      <c r="V7" s="17" t="n">
        <v>95952</v>
      </c>
      <c r="W7" s="17" t="n">
        <v>630415</v>
      </c>
      <c r="X7" s="17" t="n">
        <v>15.2204500210179</v>
      </c>
      <c r="Y7" s="17" t="n">
        <v>10200</v>
      </c>
      <c r="Z7" s="17" t="n">
        <v>1.00825483937611</v>
      </c>
      <c r="AA7" s="17" t="n">
        <v>10.92</v>
      </c>
      <c r="AB7" s="17" t="n">
        <v>3.22402305761983</v>
      </c>
      <c r="AC7" s="17" t="n">
        <v>1.13244155892614</v>
      </c>
      <c r="AD7" s="17" t="n">
        <v>0.34</v>
      </c>
      <c r="AE7" s="17" t="n">
        <v>1</v>
      </c>
      <c r="AF7" s="17" t="s">
        <v>210</v>
      </c>
      <c r="AG7" s="17" t="s">
        <v>211</v>
      </c>
      <c r="AH7" s="17" t="n">
        <v>0</v>
      </c>
    </row>
    <row r="8" customFormat="false" ht="15" hidden="false" customHeight="false" outlineLevel="0" collapsed="false">
      <c r="A8" s="17" t="n">
        <v>6275</v>
      </c>
      <c r="B8" s="23" t="n">
        <v>44651</v>
      </c>
      <c r="C8" s="17" t="s">
        <v>165</v>
      </c>
      <c r="D8" s="17" t="s">
        <v>113</v>
      </c>
      <c r="E8" s="17" t="n">
        <v>531651</v>
      </c>
      <c r="F8" s="17" t="n">
        <v>540168.5</v>
      </c>
      <c r="G8" s="17" t="n">
        <v>472420</v>
      </c>
      <c r="H8" s="17" t="n">
        <v>32835</v>
      </c>
      <c r="I8" s="17" t="n">
        <v>6.17604405897854</v>
      </c>
      <c r="J8" s="17" t="n">
        <v>284192</v>
      </c>
      <c r="K8" s="17" t="n">
        <v>284051</v>
      </c>
      <c r="L8" s="17" t="n">
        <v>281069</v>
      </c>
      <c r="M8" s="17" t="n">
        <v>237696</v>
      </c>
      <c r="N8" s="17" t="n">
        <v>24050</v>
      </c>
      <c r="O8" s="17" t="n">
        <v>12501</v>
      </c>
      <c r="P8" s="17" t="n">
        <v>1559</v>
      </c>
      <c r="Q8" s="17" t="n">
        <v>381</v>
      </c>
      <c r="R8" s="17" t="n">
        <v>242</v>
      </c>
      <c r="S8" s="17" t="n">
        <v>-3</v>
      </c>
      <c r="T8" s="17" t="n">
        <v>-12</v>
      </c>
      <c r="U8" s="17" t="n">
        <v>-0.00422459347089079</v>
      </c>
      <c r="V8" s="17" t="n">
        <v>45411</v>
      </c>
      <c r="W8" s="17" t="n">
        <v>279510</v>
      </c>
      <c r="X8" s="17" t="n">
        <v>16.2466459160674</v>
      </c>
      <c r="Y8" s="17" t="n">
        <v>2540</v>
      </c>
      <c r="Z8" s="17" t="n">
        <v>0.470223643178008</v>
      </c>
      <c r="AA8" s="17" t="n">
        <v>6.87</v>
      </c>
      <c r="AB8" s="17" t="n">
        <v>2.5345588039533</v>
      </c>
      <c r="AC8" s="17" t="n">
        <v>1.09890496565702</v>
      </c>
      <c r="AD8" s="17" t="n">
        <v>0</v>
      </c>
      <c r="AE8" s="17" t="n">
        <v>1</v>
      </c>
      <c r="AF8" s="17" t="s">
        <v>210</v>
      </c>
      <c r="AG8" s="17" t="s">
        <v>211</v>
      </c>
      <c r="AH8" s="17" t="n">
        <v>0</v>
      </c>
    </row>
    <row r="9" customFormat="false" ht="15" hidden="false" customHeight="false" outlineLevel="0" collapsed="false">
      <c r="A9" s="17" t="n">
        <v>6280</v>
      </c>
      <c r="B9" s="23" t="n">
        <v>44651</v>
      </c>
      <c r="C9" s="17" t="s">
        <v>138</v>
      </c>
      <c r="D9" s="17" t="s">
        <v>113</v>
      </c>
      <c r="E9" s="17" t="n">
        <v>83998</v>
      </c>
      <c r="F9" s="17" t="n">
        <v>84673</v>
      </c>
      <c r="G9" s="17" t="n">
        <v>75709</v>
      </c>
      <c r="H9" s="17" t="n">
        <v>8131</v>
      </c>
      <c r="I9" s="17" t="n">
        <v>9.67999238077097</v>
      </c>
      <c r="J9" s="17" t="n">
        <v>61955</v>
      </c>
      <c r="K9" s="17" t="n">
        <v>61495</v>
      </c>
      <c r="L9" s="17" t="n">
        <v>61128</v>
      </c>
      <c r="M9" s="17" t="n">
        <v>53939</v>
      </c>
      <c r="N9" s="17" t="n">
        <v>2686</v>
      </c>
      <c r="O9" s="17" t="n">
        <v>1876</v>
      </c>
      <c r="P9" s="17" t="n">
        <v>836</v>
      </c>
      <c r="Q9" s="17" t="n">
        <v>644</v>
      </c>
      <c r="R9" s="17" t="n">
        <v>0</v>
      </c>
      <c r="S9" s="17" t="n">
        <v>-1</v>
      </c>
      <c r="T9" s="17" t="n">
        <v>-4</v>
      </c>
      <c r="U9" s="17" t="n">
        <v>-0.00650459386942028</v>
      </c>
      <c r="V9" s="17" t="n">
        <v>0</v>
      </c>
      <c r="W9" s="17" t="n">
        <v>0</v>
      </c>
      <c r="X9" s="17" t="n">
        <v>0</v>
      </c>
      <c r="Y9" s="17" t="n">
        <v>1004</v>
      </c>
      <c r="Z9" s="17" t="n">
        <v>1.18573807471095</v>
      </c>
      <c r="AA9" s="17" t="n">
        <v>12.54</v>
      </c>
      <c r="AB9" s="17" t="n">
        <v>3.84047633815047</v>
      </c>
      <c r="AC9" s="17" t="n">
        <v>1.33483980308288</v>
      </c>
      <c r="AD9" s="17" t="n">
        <v>0.05</v>
      </c>
      <c r="AE9" s="17" t="n">
        <v>1</v>
      </c>
      <c r="AF9" s="17" t="s">
        <v>210</v>
      </c>
      <c r="AG9" s="17" t="s">
        <v>211</v>
      </c>
      <c r="AH9" s="17" t="n">
        <v>0</v>
      </c>
    </row>
    <row r="10" customFormat="false" ht="15" hidden="false" customHeight="false" outlineLevel="0" collapsed="false">
      <c r="A10" s="17" t="n">
        <v>11971</v>
      </c>
      <c r="B10" s="23" t="n">
        <v>44651</v>
      </c>
      <c r="C10" s="17" t="s">
        <v>134</v>
      </c>
      <c r="D10" s="17" t="s">
        <v>108</v>
      </c>
      <c r="E10" s="17" t="n">
        <v>3688993</v>
      </c>
      <c r="F10" s="17" t="n">
        <v>3697790</v>
      </c>
      <c r="G10" s="17" t="n">
        <v>3055632</v>
      </c>
      <c r="H10" s="17" t="n">
        <v>461681</v>
      </c>
      <c r="I10" s="17" t="n">
        <v>12.5150955829951</v>
      </c>
      <c r="J10" s="17" t="n">
        <v>2657406</v>
      </c>
      <c r="K10" s="17" t="n">
        <v>2597420</v>
      </c>
      <c r="L10" s="17" t="n">
        <v>2634216</v>
      </c>
      <c r="M10" s="17" t="n">
        <v>2317079</v>
      </c>
      <c r="N10" s="17" t="n">
        <v>201303</v>
      </c>
      <c r="O10" s="17" t="n">
        <v>7873</v>
      </c>
      <c r="P10" s="17" t="n">
        <v>9213</v>
      </c>
      <c r="Q10" s="17" t="n">
        <v>4642</v>
      </c>
      <c r="R10" s="17" t="n">
        <v>843</v>
      </c>
      <c r="S10" s="17" t="n">
        <v>-95</v>
      </c>
      <c r="T10" s="17" t="n">
        <v>-380</v>
      </c>
      <c r="U10" s="17" t="n">
        <v>-0.0146299019796567</v>
      </c>
      <c r="V10" s="17" t="n">
        <v>381949</v>
      </c>
      <c r="W10" s="17" t="n">
        <v>2792237</v>
      </c>
      <c r="X10" s="17" t="n">
        <v>13.6789606326397</v>
      </c>
      <c r="Y10" s="17" t="n">
        <v>41276</v>
      </c>
      <c r="Z10" s="17" t="n">
        <v>1.11623429129291</v>
      </c>
      <c r="AA10" s="17" t="n">
        <v>8.77</v>
      </c>
      <c r="AB10" s="17" t="n">
        <v>3.00674213850076</v>
      </c>
      <c r="AC10" s="17" t="n">
        <v>0.872655514437764</v>
      </c>
      <c r="AD10" s="17" t="n">
        <v>0.08</v>
      </c>
      <c r="AE10" s="17" t="n">
        <v>1</v>
      </c>
      <c r="AF10" s="17" t="s">
        <v>231</v>
      </c>
      <c r="AG10" s="17" t="s">
        <v>232</v>
      </c>
      <c r="AH10" s="17" t="n">
        <v>0</v>
      </c>
    </row>
    <row r="11" customFormat="false" ht="15" hidden="false" customHeight="false" outlineLevel="0" collapsed="false">
      <c r="A11" s="17" t="n">
        <v>12874</v>
      </c>
      <c r="B11" s="23" t="n">
        <v>44651</v>
      </c>
      <c r="C11" s="17" t="s">
        <v>159</v>
      </c>
      <c r="D11" s="17" t="s">
        <v>108</v>
      </c>
      <c r="E11" s="17" t="n">
        <v>964163</v>
      </c>
      <c r="F11" s="17" t="n">
        <v>952017.5</v>
      </c>
      <c r="G11" s="17" t="n">
        <v>854194</v>
      </c>
      <c r="H11" s="17" t="n">
        <v>97916</v>
      </c>
      <c r="I11" s="17" t="n">
        <v>10.1555442388891</v>
      </c>
      <c r="J11" s="17" t="n">
        <v>732906</v>
      </c>
      <c r="K11" s="17" t="n">
        <v>731654.5</v>
      </c>
      <c r="L11" s="17" t="n">
        <v>725098</v>
      </c>
      <c r="M11" s="17" t="n">
        <v>577596</v>
      </c>
      <c r="N11" s="17" t="n">
        <v>138143</v>
      </c>
      <c r="O11" s="17" t="n">
        <v>5249</v>
      </c>
      <c r="P11" s="17" t="n">
        <v>1069</v>
      </c>
      <c r="Q11" s="17" t="n">
        <v>374</v>
      </c>
      <c r="R11" s="17" t="n">
        <v>0</v>
      </c>
      <c r="S11" s="17" t="n">
        <v>-5</v>
      </c>
      <c r="T11" s="17" t="n">
        <v>-20</v>
      </c>
      <c r="U11" s="17" t="n">
        <v>-0.00273353064868732</v>
      </c>
      <c r="V11" s="17" t="n">
        <v>105628</v>
      </c>
      <c r="W11" s="17" t="n">
        <v>677033</v>
      </c>
      <c r="X11" s="17" t="n">
        <v>15.6016028760784</v>
      </c>
      <c r="Y11" s="17" t="n">
        <v>7916</v>
      </c>
      <c r="Z11" s="17" t="n">
        <v>0.831497320164808</v>
      </c>
      <c r="AA11" s="17" t="n">
        <v>7.95</v>
      </c>
      <c r="AB11" s="17" t="n">
        <v>3.40195044114991</v>
      </c>
      <c r="AC11" s="17" t="n">
        <v>1.0653480801085</v>
      </c>
      <c r="AD11" s="17" t="n">
        <v>0</v>
      </c>
      <c r="AE11" s="17" t="n">
        <v>1</v>
      </c>
      <c r="AF11" s="17" t="s">
        <v>231</v>
      </c>
      <c r="AG11" s="17" t="s">
        <v>232</v>
      </c>
      <c r="AH11" s="17" t="n">
        <v>0</v>
      </c>
    </row>
    <row r="12" customFormat="false" ht="15" hidden="false" customHeight="false" outlineLevel="0" collapsed="false">
      <c r="A12" s="17" t="n">
        <v>13063</v>
      </c>
      <c r="B12" s="23" t="n">
        <v>44651</v>
      </c>
      <c r="C12" s="17" t="s">
        <v>139</v>
      </c>
      <c r="D12" s="17" t="s">
        <v>108</v>
      </c>
      <c r="E12" s="17" t="n">
        <v>1784835</v>
      </c>
      <c r="F12" s="17" t="n">
        <v>1805241.5</v>
      </c>
      <c r="G12" s="17" t="n">
        <v>1619076</v>
      </c>
      <c r="H12" s="17" t="n">
        <v>148181</v>
      </c>
      <c r="I12" s="17" t="n">
        <v>8.30222401510504</v>
      </c>
      <c r="J12" s="17" t="n">
        <v>1223389</v>
      </c>
      <c r="K12" s="17" t="n">
        <v>1207345</v>
      </c>
      <c r="L12" s="17" t="n">
        <v>1208488</v>
      </c>
      <c r="M12" s="17" t="n">
        <v>1160807</v>
      </c>
      <c r="N12" s="17" t="n">
        <v>55361</v>
      </c>
      <c r="O12" s="17" t="n">
        <v>837</v>
      </c>
      <c r="P12" s="17" t="n">
        <v>408</v>
      </c>
      <c r="Q12" s="17" t="n">
        <v>3</v>
      </c>
      <c r="R12" s="17" t="n">
        <v>1196</v>
      </c>
      <c r="S12" s="17" t="n">
        <v>-5</v>
      </c>
      <c r="T12" s="17" t="n">
        <v>-20</v>
      </c>
      <c r="U12" s="17" t="n">
        <v>-0.00165652733891307</v>
      </c>
      <c r="V12" s="17" t="n">
        <v>0</v>
      </c>
      <c r="W12" s="17" t="n">
        <v>0</v>
      </c>
      <c r="X12" s="17" t="n">
        <v>0</v>
      </c>
      <c r="Y12" s="17" t="n">
        <v>8708</v>
      </c>
      <c r="Z12" s="17" t="n">
        <v>0.482373134010048</v>
      </c>
      <c r="AA12" s="17" t="n">
        <v>5.56</v>
      </c>
      <c r="AB12" s="17" t="n">
        <v>3.27111477410285</v>
      </c>
      <c r="AC12" s="17" t="n">
        <v>1.21800997066346</v>
      </c>
      <c r="AD12" s="17" t="n">
        <v>0</v>
      </c>
      <c r="AE12" s="17" t="n">
        <v>1</v>
      </c>
      <c r="AF12" s="17" t="s">
        <v>241</v>
      </c>
      <c r="AG12" s="17" t="s">
        <v>232</v>
      </c>
      <c r="AH12" s="17" t="n">
        <v>0</v>
      </c>
    </row>
    <row r="13" customFormat="false" ht="15" hidden="false" customHeight="false" outlineLevel="0" collapsed="false">
      <c r="A13" s="17" t="n">
        <v>14134</v>
      </c>
      <c r="B13" s="23" t="n">
        <v>44651</v>
      </c>
      <c r="C13" s="17" t="s">
        <v>155</v>
      </c>
      <c r="D13" s="17" t="s">
        <v>113</v>
      </c>
      <c r="E13" s="17" t="n">
        <v>869402</v>
      </c>
      <c r="F13" s="17" t="n">
        <v>874789</v>
      </c>
      <c r="G13" s="17" t="n">
        <v>737795</v>
      </c>
      <c r="H13" s="17" t="n">
        <v>101808</v>
      </c>
      <c r="I13" s="17" t="n">
        <v>11.7101179891466</v>
      </c>
      <c r="J13" s="17" t="n">
        <v>596388</v>
      </c>
      <c r="K13" s="17" t="n">
        <v>594142.5</v>
      </c>
      <c r="L13" s="17" t="n">
        <v>588030</v>
      </c>
      <c r="M13" s="17" t="n">
        <v>516229</v>
      </c>
      <c r="N13" s="17" t="n">
        <v>27870</v>
      </c>
      <c r="O13" s="17" t="n">
        <v>26813</v>
      </c>
      <c r="P13" s="17" t="n">
        <v>8014</v>
      </c>
      <c r="Q13" s="17" t="n">
        <v>4990</v>
      </c>
      <c r="R13" s="17" t="n">
        <v>0</v>
      </c>
      <c r="S13" s="17" t="n">
        <v>19</v>
      </c>
      <c r="T13" s="17" t="n">
        <v>76</v>
      </c>
      <c r="U13" s="17" t="n">
        <v>0.0127915441161001</v>
      </c>
      <c r="V13" s="17" t="n">
        <v>99900</v>
      </c>
      <c r="W13" s="17" t="n">
        <v>568551</v>
      </c>
      <c r="X13" s="17" t="n">
        <v>17.5709830780352</v>
      </c>
      <c r="Y13" s="17" t="n">
        <v>-3388</v>
      </c>
      <c r="Z13" s="17" t="n">
        <v>-0.387293393035349</v>
      </c>
      <c r="AA13" s="17" t="n">
        <v>-3.23</v>
      </c>
      <c r="AB13" s="17" t="n">
        <v>2.7424379773478</v>
      </c>
      <c r="AC13" s="17" t="n">
        <v>1.40143664862472</v>
      </c>
      <c r="AD13" s="17" t="n">
        <v>0.1</v>
      </c>
      <c r="AE13" s="17" t="n">
        <v>1</v>
      </c>
      <c r="AF13" s="17" t="s">
        <v>241</v>
      </c>
      <c r="AG13" s="17" t="s">
        <v>232</v>
      </c>
      <c r="AH13" s="17" t="n">
        <v>0</v>
      </c>
    </row>
    <row r="14" customFormat="false" ht="15" hidden="false" customHeight="false" outlineLevel="0" collapsed="false">
      <c r="A14" s="17" t="n">
        <v>14136</v>
      </c>
      <c r="B14" s="23" t="n">
        <v>44651</v>
      </c>
      <c r="C14" s="17" t="s">
        <v>153</v>
      </c>
      <c r="D14" s="17" t="s">
        <v>113</v>
      </c>
      <c r="E14" s="17" t="n">
        <v>222692</v>
      </c>
      <c r="F14" s="17" t="n">
        <v>222501.5</v>
      </c>
      <c r="G14" s="17" t="n">
        <v>199279</v>
      </c>
      <c r="H14" s="17" t="n">
        <v>18834</v>
      </c>
      <c r="I14" s="17" t="n">
        <v>8.45742101198067</v>
      </c>
      <c r="J14" s="17" t="n">
        <v>121199</v>
      </c>
      <c r="K14" s="17" t="n">
        <v>120566.5</v>
      </c>
      <c r="L14" s="17" t="n">
        <v>119805</v>
      </c>
      <c r="M14" s="17" t="n">
        <v>96809</v>
      </c>
      <c r="N14" s="17" t="n">
        <v>12518</v>
      </c>
      <c r="O14" s="17" t="n">
        <v>11422</v>
      </c>
      <c r="P14" s="17" t="n">
        <v>174</v>
      </c>
      <c r="Q14" s="17" t="n">
        <v>803</v>
      </c>
      <c r="R14" s="17" t="n">
        <v>639</v>
      </c>
      <c r="S14" s="17" t="n">
        <v>7</v>
      </c>
      <c r="T14" s="17" t="n">
        <v>28</v>
      </c>
      <c r="U14" s="17" t="n">
        <v>0.0232236981251011</v>
      </c>
      <c r="V14" s="17" t="n">
        <v>23784</v>
      </c>
      <c r="W14" s="17" t="n">
        <v>137669</v>
      </c>
      <c r="X14" s="17" t="n">
        <v>17.2762204998947</v>
      </c>
      <c r="Y14" s="17" t="n">
        <v>444</v>
      </c>
      <c r="Z14" s="17" t="n">
        <v>0.199549216522136</v>
      </c>
      <c r="AA14" s="17" t="n">
        <v>2.14</v>
      </c>
      <c r="AB14" s="17" t="n">
        <v>3.42236997582913</v>
      </c>
      <c r="AC14" s="17" t="n">
        <v>1.15017450639032</v>
      </c>
      <c r="AD14" s="17" t="n">
        <v>0.08</v>
      </c>
      <c r="AE14" s="17" t="n">
        <v>1</v>
      </c>
      <c r="AF14" s="17" t="s">
        <v>241</v>
      </c>
      <c r="AG14" s="17" t="s">
        <v>232</v>
      </c>
      <c r="AH14" s="17" t="n">
        <v>1</v>
      </c>
    </row>
    <row r="15" customFormat="false" ht="15" hidden="false" customHeight="false" outlineLevel="0" collapsed="false">
      <c r="A15" s="17" t="n">
        <v>14140</v>
      </c>
      <c r="B15" s="23" t="n">
        <v>44651</v>
      </c>
      <c r="C15" s="17" t="s">
        <v>120</v>
      </c>
      <c r="D15" s="17" t="s">
        <v>113</v>
      </c>
      <c r="E15" s="17" t="n">
        <v>1414510</v>
      </c>
      <c r="F15" s="17" t="n">
        <v>1408190.5</v>
      </c>
      <c r="G15" s="17" t="n">
        <v>1199427</v>
      </c>
      <c r="H15" s="17" t="n">
        <v>123854</v>
      </c>
      <c r="I15" s="17" t="n">
        <v>8.75596496313211</v>
      </c>
      <c r="J15" s="17" t="n">
        <v>957867</v>
      </c>
      <c r="K15" s="17" t="n">
        <v>938336</v>
      </c>
      <c r="L15" s="17" t="n">
        <v>947256</v>
      </c>
      <c r="M15" s="17" t="n">
        <v>866005</v>
      </c>
      <c r="N15" s="17" t="n">
        <v>82518</v>
      </c>
      <c r="O15" s="17" t="n">
        <v>1318</v>
      </c>
      <c r="P15" s="17" t="n">
        <v>5589</v>
      </c>
      <c r="Q15" s="17" t="n">
        <v>785</v>
      </c>
      <c r="R15" s="17" t="n">
        <v>0</v>
      </c>
      <c r="S15" s="17" t="n">
        <v>9</v>
      </c>
      <c r="T15" s="17" t="n">
        <v>36</v>
      </c>
      <c r="U15" s="17" t="n">
        <v>0.00383657879480272</v>
      </c>
      <c r="V15" s="17" t="n">
        <v>0</v>
      </c>
      <c r="W15" s="17" t="n">
        <v>0</v>
      </c>
      <c r="X15" s="17" t="n">
        <v>0</v>
      </c>
      <c r="Y15" s="17" t="n">
        <v>9324</v>
      </c>
      <c r="Z15" s="17" t="n">
        <v>0.662126324527825</v>
      </c>
      <c r="AA15" s="17" t="n">
        <v>7.07</v>
      </c>
      <c r="AB15" s="17" t="n">
        <v>2.96981313360941</v>
      </c>
      <c r="AC15" s="17" t="n">
        <v>1.10777383498962</v>
      </c>
      <c r="AD15" s="17" t="n">
        <v>0</v>
      </c>
      <c r="AE15" s="17" t="n">
        <v>1</v>
      </c>
      <c r="AF15" s="17" t="s">
        <v>241</v>
      </c>
      <c r="AG15" s="17" t="s">
        <v>232</v>
      </c>
      <c r="AH15" s="17" t="n">
        <v>0</v>
      </c>
    </row>
    <row r="16" customFormat="false" ht="15" hidden="false" customHeight="false" outlineLevel="0" collapsed="false">
      <c r="A16" s="17" t="n">
        <v>14158</v>
      </c>
      <c r="B16" s="23" t="n">
        <v>44651</v>
      </c>
      <c r="C16" s="17" t="s">
        <v>112</v>
      </c>
      <c r="D16" s="17" t="s">
        <v>113</v>
      </c>
      <c r="E16" s="17" t="n">
        <v>1232701</v>
      </c>
      <c r="F16" s="17" t="n">
        <v>1218624</v>
      </c>
      <c r="G16" s="17" t="n">
        <v>1137254</v>
      </c>
      <c r="H16" s="17" t="n">
        <v>85105</v>
      </c>
      <c r="I16" s="17" t="n">
        <v>6.90394507670554</v>
      </c>
      <c r="J16" s="17" t="n">
        <v>830963</v>
      </c>
      <c r="K16" s="17" t="n">
        <v>816273</v>
      </c>
      <c r="L16" s="17" t="n">
        <v>822627</v>
      </c>
      <c r="M16" s="17" t="n">
        <v>698008</v>
      </c>
      <c r="N16" s="17" t="n">
        <v>44549</v>
      </c>
      <c r="O16" s="17" t="n">
        <v>2157</v>
      </c>
      <c r="P16" s="17" t="n">
        <v>4405</v>
      </c>
      <c r="Q16" s="17" t="n">
        <v>1620</v>
      </c>
      <c r="R16" s="17" t="n">
        <v>229</v>
      </c>
      <c r="S16" s="17" t="n">
        <v>0</v>
      </c>
      <c r="T16" s="17" t="n">
        <v>0</v>
      </c>
      <c r="U16" s="17" t="n">
        <v>0</v>
      </c>
      <c r="V16" s="17" t="n">
        <v>108642</v>
      </c>
      <c r="W16" s="17" t="n">
        <v>734657</v>
      </c>
      <c r="X16" s="17" t="n">
        <v>14.788125615083</v>
      </c>
      <c r="Y16" s="17" t="n">
        <v>10764</v>
      </c>
      <c r="Z16" s="17" t="n">
        <v>0.88329131873326</v>
      </c>
      <c r="AA16" s="17" t="n">
        <v>11.64</v>
      </c>
      <c r="AB16" s="17" t="n">
        <v>3.18537352046747</v>
      </c>
      <c r="AC16" s="17" t="n">
        <v>1.00317342649432</v>
      </c>
      <c r="AD16" s="17" t="n">
        <v>0</v>
      </c>
      <c r="AE16" s="17" t="n">
        <v>1</v>
      </c>
      <c r="AF16" s="17" t="s">
        <v>231</v>
      </c>
      <c r="AG16" s="17" t="s">
        <v>232</v>
      </c>
      <c r="AH16" s="17" t="n">
        <v>0</v>
      </c>
    </row>
    <row r="17" customFormat="false" ht="15" hidden="false" customHeight="false" outlineLevel="0" collapsed="false">
      <c r="A17" s="17" t="n">
        <v>14168</v>
      </c>
      <c r="B17" s="23" t="n">
        <v>44651</v>
      </c>
      <c r="C17" s="17" t="s">
        <v>162</v>
      </c>
      <c r="D17" s="17" t="s">
        <v>113</v>
      </c>
      <c r="E17" s="17" t="n">
        <v>384095</v>
      </c>
      <c r="F17" s="17" t="n">
        <v>382949</v>
      </c>
      <c r="G17" s="17" t="n">
        <v>345364</v>
      </c>
      <c r="H17" s="17" t="n">
        <v>34244</v>
      </c>
      <c r="I17" s="17" t="n">
        <v>8.91550267511944</v>
      </c>
      <c r="J17" s="17" t="n">
        <v>191155</v>
      </c>
      <c r="K17" s="17" t="n">
        <v>186597</v>
      </c>
      <c r="L17" s="17" t="n">
        <v>188225</v>
      </c>
      <c r="M17" s="17" t="n">
        <v>161619</v>
      </c>
      <c r="N17" s="17" t="n">
        <v>9537</v>
      </c>
      <c r="O17" s="17" t="n">
        <v>8111</v>
      </c>
      <c r="P17" s="17" t="n">
        <v>1188</v>
      </c>
      <c r="Q17" s="17" t="n">
        <v>187</v>
      </c>
      <c r="R17" s="17" t="n">
        <v>0</v>
      </c>
      <c r="S17" s="17" t="n">
        <v>34</v>
      </c>
      <c r="T17" s="17" t="n">
        <v>136</v>
      </c>
      <c r="U17" s="17" t="n">
        <v>0.0728843443356538</v>
      </c>
      <c r="V17" s="17" t="n">
        <v>38845</v>
      </c>
      <c r="W17" s="17" t="n">
        <v>195943</v>
      </c>
      <c r="X17" s="17" t="n">
        <v>19.8246428808378</v>
      </c>
      <c r="Y17" s="17" t="n">
        <v>520</v>
      </c>
      <c r="Z17" s="17" t="n">
        <v>0.135788316459894</v>
      </c>
      <c r="AA17" s="17" t="n">
        <v>1.45</v>
      </c>
      <c r="AB17" s="17" t="n">
        <v>2.41845908043839</v>
      </c>
      <c r="AC17" s="17" t="n">
        <v>1.5327875284455</v>
      </c>
      <c r="AD17" s="17" t="n">
        <v>0</v>
      </c>
      <c r="AE17" s="17" t="n">
        <v>1</v>
      </c>
      <c r="AF17" s="17" t="s">
        <v>231</v>
      </c>
      <c r="AG17" s="17" t="s">
        <v>232</v>
      </c>
      <c r="AH17" s="17" t="n">
        <v>0</v>
      </c>
    </row>
    <row r="18" customFormat="false" ht="15" hidden="false" customHeight="false" outlineLevel="0" collapsed="false">
      <c r="A18" s="17" t="n">
        <v>14240</v>
      </c>
      <c r="B18" s="23" t="n">
        <v>44651</v>
      </c>
      <c r="C18" s="17" t="s">
        <v>195</v>
      </c>
      <c r="D18" s="17" t="s">
        <v>116</v>
      </c>
      <c r="E18" s="17" t="n">
        <v>1221074</v>
      </c>
      <c r="F18" s="17" t="n">
        <v>1231882</v>
      </c>
      <c r="G18" s="17" t="n">
        <v>1020645</v>
      </c>
      <c r="H18" s="17" t="n">
        <v>102113</v>
      </c>
      <c r="I18" s="17" t="n">
        <v>8.36255624147267</v>
      </c>
      <c r="J18" s="17" t="n">
        <v>824670</v>
      </c>
      <c r="K18" s="17" t="n">
        <v>810960.5</v>
      </c>
      <c r="L18" s="17" t="n">
        <v>815200</v>
      </c>
      <c r="M18" s="17" t="n">
        <v>705835</v>
      </c>
      <c r="N18" s="17" t="n">
        <v>29648</v>
      </c>
      <c r="O18" s="17" t="n">
        <v>17990</v>
      </c>
      <c r="P18" s="17" t="n">
        <v>2204</v>
      </c>
      <c r="Q18" s="17" t="n">
        <v>1936</v>
      </c>
      <c r="R18" s="17" t="n">
        <v>0</v>
      </c>
      <c r="S18" s="17" t="n">
        <v>-4</v>
      </c>
      <c r="T18" s="17" t="n">
        <v>-16</v>
      </c>
      <c r="U18" s="17" t="n">
        <v>-0.00197296909035644</v>
      </c>
      <c r="V18" s="17" t="n">
        <v>118789</v>
      </c>
      <c r="W18" s="17" t="n">
        <v>786318</v>
      </c>
      <c r="X18" s="17" t="n">
        <v>15.1069923364339</v>
      </c>
      <c r="Y18" s="17" t="n">
        <v>860</v>
      </c>
      <c r="Z18" s="17" t="n">
        <v>0.06981188133279</v>
      </c>
      <c r="AA18" s="17" t="n">
        <v>0.79</v>
      </c>
      <c r="AB18" s="17" t="n">
        <v>2.81942072615102</v>
      </c>
      <c r="AC18" s="17" t="n">
        <v>1.14833812312804</v>
      </c>
      <c r="AD18" s="17" t="n">
        <v>0</v>
      </c>
      <c r="AE18" s="17" t="n">
        <v>0</v>
      </c>
      <c r="AF18" s="17" t="s">
        <v>231</v>
      </c>
      <c r="AG18" s="17" t="s">
        <v>232</v>
      </c>
      <c r="AH18" s="17" t="n">
        <v>0</v>
      </c>
    </row>
    <row r="19" customFormat="false" ht="15" hidden="false" customHeight="false" outlineLevel="0" collapsed="false">
      <c r="A19" s="17" t="n">
        <v>17115</v>
      </c>
      <c r="B19" s="23" t="n">
        <v>44651</v>
      </c>
      <c r="C19" s="17" t="s">
        <v>143</v>
      </c>
      <c r="D19" s="17" t="s">
        <v>108</v>
      </c>
      <c r="E19" s="17" t="n">
        <v>836644</v>
      </c>
      <c r="F19" s="17" t="n">
        <v>839485</v>
      </c>
      <c r="G19" s="17" t="n">
        <v>738943</v>
      </c>
      <c r="H19" s="17" t="n">
        <v>83239</v>
      </c>
      <c r="I19" s="17" t="n">
        <v>9.94915400098489</v>
      </c>
      <c r="J19" s="17" t="n">
        <v>656481</v>
      </c>
      <c r="K19" s="17" t="n">
        <v>646230.5</v>
      </c>
      <c r="L19" s="17" t="n">
        <v>648819</v>
      </c>
      <c r="M19" s="17" t="n">
        <v>608827</v>
      </c>
      <c r="N19" s="17" t="n">
        <v>43003</v>
      </c>
      <c r="O19" s="17" t="n">
        <v>3606</v>
      </c>
      <c r="P19" s="17" t="n">
        <v>164</v>
      </c>
      <c r="Q19" s="17" t="n">
        <v>62</v>
      </c>
      <c r="R19" s="17" t="n">
        <v>0</v>
      </c>
      <c r="S19" s="17" t="n">
        <v>240</v>
      </c>
      <c r="T19" s="17" t="n">
        <v>960</v>
      </c>
      <c r="U19" s="17" t="n">
        <v>0.148553805492003</v>
      </c>
      <c r="V19" s="17" t="n">
        <v>97613</v>
      </c>
      <c r="W19" s="17" t="n">
        <v>625465</v>
      </c>
      <c r="X19" s="17" t="n">
        <v>15.6064687872223</v>
      </c>
      <c r="Y19" s="17" t="n">
        <v>9360</v>
      </c>
      <c r="Z19" s="17" t="n">
        <v>1.11496929665211</v>
      </c>
      <c r="AA19" s="17" t="n">
        <v>11.05</v>
      </c>
      <c r="AB19" s="17" t="n">
        <v>3.51263617241704</v>
      </c>
      <c r="AC19" s="17" t="n">
        <v>1.16713202666947</v>
      </c>
      <c r="AD19" s="17" t="n">
        <v>-0.08</v>
      </c>
      <c r="AE19" s="17" t="n">
        <v>1</v>
      </c>
      <c r="AF19" s="17" t="s">
        <v>241</v>
      </c>
      <c r="AG19" s="17" t="s">
        <v>232</v>
      </c>
      <c r="AH19" s="17" t="n">
        <v>0</v>
      </c>
    </row>
    <row r="20" customFormat="false" ht="15" hidden="false" customHeight="false" outlineLevel="0" collapsed="false">
      <c r="A20" s="17" t="n">
        <v>17180</v>
      </c>
      <c r="B20" s="23" t="n">
        <v>44651</v>
      </c>
      <c r="C20" s="17" t="s">
        <v>127</v>
      </c>
      <c r="D20" s="17" t="s">
        <v>116</v>
      </c>
      <c r="E20" s="17" t="n">
        <v>1291920</v>
      </c>
      <c r="F20" s="17" t="n">
        <v>1289504</v>
      </c>
      <c r="G20" s="17" t="n">
        <v>1121172</v>
      </c>
      <c r="H20" s="17" t="n">
        <v>126979</v>
      </c>
      <c r="I20" s="17" t="n">
        <v>9.82870456375008</v>
      </c>
      <c r="J20" s="17" t="n">
        <v>1143017</v>
      </c>
      <c r="K20" s="17" t="n">
        <v>1137154</v>
      </c>
      <c r="L20" s="17" t="n">
        <v>1131745</v>
      </c>
      <c r="M20" s="17" t="n">
        <v>937482</v>
      </c>
      <c r="N20" s="17" t="n">
        <v>44797</v>
      </c>
      <c r="O20" s="17" t="n">
        <v>141431</v>
      </c>
      <c r="P20" s="17" t="n">
        <v>5753</v>
      </c>
      <c r="Q20" s="17" t="n">
        <v>1540</v>
      </c>
      <c r="R20" s="17" t="n">
        <v>0</v>
      </c>
      <c r="S20" s="17" t="n">
        <v>36</v>
      </c>
      <c r="T20" s="17" t="n">
        <v>144</v>
      </c>
      <c r="U20" s="17" t="n">
        <v>0.0126631924963549</v>
      </c>
      <c r="V20" s="17" t="n">
        <v>143292</v>
      </c>
      <c r="W20" s="17" t="n">
        <v>892399</v>
      </c>
      <c r="X20" s="17" t="n">
        <v>16.0569431386633</v>
      </c>
      <c r="Y20" s="17" t="n">
        <v>10352</v>
      </c>
      <c r="Z20" s="17" t="n">
        <v>0.802789289525275</v>
      </c>
      <c r="AA20" s="17" t="n">
        <v>8.11</v>
      </c>
      <c r="AB20" s="17" t="n">
        <v>3.56999315523965</v>
      </c>
      <c r="AC20" s="17" t="n">
        <v>0.986162060581776</v>
      </c>
      <c r="AD20" s="17" t="n">
        <v>0.06</v>
      </c>
      <c r="AE20" s="17" t="n">
        <v>1</v>
      </c>
      <c r="AF20" s="17" t="s">
        <v>241</v>
      </c>
      <c r="AG20" s="17" t="s">
        <v>232</v>
      </c>
      <c r="AH20" s="17" t="n">
        <v>0</v>
      </c>
    </row>
    <row r="21" customFormat="false" ht="15" hidden="false" customHeight="false" outlineLevel="0" collapsed="false">
      <c r="A21" s="17" t="n">
        <v>17443</v>
      </c>
      <c r="B21" s="23" t="n">
        <v>44651</v>
      </c>
      <c r="C21" s="17" t="s">
        <v>132</v>
      </c>
      <c r="D21" s="17" t="s">
        <v>116</v>
      </c>
      <c r="E21" s="17" t="n">
        <v>352255</v>
      </c>
      <c r="F21" s="17" t="n">
        <v>350099</v>
      </c>
      <c r="G21" s="17" t="n">
        <v>302135</v>
      </c>
      <c r="H21" s="17" t="n">
        <v>42822</v>
      </c>
      <c r="I21" s="17" t="n">
        <v>12.1565343288243</v>
      </c>
      <c r="J21" s="17" t="n">
        <v>188952</v>
      </c>
      <c r="K21" s="17" t="n">
        <v>186346</v>
      </c>
      <c r="L21" s="17" t="n">
        <v>187330</v>
      </c>
      <c r="M21" s="17" t="n">
        <v>186037</v>
      </c>
      <c r="N21" s="17" t="n">
        <v>0</v>
      </c>
      <c r="O21" s="17" t="n">
        <v>1909</v>
      </c>
      <c r="P21" s="17" t="n">
        <v>842</v>
      </c>
      <c r="Q21" s="17" t="n">
        <v>2524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2168</v>
      </c>
      <c r="Z21" s="17" t="n">
        <v>0.619253411177981</v>
      </c>
      <c r="AA21" s="17" t="n">
        <v>4.79</v>
      </c>
      <c r="AB21" s="17" t="n">
        <v>2.01221792023435</v>
      </c>
      <c r="AC21" s="17" t="n">
        <v>0.858419069393285</v>
      </c>
      <c r="AD21" s="17" t="n">
        <v>0.06</v>
      </c>
      <c r="AE21" s="17" t="n">
        <v>1</v>
      </c>
      <c r="AF21" s="17" t="s">
        <v>241</v>
      </c>
      <c r="AG21" s="17" t="s">
        <v>232</v>
      </c>
      <c r="AH21" s="17" t="n">
        <v>1</v>
      </c>
    </row>
    <row r="22" customFormat="false" ht="15" hidden="false" customHeight="false" outlineLevel="0" collapsed="false">
      <c r="A22" s="17" t="n">
        <v>17658</v>
      </c>
      <c r="B22" s="23" t="n">
        <v>44651</v>
      </c>
      <c r="C22" s="17" t="s">
        <v>144</v>
      </c>
      <c r="D22" s="17" t="s">
        <v>108</v>
      </c>
      <c r="E22" s="17" t="n">
        <v>1753308</v>
      </c>
      <c r="F22" s="17" t="n">
        <v>1755281</v>
      </c>
      <c r="G22" s="17" t="n">
        <v>1508978</v>
      </c>
      <c r="H22" s="17" t="n">
        <v>215496</v>
      </c>
      <c r="I22" s="17" t="n">
        <v>12.2908239738825</v>
      </c>
      <c r="J22" s="17" t="n">
        <v>1075938</v>
      </c>
      <c r="K22" s="17" t="n">
        <v>1081923</v>
      </c>
      <c r="L22" s="17" t="n">
        <v>1066725</v>
      </c>
      <c r="M22" s="17" t="n">
        <v>932001</v>
      </c>
      <c r="N22" s="17" t="n">
        <v>77695</v>
      </c>
      <c r="O22" s="17" t="n">
        <v>58315</v>
      </c>
      <c r="P22" s="17" t="n">
        <v>1019</v>
      </c>
      <c r="Q22" s="17" t="n">
        <v>1175</v>
      </c>
      <c r="R22" s="17" t="n">
        <v>152</v>
      </c>
      <c r="S22" s="17" t="n">
        <v>2</v>
      </c>
      <c r="T22" s="17" t="n">
        <v>8</v>
      </c>
      <c r="U22" s="17" t="n">
        <v>0.000739424154953726</v>
      </c>
      <c r="V22" s="17" t="n">
        <v>0</v>
      </c>
      <c r="W22" s="17" t="n">
        <v>0</v>
      </c>
      <c r="X22" s="17" t="n">
        <v>0</v>
      </c>
      <c r="Y22" s="17" t="n">
        <v>15056</v>
      </c>
      <c r="Z22" s="17" t="n">
        <v>0.857754399438039</v>
      </c>
      <c r="AA22" s="17" t="n">
        <v>6.72</v>
      </c>
      <c r="AB22" s="17" t="n">
        <v>3.35985107999514</v>
      </c>
      <c r="AC22" s="17" t="n">
        <v>0.856276105128734</v>
      </c>
      <c r="AD22" s="17" t="n">
        <v>0.02</v>
      </c>
      <c r="AE22" s="17" t="n">
        <v>1</v>
      </c>
      <c r="AF22" s="17" t="s">
        <v>241</v>
      </c>
      <c r="AG22" s="17" t="s">
        <v>232</v>
      </c>
      <c r="AH22" s="17" t="n">
        <v>0</v>
      </c>
    </row>
    <row r="23" customFormat="false" ht="15" hidden="false" customHeight="false" outlineLevel="0" collapsed="false">
      <c r="A23" s="17" t="n">
        <v>17741</v>
      </c>
      <c r="B23" s="23" t="n">
        <v>44651</v>
      </c>
      <c r="C23" s="17" t="s">
        <v>161</v>
      </c>
      <c r="D23" s="17" t="s">
        <v>108</v>
      </c>
      <c r="E23" s="17" t="n">
        <v>1002149</v>
      </c>
      <c r="F23" s="17" t="n">
        <v>1011567.5</v>
      </c>
      <c r="G23" s="17" t="n">
        <v>846927</v>
      </c>
      <c r="H23" s="17" t="n">
        <v>129919</v>
      </c>
      <c r="I23" s="17" t="n">
        <v>12.9640402774438</v>
      </c>
      <c r="J23" s="17" t="n">
        <v>796765</v>
      </c>
      <c r="K23" s="17" t="n">
        <v>794653.5</v>
      </c>
      <c r="L23" s="17" t="n">
        <v>789023</v>
      </c>
      <c r="M23" s="17" t="n">
        <v>747285</v>
      </c>
      <c r="N23" s="17" t="n">
        <v>42174</v>
      </c>
      <c r="O23" s="17" t="n">
        <v>3486</v>
      </c>
      <c r="P23" s="17" t="n">
        <v>1717</v>
      </c>
      <c r="Q23" s="17" t="n">
        <v>1992</v>
      </c>
      <c r="R23" s="17" t="n">
        <v>0</v>
      </c>
      <c r="S23" s="17" t="n">
        <v>4</v>
      </c>
      <c r="T23" s="17" t="n">
        <v>16</v>
      </c>
      <c r="U23" s="17" t="n">
        <v>0.00201345617932848</v>
      </c>
      <c r="V23" s="17" t="n">
        <v>0</v>
      </c>
      <c r="W23" s="17" t="n">
        <v>0</v>
      </c>
      <c r="X23" s="17" t="n">
        <v>0</v>
      </c>
      <c r="Y23" s="17" t="n">
        <v>5892</v>
      </c>
      <c r="Z23" s="17" t="n">
        <v>0.582462366574648</v>
      </c>
      <c r="AA23" s="17" t="n">
        <v>4.49</v>
      </c>
      <c r="AB23" s="17" t="n">
        <v>3.25666940503882</v>
      </c>
      <c r="AC23" s="17" t="n">
        <v>0.971679227877731</v>
      </c>
      <c r="AD23" s="17" t="n">
        <v>0.03</v>
      </c>
      <c r="AE23" s="17" t="n">
        <v>1</v>
      </c>
      <c r="AF23" s="17" t="s">
        <v>241</v>
      </c>
      <c r="AG23" s="17" t="s">
        <v>232</v>
      </c>
      <c r="AH23" s="17" t="n">
        <v>0</v>
      </c>
    </row>
    <row r="24" customFormat="false" ht="15" hidden="false" customHeight="false" outlineLevel="0" collapsed="false">
      <c r="A24" s="17" t="n">
        <v>17743</v>
      </c>
      <c r="B24" s="23" t="n">
        <v>44651</v>
      </c>
      <c r="C24" s="17" t="s">
        <v>129</v>
      </c>
      <c r="D24" s="17" t="s">
        <v>108</v>
      </c>
      <c r="E24" s="17" t="n">
        <v>1158500</v>
      </c>
      <c r="F24" s="17" t="n">
        <v>1157560</v>
      </c>
      <c r="G24" s="17" t="n">
        <v>899083</v>
      </c>
      <c r="H24" s="17" t="n">
        <v>126783</v>
      </c>
      <c r="I24" s="17" t="n">
        <v>10.9437203280104</v>
      </c>
      <c r="J24" s="17" t="n">
        <v>918017</v>
      </c>
      <c r="K24" s="17" t="n">
        <v>918274.5</v>
      </c>
      <c r="L24" s="17" t="n">
        <v>913020</v>
      </c>
      <c r="M24" s="17" t="n">
        <v>873409</v>
      </c>
      <c r="N24" s="17" t="n">
        <v>25760</v>
      </c>
      <c r="O24" s="17" t="n">
        <v>5293</v>
      </c>
      <c r="P24" s="17" t="n">
        <v>3568</v>
      </c>
      <c r="Q24" s="17" t="n">
        <v>1605</v>
      </c>
      <c r="R24" s="17" t="n">
        <v>35</v>
      </c>
      <c r="S24" s="17" t="n">
        <v>-7</v>
      </c>
      <c r="T24" s="17" t="n">
        <v>-28</v>
      </c>
      <c r="U24" s="17" t="n">
        <v>-0.00304919716272204</v>
      </c>
      <c r="V24" s="17" t="n">
        <v>0</v>
      </c>
      <c r="W24" s="17" t="n">
        <v>0</v>
      </c>
      <c r="X24" s="17" t="n">
        <v>0</v>
      </c>
      <c r="Y24" s="17" t="n">
        <v>4612</v>
      </c>
      <c r="Z24" s="17" t="n">
        <v>0.398424271744013</v>
      </c>
      <c r="AA24" s="17" t="n">
        <v>3.56</v>
      </c>
      <c r="AB24" s="17" t="n">
        <v>2.74686473547168</v>
      </c>
      <c r="AC24" s="17" t="n">
        <v>0.54432543188198</v>
      </c>
      <c r="AD24" s="17" t="n">
        <v>0</v>
      </c>
      <c r="AE24" s="17" t="n">
        <v>1</v>
      </c>
      <c r="AF24" s="17" t="s">
        <v>241</v>
      </c>
      <c r="AG24" s="17" t="s">
        <v>232</v>
      </c>
      <c r="AH24" s="17" t="n">
        <v>1</v>
      </c>
    </row>
    <row r="25" customFormat="false" ht="15" hidden="false" customHeight="false" outlineLevel="0" collapsed="false">
      <c r="A25" s="17" t="n">
        <v>17748</v>
      </c>
      <c r="B25" s="23" t="n">
        <v>44651</v>
      </c>
      <c r="C25" s="17" t="s">
        <v>196</v>
      </c>
      <c r="D25" s="17" t="s">
        <v>108</v>
      </c>
      <c r="E25" s="17" t="n">
        <v>1547967</v>
      </c>
      <c r="F25" s="17" t="n">
        <v>1544095</v>
      </c>
      <c r="G25" s="17" t="n">
        <v>1360876</v>
      </c>
      <c r="H25" s="17" t="n">
        <v>122781</v>
      </c>
      <c r="I25" s="17" t="n">
        <v>7.93175823515618</v>
      </c>
      <c r="J25" s="17" t="n">
        <v>1135646</v>
      </c>
      <c r="K25" s="17" t="n">
        <v>1134479</v>
      </c>
      <c r="L25" s="17" t="n">
        <v>1126405</v>
      </c>
      <c r="M25" s="17" t="n">
        <v>958834</v>
      </c>
      <c r="N25" s="17" t="n">
        <v>144260</v>
      </c>
      <c r="O25" s="17" t="n">
        <v>2958</v>
      </c>
      <c r="P25" s="17" t="n">
        <v>7767</v>
      </c>
      <c r="Q25" s="17" t="n">
        <v>2878</v>
      </c>
      <c r="R25" s="17" t="n">
        <v>0</v>
      </c>
      <c r="S25" s="17" t="n">
        <v>47</v>
      </c>
      <c r="T25" s="17" t="n">
        <v>188</v>
      </c>
      <c r="U25" s="17" t="n">
        <v>0.0165714834739118</v>
      </c>
      <c r="V25" s="17" t="n">
        <v>0</v>
      </c>
      <c r="W25" s="17" t="n">
        <v>0</v>
      </c>
      <c r="X25" s="17" t="n">
        <v>0</v>
      </c>
      <c r="Y25" s="17" t="n">
        <v>-4728</v>
      </c>
      <c r="Z25" s="17" t="n">
        <v>-0.306198776629676</v>
      </c>
      <c r="AA25" s="17" t="n">
        <v>-3.64</v>
      </c>
      <c r="AB25" s="17" t="n">
        <v>3.15264453148257</v>
      </c>
      <c r="AC25" s="17" t="n">
        <v>0.813721881642695</v>
      </c>
      <c r="AD25" s="17" t="n">
        <v>-0.06</v>
      </c>
      <c r="AE25" s="17" t="n">
        <v>0</v>
      </c>
      <c r="AF25" s="17" t="s">
        <v>241</v>
      </c>
      <c r="AG25" s="17" t="s">
        <v>232</v>
      </c>
      <c r="AH25" s="17" t="n">
        <v>0</v>
      </c>
    </row>
    <row r="26" customFormat="false" ht="15" hidden="false" customHeight="false" outlineLevel="0" collapsed="false">
      <c r="A26" s="17" t="n">
        <v>17749</v>
      </c>
      <c r="B26" s="23" t="n">
        <v>44651</v>
      </c>
      <c r="C26" s="17" t="s">
        <v>156</v>
      </c>
      <c r="D26" s="17" t="s">
        <v>108</v>
      </c>
      <c r="E26" s="17" t="n">
        <v>1206621</v>
      </c>
      <c r="F26" s="17" t="n">
        <v>1218264.5</v>
      </c>
      <c r="G26" s="17" t="n">
        <v>984705</v>
      </c>
      <c r="H26" s="17" t="n">
        <v>164326</v>
      </c>
      <c r="I26" s="17" t="n">
        <v>13.6186921991247</v>
      </c>
      <c r="J26" s="17" t="n">
        <v>665780</v>
      </c>
      <c r="K26" s="17" t="n">
        <v>657281</v>
      </c>
      <c r="L26" s="17" t="n">
        <v>656163</v>
      </c>
      <c r="M26" s="17" t="n">
        <v>595069</v>
      </c>
      <c r="N26" s="17" t="n">
        <v>50144</v>
      </c>
      <c r="O26" s="17" t="n">
        <v>10017</v>
      </c>
      <c r="P26" s="17" t="n">
        <v>225</v>
      </c>
      <c r="Q26" s="17" t="n">
        <v>305</v>
      </c>
      <c r="R26" s="17" t="n">
        <v>27</v>
      </c>
      <c r="S26" s="17" t="n">
        <v>1</v>
      </c>
      <c r="T26" s="17" t="n">
        <v>4</v>
      </c>
      <c r="U26" s="17" t="n">
        <v>0.000608567720655245</v>
      </c>
      <c r="V26" s="17" t="n">
        <v>0</v>
      </c>
      <c r="W26" s="17" t="n">
        <v>0</v>
      </c>
      <c r="X26" s="17" t="n">
        <v>0</v>
      </c>
      <c r="Y26" s="17" t="n">
        <v>2172</v>
      </c>
      <c r="Z26" s="17" t="n">
        <v>0.178286406605462</v>
      </c>
      <c r="AA26" s="17" t="n">
        <v>1.25</v>
      </c>
      <c r="AB26" s="17" t="n">
        <v>2.79847262658001</v>
      </c>
      <c r="AC26" s="17" t="n">
        <v>1.44447114662501</v>
      </c>
      <c r="AD26" s="17" t="n">
        <v>0.05</v>
      </c>
      <c r="AE26" s="17" t="n">
        <v>1</v>
      </c>
      <c r="AF26" s="17" t="s">
        <v>241</v>
      </c>
      <c r="AG26" s="17" t="s">
        <v>232</v>
      </c>
      <c r="AH26" s="17" t="n">
        <v>1</v>
      </c>
    </row>
    <row r="27" customFormat="false" ht="15" hidden="false" customHeight="false" outlineLevel="0" collapsed="false">
      <c r="A27" s="17" t="n">
        <v>17751</v>
      </c>
      <c r="B27" s="23" t="n">
        <v>44651</v>
      </c>
      <c r="C27" s="17" t="s">
        <v>125</v>
      </c>
      <c r="D27" s="17" t="s">
        <v>108</v>
      </c>
      <c r="E27" s="17" t="n">
        <v>1361626</v>
      </c>
      <c r="F27" s="17" t="n">
        <v>1372896</v>
      </c>
      <c r="G27" s="17" t="n">
        <v>1200633</v>
      </c>
      <c r="H27" s="17" t="n">
        <v>129404</v>
      </c>
      <c r="I27" s="17" t="n">
        <v>9.50363756273749</v>
      </c>
      <c r="J27" s="17" t="n">
        <v>1081029</v>
      </c>
      <c r="K27" s="17" t="n">
        <v>1065920</v>
      </c>
      <c r="L27" s="17" t="n">
        <v>1069307</v>
      </c>
      <c r="M27" s="17" t="n">
        <v>913702</v>
      </c>
      <c r="N27" s="17" t="n">
        <v>117124</v>
      </c>
      <c r="O27" s="17" t="n">
        <v>1660</v>
      </c>
      <c r="P27" s="17" t="n">
        <v>2344</v>
      </c>
      <c r="Q27" s="17" t="n">
        <v>1342</v>
      </c>
      <c r="R27" s="17" t="n">
        <v>0</v>
      </c>
      <c r="S27" s="17" t="n">
        <v>2</v>
      </c>
      <c r="T27" s="17" t="n">
        <v>8</v>
      </c>
      <c r="U27" s="17" t="n">
        <v>0.00075052536775743</v>
      </c>
      <c r="V27" s="17" t="n">
        <v>146579</v>
      </c>
      <c r="W27" s="17" t="n">
        <v>1064183</v>
      </c>
      <c r="X27" s="17" t="n">
        <v>13.7738528053916</v>
      </c>
      <c r="Y27" s="17" t="n">
        <v>6984</v>
      </c>
      <c r="Z27" s="17" t="n">
        <v>0.508705684917139</v>
      </c>
      <c r="AA27" s="17" t="n">
        <v>5.27</v>
      </c>
      <c r="AB27" s="17" t="n">
        <v>2.98263106712459</v>
      </c>
      <c r="AC27" s="17" t="n">
        <v>1.08433723794644</v>
      </c>
      <c r="AD27" s="17" t="n">
        <v>0.07</v>
      </c>
      <c r="AE27" s="17" t="n">
        <v>1</v>
      </c>
      <c r="AF27" s="17" t="s">
        <v>241</v>
      </c>
      <c r="AG27" s="17" t="s">
        <v>232</v>
      </c>
      <c r="AH27" s="17" t="n">
        <v>0</v>
      </c>
    </row>
    <row r="28" customFormat="false" ht="15" hidden="false" customHeight="false" outlineLevel="0" collapsed="false">
      <c r="A28" s="17" t="n">
        <v>17897</v>
      </c>
      <c r="B28" s="23" t="n">
        <v>44651</v>
      </c>
      <c r="C28" s="17" t="s">
        <v>149</v>
      </c>
      <c r="D28" s="17" t="s">
        <v>108</v>
      </c>
      <c r="E28" s="17" t="n">
        <v>1471217</v>
      </c>
      <c r="F28" s="17" t="n">
        <v>1459179.5</v>
      </c>
      <c r="G28" s="17" t="n">
        <v>1215413</v>
      </c>
      <c r="H28" s="17" t="n">
        <v>198845</v>
      </c>
      <c r="I28" s="17" t="n">
        <v>13.515681235331</v>
      </c>
      <c r="J28" s="17" t="n">
        <v>1226087</v>
      </c>
      <c r="K28" s="17" t="n">
        <v>1214656</v>
      </c>
      <c r="L28" s="17" t="n">
        <v>1218428</v>
      </c>
      <c r="M28" s="17" t="n">
        <v>1160300</v>
      </c>
      <c r="N28" s="17" t="n">
        <v>58243</v>
      </c>
      <c r="O28" s="17" t="n">
        <v>2749</v>
      </c>
      <c r="P28" s="17" t="n">
        <v>3293</v>
      </c>
      <c r="Q28" s="17" t="n">
        <v>1421</v>
      </c>
      <c r="R28" s="17" t="n">
        <v>0</v>
      </c>
      <c r="S28" s="17" t="n">
        <v>12</v>
      </c>
      <c r="T28" s="17" t="n">
        <v>48</v>
      </c>
      <c r="U28" s="17" t="n">
        <v>0.00395173612940619</v>
      </c>
      <c r="V28" s="17" t="n">
        <v>0</v>
      </c>
      <c r="W28" s="17" t="n">
        <v>0</v>
      </c>
      <c r="X28" s="17" t="n">
        <v>0</v>
      </c>
      <c r="Y28" s="17" t="n">
        <v>-2980</v>
      </c>
      <c r="Z28" s="17" t="n">
        <v>-0.20422436033401</v>
      </c>
      <c r="AA28" s="17" t="n">
        <v>-1.48</v>
      </c>
      <c r="AB28" s="17" t="n">
        <v>3.238078097909</v>
      </c>
      <c r="AC28" s="17" t="n">
        <v>0.624670190614532</v>
      </c>
      <c r="AD28" s="17" t="n">
        <v>0.04</v>
      </c>
      <c r="AE28" s="17" t="n">
        <v>1</v>
      </c>
      <c r="AF28" s="17" t="s">
        <v>241</v>
      </c>
      <c r="AG28" s="17" t="s">
        <v>232</v>
      </c>
      <c r="AH28" s="17" t="n">
        <v>0</v>
      </c>
    </row>
    <row r="29" customFormat="false" ht="15" hidden="false" customHeight="false" outlineLevel="0" collapsed="false">
      <c r="A29" s="17" t="n">
        <v>17951</v>
      </c>
      <c r="B29" s="23" t="n">
        <v>44651</v>
      </c>
      <c r="C29" s="17" t="s">
        <v>136</v>
      </c>
      <c r="D29" s="17" t="s">
        <v>116</v>
      </c>
      <c r="E29" s="17" t="n">
        <v>702702</v>
      </c>
      <c r="F29" s="17" t="n">
        <v>695192</v>
      </c>
      <c r="G29" s="17" t="n">
        <v>626605</v>
      </c>
      <c r="H29" s="17" t="n">
        <v>57001</v>
      </c>
      <c r="I29" s="17" t="n">
        <v>8.11168888091965</v>
      </c>
      <c r="J29" s="17" t="n">
        <v>455133</v>
      </c>
      <c r="K29" s="17" t="n">
        <v>450350</v>
      </c>
      <c r="L29" s="17" t="n">
        <v>451241</v>
      </c>
      <c r="M29" s="17" t="n">
        <v>417998</v>
      </c>
      <c r="N29" s="17" t="n">
        <v>24011</v>
      </c>
      <c r="O29" s="17" t="n">
        <v>1618</v>
      </c>
      <c r="P29" s="17" t="n">
        <v>1046</v>
      </c>
      <c r="Q29" s="17" t="n">
        <v>57</v>
      </c>
      <c r="R29" s="17" t="n">
        <v>0</v>
      </c>
      <c r="S29" s="17" t="n">
        <v>-3</v>
      </c>
      <c r="T29" s="17" t="n">
        <v>-12</v>
      </c>
      <c r="U29" s="17" t="n">
        <v>-0.00266459420450761</v>
      </c>
      <c r="V29" s="17" t="n">
        <v>70013</v>
      </c>
      <c r="W29" s="17" t="n">
        <v>450590</v>
      </c>
      <c r="X29" s="17" t="n">
        <v>15.5380723051999</v>
      </c>
      <c r="Y29" s="17" t="n">
        <v>6360</v>
      </c>
      <c r="Z29" s="17" t="n">
        <v>0.914855176699387</v>
      </c>
      <c r="AA29" s="17" t="n">
        <v>10.65</v>
      </c>
      <c r="AB29" s="17" t="n">
        <v>3.153855534702</v>
      </c>
      <c r="AC29" s="17" t="n">
        <v>0.8551346529476</v>
      </c>
      <c r="AD29" s="17" t="n">
        <v>0.05</v>
      </c>
      <c r="AE29" s="17" t="n">
        <v>1</v>
      </c>
      <c r="AF29" s="17" t="s">
        <v>241</v>
      </c>
      <c r="AG29" s="17" t="s">
        <v>232</v>
      </c>
      <c r="AH29" s="17" t="n">
        <v>0</v>
      </c>
    </row>
    <row r="30" customFormat="false" ht="15" hidden="false" customHeight="false" outlineLevel="0" collapsed="false">
      <c r="A30" s="17" t="n">
        <v>17960</v>
      </c>
      <c r="B30" s="23" t="n">
        <v>44651</v>
      </c>
      <c r="C30" s="17" t="s">
        <v>115</v>
      </c>
      <c r="D30" s="17" t="s">
        <v>116</v>
      </c>
      <c r="E30" s="17" t="n">
        <v>1150436</v>
      </c>
      <c r="F30" s="17" t="n">
        <v>1157194</v>
      </c>
      <c r="G30" s="17" t="n">
        <v>962644</v>
      </c>
      <c r="H30" s="17" t="n">
        <v>107341</v>
      </c>
      <c r="I30" s="17" t="n">
        <v>9.33046253768137</v>
      </c>
      <c r="J30" s="17" t="n">
        <v>940745</v>
      </c>
      <c r="K30" s="17" t="n">
        <v>928645</v>
      </c>
      <c r="L30" s="17" t="n">
        <v>931204</v>
      </c>
      <c r="M30" s="17" t="n">
        <v>701328</v>
      </c>
      <c r="N30" s="17" t="n">
        <v>96589</v>
      </c>
      <c r="O30" s="17" t="n">
        <v>142477</v>
      </c>
      <c r="P30" s="17" t="n">
        <v>462</v>
      </c>
      <c r="Q30" s="17" t="n">
        <v>1292</v>
      </c>
      <c r="R30" s="17" t="n">
        <v>0</v>
      </c>
      <c r="S30" s="17" t="n">
        <v>7</v>
      </c>
      <c r="T30" s="17" t="n">
        <v>28</v>
      </c>
      <c r="U30" s="17" t="n">
        <v>0.00301514572306963</v>
      </c>
      <c r="V30" s="17" t="n">
        <v>122928</v>
      </c>
      <c r="W30" s="17" t="n">
        <v>851368</v>
      </c>
      <c r="X30" s="17" t="n">
        <v>14.4388795444508</v>
      </c>
      <c r="Y30" s="17" t="n">
        <v>9640</v>
      </c>
      <c r="Z30" s="17" t="n">
        <v>0.833049601017634</v>
      </c>
      <c r="AA30" s="17" t="n">
        <v>8.77</v>
      </c>
      <c r="AB30" s="17" t="n">
        <v>3.59463940740848</v>
      </c>
      <c r="AC30" s="17" t="n">
        <v>1.01419619556841</v>
      </c>
      <c r="AD30" s="17" t="n">
        <v>0.07</v>
      </c>
      <c r="AE30" s="17" t="n">
        <v>1</v>
      </c>
      <c r="AF30" s="17" t="s">
        <v>241</v>
      </c>
      <c r="AG30" s="17" t="s">
        <v>232</v>
      </c>
      <c r="AH30" s="17" t="n">
        <v>0</v>
      </c>
    </row>
    <row r="31" customFormat="false" ht="15" hidden="false" customHeight="false" outlineLevel="0" collapsed="false">
      <c r="A31" s="17" t="n">
        <v>18012</v>
      </c>
      <c r="B31" s="23" t="n">
        <v>44651</v>
      </c>
      <c r="C31" s="17" t="s">
        <v>148</v>
      </c>
      <c r="D31" s="17" t="s">
        <v>116</v>
      </c>
      <c r="E31" s="17" t="n">
        <v>2361388</v>
      </c>
      <c r="F31" s="17" t="n">
        <v>2338292.5</v>
      </c>
      <c r="G31" s="17" t="n">
        <v>1985720</v>
      </c>
      <c r="H31" s="17" t="n">
        <v>235718</v>
      </c>
      <c r="I31" s="17" t="n">
        <v>9.98217997211809</v>
      </c>
      <c r="J31" s="17" t="n">
        <v>1846391</v>
      </c>
      <c r="K31" s="17" t="n">
        <v>1768419</v>
      </c>
      <c r="L31" s="17" t="n">
        <v>1823571</v>
      </c>
      <c r="M31" s="17" t="n">
        <v>1710167</v>
      </c>
      <c r="N31" s="17" t="n">
        <v>56828</v>
      </c>
      <c r="O31" s="17" t="n">
        <v>37005</v>
      </c>
      <c r="P31" s="17" t="n">
        <v>1611</v>
      </c>
      <c r="Q31" s="17" t="n">
        <v>1160</v>
      </c>
      <c r="R31" s="17" t="n">
        <v>0</v>
      </c>
      <c r="S31" s="17" t="n">
        <v>30</v>
      </c>
      <c r="T31" s="17" t="n">
        <v>120</v>
      </c>
      <c r="U31" s="17" t="n">
        <v>0.00678572216199894</v>
      </c>
      <c r="V31" s="17" t="n">
        <v>260066</v>
      </c>
      <c r="W31" s="17" t="n">
        <v>2065988</v>
      </c>
      <c r="X31" s="17" t="n">
        <v>12.5879724374004</v>
      </c>
      <c r="Y31" s="17" t="n">
        <v>32500</v>
      </c>
      <c r="Z31" s="17" t="n">
        <v>1.38990310237064</v>
      </c>
      <c r="AA31" s="17" t="n">
        <v>13.47</v>
      </c>
      <c r="AB31" s="17" t="n">
        <v>3.49821090392703</v>
      </c>
      <c r="AC31" s="17" t="n">
        <v>1.23592456852314</v>
      </c>
      <c r="AD31" s="17" t="n">
        <v>0.04</v>
      </c>
      <c r="AE31" s="17" t="n">
        <v>1</v>
      </c>
      <c r="AF31" s="17" t="s">
        <v>314</v>
      </c>
      <c r="AG31" s="17" t="s">
        <v>232</v>
      </c>
      <c r="AH31" s="17" t="n">
        <v>0</v>
      </c>
    </row>
    <row r="32" customFormat="false" ht="15" hidden="false" customHeight="false" outlineLevel="0" collapsed="false">
      <c r="A32" s="17" t="n">
        <v>18013</v>
      </c>
      <c r="B32" s="23" t="n">
        <v>44651</v>
      </c>
      <c r="C32" s="17" t="s">
        <v>131</v>
      </c>
      <c r="D32" s="17" t="s">
        <v>116</v>
      </c>
      <c r="E32" s="17" t="n">
        <v>2600482</v>
      </c>
      <c r="F32" s="17" t="n">
        <v>2622717.5</v>
      </c>
      <c r="G32" s="17" t="n">
        <v>2300252</v>
      </c>
      <c r="H32" s="17" t="n">
        <v>212897</v>
      </c>
      <c r="I32" s="17" t="n">
        <v>8.18682844180425</v>
      </c>
      <c r="J32" s="17" t="n">
        <v>1930494</v>
      </c>
      <c r="K32" s="17" t="n">
        <v>1909863</v>
      </c>
      <c r="L32" s="17" t="n">
        <v>1912027</v>
      </c>
      <c r="M32" s="17" t="n">
        <v>1765339</v>
      </c>
      <c r="N32" s="17" t="n">
        <v>115058</v>
      </c>
      <c r="O32" s="17" t="n">
        <v>10633</v>
      </c>
      <c r="P32" s="17" t="n">
        <v>1382</v>
      </c>
      <c r="Q32" s="17" t="n">
        <v>2301</v>
      </c>
      <c r="R32" s="17" t="n">
        <v>210</v>
      </c>
      <c r="S32" s="17" t="n">
        <v>-26</v>
      </c>
      <c r="T32" s="17" t="n">
        <v>-104</v>
      </c>
      <c r="U32" s="17" t="n">
        <v>-0.00544541676549575</v>
      </c>
      <c r="V32" s="17" t="n">
        <v>243884</v>
      </c>
      <c r="W32" s="17" t="n">
        <v>1702211</v>
      </c>
      <c r="X32" s="17" t="n">
        <v>14.3274834905896</v>
      </c>
      <c r="Y32" s="17" t="n">
        <v>19176</v>
      </c>
      <c r="Z32" s="17" t="n">
        <v>0.731150038080731</v>
      </c>
      <c r="AA32" s="17" t="n">
        <v>8.73</v>
      </c>
      <c r="AB32" s="17" t="n">
        <v>3.00297177382644</v>
      </c>
      <c r="AC32" s="17" t="n">
        <v>0.956594529690328</v>
      </c>
      <c r="AD32" s="17" t="n">
        <v>0</v>
      </c>
      <c r="AE32" s="17" t="n">
        <v>1</v>
      </c>
      <c r="AF32" s="17" t="s">
        <v>314</v>
      </c>
      <c r="AG32" s="17" t="s">
        <v>232</v>
      </c>
      <c r="AH32" s="17" t="n">
        <v>0</v>
      </c>
    </row>
    <row r="33" customFormat="false" ht="15" hidden="false" customHeight="false" outlineLevel="0" collapsed="false">
      <c r="A33" s="17" t="n">
        <v>18028</v>
      </c>
      <c r="B33" s="23" t="n">
        <v>44651</v>
      </c>
      <c r="C33" s="17" t="s">
        <v>130</v>
      </c>
      <c r="D33" s="17" t="s">
        <v>116</v>
      </c>
      <c r="E33" s="17" t="n">
        <v>376087</v>
      </c>
      <c r="F33" s="17" t="n">
        <v>375750</v>
      </c>
      <c r="G33" s="17" t="n">
        <v>329792</v>
      </c>
      <c r="H33" s="17" t="n">
        <v>41683</v>
      </c>
      <c r="I33" s="17" t="n">
        <v>11.0833397591515</v>
      </c>
      <c r="J33" s="17" t="n">
        <v>230734</v>
      </c>
      <c r="K33" s="17" t="n">
        <v>228446</v>
      </c>
      <c r="L33" s="17" t="n">
        <v>228591</v>
      </c>
      <c r="M33" s="17" t="n">
        <v>205024</v>
      </c>
      <c r="N33" s="17" t="n">
        <v>15550</v>
      </c>
      <c r="O33" s="17" t="n">
        <v>5989</v>
      </c>
      <c r="P33" s="17" t="n">
        <v>1080</v>
      </c>
      <c r="Q33" s="17" t="n">
        <v>1113</v>
      </c>
      <c r="R33" s="17" t="n">
        <v>46</v>
      </c>
      <c r="S33" s="17" t="n">
        <v>22</v>
      </c>
      <c r="T33" s="17" t="n">
        <v>88</v>
      </c>
      <c r="U33" s="17" t="n">
        <v>0.038521138474738</v>
      </c>
      <c r="V33" s="17" t="n">
        <v>0</v>
      </c>
      <c r="W33" s="17" t="n">
        <v>0</v>
      </c>
      <c r="X33" s="17" t="n">
        <v>0</v>
      </c>
      <c r="Y33" s="17" t="n">
        <v>3004</v>
      </c>
      <c r="Z33" s="17" t="n">
        <v>0.799467731204258</v>
      </c>
      <c r="AA33" s="17" t="n">
        <v>6.76</v>
      </c>
      <c r="AB33" s="17" t="n">
        <v>3.14258644110362</v>
      </c>
      <c r="AC33" s="17" t="n">
        <v>0.928775126335954</v>
      </c>
      <c r="AD33" s="17" t="n">
        <v>-0.11</v>
      </c>
      <c r="AE33" s="17" t="n">
        <v>1</v>
      </c>
      <c r="AF33" s="17" t="s">
        <v>241</v>
      </c>
      <c r="AG33" s="17" t="s">
        <v>232</v>
      </c>
      <c r="AH33" s="17" t="n">
        <v>0</v>
      </c>
    </row>
    <row r="34" customFormat="false" ht="15" hidden="false" customHeight="false" outlineLevel="0" collapsed="false">
      <c r="A34" s="17" t="n">
        <v>18030</v>
      </c>
      <c r="B34" s="23" t="n">
        <v>44651</v>
      </c>
      <c r="C34" s="17" t="s">
        <v>157</v>
      </c>
      <c r="D34" s="17" t="s">
        <v>116</v>
      </c>
      <c r="E34" s="17" t="n">
        <v>675480</v>
      </c>
      <c r="F34" s="17" t="n">
        <v>672258</v>
      </c>
      <c r="G34" s="17" t="n">
        <v>625612</v>
      </c>
      <c r="H34" s="17" t="n">
        <v>47946</v>
      </c>
      <c r="I34" s="17" t="n">
        <v>7.09806359921833</v>
      </c>
      <c r="J34" s="17" t="n">
        <v>485470</v>
      </c>
      <c r="K34" s="17" t="n">
        <v>479127</v>
      </c>
      <c r="L34" s="17" t="n">
        <v>480899</v>
      </c>
      <c r="M34" s="17" t="n">
        <v>383166</v>
      </c>
      <c r="N34" s="17" t="n">
        <v>24798</v>
      </c>
      <c r="O34" s="17" t="n">
        <v>77370</v>
      </c>
      <c r="P34" s="17" t="n">
        <v>602</v>
      </c>
      <c r="Q34" s="17" t="n">
        <v>184</v>
      </c>
      <c r="R34" s="17" t="n">
        <v>120</v>
      </c>
      <c r="S34" s="17" t="n">
        <v>-1</v>
      </c>
      <c r="T34" s="17" t="n">
        <v>-4</v>
      </c>
      <c r="U34" s="17" t="n">
        <v>-0.0008348517198989</v>
      </c>
      <c r="V34" s="17" t="n">
        <v>59459</v>
      </c>
      <c r="W34" s="17" t="n">
        <v>409834</v>
      </c>
      <c r="X34" s="17" t="n">
        <v>14.5080691206684</v>
      </c>
      <c r="Y34" s="17" t="n">
        <v>2384</v>
      </c>
      <c r="Z34" s="17" t="n">
        <v>0.354625753802855</v>
      </c>
      <c r="AA34" s="17" t="n">
        <v>4.73</v>
      </c>
      <c r="AB34" s="17" t="n">
        <v>2.94757262359294</v>
      </c>
      <c r="AC34" s="17" t="n">
        <v>0.94156178548623</v>
      </c>
      <c r="AD34" s="17" t="n">
        <v>0.1</v>
      </c>
      <c r="AE34" s="17" t="n">
        <v>1</v>
      </c>
      <c r="AF34" s="17" t="s">
        <v>241</v>
      </c>
      <c r="AG34" s="17" t="s">
        <v>232</v>
      </c>
      <c r="AH34" s="17" t="n">
        <v>0</v>
      </c>
    </row>
    <row r="35" customFormat="false" ht="15" hidden="false" customHeight="false" outlineLevel="0" collapsed="false">
      <c r="A35" s="17" t="n">
        <v>18031</v>
      </c>
      <c r="B35" s="23" t="n">
        <v>44651</v>
      </c>
      <c r="C35" s="17" t="s">
        <v>152</v>
      </c>
      <c r="D35" s="17" t="s">
        <v>116</v>
      </c>
      <c r="E35" s="17" t="n">
        <v>618579</v>
      </c>
      <c r="F35" s="17" t="n">
        <v>630967</v>
      </c>
      <c r="G35" s="17" t="n">
        <v>539167</v>
      </c>
      <c r="H35" s="17" t="n">
        <v>45852</v>
      </c>
      <c r="I35" s="17" t="n">
        <v>7.41247278035627</v>
      </c>
      <c r="J35" s="17" t="n">
        <v>414273</v>
      </c>
      <c r="K35" s="17" t="n">
        <v>415389</v>
      </c>
      <c r="L35" s="17" t="n">
        <v>409259</v>
      </c>
      <c r="M35" s="17" t="n">
        <v>368428</v>
      </c>
      <c r="N35" s="17" t="n">
        <v>32100</v>
      </c>
      <c r="O35" s="17" t="n">
        <v>8415</v>
      </c>
      <c r="P35" s="17" t="n">
        <v>602</v>
      </c>
      <c r="Q35" s="17" t="n">
        <v>1504</v>
      </c>
      <c r="R35" s="17" t="n">
        <v>0</v>
      </c>
      <c r="S35" s="17" t="n">
        <v>19</v>
      </c>
      <c r="T35" s="17" t="n">
        <v>76</v>
      </c>
      <c r="U35" s="17" t="n">
        <v>0.0182961031707628</v>
      </c>
      <c r="V35" s="17" t="n">
        <v>0</v>
      </c>
      <c r="W35" s="17" t="n">
        <v>0</v>
      </c>
      <c r="X35" s="17" t="n">
        <v>0</v>
      </c>
      <c r="Y35" s="17" t="n">
        <v>2996</v>
      </c>
      <c r="Z35" s="17" t="n">
        <v>0.474826734203215</v>
      </c>
      <c r="AA35" s="17" t="n">
        <v>5.98</v>
      </c>
      <c r="AB35" s="17" t="n">
        <v>2.83494716689371</v>
      </c>
      <c r="AC35" s="17" t="n">
        <v>1.21031300615778</v>
      </c>
      <c r="AD35" s="17" t="n">
        <v>0</v>
      </c>
      <c r="AE35" s="17" t="n">
        <v>0</v>
      </c>
      <c r="AF35" s="17" t="s">
        <v>241</v>
      </c>
      <c r="AG35" s="17" t="s">
        <v>232</v>
      </c>
      <c r="AH35" s="17" t="n">
        <v>0</v>
      </c>
    </row>
    <row r="36" customFormat="false" ht="15" hidden="false" customHeight="false" outlineLevel="0" collapsed="false">
      <c r="A36" s="17" t="n">
        <v>18038</v>
      </c>
      <c r="B36" s="23" t="n">
        <v>44651</v>
      </c>
      <c r="C36" s="17" t="s">
        <v>128</v>
      </c>
      <c r="D36" s="17" t="s">
        <v>116</v>
      </c>
      <c r="E36" s="17" t="n">
        <v>483496</v>
      </c>
      <c r="F36" s="17" t="n">
        <v>487410</v>
      </c>
      <c r="G36" s="17" t="n">
        <v>404536</v>
      </c>
      <c r="H36" s="17" t="n">
        <v>69131</v>
      </c>
      <c r="I36" s="17" t="n">
        <v>14.2981534490461</v>
      </c>
      <c r="J36" s="17" t="n">
        <v>356852</v>
      </c>
      <c r="K36" s="17" t="n">
        <v>356533</v>
      </c>
      <c r="L36" s="17" t="n">
        <v>352425</v>
      </c>
      <c r="M36" s="17" t="n">
        <v>335633</v>
      </c>
      <c r="N36" s="17" t="n">
        <v>17613</v>
      </c>
      <c r="O36" s="17" t="n">
        <v>3264</v>
      </c>
      <c r="P36" s="17" t="n">
        <v>2487</v>
      </c>
      <c r="Q36" s="17" t="n">
        <v>1771</v>
      </c>
      <c r="R36" s="17" t="n">
        <v>0</v>
      </c>
      <c r="S36" s="17" t="n">
        <v>-82</v>
      </c>
      <c r="T36" s="17" t="n">
        <v>-328</v>
      </c>
      <c r="U36" s="17" t="n">
        <v>-0.091997094238121</v>
      </c>
      <c r="V36" s="17" t="n">
        <v>0</v>
      </c>
      <c r="W36" s="17" t="n">
        <v>0</v>
      </c>
      <c r="X36" s="17" t="n">
        <v>0</v>
      </c>
      <c r="Y36" s="17" t="n">
        <v>-3452</v>
      </c>
      <c r="Z36" s="17" t="n">
        <v>-0.708233314868386</v>
      </c>
      <c r="AA36" s="17" t="n">
        <v>-4.87</v>
      </c>
      <c r="AB36" s="17" t="n">
        <v>3.13809529560168</v>
      </c>
      <c r="AC36" s="17" t="n">
        <v>1.24057032046899</v>
      </c>
      <c r="AD36" s="17" t="n">
        <v>0.04</v>
      </c>
      <c r="AE36" s="17" t="n">
        <v>1</v>
      </c>
      <c r="AF36" s="17" t="s">
        <v>241</v>
      </c>
      <c r="AG36" s="17" t="s">
        <v>232</v>
      </c>
      <c r="AH36" s="17" t="n">
        <v>1</v>
      </c>
    </row>
    <row r="37" customFormat="false" ht="15" hidden="false" customHeight="false" outlineLevel="0" collapsed="false">
      <c r="A37" s="17" t="n">
        <v>18408</v>
      </c>
      <c r="B37" s="23" t="n">
        <v>44651</v>
      </c>
      <c r="C37" s="17" t="s">
        <v>107</v>
      </c>
      <c r="D37" s="17" t="s">
        <v>108</v>
      </c>
      <c r="E37" s="17" t="n">
        <v>6919263</v>
      </c>
      <c r="F37" s="17" t="n">
        <v>6914157</v>
      </c>
      <c r="G37" s="17" t="n">
        <v>5759296</v>
      </c>
      <c r="H37" s="17" t="n">
        <v>446779</v>
      </c>
      <c r="I37" s="17" t="n">
        <v>6.45703162316565</v>
      </c>
      <c r="J37" s="17" t="n">
        <v>3977154</v>
      </c>
      <c r="K37" s="17" t="n">
        <v>3974078</v>
      </c>
      <c r="L37" s="17" t="n">
        <v>3927693</v>
      </c>
      <c r="M37" s="17" t="n">
        <v>3596517</v>
      </c>
      <c r="N37" s="17" t="n">
        <v>286708</v>
      </c>
      <c r="O37" s="17" t="n">
        <v>28127</v>
      </c>
      <c r="P37" s="17" t="n">
        <v>4978</v>
      </c>
      <c r="Q37" s="17" t="n">
        <v>3765</v>
      </c>
      <c r="R37" s="17" t="n">
        <v>0</v>
      </c>
      <c r="S37" s="17" t="n">
        <v>182</v>
      </c>
      <c r="T37" s="17" t="n">
        <v>728</v>
      </c>
      <c r="U37" s="17" t="n">
        <v>0.0183187144288562</v>
      </c>
      <c r="V37" s="17" t="n">
        <v>548262</v>
      </c>
      <c r="W37" s="17" t="n">
        <v>4177773</v>
      </c>
      <c r="X37" s="17" t="n">
        <v>13.1233075612294</v>
      </c>
      <c r="Y37" s="17" t="n">
        <v>41440</v>
      </c>
      <c r="Z37" s="17" t="n">
        <v>0.599350000296493</v>
      </c>
      <c r="AA37" s="17" t="n">
        <v>8.39</v>
      </c>
      <c r="AB37" s="17" t="n">
        <v>2.73721410817608</v>
      </c>
      <c r="AC37" s="17" t="n">
        <v>1.24362798121471</v>
      </c>
      <c r="AD37" s="17" t="n">
        <v>0</v>
      </c>
      <c r="AE37" s="17" t="n">
        <v>1</v>
      </c>
      <c r="AF37" s="17" t="s">
        <v>241</v>
      </c>
      <c r="AG37" s="17" t="s">
        <v>232</v>
      </c>
      <c r="AH37" s="17" t="n">
        <v>0</v>
      </c>
    </row>
    <row r="38" customFormat="false" ht="15" hidden="false" customHeight="false" outlineLevel="0" collapsed="false">
      <c r="A38" s="17" t="n">
        <v>19531</v>
      </c>
      <c r="B38" s="23" t="n">
        <v>44651</v>
      </c>
      <c r="C38" s="17" t="s">
        <v>146</v>
      </c>
      <c r="D38" s="17" t="s">
        <v>108</v>
      </c>
      <c r="E38" s="17" t="n">
        <v>2173098</v>
      </c>
      <c r="F38" s="17" t="n">
        <v>2269544.5</v>
      </c>
      <c r="G38" s="17" t="n">
        <v>1922538</v>
      </c>
      <c r="H38" s="17" t="n">
        <v>230604</v>
      </c>
      <c r="I38" s="17" t="n">
        <v>10.6117625620198</v>
      </c>
      <c r="J38" s="17" t="n">
        <v>1643228</v>
      </c>
      <c r="K38" s="17" t="n">
        <v>1644700</v>
      </c>
      <c r="L38" s="17" t="n">
        <v>1619552</v>
      </c>
      <c r="M38" s="17" t="n">
        <v>1345130</v>
      </c>
      <c r="N38" s="17" t="n">
        <v>204310</v>
      </c>
      <c r="O38" s="17" t="n">
        <v>12774</v>
      </c>
      <c r="P38" s="17" t="n">
        <v>5998</v>
      </c>
      <c r="Q38" s="17" t="n">
        <v>2467</v>
      </c>
      <c r="R38" s="17" t="n">
        <v>418</v>
      </c>
      <c r="S38" s="17" t="n">
        <v>24</v>
      </c>
      <c r="T38" s="17" t="n">
        <v>96</v>
      </c>
      <c r="U38" s="17" t="n">
        <v>0.00583693074724874</v>
      </c>
      <c r="V38" s="17" t="n">
        <v>272233</v>
      </c>
      <c r="W38" s="17" t="n">
        <v>1738806</v>
      </c>
      <c r="X38" s="17" t="n">
        <v>15.6563181861576</v>
      </c>
      <c r="Y38" s="17" t="n">
        <v>16472</v>
      </c>
      <c r="Z38" s="17" t="n">
        <v>0.72578440299364</v>
      </c>
      <c r="AA38" s="17" t="n">
        <v>6.95</v>
      </c>
      <c r="AB38" s="17" t="n">
        <v>3.51954450569667</v>
      </c>
      <c r="AC38" s="17" t="n">
        <v>1.44082257605153</v>
      </c>
      <c r="AD38" s="17" t="n">
        <v>0.01</v>
      </c>
      <c r="AE38" s="17" t="n">
        <v>1</v>
      </c>
      <c r="AF38" s="17" t="s">
        <v>241</v>
      </c>
      <c r="AG38" s="17" t="s">
        <v>232</v>
      </c>
      <c r="AH38" s="17" t="n">
        <v>0</v>
      </c>
    </row>
    <row r="39" customFormat="false" ht="15" hidden="false" customHeight="false" outlineLevel="0" collapsed="false">
      <c r="A39" s="17" t="n">
        <v>19532</v>
      </c>
      <c r="B39" s="23" t="n">
        <v>44651</v>
      </c>
      <c r="C39" s="17" t="s">
        <v>164</v>
      </c>
      <c r="D39" s="17" t="s">
        <v>108</v>
      </c>
      <c r="E39" s="17" t="n">
        <v>770032</v>
      </c>
      <c r="F39" s="17" t="n">
        <v>775225.5</v>
      </c>
      <c r="G39" s="17" t="n">
        <v>660375</v>
      </c>
      <c r="H39" s="17" t="n">
        <v>96137</v>
      </c>
      <c r="I39" s="17" t="n">
        <v>12.4848058262514</v>
      </c>
      <c r="J39" s="17" t="n">
        <v>500389</v>
      </c>
      <c r="K39" s="17" t="n">
        <v>501015.5</v>
      </c>
      <c r="L39" s="17" t="n">
        <v>494485</v>
      </c>
      <c r="M39" s="17" t="n">
        <v>433748</v>
      </c>
      <c r="N39" s="17" t="n">
        <v>20391</v>
      </c>
      <c r="O39" s="17" t="n">
        <v>38849</v>
      </c>
      <c r="P39" s="17" t="n">
        <v>2804</v>
      </c>
      <c r="Q39" s="17" t="n">
        <v>615</v>
      </c>
      <c r="R39" s="17" t="n">
        <v>0</v>
      </c>
      <c r="S39" s="17" t="n">
        <v>2</v>
      </c>
      <c r="T39" s="17" t="n">
        <v>8</v>
      </c>
      <c r="U39" s="17" t="n">
        <v>0.0015967569865603</v>
      </c>
      <c r="V39" s="17" t="n">
        <v>110481</v>
      </c>
      <c r="W39" s="17" t="n">
        <v>506869</v>
      </c>
      <c r="X39" s="17" t="n">
        <v>21.7967561638214</v>
      </c>
      <c r="Y39" s="17" t="n">
        <v>5784</v>
      </c>
      <c r="Z39" s="17" t="n">
        <v>0.746105488016068</v>
      </c>
      <c r="AA39" s="17" t="n">
        <v>5.79</v>
      </c>
      <c r="AB39" s="17" t="n">
        <v>3.10418099510352</v>
      </c>
      <c r="AC39" s="17" t="n">
        <v>1.17988205176373</v>
      </c>
      <c r="AD39" s="17" t="n">
        <v>0.02</v>
      </c>
      <c r="AE39" s="17" t="n">
        <v>1</v>
      </c>
      <c r="AF39" s="17" t="s">
        <v>241</v>
      </c>
      <c r="AG39" s="17" t="s">
        <v>232</v>
      </c>
      <c r="AH39" s="17" t="n">
        <v>1</v>
      </c>
    </row>
    <row r="40" customFormat="false" ht="15" hidden="false" customHeight="false" outlineLevel="0" collapsed="false">
      <c r="A40" s="17" t="n">
        <v>19690</v>
      </c>
      <c r="B40" s="23" t="n">
        <v>44651</v>
      </c>
      <c r="C40" s="17" t="s">
        <v>158</v>
      </c>
      <c r="D40" s="17" t="s">
        <v>108</v>
      </c>
      <c r="E40" s="17" t="n">
        <v>1566116</v>
      </c>
      <c r="F40" s="17" t="n">
        <v>1513035.5</v>
      </c>
      <c r="G40" s="17" t="n">
        <v>1284535</v>
      </c>
      <c r="H40" s="17" t="n">
        <v>247469</v>
      </c>
      <c r="I40" s="17" t="n">
        <v>15.8014476577725</v>
      </c>
      <c r="J40" s="17" t="n">
        <v>1232325</v>
      </c>
      <c r="K40" s="17" t="n">
        <v>1206754.5</v>
      </c>
      <c r="L40" s="17" t="n">
        <v>1226509</v>
      </c>
      <c r="M40" s="17" t="n">
        <v>894476</v>
      </c>
      <c r="N40" s="17" t="n">
        <v>25804</v>
      </c>
      <c r="O40" s="17" t="n">
        <v>777</v>
      </c>
      <c r="P40" s="17" t="n">
        <v>17912</v>
      </c>
      <c r="Q40" s="17" t="n">
        <v>6729</v>
      </c>
      <c r="R40" s="17" t="n">
        <v>0</v>
      </c>
      <c r="S40" s="17" t="n">
        <v>-63</v>
      </c>
      <c r="T40" s="17" t="n">
        <v>-252</v>
      </c>
      <c r="U40" s="17" t="n">
        <v>-0.0208824578652908</v>
      </c>
      <c r="V40" s="17" t="n">
        <v>254505</v>
      </c>
      <c r="W40" s="17" t="n">
        <v>1235344</v>
      </c>
      <c r="X40" s="17" t="n">
        <v>20.6019537877709</v>
      </c>
      <c r="Y40" s="17" t="n">
        <v>42348</v>
      </c>
      <c r="Z40" s="17" t="n">
        <v>2.79887682741086</v>
      </c>
      <c r="AA40" s="17" t="n">
        <v>17.4</v>
      </c>
      <c r="AB40" s="17" t="n">
        <v>5.76381679552061</v>
      </c>
      <c r="AC40" s="17" t="n">
        <v>0.471953421378289</v>
      </c>
      <c r="AD40" s="17" t="n">
        <v>-0.08</v>
      </c>
      <c r="AE40" s="17" t="n">
        <v>1</v>
      </c>
      <c r="AF40" s="17" t="s">
        <v>231</v>
      </c>
      <c r="AG40" s="17" t="s">
        <v>232</v>
      </c>
      <c r="AH40" s="17" t="n">
        <v>0</v>
      </c>
    </row>
    <row r="41" customFormat="false" ht="15" hidden="false" customHeight="false" outlineLevel="0" collapsed="false">
      <c r="A41" s="17" t="n">
        <v>19836</v>
      </c>
      <c r="B41" s="23" t="n">
        <v>44651</v>
      </c>
      <c r="C41" s="17" t="s">
        <v>136</v>
      </c>
      <c r="D41" s="17" t="s">
        <v>108</v>
      </c>
      <c r="E41" s="17" t="n">
        <v>568589</v>
      </c>
      <c r="F41" s="17" t="n">
        <v>564817.5</v>
      </c>
      <c r="G41" s="17" t="n">
        <v>449964</v>
      </c>
      <c r="H41" s="17" t="n">
        <v>112557</v>
      </c>
      <c r="I41" s="17" t="n">
        <v>19.7958455052771</v>
      </c>
      <c r="J41" s="17" t="n">
        <v>427806</v>
      </c>
      <c r="K41" s="17" t="n">
        <v>427271.5</v>
      </c>
      <c r="L41" s="17" t="n">
        <v>423906</v>
      </c>
      <c r="M41" s="17" t="n">
        <v>366535</v>
      </c>
      <c r="N41" s="17" t="n">
        <v>44135</v>
      </c>
      <c r="O41" s="17" t="n">
        <v>11311</v>
      </c>
      <c r="P41" s="17" t="n">
        <v>1696</v>
      </c>
      <c r="Q41" s="17" t="n">
        <v>3713</v>
      </c>
      <c r="R41" s="17" t="n">
        <v>91</v>
      </c>
      <c r="S41" s="17" t="n">
        <v>2</v>
      </c>
      <c r="T41" s="17" t="n">
        <v>8</v>
      </c>
      <c r="U41" s="17" t="n">
        <v>0.00187234580354646</v>
      </c>
      <c r="V41" s="17" t="n">
        <v>125552</v>
      </c>
      <c r="W41" s="17" t="n">
        <v>396015</v>
      </c>
      <c r="X41" s="17" t="n">
        <v>31.7038496016565</v>
      </c>
      <c r="Y41" s="17" t="n">
        <v>3996</v>
      </c>
      <c r="Z41" s="17" t="n">
        <v>0.707485161136119</v>
      </c>
      <c r="AA41" s="17" t="n">
        <v>3.52</v>
      </c>
      <c r="AB41" s="17" t="n">
        <v>3.87429732399215</v>
      </c>
      <c r="AC41" s="17" t="n">
        <v>0.911628167907884</v>
      </c>
      <c r="AD41" s="17" t="n">
        <v>0</v>
      </c>
      <c r="AE41" s="17" t="n">
        <v>1</v>
      </c>
      <c r="AF41" s="17" t="s">
        <v>314</v>
      </c>
      <c r="AG41" s="17" t="s">
        <v>232</v>
      </c>
      <c r="AH41" s="17" t="n">
        <v>0</v>
      </c>
    </row>
    <row r="42" customFormat="false" ht="15" hidden="false" customHeight="false" outlineLevel="0" collapsed="false">
      <c r="A42" s="17" t="n">
        <v>24540</v>
      </c>
      <c r="B42" s="23" t="n">
        <v>44651</v>
      </c>
      <c r="C42" s="17" t="s">
        <v>163</v>
      </c>
      <c r="D42" s="17" t="s">
        <v>116</v>
      </c>
      <c r="E42" s="17" t="n">
        <v>1244446</v>
      </c>
      <c r="F42" s="17" t="n">
        <v>1252322</v>
      </c>
      <c r="G42" s="17" t="n">
        <v>1040872</v>
      </c>
      <c r="H42" s="17" t="n">
        <v>192853</v>
      </c>
      <c r="I42" s="17" t="n">
        <v>15.4970967000577</v>
      </c>
      <c r="J42" s="17" t="n">
        <v>1020810</v>
      </c>
      <c r="K42" s="17" t="n">
        <v>1045266</v>
      </c>
      <c r="L42" s="17" t="n">
        <v>1008814</v>
      </c>
      <c r="M42" s="17" t="n">
        <v>977701</v>
      </c>
      <c r="N42" s="17" t="n">
        <v>46308</v>
      </c>
      <c r="O42" s="17" t="n">
        <v>17</v>
      </c>
      <c r="P42" s="17" t="n">
        <v>815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27908</v>
      </c>
      <c r="Z42" s="17" t="n">
        <v>2.22850033777255</v>
      </c>
      <c r="AA42" s="17" t="n">
        <v>14.73</v>
      </c>
      <c r="AB42" s="17" t="n">
        <v>4.18655281953746</v>
      </c>
      <c r="AC42" s="17" t="n">
        <v>1.17514522780929</v>
      </c>
      <c r="AD42" s="17" t="n">
        <v>-0.21</v>
      </c>
      <c r="AE42" s="17" t="n">
        <v>1</v>
      </c>
      <c r="AF42" s="17" t="s">
        <v>231</v>
      </c>
      <c r="AG42" s="17" t="s">
        <v>232</v>
      </c>
      <c r="AH42" s="17" t="n">
        <v>0</v>
      </c>
    </row>
    <row r="43" customFormat="false" ht="15" hidden="false" customHeight="false" outlineLevel="0" collapsed="false">
      <c r="A43" s="17" t="n">
        <v>27824</v>
      </c>
      <c r="B43" s="23" t="n">
        <v>44651</v>
      </c>
      <c r="C43" s="17" t="s">
        <v>117</v>
      </c>
      <c r="D43" s="17" t="s">
        <v>116</v>
      </c>
      <c r="E43" s="17" t="n">
        <v>458925</v>
      </c>
      <c r="F43" s="17" t="n">
        <v>452071</v>
      </c>
      <c r="G43" s="17" t="n">
        <v>369032</v>
      </c>
      <c r="H43" s="17" t="n">
        <v>69307</v>
      </c>
      <c r="I43" s="17" t="n">
        <v>15.1020319224274</v>
      </c>
      <c r="J43" s="17" t="n">
        <v>364112</v>
      </c>
      <c r="K43" s="17" t="n">
        <v>356519</v>
      </c>
      <c r="L43" s="17" t="n">
        <v>361042</v>
      </c>
      <c r="M43" s="17" t="n">
        <v>321326</v>
      </c>
      <c r="N43" s="17" t="n">
        <v>22180</v>
      </c>
      <c r="O43" s="17" t="n">
        <v>20605</v>
      </c>
      <c r="P43" s="17" t="n">
        <v>916</v>
      </c>
      <c r="Q43" s="17" t="n">
        <v>408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74249</v>
      </c>
      <c r="W43" s="17" t="n">
        <v>286201</v>
      </c>
      <c r="X43" s="17" t="n">
        <v>25.9429561741573</v>
      </c>
      <c r="Y43" s="17" t="n">
        <v>1204</v>
      </c>
      <c r="Z43" s="17" t="n">
        <v>0.26632984641793</v>
      </c>
      <c r="AA43" s="17" t="n">
        <v>1.72</v>
      </c>
      <c r="AB43" s="17" t="n">
        <v>2.87084618829471</v>
      </c>
      <c r="AC43" s="17" t="n">
        <v>0.843147163510129</v>
      </c>
      <c r="AD43" s="17" t="n">
        <v>0</v>
      </c>
      <c r="AE43" s="17" t="n">
        <v>1</v>
      </c>
      <c r="AF43" s="17" t="s">
        <v>354</v>
      </c>
      <c r="AG43" s="17" t="s">
        <v>232</v>
      </c>
      <c r="AH43" s="17" t="n">
        <v>1</v>
      </c>
    </row>
    <row r="44" customFormat="false" ht="15" hidden="false" customHeight="false" outlineLevel="0" collapsed="false">
      <c r="A44" s="17" t="n">
        <v>28155</v>
      </c>
      <c r="B44" s="23" t="n">
        <v>44651</v>
      </c>
      <c r="C44" s="17" t="s">
        <v>150</v>
      </c>
      <c r="D44" s="17" t="s">
        <v>116</v>
      </c>
      <c r="E44" s="17" t="n">
        <v>281830</v>
      </c>
      <c r="F44" s="17" t="n">
        <v>284231.5</v>
      </c>
      <c r="G44" s="17" t="n">
        <v>253420</v>
      </c>
      <c r="H44" s="17" t="n">
        <v>27480</v>
      </c>
      <c r="I44" s="17" t="n">
        <v>9.7505588475322</v>
      </c>
      <c r="J44" s="17" t="n">
        <v>147197</v>
      </c>
      <c r="K44" s="17" t="n">
        <v>146464</v>
      </c>
      <c r="L44" s="17" t="n">
        <v>146330</v>
      </c>
      <c r="M44" s="17" t="n">
        <v>137297</v>
      </c>
      <c r="N44" s="17" t="n">
        <v>5388</v>
      </c>
      <c r="O44" s="17" t="n">
        <v>3851</v>
      </c>
      <c r="P44" s="17" t="n">
        <v>206</v>
      </c>
      <c r="Q44" s="17" t="n">
        <v>357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28995</v>
      </c>
      <c r="W44" s="17" t="n">
        <v>149623</v>
      </c>
      <c r="X44" s="17" t="n">
        <v>19.3787051455993</v>
      </c>
      <c r="Y44" s="17" t="n">
        <v>640</v>
      </c>
      <c r="Z44" s="17" t="n">
        <v>0.225168568578782</v>
      </c>
      <c r="AA44" s="17" t="n">
        <v>2.32</v>
      </c>
      <c r="AB44" s="17" t="n">
        <v>2.67920386996115</v>
      </c>
      <c r="AC44" s="17" t="n">
        <v>0.589006569427366</v>
      </c>
      <c r="AD44" s="17" t="n">
        <v>0.07</v>
      </c>
      <c r="AE44" s="17" t="n">
        <v>1</v>
      </c>
      <c r="AF44" s="17" t="s">
        <v>314</v>
      </c>
      <c r="AG44" s="17" t="s">
        <v>232</v>
      </c>
      <c r="AH44" s="17" t="n">
        <v>0</v>
      </c>
    </row>
    <row r="45" customFormat="false" ht="15" hidden="false" customHeight="false" outlineLevel="0" collapsed="false">
      <c r="A45" s="17" t="n">
        <v>28288</v>
      </c>
      <c r="B45" s="23" t="n">
        <v>44651</v>
      </c>
      <c r="C45" s="17" t="s">
        <v>124</v>
      </c>
      <c r="D45" s="17" t="s">
        <v>108</v>
      </c>
      <c r="E45" s="17" t="n">
        <v>92044</v>
      </c>
      <c r="F45" s="17" t="n">
        <v>92477.5</v>
      </c>
      <c r="G45" s="17" t="n">
        <v>76920</v>
      </c>
      <c r="H45" s="17" t="n">
        <v>7147</v>
      </c>
      <c r="I45" s="17" t="n">
        <v>7.76476467776281</v>
      </c>
      <c r="J45" s="17" t="n">
        <v>74646</v>
      </c>
      <c r="K45" s="17" t="n">
        <v>73378</v>
      </c>
      <c r="L45" s="17" t="n">
        <v>73777</v>
      </c>
      <c r="M45" s="17" t="n">
        <v>70352</v>
      </c>
      <c r="N45" s="17" t="n">
        <v>3708</v>
      </c>
      <c r="O45" s="17" t="n">
        <v>587</v>
      </c>
      <c r="P45" s="17" t="n">
        <v>606</v>
      </c>
      <c r="Q45" s="17" t="n">
        <v>345</v>
      </c>
      <c r="R45" s="17" t="n">
        <v>0</v>
      </c>
      <c r="S45" s="17" t="n">
        <v>-2</v>
      </c>
      <c r="T45" s="17" t="n">
        <v>-8</v>
      </c>
      <c r="U45" s="17" t="n">
        <v>-0.0109024503257107</v>
      </c>
      <c r="V45" s="17" t="n">
        <v>8735</v>
      </c>
      <c r="W45" s="17" t="n">
        <v>60377</v>
      </c>
      <c r="X45" s="17" t="n">
        <v>14.4674296503636</v>
      </c>
      <c r="Y45" s="17" t="n">
        <v>4</v>
      </c>
      <c r="Z45" s="17" t="n">
        <v>0.00432537644291855</v>
      </c>
      <c r="AA45" s="17" t="n">
        <v>0.05</v>
      </c>
      <c r="AB45" s="17" t="n">
        <v>3.43394488632164</v>
      </c>
      <c r="AC45" s="17" t="n">
        <v>1.1641615089891</v>
      </c>
      <c r="AD45" s="17" t="n">
        <v>0</v>
      </c>
      <c r="AE45" s="17" t="n">
        <v>1</v>
      </c>
      <c r="AF45" s="17" t="s">
        <v>361</v>
      </c>
      <c r="AG45" s="17" t="s">
        <v>211</v>
      </c>
      <c r="AH45" s="17" t="n">
        <v>0</v>
      </c>
    </row>
    <row r="46" customFormat="false" ht="15" hidden="false" customHeight="false" outlineLevel="0" collapsed="false">
      <c r="A46" s="17" t="n">
        <v>28369</v>
      </c>
      <c r="B46" s="23" t="n">
        <v>44651</v>
      </c>
      <c r="C46" s="17" t="s">
        <v>145</v>
      </c>
      <c r="D46" s="17" t="s">
        <v>108</v>
      </c>
      <c r="E46" s="17" t="n">
        <v>85281</v>
      </c>
      <c r="F46" s="17" t="n">
        <v>85741</v>
      </c>
      <c r="G46" s="17" t="n">
        <v>75519</v>
      </c>
      <c r="H46" s="17" t="n">
        <v>9337</v>
      </c>
      <c r="I46" s="17" t="n">
        <v>10.948511391752</v>
      </c>
      <c r="J46" s="17" t="n">
        <v>72385</v>
      </c>
      <c r="K46" s="17" t="n">
        <v>73505</v>
      </c>
      <c r="L46" s="17" t="n">
        <v>71823</v>
      </c>
      <c r="M46" s="17" t="n">
        <v>61802</v>
      </c>
      <c r="N46" s="17" t="n">
        <v>9635</v>
      </c>
      <c r="O46" s="17" t="n">
        <v>948</v>
      </c>
      <c r="P46" s="17" t="n">
        <v>440</v>
      </c>
      <c r="Q46" s="17" t="n">
        <v>13</v>
      </c>
      <c r="R46" s="17" t="n">
        <v>0</v>
      </c>
      <c r="S46" s="17" t="n">
        <v>-3</v>
      </c>
      <c r="T46" s="17" t="n">
        <v>-12</v>
      </c>
      <c r="U46" s="17" t="n">
        <v>-0.0163254200394531</v>
      </c>
      <c r="V46" s="17" t="n">
        <v>0</v>
      </c>
      <c r="W46" s="17" t="n">
        <v>0</v>
      </c>
      <c r="X46" s="17" t="n">
        <v>0</v>
      </c>
      <c r="Y46" s="17" t="n">
        <v>-68</v>
      </c>
      <c r="Z46" s="17" t="n">
        <v>-0.0793086154815083</v>
      </c>
      <c r="AA46" s="17" t="n">
        <v>-0.73</v>
      </c>
      <c r="AB46" s="17" t="n">
        <v>3.62481223374129</v>
      </c>
      <c r="AC46" s="17" t="n">
        <v>0.77640395109484</v>
      </c>
      <c r="AD46" s="17" t="n">
        <v>0.07</v>
      </c>
      <c r="AE46" s="17" t="n">
        <v>1</v>
      </c>
      <c r="AF46" s="17" t="s">
        <v>361</v>
      </c>
      <c r="AG46" s="17" t="s">
        <v>211</v>
      </c>
      <c r="AH46" s="17" t="n">
        <v>1</v>
      </c>
    </row>
    <row r="47" customFormat="false" ht="15" hidden="false" customHeight="false" outlineLevel="0" collapsed="false">
      <c r="A47" s="17" t="n">
        <v>28837</v>
      </c>
      <c r="B47" s="23" t="n">
        <v>44651</v>
      </c>
      <c r="C47" s="17" t="s">
        <v>142</v>
      </c>
      <c r="D47" s="17" t="s">
        <v>113</v>
      </c>
      <c r="E47" s="17" t="n">
        <v>300452</v>
      </c>
      <c r="F47" s="17" t="n">
        <v>301891</v>
      </c>
      <c r="G47" s="17" t="n">
        <v>273714</v>
      </c>
      <c r="H47" s="17" t="n">
        <v>22104</v>
      </c>
      <c r="I47" s="17" t="n">
        <v>7.35691558052534</v>
      </c>
      <c r="J47" s="17" t="n">
        <v>189360</v>
      </c>
      <c r="K47" s="17" t="n">
        <v>190042</v>
      </c>
      <c r="L47" s="17" t="n">
        <v>187142</v>
      </c>
      <c r="M47" s="17" t="n">
        <v>180942</v>
      </c>
      <c r="N47" s="17" t="n">
        <v>6477</v>
      </c>
      <c r="O47" s="17" t="n">
        <v>887</v>
      </c>
      <c r="P47" s="17" t="n">
        <v>71</v>
      </c>
      <c r="Q47" s="17" t="n">
        <v>507</v>
      </c>
      <c r="R47" s="17" t="n">
        <v>0</v>
      </c>
      <c r="S47" s="17" t="n">
        <v>128</v>
      </c>
      <c r="T47" s="17" t="n">
        <v>512</v>
      </c>
      <c r="U47" s="17" t="n">
        <v>0.269414129508214</v>
      </c>
      <c r="V47" s="17" t="n">
        <v>22239</v>
      </c>
      <c r="W47" s="17" t="n">
        <v>153013</v>
      </c>
      <c r="X47" s="17" t="n">
        <v>14.5340591975845</v>
      </c>
      <c r="Y47" s="17" t="n">
        <v>932</v>
      </c>
      <c r="Z47" s="17" t="n">
        <v>0.308720697205283</v>
      </c>
      <c r="AA47" s="17" t="n">
        <v>4.24</v>
      </c>
      <c r="AB47" s="17" t="n">
        <v>2.37407853799367</v>
      </c>
      <c r="AC47" s="17" t="n">
        <v>1.17131389945078</v>
      </c>
      <c r="AD47" s="17" t="n">
        <v>0.05</v>
      </c>
      <c r="AE47" s="17" t="n">
        <v>1</v>
      </c>
      <c r="AF47" s="17" t="s">
        <v>314</v>
      </c>
      <c r="AG47" s="17" t="s">
        <v>232</v>
      </c>
      <c r="AH47" s="17" t="n">
        <v>1</v>
      </c>
    </row>
    <row r="48" customFormat="false" ht="15" hidden="false" customHeight="false" outlineLevel="0" collapsed="false">
      <c r="A48" s="17" t="n">
        <v>29636</v>
      </c>
      <c r="B48" s="23" t="n">
        <v>44651</v>
      </c>
      <c r="C48" s="17" t="s">
        <v>123</v>
      </c>
      <c r="D48" s="17" t="s">
        <v>108</v>
      </c>
      <c r="E48" s="17" t="n">
        <v>179872</v>
      </c>
      <c r="F48" s="17" t="n">
        <v>179954</v>
      </c>
      <c r="G48" s="17" t="n">
        <v>154524</v>
      </c>
      <c r="H48" s="17" t="n">
        <v>24006</v>
      </c>
      <c r="I48" s="17" t="n">
        <v>13.3461572673901</v>
      </c>
      <c r="J48" s="17" t="n">
        <v>108632</v>
      </c>
      <c r="K48" s="17" t="n">
        <v>108588.5</v>
      </c>
      <c r="L48" s="17" t="n">
        <v>106963</v>
      </c>
      <c r="M48" s="17" t="n">
        <v>105234</v>
      </c>
      <c r="N48" s="17" t="n">
        <v>1323</v>
      </c>
      <c r="O48" s="17" t="n">
        <v>2075</v>
      </c>
      <c r="P48" s="17" t="n">
        <v>1233</v>
      </c>
      <c r="Q48" s="17" t="n">
        <v>2145</v>
      </c>
      <c r="R48" s="17" t="n">
        <v>0</v>
      </c>
      <c r="S48" s="17" t="n">
        <v>-2</v>
      </c>
      <c r="T48" s="17" t="n">
        <v>-8</v>
      </c>
      <c r="U48" s="17" t="n">
        <v>-0.00736726264751792</v>
      </c>
      <c r="V48" s="17" t="n">
        <v>25663</v>
      </c>
      <c r="W48" s="17" t="n">
        <v>80255</v>
      </c>
      <c r="X48" s="17" t="n">
        <v>31.9768238739019</v>
      </c>
      <c r="Y48" s="17" t="n">
        <v>72</v>
      </c>
      <c r="Z48" s="17" t="n">
        <v>0.0400102248352357</v>
      </c>
      <c r="AA48" s="17" t="n">
        <v>0.3</v>
      </c>
      <c r="AB48" s="17" t="n">
        <v>2.99433190856718</v>
      </c>
      <c r="AC48" s="17" t="n">
        <v>1.53637970395464</v>
      </c>
      <c r="AD48" s="17" t="n">
        <v>0.03</v>
      </c>
      <c r="AE48" s="17" t="n">
        <v>1</v>
      </c>
      <c r="AF48" s="17" t="s">
        <v>361</v>
      </c>
      <c r="AG48" s="17" t="s">
        <v>211</v>
      </c>
      <c r="AH48" s="17" t="n">
        <v>1</v>
      </c>
    </row>
    <row r="49" customFormat="false" ht="15" hidden="false" customHeight="false" outlineLevel="0" collapsed="false">
      <c r="A49" s="17" t="n">
        <v>29743</v>
      </c>
      <c r="B49" s="23" t="n">
        <v>44651</v>
      </c>
      <c r="C49" s="17" t="s">
        <v>140</v>
      </c>
      <c r="D49" s="17" t="s">
        <v>108</v>
      </c>
      <c r="E49" s="17" t="n">
        <v>172820</v>
      </c>
      <c r="F49" s="17" t="n">
        <v>174768</v>
      </c>
      <c r="G49" s="17" t="n">
        <v>154916</v>
      </c>
      <c r="H49" s="17" t="n">
        <v>15360</v>
      </c>
      <c r="I49" s="17" t="n">
        <v>8.88786020136558</v>
      </c>
      <c r="J49" s="17" t="n">
        <v>116977</v>
      </c>
      <c r="K49" s="17" t="n">
        <v>116502</v>
      </c>
      <c r="L49" s="17" t="n">
        <v>116459</v>
      </c>
      <c r="M49" s="17" t="n">
        <v>77243</v>
      </c>
      <c r="N49" s="17" t="n">
        <v>22643</v>
      </c>
      <c r="O49" s="17" t="n">
        <v>17066</v>
      </c>
      <c r="P49" s="17" t="n">
        <v>442</v>
      </c>
      <c r="Q49" s="17" t="n">
        <v>646</v>
      </c>
      <c r="R49" s="17" t="n">
        <v>0</v>
      </c>
      <c r="S49" s="17" t="n">
        <v>12</v>
      </c>
      <c r="T49" s="17" t="n">
        <v>48</v>
      </c>
      <c r="U49" s="17" t="n">
        <v>0.0412010094247309</v>
      </c>
      <c r="V49" s="17" t="n">
        <v>17728</v>
      </c>
      <c r="W49" s="17" t="n">
        <v>102643</v>
      </c>
      <c r="X49" s="17" t="n">
        <v>17.2715138879417</v>
      </c>
      <c r="Y49" s="17" t="n">
        <v>1064</v>
      </c>
      <c r="Z49" s="17" t="n">
        <v>0.608807104275382</v>
      </c>
      <c r="AA49" s="17" t="n">
        <v>6.58</v>
      </c>
      <c r="AB49" s="17" t="n">
        <v>2.48846786023577</v>
      </c>
      <c r="AC49" s="17" t="n">
        <v>0.442822093232003</v>
      </c>
      <c r="AD49" s="17" t="n">
        <v>0</v>
      </c>
      <c r="AE49" s="17" t="n">
        <v>1</v>
      </c>
      <c r="AF49" s="17" t="s">
        <v>354</v>
      </c>
      <c r="AG49" s="17" t="s">
        <v>211</v>
      </c>
      <c r="AH49" s="17" t="n">
        <v>0</v>
      </c>
    </row>
    <row r="50" customFormat="false" ht="15" hidden="false" customHeight="false" outlineLevel="0" collapsed="false">
      <c r="A50" s="17" t="n">
        <v>29744</v>
      </c>
      <c r="B50" s="23" t="n">
        <v>44651</v>
      </c>
      <c r="C50" s="17" t="s">
        <v>137</v>
      </c>
      <c r="D50" s="17" t="s">
        <v>116</v>
      </c>
      <c r="E50" s="17" t="n">
        <v>499707</v>
      </c>
      <c r="F50" s="17" t="n">
        <v>493581.5</v>
      </c>
      <c r="G50" s="17" t="n">
        <v>400905</v>
      </c>
      <c r="H50" s="17" t="n">
        <v>46362</v>
      </c>
      <c r="I50" s="17" t="n">
        <v>9.27783681237205</v>
      </c>
      <c r="J50" s="17" t="n">
        <v>379456</v>
      </c>
      <c r="K50" s="17" t="n">
        <v>378171.5</v>
      </c>
      <c r="L50" s="17" t="n">
        <v>375814</v>
      </c>
      <c r="M50" s="17" t="n">
        <v>345285</v>
      </c>
      <c r="N50" s="17" t="n">
        <v>28459</v>
      </c>
      <c r="O50" s="17" t="n">
        <v>5712</v>
      </c>
      <c r="P50" s="17" t="n">
        <v>795</v>
      </c>
      <c r="Q50" s="17" t="n">
        <v>138</v>
      </c>
      <c r="R50" s="17" t="n">
        <v>0</v>
      </c>
      <c r="S50" s="17" t="n">
        <v>8</v>
      </c>
      <c r="T50" s="17" t="n">
        <v>32</v>
      </c>
      <c r="U50" s="17" t="n">
        <v>0.00846176932952377</v>
      </c>
      <c r="V50" s="17" t="n">
        <v>53699</v>
      </c>
      <c r="W50" s="17" t="n">
        <v>310453</v>
      </c>
      <c r="X50" s="17" t="n">
        <v>17.2969821518877</v>
      </c>
      <c r="Y50" s="17" t="n">
        <v>1576</v>
      </c>
      <c r="Z50" s="17" t="n">
        <v>0.319298839198795</v>
      </c>
      <c r="AA50" s="17" t="n">
        <v>3.25</v>
      </c>
      <c r="AB50" s="17" t="n">
        <v>3.18765437827873</v>
      </c>
      <c r="AC50" s="17" t="n">
        <v>0.959795075054815</v>
      </c>
      <c r="AD50" s="17" t="n">
        <v>0.05</v>
      </c>
      <c r="AE50" s="17" t="n">
        <v>1</v>
      </c>
      <c r="AF50" s="17" t="s">
        <v>361</v>
      </c>
      <c r="AG50" s="17" t="s">
        <v>211</v>
      </c>
      <c r="AH50" s="17" t="n">
        <v>0</v>
      </c>
    </row>
    <row r="51" customFormat="false" ht="15" hidden="false" customHeight="false" outlineLevel="0" collapsed="false">
      <c r="A51" s="17" t="n">
        <v>30350</v>
      </c>
      <c r="B51" s="23" t="n">
        <v>44651</v>
      </c>
      <c r="C51" s="17" t="s">
        <v>154</v>
      </c>
      <c r="D51" s="17" t="s">
        <v>113</v>
      </c>
      <c r="E51" s="17" t="n">
        <v>558084</v>
      </c>
      <c r="F51" s="17" t="n">
        <v>550471.5</v>
      </c>
      <c r="G51" s="17" t="n">
        <v>471489</v>
      </c>
      <c r="H51" s="17" t="n">
        <v>51735</v>
      </c>
      <c r="I51" s="17" t="n">
        <v>9.27010987593266</v>
      </c>
      <c r="J51" s="17" t="n">
        <v>367722</v>
      </c>
      <c r="K51" s="17" t="n">
        <v>366441</v>
      </c>
      <c r="L51" s="17" t="n">
        <v>362415</v>
      </c>
      <c r="M51" s="17" t="n">
        <v>353740</v>
      </c>
      <c r="N51" s="17" t="n">
        <v>11781</v>
      </c>
      <c r="O51" s="17" t="n">
        <v>796</v>
      </c>
      <c r="P51" s="17" t="n">
        <v>2750</v>
      </c>
      <c r="Q51" s="17" t="n">
        <v>1525</v>
      </c>
      <c r="R51" s="17" t="n">
        <v>0</v>
      </c>
      <c r="S51" s="17" t="n">
        <v>-4</v>
      </c>
      <c r="T51" s="17" t="n">
        <v>-16</v>
      </c>
      <c r="U51" s="17" t="n">
        <v>-0.00436632363736591</v>
      </c>
      <c r="V51" s="17" t="n">
        <v>59446</v>
      </c>
      <c r="W51" s="17" t="n">
        <v>275529</v>
      </c>
      <c r="X51" s="17" t="n">
        <v>21.5752243865437</v>
      </c>
      <c r="Y51" s="17" t="n">
        <v>3476</v>
      </c>
      <c r="Z51" s="17" t="n">
        <v>0.631458667705776</v>
      </c>
      <c r="AA51" s="17" t="n">
        <v>6.56</v>
      </c>
      <c r="AB51" s="17" t="n">
        <v>2.64878933304511</v>
      </c>
      <c r="AC51" s="17" t="n">
        <v>1.44320981611108</v>
      </c>
      <c r="AD51" s="17" t="n">
        <v>0</v>
      </c>
      <c r="AE51" s="17" t="n">
        <v>1</v>
      </c>
      <c r="AF51" s="17" t="s">
        <v>361</v>
      </c>
      <c r="AG51" s="17" t="s">
        <v>211</v>
      </c>
      <c r="AH51" s="17" t="n">
        <v>0</v>
      </c>
    </row>
    <row r="52" customFormat="false" ht="15" hidden="false" customHeight="false" outlineLevel="0" collapsed="false">
      <c r="A52" s="17" t="n">
        <v>30878</v>
      </c>
      <c r="B52" s="23" t="n">
        <v>44651</v>
      </c>
      <c r="C52" s="17" t="s">
        <v>110</v>
      </c>
      <c r="D52" s="17" t="s">
        <v>108</v>
      </c>
      <c r="E52" s="17" t="n">
        <v>100633</v>
      </c>
      <c r="F52" s="17" t="n">
        <v>100512.5</v>
      </c>
      <c r="G52" s="17" t="n">
        <v>78705</v>
      </c>
      <c r="H52" s="17" t="n">
        <v>12369</v>
      </c>
      <c r="I52" s="17" t="n">
        <v>12.2911967247324</v>
      </c>
      <c r="J52" s="17" t="n">
        <v>68876</v>
      </c>
      <c r="K52" s="17" t="n">
        <v>68848</v>
      </c>
      <c r="L52" s="17" t="n">
        <v>68091</v>
      </c>
      <c r="M52" s="17" t="n">
        <v>68753</v>
      </c>
      <c r="N52" s="17" t="n">
        <v>0</v>
      </c>
      <c r="O52" s="17" t="n">
        <v>122</v>
      </c>
      <c r="P52" s="17" t="n">
        <v>539</v>
      </c>
      <c r="Q52" s="17" t="n">
        <v>375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176</v>
      </c>
      <c r="Z52" s="17" t="n">
        <v>0.175102599179207</v>
      </c>
      <c r="AA52" s="17" t="n">
        <v>1.41</v>
      </c>
      <c r="AB52" s="17" t="n">
        <v>1.98516265592569</v>
      </c>
      <c r="AC52" s="17" t="n">
        <v>1.1397293687206</v>
      </c>
      <c r="AD52" s="17" t="n">
        <v>0</v>
      </c>
      <c r="AE52" s="17" t="n">
        <v>1</v>
      </c>
      <c r="AF52" s="17" t="s">
        <v>354</v>
      </c>
      <c r="AG52" s="17" t="s">
        <v>232</v>
      </c>
      <c r="AH52" s="17" t="n">
        <v>1</v>
      </c>
    </row>
    <row r="53" customFormat="false" ht="15" hidden="false" customHeight="false" outlineLevel="0" collapsed="false">
      <c r="A53" s="17" t="n">
        <v>33418</v>
      </c>
      <c r="B53" s="23" t="n">
        <v>44651</v>
      </c>
      <c r="C53" s="17" t="s">
        <v>133</v>
      </c>
      <c r="D53" s="17" t="s">
        <v>113</v>
      </c>
      <c r="E53" s="17" t="n">
        <v>757509</v>
      </c>
      <c r="F53" s="17" t="n">
        <v>763127</v>
      </c>
      <c r="G53" s="17" t="n">
        <v>686918</v>
      </c>
      <c r="H53" s="17" t="n">
        <v>49895</v>
      </c>
      <c r="I53" s="17" t="n">
        <v>6.58672042180357</v>
      </c>
      <c r="J53" s="17" t="n">
        <v>358959</v>
      </c>
      <c r="K53" s="17" t="n">
        <v>360820.5</v>
      </c>
      <c r="L53" s="17" t="n">
        <v>351485</v>
      </c>
      <c r="M53" s="17" t="n">
        <v>303204</v>
      </c>
      <c r="N53" s="17" t="n">
        <v>41526</v>
      </c>
      <c r="O53" s="17" t="n">
        <v>14294</v>
      </c>
      <c r="P53" s="17" t="n">
        <v>1659</v>
      </c>
      <c r="Q53" s="17" t="n">
        <v>308</v>
      </c>
      <c r="R53" s="17" t="n">
        <v>0</v>
      </c>
      <c r="S53" s="17" t="n">
        <v>-5</v>
      </c>
      <c r="T53" s="17" t="n">
        <v>-20</v>
      </c>
      <c r="U53" s="17" t="n">
        <v>-0.00554292231178661</v>
      </c>
      <c r="V53" s="17" t="n">
        <v>69059</v>
      </c>
      <c r="W53" s="17" t="n">
        <v>457327</v>
      </c>
      <c r="X53" s="17" t="n">
        <v>15.1005735502168</v>
      </c>
      <c r="Y53" s="17" t="n">
        <v>8300</v>
      </c>
      <c r="Z53" s="17" t="n">
        <v>1.08763023716891</v>
      </c>
      <c r="AA53" s="17" t="n">
        <v>13.83</v>
      </c>
      <c r="AB53" s="17" t="n">
        <v>2.64547208066041</v>
      </c>
      <c r="AC53" s="17" t="n">
        <v>2.08213194264526</v>
      </c>
      <c r="AD53" s="17" t="n">
        <v>0</v>
      </c>
      <c r="AE53" s="17" t="n">
        <v>1</v>
      </c>
      <c r="AF53" s="17" t="s">
        <v>210</v>
      </c>
      <c r="AG53" s="17" t="s">
        <v>211</v>
      </c>
      <c r="AH53" s="17" t="n">
        <v>0</v>
      </c>
    </row>
    <row r="54" customFormat="false" ht="15" hidden="false" customHeight="false" outlineLevel="0" collapsed="false">
      <c r="A54" s="17" t="n">
        <v>59086</v>
      </c>
      <c r="B54" s="23" t="n">
        <v>44651</v>
      </c>
      <c r="C54" s="17" t="s">
        <v>141</v>
      </c>
      <c r="D54" s="17" t="s">
        <v>116</v>
      </c>
      <c r="E54" s="17" t="n">
        <v>702304</v>
      </c>
      <c r="F54" s="17" t="n">
        <v>686541</v>
      </c>
      <c r="G54" s="17" t="n">
        <v>631646</v>
      </c>
      <c r="H54" s="17" t="n">
        <v>66816</v>
      </c>
      <c r="I54" s="17" t="n">
        <v>9.51382876930788</v>
      </c>
      <c r="J54" s="17" t="n">
        <v>518583</v>
      </c>
      <c r="K54" s="17" t="n">
        <v>510319.5</v>
      </c>
      <c r="L54" s="17" t="n">
        <v>512616</v>
      </c>
      <c r="M54" s="17" t="n">
        <v>404171</v>
      </c>
      <c r="N54" s="17" t="n">
        <v>115306</v>
      </c>
      <c r="O54" s="17" t="n">
        <v>0</v>
      </c>
      <c r="P54" s="17" t="n">
        <v>2111</v>
      </c>
      <c r="Q54" s="17" t="n">
        <v>0</v>
      </c>
      <c r="R54" s="17" t="n">
        <v>341</v>
      </c>
      <c r="S54" s="17" t="n">
        <v>0</v>
      </c>
      <c r="T54" s="17" t="n">
        <v>0</v>
      </c>
      <c r="U54" s="17" t="n">
        <v>0</v>
      </c>
      <c r="V54" s="17" t="n">
        <v>72783</v>
      </c>
      <c r="W54" s="17" t="n">
        <v>534850</v>
      </c>
      <c r="X54" s="17" t="n">
        <v>13.608114424605</v>
      </c>
      <c r="Y54" s="17" t="n">
        <v>7752</v>
      </c>
      <c r="Z54" s="17" t="n">
        <v>1.1291386821763</v>
      </c>
      <c r="AA54" s="17" t="n">
        <v>11.87</v>
      </c>
      <c r="AB54" s="17" t="n">
        <v>3.2247228753779</v>
      </c>
      <c r="AC54" s="17" t="n">
        <v>1.1506354816876</v>
      </c>
      <c r="AD54" s="17" t="n">
        <v>0.15</v>
      </c>
      <c r="AE54" s="17" t="n">
        <v>1</v>
      </c>
      <c r="AF54" s="17" t="s">
        <v>231</v>
      </c>
      <c r="AG54" s="17" t="s">
        <v>232</v>
      </c>
      <c r="AH54" s="17" t="n">
        <v>0</v>
      </c>
    </row>
    <row r="55" customFormat="false" ht="15" hidden="false" customHeight="false" outlineLevel="0" collapsed="false">
      <c r="A55" s="17" t="n">
        <v>59176</v>
      </c>
      <c r="B55" s="23" t="n">
        <v>44651</v>
      </c>
      <c r="C55" s="17" t="s">
        <v>151</v>
      </c>
      <c r="D55" s="17" t="s">
        <v>116</v>
      </c>
      <c r="E55" s="17" t="n">
        <v>146747</v>
      </c>
      <c r="F55" s="17" t="n">
        <v>137681</v>
      </c>
      <c r="G55" s="17" t="n">
        <v>124821</v>
      </c>
      <c r="H55" s="17" t="n">
        <v>21476</v>
      </c>
      <c r="I55" s="17" t="n">
        <v>14.6347114421419</v>
      </c>
      <c r="J55" s="17" t="n">
        <v>112552</v>
      </c>
      <c r="K55" s="17" t="n">
        <v>102184.5</v>
      </c>
      <c r="L55" s="17" t="n">
        <v>111596</v>
      </c>
      <c r="M55" s="17" t="n">
        <v>97793</v>
      </c>
      <c r="N55" s="17" t="n">
        <v>14832</v>
      </c>
      <c r="O55" s="17" t="n">
        <v>14</v>
      </c>
      <c r="P55" s="17" t="n">
        <v>42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22432</v>
      </c>
      <c r="W55" s="17" t="n">
        <v>113037</v>
      </c>
      <c r="X55" s="17" t="n">
        <v>19.8448295690792</v>
      </c>
      <c r="Y55" s="17" t="n">
        <v>44</v>
      </c>
      <c r="Z55" s="17" t="n">
        <v>0.0319579317407631</v>
      </c>
      <c r="AA55" s="17" t="n">
        <v>0.23</v>
      </c>
      <c r="AB55" s="17" t="n">
        <v>2.98511873974789</v>
      </c>
      <c r="AC55" s="17" t="n">
        <v>0.849385173075556</v>
      </c>
      <c r="AD55" s="17" t="n">
        <v>0.31</v>
      </c>
      <c r="AE55" s="17" t="n">
        <v>1</v>
      </c>
      <c r="AF55" s="17" t="s">
        <v>231</v>
      </c>
      <c r="AG55" s="17" t="s">
        <v>232</v>
      </c>
      <c r="AH55" s="17" t="n">
        <v>0</v>
      </c>
    </row>
    <row r="56" customFormat="false" ht="15" hidden="false" customHeight="false" outlineLevel="0" collapsed="false">
      <c r="A56" s="17" t="n">
        <v>4255</v>
      </c>
      <c r="B56" s="23" t="n">
        <v>44742</v>
      </c>
      <c r="C56" s="17" t="s">
        <v>126</v>
      </c>
      <c r="D56" s="17" t="s">
        <v>108</v>
      </c>
      <c r="E56" s="17" t="n">
        <v>5454674</v>
      </c>
      <c r="F56" s="17" t="n">
        <v>5447621.66666667</v>
      </c>
      <c r="G56" s="17" t="n">
        <v>4564900</v>
      </c>
      <c r="H56" s="17" t="n">
        <v>460996</v>
      </c>
      <c r="I56" s="17" t="n">
        <v>8.45139416214425</v>
      </c>
      <c r="J56" s="17" t="n">
        <v>3727567</v>
      </c>
      <c r="K56" s="17" t="n">
        <v>3568593</v>
      </c>
      <c r="L56" s="17" t="n">
        <v>3693323</v>
      </c>
      <c r="M56" s="17" t="n">
        <v>3314850</v>
      </c>
      <c r="N56" s="17" t="n">
        <v>338478</v>
      </c>
      <c r="O56" s="17" t="n">
        <v>19646</v>
      </c>
      <c r="P56" s="17" t="n">
        <v>3505</v>
      </c>
      <c r="Q56" s="17" t="n">
        <v>2175</v>
      </c>
      <c r="R56" s="17" t="n">
        <v>0</v>
      </c>
      <c r="S56" s="17" t="n">
        <v>287</v>
      </c>
      <c r="T56" s="17" t="n">
        <v>574</v>
      </c>
      <c r="U56" s="17" t="n">
        <v>0.0160847706645168</v>
      </c>
      <c r="V56" s="17" t="n">
        <v>506550</v>
      </c>
      <c r="W56" s="17" t="n">
        <v>3809240</v>
      </c>
      <c r="X56" s="17" t="n">
        <v>13.2979281956506</v>
      </c>
      <c r="Y56" s="17" t="n">
        <v>66184</v>
      </c>
      <c r="Z56" s="17" t="n">
        <v>1.21491549982209</v>
      </c>
      <c r="AA56" s="17" t="n">
        <v>13.12</v>
      </c>
      <c r="AB56" s="17" t="n">
        <v>2.93442239804111</v>
      </c>
      <c r="AC56" s="17" t="n">
        <v>0.918668933382016</v>
      </c>
      <c r="AD56" s="17" t="n">
        <v>0.05</v>
      </c>
      <c r="AE56" s="17" t="n">
        <v>1</v>
      </c>
      <c r="AF56" s="17" t="s">
        <v>210</v>
      </c>
      <c r="AG56" s="17" t="s">
        <v>211</v>
      </c>
      <c r="AH56" s="17" t="n">
        <v>0</v>
      </c>
    </row>
    <row r="57" customFormat="false" ht="15" hidden="false" customHeight="false" outlineLevel="0" collapsed="false">
      <c r="A57" s="17" t="n">
        <v>4256</v>
      </c>
      <c r="B57" s="23" t="n">
        <v>44742</v>
      </c>
      <c r="C57" s="17" t="s">
        <v>135</v>
      </c>
      <c r="D57" s="17" t="s">
        <v>108</v>
      </c>
      <c r="E57" s="17" t="n">
        <v>2595799</v>
      </c>
      <c r="F57" s="17" t="n">
        <v>2535341.66666667</v>
      </c>
      <c r="G57" s="17" t="n">
        <v>2252978</v>
      </c>
      <c r="H57" s="17" t="n">
        <v>198923</v>
      </c>
      <c r="I57" s="17" t="n">
        <v>7.66326668590288</v>
      </c>
      <c r="J57" s="17" t="n">
        <v>1789044</v>
      </c>
      <c r="K57" s="17" t="n">
        <v>1715092</v>
      </c>
      <c r="L57" s="17" t="n">
        <v>1772843</v>
      </c>
      <c r="M57" s="17" t="n">
        <v>1445139</v>
      </c>
      <c r="N57" s="17" t="n">
        <v>229669</v>
      </c>
      <c r="O57" s="17" t="n">
        <v>21356</v>
      </c>
      <c r="P57" s="17" t="n">
        <v>4812</v>
      </c>
      <c r="Q57" s="17" t="n">
        <v>997</v>
      </c>
      <c r="R57" s="17" t="n">
        <v>76</v>
      </c>
      <c r="S57" s="17" t="n">
        <v>220</v>
      </c>
      <c r="T57" s="17" t="n">
        <v>440</v>
      </c>
      <c r="U57" s="17" t="n">
        <v>0.0256546004529203</v>
      </c>
      <c r="V57" s="17" t="n">
        <v>244510</v>
      </c>
      <c r="W57" s="17" t="n">
        <v>1802624</v>
      </c>
      <c r="X57" s="17" t="n">
        <v>13.5641154228502</v>
      </c>
      <c r="Y57" s="17" t="n">
        <v>40298</v>
      </c>
      <c r="Z57" s="17" t="n">
        <v>1.58945046854303</v>
      </c>
      <c r="AA57" s="17" t="n">
        <v>19.49</v>
      </c>
      <c r="AB57" s="17" t="n">
        <v>3.13072504237486</v>
      </c>
      <c r="AC57" s="17" t="n">
        <v>0.9055674427236</v>
      </c>
      <c r="AD57" s="17" t="n">
        <v>0.07</v>
      </c>
      <c r="AE57" s="17" t="n">
        <v>1</v>
      </c>
      <c r="AF57" s="17" t="s">
        <v>210</v>
      </c>
      <c r="AG57" s="17" t="s">
        <v>211</v>
      </c>
      <c r="AH57" s="17" t="n">
        <v>0</v>
      </c>
    </row>
    <row r="58" customFormat="false" ht="15" hidden="false" customHeight="false" outlineLevel="0" collapsed="false">
      <c r="A58" s="17" t="n">
        <v>6271</v>
      </c>
      <c r="B58" s="23" t="n">
        <v>44742</v>
      </c>
      <c r="C58" s="17" t="s">
        <v>147</v>
      </c>
      <c r="D58" s="17" t="s">
        <v>113</v>
      </c>
      <c r="E58" s="17" t="n">
        <v>998962</v>
      </c>
      <c r="F58" s="17" t="n">
        <v>1007420</v>
      </c>
      <c r="G58" s="17" t="n">
        <v>873100</v>
      </c>
      <c r="H58" s="17" t="n">
        <v>86133</v>
      </c>
      <c r="I58" s="17" t="n">
        <v>8.62224989539142</v>
      </c>
      <c r="J58" s="17" t="n">
        <v>704156</v>
      </c>
      <c r="K58" s="17" t="n">
        <v>697086.333333333</v>
      </c>
      <c r="L58" s="17" t="n">
        <v>695923</v>
      </c>
      <c r="M58" s="17" t="n">
        <v>539059</v>
      </c>
      <c r="N58" s="17" t="n">
        <v>120847</v>
      </c>
      <c r="O58" s="17" t="n">
        <v>3287</v>
      </c>
      <c r="P58" s="17" t="n">
        <v>4860</v>
      </c>
      <c r="Q58" s="17" t="n">
        <v>1806</v>
      </c>
      <c r="R58" s="17" t="n">
        <v>256</v>
      </c>
      <c r="S58" s="17" t="n">
        <v>678</v>
      </c>
      <c r="T58" s="17" t="n">
        <v>1356</v>
      </c>
      <c r="U58" s="17" t="n">
        <v>0.194523968575868</v>
      </c>
      <c r="V58" s="17" t="n">
        <v>98163</v>
      </c>
      <c r="W58" s="17" t="n">
        <v>650777</v>
      </c>
      <c r="X58" s="17" t="n">
        <v>15.083968855691</v>
      </c>
      <c r="Y58" s="17" t="n">
        <v>11560</v>
      </c>
      <c r="Z58" s="17" t="n">
        <v>1.1474856564293</v>
      </c>
      <c r="AA58" s="17" t="n">
        <v>12.71</v>
      </c>
      <c r="AB58" s="17" t="n">
        <v>3.30121090928702</v>
      </c>
      <c r="AC58" s="17" t="n">
        <v>1.16920114292856</v>
      </c>
      <c r="AD58" s="17" t="n">
        <v>0.24</v>
      </c>
      <c r="AE58" s="17" t="n">
        <v>1</v>
      </c>
      <c r="AF58" s="17" t="s">
        <v>210</v>
      </c>
      <c r="AG58" s="17" t="s">
        <v>211</v>
      </c>
      <c r="AH58" s="17" t="n">
        <v>0</v>
      </c>
    </row>
    <row r="59" customFormat="false" ht="15" hidden="false" customHeight="false" outlineLevel="0" collapsed="false">
      <c r="A59" s="17" t="n">
        <v>6275</v>
      </c>
      <c r="B59" s="23" t="n">
        <v>44742</v>
      </c>
      <c r="C59" s="17" t="s">
        <v>165</v>
      </c>
      <c r="D59" s="17" t="s">
        <v>113</v>
      </c>
      <c r="E59" s="17" t="n">
        <v>532831</v>
      </c>
      <c r="F59" s="17" t="n">
        <v>537722.666666667</v>
      </c>
      <c r="G59" s="17" t="n">
        <v>476559</v>
      </c>
      <c r="H59" s="17" t="n">
        <v>27657</v>
      </c>
      <c r="I59" s="17" t="n">
        <v>5.19057637412238</v>
      </c>
      <c r="J59" s="17" t="n">
        <v>291783</v>
      </c>
      <c r="K59" s="17" t="n">
        <v>286628.333333333</v>
      </c>
      <c r="L59" s="17" t="n">
        <v>288962</v>
      </c>
      <c r="M59" s="17" t="n">
        <v>243597</v>
      </c>
      <c r="N59" s="17" t="n">
        <v>24306</v>
      </c>
      <c r="O59" s="17" t="n">
        <v>12786</v>
      </c>
      <c r="P59" s="17" t="n">
        <v>1592</v>
      </c>
      <c r="Q59" s="17" t="n">
        <v>126</v>
      </c>
      <c r="R59" s="17" t="n">
        <v>0</v>
      </c>
      <c r="S59" s="17" t="n">
        <v>-1</v>
      </c>
      <c r="T59" s="17" t="n">
        <v>-2</v>
      </c>
      <c r="U59" s="17" t="n">
        <v>-0.000697767724753892</v>
      </c>
      <c r="V59" s="17" t="n">
        <v>45732</v>
      </c>
      <c r="W59" s="17" t="n">
        <v>281101</v>
      </c>
      <c r="X59" s="17" t="n">
        <v>16.2688855607059</v>
      </c>
      <c r="Y59" s="17" t="n">
        <v>3000</v>
      </c>
      <c r="Z59" s="17" t="n">
        <v>0.557908413754798</v>
      </c>
      <c r="AA59" s="17" t="n">
        <v>8.86</v>
      </c>
      <c r="AB59" s="17" t="n">
        <v>2.63578513235654</v>
      </c>
      <c r="AC59" s="17" t="n">
        <v>0.966814379179047</v>
      </c>
      <c r="AD59" s="17" t="n">
        <v>-0.11</v>
      </c>
      <c r="AE59" s="17" t="n">
        <v>1</v>
      </c>
      <c r="AF59" s="17" t="s">
        <v>210</v>
      </c>
      <c r="AG59" s="17" t="s">
        <v>211</v>
      </c>
      <c r="AH59" s="17" t="n">
        <v>0</v>
      </c>
    </row>
    <row r="60" customFormat="false" ht="15" hidden="false" customHeight="false" outlineLevel="0" collapsed="false">
      <c r="A60" s="17" t="n">
        <v>6280</v>
      </c>
      <c r="B60" s="23" t="n">
        <v>44742</v>
      </c>
      <c r="C60" s="17" t="s">
        <v>138</v>
      </c>
      <c r="D60" s="17" t="s">
        <v>113</v>
      </c>
      <c r="E60" s="17" t="n">
        <v>86239</v>
      </c>
      <c r="F60" s="17" t="n">
        <v>85195</v>
      </c>
      <c r="G60" s="17" t="n">
        <v>77591</v>
      </c>
      <c r="H60" s="17" t="n">
        <v>8210</v>
      </c>
      <c r="I60" s="17" t="n">
        <v>9.52005473161795</v>
      </c>
      <c r="J60" s="17" t="n">
        <v>62135</v>
      </c>
      <c r="K60" s="17" t="n">
        <v>61708.3333333333</v>
      </c>
      <c r="L60" s="17" t="n">
        <v>61308</v>
      </c>
      <c r="M60" s="17" t="n">
        <v>53194</v>
      </c>
      <c r="N60" s="17" t="n">
        <v>3382</v>
      </c>
      <c r="O60" s="17" t="n">
        <v>2008</v>
      </c>
      <c r="P60" s="17" t="n">
        <v>755</v>
      </c>
      <c r="Q60" s="17" t="n">
        <v>120</v>
      </c>
      <c r="R60" s="17" t="n">
        <v>0</v>
      </c>
      <c r="S60" s="17" t="n">
        <v>-2</v>
      </c>
      <c r="T60" s="17" t="n">
        <v>-4</v>
      </c>
      <c r="U60" s="17" t="n">
        <v>-0.00648210668467252</v>
      </c>
      <c r="V60" s="17" t="n">
        <v>0</v>
      </c>
      <c r="W60" s="17" t="n">
        <v>0</v>
      </c>
      <c r="X60" s="17" t="n">
        <v>0</v>
      </c>
      <c r="Y60" s="17" t="n">
        <v>1160</v>
      </c>
      <c r="Z60" s="17" t="n">
        <v>1.36158225247961</v>
      </c>
      <c r="AA60" s="17" t="n">
        <v>14.37</v>
      </c>
      <c r="AB60" s="17" t="n">
        <v>3.96841017566304</v>
      </c>
      <c r="AC60" s="17" t="n">
        <v>1.33097288162871</v>
      </c>
      <c r="AD60" s="17" t="n">
        <v>0.03</v>
      </c>
      <c r="AE60" s="17" t="n">
        <v>1</v>
      </c>
      <c r="AF60" s="17" t="s">
        <v>210</v>
      </c>
      <c r="AG60" s="17" t="s">
        <v>211</v>
      </c>
      <c r="AH60" s="17" t="n">
        <v>0</v>
      </c>
    </row>
    <row r="61" customFormat="false" ht="15" hidden="false" customHeight="false" outlineLevel="0" collapsed="false">
      <c r="A61" s="17" t="n">
        <v>11971</v>
      </c>
      <c r="B61" s="23" t="n">
        <v>44742</v>
      </c>
      <c r="C61" s="17" t="s">
        <v>134</v>
      </c>
      <c r="D61" s="17" t="s">
        <v>108</v>
      </c>
      <c r="E61" s="17" t="n">
        <v>3712836</v>
      </c>
      <c r="F61" s="17" t="n">
        <v>3702805.33333333</v>
      </c>
      <c r="G61" s="17" t="n">
        <v>3085621</v>
      </c>
      <c r="H61" s="17" t="n">
        <v>448597</v>
      </c>
      <c r="I61" s="17" t="n">
        <v>12.0823273637726</v>
      </c>
      <c r="J61" s="17" t="n">
        <v>2730813</v>
      </c>
      <c r="K61" s="17" t="n">
        <v>2641884.33333333</v>
      </c>
      <c r="L61" s="17" t="n">
        <v>2707057</v>
      </c>
      <c r="M61" s="17" t="n">
        <v>2376853</v>
      </c>
      <c r="N61" s="17" t="n">
        <v>204215</v>
      </c>
      <c r="O61" s="17" t="n">
        <v>8150</v>
      </c>
      <c r="P61" s="17" t="n">
        <v>7878</v>
      </c>
      <c r="Q61" s="17" t="n">
        <v>1169</v>
      </c>
      <c r="R61" s="17" t="n">
        <v>719</v>
      </c>
      <c r="S61" s="17" t="n">
        <v>-127</v>
      </c>
      <c r="T61" s="17" t="n">
        <v>-254</v>
      </c>
      <c r="U61" s="17" t="n">
        <v>-0.00961434975767927</v>
      </c>
      <c r="V61" s="17" t="n">
        <v>389279</v>
      </c>
      <c r="W61" s="17" t="n">
        <v>2868821</v>
      </c>
      <c r="X61" s="17" t="n">
        <v>13.5693025113801</v>
      </c>
      <c r="Y61" s="17" t="n">
        <v>43086</v>
      </c>
      <c r="Z61" s="17" t="n">
        <v>1.16360424384539</v>
      </c>
      <c r="AA61" s="17" t="n">
        <v>9.3</v>
      </c>
      <c r="AB61" s="17" t="n">
        <v>3.14301219513662</v>
      </c>
      <c r="AC61" s="17" t="n">
        <v>0.869924084878752</v>
      </c>
      <c r="AD61" s="17" t="n">
        <v>0.07</v>
      </c>
      <c r="AE61" s="17" t="n">
        <v>1</v>
      </c>
      <c r="AF61" s="17" t="s">
        <v>231</v>
      </c>
      <c r="AG61" s="17" t="s">
        <v>232</v>
      </c>
      <c r="AH61" s="17" t="n">
        <v>0</v>
      </c>
    </row>
    <row r="62" customFormat="false" ht="15" hidden="false" customHeight="false" outlineLevel="0" collapsed="false">
      <c r="A62" s="17" t="n">
        <v>12874</v>
      </c>
      <c r="B62" s="23" t="n">
        <v>44742</v>
      </c>
      <c r="C62" s="17" t="s">
        <v>159</v>
      </c>
      <c r="D62" s="17" t="s">
        <v>108</v>
      </c>
      <c r="E62" s="17" t="n">
        <v>964224</v>
      </c>
      <c r="F62" s="17" t="n">
        <v>956086.333333333</v>
      </c>
      <c r="G62" s="17" t="n">
        <v>854371</v>
      </c>
      <c r="H62" s="17" t="n">
        <v>94455</v>
      </c>
      <c r="I62" s="17" t="n">
        <v>9.79596027479092</v>
      </c>
      <c r="J62" s="17" t="n">
        <v>738684</v>
      </c>
      <c r="K62" s="17" t="n">
        <v>733997.666666667</v>
      </c>
      <c r="L62" s="17" t="n">
        <v>730867</v>
      </c>
      <c r="M62" s="17" t="n">
        <v>583137</v>
      </c>
      <c r="N62" s="17" t="n">
        <v>135529</v>
      </c>
      <c r="O62" s="17" t="n">
        <v>5199</v>
      </c>
      <c r="P62" s="17" t="n">
        <v>891</v>
      </c>
      <c r="Q62" s="17" t="n">
        <v>242</v>
      </c>
      <c r="R62" s="17" t="n">
        <v>42</v>
      </c>
      <c r="S62" s="17" t="n">
        <v>-13</v>
      </c>
      <c r="T62" s="17" t="n">
        <v>-26</v>
      </c>
      <c r="U62" s="17" t="n">
        <v>-0.00354224559296964</v>
      </c>
      <c r="V62" s="17" t="n">
        <v>107168</v>
      </c>
      <c r="W62" s="17" t="n">
        <v>700807</v>
      </c>
      <c r="X62" s="17" t="n">
        <v>15.2920846966426</v>
      </c>
      <c r="Y62" s="17" t="n">
        <v>8660</v>
      </c>
      <c r="Z62" s="17" t="n">
        <v>0.905775942828036</v>
      </c>
      <c r="AA62" s="17" t="n">
        <v>8.85</v>
      </c>
      <c r="AB62" s="17" t="n">
        <v>3.50029411107719</v>
      </c>
      <c r="AC62" s="17" t="n">
        <v>1.05823329055455</v>
      </c>
      <c r="AD62" s="17" t="n">
        <v>0</v>
      </c>
      <c r="AE62" s="17" t="n">
        <v>1</v>
      </c>
      <c r="AF62" s="17" t="s">
        <v>231</v>
      </c>
      <c r="AG62" s="17" t="s">
        <v>232</v>
      </c>
      <c r="AH62" s="17" t="n">
        <v>0</v>
      </c>
    </row>
    <row r="63" customFormat="false" ht="15" hidden="false" customHeight="false" outlineLevel="0" collapsed="false">
      <c r="A63" s="17" t="n">
        <v>13063</v>
      </c>
      <c r="B63" s="23" t="n">
        <v>44742</v>
      </c>
      <c r="C63" s="17" t="s">
        <v>139</v>
      </c>
      <c r="D63" s="17" t="s">
        <v>108</v>
      </c>
      <c r="E63" s="17" t="n">
        <v>1796670</v>
      </c>
      <c r="F63" s="17" t="n">
        <v>1802384.33333333</v>
      </c>
      <c r="G63" s="17" t="n">
        <v>1641103</v>
      </c>
      <c r="H63" s="17" t="n">
        <v>138141</v>
      </c>
      <c r="I63" s="17" t="n">
        <v>7.68872413965837</v>
      </c>
      <c r="J63" s="17" t="n">
        <v>1263224</v>
      </c>
      <c r="K63" s="17" t="n">
        <v>1225971.33333333</v>
      </c>
      <c r="L63" s="17" t="n">
        <v>1248323</v>
      </c>
      <c r="M63" s="17" t="n">
        <v>1203684</v>
      </c>
      <c r="N63" s="17" t="n">
        <v>51462</v>
      </c>
      <c r="O63" s="17" t="n">
        <v>893</v>
      </c>
      <c r="P63" s="17" t="n">
        <v>499</v>
      </c>
      <c r="Q63" s="17" t="n">
        <v>1</v>
      </c>
      <c r="R63" s="17" t="n">
        <v>967</v>
      </c>
      <c r="S63" s="17" t="n">
        <v>-5</v>
      </c>
      <c r="T63" s="17" t="n">
        <v>-10</v>
      </c>
      <c r="U63" s="17" t="n">
        <v>-0.000815679757601728</v>
      </c>
      <c r="V63" s="17" t="n">
        <v>0</v>
      </c>
      <c r="W63" s="17" t="n">
        <v>0</v>
      </c>
      <c r="X63" s="17" t="n">
        <v>0</v>
      </c>
      <c r="Y63" s="17" t="n">
        <v>10632</v>
      </c>
      <c r="Z63" s="17" t="n">
        <v>0.589885287137242</v>
      </c>
      <c r="AA63" s="17" t="n">
        <v>7.06</v>
      </c>
      <c r="AB63" s="17" t="n">
        <v>3.34802863649218</v>
      </c>
      <c r="AC63" s="17" t="n">
        <v>1.17960076755983</v>
      </c>
      <c r="AD63" s="17" t="n">
        <v>0</v>
      </c>
      <c r="AE63" s="17" t="n">
        <v>1</v>
      </c>
      <c r="AF63" s="17" t="s">
        <v>241</v>
      </c>
      <c r="AG63" s="17" t="s">
        <v>232</v>
      </c>
      <c r="AH63" s="17" t="n">
        <v>0</v>
      </c>
    </row>
    <row r="64" customFormat="false" ht="15" hidden="false" customHeight="false" outlineLevel="0" collapsed="false">
      <c r="A64" s="17" t="n">
        <v>14134</v>
      </c>
      <c r="B64" s="23" t="n">
        <v>44742</v>
      </c>
      <c r="C64" s="17" t="s">
        <v>155</v>
      </c>
      <c r="D64" s="17" t="s">
        <v>113</v>
      </c>
      <c r="E64" s="17" t="n">
        <v>842061</v>
      </c>
      <c r="F64" s="17" t="n">
        <v>863879.666666667</v>
      </c>
      <c r="G64" s="17" t="n">
        <v>714430</v>
      </c>
      <c r="H64" s="17" t="n">
        <v>95205</v>
      </c>
      <c r="I64" s="17" t="n">
        <v>11.3061880315084</v>
      </c>
      <c r="J64" s="17" t="n">
        <v>618484</v>
      </c>
      <c r="K64" s="17" t="n">
        <v>602256.333333333</v>
      </c>
      <c r="L64" s="17" t="n">
        <v>610177</v>
      </c>
      <c r="M64" s="17" t="n">
        <v>541392</v>
      </c>
      <c r="N64" s="17" t="n">
        <v>33956</v>
      </c>
      <c r="O64" s="17" t="n">
        <v>24559</v>
      </c>
      <c r="P64" s="17" t="n">
        <v>8858</v>
      </c>
      <c r="Q64" s="17" t="n">
        <v>3228</v>
      </c>
      <c r="R64" s="17" t="n">
        <v>0</v>
      </c>
      <c r="S64" s="17" t="n">
        <v>295</v>
      </c>
      <c r="T64" s="17" t="n">
        <v>590</v>
      </c>
      <c r="U64" s="17" t="n">
        <v>0.0979649307686815</v>
      </c>
      <c r="V64" s="17" t="n">
        <v>96666</v>
      </c>
      <c r="W64" s="17" t="n">
        <v>556029</v>
      </c>
      <c r="X64" s="17" t="n">
        <v>17.3850644480774</v>
      </c>
      <c r="Y64" s="17" t="n">
        <v>-7850</v>
      </c>
      <c r="Z64" s="17" t="n">
        <v>-0.908691372525263</v>
      </c>
      <c r="AA64" s="17" t="n">
        <v>-7.73</v>
      </c>
      <c r="AB64" s="17" t="n">
        <v>2.90948799338998</v>
      </c>
      <c r="AC64" s="17" t="n">
        <v>1.34312286170701</v>
      </c>
      <c r="AD64" s="17" t="n">
        <v>0.1</v>
      </c>
      <c r="AE64" s="17" t="n">
        <v>1</v>
      </c>
      <c r="AF64" s="17" t="s">
        <v>241</v>
      </c>
      <c r="AG64" s="17" t="s">
        <v>232</v>
      </c>
      <c r="AH64" s="17" t="n">
        <v>0</v>
      </c>
    </row>
    <row r="65" customFormat="false" ht="15" hidden="false" customHeight="false" outlineLevel="0" collapsed="false">
      <c r="A65" s="17" t="n">
        <v>14136</v>
      </c>
      <c r="B65" s="23" t="n">
        <v>44742</v>
      </c>
      <c r="C65" s="17" t="s">
        <v>153</v>
      </c>
      <c r="D65" s="17" t="s">
        <v>113</v>
      </c>
      <c r="E65" s="17" t="n">
        <v>222750</v>
      </c>
      <c r="F65" s="17" t="n">
        <v>222584.333333333</v>
      </c>
      <c r="G65" s="17" t="n">
        <v>202215</v>
      </c>
      <c r="H65" s="17" t="n">
        <v>16002</v>
      </c>
      <c r="I65" s="17" t="n">
        <v>7.18383838383838</v>
      </c>
      <c r="J65" s="17" t="n">
        <v>128959</v>
      </c>
      <c r="K65" s="17" t="n">
        <v>123364</v>
      </c>
      <c r="L65" s="17" t="n">
        <v>127571</v>
      </c>
      <c r="M65" s="17" t="n">
        <v>102631</v>
      </c>
      <c r="N65" s="17" t="n">
        <v>13764</v>
      </c>
      <c r="O65" s="17" t="n">
        <v>12183</v>
      </c>
      <c r="P65" s="17" t="n">
        <v>126</v>
      </c>
      <c r="Q65" s="17" t="n">
        <v>887</v>
      </c>
      <c r="R65" s="17" t="n">
        <v>717</v>
      </c>
      <c r="S65" s="17" t="n">
        <v>13</v>
      </c>
      <c r="T65" s="17" t="n">
        <v>26</v>
      </c>
      <c r="U65" s="17" t="n">
        <v>0.0210758406017963</v>
      </c>
      <c r="V65" s="17" t="n">
        <v>24014</v>
      </c>
      <c r="W65" s="17" t="n">
        <v>143077</v>
      </c>
      <c r="X65" s="17" t="n">
        <v>16.7839694709842</v>
      </c>
      <c r="Y65" s="17" t="n">
        <v>694</v>
      </c>
      <c r="Z65" s="17" t="n">
        <v>0.311791935041849</v>
      </c>
      <c r="AA65" s="17" t="n">
        <v>3.62</v>
      </c>
      <c r="AB65" s="17" t="n">
        <v>3.47918730744697</v>
      </c>
      <c r="AC65" s="17" t="n">
        <v>1.07631107561318</v>
      </c>
      <c r="AD65" s="17" t="n">
        <v>0.04</v>
      </c>
      <c r="AE65" s="17" t="n">
        <v>1</v>
      </c>
      <c r="AF65" s="17" t="s">
        <v>241</v>
      </c>
      <c r="AG65" s="17" t="s">
        <v>232</v>
      </c>
      <c r="AH65" s="17" t="n">
        <v>1</v>
      </c>
    </row>
    <row r="66" customFormat="false" ht="15" hidden="false" customHeight="false" outlineLevel="0" collapsed="false">
      <c r="A66" s="17" t="n">
        <v>14140</v>
      </c>
      <c r="B66" s="23" t="n">
        <v>44742</v>
      </c>
      <c r="C66" s="17" t="s">
        <v>120</v>
      </c>
      <c r="D66" s="17" t="s">
        <v>113</v>
      </c>
      <c r="E66" s="17" t="n">
        <v>1436600</v>
      </c>
      <c r="F66" s="17" t="n">
        <v>1417660.33333333</v>
      </c>
      <c r="G66" s="17" t="n">
        <v>1234672</v>
      </c>
      <c r="H66" s="17" t="n">
        <v>117324</v>
      </c>
      <c r="I66" s="17" t="n">
        <v>8.16678268133092</v>
      </c>
      <c r="J66" s="17" t="n">
        <v>965914</v>
      </c>
      <c r="K66" s="17" t="n">
        <v>947528.666666667</v>
      </c>
      <c r="L66" s="17" t="n">
        <v>955320</v>
      </c>
      <c r="M66" s="17" t="n">
        <v>868077</v>
      </c>
      <c r="N66" s="17" t="n">
        <v>88677</v>
      </c>
      <c r="O66" s="17" t="n">
        <v>1269</v>
      </c>
      <c r="P66" s="17" t="n">
        <v>2695</v>
      </c>
      <c r="Q66" s="17" t="n">
        <v>499</v>
      </c>
      <c r="R66" s="17" t="n">
        <v>0</v>
      </c>
      <c r="S66" s="17" t="n">
        <v>26</v>
      </c>
      <c r="T66" s="17" t="n">
        <v>52</v>
      </c>
      <c r="U66" s="17" t="n">
        <v>0.00548796061051451</v>
      </c>
      <c r="V66" s="17" t="n">
        <v>0</v>
      </c>
      <c r="W66" s="17" t="n">
        <v>0</v>
      </c>
      <c r="X66" s="17" t="n">
        <v>0</v>
      </c>
      <c r="Y66" s="17" t="n">
        <v>10032</v>
      </c>
      <c r="Z66" s="17" t="n">
        <v>0.707644826064353</v>
      </c>
      <c r="AA66" s="17" t="n">
        <v>7.9</v>
      </c>
      <c r="AB66" s="17" t="n">
        <v>3.03639975122093</v>
      </c>
      <c r="AC66" s="17" t="n">
        <v>1.09678501398675</v>
      </c>
      <c r="AD66" s="17" t="n">
        <v>0</v>
      </c>
      <c r="AE66" s="17" t="n">
        <v>1</v>
      </c>
      <c r="AF66" s="17" t="s">
        <v>241</v>
      </c>
      <c r="AG66" s="17" t="s">
        <v>232</v>
      </c>
      <c r="AH66" s="17" t="n">
        <v>0</v>
      </c>
    </row>
    <row r="67" customFormat="false" ht="15" hidden="false" customHeight="false" outlineLevel="0" collapsed="false">
      <c r="A67" s="17" t="n">
        <v>14158</v>
      </c>
      <c r="B67" s="23" t="n">
        <v>44742</v>
      </c>
      <c r="C67" s="17" t="s">
        <v>112</v>
      </c>
      <c r="D67" s="17" t="s">
        <v>113</v>
      </c>
      <c r="E67" s="17" t="n">
        <v>1191062</v>
      </c>
      <c r="F67" s="17" t="n">
        <v>1209436.66666667</v>
      </c>
      <c r="G67" s="17" t="n">
        <v>1105727</v>
      </c>
      <c r="H67" s="17" t="n">
        <v>75600</v>
      </c>
      <c r="I67" s="17" t="n">
        <v>6.34727663211487</v>
      </c>
      <c r="J67" s="17" t="n">
        <v>822966</v>
      </c>
      <c r="K67" s="17" t="n">
        <v>818504</v>
      </c>
      <c r="L67" s="17" t="n">
        <v>814626</v>
      </c>
      <c r="M67" s="17" t="n">
        <v>751338</v>
      </c>
      <c r="N67" s="17" t="n">
        <v>44278</v>
      </c>
      <c r="O67" s="17" t="n">
        <v>2085</v>
      </c>
      <c r="P67" s="17" t="n">
        <v>1416</v>
      </c>
      <c r="Q67" s="17" t="n">
        <v>849</v>
      </c>
      <c r="R67" s="17" t="n">
        <v>109</v>
      </c>
      <c r="S67" s="17" t="n">
        <v>-4</v>
      </c>
      <c r="T67" s="17" t="n">
        <v>-8</v>
      </c>
      <c r="U67" s="17" t="n">
        <v>-0.000977392902172744</v>
      </c>
      <c r="V67" s="17" t="n">
        <v>110114</v>
      </c>
      <c r="W67" s="17" t="n">
        <v>771055</v>
      </c>
      <c r="X67" s="17" t="n">
        <v>14.280952720623</v>
      </c>
      <c r="Y67" s="17" t="n">
        <v>11678</v>
      </c>
      <c r="Z67" s="17" t="n">
        <v>0.965573503917802</v>
      </c>
      <c r="AA67" s="17" t="n">
        <v>13.45</v>
      </c>
      <c r="AB67" s="17" t="n">
        <v>3.35441193767321</v>
      </c>
      <c r="AC67" s="17" t="n">
        <v>1.01340760128608</v>
      </c>
      <c r="AD67" s="17" t="n">
        <v>0</v>
      </c>
      <c r="AE67" s="17" t="n">
        <v>1</v>
      </c>
      <c r="AF67" s="17" t="s">
        <v>231</v>
      </c>
      <c r="AG67" s="17" t="s">
        <v>232</v>
      </c>
      <c r="AH67" s="17" t="n">
        <v>0</v>
      </c>
    </row>
    <row r="68" customFormat="false" ht="15" hidden="false" customHeight="false" outlineLevel="0" collapsed="false">
      <c r="A68" s="17" t="n">
        <v>14168</v>
      </c>
      <c r="B68" s="23" t="n">
        <v>44742</v>
      </c>
      <c r="C68" s="17" t="s">
        <v>162</v>
      </c>
      <c r="D68" s="17" t="s">
        <v>113</v>
      </c>
      <c r="E68" s="17" t="n">
        <v>366581</v>
      </c>
      <c r="F68" s="17" t="n">
        <v>377493</v>
      </c>
      <c r="G68" s="17" t="n">
        <v>329789</v>
      </c>
      <c r="H68" s="17" t="n">
        <v>32327</v>
      </c>
      <c r="I68" s="17" t="n">
        <v>8.81851487120173</v>
      </c>
      <c r="J68" s="17" t="n">
        <v>200834</v>
      </c>
      <c r="K68" s="17" t="n">
        <v>191342.666666667</v>
      </c>
      <c r="L68" s="17" t="n">
        <v>197927</v>
      </c>
      <c r="M68" s="17" t="n">
        <v>167425</v>
      </c>
      <c r="N68" s="17" t="n">
        <v>11194</v>
      </c>
      <c r="O68" s="17" t="n">
        <v>8894</v>
      </c>
      <c r="P68" s="17" t="n">
        <v>1103</v>
      </c>
      <c r="Q68" s="17" t="n">
        <v>467</v>
      </c>
      <c r="R68" s="17" t="n">
        <v>0</v>
      </c>
      <c r="S68" s="17" t="n">
        <v>57</v>
      </c>
      <c r="T68" s="17" t="n">
        <v>114</v>
      </c>
      <c r="U68" s="17" t="n">
        <v>0.0595789752416258</v>
      </c>
      <c r="V68" s="17" t="n">
        <v>39117</v>
      </c>
      <c r="W68" s="17" t="n">
        <v>209786</v>
      </c>
      <c r="X68" s="17" t="n">
        <v>18.6461441659596</v>
      </c>
      <c r="Y68" s="17" t="n">
        <v>1182</v>
      </c>
      <c r="Z68" s="17" t="n">
        <v>0.313118388950259</v>
      </c>
      <c r="AA68" s="17" t="n">
        <v>3.41</v>
      </c>
      <c r="AB68" s="17" t="n">
        <v>2.67035333231684</v>
      </c>
      <c r="AC68" s="17" t="n">
        <v>1.44746407480805</v>
      </c>
      <c r="AD68" s="17" t="n">
        <v>0</v>
      </c>
      <c r="AE68" s="17" t="n">
        <v>1</v>
      </c>
      <c r="AF68" s="17" t="s">
        <v>231</v>
      </c>
      <c r="AG68" s="17" t="s">
        <v>232</v>
      </c>
      <c r="AH68" s="17" t="n">
        <v>0</v>
      </c>
    </row>
    <row r="69" customFormat="false" ht="15" hidden="false" customHeight="false" outlineLevel="0" collapsed="false">
      <c r="A69" s="17" t="n">
        <v>14240</v>
      </c>
      <c r="B69" s="23" t="n">
        <v>44742</v>
      </c>
      <c r="C69" s="17" t="s">
        <v>195</v>
      </c>
      <c r="D69" s="17" t="s">
        <v>116</v>
      </c>
      <c r="E69" s="17" t="n">
        <v>1238699</v>
      </c>
      <c r="F69" s="17" t="n">
        <v>1234154.33333333</v>
      </c>
      <c r="G69" s="17" t="n">
        <v>1039863</v>
      </c>
      <c r="H69" s="17" t="n">
        <v>89585</v>
      </c>
      <c r="I69" s="17" t="n">
        <v>7.23218473575905</v>
      </c>
      <c r="J69" s="17" t="n">
        <v>863984</v>
      </c>
      <c r="K69" s="17" t="n">
        <v>828635</v>
      </c>
      <c r="L69" s="17" t="n">
        <v>854140</v>
      </c>
      <c r="M69" s="17" t="n">
        <v>739584</v>
      </c>
      <c r="N69" s="17" t="n">
        <v>24677</v>
      </c>
      <c r="O69" s="17" t="n">
        <v>17572</v>
      </c>
      <c r="P69" s="17" t="n">
        <v>1924</v>
      </c>
      <c r="Q69" s="17" t="n">
        <v>733</v>
      </c>
      <c r="R69" s="17" t="n">
        <v>0</v>
      </c>
      <c r="S69" s="17" t="n">
        <v>-78</v>
      </c>
      <c r="T69" s="17" t="n">
        <v>-156</v>
      </c>
      <c r="U69" s="17" t="n">
        <v>-0.0188261417873974</v>
      </c>
      <c r="V69" s="17" t="n">
        <v>118062</v>
      </c>
      <c r="W69" s="17" t="n">
        <v>811159</v>
      </c>
      <c r="X69" s="17" t="n">
        <v>14.5547297139032</v>
      </c>
      <c r="Y69" s="17" t="n">
        <v>-570</v>
      </c>
      <c r="Z69" s="17" t="n">
        <v>-0.0461854716711551</v>
      </c>
      <c r="AA69" s="17" t="n">
        <v>-0.55</v>
      </c>
      <c r="AB69" s="17" t="n">
        <v>2.91049898615787</v>
      </c>
      <c r="AC69" s="17" t="n">
        <v>1.13937295135095</v>
      </c>
      <c r="AD69" s="17" t="n">
        <v>0.05</v>
      </c>
      <c r="AE69" s="17" t="n">
        <v>0</v>
      </c>
      <c r="AF69" s="17" t="s">
        <v>231</v>
      </c>
      <c r="AG69" s="17" t="s">
        <v>232</v>
      </c>
      <c r="AH69" s="17" t="n">
        <v>0</v>
      </c>
    </row>
    <row r="70" customFormat="false" ht="15" hidden="false" customHeight="false" outlineLevel="0" collapsed="false">
      <c r="A70" s="17" t="n">
        <v>17115</v>
      </c>
      <c r="B70" s="23" t="n">
        <v>44742</v>
      </c>
      <c r="C70" s="17" t="s">
        <v>143</v>
      </c>
      <c r="D70" s="17" t="s">
        <v>108</v>
      </c>
      <c r="E70" s="17" t="n">
        <v>914201</v>
      </c>
      <c r="F70" s="17" t="n">
        <v>864390.333333333</v>
      </c>
      <c r="G70" s="17" t="n">
        <v>774623</v>
      </c>
      <c r="H70" s="17" t="n">
        <v>77851</v>
      </c>
      <c r="I70" s="17" t="n">
        <v>8.51574216173467</v>
      </c>
      <c r="J70" s="17" t="n">
        <v>737353</v>
      </c>
      <c r="K70" s="17" t="n">
        <v>676604.666666667</v>
      </c>
      <c r="L70" s="17" t="n">
        <v>729767</v>
      </c>
      <c r="M70" s="17" t="n">
        <v>687325</v>
      </c>
      <c r="N70" s="17" t="n">
        <v>45258</v>
      </c>
      <c r="O70" s="17" t="n">
        <v>3773</v>
      </c>
      <c r="P70" s="17" t="n">
        <v>157</v>
      </c>
      <c r="Q70" s="17" t="n">
        <v>394</v>
      </c>
      <c r="R70" s="17" t="n">
        <v>0</v>
      </c>
      <c r="S70" s="17" t="n">
        <v>196</v>
      </c>
      <c r="T70" s="17" t="n">
        <v>392</v>
      </c>
      <c r="U70" s="17" t="n">
        <v>0.0579363429358552</v>
      </c>
      <c r="V70" s="17" t="n">
        <v>97538</v>
      </c>
      <c r="W70" s="17" t="n">
        <v>664350</v>
      </c>
      <c r="X70" s="17" t="n">
        <v>14.6817189734327</v>
      </c>
      <c r="Y70" s="17" t="n">
        <v>3572</v>
      </c>
      <c r="Z70" s="17" t="n">
        <v>0.413239234898123</v>
      </c>
      <c r="AA70" s="17" t="n">
        <v>4.33</v>
      </c>
      <c r="AB70" s="17" t="n">
        <v>3.53120065215428</v>
      </c>
      <c r="AC70" s="17" t="n">
        <v>1.02881523503668</v>
      </c>
      <c r="AD70" s="17" t="n">
        <v>-0.07</v>
      </c>
      <c r="AE70" s="17" t="n">
        <v>1</v>
      </c>
      <c r="AF70" s="17" t="s">
        <v>241</v>
      </c>
      <c r="AG70" s="17" t="s">
        <v>232</v>
      </c>
      <c r="AH70" s="17" t="n">
        <v>0</v>
      </c>
    </row>
    <row r="71" customFormat="false" ht="15" hidden="false" customHeight="false" outlineLevel="0" collapsed="false">
      <c r="A71" s="17" t="n">
        <v>17180</v>
      </c>
      <c r="B71" s="23" t="n">
        <v>44742</v>
      </c>
      <c r="C71" s="17" t="s">
        <v>127</v>
      </c>
      <c r="D71" s="17" t="s">
        <v>116</v>
      </c>
      <c r="E71" s="17" t="n">
        <v>1369843</v>
      </c>
      <c r="F71" s="17" t="n">
        <v>1316283.66666667</v>
      </c>
      <c r="G71" s="17" t="n">
        <v>1167333</v>
      </c>
      <c r="H71" s="17" t="n">
        <v>125334</v>
      </c>
      <c r="I71" s="17" t="n">
        <v>9.149515674424</v>
      </c>
      <c r="J71" s="17" t="n">
        <v>1219641</v>
      </c>
      <c r="K71" s="17" t="n">
        <v>1164649.66666667</v>
      </c>
      <c r="L71" s="17" t="n">
        <v>1208418</v>
      </c>
      <c r="M71" s="17" t="n">
        <v>984334</v>
      </c>
      <c r="N71" s="17" t="n">
        <v>44037</v>
      </c>
      <c r="O71" s="17" t="n">
        <v>170718</v>
      </c>
      <c r="P71" s="17" t="n">
        <v>5496</v>
      </c>
      <c r="Q71" s="17" t="n">
        <v>692</v>
      </c>
      <c r="R71" s="17" t="n">
        <v>0</v>
      </c>
      <c r="S71" s="17" t="n">
        <v>88</v>
      </c>
      <c r="T71" s="17" t="n">
        <v>176</v>
      </c>
      <c r="U71" s="17" t="n">
        <v>0.0151118404991029</v>
      </c>
      <c r="V71" s="17" t="n">
        <v>145954</v>
      </c>
      <c r="W71" s="17" t="n">
        <v>990289</v>
      </c>
      <c r="X71" s="17" t="n">
        <v>14.7385258242796</v>
      </c>
      <c r="Y71" s="17" t="n">
        <v>9892</v>
      </c>
      <c r="Z71" s="17" t="n">
        <v>0.751509742960674</v>
      </c>
      <c r="AA71" s="17" t="n">
        <v>7.8</v>
      </c>
      <c r="AB71" s="17" t="n">
        <v>3.58021996580859</v>
      </c>
      <c r="AC71" s="17" t="n">
        <v>0.920188809657924</v>
      </c>
      <c r="AD71" s="17" t="n">
        <v>0.03</v>
      </c>
      <c r="AE71" s="17" t="n">
        <v>1</v>
      </c>
      <c r="AF71" s="17" t="s">
        <v>241</v>
      </c>
      <c r="AG71" s="17" t="s">
        <v>232</v>
      </c>
      <c r="AH71" s="17" t="n">
        <v>0</v>
      </c>
    </row>
    <row r="72" customFormat="false" ht="15" hidden="false" customHeight="false" outlineLevel="0" collapsed="false">
      <c r="A72" s="17" t="n">
        <v>17443</v>
      </c>
      <c r="B72" s="23" t="n">
        <v>44742</v>
      </c>
      <c r="C72" s="17" t="s">
        <v>132</v>
      </c>
      <c r="D72" s="17" t="s">
        <v>116</v>
      </c>
      <c r="E72" s="17" t="n">
        <v>353376</v>
      </c>
      <c r="F72" s="17" t="n">
        <v>351191.333333333</v>
      </c>
      <c r="G72" s="17" t="n">
        <v>298828</v>
      </c>
      <c r="H72" s="17" t="n">
        <v>40397</v>
      </c>
      <c r="I72" s="17" t="n">
        <v>11.4317327718917</v>
      </c>
      <c r="J72" s="17" t="n">
        <v>190487</v>
      </c>
      <c r="K72" s="17" t="n">
        <v>187726.333333333</v>
      </c>
      <c r="L72" s="17" t="n">
        <v>188865</v>
      </c>
      <c r="M72" s="17" t="n">
        <v>188077</v>
      </c>
      <c r="N72" s="17" t="n">
        <v>0</v>
      </c>
      <c r="O72" s="17" t="n">
        <v>1410</v>
      </c>
      <c r="P72" s="17" t="n">
        <v>178</v>
      </c>
      <c r="Q72" s="17" t="n">
        <v>141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2122</v>
      </c>
      <c r="Z72" s="17" t="n">
        <v>0.604229033746087</v>
      </c>
      <c r="AA72" s="17" t="n">
        <v>4.86</v>
      </c>
      <c r="AB72" s="17" t="n">
        <v>2.07853120419656</v>
      </c>
      <c r="AC72" s="17" t="n">
        <v>0.851501677279814</v>
      </c>
      <c r="AD72" s="17" t="n">
        <v>0.03</v>
      </c>
      <c r="AE72" s="17" t="n">
        <v>1</v>
      </c>
      <c r="AF72" s="17" t="s">
        <v>241</v>
      </c>
      <c r="AG72" s="17" t="s">
        <v>232</v>
      </c>
      <c r="AH72" s="17" t="n">
        <v>1</v>
      </c>
    </row>
    <row r="73" customFormat="false" ht="15" hidden="false" customHeight="false" outlineLevel="0" collapsed="false">
      <c r="A73" s="17" t="n">
        <v>17658</v>
      </c>
      <c r="B73" s="23" t="n">
        <v>44742</v>
      </c>
      <c r="C73" s="17" t="s">
        <v>144</v>
      </c>
      <c r="D73" s="17" t="s">
        <v>108</v>
      </c>
      <c r="E73" s="17" t="n">
        <v>1739201</v>
      </c>
      <c r="F73" s="17" t="n">
        <v>1749921</v>
      </c>
      <c r="G73" s="17" t="n">
        <v>1514378</v>
      </c>
      <c r="H73" s="17" t="n">
        <v>193833</v>
      </c>
      <c r="I73" s="17" t="n">
        <v>11.1449452938447</v>
      </c>
      <c r="J73" s="17" t="n">
        <v>1140881</v>
      </c>
      <c r="K73" s="17" t="n">
        <v>1101575.66666667</v>
      </c>
      <c r="L73" s="17" t="n">
        <v>1131615</v>
      </c>
      <c r="M73" s="17" t="n">
        <v>992175</v>
      </c>
      <c r="N73" s="17" t="n">
        <v>78762</v>
      </c>
      <c r="O73" s="17" t="n">
        <v>60843</v>
      </c>
      <c r="P73" s="17" t="n">
        <v>519</v>
      </c>
      <c r="Q73" s="17" t="n">
        <v>3501</v>
      </c>
      <c r="R73" s="17" t="n">
        <v>0</v>
      </c>
      <c r="S73" s="17" t="n">
        <v>24</v>
      </c>
      <c r="T73" s="17" t="n">
        <v>48</v>
      </c>
      <c r="U73" s="17" t="n">
        <v>0.00435739472579732</v>
      </c>
      <c r="V73" s="17" t="n">
        <v>0</v>
      </c>
      <c r="W73" s="17" t="n">
        <v>0</v>
      </c>
      <c r="X73" s="17" t="n">
        <v>0</v>
      </c>
      <c r="Y73" s="17" t="n">
        <v>-2206</v>
      </c>
      <c r="Z73" s="17" t="n">
        <v>-0.126062833693635</v>
      </c>
      <c r="AA73" s="17" t="n">
        <v>-1.03</v>
      </c>
      <c r="AB73" s="17" t="n">
        <v>3.44171180472076</v>
      </c>
      <c r="AC73" s="17" t="n">
        <v>0.812179359635229</v>
      </c>
      <c r="AD73" s="17" t="n">
        <v>0.02</v>
      </c>
      <c r="AE73" s="17" t="n">
        <v>1</v>
      </c>
      <c r="AF73" s="17" t="s">
        <v>241</v>
      </c>
      <c r="AG73" s="17" t="s">
        <v>232</v>
      </c>
      <c r="AH73" s="17" t="n">
        <v>0</v>
      </c>
    </row>
    <row r="74" customFormat="false" ht="15" hidden="false" customHeight="false" outlineLevel="0" collapsed="false">
      <c r="A74" s="17" t="n">
        <v>17741</v>
      </c>
      <c r="B74" s="23" t="n">
        <v>44742</v>
      </c>
      <c r="C74" s="17" t="s">
        <v>161</v>
      </c>
      <c r="D74" s="17" t="s">
        <v>108</v>
      </c>
      <c r="E74" s="17" t="n">
        <v>999824</v>
      </c>
      <c r="F74" s="17" t="n">
        <v>1007653</v>
      </c>
      <c r="G74" s="17" t="n">
        <v>843050</v>
      </c>
      <c r="H74" s="17" t="n">
        <v>128637</v>
      </c>
      <c r="I74" s="17" t="n">
        <v>12.8659644097361</v>
      </c>
      <c r="J74" s="17" t="n">
        <v>799662</v>
      </c>
      <c r="K74" s="17" t="n">
        <v>796323</v>
      </c>
      <c r="L74" s="17" t="n">
        <v>791890</v>
      </c>
      <c r="M74" s="17" t="n">
        <v>750035</v>
      </c>
      <c r="N74" s="17" t="n">
        <v>42508</v>
      </c>
      <c r="O74" s="17" t="n">
        <v>3332</v>
      </c>
      <c r="P74" s="17" t="n">
        <v>1947</v>
      </c>
      <c r="Q74" s="17" t="n">
        <v>1852</v>
      </c>
      <c r="R74" s="17" t="n">
        <v>0</v>
      </c>
      <c r="S74" s="17" t="n">
        <v>-1</v>
      </c>
      <c r="T74" s="17" t="n">
        <v>-2</v>
      </c>
      <c r="U74" s="17" t="n">
        <v>-0.000251154368265139</v>
      </c>
      <c r="V74" s="17" t="n">
        <v>0</v>
      </c>
      <c r="W74" s="17" t="n">
        <v>0</v>
      </c>
      <c r="X74" s="17" t="n">
        <v>0</v>
      </c>
      <c r="Y74" s="17" t="n">
        <v>5632</v>
      </c>
      <c r="Z74" s="17" t="n">
        <v>0.558922565605422</v>
      </c>
      <c r="AA74" s="17" t="n">
        <v>4.32</v>
      </c>
      <c r="AB74" s="17" t="n">
        <v>3.35845923911319</v>
      </c>
      <c r="AC74" s="17" t="n">
        <v>0.971910632242122</v>
      </c>
      <c r="AD74" s="17" t="n">
        <v>0.02</v>
      </c>
      <c r="AE74" s="17" t="n">
        <v>1</v>
      </c>
      <c r="AF74" s="17" t="s">
        <v>241</v>
      </c>
      <c r="AG74" s="17" t="s">
        <v>232</v>
      </c>
      <c r="AH74" s="17" t="n">
        <v>0</v>
      </c>
    </row>
    <row r="75" customFormat="false" ht="15" hidden="false" customHeight="false" outlineLevel="0" collapsed="false">
      <c r="A75" s="17" t="n">
        <v>17743</v>
      </c>
      <c r="B75" s="23" t="n">
        <v>44742</v>
      </c>
      <c r="C75" s="17" t="s">
        <v>129</v>
      </c>
      <c r="D75" s="17" t="s">
        <v>108</v>
      </c>
      <c r="E75" s="17" t="n">
        <v>1226782</v>
      </c>
      <c r="F75" s="17" t="n">
        <v>1180634</v>
      </c>
      <c r="G75" s="17" t="n">
        <v>933270</v>
      </c>
      <c r="H75" s="17" t="n">
        <v>121930</v>
      </c>
      <c r="I75" s="17" t="n">
        <v>9.93901116905856</v>
      </c>
      <c r="J75" s="17" t="n">
        <v>942050</v>
      </c>
      <c r="K75" s="17" t="n">
        <v>926199.666666667</v>
      </c>
      <c r="L75" s="17" t="n">
        <v>937147</v>
      </c>
      <c r="M75" s="17" t="n">
        <v>912536</v>
      </c>
      <c r="N75" s="17" t="n">
        <v>10654</v>
      </c>
      <c r="O75" s="17" t="n">
        <v>5546</v>
      </c>
      <c r="P75" s="17" t="n">
        <v>2944</v>
      </c>
      <c r="Q75" s="17" t="n">
        <v>735</v>
      </c>
      <c r="R75" s="17" t="n">
        <v>35</v>
      </c>
      <c r="S75" s="17" t="n">
        <v>13</v>
      </c>
      <c r="T75" s="17" t="n">
        <v>26</v>
      </c>
      <c r="U75" s="17" t="n">
        <v>0.00280717008823511</v>
      </c>
      <c r="V75" s="17" t="n">
        <v>0</v>
      </c>
      <c r="W75" s="17" t="n">
        <v>0</v>
      </c>
      <c r="X75" s="17" t="n">
        <v>0</v>
      </c>
      <c r="Y75" s="17" t="n">
        <v>3570</v>
      </c>
      <c r="Z75" s="17" t="n">
        <v>0.302379907744483</v>
      </c>
      <c r="AA75" s="17" t="n">
        <v>2.81</v>
      </c>
      <c r="AB75" s="17" t="n">
        <v>2.80121730682431</v>
      </c>
      <c r="AC75" s="17" t="n">
        <v>0.520460697415212</v>
      </c>
      <c r="AD75" s="17" t="n">
        <v>-0.01</v>
      </c>
      <c r="AE75" s="17" t="n">
        <v>1</v>
      </c>
      <c r="AF75" s="17" t="s">
        <v>241</v>
      </c>
      <c r="AG75" s="17" t="s">
        <v>232</v>
      </c>
      <c r="AH75" s="17" t="n">
        <v>1</v>
      </c>
    </row>
    <row r="76" customFormat="false" ht="15" hidden="false" customHeight="false" outlineLevel="0" collapsed="false">
      <c r="A76" s="17" t="n">
        <v>17748</v>
      </c>
      <c r="B76" s="23" t="n">
        <v>44742</v>
      </c>
      <c r="C76" s="17" t="s">
        <v>196</v>
      </c>
      <c r="D76" s="17" t="s">
        <v>108</v>
      </c>
      <c r="E76" s="17" t="n">
        <v>1555791</v>
      </c>
      <c r="F76" s="17" t="n">
        <v>1547993.66666667</v>
      </c>
      <c r="G76" s="17" t="n">
        <v>1381456</v>
      </c>
      <c r="H76" s="17" t="n">
        <v>113025</v>
      </c>
      <c r="I76" s="17" t="n">
        <v>7.26479327878873</v>
      </c>
      <c r="J76" s="17" t="n">
        <v>1170439</v>
      </c>
      <c r="K76" s="17" t="n">
        <v>1146465.66666667</v>
      </c>
      <c r="L76" s="17" t="n">
        <v>1160705</v>
      </c>
      <c r="M76" s="17" t="n">
        <v>984164</v>
      </c>
      <c r="N76" s="17" t="n">
        <v>151034</v>
      </c>
      <c r="O76" s="17" t="n">
        <v>2941</v>
      </c>
      <c r="P76" s="17" t="n">
        <v>7622</v>
      </c>
      <c r="Q76" s="17" t="n">
        <v>1109</v>
      </c>
      <c r="R76" s="17" t="n">
        <v>0</v>
      </c>
      <c r="S76" s="17" t="n">
        <v>100</v>
      </c>
      <c r="T76" s="17" t="n">
        <v>200</v>
      </c>
      <c r="U76" s="17" t="n">
        <v>0.017444918397033</v>
      </c>
      <c r="V76" s="17" t="n">
        <v>0</v>
      </c>
      <c r="W76" s="17" t="n">
        <v>0</v>
      </c>
      <c r="X76" s="17" t="n">
        <v>0</v>
      </c>
      <c r="Y76" s="17" t="n">
        <v>3182</v>
      </c>
      <c r="Z76" s="17" t="n">
        <v>0.205556396548565</v>
      </c>
      <c r="AA76" s="17" t="n">
        <v>2.56</v>
      </c>
      <c r="AB76" s="17" t="n">
        <v>3.13610096670494</v>
      </c>
      <c r="AC76" s="17" t="n">
        <v>0.831653764100478</v>
      </c>
      <c r="AD76" s="17" t="n">
        <v>0.04</v>
      </c>
      <c r="AE76" s="17" t="n">
        <v>0</v>
      </c>
      <c r="AF76" s="17" t="s">
        <v>241</v>
      </c>
      <c r="AG76" s="17" t="s">
        <v>232</v>
      </c>
      <c r="AH76" s="17" t="n">
        <v>0</v>
      </c>
    </row>
    <row r="77" customFormat="false" ht="15" hidden="false" customHeight="false" outlineLevel="0" collapsed="false">
      <c r="A77" s="17" t="n">
        <v>17749</v>
      </c>
      <c r="B77" s="23" t="n">
        <v>44742</v>
      </c>
      <c r="C77" s="17" t="s">
        <v>156</v>
      </c>
      <c r="D77" s="17" t="s">
        <v>108</v>
      </c>
      <c r="E77" s="17" t="n">
        <v>1233246</v>
      </c>
      <c r="F77" s="17" t="n">
        <v>1223258.33333333</v>
      </c>
      <c r="G77" s="17" t="n">
        <v>1026366</v>
      </c>
      <c r="H77" s="17" t="n">
        <v>152379</v>
      </c>
      <c r="I77" s="17" t="n">
        <v>12.355928987404</v>
      </c>
      <c r="J77" s="17" t="n">
        <v>692915</v>
      </c>
      <c r="K77" s="17" t="n">
        <v>669159</v>
      </c>
      <c r="L77" s="17" t="n">
        <v>683137</v>
      </c>
      <c r="M77" s="17" t="n">
        <v>619470</v>
      </c>
      <c r="N77" s="17" t="n">
        <v>51726</v>
      </c>
      <c r="O77" s="17" t="n">
        <v>10530</v>
      </c>
      <c r="P77" s="17" t="n">
        <v>248</v>
      </c>
      <c r="Q77" s="17" t="n">
        <v>253</v>
      </c>
      <c r="R77" s="17" t="n">
        <v>29</v>
      </c>
      <c r="S77" s="17" t="n">
        <v>8</v>
      </c>
      <c r="T77" s="17" t="n">
        <v>16</v>
      </c>
      <c r="U77" s="17" t="n">
        <v>0.00239106101838278</v>
      </c>
      <c r="V77" s="17" t="n">
        <v>0</v>
      </c>
      <c r="W77" s="17" t="n">
        <v>0</v>
      </c>
      <c r="X77" s="17" t="n">
        <v>0</v>
      </c>
      <c r="Y77" s="17" t="n">
        <v>-1914</v>
      </c>
      <c r="Z77" s="17" t="n">
        <v>-0.156467358353033</v>
      </c>
      <c r="AA77" s="17" t="n">
        <v>-1.15</v>
      </c>
      <c r="AB77" s="17" t="n">
        <v>2.83196913733009</v>
      </c>
      <c r="AC77" s="17" t="n">
        <v>1.41113989450366</v>
      </c>
      <c r="AD77" s="17" t="n">
        <v>0.05</v>
      </c>
      <c r="AE77" s="17" t="n">
        <v>1</v>
      </c>
      <c r="AF77" s="17" t="s">
        <v>241</v>
      </c>
      <c r="AG77" s="17" t="s">
        <v>232</v>
      </c>
      <c r="AH77" s="17" t="n">
        <v>1</v>
      </c>
    </row>
    <row r="78" customFormat="false" ht="15" hidden="false" customHeight="false" outlineLevel="0" collapsed="false">
      <c r="A78" s="17" t="n">
        <v>17751</v>
      </c>
      <c r="B78" s="23" t="n">
        <v>44742</v>
      </c>
      <c r="C78" s="17" t="s">
        <v>125</v>
      </c>
      <c r="D78" s="17" t="s">
        <v>108</v>
      </c>
      <c r="E78" s="17" t="n">
        <v>1424885</v>
      </c>
      <c r="F78" s="17" t="n">
        <v>1390225.66666667</v>
      </c>
      <c r="G78" s="17" t="n">
        <v>1261975</v>
      </c>
      <c r="H78" s="17" t="n">
        <v>126112</v>
      </c>
      <c r="I78" s="17" t="n">
        <v>8.85067917761784</v>
      </c>
      <c r="J78" s="17" t="n">
        <v>1131318</v>
      </c>
      <c r="K78" s="17" t="n">
        <v>1087719.33333333</v>
      </c>
      <c r="L78" s="17" t="n">
        <v>1119342</v>
      </c>
      <c r="M78" s="17" t="n">
        <v>964858</v>
      </c>
      <c r="N78" s="17" t="n">
        <v>116943</v>
      </c>
      <c r="O78" s="17" t="n">
        <v>3247</v>
      </c>
      <c r="P78" s="17" t="n">
        <v>1523</v>
      </c>
      <c r="Q78" s="17" t="n">
        <v>2004</v>
      </c>
      <c r="R78" s="17" t="n">
        <v>0</v>
      </c>
      <c r="S78" s="17" t="n">
        <v>-244</v>
      </c>
      <c r="T78" s="17" t="n">
        <v>-488</v>
      </c>
      <c r="U78" s="17" t="n">
        <v>-0.0448645146817899</v>
      </c>
      <c r="V78" s="17" t="n">
        <v>149000</v>
      </c>
      <c r="W78" s="17" t="n">
        <v>1107218</v>
      </c>
      <c r="X78" s="17" t="n">
        <v>13.4571511662563</v>
      </c>
      <c r="Y78" s="17" t="n">
        <v>7876</v>
      </c>
      <c r="Z78" s="17" t="n">
        <v>0.566526729353532</v>
      </c>
      <c r="AA78" s="17" t="n">
        <v>6.04</v>
      </c>
      <c r="AB78" s="17" t="n">
        <v>3.02145916647337</v>
      </c>
      <c r="AC78" s="17" t="n">
        <v>1.05858830143249</v>
      </c>
      <c r="AD78" s="17" t="n">
        <v>0.04</v>
      </c>
      <c r="AE78" s="17" t="n">
        <v>1</v>
      </c>
      <c r="AF78" s="17" t="s">
        <v>241</v>
      </c>
      <c r="AG78" s="17" t="s">
        <v>232</v>
      </c>
      <c r="AH78" s="17" t="n">
        <v>0</v>
      </c>
    </row>
    <row r="79" customFormat="false" ht="15" hidden="false" customHeight="false" outlineLevel="0" collapsed="false">
      <c r="A79" s="17" t="n">
        <v>17897</v>
      </c>
      <c r="B79" s="23" t="n">
        <v>44742</v>
      </c>
      <c r="C79" s="17" t="s">
        <v>149</v>
      </c>
      <c r="D79" s="17" t="s">
        <v>108</v>
      </c>
      <c r="E79" s="17" t="n">
        <v>1531749</v>
      </c>
      <c r="F79" s="17" t="n">
        <v>1483369.33333333</v>
      </c>
      <c r="G79" s="17" t="n">
        <v>1250686</v>
      </c>
      <c r="H79" s="17" t="n">
        <v>191374</v>
      </c>
      <c r="I79" s="17" t="n">
        <v>12.4938224212975</v>
      </c>
      <c r="J79" s="17" t="n">
        <v>1281527</v>
      </c>
      <c r="K79" s="17" t="n">
        <v>1236946.33333333</v>
      </c>
      <c r="L79" s="17" t="n">
        <v>1273567</v>
      </c>
      <c r="M79" s="17" t="n">
        <v>1214666</v>
      </c>
      <c r="N79" s="17" t="n">
        <v>59285</v>
      </c>
      <c r="O79" s="17" t="n">
        <v>2829</v>
      </c>
      <c r="P79" s="17" t="n">
        <v>3935</v>
      </c>
      <c r="Q79" s="17" t="n">
        <v>1718</v>
      </c>
      <c r="R79" s="17" t="n">
        <v>0</v>
      </c>
      <c r="S79" s="17" t="n">
        <v>11</v>
      </c>
      <c r="T79" s="17" t="n">
        <v>22</v>
      </c>
      <c r="U79" s="17" t="n">
        <v>0.00177857352474737</v>
      </c>
      <c r="V79" s="17" t="n">
        <v>0</v>
      </c>
      <c r="W79" s="17" t="n">
        <v>0</v>
      </c>
      <c r="X79" s="17" t="n">
        <v>0</v>
      </c>
      <c r="Y79" s="17" t="n">
        <v>-8980</v>
      </c>
      <c r="Z79" s="17" t="n">
        <v>-0.605378566093227</v>
      </c>
      <c r="AA79" s="17" t="n">
        <v>-4.54</v>
      </c>
      <c r="AB79" s="17" t="n">
        <v>3.21931626860747</v>
      </c>
      <c r="AC79" s="17" t="n">
        <v>0.621134006540635</v>
      </c>
      <c r="AD79" s="17" t="n">
        <v>0.06</v>
      </c>
      <c r="AE79" s="17" t="n">
        <v>1</v>
      </c>
      <c r="AF79" s="17" t="s">
        <v>241</v>
      </c>
      <c r="AG79" s="17" t="s">
        <v>232</v>
      </c>
      <c r="AH79" s="17" t="n">
        <v>0</v>
      </c>
    </row>
    <row r="80" customFormat="false" ht="15" hidden="false" customHeight="false" outlineLevel="0" collapsed="false">
      <c r="A80" s="17" t="n">
        <v>17951</v>
      </c>
      <c r="B80" s="23" t="n">
        <v>44742</v>
      </c>
      <c r="C80" s="17" t="s">
        <v>136</v>
      </c>
      <c r="D80" s="17" t="s">
        <v>116</v>
      </c>
      <c r="E80" s="17" t="n">
        <v>724308</v>
      </c>
      <c r="F80" s="17" t="n">
        <v>704897.333333333</v>
      </c>
      <c r="G80" s="17" t="n">
        <v>640946</v>
      </c>
      <c r="H80" s="17" t="n">
        <v>53765</v>
      </c>
      <c r="I80" s="17" t="n">
        <v>7.42294714403265</v>
      </c>
      <c r="J80" s="17" t="n">
        <v>488769</v>
      </c>
      <c r="K80" s="17" t="n">
        <v>463156.333333333</v>
      </c>
      <c r="L80" s="17" t="n">
        <v>484788</v>
      </c>
      <c r="M80" s="17" t="n">
        <v>448742</v>
      </c>
      <c r="N80" s="17" t="n">
        <v>24396</v>
      </c>
      <c r="O80" s="17" t="n">
        <v>1572</v>
      </c>
      <c r="P80" s="17" t="n">
        <v>782</v>
      </c>
      <c r="Q80" s="17" t="n">
        <v>31</v>
      </c>
      <c r="R80" s="17" t="n">
        <v>0</v>
      </c>
      <c r="S80" s="17" t="n">
        <v>-2</v>
      </c>
      <c r="T80" s="17" t="n">
        <v>-4</v>
      </c>
      <c r="U80" s="17" t="n">
        <v>-0.000863639275147557</v>
      </c>
      <c r="V80" s="17" t="n">
        <v>71850</v>
      </c>
      <c r="W80" s="17" t="n">
        <v>478791</v>
      </c>
      <c r="X80" s="17" t="n">
        <v>15.0065477421255</v>
      </c>
      <c r="Y80" s="17" t="n">
        <v>6656</v>
      </c>
      <c r="Z80" s="17" t="n">
        <v>0.944250983121892</v>
      </c>
      <c r="AA80" s="17" t="n">
        <v>11.53</v>
      </c>
      <c r="AB80" s="17" t="n">
        <v>3.18151383220779</v>
      </c>
      <c r="AC80" s="17" t="n">
        <v>0.814495190979788</v>
      </c>
      <c r="AD80" s="17" t="n">
        <v>0.05</v>
      </c>
      <c r="AE80" s="17" t="n">
        <v>1</v>
      </c>
      <c r="AF80" s="17" t="s">
        <v>241</v>
      </c>
      <c r="AG80" s="17" t="s">
        <v>232</v>
      </c>
      <c r="AH80" s="17" t="n">
        <v>0</v>
      </c>
    </row>
    <row r="81" customFormat="false" ht="15" hidden="false" customHeight="false" outlineLevel="0" collapsed="false">
      <c r="A81" s="17" t="n">
        <v>17960</v>
      </c>
      <c r="B81" s="23" t="n">
        <v>44742</v>
      </c>
      <c r="C81" s="17" t="s">
        <v>115</v>
      </c>
      <c r="D81" s="17" t="s">
        <v>116</v>
      </c>
      <c r="E81" s="17" t="n">
        <v>1230052</v>
      </c>
      <c r="F81" s="17" t="n">
        <v>1181480</v>
      </c>
      <c r="G81" s="17" t="n">
        <v>1013410</v>
      </c>
      <c r="H81" s="17" t="n">
        <v>104397</v>
      </c>
      <c r="I81" s="17" t="n">
        <v>8.48720216706286</v>
      </c>
      <c r="J81" s="17" t="n">
        <v>1010760</v>
      </c>
      <c r="K81" s="17" t="n">
        <v>956016.666666667</v>
      </c>
      <c r="L81" s="17" t="n">
        <v>1000783</v>
      </c>
      <c r="M81" s="17" t="n">
        <v>739326</v>
      </c>
      <c r="N81" s="17" t="n">
        <v>101427</v>
      </c>
      <c r="O81" s="17" t="n">
        <v>165699</v>
      </c>
      <c r="P81" s="17" t="n">
        <v>789</v>
      </c>
      <c r="Q81" s="17" t="n">
        <v>818</v>
      </c>
      <c r="R81" s="17" t="n">
        <v>31</v>
      </c>
      <c r="S81" s="17" t="n">
        <v>8</v>
      </c>
      <c r="T81" s="17" t="n">
        <v>16</v>
      </c>
      <c r="U81" s="17" t="n">
        <v>0.0016736109900455</v>
      </c>
      <c r="V81" s="17" t="n">
        <v>125753</v>
      </c>
      <c r="W81" s="17" t="n">
        <v>929399</v>
      </c>
      <c r="X81" s="17" t="n">
        <v>13.5305719072218</v>
      </c>
      <c r="Y81" s="17" t="n">
        <v>9342</v>
      </c>
      <c r="Z81" s="17" t="n">
        <v>0.790703185834716</v>
      </c>
      <c r="AA81" s="17" t="n">
        <v>8.65</v>
      </c>
      <c r="AB81" s="17" t="n">
        <v>3.61237032710627</v>
      </c>
      <c r="AC81" s="17" t="n">
        <v>0.987079029641062</v>
      </c>
      <c r="AD81" s="17" t="n">
        <v>0.11</v>
      </c>
      <c r="AE81" s="17" t="n">
        <v>1</v>
      </c>
      <c r="AF81" s="17" t="s">
        <v>241</v>
      </c>
      <c r="AG81" s="17" t="s">
        <v>232</v>
      </c>
      <c r="AH81" s="17" t="n">
        <v>0</v>
      </c>
    </row>
    <row r="82" customFormat="false" ht="15" hidden="false" customHeight="false" outlineLevel="0" collapsed="false">
      <c r="A82" s="17" t="n">
        <v>18012</v>
      </c>
      <c r="B82" s="23" t="n">
        <v>44742</v>
      </c>
      <c r="C82" s="17" t="s">
        <v>148</v>
      </c>
      <c r="D82" s="17" t="s">
        <v>116</v>
      </c>
      <c r="E82" s="17" t="n">
        <v>2374786</v>
      </c>
      <c r="F82" s="17" t="n">
        <v>2350457</v>
      </c>
      <c r="G82" s="17" t="n">
        <v>2014310</v>
      </c>
      <c r="H82" s="17" t="n">
        <v>231360</v>
      </c>
      <c r="I82" s="17" t="n">
        <v>9.74235152135814</v>
      </c>
      <c r="J82" s="17" t="n">
        <v>1892617</v>
      </c>
      <c r="K82" s="17" t="n">
        <v>1809818.33333333</v>
      </c>
      <c r="L82" s="17" t="n">
        <v>1869790</v>
      </c>
      <c r="M82" s="17" t="n">
        <v>1772602</v>
      </c>
      <c r="N82" s="17" t="n">
        <v>53604</v>
      </c>
      <c r="O82" s="17" t="n">
        <v>35736</v>
      </c>
      <c r="P82" s="17" t="n">
        <v>1132</v>
      </c>
      <c r="Q82" s="17" t="n">
        <v>2539</v>
      </c>
      <c r="R82" s="17" t="n">
        <v>0</v>
      </c>
      <c r="S82" s="17" t="n">
        <v>22</v>
      </c>
      <c r="T82" s="17" t="n">
        <v>44</v>
      </c>
      <c r="U82" s="17" t="n">
        <v>0.00243118324030681</v>
      </c>
      <c r="V82" s="17" t="n">
        <v>266977</v>
      </c>
      <c r="W82" s="17" t="n">
        <v>2103129</v>
      </c>
      <c r="X82" s="17" t="n">
        <v>12.6942760049431</v>
      </c>
      <c r="Y82" s="17" t="n">
        <v>30000</v>
      </c>
      <c r="Z82" s="17" t="n">
        <v>1.27634753581963</v>
      </c>
      <c r="AA82" s="17" t="n">
        <v>12.6</v>
      </c>
      <c r="AB82" s="17" t="n">
        <v>3.55342846169754</v>
      </c>
      <c r="AC82" s="17" t="n">
        <v>1.20610773336602</v>
      </c>
      <c r="AD82" s="17" t="n">
        <v>0.02</v>
      </c>
      <c r="AE82" s="17" t="n">
        <v>1</v>
      </c>
      <c r="AF82" s="17" t="s">
        <v>314</v>
      </c>
      <c r="AG82" s="17" t="s">
        <v>232</v>
      </c>
      <c r="AH82" s="17" t="n">
        <v>0</v>
      </c>
    </row>
    <row r="83" customFormat="false" ht="15" hidden="false" customHeight="false" outlineLevel="0" collapsed="false">
      <c r="A83" s="17" t="n">
        <v>18013</v>
      </c>
      <c r="B83" s="23" t="n">
        <v>44742</v>
      </c>
      <c r="C83" s="17" t="s">
        <v>131</v>
      </c>
      <c r="D83" s="17" t="s">
        <v>116</v>
      </c>
      <c r="E83" s="17" t="n">
        <v>2601325</v>
      </c>
      <c r="F83" s="17" t="n">
        <v>2615586.66666667</v>
      </c>
      <c r="G83" s="17" t="n">
        <v>2273331</v>
      </c>
      <c r="H83" s="17" t="n">
        <v>196477</v>
      </c>
      <c r="I83" s="17" t="n">
        <v>7.55295858841168</v>
      </c>
      <c r="J83" s="17" t="n">
        <v>2018864</v>
      </c>
      <c r="K83" s="17" t="n">
        <v>1946196.66666667</v>
      </c>
      <c r="L83" s="17" t="n">
        <v>2000239</v>
      </c>
      <c r="M83" s="17" t="n">
        <v>1844412</v>
      </c>
      <c r="N83" s="17" t="n">
        <v>113370</v>
      </c>
      <c r="O83" s="17" t="n">
        <v>12266</v>
      </c>
      <c r="P83" s="17" t="n">
        <v>1506</v>
      </c>
      <c r="Q83" s="17" t="n">
        <v>3104</v>
      </c>
      <c r="R83" s="17" t="n">
        <v>781</v>
      </c>
      <c r="S83" s="17" t="n">
        <v>-43</v>
      </c>
      <c r="T83" s="17" t="n">
        <v>-86</v>
      </c>
      <c r="U83" s="17" t="n">
        <v>-0.00441887510511956</v>
      </c>
      <c r="V83" s="17" t="n">
        <v>248433</v>
      </c>
      <c r="W83" s="17" t="n">
        <v>1812876</v>
      </c>
      <c r="X83" s="17" t="n">
        <v>13.7038054450497</v>
      </c>
      <c r="Y83" s="17" t="n">
        <v>19220</v>
      </c>
      <c r="Z83" s="17" t="n">
        <v>0.734825584062722</v>
      </c>
      <c r="AA83" s="17" t="n">
        <v>9.07</v>
      </c>
      <c r="AB83" s="17" t="n">
        <v>3.10393830317986</v>
      </c>
      <c r="AC83" s="17" t="n">
        <v>0.922548522337314</v>
      </c>
      <c r="AD83" s="17" t="n">
        <v>0.01</v>
      </c>
      <c r="AE83" s="17" t="n">
        <v>1</v>
      </c>
      <c r="AF83" s="17" t="s">
        <v>314</v>
      </c>
      <c r="AG83" s="17" t="s">
        <v>232</v>
      </c>
      <c r="AH83" s="17" t="n">
        <v>0</v>
      </c>
    </row>
    <row r="84" customFormat="false" ht="15" hidden="false" customHeight="false" outlineLevel="0" collapsed="false">
      <c r="A84" s="17" t="n">
        <v>18028</v>
      </c>
      <c r="B84" s="23" t="n">
        <v>44742</v>
      </c>
      <c r="C84" s="17" t="s">
        <v>130</v>
      </c>
      <c r="D84" s="17" t="s">
        <v>116</v>
      </c>
      <c r="E84" s="17" t="n">
        <v>377551</v>
      </c>
      <c r="F84" s="17" t="n">
        <v>376350.333333333</v>
      </c>
      <c r="G84" s="17" t="n">
        <v>335244</v>
      </c>
      <c r="H84" s="17" t="n">
        <v>38122</v>
      </c>
      <c r="I84" s="17" t="n">
        <v>10.0971789241718</v>
      </c>
      <c r="J84" s="17" t="n">
        <v>240579</v>
      </c>
      <c r="K84" s="17" t="n">
        <v>232490.333333333</v>
      </c>
      <c r="L84" s="17" t="n">
        <v>238410</v>
      </c>
      <c r="M84" s="17" t="n">
        <v>210223</v>
      </c>
      <c r="N84" s="17" t="n">
        <v>16916</v>
      </c>
      <c r="O84" s="17" t="n">
        <v>6431</v>
      </c>
      <c r="P84" s="17" t="n">
        <v>1077</v>
      </c>
      <c r="Q84" s="17" t="n">
        <v>879</v>
      </c>
      <c r="R84" s="17" t="n">
        <v>25</v>
      </c>
      <c r="S84" s="17" t="n">
        <v>61</v>
      </c>
      <c r="T84" s="17" t="n">
        <v>122</v>
      </c>
      <c r="U84" s="17" t="n">
        <v>0.0524753000483174</v>
      </c>
      <c r="V84" s="17" t="n">
        <v>0</v>
      </c>
      <c r="W84" s="17" t="n">
        <v>0</v>
      </c>
      <c r="X84" s="17" t="n">
        <v>0</v>
      </c>
      <c r="Y84" s="17" t="n">
        <v>2648</v>
      </c>
      <c r="Z84" s="17" t="n">
        <v>0.703599748815598</v>
      </c>
      <c r="AA84" s="17" t="n">
        <v>6.26</v>
      </c>
      <c r="AB84" s="17" t="n">
        <v>3.21951052319902</v>
      </c>
      <c r="AC84" s="17" t="n">
        <v>0.901574950432083</v>
      </c>
      <c r="AD84" s="17" t="n">
        <v>-0.02</v>
      </c>
      <c r="AE84" s="17" t="n">
        <v>1</v>
      </c>
      <c r="AF84" s="17" t="s">
        <v>241</v>
      </c>
      <c r="AG84" s="17" t="s">
        <v>232</v>
      </c>
      <c r="AH84" s="17" t="n">
        <v>0</v>
      </c>
    </row>
    <row r="85" customFormat="false" ht="15" hidden="false" customHeight="false" outlineLevel="0" collapsed="false">
      <c r="A85" s="17" t="n">
        <v>18030</v>
      </c>
      <c r="B85" s="23" t="n">
        <v>44742</v>
      </c>
      <c r="C85" s="17" t="s">
        <v>157</v>
      </c>
      <c r="D85" s="17" t="s">
        <v>116</v>
      </c>
      <c r="E85" s="17" t="n">
        <v>687772</v>
      </c>
      <c r="F85" s="17" t="n">
        <v>677429.333333333</v>
      </c>
      <c r="G85" s="17" t="n">
        <v>640669</v>
      </c>
      <c r="H85" s="17" t="n">
        <v>44729</v>
      </c>
      <c r="I85" s="17" t="n">
        <v>6.50346335704274</v>
      </c>
      <c r="J85" s="17" t="n">
        <v>511976</v>
      </c>
      <c r="K85" s="17" t="n">
        <v>490076.666666667</v>
      </c>
      <c r="L85" s="17" t="n">
        <v>507226</v>
      </c>
      <c r="M85" s="17" t="n">
        <v>399387</v>
      </c>
      <c r="N85" s="17" t="n">
        <v>28037</v>
      </c>
      <c r="O85" s="17" t="n">
        <v>84156</v>
      </c>
      <c r="P85" s="17" t="n">
        <v>564</v>
      </c>
      <c r="Q85" s="17" t="n">
        <v>123</v>
      </c>
      <c r="R85" s="17" t="n">
        <v>0</v>
      </c>
      <c r="S85" s="17" t="n">
        <v>-30</v>
      </c>
      <c r="T85" s="17" t="n">
        <v>-60</v>
      </c>
      <c r="U85" s="17" t="n">
        <v>-0.0122429823905103</v>
      </c>
      <c r="V85" s="17" t="n">
        <v>60187</v>
      </c>
      <c r="W85" s="17" t="n">
        <v>440518</v>
      </c>
      <c r="X85" s="17" t="n">
        <v>13.6627788194807</v>
      </c>
      <c r="Y85" s="17" t="n">
        <v>2566</v>
      </c>
      <c r="Z85" s="17" t="n">
        <v>0.378784896628824</v>
      </c>
      <c r="AA85" s="17" t="n">
        <v>5.29</v>
      </c>
      <c r="AB85" s="17" t="n">
        <v>3.01893171061528</v>
      </c>
      <c r="AC85" s="17" t="n">
        <v>0.927777864587403</v>
      </c>
      <c r="AD85" s="17" t="n">
        <v>0.1</v>
      </c>
      <c r="AE85" s="17" t="n">
        <v>1</v>
      </c>
      <c r="AF85" s="17" t="s">
        <v>241</v>
      </c>
      <c r="AG85" s="17" t="s">
        <v>232</v>
      </c>
      <c r="AH85" s="17" t="n">
        <v>0</v>
      </c>
    </row>
    <row r="86" customFormat="false" ht="15" hidden="false" customHeight="false" outlineLevel="0" collapsed="false">
      <c r="A86" s="17" t="n">
        <v>18031</v>
      </c>
      <c r="B86" s="23" t="n">
        <v>44742</v>
      </c>
      <c r="C86" s="17" t="s">
        <v>152</v>
      </c>
      <c r="D86" s="17" t="s">
        <v>116</v>
      </c>
      <c r="E86" s="17" t="n">
        <v>627001</v>
      </c>
      <c r="F86" s="17" t="n">
        <v>629645</v>
      </c>
      <c r="G86" s="17" t="n">
        <v>558118</v>
      </c>
      <c r="H86" s="17" t="n">
        <v>39966</v>
      </c>
      <c r="I86" s="17" t="n">
        <v>6.37415251331338</v>
      </c>
      <c r="J86" s="17" t="n">
        <v>427467</v>
      </c>
      <c r="K86" s="17" t="n">
        <v>419415</v>
      </c>
      <c r="L86" s="17" t="n">
        <v>422436</v>
      </c>
      <c r="M86" s="17" t="n">
        <v>382501</v>
      </c>
      <c r="N86" s="17" t="n">
        <v>30545</v>
      </c>
      <c r="O86" s="17" t="n">
        <v>8127</v>
      </c>
      <c r="P86" s="17" t="n">
        <v>527</v>
      </c>
      <c r="Q86" s="17" t="n">
        <v>1081</v>
      </c>
      <c r="R86" s="17" t="n">
        <v>0</v>
      </c>
      <c r="S86" s="17" t="n">
        <v>3</v>
      </c>
      <c r="T86" s="17" t="n">
        <v>6</v>
      </c>
      <c r="U86" s="17" t="n">
        <v>0.00143056399985694</v>
      </c>
      <c r="V86" s="17" t="n">
        <v>0</v>
      </c>
      <c r="W86" s="17" t="n">
        <v>0</v>
      </c>
      <c r="X86" s="17" t="n">
        <v>0</v>
      </c>
      <c r="Y86" s="17" t="n">
        <v>2900</v>
      </c>
      <c r="Z86" s="17" t="n">
        <v>0.460576991796965</v>
      </c>
      <c r="AA86" s="17" t="n">
        <v>6.21</v>
      </c>
      <c r="AB86" s="17" t="n">
        <v>2.91034514485245</v>
      </c>
      <c r="AC86" s="17" t="n">
        <v>1.1769329562282</v>
      </c>
      <c r="AD86" s="17" t="n">
        <v>0</v>
      </c>
      <c r="AE86" s="17" t="n">
        <v>0</v>
      </c>
      <c r="AF86" s="17" t="s">
        <v>241</v>
      </c>
      <c r="AG86" s="17" t="s">
        <v>232</v>
      </c>
      <c r="AH86" s="17" t="n">
        <v>0</v>
      </c>
    </row>
    <row r="87" customFormat="false" ht="15" hidden="false" customHeight="false" outlineLevel="0" collapsed="false">
      <c r="A87" s="17" t="n">
        <v>18038</v>
      </c>
      <c r="B87" s="23" t="n">
        <v>44742</v>
      </c>
      <c r="C87" s="17" t="s">
        <v>128</v>
      </c>
      <c r="D87" s="17" t="s">
        <v>116</v>
      </c>
      <c r="E87" s="17" t="n">
        <v>488764</v>
      </c>
      <c r="F87" s="17" t="n">
        <v>487861.333333333</v>
      </c>
      <c r="G87" s="17" t="n">
        <v>401670</v>
      </c>
      <c r="H87" s="17" t="n">
        <v>64314</v>
      </c>
      <c r="I87" s="17" t="n">
        <v>13.1584977617009</v>
      </c>
      <c r="J87" s="17" t="n">
        <v>365235</v>
      </c>
      <c r="K87" s="17" t="n">
        <v>359433.666666667</v>
      </c>
      <c r="L87" s="17" t="n">
        <v>361193</v>
      </c>
      <c r="M87" s="17" t="n">
        <v>344078</v>
      </c>
      <c r="N87" s="17" t="n">
        <v>17550</v>
      </c>
      <c r="O87" s="17" t="n">
        <v>3145</v>
      </c>
      <c r="P87" s="17" t="n">
        <v>2488</v>
      </c>
      <c r="Q87" s="17" t="n">
        <v>680</v>
      </c>
      <c r="R87" s="17" t="n">
        <v>0</v>
      </c>
      <c r="S87" s="17" t="n">
        <v>-72</v>
      </c>
      <c r="T87" s="17" t="n">
        <v>-144</v>
      </c>
      <c r="U87" s="17" t="n">
        <v>-0.0400630250737039</v>
      </c>
      <c r="V87" s="17" t="n">
        <v>0</v>
      </c>
      <c r="W87" s="17" t="n">
        <v>0</v>
      </c>
      <c r="X87" s="17" t="n">
        <v>0</v>
      </c>
      <c r="Y87" s="17" t="n">
        <v>-6102</v>
      </c>
      <c r="Z87" s="17" t="n">
        <v>-1.25076524476901</v>
      </c>
      <c r="AA87" s="17" t="n">
        <v>-8.88</v>
      </c>
      <c r="AB87" s="17" t="n">
        <v>3.16043602311801</v>
      </c>
      <c r="AC87" s="17" t="n">
        <v>1.10668473722398</v>
      </c>
      <c r="AD87" s="17" t="n">
        <v>-0.13</v>
      </c>
      <c r="AE87" s="17" t="n">
        <v>1</v>
      </c>
      <c r="AF87" s="17" t="s">
        <v>241</v>
      </c>
      <c r="AG87" s="17" t="s">
        <v>232</v>
      </c>
      <c r="AH87" s="17" t="n">
        <v>1</v>
      </c>
    </row>
    <row r="88" customFormat="false" ht="15" hidden="false" customHeight="false" outlineLevel="0" collapsed="false">
      <c r="A88" s="17" t="n">
        <v>18408</v>
      </c>
      <c r="B88" s="23" t="n">
        <v>44742</v>
      </c>
      <c r="C88" s="17" t="s">
        <v>107</v>
      </c>
      <c r="D88" s="17" t="s">
        <v>108</v>
      </c>
      <c r="E88" s="17" t="n">
        <v>7044628</v>
      </c>
      <c r="F88" s="17" t="n">
        <v>6957647.33333333</v>
      </c>
      <c r="G88" s="17" t="n">
        <v>5698679</v>
      </c>
      <c r="H88" s="17" t="n">
        <v>400181</v>
      </c>
      <c r="I88" s="17" t="n">
        <v>5.68065481953057</v>
      </c>
      <c r="J88" s="17" t="n">
        <v>4218417</v>
      </c>
      <c r="K88" s="17" t="n">
        <v>4055524.33333333</v>
      </c>
      <c r="L88" s="17" t="n">
        <v>4174105</v>
      </c>
      <c r="M88" s="17" t="n">
        <v>3811693</v>
      </c>
      <c r="N88" s="17" t="n">
        <v>300704</v>
      </c>
      <c r="O88" s="17" t="n">
        <v>28143</v>
      </c>
      <c r="P88" s="17" t="n">
        <v>3286</v>
      </c>
      <c r="Q88" s="17" t="n">
        <v>2128</v>
      </c>
      <c r="R88" s="17" t="n">
        <v>0</v>
      </c>
      <c r="S88" s="17" t="n">
        <v>330</v>
      </c>
      <c r="T88" s="17" t="n">
        <v>660</v>
      </c>
      <c r="U88" s="17" t="n">
        <v>0.0162740978910002</v>
      </c>
      <c r="V88" s="17" t="n">
        <v>556541</v>
      </c>
      <c r="W88" s="17" t="n">
        <v>4404524</v>
      </c>
      <c r="X88" s="17" t="n">
        <v>12.6356673275024</v>
      </c>
      <c r="Y88" s="17" t="n">
        <v>47572</v>
      </c>
      <c r="Z88" s="17" t="n">
        <v>0.683736868525769</v>
      </c>
      <c r="AA88" s="17" t="n">
        <v>10.28</v>
      </c>
      <c r="AB88" s="17" t="n">
        <v>2.71187008580479</v>
      </c>
      <c r="AC88" s="17" t="n">
        <v>1.05044143336233</v>
      </c>
      <c r="AD88" s="17" t="n">
        <v>-0.14</v>
      </c>
      <c r="AE88" s="17" t="n">
        <v>1</v>
      </c>
      <c r="AF88" s="17" t="s">
        <v>241</v>
      </c>
      <c r="AG88" s="17" t="s">
        <v>232</v>
      </c>
      <c r="AH88" s="17" t="n">
        <v>0</v>
      </c>
    </row>
    <row r="89" customFormat="false" ht="15" hidden="false" customHeight="false" outlineLevel="0" collapsed="false">
      <c r="A89" s="17" t="n">
        <v>19531</v>
      </c>
      <c r="B89" s="23" t="n">
        <v>44742</v>
      </c>
      <c r="C89" s="17" t="s">
        <v>146</v>
      </c>
      <c r="D89" s="17" t="s">
        <v>108</v>
      </c>
      <c r="E89" s="17" t="n">
        <v>2272024</v>
      </c>
      <c r="F89" s="17" t="n">
        <v>2270371</v>
      </c>
      <c r="G89" s="17" t="n">
        <v>1925714</v>
      </c>
      <c r="H89" s="17" t="n">
        <v>222030</v>
      </c>
      <c r="I89" s="17" t="n">
        <v>9.77234395411316</v>
      </c>
      <c r="J89" s="17" t="n">
        <v>1764676</v>
      </c>
      <c r="K89" s="17" t="n">
        <v>1684692</v>
      </c>
      <c r="L89" s="17" t="n">
        <v>1741067</v>
      </c>
      <c r="M89" s="17" t="n">
        <v>1421672</v>
      </c>
      <c r="N89" s="17" t="n">
        <v>242350</v>
      </c>
      <c r="O89" s="17" t="n">
        <v>12873</v>
      </c>
      <c r="P89" s="17" t="n">
        <v>5750</v>
      </c>
      <c r="Q89" s="17" t="n">
        <v>3231</v>
      </c>
      <c r="R89" s="17" t="n">
        <v>0</v>
      </c>
      <c r="S89" s="17" t="n">
        <v>33</v>
      </c>
      <c r="T89" s="17" t="n">
        <v>66</v>
      </c>
      <c r="U89" s="17" t="n">
        <v>0.00391763004751017</v>
      </c>
      <c r="V89" s="17" t="n">
        <v>274237</v>
      </c>
      <c r="W89" s="17" t="n">
        <v>1867168</v>
      </c>
      <c r="X89" s="17" t="n">
        <v>14.6873232617526</v>
      </c>
      <c r="Y89" s="17" t="n">
        <v>8932</v>
      </c>
      <c r="Z89" s="17" t="n">
        <v>0.393415877845515</v>
      </c>
      <c r="AA89" s="17" t="n">
        <v>3.85</v>
      </c>
      <c r="AB89" s="17" t="n">
        <v>3.53092726803068</v>
      </c>
      <c r="AC89" s="17" t="n">
        <v>1.33786598786406</v>
      </c>
      <c r="AD89" s="17" t="n">
        <v>0</v>
      </c>
      <c r="AE89" s="17" t="n">
        <v>1</v>
      </c>
      <c r="AF89" s="17" t="s">
        <v>241</v>
      </c>
      <c r="AG89" s="17" t="s">
        <v>232</v>
      </c>
      <c r="AH89" s="17" t="n">
        <v>0</v>
      </c>
    </row>
    <row r="90" customFormat="false" ht="15" hidden="false" customHeight="false" outlineLevel="0" collapsed="false">
      <c r="A90" s="17" t="n">
        <v>19532</v>
      </c>
      <c r="B90" s="23" t="n">
        <v>44742</v>
      </c>
      <c r="C90" s="17" t="s">
        <v>164</v>
      </c>
      <c r="D90" s="17" t="s">
        <v>108</v>
      </c>
      <c r="E90" s="17" t="n">
        <v>754376</v>
      </c>
      <c r="F90" s="17" t="n">
        <v>768275.666666667</v>
      </c>
      <c r="G90" s="17" t="n">
        <v>650205</v>
      </c>
      <c r="H90" s="17" t="n">
        <v>89980</v>
      </c>
      <c r="I90" s="17" t="n">
        <v>11.9277389524587</v>
      </c>
      <c r="J90" s="17" t="n">
        <v>515185</v>
      </c>
      <c r="K90" s="17" t="n">
        <v>505738.666666667</v>
      </c>
      <c r="L90" s="17" t="n">
        <v>509274</v>
      </c>
      <c r="M90" s="17" t="n">
        <v>443130</v>
      </c>
      <c r="N90" s="17" t="n">
        <v>22566</v>
      </c>
      <c r="O90" s="17" t="n">
        <v>41806</v>
      </c>
      <c r="P90" s="17" t="n">
        <v>597</v>
      </c>
      <c r="Q90" s="17" t="n">
        <v>596</v>
      </c>
      <c r="R90" s="17" t="n">
        <v>187</v>
      </c>
      <c r="S90" s="17" t="n">
        <v>-4</v>
      </c>
      <c r="T90" s="17" t="n">
        <v>-8</v>
      </c>
      <c r="U90" s="17" t="n">
        <v>-0.00158184464176492</v>
      </c>
      <c r="V90" s="17" t="n">
        <v>111030</v>
      </c>
      <c r="W90" s="17" t="n">
        <v>519950</v>
      </c>
      <c r="X90" s="17" t="n">
        <v>21.3539763438792</v>
      </c>
      <c r="Y90" s="17" t="n">
        <v>3670</v>
      </c>
      <c r="Z90" s="17" t="n">
        <v>0.477693119700524</v>
      </c>
      <c r="AA90" s="17" t="n">
        <v>3.8</v>
      </c>
      <c r="AB90" s="17" t="n">
        <v>3.21438214693699</v>
      </c>
      <c r="AC90" s="17" t="n">
        <v>1.14735483370052</v>
      </c>
      <c r="AD90" s="17" t="n">
        <v>0.01</v>
      </c>
      <c r="AE90" s="17" t="n">
        <v>1</v>
      </c>
      <c r="AF90" s="17" t="s">
        <v>241</v>
      </c>
      <c r="AG90" s="17" t="s">
        <v>232</v>
      </c>
      <c r="AH90" s="17" t="n">
        <v>1</v>
      </c>
    </row>
    <row r="91" customFormat="false" ht="15" hidden="false" customHeight="false" outlineLevel="0" collapsed="false">
      <c r="A91" s="17" t="n">
        <v>19690</v>
      </c>
      <c r="B91" s="23" t="n">
        <v>44742</v>
      </c>
      <c r="C91" s="17" t="s">
        <v>158</v>
      </c>
      <c r="D91" s="17" t="s">
        <v>108</v>
      </c>
      <c r="E91" s="17" t="n">
        <v>1582759</v>
      </c>
      <c r="F91" s="17" t="n">
        <v>1536276.66666667</v>
      </c>
      <c r="G91" s="17" t="n">
        <v>1302616</v>
      </c>
      <c r="H91" s="17" t="n">
        <v>248321</v>
      </c>
      <c r="I91" s="17" t="n">
        <v>15.6891226017353</v>
      </c>
      <c r="J91" s="17" t="n">
        <v>1304866</v>
      </c>
      <c r="K91" s="17" t="n">
        <v>1239458.33333333</v>
      </c>
      <c r="L91" s="17" t="n">
        <v>1299838</v>
      </c>
      <c r="M91" s="17" t="n">
        <v>951396</v>
      </c>
      <c r="N91" s="17" t="n">
        <v>24614</v>
      </c>
      <c r="O91" s="17" t="n">
        <v>719</v>
      </c>
      <c r="P91" s="17" t="n">
        <v>12946</v>
      </c>
      <c r="Q91" s="17" t="n">
        <v>590</v>
      </c>
      <c r="R91" s="17" t="n">
        <v>0</v>
      </c>
      <c r="S91" s="17" t="n">
        <v>-155</v>
      </c>
      <c r="T91" s="17" t="n">
        <v>-310</v>
      </c>
      <c r="U91" s="17" t="n">
        <v>-0.0250109254714761</v>
      </c>
      <c r="V91" s="17" t="n">
        <v>254248</v>
      </c>
      <c r="W91" s="17" t="n">
        <v>1306041</v>
      </c>
      <c r="X91" s="17" t="n">
        <v>19.4670764547208</v>
      </c>
      <c r="Y91" s="17" t="n">
        <v>41766</v>
      </c>
      <c r="Z91" s="17" t="n">
        <v>2.71865093743965</v>
      </c>
      <c r="AA91" s="17" t="n">
        <v>17.05</v>
      </c>
      <c r="AB91" s="17" t="n">
        <v>6.0280785575674</v>
      </c>
      <c r="AC91" s="17" t="n">
        <v>0.385326922457938</v>
      </c>
      <c r="AD91" s="17" t="n">
        <v>-0.15</v>
      </c>
      <c r="AE91" s="17" t="n">
        <v>1</v>
      </c>
      <c r="AF91" s="17" t="s">
        <v>231</v>
      </c>
      <c r="AG91" s="17" t="s">
        <v>232</v>
      </c>
      <c r="AH91" s="17" t="n">
        <v>0</v>
      </c>
    </row>
    <row r="92" customFormat="false" ht="15" hidden="false" customHeight="false" outlineLevel="0" collapsed="false">
      <c r="A92" s="17" t="n">
        <v>19836</v>
      </c>
      <c r="B92" s="23" t="n">
        <v>44742</v>
      </c>
      <c r="C92" s="17" t="s">
        <v>136</v>
      </c>
      <c r="D92" s="17" t="s">
        <v>108</v>
      </c>
      <c r="E92" s="17" t="n">
        <v>565870</v>
      </c>
      <c r="F92" s="17" t="n">
        <v>565168.333333333</v>
      </c>
      <c r="G92" s="17" t="n">
        <v>441969</v>
      </c>
      <c r="H92" s="17" t="n">
        <v>116691</v>
      </c>
      <c r="I92" s="17" t="n">
        <v>20.6215208440101</v>
      </c>
      <c r="J92" s="17" t="n">
        <v>450911</v>
      </c>
      <c r="K92" s="17" t="n">
        <v>435151.333333333</v>
      </c>
      <c r="L92" s="17" t="n">
        <v>447011</v>
      </c>
      <c r="M92" s="17" t="n">
        <v>383579</v>
      </c>
      <c r="N92" s="17" t="n">
        <v>49522</v>
      </c>
      <c r="O92" s="17" t="n">
        <v>11852</v>
      </c>
      <c r="P92" s="17" t="n">
        <v>1685</v>
      </c>
      <c r="Q92" s="17" t="n">
        <v>1378</v>
      </c>
      <c r="R92" s="17" t="n">
        <v>0</v>
      </c>
      <c r="S92" s="17" t="n">
        <v>-18</v>
      </c>
      <c r="T92" s="17" t="n">
        <v>-36</v>
      </c>
      <c r="U92" s="17" t="n">
        <v>-0.00827298395807129</v>
      </c>
      <c r="V92" s="17" t="n">
        <v>126982</v>
      </c>
      <c r="W92" s="17" t="n">
        <v>433379</v>
      </c>
      <c r="X92" s="17" t="n">
        <v>29.3004506448167</v>
      </c>
      <c r="Y92" s="17" t="n">
        <v>4858</v>
      </c>
      <c r="Z92" s="17" t="n">
        <v>0.859566913692381</v>
      </c>
      <c r="AA92" s="17" t="n">
        <v>4.24</v>
      </c>
      <c r="AB92" s="17" t="n">
        <v>3.96827042134604</v>
      </c>
      <c r="AC92" s="17" t="n">
        <v>0.864915692897268</v>
      </c>
      <c r="AD92" s="17" t="n">
        <v>-0.01</v>
      </c>
      <c r="AE92" s="17" t="n">
        <v>1</v>
      </c>
      <c r="AF92" s="17" t="s">
        <v>314</v>
      </c>
      <c r="AG92" s="17" t="s">
        <v>232</v>
      </c>
      <c r="AH92" s="17" t="n">
        <v>0</v>
      </c>
    </row>
    <row r="93" customFormat="false" ht="15" hidden="false" customHeight="false" outlineLevel="0" collapsed="false">
      <c r="A93" s="17" t="n">
        <v>24540</v>
      </c>
      <c r="B93" s="23" t="n">
        <v>44742</v>
      </c>
      <c r="C93" s="17" t="s">
        <v>163</v>
      </c>
      <c r="D93" s="17" t="s">
        <v>116</v>
      </c>
      <c r="E93" s="17" t="n">
        <v>1234978</v>
      </c>
      <c r="F93" s="17" t="n">
        <v>1246540.66666667</v>
      </c>
      <c r="G93" s="17" t="n">
        <v>1010154</v>
      </c>
      <c r="H93" s="17" t="n">
        <v>198951</v>
      </c>
      <c r="I93" s="17" t="n">
        <v>16.1096796866017</v>
      </c>
      <c r="J93" s="17" t="n">
        <v>1041543</v>
      </c>
      <c r="K93" s="17" t="n">
        <v>1044025</v>
      </c>
      <c r="L93" s="17" t="n">
        <v>1028877</v>
      </c>
      <c r="M93" s="17" t="n">
        <v>1001399</v>
      </c>
      <c r="N93" s="17" t="n">
        <v>42956</v>
      </c>
      <c r="O93" s="17" t="n">
        <v>114</v>
      </c>
      <c r="P93" s="17" t="n">
        <v>782</v>
      </c>
      <c r="Q93" s="17" t="n">
        <v>0</v>
      </c>
      <c r="R93" s="17" t="n">
        <v>0</v>
      </c>
      <c r="S93" s="17" t="n">
        <v>-15</v>
      </c>
      <c r="T93" s="17" t="n">
        <v>-30</v>
      </c>
      <c r="U93" s="17" t="n">
        <v>-0.0028734944086588</v>
      </c>
      <c r="V93" s="17" t="n">
        <v>0</v>
      </c>
      <c r="W93" s="17" t="n">
        <v>0</v>
      </c>
      <c r="X93" s="17" t="n">
        <v>0</v>
      </c>
      <c r="Y93" s="17" t="n">
        <v>26860</v>
      </c>
      <c r="Z93" s="17" t="n">
        <v>2.15476323542861</v>
      </c>
      <c r="AA93" s="17" t="n">
        <v>13.94</v>
      </c>
      <c r="AB93" s="17" t="n">
        <v>4.29022601129675</v>
      </c>
      <c r="AC93" s="17" t="n">
        <v>1.21608037306189</v>
      </c>
      <c r="AD93" s="17" t="n">
        <v>0</v>
      </c>
      <c r="AE93" s="17" t="n">
        <v>1</v>
      </c>
      <c r="AF93" s="17" t="s">
        <v>231</v>
      </c>
      <c r="AG93" s="17" t="s">
        <v>232</v>
      </c>
      <c r="AH93" s="17" t="n">
        <v>0</v>
      </c>
    </row>
    <row r="94" customFormat="false" ht="15" hidden="false" customHeight="false" outlineLevel="0" collapsed="false">
      <c r="A94" s="17" t="n">
        <v>27824</v>
      </c>
      <c r="B94" s="23" t="n">
        <v>44742</v>
      </c>
      <c r="C94" s="17" t="s">
        <v>117</v>
      </c>
      <c r="D94" s="17" t="s">
        <v>116</v>
      </c>
      <c r="E94" s="17" t="n">
        <v>469898</v>
      </c>
      <c r="F94" s="17" t="n">
        <v>458013.333333333</v>
      </c>
      <c r="G94" s="17" t="n">
        <v>371733</v>
      </c>
      <c r="H94" s="17" t="n">
        <v>67598</v>
      </c>
      <c r="I94" s="17" t="n">
        <v>14.3856751890836</v>
      </c>
      <c r="J94" s="17" t="n">
        <v>379937</v>
      </c>
      <c r="K94" s="17" t="n">
        <v>364325</v>
      </c>
      <c r="L94" s="17" t="n">
        <v>376867</v>
      </c>
      <c r="M94" s="17" t="n">
        <v>328679</v>
      </c>
      <c r="N94" s="17" t="n">
        <v>22410</v>
      </c>
      <c r="O94" s="17" t="n">
        <v>28849</v>
      </c>
      <c r="P94" s="17" t="n">
        <v>861</v>
      </c>
      <c r="Q94" s="17" t="n">
        <v>848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74825</v>
      </c>
      <c r="W94" s="17" t="n">
        <v>303453</v>
      </c>
      <c r="X94" s="17" t="n">
        <v>24.6578547583975</v>
      </c>
      <c r="Y94" s="17" t="n">
        <v>1754</v>
      </c>
      <c r="Z94" s="17" t="n">
        <v>0.382958283601642</v>
      </c>
      <c r="AA94" s="17" t="n">
        <v>2.53</v>
      </c>
      <c r="AB94" s="17" t="n">
        <v>2.9356123296964</v>
      </c>
      <c r="AC94" s="17" t="n">
        <v>0.808028699494916</v>
      </c>
      <c r="AD94" s="17" t="n">
        <v>0</v>
      </c>
      <c r="AE94" s="17" t="n">
        <v>1</v>
      </c>
      <c r="AF94" s="17" t="s">
        <v>354</v>
      </c>
      <c r="AG94" s="17" t="s">
        <v>232</v>
      </c>
      <c r="AH94" s="17" t="n">
        <v>1</v>
      </c>
    </row>
    <row r="95" customFormat="false" ht="15" hidden="false" customHeight="false" outlineLevel="0" collapsed="false">
      <c r="A95" s="17" t="n">
        <v>28155</v>
      </c>
      <c r="B95" s="23" t="n">
        <v>44742</v>
      </c>
      <c r="C95" s="17" t="s">
        <v>150</v>
      </c>
      <c r="D95" s="17" t="s">
        <v>116</v>
      </c>
      <c r="E95" s="17" t="n">
        <v>299676</v>
      </c>
      <c r="F95" s="17" t="n">
        <v>289379.666666667</v>
      </c>
      <c r="G95" s="17" t="n">
        <v>271184</v>
      </c>
      <c r="H95" s="17" t="n">
        <v>27573</v>
      </c>
      <c r="I95" s="17" t="n">
        <v>9.20093701197293</v>
      </c>
      <c r="J95" s="17" t="n">
        <v>149772</v>
      </c>
      <c r="K95" s="17" t="n">
        <v>147566.666666667</v>
      </c>
      <c r="L95" s="17" t="n">
        <v>148908</v>
      </c>
      <c r="M95" s="17" t="n">
        <v>139442</v>
      </c>
      <c r="N95" s="17" t="n">
        <v>5461</v>
      </c>
      <c r="O95" s="17" t="n">
        <v>4201</v>
      </c>
      <c r="P95" s="17" t="n">
        <v>12</v>
      </c>
      <c r="Q95" s="17" t="n">
        <v>958</v>
      </c>
      <c r="R95" s="17" t="n">
        <v>0</v>
      </c>
      <c r="S95" s="17" t="n">
        <v>5</v>
      </c>
      <c r="T95" s="17" t="n">
        <v>10</v>
      </c>
      <c r="U95" s="17" t="n">
        <v>0.00677659814772984</v>
      </c>
      <c r="V95" s="17" t="n">
        <v>29202</v>
      </c>
      <c r="W95" s="17" t="n">
        <v>153513</v>
      </c>
      <c r="X95" s="17" t="n">
        <v>19.0224932090442</v>
      </c>
      <c r="Y95" s="17" t="n">
        <v>742</v>
      </c>
      <c r="Z95" s="17" t="n">
        <v>0.25641055176648</v>
      </c>
      <c r="AA95" s="17" t="n">
        <v>2.69</v>
      </c>
      <c r="AB95" s="17" t="n">
        <v>2.68514754596641</v>
      </c>
      <c r="AC95" s="17" t="n">
        <v>0.576876852816281</v>
      </c>
      <c r="AD95" s="17" t="n">
        <v>0.03</v>
      </c>
      <c r="AE95" s="17" t="n">
        <v>1</v>
      </c>
      <c r="AF95" s="17" t="s">
        <v>314</v>
      </c>
      <c r="AG95" s="17" t="s">
        <v>232</v>
      </c>
      <c r="AH95" s="17" t="n">
        <v>0</v>
      </c>
    </row>
    <row r="96" customFormat="false" ht="15" hidden="false" customHeight="false" outlineLevel="0" collapsed="false">
      <c r="A96" s="17" t="n">
        <v>28288</v>
      </c>
      <c r="B96" s="23" t="n">
        <v>44742</v>
      </c>
      <c r="C96" s="17" t="s">
        <v>124</v>
      </c>
      <c r="D96" s="17" t="s">
        <v>108</v>
      </c>
      <c r="E96" s="17" t="n">
        <v>98212</v>
      </c>
      <c r="F96" s="17" t="n">
        <v>94389</v>
      </c>
      <c r="G96" s="17" t="n">
        <v>80509</v>
      </c>
      <c r="H96" s="17" t="n">
        <v>6561</v>
      </c>
      <c r="I96" s="17" t="n">
        <v>6.6804463812976</v>
      </c>
      <c r="J96" s="17" t="n">
        <v>77137</v>
      </c>
      <c r="K96" s="17" t="n">
        <v>74631</v>
      </c>
      <c r="L96" s="17" t="n">
        <v>76277</v>
      </c>
      <c r="M96" s="17" t="n">
        <v>73486</v>
      </c>
      <c r="N96" s="17" t="n">
        <v>3133</v>
      </c>
      <c r="O96" s="17" t="n">
        <v>518</v>
      </c>
      <c r="P96" s="17" t="n">
        <v>408</v>
      </c>
      <c r="Q96" s="17" t="n">
        <v>38</v>
      </c>
      <c r="R96" s="17" t="n">
        <v>0</v>
      </c>
      <c r="S96" s="17" t="n">
        <v>47</v>
      </c>
      <c r="T96" s="17" t="n">
        <v>94</v>
      </c>
      <c r="U96" s="17" t="n">
        <v>0.12595302220257</v>
      </c>
      <c r="V96" s="17" t="n">
        <v>8847</v>
      </c>
      <c r="W96" s="17" t="n">
        <v>65843</v>
      </c>
      <c r="X96" s="17" t="n">
        <v>13.4365080570448</v>
      </c>
      <c r="Y96" s="17" t="n">
        <v>92</v>
      </c>
      <c r="Z96" s="17" t="n">
        <v>0.0974689847333906</v>
      </c>
      <c r="AA96" s="17" t="n">
        <v>1.28</v>
      </c>
      <c r="AB96" s="17" t="n">
        <v>3.52150607534091</v>
      </c>
      <c r="AC96" s="17" t="n">
        <v>1.11489946458898</v>
      </c>
      <c r="AD96" s="17" t="n">
        <v>0.08</v>
      </c>
      <c r="AE96" s="17" t="n">
        <v>1</v>
      </c>
      <c r="AF96" s="17" t="s">
        <v>361</v>
      </c>
      <c r="AG96" s="17" t="s">
        <v>211</v>
      </c>
      <c r="AH96" s="17" t="n">
        <v>0</v>
      </c>
    </row>
    <row r="97" customFormat="false" ht="15" hidden="false" customHeight="false" outlineLevel="0" collapsed="false">
      <c r="A97" s="17" t="n">
        <v>28369</v>
      </c>
      <c r="B97" s="23" t="n">
        <v>44742</v>
      </c>
      <c r="C97" s="17" t="s">
        <v>145</v>
      </c>
      <c r="D97" s="17" t="s">
        <v>108</v>
      </c>
      <c r="E97" s="17" t="n">
        <v>87270</v>
      </c>
      <c r="F97" s="17" t="n">
        <v>86250.6666666667</v>
      </c>
      <c r="G97" s="17" t="n">
        <v>75522</v>
      </c>
      <c r="H97" s="17" t="n">
        <v>9341</v>
      </c>
      <c r="I97" s="17" t="n">
        <v>10.7035636530308</v>
      </c>
      <c r="J97" s="17" t="n">
        <v>73277</v>
      </c>
      <c r="K97" s="17" t="n">
        <v>73429</v>
      </c>
      <c r="L97" s="17" t="n">
        <v>72699</v>
      </c>
      <c r="M97" s="17" t="n">
        <v>61748</v>
      </c>
      <c r="N97" s="17" t="n">
        <v>10612</v>
      </c>
      <c r="O97" s="17" t="n">
        <v>917</v>
      </c>
      <c r="P97" s="17" t="n">
        <v>372</v>
      </c>
      <c r="Q97" s="17" t="n">
        <v>89</v>
      </c>
      <c r="R97" s="17" t="n">
        <v>0</v>
      </c>
      <c r="S97" s="17" t="n">
        <v>-4</v>
      </c>
      <c r="T97" s="17" t="n">
        <v>-8</v>
      </c>
      <c r="U97" s="17" t="n">
        <v>-0.0108948780454589</v>
      </c>
      <c r="V97" s="17" t="n">
        <v>0</v>
      </c>
      <c r="W97" s="17" t="n">
        <v>0</v>
      </c>
      <c r="X97" s="17" t="n">
        <v>0</v>
      </c>
      <c r="Y97" s="17" t="n">
        <v>-26</v>
      </c>
      <c r="Z97" s="17" t="n">
        <v>-0.0301446945337621</v>
      </c>
      <c r="AA97" s="17" t="n">
        <v>-0.28</v>
      </c>
      <c r="AB97" s="17" t="n">
        <v>3.60618763943027</v>
      </c>
      <c r="AC97" s="17" t="n">
        <v>0.788787750590226</v>
      </c>
      <c r="AD97" s="17" t="n">
        <v>0.07</v>
      </c>
      <c r="AE97" s="17" t="n">
        <v>1</v>
      </c>
      <c r="AF97" s="17" t="s">
        <v>361</v>
      </c>
      <c r="AG97" s="17" t="s">
        <v>211</v>
      </c>
      <c r="AH97" s="17" t="n">
        <v>1</v>
      </c>
    </row>
    <row r="98" customFormat="false" ht="15" hidden="false" customHeight="false" outlineLevel="0" collapsed="false">
      <c r="A98" s="17" t="n">
        <v>28837</v>
      </c>
      <c r="B98" s="23" t="n">
        <v>44742</v>
      </c>
      <c r="C98" s="17" t="s">
        <v>142</v>
      </c>
      <c r="D98" s="17" t="s">
        <v>113</v>
      </c>
      <c r="E98" s="17" t="n">
        <v>290878</v>
      </c>
      <c r="F98" s="17" t="n">
        <v>298220</v>
      </c>
      <c r="G98" s="17" t="n">
        <v>266261</v>
      </c>
      <c r="H98" s="17" t="n">
        <v>22419</v>
      </c>
      <c r="I98" s="17" t="n">
        <v>7.7073549735628</v>
      </c>
      <c r="J98" s="17" t="n">
        <v>188647</v>
      </c>
      <c r="K98" s="17" t="n">
        <v>189577</v>
      </c>
      <c r="L98" s="17" t="n">
        <v>186376</v>
      </c>
      <c r="M98" s="17" t="n">
        <v>179830</v>
      </c>
      <c r="N98" s="17" t="n">
        <v>6574</v>
      </c>
      <c r="O98" s="17" t="n">
        <v>1145</v>
      </c>
      <c r="P98" s="17" t="n">
        <v>0</v>
      </c>
      <c r="Q98" s="17" t="n">
        <v>65</v>
      </c>
      <c r="R98" s="17" t="n">
        <v>0</v>
      </c>
      <c r="S98" s="17" t="n">
        <v>135</v>
      </c>
      <c r="T98" s="17" t="n">
        <v>270</v>
      </c>
      <c r="U98" s="17" t="n">
        <v>0.142422340262796</v>
      </c>
      <c r="V98" s="17" t="n">
        <v>22565</v>
      </c>
      <c r="W98" s="17" t="n">
        <v>152854</v>
      </c>
      <c r="X98" s="17" t="n">
        <v>14.7624530597825</v>
      </c>
      <c r="Y98" s="17" t="n">
        <v>1098</v>
      </c>
      <c r="Z98" s="17" t="n">
        <v>0.368184561732949</v>
      </c>
      <c r="AA98" s="17" t="n">
        <v>4.96</v>
      </c>
      <c r="AB98" s="17" t="n">
        <v>2.60354973570456</v>
      </c>
      <c r="AC98" s="17" t="n">
        <v>1.2038357355272</v>
      </c>
      <c r="AD98" s="17" t="n">
        <v>0.06</v>
      </c>
      <c r="AE98" s="17" t="n">
        <v>1</v>
      </c>
      <c r="AF98" s="17" t="s">
        <v>314</v>
      </c>
      <c r="AG98" s="17" t="s">
        <v>232</v>
      </c>
      <c r="AH98" s="17" t="n">
        <v>1</v>
      </c>
    </row>
    <row r="99" customFormat="false" ht="15" hidden="false" customHeight="false" outlineLevel="0" collapsed="false">
      <c r="A99" s="17" t="n">
        <v>29636</v>
      </c>
      <c r="B99" s="23" t="n">
        <v>44742</v>
      </c>
      <c r="C99" s="17" t="s">
        <v>123</v>
      </c>
      <c r="D99" s="17" t="s">
        <v>108</v>
      </c>
      <c r="E99" s="17" t="n">
        <v>182713</v>
      </c>
      <c r="F99" s="17" t="n">
        <v>180873.666666667</v>
      </c>
      <c r="G99" s="17" t="n">
        <v>157371</v>
      </c>
      <c r="H99" s="17" t="n">
        <v>23979</v>
      </c>
      <c r="I99" s="17" t="n">
        <v>13.1238609184897</v>
      </c>
      <c r="J99" s="17" t="n">
        <v>111784</v>
      </c>
      <c r="K99" s="17" t="n">
        <v>109653.666666667</v>
      </c>
      <c r="L99" s="17" t="n">
        <v>110096</v>
      </c>
      <c r="M99" s="17" t="n">
        <v>108292</v>
      </c>
      <c r="N99" s="17" t="n">
        <v>1377</v>
      </c>
      <c r="O99" s="17" t="n">
        <v>2115</v>
      </c>
      <c r="P99" s="17" t="n">
        <v>2116</v>
      </c>
      <c r="Q99" s="17" t="n">
        <v>1771</v>
      </c>
      <c r="R99" s="17" t="n">
        <v>0</v>
      </c>
      <c r="S99" s="17" t="n">
        <v>-3</v>
      </c>
      <c r="T99" s="17" t="n">
        <v>-6</v>
      </c>
      <c r="U99" s="17" t="n">
        <v>-0.00547177324971653</v>
      </c>
      <c r="V99" s="17" t="n">
        <v>25806</v>
      </c>
      <c r="W99" s="17" t="n">
        <v>83652</v>
      </c>
      <c r="X99" s="17" t="n">
        <v>30.849232534787</v>
      </c>
      <c r="Y99" s="17" t="n">
        <v>240</v>
      </c>
      <c r="Z99" s="17" t="n">
        <v>0.132689298792343</v>
      </c>
      <c r="AA99" s="17" t="n">
        <v>0.99</v>
      </c>
      <c r="AB99" s="17" t="n">
        <v>3.03270209827388</v>
      </c>
      <c r="AC99" s="17" t="n">
        <v>1.51005510627639</v>
      </c>
      <c r="AD99" s="17" t="n">
        <v>0.03</v>
      </c>
      <c r="AE99" s="17" t="n">
        <v>1</v>
      </c>
      <c r="AF99" s="17" t="s">
        <v>361</v>
      </c>
      <c r="AG99" s="17" t="s">
        <v>211</v>
      </c>
      <c r="AH99" s="17" t="n">
        <v>1</v>
      </c>
    </row>
    <row r="100" customFormat="false" ht="15" hidden="false" customHeight="false" outlineLevel="0" collapsed="false">
      <c r="A100" s="17" t="n">
        <v>29743</v>
      </c>
      <c r="B100" s="23" t="n">
        <v>44742</v>
      </c>
      <c r="C100" s="17" t="s">
        <v>140</v>
      </c>
      <c r="D100" s="17" t="s">
        <v>108</v>
      </c>
      <c r="E100" s="17" t="n">
        <v>176966</v>
      </c>
      <c r="F100" s="17" t="n">
        <v>175500.666666667</v>
      </c>
      <c r="G100" s="17" t="n">
        <v>160168</v>
      </c>
      <c r="H100" s="17" t="n">
        <v>14544</v>
      </c>
      <c r="I100" s="17" t="n">
        <v>8.21852785280789</v>
      </c>
      <c r="J100" s="17" t="n">
        <v>118848</v>
      </c>
      <c r="K100" s="17" t="n">
        <v>117284</v>
      </c>
      <c r="L100" s="17" t="n">
        <v>118416</v>
      </c>
      <c r="M100" s="17" t="n">
        <v>78376</v>
      </c>
      <c r="N100" s="17" t="n">
        <v>21981</v>
      </c>
      <c r="O100" s="17" t="n">
        <v>18389</v>
      </c>
      <c r="P100" s="17" t="n">
        <v>467</v>
      </c>
      <c r="Q100" s="17" t="n">
        <v>84</v>
      </c>
      <c r="R100" s="17" t="n">
        <v>0</v>
      </c>
      <c r="S100" s="17" t="n">
        <v>98</v>
      </c>
      <c r="T100" s="17" t="n">
        <v>196</v>
      </c>
      <c r="U100" s="17" t="n">
        <v>0.167115719109171</v>
      </c>
      <c r="V100" s="17" t="n">
        <v>18037</v>
      </c>
      <c r="W100" s="17" t="n">
        <v>102411</v>
      </c>
      <c r="X100" s="17" t="n">
        <v>17.6123658591362</v>
      </c>
      <c r="Y100" s="17" t="n">
        <v>1322</v>
      </c>
      <c r="Z100" s="17" t="n">
        <v>0.753273491838588</v>
      </c>
      <c r="AA100" s="17" t="n">
        <v>8.46</v>
      </c>
      <c r="AB100" s="17" t="n">
        <v>2.56107379395051</v>
      </c>
      <c r="AC100" s="17" t="n">
        <v>0.363489499192246</v>
      </c>
      <c r="AD100" s="17" t="n">
        <v>0</v>
      </c>
      <c r="AE100" s="17" t="n">
        <v>1</v>
      </c>
      <c r="AF100" s="17" t="s">
        <v>354</v>
      </c>
      <c r="AG100" s="17" t="s">
        <v>211</v>
      </c>
      <c r="AH100" s="17" t="n">
        <v>0</v>
      </c>
    </row>
    <row r="101" customFormat="false" ht="15" hidden="false" customHeight="false" outlineLevel="0" collapsed="false">
      <c r="A101" s="17" t="n">
        <v>29744</v>
      </c>
      <c r="B101" s="23" t="n">
        <v>44742</v>
      </c>
      <c r="C101" s="17" t="s">
        <v>137</v>
      </c>
      <c r="D101" s="17" t="s">
        <v>116</v>
      </c>
      <c r="E101" s="17" t="n">
        <v>510338</v>
      </c>
      <c r="F101" s="17" t="n">
        <v>499167</v>
      </c>
      <c r="G101" s="17" t="n">
        <v>400169</v>
      </c>
      <c r="H101" s="17" t="n">
        <v>42675</v>
      </c>
      <c r="I101" s="17" t="n">
        <v>8.36210511464951</v>
      </c>
      <c r="J101" s="17" t="n">
        <v>384539</v>
      </c>
      <c r="K101" s="17" t="n">
        <v>380294</v>
      </c>
      <c r="L101" s="17" t="n">
        <v>380896</v>
      </c>
      <c r="M101" s="17" t="n">
        <v>352732</v>
      </c>
      <c r="N101" s="17" t="n">
        <v>24641</v>
      </c>
      <c r="O101" s="17" t="n">
        <v>7166</v>
      </c>
      <c r="P101" s="17" t="n">
        <v>602</v>
      </c>
      <c r="Q101" s="17" t="n">
        <v>10</v>
      </c>
      <c r="R101" s="17" t="n">
        <v>0</v>
      </c>
      <c r="S101" s="17" t="n">
        <v>7</v>
      </c>
      <c r="T101" s="17" t="n">
        <v>14</v>
      </c>
      <c r="U101" s="17" t="n">
        <v>0.0036813623144199</v>
      </c>
      <c r="V101" s="17" t="n">
        <v>54064</v>
      </c>
      <c r="W101" s="17" t="n">
        <v>323717</v>
      </c>
      <c r="X101" s="17" t="n">
        <v>16.7010073613681</v>
      </c>
      <c r="Y101" s="17" t="n">
        <v>1276</v>
      </c>
      <c r="Z101" s="17" t="n">
        <v>0.255625872703925</v>
      </c>
      <c r="AA101" s="17" t="n">
        <v>2.74</v>
      </c>
      <c r="AB101" s="17" t="n">
        <v>3.18052641179198</v>
      </c>
      <c r="AC101" s="17" t="n">
        <v>0.947368147314057</v>
      </c>
      <c r="AD101" s="17" t="n">
        <v>0.02</v>
      </c>
      <c r="AE101" s="17" t="n">
        <v>1</v>
      </c>
      <c r="AF101" s="17" t="s">
        <v>361</v>
      </c>
      <c r="AG101" s="17" t="s">
        <v>211</v>
      </c>
      <c r="AH101" s="17" t="n">
        <v>0</v>
      </c>
    </row>
    <row r="102" customFormat="false" ht="15" hidden="false" customHeight="false" outlineLevel="0" collapsed="false">
      <c r="A102" s="17" t="n">
        <v>30350</v>
      </c>
      <c r="B102" s="23" t="n">
        <v>44742</v>
      </c>
      <c r="C102" s="17" t="s">
        <v>154</v>
      </c>
      <c r="D102" s="17" t="s">
        <v>113</v>
      </c>
      <c r="E102" s="17" t="n">
        <v>543454</v>
      </c>
      <c r="F102" s="17" t="n">
        <v>548132.333333333</v>
      </c>
      <c r="G102" s="17" t="n">
        <v>468153</v>
      </c>
      <c r="H102" s="17" t="n">
        <v>50997</v>
      </c>
      <c r="I102" s="17" t="n">
        <v>9.38386689581823</v>
      </c>
      <c r="J102" s="17" t="n">
        <v>371004</v>
      </c>
      <c r="K102" s="17" t="n">
        <v>367962</v>
      </c>
      <c r="L102" s="17" t="n">
        <v>365913</v>
      </c>
      <c r="M102" s="17" t="n">
        <v>358181</v>
      </c>
      <c r="N102" s="17" t="n">
        <v>10553</v>
      </c>
      <c r="O102" s="17" t="n">
        <v>876</v>
      </c>
      <c r="P102" s="17" t="n">
        <v>2718</v>
      </c>
      <c r="Q102" s="17" t="n">
        <v>662</v>
      </c>
      <c r="R102" s="17" t="n">
        <v>0</v>
      </c>
      <c r="S102" s="17" t="n">
        <v>213</v>
      </c>
      <c r="T102" s="17" t="n">
        <v>426</v>
      </c>
      <c r="U102" s="17" t="n">
        <v>0.115772824367734</v>
      </c>
      <c r="V102" s="17" t="n">
        <v>60041</v>
      </c>
      <c r="W102" s="17" t="n">
        <v>282727</v>
      </c>
      <c r="X102" s="17" t="n">
        <v>21.2363870447464</v>
      </c>
      <c r="Y102" s="17" t="n">
        <v>2756</v>
      </c>
      <c r="Z102" s="17" t="n">
        <v>0.502798290193913</v>
      </c>
      <c r="AA102" s="17" t="n">
        <v>5.27</v>
      </c>
      <c r="AB102" s="17" t="n">
        <v>2.72249357426288</v>
      </c>
      <c r="AC102" s="17" t="n">
        <v>1.3722224019148</v>
      </c>
      <c r="AD102" s="17" t="n">
        <v>0</v>
      </c>
      <c r="AE102" s="17" t="n">
        <v>1</v>
      </c>
      <c r="AF102" s="17" t="s">
        <v>361</v>
      </c>
      <c r="AG102" s="17" t="s">
        <v>211</v>
      </c>
      <c r="AH102" s="17" t="n">
        <v>0</v>
      </c>
    </row>
    <row r="103" customFormat="false" ht="15" hidden="false" customHeight="false" outlineLevel="0" collapsed="false">
      <c r="A103" s="17" t="n">
        <v>30878</v>
      </c>
      <c r="B103" s="23" t="n">
        <v>44742</v>
      </c>
      <c r="C103" s="17" t="s">
        <v>110</v>
      </c>
      <c r="D103" s="17" t="s">
        <v>108</v>
      </c>
      <c r="E103" s="17" t="n">
        <v>100800</v>
      </c>
      <c r="F103" s="17" t="n">
        <v>100608.333333333</v>
      </c>
      <c r="G103" s="17" t="n">
        <v>78524</v>
      </c>
      <c r="H103" s="17" t="n">
        <v>12406</v>
      </c>
      <c r="I103" s="17" t="n">
        <v>12.3075396825397</v>
      </c>
      <c r="J103" s="17" t="n">
        <v>72560</v>
      </c>
      <c r="K103" s="17" t="n">
        <v>70085.3333333333</v>
      </c>
      <c r="L103" s="17" t="n">
        <v>71756</v>
      </c>
      <c r="M103" s="17" t="n">
        <v>72468</v>
      </c>
      <c r="N103" s="17" t="n">
        <v>0</v>
      </c>
      <c r="O103" s="17" t="n">
        <v>92</v>
      </c>
      <c r="P103" s="17" t="n">
        <v>466</v>
      </c>
      <c r="Q103" s="17" t="n">
        <v>361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312</v>
      </c>
      <c r="Z103" s="17" t="n">
        <v>0.310113476352191</v>
      </c>
      <c r="AA103" s="17" t="n">
        <v>2.51</v>
      </c>
      <c r="AB103" s="17" t="n">
        <v>2.04745215081734</v>
      </c>
      <c r="AC103" s="17" t="n">
        <v>1.10804851157663</v>
      </c>
      <c r="AD103" s="17" t="n">
        <v>0.04</v>
      </c>
      <c r="AE103" s="17" t="n">
        <v>1</v>
      </c>
      <c r="AF103" s="17" t="s">
        <v>354</v>
      </c>
      <c r="AG103" s="17" t="s">
        <v>232</v>
      </c>
      <c r="AH103" s="17" t="n">
        <v>1</v>
      </c>
    </row>
    <row r="104" customFormat="false" ht="15" hidden="false" customHeight="false" outlineLevel="0" collapsed="false">
      <c r="A104" s="17" t="n">
        <v>33418</v>
      </c>
      <c r="B104" s="23" t="n">
        <v>44742</v>
      </c>
      <c r="C104" s="17" t="s">
        <v>133</v>
      </c>
      <c r="D104" s="17" t="s">
        <v>113</v>
      </c>
      <c r="E104" s="17" t="n">
        <v>732318</v>
      </c>
      <c r="F104" s="17" t="n">
        <v>752857.333333333</v>
      </c>
      <c r="G104" s="17" t="n">
        <v>570903</v>
      </c>
      <c r="H104" s="17" t="n">
        <v>59389</v>
      </c>
      <c r="I104" s="17" t="n">
        <v>8.10972828743797</v>
      </c>
      <c r="J104" s="17" t="n">
        <v>354978</v>
      </c>
      <c r="K104" s="17" t="n">
        <v>358873</v>
      </c>
      <c r="L104" s="17" t="n">
        <v>347512</v>
      </c>
      <c r="M104" s="17" t="n">
        <v>301150</v>
      </c>
      <c r="N104" s="17" t="n">
        <v>40513</v>
      </c>
      <c r="O104" s="17" t="n">
        <v>13342</v>
      </c>
      <c r="P104" s="17" t="n">
        <v>2652</v>
      </c>
      <c r="Q104" s="17" t="n">
        <v>497</v>
      </c>
      <c r="R104" s="17" t="n">
        <v>0</v>
      </c>
      <c r="S104" s="17" t="n">
        <v>2</v>
      </c>
      <c r="T104" s="17" t="n">
        <v>4</v>
      </c>
      <c r="U104" s="17" t="n">
        <v>0.00111460042967847</v>
      </c>
      <c r="V104" s="17" t="n">
        <v>85391</v>
      </c>
      <c r="W104" s="17" t="n">
        <v>458903</v>
      </c>
      <c r="X104" s="17" t="n">
        <v>18.6076360363737</v>
      </c>
      <c r="Y104" s="17" t="n">
        <v>8776</v>
      </c>
      <c r="Z104" s="17" t="n">
        <v>1.16569230469518</v>
      </c>
      <c r="AA104" s="17" t="n">
        <v>14.67</v>
      </c>
      <c r="AB104" s="17" t="n">
        <v>2.71692040204904</v>
      </c>
      <c r="AC104" s="17" t="n">
        <v>2.10322893249723</v>
      </c>
      <c r="AD104" s="17" t="n">
        <v>0</v>
      </c>
      <c r="AE104" s="17" t="n">
        <v>1</v>
      </c>
      <c r="AF104" s="17" t="s">
        <v>210</v>
      </c>
      <c r="AG104" s="17" t="s">
        <v>211</v>
      </c>
      <c r="AH104" s="17" t="n">
        <v>0</v>
      </c>
    </row>
    <row r="105" customFormat="false" ht="15" hidden="false" customHeight="false" outlineLevel="0" collapsed="false">
      <c r="A105" s="17" t="n">
        <v>35206</v>
      </c>
      <c r="B105" s="23" t="n">
        <v>44742</v>
      </c>
      <c r="C105" s="17" t="s">
        <v>166</v>
      </c>
      <c r="D105" s="17" t="s">
        <v>116</v>
      </c>
      <c r="E105" s="17" t="n">
        <v>62457</v>
      </c>
      <c r="F105" s="17" t="n">
        <v>64901</v>
      </c>
      <c r="G105" s="17" t="n">
        <v>500</v>
      </c>
      <c r="H105" s="17" t="n">
        <v>57487</v>
      </c>
      <c r="I105" s="17" t="n">
        <v>92.0425252573771</v>
      </c>
      <c r="J105" s="17" t="n">
        <v>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1478</v>
      </c>
      <c r="Z105" s="17" t="n">
        <v>2.27731467928075</v>
      </c>
      <c r="AA105" s="17" t="n">
        <v>2.59</v>
      </c>
      <c r="AB105" s="17" t="n">
        <v>3.17266832579952</v>
      </c>
      <c r="AC105" s="17" t="n">
        <v>0</v>
      </c>
      <c r="AD105" s="17" t="n">
        <v>0</v>
      </c>
      <c r="AE105" s="17" t="n">
        <v>1</v>
      </c>
      <c r="AF105" s="17" t="s">
        <v>361</v>
      </c>
      <c r="AG105" s="17" t="s">
        <v>211</v>
      </c>
      <c r="AH105" s="17" t="n">
        <v>0</v>
      </c>
    </row>
    <row r="106" customFormat="false" ht="15" hidden="false" customHeight="false" outlineLevel="0" collapsed="false">
      <c r="A106" s="17" t="n">
        <v>59086</v>
      </c>
      <c r="B106" s="23" t="n">
        <v>44742</v>
      </c>
      <c r="C106" s="17" t="s">
        <v>141</v>
      </c>
      <c r="D106" s="17" t="s">
        <v>116</v>
      </c>
      <c r="E106" s="17" t="n">
        <v>670113</v>
      </c>
      <c r="F106" s="17" t="n">
        <v>681065</v>
      </c>
      <c r="G106" s="17" t="n">
        <v>597579</v>
      </c>
      <c r="H106" s="17" t="n">
        <v>69673</v>
      </c>
      <c r="I106" s="17" t="n">
        <v>10.3972016659877</v>
      </c>
      <c r="J106" s="17" t="n">
        <v>534095</v>
      </c>
      <c r="K106" s="17" t="n">
        <v>518244.666666667</v>
      </c>
      <c r="L106" s="17" t="n">
        <v>527856</v>
      </c>
      <c r="M106" s="17" t="n">
        <v>420476</v>
      </c>
      <c r="N106" s="17" t="n">
        <v>114300</v>
      </c>
      <c r="O106" s="17" t="n">
        <v>0</v>
      </c>
      <c r="P106" s="17" t="n">
        <v>2111</v>
      </c>
      <c r="Q106" s="17" t="n">
        <v>0</v>
      </c>
      <c r="R106" s="17" t="n">
        <v>341</v>
      </c>
      <c r="S106" s="17" t="n">
        <v>0</v>
      </c>
      <c r="T106" s="17" t="n">
        <v>0</v>
      </c>
      <c r="U106" s="17" t="n">
        <v>0</v>
      </c>
      <c r="V106" s="17" t="n">
        <v>75912</v>
      </c>
      <c r="W106" s="17" t="n">
        <v>556925</v>
      </c>
      <c r="X106" s="17" t="n">
        <v>13.6305606679535</v>
      </c>
      <c r="Y106" s="17" t="n">
        <v>8586</v>
      </c>
      <c r="Z106" s="17" t="n">
        <v>1.26067262302423</v>
      </c>
      <c r="AA106" s="17" t="n">
        <v>12.86</v>
      </c>
      <c r="AB106" s="17" t="n">
        <v>3.41245944030732</v>
      </c>
      <c r="AC106" s="17" t="n">
        <v>1.16814424400154</v>
      </c>
      <c r="AD106" s="17" t="n">
        <v>0.16</v>
      </c>
      <c r="AE106" s="17" t="n">
        <v>1</v>
      </c>
      <c r="AF106" s="17" t="s">
        <v>231</v>
      </c>
      <c r="AG106" s="17" t="s">
        <v>232</v>
      </c>
      <c r="AH106" s="17" t="n">
        <v>0</v>
      </c>
    </row>
    <row r="107" customFormat="false" ht="15" hidden="false" customHeight="false" outlineLevel="0" collapsed="false">
      <c r="A107" s="17" t="n">
        <v>59176</v>
      </c>
      <c r="B107" s="23" t="n">
        <v>44742</v>
      </c>
      <c r="C107" s="17" t="s">
        <v>151</v>
      </c>
      <c r="D107" s="17" t="s">
        <v>116</v>
      </c>
      <c r="E107" s="17" t="n">
        <v>167702</v>
      </c>
      <c r="F107" s="17" t="n">
        <v>147688</v>
      </c>
      <c r="G107" s="17" t="n">
        <v>142565</v>
      </c>
      <c r="H107" s="17" t="n">
        <v>21565</v>
      </c>
      <c r="I107" s="17" t="n">
        <v>12.8591191518288</v>
      </c>
      <c r="J107" s="17" t="n">
        <v>124324</v>
      </c>
      <c r="K107" s="17" t="n">
        <v>109564.333333333</v>
      </c>
      <c r="L107" s="17" t="n">
        <v>123240</v>
      </c>
      <c r="M107" s="17" t="n">
        <v>106199</v>
      </c>
      <c r="N107" s="17" t="n">
        <v>18121</v>
      </c>
      <c r="O107" s="17" t="n">
        <v>13</v>
      </c>
      <c r="P107" s="17" t="n">
        <v>39</v>
      </c>
      <c r="Q107" s="17" t="n">
        <v>0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23946</v>
      </c>
      <c r="W107" s="17" t="n">
        <v>126784</v>
      </c>
      <c r="X107" s="17" t="n">
        <v>18.8872412922766</v>
      </c>
      <c r="Y107" s="17" t="n">
        <v>246</v>
      </c>
      <c r="Z107" s="17" t="n">
        <v>0.166567358214615</v>
      </c>
      <c r="AA107" s="17" t="n">
        <v>1.23</v>
      </c>
      <c r="AB107" s="17" t="n">
        <v>3.10754446567691</v>
      </c>
      <c r="AC107" s="17" t="n">
        <v>0.87191531803996</v>
      </c>
      <c r="AD107" s="17" t="n">
        <v>0.32</v>
      </c>
      <c r="AE107" s="17" t="n">
        <v>1</v>
      </c>
      <c r="AF107" s="17" t="s">
        <v>231</v>
      </c>
      <c r="AG107" s="17" t="s">
        <v>232</v>
      </c>
      <c r="AH107" s="17" t="n">
        <v>0</v>
      </c>
    </row>
    <row r="108" customFormat="false" ht="15" hidden="false" customHeight="false" outlineLevel="0" collapsed="false">
      <c r="A108" s="17" t="n">
        <v>4255</v>
      </c>
      <c r="B108" s="23" t="n">
        <v>44834</v>
      </c>
      <c r="C108" s="17" t="s">
        <v>126</v>
      </c>
      <c r="D108" s="17" t="s">
        <v>108</v>
      </c>
      <c r="E108" s="17" t="n">
        <v>5539983</v>
      </c>
      <c r="F108" s="17" t="n">
        <v>5470712</v>
      </c>
      <c r="G108" s="17" t="n">
        <v>4604972</v>
      </c>
      <c r="H108" s="17" t="n">
        <v>444488</v>
      </c>
      <c r="I108" s="17" t="n">
        <v>8.02327371762693</v>
      </c>
      <c r="J108" s="17" t="n">
        <v>3865309</v>
      </c>
      <c r="K108" s="17" t="n">
        <v>3642772</v>
      </c>
      <c r="L108" s="17" t="n">
        <v>3828767</v>
      </c>
      <c r="M108" s="17" t="n">
        <v>3453052</v>
      </c>
      <c r="N108" s="17" t="n">
        <v>340321</v>
      </c>
      <c r="O108" s="17" t="n">
        <v>21084</v>
      </c>
      <c r="P108" s="17" t="n">
        <v>2765</v>
      </c>
      <c r="Q108" s="17" t="n">
        <v>4708</v>
      </c>
      <c r="R108" s="17" t="n">
        <v>0</v>
      </c>
      <c r="S108" s="17" t="n">
        <v>502</v>
      </c>
      <c r="T108" s="17" t="n">
        <v>669.3166</v>
      </c>
      <c r="U108" s="17" t="n">
        <v>0.0183738263059011</v>
      </c>
      <c r="V108" s="17" t="n">
        <v>516673</v>
      </c>
      <c r="W108" s="17" t="n">
        <v>3953001</v>
      </c>
      <c r="X108" s="17" t="n">
        <v>13.0703989197068</v>
      </c>
      <c r="Y108" s="17" t="n">
        <v>63882.4029</v>
      </c>
      <c r="Z108" s="17" t="n">
        <v>1.16771643069494</v>
      </c>
      <c r="AA108" s="17" t="n">
        <v>13.05</v>
      </c>
      <c r="AB108" s="17" t="n">
        <v>2.96224785009783</v>
      </c>
      <c r="AC108" s="17" t="n">
        <v>0.945383667903394</v>
      </c>
      <c r="AD108" s="17" t="n">
        <v>0.1</v>
      </c>
      <c r="AE108" s="17" t="n">
        <v>1</v>
      </c>
      <c r="AF108" s="17" t="s">
        <v>210</v>
      </c>
      <c r="AG108" s="17" t="s">
        <v>211</v>
      </c>
      <c r="AH108" s="17" t="n">
        <v>0</v>
      </c>
    </row>
    <row r="109" customFormat="false" ht="15" hidden="false" customHeight="false" outlineLevel="0" collapsed="false">
      <c r="A109" s="17" t="n">
        <v>4256</v>
      </c>
      <c r="B109" s="23" t="n">
        <v>44834</v>
      </c>
      <c r="C109" s="17" t="s">
        <v>135</v>
      </c>
      <c r="D109" s="17" t="s">
        <v>108</v>
      </c>
      <c r="E109" s="17" t="n">
        <v>2699877</v>
      </c>
      <c r="F109" s="17" t="n">
        <v>2576475.5</v>
      </c>
      <c r="G109" s="17" t="n">
        <v>2370865</v>
      </c>
      <c r="H109" s="17" t="n">
        <v>191219</v>
      </c>
      <c r="I109" s="17" t="n">
        <v>7.08250783276423</v>
      </c>
      <c r="J109" s="17" t="n">
        <v>1857975</v>
      </c>
      <c r="K109" s="17" t="n">
        <v>1750812.75</v>
      </c>
      <c r="L109" s="17" t="n">
        <v>1841588</v>
      </c>
      <c r="M109" s="17" t="n">
        <v>1478344</v>
      </c>
      <c r="N109" s="17" t="n">
        <v>262426</v>
      </c>
      <c r="O109" s="17" t="n">
        <v>20819</v>
      </c>
      <c r="P109" s="17" t="n">
        <v>1860</v>
      </c>
      <c r="Q109" s="17" t="n">
        <v>898</v>
      </c>
      <c r="R109" s="17" t="n">
        <v>0</v>
      </c>
      <c r="S109" s="17" t="n">
        <v>434</v>
      </c>
      <c r="T109" s="17" t="n">
        <v>578.6522</v>
      </c>
      <c r="U109" s="17" t="n">
        <v>0.0330504904079548</v>
      </c>
      <c r="V109" s="17" t="n">
        <v>251516</v>
      </c>
      <c r="W109" s="17" t="n">
        <v>1859742</v>
      </c>
      <c r="X109" s="17" t="n">
        <v>13.5242415345785</v>
      </c>
      <c r="Y109" s="17" t="n">
        <v>40602.9849</v>
      </c>
      <c r="Z109" s="17" t="n">
        <v>1.5759119347341</v>
      </c>
      <c r="AA109" s="17" t="n">
        <v>20.01</v>
      </c>
      <c r="AB109" s="17" t="n">
        <v>3.11979442771444</v>
      </c>
      <c r="AC109" s="17" t="n">
        <v>0.881981727418292</v>
      </c>
      <c r="AD109" s="17" t="n">
        <v>0.07</v>
      </c>
      <c r="AE109" s="17" t="n">
        <v>1</v>
      </c>
      <c r="AF109" s="17" t="s">
        <v>210</v>
      </c>
      <c r="AG109" s="17" t="s">
        <v>211</v>
      </c>
      <c r="AH109" s="17" t="n">
        <v>0</v>
      </c>
    </row>
    <row r="110" customFormat="false" ht="15" hidden="false" customHeight="false" outlineLevel="0" collapsed="false">
      <c r="A110" s="17" t="n">
        <v>6271</v>
      </c>
      <c r="B110" s="23" t="n">
        <v>44834</v>
      </c>
      <c r="C110" s="17" t="s">
        <v>147</v>
      </c>
      <c r="D110" s="17" t="s">
        <v>113</v>
      </c>
      <c r="E110" s="17" t="n">
        <v>1026347</v>
      </c>
      <c r="F110" s="17" t="n">
        <v>1012151.75</v>
      </c>
      <c r="G110" s="17" t="n">
        <v>904130</v>
      </c>
      <c r="H110" s="17" t="n">
        <v>81739</v>
      </c>
      <c r="I110" s="17" t="n">
        <v>7.96407063108286</v>
      </c>
      <c r="J110" s="17" t="n">
        <v>724791</v>
      </c>
      <c r="K110" s="17" t="n">
        <v>704012.5</v>
      </c>
      <c r="L110" s="17" t="n">
        <v>716359</v>
      </c>
      <c r="M110" s="17" t="n">
        <v>551311</v>
      </c>
      <c r="N110" s="17" t="n">
        <v>124262</v>
      </c>
      <c r="O110" s="17" t="n">
        <v>3902</v>
      </c>
      <c r="P110" s="17" t="n">
        <v>8603</v>
      </c>
      <c r="Q110" s="17" t="n">
        <v>987</v>
      </c>
      <c r="R110" s="17" t="n">
        <v>744</v>
      </c>
      <c r="S110" s="17" t="n">
        <v>603</v>
      </c>
      <c r="T110" s="17" t="n">
        <v>803.9799</v>
      </c>
      <c r="U110" s="17" t="n">
        <v>0.114199662648035</v>
      </c>
      <c r="V110" s="17" t="n">
        <v>101123</v>
      </c>
      <c r="W110" s="17" t="n">
        <v>671771</v>
      </c>
      <c r="X110" s="17" t="n">
        <v>15.053195210868</v>
      </c>
      <c r="Y110" s="17" t="n">
        <v>12806.3465</v>
      </c>
      <c r="Z110" s="17" t="n">
        <v>1.26525953247623</v>
      </c>
      <c r="AA110" s="17" t="n">
        <v>14.44</v>
      </c>
      <c r="AB110" s="17" t="n">
        <v>3.38614224773598</v>
      </c>
      <c r="AC110" s="17" t="n">
        <v>1.16336985420625</v>
      </c>
      <c r="AD110" s="17" t="n">
        <v>0.17</v>
      </c>
      <c r="AE110" s="17" t="n">
        <v>1</v>
      </c>
      <c r="AF110" s="17" t="s">
        <v>210</v>
      </c>
      <c r="AG110" s="17" t="s">
        <v>211</v>
      </c>
      <c r="AH110" s="17" t="n">
        <v>0</v>
      </c>
    </row>
    <row r="111" customFormat="false" ht="15" hidden="false" customHeight="false" outlineLevel="0" collapsed="false">
      <c r="A111" s="17" t="n">
        <v>6275</v>
      </c>
      <c r="B111" s="23" t="n">
        <v>44834</v>
      </c>
      <c r="C111" s="17" t="s">
        <v>165</v>
      </c>
      <c r="D111" s="17" t="s">
        <v>113</v>
      </c>
      <c r="E111" s="17" t="n">
        <v>538969</v>
      </c>
      <c r="F111" s="17" t="n">
        <v>538034.25</v>
      </c>
      <c r="G111" s="17" t="n">
        <v>499382</v>
      </c>
      <c r="H111" s="17" t="n">
        <v>21431</v>
      </c>
      <c r="I111" s="17" t="n">
        <v>3.97629548267155</v>
      </c>
      <c r="J111" s="17" t="n">
        <v>302728</v>
      </c>
      <c r="K111" s="17" t="n">
        <v>290653.25</v>
      </c>
      <c r="L111" s="17" t="n">
        <v>299919</v>
      </c>
      <c r="M111" s="17" t="n">
        <v>249546</v>
      </c>
      <c r="N111" s="17" t="n">
        <v>29293</v>
      </c>
      <c r="O111" s="17" t="n">
        <v>13387</v>
      </c>
      <c r="P111" s="17" t="n">
        <v>1530</v>
      </c>
      <c r="Q111" s="17" t="n">
        <v>46</v>
      </c>
      <c r="R111" s="17" t="n">
        <v>23</v>
      </c>
      <c r="S111" s="17" t="n">
        <v>0</v>
      </c>
      <c r="T111" s="17" t="n">
        <v>0</v>
      </c>
      <c r="U111" s="17" t="n">
        <v>0</v>
      </c>
      <c r="V111" s="17" t="n">
        <v>46457</v>
      </c>
      <c r="W111" s="17" t="n">
        <v>294200</v>
      </c>
      <c r="X111" s="17" t="n">
        <v>15.7909585316112</v>
      </c>
      <c r="Y111" s="17" t="n">
        <v>3294.5843</v>
      </c>
      <c r="Z111" s="17" t="n">
        <v>0.612337281502061</v>
      </c>
      <c r="AA111" s="17" t="n">
        <v>10.71</v>
      </c>
      <c r="AB111" s="17" t="n">
        <v>2.74506460329647</v>
      </c>
      <c r="AC111" s="17" t="n">
        <v>0.927895668719114</v>
      </c>
      <c r="AD111" s="17" t="n">
        <v>-0.08</v>
      </c>
      <c r="AE111" s="17" t="n">
        <v>1</v>
      </c>
      <c r="AF111" s="17" t="s">
        <v>210</v>
      </c>
      <c r="AG111" s="17" t="s">
        <v>211</v>
      </c>
      <c r="AH111" s="17" t="n">
        <v>0</v>
      </c>
    </row>
    <row r="112" customFormat="false" ht="15" hidden="false" customHeight="false" outlineLevel="0" collapsed="false">
      <c r="A112" s="17" t="n">
        <v>6280</v>
      </c>
      <c r="B112" s="23" t="n">
        <v>44834</v>
      </c>
      <c r="C112" s="17" t="s">
        <v>138</v>
      </c>
      <c r="D112" s="17" t="s">
        <v>113</v>
      </c>
      <c r="E112" s="17" t="n">
        <v>87700</v>
      </c>
      <c r="F112" s="17" t="n">
        <v>85821.25</v>
      </c>
      <c r="G112" s="17" t="n">
        <v>78966</v>
      </c>
      <c r="H112" s="17" t="n">
        <v>8505</v>
      </c>
      <c r="I112" s="17" t="n">
        <v>9.69783352337514</v>
      </c>
      <c r="J112" s="17" t="n">
        <v>62691</v>
      </c>
      <c r="K112" s="17" t="n">
        <v>61954</v>
      </c>
      <c r="L112" s="17" t="n">
        <v>61864</v>
      </c>
      <c r="M112" s="17" t="n">
        <v>53838</v>
      </c>
      <c r="N112" s="17" t="n">
        <v>3097</v>
      </c>
      <c r="O112" s="17" t="n">
        <v>1958</v>
      </c>
      <c r="P112" s="17" t="n">
        <v>667</v>
      </c>
      <c r="Q112" s="17" t="n">
        <v>659</v>
      </c>
      <c r="R112" s="17" t="n">
        <v>0</v>
      </c>
      <c r="S112" s="17" t="n">
        <v>78</v>
      </c>
      <c r="T112" s="17" t="n">
        <v>103.9974</v>
      </c>
      <c r="U112" s="17" t="n">
        <v>0.167862284921071</v>
      </c>
      <c r="V112" s="17" t="n">
        <v>0</v>
      </c>
      <c r="W112" s="17" t="n">
        <v>0</v>
      </c>
      <c r="X112" s="17" t="n">
        <v>0</v>
      </c>
      <c r="Y112" s="17" t="n">
        <v>1166.6375</v>
      </c>
      <c r="Z112" s="17" t="n">
        <v>1.35938068951454</v>
      </c>
      <c r="AA112" s="17" t="n">
        <v>14.26</v>
      </c>
      <c r="AB112" s="17" t="n">
        <v>4.11454325169757</v>
      </c>
      <c r="AC112" s="17" t="n">
        <v>1.31916862069516</v>
      </c>
      <c r="AD112" s="17" t="n">
        <v>0.14</v>
      </c>
      <c r="AE112" s="17" t="n">
        <v>1</v>
      </c>
      <c r="AF112" s="17" t="s">
        <v>210</v>
      </c>
      <c r="AG112" s="17" t="s">
        <v>211</v>
      </c>
      <c r="AH112" s="17" t="n">
        <v>0</v>
      </c>
    </row>
    <row r="113" customFormat="false" ht="15" hidden="false" customHeight="false" outlineLevel="0" collapsed="false">
      <c r="A113" s="17" t="n">
        <v>11971</v>
      </c>
      <c r="B113" s="23" t="n">
        <v>44834</v>
      </c>
      <c r="C113" s="17" t="s">
        <v>134</v>
      </c>
      <c r="D113" s="17" t="s">
        <v>108</v>
      </c>
      <c r="E113" s="17" t="n">
        <v>3837295</v>
      </c>
      <c r="F113" s="17" t="n">
        <v>3736427.75</v>
      </c>
      <c r="G113" s="17" t="n">
        <v>3143267</v>
      </c>
      <c r="H113" s="17" t="n">
        <v>434474</v>
      </c>
      <c r="I113" s="17" t="n">
        <v>11.3224028905779</v>
      </c>
      <c r="J113" s="17" t="n">
        <v>2851346</v>
      </c>
      <c r="K113" s="17" t="n">
        <v>2694249.75</v>
      </c>
      <c r="L113" s="17" t="n">
        <v>2826328</v>
      </c>
      <c r="M113" s="17" t="n">
        <v>2481945</v>
      </c>
      <c r="N113" s="17" t="n">
        <v>216709</v>
      </c>
      <c r="O113" s="17" t="n">
        <v>8133</v>
      </c>
      <c r="P113" s="17" t="n">
        <v>7772</v>
      </c>
      <c r="Q113" s="17" t="n">
        <v>1064</v>
      </c>
      <c r="R113" s="17" t="n">
        <v>258</v>
      </c>
      <c r="S113" s="17" t="n">
        <v>-83</v>
      </c>
      <c r="T113" s="17" t="n">
        <v>-110.6639</v>
      </c>
      <c r="U113" s="17" t="n">
        <v>-0.00410741060660765</v>
      </c>
      <c r="V113" s="17" t="n">
        <v>398292</v>
      </c>
      <c r="W113" s="17" t="n">
        <v>3013476</v>
      </c>
      <c r="X113" s="17" t="n">
        <v>13.2170291052592</v>
      </c>
      <c r="Y113" s="17" t="n">
        <v>46034.8491</v>
      </c>
      <c r="Z113" s="17" t="n">
        <v>1.23205511199835</v>
      </c>
      <c r="AA113" s="17" t="n">
        <v>10.09</v>
      </c>
      <c r="AB113" s="17" t="n">
        <v>3.30384258983793</v>
      </c>
      <c r="AC113" s="17" t="n">
        <v>0.877410177509148</v>
      </c>
      <c r="AD113" s="17" t="n">
        <v>0.09</v>
      </c>
      <c r="AE113" s="17" t="n">
        <v>1</v>
      </c>
      <c r="AF113" s="17" t="s">
        <v>231</v>
      </c>
      <c r="AG113" s="17" t="s">
        <v>232</v>
      </c>
      <c r="AH113" s="17" t="n">
        <v>0</v>
      </c>
    </row>
    <row r="114" customFormat="false" ht="15" hidden="false" customHeight="false" outlineLevel="0" collapsed="false">
      <c r="A114" s="17" t="n">
        <v>12874</v>
      </c>
      <c r="B114" s="23" t="n">
        <v>44834</v>
      </c>
      <c r="C114" s="17" t="s">
        <v>159</v>
      </c>
      <c r="D114" s="17" t="s">
        <v>108</v>
      </c>
      <c r="E114" s="17" t="n">
        <v>965147</v>
      </c>
      <c r="F114" s="17" t="n">
        <v>958351.5</v>
      </c>
      <c r="G114" s="17" t="n">
        <v>851082</v>
      </c>
      <c r="H114" s="17" t="n">
        <v>93663</v>
      </c>
      <c r="I114" s="17" t="n">
        <v>9.70453205573866</v>
      </c>
      <c r="J114" s="17" t="n">
        <v>734482</v>
      </c>
      <c r="K114" s="17" t="n">
        <v>734118.75</v>
      </c>
      <c r="L114" s="17" t="n">
        <v>726597</v>
      </c>
      <c r="M114" s="17" t="n">
        <v>586996</v>
      </c>
      <c r="N114" s="17" t="n">
        <v>125703</v>
      </c>
      <c r="O114" s="17" t="n">
        <v>5372</v>
      </c>
      <c r="P114" s="17" t="n">
        <v>577</v>
      </c>
      <c r="Q114" s="17" t="n">
        <v>774</v>
      </c>
      <c r="R114" s="17" t="n">
        <v>41</v>
      </c>
      <c r="S114" s="17" t="n">
        <v>-82</v>
      </c>
      <c r="T114" s="17" t="n">
        <v>-109.3306</v>
      </c>
      <c r="U114" s="17" t="n">
        <v>-0.0148927676891511</v>
      </c>
      <c r="V114" s="17" t="n">
        <v>109547</v>
      </c>
      <c r="W114" s="17" t="n">
        <v>707586</v>
      </c>
      <c r="X114" s="17" t="n">
        <v>15.4817930258654</v>
      </c>
      <c r="Y114" s="17" t="n">
        <v>9535.7616</v>
      </c>
      <c r="Z114" s="17" t="n">
        <v>0.995017130979604</v>
      </c>
      <c r="AA114" s="17" t="n">
        <v>9.85</v>
      </c>
      <c r="AB114" s="17" t="n">
        <v>3.647985444362</v>
      </c>
      <c r="AC114" s="17" t="n">
        <v>1.07354570976552</v>
      </c>
      <c r="AD114" s="17" t="n">
        <v>0</v>
      </c>
      <c r="AE114" s="17" t="n">
        <v>1</v>
      </c>
      <c r="AF114" s="17" t="s">
        <v>231</v>
      </c>
      <c r="AG114" s="17" t="s">
        <v>232</v>
      </c>
      <c r="AH114" s="17" t="n">
        <v>0</v>
      </c>
    </row>
    <row r="115" customFormat="false" ht="15" hidden="false" customHeight="false" outlineLevel="0" collapsed="false">
      <c r="A115" s="17" t="n">
        <v>13063</v>
      </c>
      <c r="B115" s="23" t="n">
        <v>44834</v>
      </c>
      <c r="C115" s="17" t="s">
        <v>139</v>
      </c>
      <c r="D115" s="17" t="s">
        <v>108</v>
      </c>
      <c r="E115" s="17" t="n">
        <v>1877331</v>
      </c>
      <c r="F115" s="17" t="n">
        <v>1821121</v>
      </c>
      <c r="G115" s="17" t="n">
        <v>1697083</v>
      </c>
      <c r="H115" s="17" t="n">
        <v>131833</v>
      </c>
      <c r="I115" s="17" t="n">
        <v>7.02236313148827</v>
      </c>
      <c r="J115" s="17" t="n">
        <v>1297056</v>
      </c>
      <c r="K115" s="17" t="n">
        <v>1243742.5</v>
      </c>
      <c r="L115" s="17" t="n">
        <v>1283499</v>
      </c>
      <c r="M115" s="17" t="n">
        <v>1247709</v>
      </c>
      <c r="N115" s="17" t="n">
        <v>41370</v>
      </c>
      <c r="O115" s="17" t="n">
        <v>860</v>
      </c>
      <c r="P115" s="17" t="n">
        <v>354</v>
      </c>
      <c r="Q115" s="17" t="n">
        <v>61</v>
      </c>
      <c r="R115" s="17" t="n">
        <v>969</v>
      </c>
      <c r="S115" s="17" t="n">
        <v>-161</v>
      </c>
      <c r="T115" s="17" t="n">
        <v>-214.6613</v>
      </c>
      <c r="U115" s="17" t="n">
        <v>-0.0172593040762055</v>
      </c>
      <c r="V115" s="17" t="n">
        <v>0</v>
      </c>
      <c r="W115" s="17" t="n">
        <v>0</v>
      </c>
      <c r="X115" s="17" t="n">
        <v>0</v>
      </c>
      <c r="Y115" s="17" t="n">
        <v>14308.9756</v>
      </c>
      <c r="Z115" s="17" t="n">
        <v>0.78572349668144</v>
      </c>
      <c r="AA115" s="17" t="n">
        <v>9.81</v>
      </c>
      <c r="AB115" s="17" t="n">
        <v>3.4335478478502</v>
      </c>
      <c r="AC115" s="17" t="n">
        <v>1.04521315964769</v>
      </c>
      <c r="AD115" s="17" t="n">
        <v>-0.11</v>
      </c>
      <c r="AE115" s="17" t="n">
        <v>1</v>
      </c>
      <c r="AF115" s="17" t="s">
        <v>241</v>
      </c>
      <c r="AG115" s="17" t="s">
        <v>232</v>
      </c>
      <c r="AH115" s="17" t="n">
        <v>0</v>
      </c>
    </row>
    <row r="116" customFormat="false" ht="15" hidden="false" customHeight="false" outlineLevel="0" collapsed="false">
      <c r="A116" s="17" t="n">
        <v>14134</v>
      </c>
      <c r="B116" s="23" t="n">
        <v>44834</v>
      </c>
      <c r="C116" s="17" t="s">
        <v>155</v>
      </c>
      <c r="D116" s="17" t="s">
        <v>113</v>
      </c>
      <c r="E116" s="17" t="n">
        <v>838498</v>
      </c>
      <c r="F116" s="17" t="n">
        <v>857534.25</v>
      </c>
      <c r="G116" s="17" t="n">
        <v>723891</v>
      </c>
      <c r="H116" s="17" t="n">
        <v>91539</v>
      </c>
      <c r="I116" s="17" t="n">
        <v>10.917020672679</v>
      </c>
      <c r="J116" s="17" t="n">
        <v>626781</v>
      </c>
      <c r="K116" s="17" t="n">
        <v>608387.5</v>
      </c>
      <c r="L116" s="17" t="n">
        <v>618286</v>
      </c>
      <c r="M116" s="17" t="n">
        <v>548807</v>
      </c>
      <c r="N116" s="17" t="n">
        <v>29795</v>
      </c>
      <c r="O116" s="17" t="n">
        <v>22934</v>
      </c>
      <c r="P116" s="17" t="n">
        <v>6193</v>
      </c>
      <c r="Q116" s="17" t="n">
        <v>11227</v>
      </c>
      <c r="R116" s="17" t="n">
        <v>0</v>
      </c>
      <c r="S116" s="17" t="n">
        <v>332</v>
      </c>
      <c r="T116" s="17" t="n">
        <v>442.6556</v>
      </c>
      <c r="U116" s="17" t="n">
        <v>0.0727588255840233</v>
      </c>
      <c r="V116" s="17" t="n">
        <v>97016</v>
      </c>
      <c r="W116" s="17" t="n">
        <v>558333</v>
      </c>
      <c r="X116" s="17" t="n">
        <v>17.3760103737375</v>
      </c>
      <c r="Y116" s="17" t="n">
        <v>-4807.8798</v>
      </c>
      <c r="Z116" s="17" t="n">
        <v>-0.560663297121952</v>
      </c>
      <c r="AA116" s="17" t="n">
        <v>-4.85</v>
      </c>
      <c r="AB116" s="17" t="n">
        <v>3.06728844867761</v>
      </c>
      <c r="AC116" s="17" t="n">
        <v>1.35533782932157</v>
      </c>
      <c r="AD116" s="17" t="n">
        <v>0.1</v>
      </c>
      <c r="AE116" s="17" t="n">
        <v>1</v>
      </c>
      <c r="AF116" s="17" t="s">
        <v>241</v>
      </c>
      <c r="AG116" s="17" t="s">
        <v>232</v>
      </c>
      <c r="AH116" s="17" t="n">
        <v>0</v>
      </c>
    </row>
    <row r="117" customFormat="false" ht="15" hidden="false" customHeight="false" outlineLevel="0" collapsed="false">
      <c r="A117" s="17" t="n">
        <v>14136</v>
      </c>
      <c r="B117" s="23" t="n">
        <v>44834</v>
      </c>
      <c r="C117" s="17" t="s">
        <v>153</v>
      </c>
      <c r="D117" s="17" t="s">
        <v>113</v>
      </c>
      <c r="E117" s="17" t="n">
        <v>225735</v>
      </c>
      <c r="F117" s="17" t="n">
        <v>223372</v>
      </c>
      <c r="G117" s="17" t="n">
        <v>207393</v>
      </c>
      <c r="H117" s="17" t="n">
        <v>14034</v>
      </c>
      <c r="I117" s="17" t="n">
        <v>6.21702438700246</v>
      </c>
      <c r="J117" s="17" t="n">
        <v>132371</v>
      </c>
      <c r="K117" s="17" t="n">
        <v>125615.75</v>
      </c>
      <c r="L117" s="17" t="n">
        <v>131059</v>
      </c>
      <c r="M117" s="17" t="n">
        <v>106837</v>
      </c>
      <c r="N117" s="17" t="n">
        <v>12989</v>
      </c>
      <c r="O117" s="17" t="n">
        <v>12223</v>
      </c>
      <c r="P117" s="17" t="n">
        <v>110</v>
      </c>
      <c r="Q117" s="17" t="n">
        <v>458</v>
      </c>
      <c r="R117" s="17" t="n">
        <v>709</v>
      </c>
      <c r="S117" s="17" t="n">
        <v>89</v>
      </c>
      <c r="T117" s="17" t="n">
        <v>118.6637</v>
      </c>
      <c r="U117" s="17" t="n">
        <v>0.0944656223443318</v>
      </c>
      <c r="V117" s="17" t="n">
        <v>24249</v>
      </c>
      <c r="W117" s="17" t="n">
        <v>141681</v>
      </c>
      <c r="X117" s="17" t="n">
        <v>17.115209519978</v>
      </c>
      <c r="Y117" s="17" t="n">
        <v>878.6447</v>
      </c>
      <c r="Z117" s="17" t="n">
        <v>0.393354896764142</v>
      </c>
      <c r="AA117" s="17" t="n">
        <v>4.91</v>
      </c>
      <c r="AB117" s="17" t="n">
        <v>3.58575597517997</v>
      </c>
      <c r="AC117" s="17" t="n">
        <v>0.991153651479554</v>
      </c>
      <c r="AD117" s="17" t="n">
        <v>0.03</v>
      </c>
      <c r="AE117" s="17" t="n">
        <v>1</v>
      </c>
      <c r="AF117" s="17" t="s">
        <v>241</v>
      </c>
      <c r="AG117" s="17" t="s">
        <v>232</v>
      </c>
      <c r="AH117" s="17" t="n">
        <v>1</v>
      </c>
    </row>
    <row r="118" customFormat="false" ht="15" hidden="false" customHeight="false" outlineLevel="0" collapsed="false">
      <c r="A118" s="17" t="n">
        <v>14140</v>
      </c>
      <c r="B118" s="23" t="n">
        <v>44834</v>
      </c>
      <c r="C118" s="17" t="s">
        <v>120</v>
      </c>
      <c r="D118" s="17" t="s">
        <v>113</v>
      </c>
      <c r="E118" s="17" t="n">
        <v>1443158</v>
      </c>
      <c r="F118" s="17" t="n">
        <v>1424034.75</v>
      </c>
      <c r="G118" s="17" t="n">
        <v>1246266</v>
      </c>
      <c r="H118" s="17" t="n">
        <v>107668</v>
      </c>
      <c r="I118" s="17" t="n">
        <v>7.46058297151109</v>
      </c>
      <c r="J118" s="17" t="n">
        <v>959732</v>
      </c>
      <c r="K118" s="17" t="n">
        <v>950579.5</v>
      </c>
      <c r="L118" s="17" t="n">
        <v>949170</v>
      </c>
      <c r="M118" s="17" t="n">
        <v>868686</v>
      </c>
      <c r="N118" s="17" t="n">
        <v>82112</v>
      </c>
      <c r="O118" s="17" t="n">
        <v>1215</v>
      </c>
      <c r="P118" s="17" t="n">
        <v>2457</v>
      </c>
      <c r="Q118" s="17" t="n">
        <v>187</v>
      </c>
      <c r="R118" s="17" t="n">
        <v>0</v>
      </c>
      <c r="S118" s="17" t="n">
        <v>58</v>
      </c>
      <c r="T118" s="17" t="n">
        <v>77.3314</v>
      </c>
      <c r="U118" s="17" t="n">
        <v>0.00813518490562862</v>
      </c>
      <c r="V118" s="17" t="n">
        <v>0</v>
      </c>
      <c r="W118" s="17" t="n">
        <v>0</v>
      </c>
      <c r="X118" s="17" t="n">
        <v>0</v>
      </c>
      <c r="Y118" s="17" t="n">
        <v>9950.4179</v>
      </c>
      <c r="Z118" s="17" t="n">
        <v>0.69874825034993</v>
      </c>
      <c r="AA118" s="17" t="n">
        <v>8.14</v>
      </c>
      <c r="AB118" s="17" t="n">
        <v>3.07660660567704</v>
      </c>
      <c r="AC118" s="17" t="n">
        <v>1.100515560594</v>
      </c>
      <c r="AD118" s="17" t="n">
        <v>0</v>
      </c>
      <c r="AE118" s="17" t="n">
        <v>1</v>
      </c>
      <c r="AF118" s="17" t="s">
        <v>241</v>
      </c>
      <c r="AG118" s="17" t="s">
        <v>232</v>
      </c>
      <c r="AH118" s="17" t="n">
        <v>0</v>
      </c>
    </row>
    <row r="119" customFormat="false" ht="15" hidden="false" customHeight="false" outlineLevel="0" collapsed="false">
      <c r="A119" s="17" t="n">
        <v>14158</v>
      </c>
      <c r="B119" s="23" t="n">
        <v>44834</v>
      </c>
      <c r="C119" s="17" t="s">
        <v>112</v>
      </c>
      <c r="D119" s="17" t="s">
        <v>113</v>
      </c>
      <c r="E119" s="17" t="n">
        <v>1299582</v>
      </c>
      <c r="F119" s="17" t="n">
        <v>1231973</v>
      </c>
      <c r="G119" s="17" t="n">
        <v>1199225</v>
      </c>
      <c r="H119" s="17" t="n">
        <v>65471</v>
      </c>
      <c r="I119" s="17" t="n">
        <v>5.03785063197243</v>
      </c>
      <c r="J119" s="17" t="n">
        <v>942495</v>
      </c>
      <c r="K119" s="17" t="n">
        <v>849501.75</v>
      </c>
      <c r="L119" s="17" t="n">
        <v>934155</v>
      </c>
      <c r="M119" s="17" t="n">
        <v>802531</v>
      </c>
      <c r="N119" s="17" t="n">
        <v>41999</v>
      </c>
      <c r="O119" s="17" t="n">
        <v>2028</v>
      </c>
      <c r="P119" s="17" t="n">
        <v>1381</v>
      </c>
      <c r="Q119" s="17" t="n">
        <v>3371</v>
      </c>
      <c r="R119" s="17" t="n">
        <v>308</v>
      </c>
      <c r="S119" s="17" t="n">
        <v>-4</v>
      </c>
      <c r="T119" s="17" t="n">
        <v>-5.3332</v>
      </c>
      <c r="U119" s="17" t="n">
        <v>-0.000627803297638881</v>
      </c>
      <c r="V119" s="17" t="n">
        <v>112525</v>
      </c>
      <c r="W119" s="17" t="n">
        <v>824300</v>
      </c>
      <c r="X119" s="17" t="n">
        <v>13.6509765861944</v>
      </c>
      <c r="Y119" s="17" t="n">
        <v>13103.6724</v>
      </c>
      <c r="Z119" s="17" t="n">
        <v>1.06363308286789</v>
      </c>
      <c r="AA119" s="17" t="n">
        <v>16.08</v>
      </c>
      <c r="AB119" s="17" t="n">
        <v>3.42554545153671</v>
      </c>
      <c r="AC119" s="17" t="n">
        <v>0.884885330956663</v>
      </c>
      <c r="AD119" s="17" t="n">
        <v>0</v>
      </c>
      <c r="AE119" s="17" t="n">
        <v>1</v>
      </c>
      <c r="AF119" s="17" t="s">
        <v>231</v>
      </c>
      <c r="AG119" s="17" t="s">
        <v>232</v>
      </c>
      <c r="AH119" s="17" t="n">
        <v>0</v>
      </c>
    </row>
    <row r="120" customFormat="false" ht="15" hidden="false" customHeight="false" outlineLevel="0" collapsed="false">
      <c r="A120" s="17" t="n">
        <v>14168</v>
      </c>
      <c r="B120" s="23" t="n">
        <v>44834</v>
      </c>
      <c r="C120" s="17" t="s">
        <v>162</v>
      </c>
      <c r="D120" s="17" t="s">
        <v>113</v>
      </c>
      <c r="E120" s="17" t="n">
        <v>365479</v>
      </c>
      <c r="F120" s="17" t="n">
        <v>374489.5</v>
      </c>
      <c r="G120" s="17" t="n">
        <v>330944</v>
      </c>
      <c r="H120" s="17" t="n">
        <v>29862</v>
      </c>
      <c r="I120" s="17" t="n">
        <v>8.17064728753225</v>
      </c>
      <c r="J120" s="17" t="n">
        <v>198184</v>
      </c>
      <c r="K120" s="17" t="n">
        <v>193053</v>
      </c>
      <c r="L120" s="17" t="n">
        <v>195272</v>
      </c>
      <c r="M120" s="17" t="n">
        <v>164935</v>
      </c>
      <c r="N120" s="17" t="n">
        <v>10617</v>
      </c>
      <c r="O120" s="17" t="n">
        <v>8545</v>
      </c>
      <c r="P120" s="17" t="n">
        <v>1286</v>
      </c>
      <c r="Q120" s="17" t="n">
        <v>282</v>
      </c>
      <c r="R120" s="17" t="n">
        <v>0</v>
      </c>
      <c r="S120" s="17" t="n">
        <v>52</v>
      </c>
      <c r="T120" s="17" t="n">
        <v>69.3316</v>
      </c>
      <c r="U120" s="17" t="n">
        <v>0.0359132466213941</v>
      </c>
      <c r="V120" s="17" t="n">
        <v>39231</v>
      </c>
      <c r="W120" s="17" t="n">
        <v>208095</v>
      </c>
      <c r="X120" s="17" t="n">
        <v>18.8524471995963</v>
      </c>
      <c r="Y120" s="17" t="n">
        <v>1698.6242</v>
      </c>
      <c r="Z120" s="17" t="n">
        <v>0.453583932259783</v>
      </c>
      <c r="AA120" s="17" t="n">
        <v>5.07</v>
      </c>
      <c r="AB120" s="17" t="n">
        <v>2.87830679115721</v>
      </c>
      <c r="AC120" s="17" t="n">
        <v>1.4693416219271</v>
      </c>
      <c r="AD120" s="17" t="n">
        <v>0</v>
      </c>
      <c r="AE120" s="17" t="n">
        <v>1</v>
      </c>
      <c r="AF120" s="17" t="s">
        <v>231</v>
      </c>
      <c r="AG120" s="17" t="s">
        <v>232</v>
      </c>
      <c r="AH120" s="17" t="n">
        <v>0</v>
      </c>
    </row>
    <row r="121" customFormat="false" ht="15" hidden="false" customHeight="false" outlineLevel="0" collapsed="false">
      <c r="A121" s="17" t="n">
        <v>14240</v>
      </c>
      <c r="B121" s="23" t="n">
        <v>44834</v>
      </c>
      <c r="C121" s="17" t="s">
        <v>195</v>
      </c>
      <c r="D121" s="17" t="s">
        <v>116</v>
      </c>
      <c r="E121" s="17" t="n">
        <v>1313807</v>
      </c>
      <c r="F121" s="17" t="n">
        <v>1254067.5</v>
      </c>
      <c r="G121" s="17" t="n">
        <v>1060386</v>
      </c>
      <c r="H121" s="17" t="n">
        <v>76133</v>
      </c>
      <c r="I121" s="17" t="n">
        <v>5.79483896797627</v>
      </c>
      <c r="J121" s="17" t="n">
        <v>932422</v>
      </c>
      <c r="K121" s="17" t="n">
        <v>854581.75</v>
      </c>
      <c r="L121" s="17" t="n">
        <v>921800</v>
      </c>
      <c r="M121" s="17" t="n">
        <v>792363</v>
      </c>
      <c r="N121" s="17" t="n">
        <v>23213</v>
      </c>
      <c r="O121" s="17" t="n">
        <v>16892</v>
      </c>
      <c r="P121" s="17" t="n">
        <v>1987</v>
      </c>
      <c r="Q121" s="17" t="n">
        <v>321</v>
      </c>
      <c r="R121" s="17" t="n">
        <v>0</v>
      </c>
      <c r="S121" s="17" t="n">
        <v>-106</v>
      </c>
      <c r="T121" s="17" t="n">
        <v>-141.3298</v>
      </c>
      <c r="U121" s="17" t="n">
        <v>-0.016537891196483</v>
      </c>
      <c r="V121" s="17" t="n">
        <v>118541</v>
      </c>
      <c r="W121" s="17" t="n">
        <v>858297</v>
      </c>
      <c r="X121" s="17" t="n">
        <v>13.811186570616</v>
      </c>
      <c r="Y121" s="17" t="n">
        <v>71.9982</v>
      </c>
      <c r="Z121" s="17" t="n">
        <v>0.00574117421909108</v>
      </c>
      <c r="AA121" s="17" t="n">
        <v>0.07</v>
      </c>
      <c r="AB121" s="17" t="n">
        <v>2.96943412272245</v>
      </c>
      <c r="AC121" s="17" t="n">
        <v>1.13918376014294</v>
      </c>
      <c r="AD121" s="17" t="n">
        <v>0.11</v>
      </c>
      <c r="AE121" s="17" t="n">
        <v>0</v>
      </c>
      <c r="AF121" s="17" t="s">
        <v>231</v>
      </c>
      <c r="AG121" s="17" t="s">
        <v>232</v>
      </c>
      <c r="AH121" s="17" t="n">
        <v>0</v>
      </c>
    </row>
    <row r="122" customFormat="false" ht="15" hidden="false" customHeight="false" outlineLevel="0" collapsed="false">
      <c r="A122" s="17" t="n">
        <v>17115</v>
      </c>
      <c r="B122" s="23" t="n">
        <v>44834</v>
      </c>
      <c r="C122" s="17" t="s">
        <v>143</v>
      </c>
      <c r="D122" s="17" t="s">
        <v>108</v>
      </c>
      <c r="E122" s="17" t="n">
        <v>978552</v>
      </c>
      <c r="F122" s="17" t="n">
        <v>892930.75</v>
      </c>
      <c r="G122" s="17" t="n">
        <v>820800</v>
      </c>
      <c r="H122" s="17" t="n">
        <v>74649</v>
      </c>
      <c r="I122" s="17" t="n">
        <v>7.62851642018002</v>
      </c>
      <c r="J122" s="17" t="n">
        <v>804440</v>
      </c>
      <c r="K122" s="17" t="n">
        <v>708563.5</v>
      </c>
      <c r="L122" s="17" t="n">
        <v>796832</v>
      </c>
      <c r="M122" s="17" t="n">
        <v>756417</v>
      </c>
      <c r="N122" s="17" t="n">
        <v>42975</v>
      </c>
      <c r="O122" s="17" t="n">
        <v>4081</v>
      </c>
      <c r="P122" s="17" t="n">
        <v>150</v>
      </c>
      <c r="Q122" s="17" t="n">
        <v>519</v>
      </c>
      <c r="R122" s="17" t="n">
        <v>0</v>
      </c>
      <c r="S122" s="17" t="n">
        <v>213</v>
      </c>
      <c r="T122" s="17" t="n">
        <v>283.9929</v>
      </c>
      <c r="U122" s="17" t="n">
        <v>0.0400800916219929</v>
      </c>
      <c r="V122" s="17" t="n">
        <v>98280</v>
      </c>
      <c r="W122" s="17" t="n">
        <v>706881</v>
      </c>
      <c r="X122" s="17" t="n">
        <v>13.9033302635097</v>
      </c>
      <c r="Y122" s="17" t="n">
        <v>2669.2666</v>
      </c>
      <c r="Z122" s="17" t="n">
        <v>0.298933215145743</v>
      </c>
      <c r="AA122" s="17" t="n">
        <v>3.32</v>
      </c>
      <c r="AB122" s="17" t="n">
        <v>3.55176061857441</v>
      </c>
      <c r="AC122" s="17" t="n">
        <v>0.945751081497688</v>
      </c>
      <c r="AD122" s="17" t="n">
        <v>-0.04</v>
      </c>
      <c r="AE122" s="17" t="n">
        <v>1</v>
      </c>
      <c r="AF122" s="17" t="s">
        <v>241</v>
      </c>
      <c r="AG122" s="17" t="s">
        <v>232</v>
      </c>
      <c r="AH122" s="17" t="n">
        <v>0</v>
      </c>
    </row>
    <row r="123" customFormat="false" ht="15" hidden="false" customHeight="false" outlineLevel="0" collapsed="false">
      <c r="A123" s="17" t="n">
        <v>17180</v>
      </c>
      <c r="B123" s="23" t="n">
        <v>44834</v>
      </c>
      <c r="C123" s="17" t="s">
        <v>127</v>
      </c>
      <c r="D123" s="17" t="s">
        <v>116</v>
      </c>
      <c r="E123" s="17" t="n">
        <v>1483609</v>
      </c>
      <c r="F123" s="17" t="n">
        <v>1358115</v>
      </c>
      <c r="G123" s="17" t="n">
        <v>1205127</v>
      </c>
      <c r="H123" s="17" t="n">
        <v>123922</v>
      </c>
      <c r="I123" s="17" t="n">
        <v>8.35273983913551</v>
      </c>
      <c r="J123" s="17" t="n">
        <v>1328039</v>
      </c>
      <c r="K123" s="17" t="n">
        <v>1205497</v>
      </c>
      <c r="L123" s="17" t="n">
        <v>1316149</v>
      </c>
      <c r="M123" s="17" t="n">
        <v>1064900</v>
      </c>
      <c r="N123" s="17" t="n">
        <v>48894</v>
      </c>
      <c r="O123" s="17" t="n">
        <v>194686</v>
      </c>
      <c r="P123" s="17" t="n">
        <v>3999</v>
      </c>
      <c r="Q123" s="17" t="n">
        <v>1536</v>
      </c>
      <c r="R123" s="17" t="n">
        <v>337</v>
      </c>
      <c r="S123" s="17" t="n">
        <v>88</v>
      </c>
      <c r="T123" s="17" t="n">
        <v>117.3304</v>
      </c>
      <c r="U123" s="17" t="n">
        <v>0.00973294831924094</v>
      </c>
      <c r="V123" s="17" t="n">
        <v>149267</v>
      </c>
      <c r="W123" s="17" t="n">
        <v>1068296</v>
      </c>
      <c r="X123" s="17" t="n">
        <v>13.9724383504197</v>
      </c>
      <c r="Y123" s="17" t="n">
        <v>10107.7473</v>
      </c>
      <c r="Z123" s="17" t="n">
        <v>0.744248263217769</v>
      </c>
      <c r="AA123" s="17" t="n">
        <v>8.01</v>
      </c>
      <c r="AB123" s="17" t="n">
        <v>3.58156355724326</v>
      </c>
      <c r="AC123" s="17" t="n">
        <v>0.895305032457631</v>
      </c>
      <c r="AD123" s="17" t="n">
        <v>0.08</v>
      </c>
      <c r="AE123" s="17" t="n">
        <v>1</v>
      </c>
      <c r="AF123" s="17" t="s">
        <v>241</v>
      </c>
      <c r="AG123" s="17" t="s">
        <v>232</v>
      </c>
      <c r="AH123" s="17" t="n">
        <v>0</v>
      </c>
    </row>
    <row r="124" customFormat="false" ht="15" hidden="false" customHeight="false" outlineLevel="0" collapsed="false">
      <c r="A124" s="17" t="n">
        <v>17443</v>
      </c>
      <c r="B124" s="23" t="n">
        <v>44834</v>
      </c>
      <c r="C124" s="17" t="s">
        <v>132</v>
      </c>
      <c r="D124" s="17" t="s">
        <v>116</v>
      </c>
      <c r="E124" s="17" t="n">
        <v>357184</v>
      </c>
      <c r="F124" s="17" t="n">
        <v>352689.5</v>
      </c>
      <c r="G124" s="17" t="n">
        <v>318685</v>
      </c>
      <c r="H124" s="17" t="n">
        <v>37316</v>
      </c>
      <c r="I124" s="17" t="n">
        <v>10.4472764737502</v>
      </c>
      <c r="J124" s="17" t="n">
        <v>201839</v>
      </c>
      <c r="K124" s="17" t="n">
        <v>191254.5</v>
      </c>
      <c r="L124" s="17" t="n">
        <v>200117</v>
      </c>
      <c r="M124" s="17" t="n">
        <v>199865</v>
      </c>
      <c r="N124" s="17" t="n">
        <v>0</v>
      </c>
      <c r="O124" s="17" t="n">
        <v>954</v>
      </c>
      <c r="P124" s="17" t="n">
        <v>390</v>
      </c>
      <c r="Q124" s="17" t="n">
        <v>254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1934.6183</v>
      </c>
      <c r="Z124" s="17" t="n">
        <v>0.548533001407754</v>
      </c>
      <c r="AA124" s="17" t="n">
        <v>4.6</v>
      </c>
      <c r="AB124" s="17" t="n">
        <v>2.10360140968621</v>
      </c>
      <c r="AC124" s="17" t="n">
        <v>0.853155237590357</v>
      </c>
      <c r="AD124" s="17" t="n">
        <v>0.06</v>
      </c>
      <c r="AE124" s="17" t="n">
        <v>1</v>
      </c>
      <c r="AF124" s="17" t="s">
        <v>241</v>
      </c>
      <c r="AG124" s="17" t="s">
        <v>232</v>
      </c>
      <c r="AH124" s="17" t="n">
        <v>1</v>
      </c>
    </row>
    <row r="125" customFormat="false" ht="15" hidden="false" customHeight="false" outlineLevel="0" collapsed="false">
      <c r="A125" s="17" t="n">
        <v>17658</v>
      </c>
      <c r="B125" s="23" t="n">
        <v>44834</v>
      </c>
      <c r="C125" s="17" t="s">
        <v>144</v>
      </c>
      <c r="D125" s="17" t="s">
        <v>108</v>
      </c>
      <c r="E125" s="17" t="n">
        <v>1739896</v>
      </c>
      <c r="F125" s="17" t="n">
        <v>1747414.75</v>
      </c>
      <c r="G125" s="17" t="n">
        <v>1532921</v>
      </c>
      <c r="H125" s="17" t="n">
        <v>175487</v>
      </c>
      <c r="I125" s="17" t="n">
        <v>10.0860626152368</v>
      </c>
      <c r="J125" s="17" t="n">
        <v>1170228</v>
      </c>
      <c r="K125" s="17" t="n">
        <v>1118738.75</v>
      </c>
      <c r="L125" s="17" t="n">
        <v>1161324</v>
      </c>
      <c r="M125" s="17" t="n">
        <v>1008787</v>
      </c>
      <c r="N125" s="17" t="n">
        <v>84346</v>
      </c>
      <c r="O125" s="17" t="n">
        <v>64497</v>
      </c>
      <c r="P125" s="17" t="n">
        <v>395</v>
      </c>
      <c r="Q125" s="17" t="n">
        <v>2399</v>
      </c>
      <c r="R125" s="17" t="n">
        <v>9</v>
      </c>
      <c r="S125" s="17" t="n">
        <v>36</v>
      </c>
      <c r="T125" s="17" t="n">
        <v>47.9988</v>
      </c>
      <c r="U125" s="17" t="n">
        <v>0.00429043867480232</v>
      </c>
      <c r="V125" s="17" t="n">
        <v>0</v>
      </c>
      <c r="W125" s="17" t="n">
        <v>0</v>
      </c>
      <c r="X125" s="17" t="n">
        <v>0</v>
      </c>
      <c r="Y125" s="17" t="n">
        <v>-349.3246</v>
      </c>
      <c r="Z125" s="17" t="n">
        <v>-0.0199909380414696</v>
      </c>
      <c r="AA125" s="17" t="n">
        <v>-0.17</v>
      </c>
      <c r="AB125" s="17" t="n">
        <v>3.56751582422221</v>
      </c>
      <c r="AC125" s="17" t="n">
        <v>0.760877367487362</v>
      </c>
      <c r="AD125" s="17" t="n">
        <v>-0.02</v>
      </c>
      <c r="AE125" s="17" t="n">
        <v>1</v>
      </c>
      <c r="AF125" s="17" t="s">
        <v>241</v>
      </c>
      <c r="AG125" s="17" t="s">
        <v>232</v>
      </c>
      <c r="AH125" s="17" t="n">
        <v>0</v>
      </c>
    </row>
    <row r="126" customFormat="false" ht="15" hidden="false" customHeight="false" outlineLevel="0" collapsed="false">
      <c r="A126" s="17" t="n">
        <v>17741</v>
      </c>
      <c r="B126" s="23" t="n">
        <v>44834</v>
      </c>
      <c r="C126" s="17" t="s">
        <v>161</v>
      </c>
      <c r="D126" s="17" t="s">
        <v>108</v>
      </c>
      <c r="E126" s="17" t="n">
        <v>1011112</v>
      </c>
      <c r="F126" s="17" t="n">
        <v>1008517.75</v>
      </c>
      <c r="G126" s="17" t="n">
        <v>854564</v>
      </c>
      <c r="H126" s="17" t="n">
        <v>127616</v>
      </c>
      <c r="I126" s="17" t="n">
        <v>12.621351541669</v>
      </c>
      <c r="J126" s="17" t="n">
        <v>833425</v>
      </c>
      <c r="K126" s="17" t="n">
        <v>805598.5</v>
      </c>
      <c r="L126" s="17" t="n">
        <v>825591</v>
      </c>
      <c r="M126" s="17" t="n">
        <v>783810</v>
      </c>
      <c r="N126" s="17" t="n">
        <v>42271</v>
      </c>
      <c r="O126" s="17" t="n">
        <v>3280</v>
      </c>
      <c r="P126" s="17" t="n">
        <v>1945</v>
      </c>
      <c r="Q126" s="17" t="n">
        <v>2126</v>
      </c>
      <c r="R126" s="17" t="n">
        <v>0</v>
      </c>
      <c r="S126" s="17" t="n">
        <v>-6</v>
      </c>
      <c r="T126" s="17" t="n">
        <v>-7.9998</v>
      </c>
      <c r="U126" s="17" t="n">
        <v>-0.000993025682148117</v>
      </c>
      <c r="V126" s="17" t="n">
        <v>0</v>
      </c>
      <c r="W126" s="17" t="n">
        <v>0</v>
      </c>
      <c r="X126" s="17" t="n">
        <v>0</v>
      </c>
      <c r="Y126" s="17" t="n">
        <v>7655.8086</v>
      </c>
      <c r="Z126" s="17" t="n">
        <v>0.759114908984002</v>
      </c>
      <c r="AA126" s="17" t="n">
        <v>5.9</v>
      </c>
      <c r="AB126" s="17" t="n">
        <v>3.45947489455709</v>
      </c>
      <c r="AC126" s="17" t="n">
        <v>0.939976602573717</v>
      </c>
      <c r="AD126" s="17" t="n">
        <v>0.02</v>
      </c>
      <c r="AE126" s="17" t="n">
        <v>1</v>
      </c>
      <c r="AF126" s="17" t="s">
        <v>241</v>
      </c>
      <c r="AG126" s="17" t="s">
        <v>232</v>
      </c>
      <c r="AH126" s="17" t="n">
        <v>0</v>
      </c>
    </row>
    <row r="127" customFormat="false" ht="15" hidden="false" customHeight="false" outlineLevel="0" collapsed="false">
      <c r="A127" s="17" t="n">
        <v>17743</v>
      </c>
      <c r="B127" s="23" t="n">
        <v>44834</v>
      </c>
      <c r="C127" s="17" t="s">
        <v>129</v>
      </c>
      <c r="D127" s="17" t="s">
        <v>108</v>
      </c>
      <c r="E127" s="17" t="n">
        <v>1249583</v>
      </c>
      <c r="F127" s="17" t="n">
        <v>1197871.25</v>
      </c>
      <c r="G127" s="17" t="n">
        <v>1015664</v>
      </c>
      <c r="H127" s="17" t="n">
        <v>114993</v>
      </c>
      <c r="I127" s="17" t="n">
        <v>9.20250995732176</v>
      </c>
      <c r="J127" s="17" t="n">
        <v>953891</v>
      </c>
      <c r="K127" s="17" t="n">
        <v>933122.5</v>
      </c>
      <c r="L127" s="17" t="n">
        <v>948998</v>
      </c>
      <c r="M127" s="17" t="n">
        <v>922540</v>
      </c>
      <c r="N127" s="17" t="n">
        <v>11845</v>
      </c>
      <c r="O127" s="17" t="n">
        <v>6456</v>
      </c>
      <c r="P127" s="17" t="n">
        <v>2125</v>
      </c>
      <c r="Q127" s="17" t="n">
        <v>713</v>
      </c>
      <c r="R127" s="17" t="n">
        <v>0</v>
      </c>
      <c r="S127" s="17" t="n">
        <v>-237</v>
      </c>
      <c r="T127" s="17" t="n">
        <v>-315.9921</v>
      </c>
      <c r="U127" s="17" t="n">
        <v>-0.0338639460520993</v>
      </c>
      <c r="V127" s="17" t="n">
        <v>0</v>
      </c>
      <c r="W127" s="17" t="n">
        <v>0</v>
      </c>
      <c r="X127" s="17" t="n">
        <v>0</v>
      </c>
      <c r="Y127" s="17" t="n">
        <v>4306.559</v>
      </c>
      <c r="Z127" s="17" t="n">
        <v>0.359517686061837</v>
      </c>
      <c r="AA127" s="17" t="n">
        <v>3.48</v>
      </c>
      <c r="AB127" s="17" t="n">
        <v>2.78915821800042</v>
      </c>
      <c r="AC127" s="17" t="n">
        <v>0.512951689448794</v>
      </c>
      <c r="AD127" s="17" t="n">
        <v>-0.04</v>
      </c>
      <c r="AE127" s="17" t="n">
        <v>1</v>
      </c>
      <c r="AF127" s="17" t="s">
        <v>241</v>
      </c>
      <c r="AG127" s="17" t="s">
        <v>232</v>
      </c>
      <c r="AH127" s="17" t="n">
        <v>1</v>
      </c>
    </row>
    <row r="128" customFormat="false" ht="15" hidden="false" customHeight="false" outlineLevel="0" collapsed="false">
      <c r="A128" s="17" t="n">
        <v>17748</v>
      </c>
      <c r="B128" s="23" t="n">
        <v>44834</v>
      </c>
      <c r="C128" s="17" t="s">
        <v>196</v>
      </c>
      <c r="D128" s="17" t="s">
        <v>108</v>
      </c>
      <c r="E128" s="17" t="n">
        <v>1552351</v>
      </c>
      <c r="F128" s="17" t="n">
        <v>1549083</v>
      </c>
      <c r="G128" s="17" t="n">
        <v>1377805</v>
      </c>
      <c r="H128" s="17" t="n">
        <v>102427</v>
      </c>
      <c r="I128" s="17" t="n">
        <v>6.59818559075879</v>
      </c>
      <c r="J128" s="17" t="n">
        <v>1181676</v>
      </c>
      <c r="K128" s="17" t="n">
        <v>1155268.25</v>
      </c>
      <c r="L128" s="17" t="n">
        <v>1172003</v>
      </c>
      <c r="M128" s="17" t="n">
        <v>1007459</v>
      </c>
      <c r="N128" s="17" t="n">
        <v>140498</v>
      </c>
      <c r="O128" s="17" t="n">
        <v>3081</v>
      </c>
      <c r="P128" s="17" t="n">
        <v>6350</v>
      </c>
      <c r="Q128" s="17" t="n">
        <v>318</v>
      </c>
      <c r="R128" s="17" t="n">
        <v>0</v>
      </c>
      <c r="S128" s="17" t="n">
        <v>196</v>
      </c>
      <c r="T128" s="17" t="n">
        <v>261.3268</v>
      </c>
      <c r="U128" s="17" t="n">
        <v>0.0226204433472486</v>
      </c>
      <c r="V128" s="17" t="n">
        <v>0</v>
      </c>
      <c r="W128" s="17" t="n">
        <v>0</v>
      </c>
      <c r="X128" s="17" t="n">
        <v>0</v>
      </c>
      <c r="Y128" s="17" t="n">
        <v>5701.1908</v>
      </c>
      <c r="Z128" s="17" t="n">
        <v>0.368036496430469</v>
      </c>
      <c r="AA128" s="17" t="n">
        <v>4.8</v>
      </c>
      <c r="AB128" s="17" t="n">
        <v>3.10802229687928</v>
      </c>
      <c r="AC128" s="17" t="n">
        <v>0.818583097228005</v>
      </c>
      <c r="AD128" s="17" t="n">
        <v>0.03</v>
      </c>
      <c r="AE128" s="17" t="n">
        <v>0</v>
      </c>
      <c r="AF128" s="17" t="s">
        <v>241</v>
      </c>
      <c r="AG128" s="17" t="s">
        <v>232</v>
      </c>
      <c r="AH128" s="17" t="n">
        <v>0</v>
      </c>
    </row>
    <row r="129" customFormat="false" ht="15" hidden="false" customHeight="false" outlineLevel="0" collapsed="false">
      <c r="A129" s="17" t="n">
        <v>17749</v>
      </c>
      <c r="B129" s="23" t="n">
        <v>44834</v>
      </c>
      <c r="C129" s="17" t="s">
        <v>156</v>
      </c>
      <c r="D129" s="17" t="s">
        <v>108</v>
      </c>
      <c r="E129" s="17" t="n">
        <v>1262862</v>
      </c>
      <c r="F129" s="17" t="n">
        <v>1233159.25</v>
      </c>
      <c r="G129" s="17" t="n">
        <v>1042319</v>
      </c>
      <c r="H129" s="17" t="n">
        <v>143149</v>
      </c>
      <c r="I129" s="17" t="n">
        <v>11.3352844570507</v>
      </c>
      <c r="J129" s="17" t="n">
        <v>707269</v>
      </c>
      <c r="K129" s="17" t="n">
        <v>678686.5</v>
      </c>
      <c r="L129" s="17" t="n">
        <v>697329</v>
      </c>
      <c r="M129" s="17" t="n">
        <v>639367</v>
      </c>
      <c r="N129" s="17" t="n">
        <v>46145</v>
      </c>
      <c r="O129" s="17" t="n">
        <v>10227</v>
      </c>
      <c r="P129" s="17" t="n">
        <v>237</v>
      </c>
      <c r="Q129" s="17" t="n">
        <v>273</v>
      </c>
      <c r="R129" s="17" t="n">
        <v>13</v>
      </c>
      <c r="S129" s="17" t="n">
        <v>13</v>
      </c>
      <c r="T129" s="17" t="n">
        <v>17.3329</v>
      </c>
      <c r="U129" s="17" t="n">
        <v>0.00255388901945154</v>
      </c>
      <c r="V129" s="17" t="n">
        <v>0</v>
      </c>
      <c r="W129" s="17" t="n">
        <v>0</v>
      </c>
      <c r="X129" s="17" t="n">
        <v>0</v>
      </c>
      <c r="Y129" s="17" t="n">
        <v>1571.9607</v>
      </c>
      <c r="Z129" s="17" t="n">
        <v>0.127474265793327</v>
      </c>
      <c r="AA129" s="17" t="n">
        <v>0.98</v>
      </c>
      <c r="AB129" s="17" t="n">
        <v>2.89899105262512</v>
      </c>
      <c r="AC129" s="17" t="n">
        <v>1.40540586396407</v>
      </c>
      <c r="AD129" s="17" t="n">
        <v>0.05</v>
      </c>
      <c r="AE129" s="17" t="n">
        <v>1</v>
      </c>
      <c r="AF129" s="17" t="s">
        <v>241</v>
      </c>
      <c r="AG129" s="17" t="s">
        <v>232</v>
      </c>
      <c r="AH129" s="17" t="n">
        <v>1</v>
      </c>
    </row>
    <row r="130" customFormat="false" ht="15" hidden="false" customHeight="false" outlineLevel="0" collapsed="false">
      <c r="A130" s="17" t="n">
        <v>17751</v>
      </c>
      <c r="B130" s="23" t="n">
        <v>44834</v>
      </c>
      <c r="C130" s="17" t="s">
        <v>125</v>
      </c>
      <c r="D130" s="17" t="s">
        <v>108</v>
      </c>
      <c r="E130" s="17" t="n">
        <v>1446107</v>
      </c>
      <c r="F130" s="17" t="n">
        <v>1404196</v>
      </c>
      <c r="G130" s="17" t="n">
        <v>1280720</v>
      </c>
      <c r="H130" s="17" t="n">
        <v>122617</v>
      </c>
      <c r="I130" s="17" t="n">
        <v>8.47910977541772</v>
      </c>
      <c r="J130" s="17" t="n">
        <v>1185974</v>
      </c>
      <c r="K130" s="17" t="n">
        <v>1112283</v>
      </c>
      <c r="L130" s="17" t="n">
        <v>1173949</v>
      </c>
      <c r="M130" s="17" t="n">
        <v>1020660</v>
      </c>
      <c r="N130" s="17" t="n">
        <v>111246</v>
      </c>
      <c r="O130" s="17" t="n">
        <v>3017</v>
      </c>
      <c r="P130" s="17" t="n">
        <v>1170</v>
      </c>
      <c r="Q130" s="17" t="n">
        <v>807</v>
      </c>
      <c r="R130" s="17" t="n">
        <v>0</v>
      </c>
      <c r="S130" s="17" t="n">
        <v>-291</v>
      </c>
      <c r="T130" s="17" t="n">
        <v>-387.9903</v>
      </c>
      <c r="U130" s="17" t="n">
        <v>-0.0348823365995884</v>
      </c>
      <c r="V130" s="17" t="n">
        <v>152020</v>
      </c>
      <c r="W130" s="17" t="n">
        <v>1129884</v>
      </c>
      <c r="X130" s="17" t="n">
        <v>13.4544785128385</v>
      </c>
      <c r="Y130" s="17" t="n">
        <v>9211.7697</v>
      </c>
      <c r="Z130" s="17" t="n">
        <v>0.656017372218693</v>
      </c>
      <c r="AA130" s="17" t="n">
        <v>7.17</v>
      </c>
      <c r="AB130" s="17" t="n">
        <v>3.13508164909377</v>
      </c>
      <c r="AC130" s="17" t="n">
        <v>1.01393453819392</v>
      </c>
      <c r="AD130" s="17" t="n">
        <v>0.03</v>
      </c>
      <c r="AE130" s="17" t="n">
        <v>1</v>
      </c>
      <c r="AF130" s="17" t="s">
        <v>241</v>
      </c>
      <c r="AG130" s="17" t="s">
        <v>232</v>
      </c>
      <c r="AH130" s="17" t="n">
        <v>0</v>
      </c>
    </row>
    <row r="131" customFormat="false" ht="15" hidden="false" customHeight="false" outlineLevel="0" collapsed="false">
      <c r="A131" s="17" t="n">
        <v>17897</v>
      </c>
      <c r="B131" s="23" t="n">
        <v>44834</v>
      </c>
      <c r="C131" s="17" t="s">
        <v>149</v>
      </c>
      <c r="D131" s="17" t="s">
        <v>108</v>
      </c>
      <c r="E131" s="17" t="n">
        <v>1589541</v>
      </c>
      <c r="F131" s="17" t="n">
        <v>1509912.25</v>
      </c>
      <c r="G131" s="17" t="n">
        <v>1347109</v>
      </c>
      <c r="H131" s="17" t="n">
        <v>185467</v>
      </c>
      <c r="I131" s="17" t="n">
        <v>11.6679594927089</v>
      </c>
      <c r="J131" s="17" t="n">
        <v>1342538</v>
      </c>
      <c r="K131" s="17" t="n">
        <v>1263344.25</v>
      </c>
      <c r="L131" s="17" t="n">
        <v>1333939</v>
      </c>
      <c r="M131" s="17" t="n">
        <v>1265598</v>
      </c>
      <c r="N131" s="17" t="n">
        <v>64720</v>
      </c>
      <c r="O131" s="17" t="n">
        <v>3129</v>
      </c>
      <c r="P131" s="17" t="n">
        <v>3303</v>
      </c>
      <c r="Q131" s="17" t="n">
        <v>1323</v>
      </c>
      <c r="R131" s="17" t="n">
        <v>0</v>
      </c>
      <c r="S131" s="17" t="n">
        <v>-128</v>
      </c>
      <c r="T131" s="17" t="n">
        <v>-170.6624</v>
      </c>
      <c r="U131" s="17" t="n">
        <v>-0.01350878036608</v>
      </c>
      <c r="V131" s="17" t="n">
        <v>0</v>
      </c>
      <c r="W131" s="17" t="n">
        <v>0</v>
      </c>
      <c r="X131" s="17" t="n">
        <v>0</v>
      </c>
      <c r="Y131" s="17" t="n">
        <v>-5617.1929</v>
      </c>
      <c r="Z131" s="17" t="n">
        <v>-0.372021148911137</v>
      </c>
      <c r="AA131" s="17" t="n">
        <v>-2.89</v>
      </c>
      <c r="AB131" s="17" t="n">
        <v>3.22509965071587</v>
      </c>
      <c r="AC131" s="17" t="n">
        <v>0.640503285568081</v>
      </c>
      <c r="AD131" s="17" t="n">
        <v>0.08</v>
      </c>
      <c r="AE131" s="17" t="n">
        <v>1</v>
      </c>
      <c r="AF131" s="17" t="s">
        <v>241</v>
      </c>
      <c r="AG131" s="17" t="s">
        <v>232</v>
      </c>
      <c r="AH131" s="17" t="n">
        <v>0</v>
      </c>
    </row>
    <row r="132" customFormat="false" ht="15" hidden="false" customHeight="false" outlineLevel="0" collapsed="false">
      <c r="A132" s="17" t="n">
        <v>17951</v>
      </c>
      <c r="B132" s="23" t="n">
        <v>44834</v>
      </c>
      <c r="C132" s="17" t="s">
        <v>136</v>
      </c>
      <c r="D132" s="17" t="s">
        <v>116</v>
      </c>
      <c r="E132" s="17" t="n">
        <v>741759</v>
      </c>
      <c r="F132" s="17" t="n">
        <v>714112.75</v>
      </c>
      <c r="G132" s="17" t="n">
        <v>644557</v>
      </c>
      <c r="H132" s="17" t="n">
        <v>52288</v>
      </c>
      <c r="I132" s="17" t="n">
        <v>7.04918983119854</v>
      </c>
      <c r="J132" s="17" t="n">
        <v>517803</v>
      </c>
      <c r="K132" s="17" t="n">
        <v>476818</v>
      </c>
      <c r="L132" s="17" t="n">
        <v>513395</v>
      </c>
      <c r="M132" s="17" t="n">
        <v>482723</v>
      </c>
      <c r="N132" s="17" t="n">
        <v>21389</v>
      </c>
      <c r="O132" s="17" t="n">
        <v>1636</v>
      </c>
      <c r="P132" s="17" t="n">
        <v>393</v>
      </c>
      <c r="Q132" s="17" t="n">
        <v>0</v>
      </c>
      <c r="R132" s="17" t="n">
        <v>0</v>
      </c>
      <c r="S132" s="17" t="n">
        <v>1</v>
      </c>
      <c r="T132" s="17" t="n">
        <v>1.3333</v>
      </c>
      <c r="U132" s="17" t="n">
        <v>0.000279624510819642</v>
      </c>
      <c r="V132" s="17" t="n">
        <v>74437</v>
      </c>
      <c r="W132" s="17" t="n">
        <v>513569</v>
      </c>
      <c r="X132" s="17" t="n">
        <v>14.4940601944432</v>
      </c>
      <c r="Y132" s="17" t="n">
        <v>7321.1503</v>
      </c>
      <c r="Z132" s="17" t="n">
        <v>1.02520929643113</v>
      </c>
      <c r="AA132" s="17" t="n">
        <v>12.99</v>
      </c>
      <c r="AB132" s="17" t="n">
        <v>3.22552262323987</v>
      </c>
      <c r="AC132" s="17" t="n">
        <v>0.85128900373308</v>
      </c>
      <c r="AD132" s="17" t="n">
        <v>0.11</v>
      </c>
      <c r="AE132" s="17" t="n">
        <v>1</v>
      </c>
      <c r="AF132" s="17" t="s">
        <v>241</v>
      </c>
      <c r="AG132" s="17" t="s">
        <v>232</v>
      </c>
      <c r="AH132" s="17" t="n">
        <v>0</v>
      </c>
    </row>
    <row r="133" customFormat="false" ht="15" hidden="false" customHeight="false" outlineLevel="0" collapsed="false">
      <c r="A133" s="17" t="n">
        <v>17960</v>
      </c>
      <c r="B133" s="23" t="n">
        <v>44834</v>
      </c>
      <c r="C133" s="17" t="s">
        <v>115</v>
      </c>
      <c r="D133" s="17" t="s">
        <v>116</v>
      </c>
      <c r="E133" s="17" t="n">
        <v>1278487</v>
      </c>
      <c r="F133" s="17" t="n">
        <v>1205731.75</v>
      </c>
      <c r="G133" s="17" t="n">
        <v>1016704</v>
      </c>
      <c r="H133" s="17" t="n">
        <v>101209</v>
      </c>
      <c r="I133" s="17" t="n">
        <v>7.91631045133818</v>
      </c>
      <c r="J133" s="17" t="n">
        <v>1082576</v>
      </c>
      <c r="K133" s="17" t="n">
        <v>987656.5</v>
      </c>
      <c r="L133" s="17" t="n">
        <v>1072166</v>
      </c>
      <c r="M133" s="17" t="n">
        <v>781834</v>
      </c>
      <c r="N133" s="17" t="n">
        <v>109964</v>
      </c>
      <c r="O133" s="17" t="n">
        <v>186516</v>
      </c>
      <c r="P133" s="17" t="n">
        <v>699</v>
      </c>
      <c r="Q133" s="17" t="n">
        <v>1090</v>
      </c>
      <c r="R133" s="17" t="n">
        <v>73</v>
      </c>
      <c r="S133" s="17" t="n">
        <v>13</v>
      </c>
      <c r="T133" s="17" t="n">
        <v>17.3329</v>
      </c>
      <c r="U133" s="17" t="n">
        <v>0.00175495225313659</v>
      </c>
      <c r="V133" s="17" t="n">
        <v>128986</v>
      </c>
      <c r="W133" s="17" t="n">
        <v>997636</v>
      </c>
      <c r="X133" s="17" t="n">
        <v>12.9291645449843</v>
      </c>
      <c r="Y133" s="17" t="n">
        <v>9790.4219</v>
      </c>
      <c r="Z133" s="17" t="n">
        <v>0.811990055001869</v>
      </c>
      <c r="AA133" s="17" t="n">
        <v>9.21</v>
      </c>
      <c r="AB133" s="17" t="n">
        <v>3.60711263159524</v>
      </c>
      <c r="AC133" s="17" t="n">
        <v>0.961595306010848</v>
      </c>
      <c r="AD133" s="17" t="n">
        <v>0.12</v>
      </c>
      <c r="AE133" s="17" t="n">
        <v>1</v>
      </c>
      <c r="AF133" s="17" t="s">
        <v>241</v>
      </c>
      <c r="AG133" s="17" t="s">
        <v>232</v>
      </c>
      <c r="AH133" s="17" t="n">
        <v>0</v>
      </c>
    </row>
    <row r="134" customFormat="false" ht="15" hidden="false" customHeight="false" outlineLevel="0" collapsed="false">
      <c r="A134" s="17" t="n">
        <v>18012</v>
      </c>
      <c r="B134" s="23" t="n">
        <v>44834</v>
      </c>
      <c r="C134" s="17" t="s">
        <v>148</v>
      </c>
      <c r="D134" s="17" t="s">
        <v>116</v>
      </c>
      <c r="E134" s="17" t="n">
        <v>2400019</v>
      </c>
      <c r="F134" s="17" t="n">
        <v>2362847.5</v>
      </c>
      <c r="G134" s="17" t="n">
        <v>2088751</v>
      </c>
      <c r="H134" s="17" t="n">
        <v>230722</v>
      </c>
      <c r="I134" s="17" t="n">
        <v>9.61334056105389</v>
      </c>
      <c r="J134" s="17" t="n">
        <v>1923861</v>
      </c>
      <c r="K134" s="17" t="n">
        <v>1838329</v>
      </c>
      <c r="L134" s="17" t="n">
        <v>1901049</v>
      </c>
      <c r="M134" s="17" t="n">
        <v>1803269</v>
      </c>
      <c r="N134" s="17" t="n">
        <v>50796</v>
      </c>
      <c r="O134" s="17" t="n">
        <v>36004</v>
      </c>
      <c r="P134" s="17" t="n">
        <v>1056</v>
      </c>
      <c r="Q134" s="17" t="n">
        <v>1681</v>
      </c>
      <c r="R134" s="17" t="n">
        <v>0</v>
      </c>
      <c r="S134" s="17" t="n">
        <v>38</v>
      </c>
      <c r="T134" s="17" t="n">
        <v>50.6654</v>
      </c>
      <c r="U134" s="17" t="n">
        <v>0.00275605726722475</v>
      </c>
      <c r="V134" s="17" t="n">
        <v>273566</v>
      </c>
      <c r="W134" s="17" t="n">
        <v>2125129</v>
      </c>
      <c r="X134" s="17" t="n">
        <v>12.8729126561258</v>
      </c>
      <c r="Y134" s="17" t="n">
        <v>28755.2811</v>
      </c>
      <c r="Z134" s="17" t="n">
        <v>1.21697575065678</v>
      </c>
      <c r="AA134" s="17" t="n">
        <v>12.17</v>
      </c>
      <c r="AB134" s="17" t="n">
        <v>3.58161818367167</v>
      </c>
      <c r="AC134" s="17" t="n">
        <v>1.18574054986301</v>
      </c>
      <c r="AD134" s="17" t="n">
        <v>0.01</v>
      </c>
      <c r="AE134" s="17" t="n">
        <v>1</v>
      </c>
      <c r="AF134" s="17" t="s">
        <v>314</v>
      </c>
      <c r="AG134" s="17" t="s">
        <v>232</v>
      </c>
      <c r="AH134" s="17" t="n">
        <v>0</v>
      </c>
    </row>
    <row r="135" customFormat="false" ht="15" hidden="false" customHeight="false" outlineLevel="0" collapsed="false">
      <c r="A135" s="17" t="n">
        <v>18013</v>
      </c>
      <c r="B135" s="23" t="n">
        <v>44834</v>
      </c>
      <c r="C135" s="17" t="s">
        <v>131</v>
      </c>
      <c r="D135" s="17" t="s">
        <v>116</v>
      </c>
      <c r="E135" s="17" t="n">
        <v>2685566</v>
      </c>
      <c r="F135" s="17" t="n">
        <v>2633081.5</v>
      </c>
      <c r="G135" s="17" t="n">
        <v>2352806</v>
      </c>
      <c r="H135" s="17" t="n">
        <v>195855</v>
      </c>
      <c r="I135" s="17" t="n">
        <v>7.2928760641146</v>
      </c>
      <c r="J135" s="17" t="n">
        <v>2114991</v>
      </c>
      <c r="K135" s="17" t="n">
        <v>1988395.25</v>
      </c>
      <c r="L135" s="17" t="n">
        <v>2095543</v>
      </c>
      <c r="M135" s="17" t="n">
        <v>1943255</v>
      </c>
      <c r="N135" s="17" t="n">
        <v>102062</v>
      </c>
      <c r="O135" s="17" t="n">
        <v>16559</v>
      </c>
      <c r="P135" s="17" t="n">
        <v>1930</v>
      </c>
      <c r="Q135" s="17" t="n">
        <v>2713</v>
      </c>
      <c r="R135" s="17" t="n">
        <v>223</v>
      </c>
      <c r="S135" s="17" t="n">
        <v>-39</v>
      </c>
      <c r="T135" s="17" t="n">
        <v>-51.9987</v>
      </c>
      <c r="U135" s="17" t="n">
        <v>-0.00261510884216808</v>
      </c>
      <c r="V135" s="17" t="n">
        <v>253032</v>
      </c>
      <c r="W135" s="17" t="n">
        <v>1881459</v>
      </c>
      <c r="X135" s="17" t="n">
        <v>13.448711877325</v>
      </c>
      <c r="Y135" s="17" t="n">
        <v>17815.5546</v>
      </c>
      <c r="Z135" s="17" t="n">
        <v>0.676604753783732</v>
      </c>
      <c r="AA135" s="17" t="n">
        <v>8.57</v>
      </c>
      <c r="AB135" s="17" t="n">
        <v>3.15593137458496</v>
      </c>
      <c r="AC135" s="17" t="n">
        <v>0.919531099659526</v>
      </c>
      <c r="AD135" s="17" t="n">
        <v>0.05</v>
      </c>
      <c r="AE135" s="17" t="n">
        <v>1</v>
      </c>
      <c r="AF135" s="17" t="s">
        <v>314</v>
      </c>
      <c r="AG135" s="17" t="s">
        <v>232</v>
      </c>
      <c r="AH135" s="17" t="n">
        <v>0</v>
      </c>
    </row>
    <row r="136" customFormat="false" ht="15" hidden="false" customHeight="false" outlineLevel="0" collapsed="false">
      <c r="A136" s="17" t="n">
        <v>18028</v>
      </c>
      <c r="B136" s="23" t="n">
        <v>44834</v>
      </c>
      <c r="C136" s="17" t="s">
        <v>130</v>
      </c>
      <c r="D136" s="17" t="s">
        <v>116</v>
      </c>
      <c r="E136" s="17" t="n">
        <v>379383</v>
      </c>
      <c r="F136" s="17" t="n">
        <v>377108.5</v>
      </c>
      <c r="G136" s="17" t="n">
        <v>337295</v>
      </c>
      <c r="H136" s="17" t="n">
        <v>34470</v>
      </c>
      <c r="I136" s="17" t="n">
        <v>9.08580510987577</v>
      </c>
      <c r="J136" s="17" t="n">
        <v>245095</v>
      </c>
      <c r="K136" s="17" t="n">
        <v>235641.5</v>
      </c>
      <c r="L136" s="17" t="n">
        <v>242821</v>
      </c>
      <c r="M136" s="17" t="n">
        <v>213616</v>
      </c>
      <c r="N136" s="17" t="n">
        <v>16788</v>
      </c>
      <c r="O136" s="17" t="n">
        <v>8019</v>
      </c>
      <c r="P136" s="17" t="n">
        <v>1067</v>
      </c>
      <c r="Q136" s="17" t="n">
        <v>351</v>
      </c>
      <c r="R136" s="17" t="n">
        <v>294</v>
      </c>
      <c r="S136" s="17" t="n">
        <v>110</v>
      </c>
      <c r="T136" s="17" t="n">
        <v>146.663</v>
      </c>
      <c r="U136" s="17" t="n">
        <v>0.0622398855889137</v>
      </c>
      <c r="V136" s="17" t="n">
        <v>0</v>
      </c>
      <c r="W136" s="17" t="n">
        <v>0</v>
      </c>
      <c r="X136" s="17" t="n">
        <v>0</v>
      </c>
      <c r="Y136" s="17" t="n">
        <v>2682.5996</v>
      </c>
      <c r="Z136" s="17" t="n">
        <v>0.711360152316906</v>
      </c>
      <c r="AA136" s="17" t="n">
        <v>6.65</v>
      </c>
      <c r="AB136" s="17" t="n">
        <v>3.34674640434086</v>
      </c>
      <c r="AC136" s="17" t="n">
        <v>0.927803504763459</v>
      </c>
      <c r="AD136" s="17" t="n">
        <v>0.04</v>
      </c>
      <c r="AE136" s="17" t="n">
        <v>1</v>
      </c>
      <c r="AF136" s="17" t="s">
        <v>241</v>
      </c>
      <c r="AG136" s="17" t="s">
        <v>232</v>
      </c>
      <c r="AH136" s="17" t="n">
        <v>0</v>
      </c>
    </row>
    <row r="137" customFormat="false" ht="15" hidden="false" customHeight="false" outlineLevel="0" collapsed="false">
      <c r="A137" s="17" t="n">
        <v>18030</v>
      </c>
      <c r="B137" s="23" t="n">
        <v>44834</v>
      </c>
      <c r="C137" s="17" t="s">
        <v>157</v>
      </c>
      <c r="D137" s="17" t="s">
        <v>116</v>
      </c>
      <c r="E137" s="17" t="n">
        <v>703383</v>
      </c>
      <c r="F137" s="17" t="n">
        <v>683917.75</v>
      </c>
      <c r="G137" s="17" t="n">
        <v>659450</v>
      </c>
      <c r="H137" s="17" t="n">
        <v>40935</v>
      </c>
      <c r="I137" s="17" t="n">
        <v>5.81973121329347</v>
      </c>
      <c r="J137" s="17" t="n">
        <v>544604</v>
      </c>
      <c r="K137" s="17" t="n">
        <v>503708.5</v>
      </c>
      <c r="L137" s="17" t="n">
        <v>539539</v>
      </c>
      <c r="M137" s="17" t="n">
        <v>424875</v>
      </c>
      <c r="N137" s="17" t="n">
        <v>30312</v>
      </c>
      <c r="O137" s="17" t="n">
        <v>89007</v>
      </c>
      <c r="P137" s="17" t="n">
        <v>929</v>
      </c>
      <c r="Q137" s="17" t="n">
        <v>19</v>
      </c>
      <c r="R137" s="17" t="n">
        <v>130</v>
      </c>
      <c r="S137" s="17" t="n">
        <v>-30</v>
      </c>
      <c r="T137" s="17" t="n">
        <v>-39.999</v>
      </c>
      <c r="U137" s="17" t="n">
        <v>-0.0079409023274374</v>
      </c>
      <c r="V137" s="17" t="n">
        <v>61188</v>
      </c>
      <c r="W137" s="17" t="n">
        <v>469924</v>
      </c>
      <c r="X137" s="17" t="n">
        <v>13.0208288999923</v>
      </c>
      <c r="Y137" s="17" t="n">
        <v>2810.5964</v>
      </c>
      <c r="Z137" s="17" t="n">
        <v>0.410955323209553</v>
      </c>
      <c r="AA137" s="17" t="n">
        <v>6.03</v>
      </c>
      <c r="AB137" s="17" t="n">
        <v>3.13216431026469</v>
      </c>
      <c r="AC137" s="17" t="n">
        <v>0.930033565673407</v>
      </c>
      <c r="AD137" s="17" t="n">
        <v>0.13</v>
      </c>
      <c r="AE137" s="17" t="n">
        <v>1</v>
      </c>
      <c r="AF137" s="17" t="s">
        <v>241</v>
      </c>
      <c r="AG137" s="17" t="s">
        <v>232</v>
      </c>
      <c r="AH137" s="17" t="n">
        <v>0</v>
      </c>
    </row>
    <row r="138" customFormat="false" ht="15" hidden="false" customHeight="false" outlineLevel="0" collapsed="false">
      <c r="A138" s="17" t="n">
        <v>18031</v>
      </c>
      <c r="B138" s="23" t="n">
        <v>44834</v>
      </c>
      <c r="C138" s="17" t="s">
        <v>152</v>
      </c>
      <c r="D138" s="17" t="s">
        <v>116</v>
      </c>
      <c r="E138" s="17" t="n">
        <v>641019</v>
      </c>
      <c r="F138" s="17" t="n">
        <v>632488.5</v>
      </c>
      <c r="G138" s="17" t="n">
        <v>568656</v>
      </c>
      <c r="H138" s="17" t="n">
        <v>33282</v>
      </c>
      <c r="I138" s="17" t="n">
        <v>5.19204578959438</v>
      </c>
      <c r="J138" s="17" t="n">
        <v>453544</v>
      </c>
      <c r="K138" s="17" t="n">
        <v>427947.25</v>
      </c>
      <c r="L138" s="17" t="n">
        <v>448513</v>
      </c>
      <c r="M138" s="17" t="n">
        <v>411232</v>
      </c>
      <c r="N138" s="17" t="n">
        <v>28825</v>
      </c>
      <c r="O138" s="17" t="n">
        <v>8856</v>
      </c>
      <c r="P138" s="17" t="n">
        <v>638</v>
      </c>
      <c r="Q138" s="17" t="n">
        <v>868</v>
      </c>
      <c r="R138" s="17" t="n">
        <v>0</v>
      </c>
      <c r="S138" s="17" t="n">
        <v>3</v>
      </c>
      <c r="T138" s="17" t="n">
        <v>3.9999</v>
      </c>
      <c r="U138" s="17" t="n">
        <v>0.000934671270816672</v>
      </c>
      <c r="V138" s="17" t="n">
        <v>60404</v>
      </c>
      <c r="W138" s="17" t="n">
        <v>367187</v>
      </c>
      <c r="X138" s="17" t="n">
        <v>16.4504734644745</v>
      </c>
      <c r="Y138" s="17" t="n">
        <v>3341.2498</v>
      </c>
      <c r="Z138" s="17" t="n">
        <v>0.528270442861807</v>
      </c>
      <c r="AA138" s="17" t="n">
        <v>7.71</v>
      </c>
      <c r="AB138" s="17" t="n">
        <v>3.00407550002015</v>
      </c>
      <c r="AC138" s="17" t="n">
        <v>1.10926393029122</v>
      </c>
      <c r="AD138" s="17" t="n">
        <v>0</v>
      </c>
      <c r="AE138" s="17" t="n">
        <v>0</v>
      </c>
      <c r="AF138" s="17" t="s">
        <v>241</v>
      </c>
      <c r="AG138" s="17" t="s">
        <v>232</v>
      </c>
      <c r="AH138" s="17" t="n">
        <v>0</v>
      </c>
    </row>
    <row r="139" customFormat="false" ht="15" hidden="false" customHeight="false" outlineLevel="0" collapsed="false">
      <c r="A139" s="17" t="n">
        <v>18038</v>
      </c>
      <c r="B139" s="23" t="n">
        <v>44834</v>
      </c>
      <c r="C139" s="17" t="s">
        <v>128</v>
      </c>
      <c r="D139" s="17" t="s">
        <v>116</v>
      </c>
      <c r="E139" s="17" t="n">
        <v>492676</v>
      </c>
      <c r="F139" s="17" t="n">
        <v>489065</v>
      </c>
      <c r="G139" s="17" t="n">
        <v>386477</v>
      </c>
      <c r="H139" s="17" t="n">
        <v>61616</v>
      </c>
      <c r="I139" s="17" t="n">
        <v>12.5063936542474</v>
      </c>
      <c r="J139" s="17" t="n">
        <v>385931</v>
      </c>
      <c r="K139" s="17" t="n">
        <v>366058</v>
      </c>
      <c r="L139" s="17" t="n">
        <v>381793</v>
      </c>
      <c r="M139" s="17" t="n">
        <v>364802</v>
      </c>
      <c r="N139" s="17" t="n">
        <v>17520</v>
      </c>
      <c r="O139" s="17" t="n">
        <v>3246</v>
      </c>
      <c r="P139" s="17" t="n">
        <v>2589</v>
      </c>
      <c r="Q139" s="17" t="n">
        <v>1188</v>
      </c>
      <c r="R139" s="17" t="n">
        <v>0</v>
      </c>
      <c r="S139" s="17" t="n">
        <v>-168</v>
      </c>
      <c r="T139" s="17" t="n">
        <v>-223.9944</v>
      </c>
      <c r="U139" s="17" t="n">
        <v>-0.0611909588098061</v>
      </c>
      <c r="V139" s="17" t="n">
        <v>0</v>
      </c>
      <c r="W139" s="17" t="n">
        <v>0</v>
      </c>
      <c r="X139" s="17" t="n">
        <v>0</v>
      </c>
      <c r="Y139" s="17" t="n">
        <v>-5229.2026</v>
      </c>
      <c r="Z139" s="17" t="n">
        <v>-1.0692244589165</v>
      </c>
      <c r="AA139" s="17" t="n">
        <v>-7.81</v>
      </c>
      <c r="AB139" s="17" t="n">
        <v>3.18243691660641</v>
      </c>
      <c r="AC139" s="17" t="n">
        <v>1.07221239029775</v>
      </c>
      <c r="AD139" s="17" t="n">
        <v>-0.09</v>
      </c>
      <c r="AE139" s="17" t="n">
        <v>1</v>
      </c>
      <c r="AF139" s="17" t="s">
        <v>241</v>
      </c>
      <c r="AG139" s="17" t="s">
        <v>232</v>
      </c>
      <c r="AH139" s="17" t="n">
        <v>1</v>
      </c>
    </row>
    <row r="140" customFormat="false" ht="15" hidden="false" customHeight="false" outlineLevel="0" collapsed="false">
      <c r="A140" s="17" t="n">
        <v>18408</v>
      </c>
      <c r="B140" s="23" t="n">
        <v>44834</v>
      </c>
      <c r="C140" s="17" t="s">
        <v>107</v>
      </c>
      <c r="D140" s="17" t="s">
        <v>108</v>
      </c>
      <c r="E140" s="17" t="n">
        <v>7207176</v>
      </c>
      <c r="F140" s="17" t="n">
        <v>7020029.5</v>
      </c>
      <c r="G140" s="17" t="n">
        <v>5866760</v>
      </c>
      <c r="H140" s="17" t="n">
        <v>323363</v>
      </c>
      <c r="I140" s="17" t="n">
        <v>4.48668105232896</v>
      </c>
      <c r="J140" s="17" t="n">
        <v>4500880</v>
      </c>
      <c r="K140" s="17" t="n">
        <v>4166863.25</v>
      </c>
      <c r="L140" s="17" t="n">
        <v>4461506</v>
      </c>
      <c r="M140" s="17" t="n">
        <v>4105596</v>
      </c>
      <c r="N140" s="17" t="n">
        <v>297616</v>
      </c>
      <c r="O140" s="17" t="n">
        <v>28938</v>
      </c>
      <c r="P140" s="17" t="n">
        <v>2950</v>
      </c>
      <c r="Q140" s="17" t="n">
        <v>1920</v>
      </c>
      <c r="R140" s="17" t="n">
        <v>0</v>
      </c>
      <c r="S140" s="17" t="n">
        <v>268</v>
      </c>
      <c r="T140" s="17" t="n">
        <v>357.3244</v>
      </c>
      <c r="U140" s="17" t="n">
        <v>0.00857538101352378</v>
      </c>
      <c r="V140" s="17" t="n">
        <v>559898</v>
      </c>
      <c r="W140" s="17" t="n">
        <v>4673394</v>
      </c>
      <c r="X140" s="17" t="n">
        <v>11.9805434765398</v>
      </c>
      <c r="Y140" s="17" t="n">
        <v>54553.3028</v>
      </c>
      <c r="Z140" s="17" t="n">
        <v>0.777109309868285</v>
      </c>
      <c r="AA140" s="17" t="n">
        <v>12.75</v>
      </c>
      <c r="AB140" s="17" t="n">
        <v>2.6901115457965</v>
      </c>
      <c r="AC140" s="17" t="n">
        <v>0.874806704466682</v>
      </c>
      <c r="AD140" s="17" t="n">
        <v>-0.19</v>
      </c>
      <c r="AE140" s="17" t="n">
        <v>1</v>
      </c>
      <c r="AF140" s="17" t="s">
        <v>241</v>
      </c>
      <c r="AG140" s="17" t="s">
        <v>232</v>
      </c>
      <c r="AH140" s="17" t="n">
        <v>0</v>
      </c>
    </row>
    <row r="141" customFormat="false" ht="15" hidden="false" customHeight="false" outlineLevel="0" collapsed="false">
      <c r="A141" s="17" t="n">
        <v>19531</v>
      </c>
      <c r="B141" s="23" t="n">
        <v>44834</v>
      </c>
      <c r="C141" s="17" t="s">
        <v>146</v>
      </c>
      <c r="D141" s="17" t="s">
        <v>108</v>
      </c>
      <c r="E141" s="17" t="n">
        <v>2290994</v>
      </c>
      <c r="F141" s="17" t="n">
        <v>2275526.75</v>
      </c>
      <c r="G141" s="17" t="n">
        <v>1937924</v>
      </c>
      <c r="H141" s="17" t="n">
        <v>213958</v>
      </c>
      <c r="I141" s="17" t="n">
        <v>9.33909036863475</v>
      </c>
      <c r="J141" s="17" t="n">
        <v>1815032</v>
      </c>
      <c r="K141" s="17" t="n">
        <v>1717277</v>
      </c>
      <c r="L141" s="17" t="n">
        <v>1791483</v>
      </c>
      <c r="M141" s="17" t="n">
        <v>1463937</v>
      </c>
      <c r="N141" s="17" t="n">
        <v>236379</v>
      </c>
      <c r="O141" s="17" t="n">
        <v>13005</v>
      </c>
      <c r="P141" s="17" t="n">
        <v>5667</v>
      </c>
      <c r="Q141" s="17" t="n">
        <v>3339</v>
      </c>
      <c r="R141" s="17" t="n">
        <v>39</v>
      </c>
      <c r="S141" s="17" t="n">
        <v>93</v>
      </c>
      <c r="T141" s="17" t="n">
        <v>123.9969</v>
      </c>
      <c r="U141" s="17" t="n">
        <v>0.0072205532363154</v>
      </c>
      <c r="V141" s="17" t="n">
        <v>280319</v>
      </c>
      <c r="W141" s="17" t="n">
        <v>1925402</v>
      </c>
      <c r="X141" s="17" t="n">
        <v>14.5589856040453</v>
      </c>
      <c r="Y141" s="17" t="n">
        <v>13011.6747</v>
      </c>
      <c r="Z141" s="17" t="n">
        <v>0.571809349197939</v>
      </c>
      <c r="AA141" s="17" t="n">
        <v>5.72</v>
      </c>
      <c r="AB141" s="17" t="n">
        <v>3.57897912147177</v>
      </c>
      <c r="AC141" s="17" t="n">
        <v>1.29744268971566</v>
      </c>
      <c r="AD141" s="17" t="n">
        <v>0</v>
      </c>
      <c r="AE141" s="17" t="n">
        <v>1</v>
      </c>
      <c r="AF141" s="17" t="s">
        <v>241</v>
      </c>
      <c r="AG141" s="17" t="s">
        <v>232</v>
      </c>
      <c r="AH141" s="17" t="n">
        <v>0</v>
      </c>
    </row>
    <row r="142" customFormat="false" ht="15" hidden="false" customHeight="false" outlineLevel="0" collapsed="false">
      <c r="A142" s="17" t="n">
        <v>19532</v>
      </c>
      <c r="B142" s="23" t="n">
        <v>44834</v>
      </c>
      <c r="C142" s="17" t="s">
        <v>164</v>
      </c>
      <c r="D142" s="17" t="s">
        <v>108</v>
      </c>
      <c r="E142" s="17" t="n">
        <v>779214</v>
      </c>
      <c r="F142" s="17" t="n">
        <v>771010.25</v>
      </c>
      <c r="G142" s="17" t="n">
        <v>683500</v>
      </c>
      <c r="H142" s="17" t="n">
        <v>83123</v>
      </c>
      <c r="I142" s="17" t="n">
        <v>10.6675444743036</v>
      </c>
      <c r="J142" s="17" t="n">
        <v>529131</v>
      </c>
      <c r="K142" s="17" t="n">
        <v>511586.75</v>
      </c>
      <c r="L142" s="17" t="n">
        <v>523247</v>
      </c>
      <c r="M142" s="17" t="n">
        <v>452724</v>
      </c>
      <c r="N142" s="17" t="n">
        <v>25822</v>
      </c>
      <c r="O142" s="17" t="n">
        <v>43323</v>
      </c>
      <c r="P142" s="17" t="n">
        <v>598</v>
      </c>
      <c r="Q142" s="17" t="n">
        <v>596</v>
      </c>
      <c r="R142" s="17" t="n">
        <v>0</v>
      </c>
      <c r="S142" s="17" t="n">
        <v>23</v>
      </c>
      <c r="T142" s="17" t="n">
        <v>30.6659</v>
      </c>
      <c r="U142" s="17" t="n">
        <v>0.00599427174374629</v>
      </c>
      <c r="V142" s="17" t="n">
        <v>111725</v>
      </c>
      <c r="W142" s="17" t="n">
        <v>535803</v>
      </c>
      <c r="X142" s="17" t="n">
        <v>20.851880261962</v>
      </c>
      <c r="Y142" s="17" t="n">
        <v>3377.2489</v>
      </c>
      <c r="Z142" s="17" t="n">
        <v>0.438029053439951</v>
      </c>
      <c r="AA142" s="17" t="n">
        <v>3.62</v>
      </c>
      <c r="AB142" s="17" t="n">
        <v>3.29443240506329</v>
      </c>
      <c r="AC142" s="17" t="n">
        <v>1.11201195923127</v>
      </c>
      <c r="AD142" s="17" t="n">
        <v>0.01</v>
      </c>
      <c r="AE142" s="17" t="n">
        <v>1</v>
      </c>
      <c r="AF142" s="17" t="s">
        <v>241</v>
      </c>
      <c r="AG142" s="17" t="s">
        <v>232</v>
      </c>
      <c r="AH142" s="17" t="n">
        <v>1</v>
      </c>
    </row>
    <row r="143" customFormat="false" ht="15" hidden="false" customHeight="false" outlineLevel="0" collapsed="false">
      <c r="A143" s="17" t="n">
        <v>19690</v>
      </c>
      <c r="B143" s="23" t="n">
        <v>44834</v>
      </c>
      <c r="C143" s="17" t="s">
        <v>158</v>
      </c>
      <c r="D143" s="17" t="s">
        <v>108</v>
      </c>
      <c r="E143" s="17" t="n">
        <v>1742943</v>
      </c>
      <c r="F143" s="17" t="n">
        <v>1587943.25</v>
      </c>
      <c r="G143" s="17" t="n">
        <v>1344811</v>
      </c>
      <c r="H143" s="17" t="n">
        <v>252162</v>
      </c>
      <c r="I143" s="17" t="n">
        <v>14.4675987682902</v>
      </c>
      <c r="J143" s="17" t="n">
        <v>1464220</v>
      </c>
      <c r="K143" s="17" t="n">
        <v>1295648.75</v>
      </c>
      <c r="L143" s="17" t="n">
        <v>1458322</v>
      </c>
      <c r="M143" s="17" t="n">
        <v>1069457</v>
      </c>
      <c r="N143" s="17" t="n">
        <v>22707</v>
      </c>
      <c r="O143" s="17" t="n">
        <v>653</v>
      </c>
      <c r="P143" s="17" t="n">
        <v>13597</v>
      </c>
      <c r="Q143" s="17" t="n">
        <v>4098</v>
      </c>
      <c r="R143" s="17" t="n">
        <v>0</v>
      </c>
      <c r="S143" s="17" t="n">
        <v>-174</v>
      </c>
      <c r="T143" s="17" t="n">
        <v>-231.9942</v>
      </c>
      <c r="U143" s="17" t="n">
        <v>-0.0179056399352062</v>
      </c>
      <c r="V143" s="17" t="n">
        <v>259146</v>
      </c>
      <c r="W143" s="17" t="n">
        <v>1458657</v>
      </c>
      <c r="X143" s="17" t="n">
        <v>17.7660683765957</v>
      </c>
      <c r="Y143" s="17" t="n">
        <v>38892.361</v>
      </c>
      <c r="Z143" s="17" t="n">
        <v>2.44922864844194</v>
      </c>
      <c r="AA143" s="17" t="n">
        <v>15.76</v>
      </c>
      <c r="AB143" s="17" t="n">
        <v>5.94953342943275</v>
      </c>
      <c r="AC143" s="17" t="n">
        <v>0.402808321153925</v>
      </c>
      <c r="AD143" s="17" t="n">
        <v>-0.03</v>
      </c>
      <c r="AE143" s="17" t="n">
        <v>1</v>
      </c>
      <c r="AF143" s="17" t="s">
        <v>231</v>
      </c>
      <c r="AG143" s="17" t="s">
        <v>232</v>
      </c>
      <c r="AH143" s="17" t="n">
        <v>0</v>
      </c>
    </row>
    <row r="144" customFormat="false" ht="15" hidden="false" customHeight="false" outlineLevel="0" collapsed="false">
      <c r="A144" s="17" t="n">
        <v>19836</v>
      </c>
      <c r="B144" s="23" t="n">
        <v>44834</v>
      </c>
      <c r="C144" s="17" t="s">
        <v>136</v>
      </c>
      <c r="D144" s="17" t="s">
        <v>108</v>
      </c>
      <c r="E144" s="17" t="n">
        <v>579332</v>
      </c>
      <c r="F144" s="17" t="n">
        <v>568709.25</v>
      </c>
      <c r="G144" s="17" t="n">
        <v>456854</v>
      </c>
      <c r="H144" s="17" t="n">
        <v>115337</v>
      </c>
      <c r="I144" s="17" t="n">
        <v>19.9086188921033</v>
      </c>
      <c r="J144" s="17" t="n">
        <v>471806</v>
      </c>
      <c r="K144" s="17" t="n">
        <v>444315</v>
      </c>
      <c r="L144" s="17" t="n">
        <v>467906</v>
      </c>
      <c r="M144" s="17" t="n">
        <v>401514</v>
      </c>
      <c r="N144" s="17" t="n">
        <v>53274</v>
      </c>
      <c r="O144" s="17" t="n">
        <v>11850</v>
      </c>
      <c r="P144" s="17" t="n">
        <v>1439</v>
      </c>
      <c r="Q144" s="17" t="n">
        <v>1421</v>
      </c>
      <c r="R144" s="17" t="n">
        <v>141</v>
      </c>
      <c r="S144" s="17" t="n">
        <v>-15</v>
      </c>
      <c r="T144" s="17" t="n">
        <v>-19.9995</v>
      </c>
      <c r="U144" s="17" t="n">
        <v>-0.00450119847405557</v>
      </c>
      <c r="V144" s="17" t="n">
        <v>128533</v>
      </c>
      <c r="W144" s="17" t="n">
        <v>453334</v>
      </c>
      <c r="X144" s="17" t="n">
        <v>28.3528259517265</v>
      </c>
      <c r="Y144" s="17" t="n">
        <v>5306.534</v>
      </c>
      <c r="Z144" s="17" t="n">
        <v>0.933083820950688</v>
      </c>
      <c r="AA144" s="17" t="n">
        <v>4.62</v>
      </c>
      <c r="AB144" s="17" t="n">
        <v>4.09507804405102</v>
      </c>
      <c r="AC144" s="17" t="n">
        <v>0.826610937546364</v>
      </c>
      <c r="AD144" s="17" t="n">
        <v>0</v>
      </c>
      <c r="AE144" s="17" t="n">
        <v>1</v>
      </c>
      <c r="AF144" s="17" t="s">
        <v>314</v>
      </c>
      <c r="AG144" s="17" t="s">
        <v>232</v>
      </c>
      <c r="AH144" s="17" t="n">
        <v>0</v>
      </c>
    </row>
    <row r="145" customFormat="false" ht="15" hidden="false" customHeight="false" outlineLevel="0" collapsed="false">
      <c r="A145" s="17" t="n">
        <v>24540</v>
      </c>
      <c r="B145" s="23" t="n">
        <v>44834</v>
      </c>
      <c r="C145" s="17" t="s">
        <v>163</v>
      </c>
      <c r="D145" s="17" t="s">
        <v>116</v>
      </c>
      <c r="E145" s="17" t="n">
        <v>1199727</v>
      </c>
      <c r="F145" s="17" t="n">
        <v>1234837.25</v>
      </c>
      <c r="G145" s="17" t="n">
        <v>965688</v>
      </c>
      <c r="H145" s="17" t="n">
        <v>206211</v>
      </c>
      <c r="I145" s="17" t="n">
        <v>17.1881603064697</v>
      </c>
      <c r="J145" s="17" t="n">
        <v>1090983</v>
      </c>
      <c r="K145" s="17" t="n">
        <v>1055764.5</v>
      </c>
      <c r="L145" s="17" t="n">
        <v>1077894</v>
      </c>
      <c r="M145" s="17" t="n">
        <v>1048616</v>
      </c>
      <c r="N145" s="17" t="n">
        <v>45436</v>
      </c>
      <c r="O145" s="17" t="n">
        <v>177</v>
      </c>
      <c r="P145" s="17" t="n">
        <v>693</v>
      </c>
      <c r="Q145" s="17" t="n">
        <v>0</v>
      </c>
      <c r="R145" s="17" t="n">
        <v>0</v>
      </c>
      <c r="S145" s="17" t="n">
        <v>-15</v>
      </c>
      <c r="T145" s="17" t="n">
        <v>-19.9995</v>
      </c>
      <c r="U145" s="17" t="n">
        <v>-0.00189431449911415</v>
      </c>
      <c r="V145" s="17" t="n">
        <v>0</v>
      </c>
      <c r="W145" s="17" t="n">
        <v>0</v>
      </c>
      <c r="X145" s="17" t="n">
        <v>0</v>
      </c>
      <c r="Y145" s="17" t="n">
        <v>28145.963</v>
      </c>
      <c r="Z145" s="17" t="n">
        <v>2.27932571681005</v>
      </c>
      <c r="AA145" s="17" t="n">
        <v>14.36</v>
      </c>
      <c r="AB145" s="17" t="n">
        <v>4.57696572902816</v>
      </c>
      <c r="AC145" s="17" t="n">
        <v>1.19974371736315</v>
      </c>
      <c r="AD145" s="17" t="n">
        <v>0.05</v>
      </c>
      <c r="AE145" s="17" t="n">
        <v>1</v>
      </c>
      <c r="AF145" s="17" t="s">
        <v>231</v>
      </c>
      <c r="AG145" s="17" t="s">
        <v>232</v>
      </c>
      <c r="AH145" s="17" t="n">
        <v>0</v>
      </c>
    </row>
    <row r="146" customFormat="false" ht="15" hidden="false" customHeight="false" outlineLevel="0" collapsed="false">
      <c r="A146" s="17" t="n">
        <v>27824</v>
      </c>
      <c r="B146" s="23" t="n">
        <v>44834</v>
      </c>
      <c r="C146" s="17" t="s">
        <v>117</v>
      </c>
      <c r="D146" s="17" t="s">
        <v>116</v>
      </c>
      <c r="E146" s="17" t="n">
        <v>478442</v>
      </c>
      <c r="F146" s="17" t="n">
        <v>463120.5</v>
      </c>
      <c r="G146" s="17" t="n">
        <v>398401</v>
      </c>
      <c r="H146" s="17" t="n">
        <v>66369</v>
      </c>
      <c r="I146" s="17" t="n">
        <v>13.8719008782674</v>
      </c>
      <c r="J146" s="17" t="n">
        <v>389229</v>
      </c>
      <c r="K146" s="17" t="n">
        <v>370551</v>
      </c>
      <c r="L146" s="17" t="n">
        <v>386057</v>
      </c>
      <c r="M146" s="17" t="n">
        <v>332914</v>
      </c>
      <c r="N146" s="17" t="n">
        <v>21793</v>
      </c>
      <c r="O146" s="17" t="n">
        <v>34521</v>
      </c>
      <c r="P146" s="17" t="n">
        <v>1040</v>
      </c>
      <c r="Q146" s="17" t="n">
        <v>773</v>
      </c>
      <c r="R146" s="17" t="n">
        <v>0</v>
      </c>
      <c r="S146" s="17" t="n">
        <v>0</v>
      </c>
      <c r="T146" s="17" t="n">
        <v>0</v>
      </c>
      <c r="U146" s="17" t="n">
        <v>0</v>
      </c>
      <c r="V146" s="17" t="n">
        <v>75150</v>
      </c>
      <c r="W146" s="17" t="n">
        <v>312423</v>
      </c>
      <c r="X146" s="17" t="n">
        <v>24.0539268875851</v>
      </c>
      <c r="Y146" s="17" t="n">
        <v>1466.63</v>
      </c>
      <c r="Z146" s="17" t="n">
        <v>0.316684318660046</v>
      </c>
      <c r="AA146" s="17" t="n">
        <v>2.14</v>
      </c>
      <c r="AB146" s="17" t="n">
        <v>2.90969614533436</v>
      </c>
      <c r="AC146" s="17" t="n">
        <v>0.81494441575525</v>
      </c>
      <c r="AD146" s="17" t="n">
        <v>0.03</v>
      </c>
      <c r="AE146" s="17" t="n">
        <v>1</v>
      </c>
      <c r="AF146" s="17" t="s">
        <v>354</v>
      </c>
      <c r="AG146" s="17" t="s">
        <v>232</v>
      </c>
      <c r="AH146" s="17" t="n">
        <v>1</v>
      </c>
    </row>
    <row r="147" customFormat="false" ht="15" hidden="false" customHeight="false" outlineLevel="0" collapsed="false">
      <c r="A147" s="17" t="n">
        <v>28155</v>
      </c>
      <c r="B147" s="23" t="n">
        <v>44834</v>
      </c>
      <c r="C147" s="17" t="s">
        <v>150</v>
      </c>
      <c r="D147" s="17" t="s">
        <v>116</v>
      </c>
      <c r="E147" s="17" t="n">
        <v>306788</v>
      </c>
      <c r="F147" s="17" t="n">
        <v>293731.75</v>
      </c>
      <c r="G147" s="17" t="n">
        <v>278328</v>
      </c>
      <c r="H147" s="17" t="n">
        <v>27419</v>
      </c>
      <c r="I147" s="17" t="n">
        <v>8.93744214245668</v>
      </c>
      <c r="J147" s="17" t="n">
        <v>155257</v>
      </c>
      <c r="K147" s="17" t="n">
        <v>149489.25</v>
      </c>
      <c r="L147" s="17" t="n">
        <v>154358</v>
      </c>
      <c r="M147" s="17" t="n">
        <v>143872</v>
      </c>
      <c r="N147" s="17" t="n">
        <v>6105</v>
      </c>
      <c r="O147" s="17" t="n">
        <v>4615</v>
      </c>
      <c r="P147" s="17" t="n">
        <v>222</v>
      </c>
      <c r="Q147" s="17" t="n">
        <v>420</v>
      </c>
      <c r="R147" s="17" t="n">
        <v>0</v>
      </c>
      <c r="S147" s="17" t="n">
        <v>5</v>
      </c>
      <c r="T147" s="17" t="n">
        <v>6.6665</v>
      </c>
      <c r="U147" s="17" t="n">
        <v>0.00445951799209642</v>
      </c>
      <c r="V147" s="17" t="n">
        <v>29332</v>
      </c>
      <c r="W147" s="17" t="n">
        <v>159458</v>
      </c>
      <c r="X147" s="17" t="n">
        <v>18.3948124270968</v>
      </c>
      <c r="Y147" s="17" t="n">
        <v>619.9845</v>
      </c>
      <c r="Z147" s="17" t="n">
        <v>0.211071666580137</v>
      </c>
      <c r="AA147" s="17" t="n">
        <v>2.25</v>
      </c>
      <c r="AB147" s="17" t="n">
        <v>2.71277062616387</v>
      </c>
      <c r="AC147" s="17" t="n">
        <v>0.579039914464404</v>
      </c>
      <c r="AD147" s="17" t="n">
        <v>0.04</v>
      </c>
      <c r="AE147" s="17" t="n">
        <v>1</v>
      </c>
      <c r="AF147" s="17" t="s">
        <v>314</v>
      </c>
      <c r="AG147" s="17" t="s">
        <v>232</v>
      </c>
      <c r="AH147" s="17" t="n">
        <v>0</v>
      </c>
    </row>
    <row r="148" customFormat="false" ht="15" hidden="false" customHeight="false" outlineLevel="0" collapsed="false">
      <c r="A148" s="17" t="n">
        <v>28288</v>
      </c>
      <c r="B148" s="23" t="n">
        <v>44834</v>
      </c>
      <c r="C148" s="17" t="s">
        <v>124</v>
      </c>
      <c r="D148" s="17" t="s">
        <v>108</v>
      </c>
      <c r="E148" s="17" t="n">
        <v>98792</v>
      </c>
      <c r="F148" s="17" t="n">
        <v>95489.75</v>
      </c>
      <c r="G148" s="17" t="n">
        <v>81542</v>
      </c>
      <c r="H148" s="17" t="n">
        <v>5736</v>
      </c>
      <c r="I148" s="17" t="n">
        <v>5.80613814883796</v>
      </c>
      <c r="J148" s="17" t="n">
        <v>78082</v>
      </c>
      <c r="K148" s="17" t="n">
        <v>75493.75</v>
      </c>
      <c r="L148" s="17" t="n">
        <v>77221</v>
      </c>
      <c r="M148" s="17" t="n">
        <v>74509</v>
      </c>
      <c r="N148" s="17" t="n">
        <v>3129</v>
      </c>
      <c r="O148" s="17" t="n">
        <v>444</v>
      </c>
      <c r="P148" s="17" t="n">
        <v>387</v>
      </c>
      <c r="Q148" s="17" t="n">
        <v>133</v>
      </c>
      <c r="R148" s="17" t="n">
        <v>0</v>
      </c>
      <c r="S148" s="17" t="n">
        <v>46</v>
      </c>
      <c r="T148" s="17" t="n">
        <v>61.3318</v>
      </c>
      <c r="U148" s="17" t="n">
        <v>0.0812408974252836</v>
      </c>
      <c r="V148" s="17" t="n">
        <v>8852</v>
      </c>
      <c r="W148" s="17" t="n">
        <v>64123</v>
      </c>
      <c r="X148" s="17" t="n">
        <v>13.8047190555651</v>
      </c>
      <c r="Y148" s="17" t="n">
        <v>95.9976</v>
      </c>
      <c r="Z148" s="17" t="n">
        <v>0.100531837186714</v>
      </c>
      <c r="AA148" s="17" t="n">
        <v>1.41</v>
      </c>
      <c r="AB148" s="17" t="n">
        <v>3.53829172909139</v>
      </c>
      <c r="AC148" s="17" t="n">
        <v>1.10268691888015</v>
      </c>
      <c r="AD148" s="17" t="n">
        <v>0.06</v>
      </c>
      <c r="AE148" s="17" t="n">
        <v>1</v>
      </c>
      <c r="AF148" s="17" t="s">
        <v>361</v>
      </c>
      <c r="AG148" s="17" t="s">
        <v>211</v>
      </c>
      <c r="AH148" s="17" t="n">
        <v>0</v>
      </c>
    </row>
    <row r="149" customFormat="false" ht="15" hidden="false" customHeight="false" outlineLevel="0" collapsed="false">
      <c r="A149" s="17" t="n">
        <v>28369</v>
      </c>
      <c r="B149" s="23" t="n">
        <v>44834</v>
      </c>
      <c r="C149" s="17" t="s">
        <v>145</v>
      </c>
      <c r="D149" s="17" t="s">
        <v>108</v>
      </c>
      <c r="E149" s="17" t="n">
        <v>89339</v>
      </c>
      <c r="F149" s="17" t="n">
        <v>87022.75</v>
      </c>
      <c r="G149" s="17" t="n">
        <v>79460</v>
      </c>
      <c r="H149" s="17" t="n">
        <v>9472</v>
      </c>
      <c r="I149" s="17" t="n">
        <v>10.6023125398762</v>
      </c>
      <c r="J149" s="17" t="n">
        <v>73290</v>
      </c>
      <c r="K149" s="17" t="n">
        <v>73394.25</v>
      </c>
      <c r="L149" s="17" t="n">
        <v>72759</v>
      </c>
      <c r="M149" s="17" t="n">
        <v>61961</v>
      </c>
      <c r="N149" s="17" t="n">
        <v>10475</v>
      </c>
      <c r="O149" s="17" t="n">
        <v>854</v>
      </c>
      <c r="P149" s="17" t="n">
        <v>377</v>
      </c>
      <c r="Q149" s="17" t="n">
        <v>68</v>
      </c>
      <c r="R149" s="17" t="n">
        <v>0</v>
      </c>
      <c r="S149" s="17" t="n">
        <v>-7</v>
      </c>
      <c r="T149" s="17" t="n">
        <v>-9.3331</v>
      </c>
      <c r="U149" s="17" t="n">
        <v>-0.0127163912704333</v>
      </c>
      <c r="V149" s="17" t="n">
        <v>0</v>
      </c>
      <c r="W149" s="17" t="n">
        <v>0</v>
      </c>
      <c r="X149" s="17" t="n">
        <v>0</v>
      </c>
      <c r="Y149" s="17" t="n">
        <v>157.3294</v>
      </c>
      <c r="Z149" s="17" t="n">
        <v>0.180791114967063</v>
      </c>
      <c r="AA149" s="17" t="n">
        <v>1.68</v>
      </c>
      <c r="AB149" s="17" t="n">
        <v>3.62027668619877</v>
      </c>
      <c r="AC149" s="17" t="n">
        <v>0.724519033974621</v>
      </c>
      <c r="AD149" s="17" t="n">
        <v>-0.03</v>
      </c>
      <c r="AE149" s="17" t="n">
        <v>1</v>
      </c>
      <c r="AF149" s="17" t="s">
        <v>361</v>
      </c>
      <c r="AG149" s="17" t="s">
        <v>211</v>
      </c>
      <c r="AH149" s="17" t="n">
        <v>1</v>
      </c>
    </row>
    <row r="150" customFormat="false" ht="15" hidden="false" customHeight="false" outlineLevel="0" collapsed="false">
      <c r="A150" s="17" t="n">
        <v>28837</v>
      </c>
      <c r="B150" s="23" t="n">
        <v>44834</v>
      </c>
      <c r="C150" s="17" t="s">
        <v>142</v>
      </c>
      <c r="D150" s="17" t="s">
        <v>113</v>
      </c>
      <c r="E150" s="17" t="n">
        <v>308029</v>
      </c>
      <c r="F150" s="17" t="n">
        <v>300672.25</v>
      </c>
      <c r="G150" s="17" t="n">
        <v>282630</v>
      </c>
      <c r="H150" s="17" t="n">
        <v>22847</v>
      </c>
      <c r="I150" s="17" t="n">
        <v>7.41715877401154</v>
      </c>
      <c r="J150" s="17" t="n">
        <v>189990</v>
      </c>
      <c r="K150" s="17" t="n">
        <v>189680.25</v>
      </c>
      <c r="L150" s="17" t="n">
        <v>187677</v>
      </c>
      <c r="M150" s="17" t="n">
        <v>180618</v>
      </c>
      <c r="N150" s="17" t="n">
        <v>6504</v>
      </c>
      <c r="O150" s="17" t="n">
        <v>1852</v>
      </c>
      <c r="P150" s="17" t="n">
        <v>240</v>
      </c>
      <c r="Q150" s="17" t="n">
        <v>105</v>
      </c>
      <c r="R150" s="17" t="n">
        <v>0</v>
      </c>
      <c r="S150" s="17" t="n">
        <v>132</v>
      </c>
      <c r="T150" s="17" t="n">
        <v>175.9956</v>
      </c>
      <c r="U150" s="17" t="n">
        <v>0.0927854112381231</v>
      </c>
      <c r="V150" s="17" t="n">
        <v>23110</v>
      </c>
      <c r="W150" s="17" t="n">
        <v>153019</v>
      </c>
      <c r="X150" s="17" t="n">
        <v>15.1026996647475</v>
      </c>
      <c r="Y150" s="17" t="n">
        <v>1446.6305</v>
      </c>
      <c r="Z150" s="17" t="n">
        <v>0.481132029976162</v>
      </c>
      <c r="AA150" s="17" t="n">
        <v>6.48</v>
      </c>
      <c r="AB150" s="17" t="n">
        <v>2.81999663466663</v>
      </c>
      <c r="AC150" s="17" t="n">
        <v>1.21743249644718</v>
      </c>
      <c r="AD150" s="17" t="n">
        <v>0.06</v>
      </c>
      <c r="AE150" s="17" t="n">
        <v>1</v>
      </c>
      <c r="AF150" s="17" t="s">
        <v>314</v>
      </c>
      <c r="AG150" s="17" t="s">
        <v>232</v>
      </c>
      <c r="AH150" s="17" t="n">
        <v>1</v>
      </c>
    </row>
    <row r="151" customFormat="false" ht="15" hidden="false" customHeight="false" outlineLevel="0" collapsed="false">
      <c r="A151" s="17" t="n">
        <v>29636</v>
      </c>
      <c r="B151" s="23" t="n">
        <v>44834</v>
      </c>
      <c r="C151" s="17" t="s">
        <v>123</v>
      </c>
      <c r="D151" s="17" t="s">
        <v>108</v>
      </c>
      <c r="E151" s="17" t="n">
        <v>180105</v>
      </c>
      <c r="F151" s="17" t="n">
        <v>180681.5</v>
      </c>
      <c r="G151" s="17" t="n">
        <v>155107</v>
      </c>
      <c r="H151" s="17" t="n">
        <v>23599</v>
      </c>
      <c r="I151" s="17" t="n">
        <v>13.1029121901113</v>
      </c>
      <c r="J151" s="17" t="n">
        <v>116795</v>
      </c>
      <c r="K151" s="17" t="n">
        <v>111439</v>
      </c>
      <c r="L151" s="17" t="n">
        <v>115074</v>
      </c>
      <c r="M151" s="17" t="n">
        <v>113497</v>
      </c>
      <c r="N151" s="17" t="n">
        <v>1340</v>
      </c>
      <c r="O151" s="17" t="n">
        <v>1958</v>
      </c>
      <c r="P151" s="17" t="n">
        <v>2099</v>
      </c>
      <c r="Q151" s="17" t="n">
        <v>1876</v>
      </c>
      <c r="R151" s="17" t="n">
        <v>0</v>
      </c>
      <c r="S151" s="17" t="n">
        <v>-4</v>
      </c>
      <c r="T151" s="17" t="n">
        <v>-5.3332</v>
      </c>
      <c r="U151" s="17" t="n">
        <v>-0.00478575723041305</v>
      </c>
      <c r="V151" s="17" t="n">
        <v>26055</v>
      </c>
      <c r="W151" s="17" t="n">
        <v>83117</v>
      </c>
      <c r="X151" s="17" t="n">
        <v>31.34737779275</v>
      </c>
      <c r="Y151" s="17" t="n">
        <v>499.9875</v>
      </c>
      <c r="Z151" s="17" t="n">
        <v>0.276723128820604</v>
      </c>
      <c r="AA151" s="17" t="n">
        <v>2.08</v>
      </c>
      <c r="AB151" s="17" t="n">
        <v>3.25257717128124</v>
      </c>
      <c r="AC151" s="17" t="n">
        <v>1.4735219829616</v>
      </c>
      <c r="AD151" s="17" t="n">
        <v>0.05</v>
      </c>
      <c r="AE151" s="17" t="n">
        <v>1</v>
      </c>
      <c r="AF151" s="17" t="s">
        <v>361</v>
      </c>
      <c r="AG151" s="17" t="s">
        <v>211</v>
      </c>
      <c r="AH151" s="17" t="n">
        <v>1</v>
      </c>
    </row>
    <row r="152" customFormat="false" ht="15" hidden="false" customHeight="false" outlineLevel="0" collapsed="false">
      <c r="A152" s="17" t="n">
        <v>29743</v>
      </c>
      <c r="B152" s="23" t="n">
        <v>44834</v>
      </c>
      <c r="C152" s="17" t="s">
        <v>140</v>
      </c>
      <c r="D152" s="17" t="s">
        <v>108</v>
      </c>
      <c r="E152" s="17" t="n">
        <v>179520</v>
      </c>
      <c r="F152" s="17" t="n">
        <v>176505.5</v>
      </c>
      <c r="G152" s="17" t="n">
        <v>163392</v>
      </c>
      <c r="H152" s="17" t="n">
        <v>13788</v>
      </c>
      <c r="I152" s="17" t="n">
        <v>7.68048128342246</v>
      </c>
      <c r="J152" s="17" t="n">
        <v>122316</v>
      </c>
      <c r="K152" s="17" t="n">
        <v>118542</v>
      </c>
      <c r="L152" s="17" t="n">
        <v>121914</v>
      </c>
      <c r="M152" s="17" t="n">
        <v>80448</v>
      </c>
      <c r="N152" s="17" t="n">
        <v>22426</v>
      </c>
      <c r="O152" s="17" t="n">
        <v>19352</v>
      </c>
      <c r="P152" s="17" t="n">
        <v>502</v>
      </c>
      <c r="Q152" s="17" t="n">
        <v>493</v>
      </c>
      <c r="R152" s="17" t="n">
        <v>0</v>
      </c>
      <c r="S152" s="17" t="n">
        <v>128</v>
      </c>
      <c r="T152" s="17" t="n">
        <v>170.6624</v>
      </c>
      <c r="U152" s="17" t="n">
        <v>0.143967876364495</v>
      </c>
      <c r="V152" s="17" t="n">
        <v>18378</v>
      </c>
      <c r="W152" s="17" t="n">
        <v>104826</v>
      </c>
      <c r="X152" s="17" t="n">
        <v>17.5319100223227</v>
      </c>
      <c r="Y152" s="17" t="n">
        <v>1375.9656</v>
      </c>
      <c r="Z152" s="17" t="n">
        <v>0.779559617122413</v>
      </c>
      <c r="AA152" s="17" t="n">
        <v>9.07</v>
      </c>
      <c r="AB152" s="17" t="n">
        <v>2.63766137629584</v>
      </c>
      <c r="AC152" s="17" t="n">
        <v>0.328656921416659</v>
      </c>
      <c r="AD152" s="17" t="n">
        <v>0</v>
      </c>
      <c r="AE152" s="17" t="n">
        <v>1</v>
      </c>
      <c r="AF152" s="17" t="s">
        <v>354</v>
      </c>
      <c r="AG152" s="17" t="s">
        <v>211</v>
      </c>
      <c r="AH152" s="17" t="n">
        <v>0</v>
      </c>
    </row>
    <row r="153" customFormat="false" ht="15" hidden="false" customHeight="false" outlineLevel="0" collapsed="false">
      <c r="A153" s="17" t="n">
        <v>29744</v>
      </c>
      <c r="B153" s="23" t="n">
        <v>44834</v>
      </c>
      <c r="C153" s="17" t="s">
        <v>137</v>
      </c>
      <c r="D153" s="17" t="s">
        <v>116</v>
      </c>
      <c r="E153" s="17" t="n">
        <v>523655</v>
      </c>
      <c r="F153" s="17" t="n">
        <v>505289</v>
      </c>
      <c r="G153" s="17" t="n">
        <v>398937</v>
      </c>
      <c r="H153" s="17" t="n">
        <v>38532</v>
      </c>
      <c r="I153" s="17" t="n">
        <v>7.35827978344521</v>
      </c>
      <c r="J153" s="17" t="n">
        <v>395319</v>
      </c>
      <c r="K153" s="17" t="n">
        <v>384050.25</v>
      </c>
      <c r="L153" s="17" t="n">
        <v>391735</v>
      </c>
      <c r="M153" s="17" t="n">
        <v>362877</v>
      </c>
      <c r="N153" s="17" t="n">
        <v>25090</v>
      </c>
      <c r="O153" s="17" t="n">
        <v>7352</v>
      </c>
      <c r="P153" s="17" t="n">
        <v>5</v>
      </c>
      <c r="Q153" s="17" t="n">
        <v>280</v>
      </c>
      <c r="R153" s="17" t="n">
        <v>0</v>
      </c>
      <c r="S153" s="17" t="n">
        <v>6</v>
      </c>
      <c r="T153" s="17" t="n">
        <v>7.9998</v>
      </c>
      <c r="U153" s="17" t="n">
        <v>0.00208300866878748</v>
      </c>
      <c r="V153" s="17" t="n">
        <v>54630</v>
      </c>
      <c r="W153" s="17" t="n">
        <v>333689</v>
      </c>
      <c r="X153" s="17" t="n">
        <v>16.3715315758086</v>
      </c>
      <c r="Y153" s="17" t="n">
        <v>1473.2965</v>
      </c>
      <c r="Z153" s="17" t="n">
        <v>0.291575019444318</v>
      </c>
      <c r="AA153" s="17" t="n">
        <v>3.31</v>
      </c>
      <c r="AB153" s="17" t="n">
        <v>3.15459338694802</v>
      </c>
      <c r="AC153" s="17" t="n">
        <v>0.906609598830312</v>
      </c>
      <c r="AD153" s="17" t="n">
        <v>0</v>
      </c>
      <c r="AE153" s="17" t="n">
        <v>1</v>
      </c>
      <c r="AF153" s="17" t="s">
        <v>361</v>
      </c>
      <c r="AG153" s="17" t="s">
        <v>211</v>
      </c>
      <c r="AH153" s="17" t="n">
        <v>0</v>
      </c>
    </row>
    <row r="154" customFormat="false" ht="15" hidden="false" customHeight="false" outlineLevel="0" collapsed="false">
      <c r="A154" s="17" t="n">
        <v>30350</v>
      </c>
      <c r="B154" s="23" t="n">
        <v>44834</v>
      </c>
      <c r="C154" s="17" t="s">
        <v>154</v>
      </c>
      <c r="D154" s="17" t="s">
        <v>113</v>
      </c>
      <c r="E154" s="17" t="n">
        <v>541685</v>
      </c>
      <c r="F154" s="17" t="n">
        <v>546520.5</v>
      </c>
      <c r="G154" s="17" t="n">
        <v>473333</v>
      </c>
      <c r="H154" s="17" t="n">
        <v>49256</v>
      </c>
      <c r="I154" s="17" t="n">
        <v>9.09310761789601</v>
      </c>
      <c r="J154" s="17" t="n">
        <v>378298</v>
      </c>
      <c r="K154" s="17" t="n">
        <v>370546</v>
      </c>
      <c r="L154" s="17" t="n">
        <v>373201</v>
      </c>
      <c r="M154" s="17" t="n">
        <v>363012</v>
      </c>
      <c r="N154" s="17" t="n">
        <v>11326</v>
      </c>
      <c r="O154" s="17" t="n">
        <v>1056</v>
      </c>
      <c r="P154" s="17" t="n">
        <v>1989</v>
      </c>
      <c r="Q154" s="17" t="n">
        <v>720</v>
      </c>
      <c r="R154" s="17" t="n">
        <v>0</v>
      </c>
      <c r="S154" s="17" t="n">
        <v>206</v>
      </c>
      <c r="T154" s="17" t="n">
        <v>274.6598</v>
      </c>
      <c r="U154" s="17" t="n">
        <v>0.0741229968748819</v>
      </c>
      <c r="V154" s="17" t="n">
        <v>61380</v>
      </c>
      <c r="W154" s="17" t="n">
        <v>288563</v>
      </c>
      <c r="X154" s="17" t="n">
        <v>21.2709183090001</v>
      </c>
      <c r="Y154" s="17" t="n">
        <v>3547.9113</v>
      </c>
      <c r="Z154" s="17" t="n">
        <v>0.649181741581514</v>
      </c>
      <c r="AA154" s="17" t="n">
        <v>6.88</v>
      </c>
      <c r="AB154" s="17" t="n">
        <v>2.870390732848</v>
      </c>
      <c r="AC154" s="17" t="n">
        <v>1.34735050145652</v>
      </c>
      <c r="AD154" s="17" t="n">
        <v>0</v>
      </c>
      <c r="AE154" s="17" t="n">
        <v>1</v>
      </c>
      <c r="AF154" s="17" t="s">
        <v>361</v>
      </c>
      <c r="AG154" s="17" t="s">
        <v>211</v>
      </c>
      <c r="AH154" s="17" t="n">
        <v>0</v>
      </c>
    </row>
    <row r="155" customFormat="false" ht="15" hidden="false" customHeight="false" outlineLevel="0" collapsed="false">
      <c r="A155" s="17" t="n">
        <v>30878</v>
      </c>
      <c r="B155" s="23" t="n">
        <v>44834</v>
      </c>
      <c r="C155" s="17" t="s">
        <v>110</v>
      </c>
      <c r="D155" s="17" t="s">
        <v>108</v>
      </c>
      <c r="E155" s="17" t="n">
        <v>100514</v>
      </c>
      <c r="F155" s="17" t="n">
        <v>100584.75</v>
      </c>
      <c r="G155" s="17" t="n">
        <v>76264</v>
      </c>
      <c r="H155" s="17" t="n">
        <v>12319</v>
      </c>
      <c r="I155" s="17" t="n">
        <v>12.2560041387269</v>
      </c>
      <c r="J155" s="17" t="n">
        <v>77064</v>
      </c>
      <c r="K155" s="17" t="n">
        <v>71830</v>
      </c>
      <c r="L155" s="17" t="n">
        <v>76223</v>
      </c>
      <c r="M155" s="17" t="n">
        <v>76961</v>
      </c>
      <c r="N155" s="17" t="n">
        <v>0</v>
      </c>
      <c r="O155" s="17" t="n">
        <v>103</v>
      </c>
      <c r="P155" s="17" t="n">
        <v>589</v>
      </c>
      <c r="Q155" s="17" t="n">
        <v>284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297.3259</v>
      </c>
      <c r="Z155" s="17" t="n">
        <v>0.295597394237198</v>
      </c>
      <c r="AA155" s="17" t="n">
        <v>2.4</v>
      </c>
      <c r="AB155" s="17" t="n">
        <v>2.14957788304442</v>
      </c>
      <c r="AC155" s="17" t="n">
        <v>1.09130073704973</v>
      </c>
      <c r="AD155" s="17" t="n">
        <v>0.08</v>
      </c>
      <c r="AE155" s="17" t="n">
        <v>1</v>
      </c>
      <c r="AF155" s="17" t="s">
        <v>354</v>
      </c>
      <c r="AG155" s="17" t="s">
        <v>232</v>
      </c>
      <c r="AH155" s="17" t="n">
        <v>1</v>
      </c>
    </row>
    <row r="156" customFormat="false" ht="15" hidden="false" customHeight="false" outlineLevel="0" collapsed="false">
      <c r="A156" s="17" t="n">
        <v>33418</v>
      </c>
      <c r="B156" s="23" t="n">
        <v>44834</v>
      </c>
      <c r="C156" s="17" t="s">
        <v>133</v>
      </c>
      <c r="D156" s="17" t="s">
        <v>113</v>
      </c>
      <c r="E156" s="17" t="n">
        <v>728017</v>
      </c>
      <c r="F156" s="17" t="n">
        <v>746647.25</v>
      </c>
      <c r="G156" s="17" t="n">
        <v>571364</v>
      </c>
      <c r="H156" s="17" t="n">
        <v>59731</v>
      </c>
      <c r="I156" s="17" t="n">
        <v>8.20461610099764</v>
      </c>
      <c r="J156" s="17" t="n">
        <v>353551</v>
      </c>
      <c r="K156" s="17" t="n">
        <v>357542.5</v>
      </c>
      <c r="L156" s="17" t="n">
        <v>346831</v>
      </c>
      <c r="M156" s="17" t="n">
        <v>302851</v>
      </c>
      <c r="N156" s="17" t="n">
        <v>38891</v>
      </c>
      <c r="O156" s="17" t="n">
        <v>11836</v>
      </c>
      <c r="P156" s="17" t="n">
        <v>3182</v>
      </c>
      <c r="Q156" s="17" t="n">
        <v>192</v>
      </c>
      <c r="R156" s="17" t="n">
        <v>0</v>
      </c>
      <c r="S156" s="17" t="n">
        <v>-1</v>
      </c>
      <c r="T156" s="17" t="n">
        <v>-1.3333</v>
      </c>
      <c r="U156" s="17" t="n">
        <v>-0.000372906717383248</v>
      </c>
      <c r="V156" s="17" t="n">
        <v>86986</v>
      </c>
      <c r="W156" s="17" t="n">
        <v>457829</v>
      </c>
      <c r="X156" s="17" t="n">
        <v>18.9996701825354</v>
      </c>
      <c r="Y156" s="17" t="n">
        <v>8939.7765</v>
      </c>
      <c r="Z156" s="17" t="n">
        <v>1.19732263126932</v>
      </c>
      <c r="AA156" s="17" t="n">
        <v>14.95</v>
      </c>
      <c r="AB156" s="17" t="n">
        <v>2.74288198149817</v>
      </c>
      <c r="AC156" s="17" t="n">
        <v>1.90071587974578</v>
      </c>
      <c r="AD156" s="17" t="n">
        <v>-0.13</v>
      </c>
      <c r="AE156" s="17" t="n">
        <v>1</v>
      </c>
      <c r="AF156" s="17" t="s">
        <v>210</v>
      </c>
      <c r="AG156" s="17" t="s">
        <v>211</v>
      </c>
      <c r="AH156" s="17" t="n">
        <v>0</v>
      </c>
    </row>
    <row r="157" customFormat="false" ht="15" hidden="false" customHeight="false" outlineLevel="0" collapsed="false">
      <c r="A157" s="17" t="n">
        <v>35206</v>
      </c>
      <c r="B157" s="23" t="n">
        <v>44834</v>
      </c>
      <c r="C157" s="17" t="s">
        <v>166</v>
      </c>
      <c r="D157" s="17" t="s">
        <v>116</v>
      </c>
      <c r="E157" s="17" t="n">
        <v>60178</v>
      </c>
      <c r="F157" s="17" t="n">
        <v>63720.25</v>
      </c>
      <c r="G157" s="17" t="n">
        <v>500</v>
      </c>
      <c r="H157" s="17" t="n">
        <v>57817</v>
      </c>
      <c r="I157" s="17" t="n">
        <v>96.0766393033999</v>
      </c>
      <c r="J157" s="17" t="n">
        <v>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7" t="n">
        <v>0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1425.2977</v>
      </c>
      <c r="Z157" s="17" t="n">
        <v>2.23680494034471</v>
      </c>
      <c r="AA157" s="17" t="n">
        <v>2.49</v>
      </c>
      <c r="AB157" s="17" t="n">
        <v>3.62402262771205</v>
      </c>
      <c r="AC157" s="17" t="n">
        <v>0</v>
      </c>
      <c r="AD157" s="17" t="n">
        <v>0</v>
      </c>
      <c r="AE157" s="17" t="n">
        <v>1</v>
      </c>
      <c r="AF157" s="17" t="s">
        <v>361</v>
      </c>
      <c r="AG157" s="17" t="s">
        <v>211</v>
      </c>
      <c r="AH157" s="17" t="n">
        <v>0</v>
      </c>
    </row>
    <row r="158" customFormat="false" ht="15" hidden="false" customHeight="false" outlineLevel="0" collapsed="false">
      <c r="A158" s="17" t="n">
        <v>59086</v>
      </c>
      <c r="B158" s="23" t="n">
        <v>44834</v>
      </c>
      <c r="C158" s="17" t="s">
        <v>141</v>
      </c>
      <c r="D158" s="17" t="s">
        <v>116</v>
      </c>
      <c r="E158" s="17" t="n">
        <v>686995</v>
      </c>
      <c r="F158" s="17" t="n">
        <v>682547.5</v>
      </c>
      <c r="G158" s="17" t="n">
        <v>610836</v>
      </c>
      <c r="H158" s="17" t="n">
        <v>72795</v>
      </c>
      <c r="I158" s="17" t="n">
        <v>10.5961469879693</v>
      </c>
      <c r="J158" s="17" t="n">
        <v>552647</v>
      </c>
      <c r="K158" s="17" t="n">
        <v>526845.25</v>
      </c>
      <c r="L158" s="17" t="n">
        <v>546136</v>
      </c>
      <c r="M158" s="17" t="n">
        <v>433350</v>
      </c>
      <c r="N158" s="17" t="n">
        <v>119943</v>
      </c>
      <c r="O158" s="17" t="n">
        <v>0</v>
      </c>
      <c r="P158" s="17" t="n">
        <v>2111</v>
      </c>
      <c r="Q158" s="17" t="n">
        <v>0</v>
      </c>
      <c r="R158" s="17" t="n">
        <v>341</v>
      </c>
      <c r="S158" s="17" t="n">
        <v>0</v>
      </c>
      <c r="T158" s="17" t="n">
        <v>0</v>
      </c>
      <c r="U158" s="17" t="n">
        <v>0</v>
      </c>
      <c r="V158" s="17" t="n">
        <v>79306</v>
      </c>
      <c r="W158" s="17" t="n">
        <v>576794</v>
      </c>
      <c r="X158" s="17" t="n">
        <v>13.7494495435112</v>
      </c>
      <c r="Y158" s="17" t="n">
        <v>9643.7589</v>
      </c>
      <c r="Z158" s="17" t="n">
        <v>1.41290663287171</v>
      </c>
      <c r="AA158" s="17" t="n">
        <v>14.12</v>
      </c>
      <c r="AB158" s="17" t="n">
        <v>3.62661752418511</v>
      </c>
      <c r="AC158" s="17" t="n">
        <v>1.17814807643939</v>
      </c>
      <c r="AD158" s="17" t="n">
        <v>0.16</v>
      </c>
      <c r="AE158" s="17" t="n">
        <v>1</v>
      </c>
      <c r="AF158" s="17" t="s">
        <v>231</v>
      </c>
      <c r="AG158" s="17" t="s">
        <v>232</v>
      </c>
      <c r="AH158" s="17" t="n">
        <v>0</v>
      </c>
    </row>
    <row r="159" customFormat="false" ht="15" hidden="false" customHeight="false" outlineLevel="0" collapsed="false">
      <c r="A159" s="17" t="n">
        <v>59176</v>
      </c>
      <c r="B159" s="23" t="n">
        <v>44834</v>
      </c>
      <c r="C159" s="17" t="s">
        <v>151</v>
      </c>
      <c r="D159" s="17" t="s">
        <v>116</v>
      </c>
      <c r="E159" s="17" t="n">
        <v>182612</v>
      </c>
      <c r="F159" s="17" t="n">
        <v>156419</v>
      </c>
      <c r="G159" s="17" t="n">
        <v>160518</v>
      </c>
      <c r="H159" s="17" t="n">
        <v>21662</v>
      </c>
      <c r="I159" s="17" t="n">
        <v>11.8623091582152</v>
      </c>
      <c r="J159" s="17" t="n">
        <v>124839</v>
      </c>
      <c r="K159" s="17" t="n">
        <v>113383</v>
      </c>
      <c r="L159" s="17" t="n">
        <v>123660</v>
      </c>
      <c r="M159" s="17" t="n">
        <v>107791</v>
      </c>
      <c r="N159" s="17" t="n">
        <v>17036</v>
      </c>
      <c r="O159" s="17" t="n">
        <v>12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24194</v>
      </c>
      <c r="W159" s="17" t="n">
        <v>129880</v>
      </c>
      <c r="X159" s="17" t="n">
        <v>18.6279642747151</v>
      </c>
      <c r="Y159" s="17" t="n">
        <v>350.6579</v>
      </c>
      <c r="Z159" s="17" t="n">
        <v>0.224178584443066</v>
      </c>
      <c r="AA159" s="17" t="n">
        <v>1.72</v>
      </c>
      <c r="AB159" s="17" t="n">
        <v>3.09322288309581</v>
      </c>
      <c r="AC159" s="17" t="n">
        <v>0.944416408333934</v>
      </c>
      <c r="AD159" s="17" t="n">
        <v>0.28</v>
      </c>
      <c r="AE159" s="17" t="n">
        <v>1</v>
      </c>
      <c r="AF159" s="17" t="s">
        <v>231</v>
      </c>
      <c r="AG159" s="17" t="s">
        <v>232</v>
      </c>
      <c r="AH159" s="17" t="n">
        <v>0</v>
      </c>
    </row>
    <row r="160" customFormat="false" ht="15" hidden="false" customHeight="false" outlineLevel="0" collapsed="false">
      <c r="A160" s="17" t="n">
        <v>59298</v>
      </c>
      <c r="B160" s="23" t="n">
        <v>44834</v>
      </c>
      <c r="C160" s="17" t="s">
        <v>160</v>
      </c>
      <c r="D160" s="17" t="s">
        <v>113</v>
      </c>
      <c r="E160" s="17" t="n">
        <v>38217</v>
      </c>
      <c r="F160" s="17" t="n">
        <v>38217</v>
      </c>
      <c r="G160" s="17" t="n">
        <v>6690</v>
      </c>
      <c r="H160" s="17" t="n">
        <v>30598</v>
      </c>
      <c r="I160" s="17" t="n">
        <v>80.0638459324385</v>
      </c>
      <c r="J160" s="17" t="n">
        <v>7648</v>
      </c>
      <c r="K160" s="17" t="n">
        <v>7648</v>
      </c>
      <c r="L160" s="17" t="n">
        <v>7572</v>
      </c>
      <c r="M160" s="17" t="n">
        <v>4565</v>
      </c>
      <c r="N160" s="17" t="n">
        <v>3084</v>
      </c>
      <c r="O160" s="17" t="n">
        <v>0</v>
      </c>
      <c r="P160" s="17" t="n">
        <v>0</v>
      </c>
      <c r="Q160" s="17" t="n">
        <v>0</v>
      </c>
      <c r="R160" s="17" t="n">
        <v>0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0</v>
      </c>
      <c r="X160" s="17" t="n">
        <v>0</v>
      </c>
      <c r="Y160" s="17" t="n">
        <v>-685.3162</v>
      </c>
      <c r="Z160" s="17" t="n">
        <v>-1.79322343459717</v>
      </c>
      <c r="AA160" s="17" t="n">
        <v>-2.24</v>
      </c>
      <c r="AB160" s="17" t="n">
        <v>0.568493727280182</v>
      </c>
      <c r="AC160" s="17" t="n">
        <v>0.993723849372385</v>
      </c>
      <c r="AD160" s="17" t="n">
        <v>0.26</v>
      </c>
      <c r="AE160" s="17" t="n">
        <v>1</v>
      </c>
      <c r="AF160" s="17" t="s">
        <v>231</v>
      </c>
      <c r="AG160" s="17" t="s">
        <v>232</v>
      </c>
      <c r="AH160" s="17" t="n">
        <v>0</v>
      </c>
    </row>
    <row r="161" customFormat="false" ht="15" hidden="false" customHeight="false" outlineLevel="0" collapsed="false">
      <c r="A161" s="17" t="n">
        <v>4255</v>
      </c>
      <c r="B161" s="23" t="n">
        <v>44926</v>
      </c>
      <c r="C161" s="17" t="s">
        <v>126</v>
      </c>
      <c r="D161" s="17" t="s">
        <v>108</v>
      </c>
      <c r="E161" s="17" t="n">
        <v>5662457</v>
      </c>
      <c r="F161" s="17" t="n">
        <v>5509061</v>
      </c>
      <c r="G161" s="17" t="n">
        <v>4867005</v>
      </c>
      <c r="H161" s="17" t="n">
        <v>460754</v>
      </c>
      <c r="I161" s="17" t="n">
        <v>8.13699777322812</v>
      </c>
      <c r="J161" s="17" t="n">
        <v>4015550</v>
      </c>
      <c r="K161" s="17" t="n">
        <v>3717327.6</v>
      </c>
      <c r="L161" s="17" t="n">
        <v>3978628</v>
      </c>
      <c r="M161" s="17" t="n">
        <v>3596765</v>
      </c>
      <c r="N161" s="17" t="n">
        <v>354169</v>
      </c>
      <c r="O161" s="17" t="n">
        <v>20661</v>
      </c>
      <c r="P161" s="17" t="n">
        <v>2991</v>
      </c>
      <c r="Q161" s="17" t="n">
        <v>2554</v>
      </c>
      <c r="R161" s="17" t="n">
        <v>0</v>
      </c>
      <c r="S161" s="17" t="n">
        <v>764</v>
      </c>
      <c r="T161" s="17" t="n">
        <v>764</v>
      </c>
      <c r="U161" s="17" t="n">
        <v>0.0205523989868421</v>
      </c>
      <c r="V161" s="17" t="n">
        <v>525346</v>
      </c>
      <c r="W161" s="17" t="n">
        <v>4032151</v>
      </c>
      <c r="X161" s="17" t="n">
        <v>13.0289267440629</v>
      </c>
      <c r="Y161" s="17" t="n">
        <v>63829</v>
      </c>
      <c r="Z161" s="17" t="n">
        <v>1.15861850141068</v>
      </c>
      <c r="AA161" s="17" t="n">
        <v>13.19</v>
      </c>
      <c r="AB161" s="17" t="n">
        <v>2.94392266172713</v>
      </c>
      <c r="AC161" s="17" t="n">
        <v>0.919475538842749</v>
      </c>
      <c r="AD161" s="17" t="n">
        <v>0.08</v>
      </c>
      <c r="AE161" s="17" t="n">
        <v>1</v>
      </c>
      <c r="AF161" s="17" t="s">
        <v>210</v>
      </c>
      <c r="AG161" s="17" t="s">
        <v>211</v>
      </c>
      <c r="AH161" s="17" t="n">
        <v>0</v>
      </c>
    </row>
    <row r="162" customFormat="false" ht="15" hidden="false" customHeight="false" outlineLevel="0" collapsed="false">
      <c r="A162" s="17" t="n">
        <v>4256</v>
      </c>
      <c r="B162" s="23" t="n">
        <v>44926</v>
      </c>
      <c r="C162" s="17" t="s">
        <v>135</v>
      </c>
      <c r="D162" s="17" t="s">
        <v>108</v>
      </c>
      <c r="E162" s="17" t="n">
        <v>2704047</v>
      </c>
      <c r="F162" s="17" t="n">
        <v>2601989.8</v>
      </c>
      <c r="G162" s="17" t="n">
        <v>2379757</v>
      </c>
      <c r="H162" s="17" t="n">
        <v>200180</v>
      </c>
      <c r="I162" s="17" t="n">
        <v>7.40297783285572</v>
      </c>
      <c r="J162" s="17" t="n">
        <v>1914949</v>
      </c>
      <c r="K162" s="17" t="n">
        <v>1783640</v>
      </c>
      <c r="L162" s="17" t="n">
        <v>1898226</v>
      </c>
      <c r="M162" s="17" t="n">
        <v>1533908</v>
      </c>
      <c r="N162" s="17" t="n">
        <v>274364</v>
      </c>
      <c r="O162" s="17" t="n">
        <v>21063</v>
      </c>
      <c r="P162" s="17" t="n">
        <v>1755</v>
      </c>
      <c r="Q162" s="17" t="n">
        <v>518</v>
      </c>
      <c r="R162" s="17" t="n">
        <v>242</v>
      </c>
      <c r="S162" s="17" t="n">
        <v>548</v>
      </c>
      <c r="T162" s="17" t="n">
        <v>548</v>
      </c>
      <c r="U162" s="17" t="n">
        <v>0.0307236886367204</v>
      </c>
      <c r="V162" s="17" t="n">
        <v>257671</v>
      </c>
      <c r="W162" s="17" t="n">
        <v>1905832</v>
      </c>
      <c r="X162" s="17" t="n">
        <v>13.5201318899043</v>
      </c>
      <c r="Y162" s="17" t="n">
        <v>39854</v>
      </c>
      <c r="Z162" s="17" t="n">
        <v>1.53167395198859</v>
      </c>
      <c r="AA162" s="17" t="n">
        <v>19.7</v>
      </c>
      <c r="AB162" s="17" t="n">
        <v>3.11099175224319</v>
      </c>
      <c r="AC162" s="17" t="n">
        <v>0.873286964822562</v>
      </c>
      <c r="AD162" s="17" t="n">
        <v>0.07</v>
      </c>
      <c r="AE162" s="17" t="n">
        <v>1</v>
      </c>
      <c r="AF162" s="17" t="s">
        <v>210</v>
      </c>
      <c r="AG162" s="17" t="s">
        <v>211</v>
      </c>
      <c r="AH162" s="17" t="n">
        <v>0</v>
      </c>
    </row>
    <row r="163" customFormat="false" ht="15" hidden="false" customHeight="false" outlineLevel="0" collapsed="false">
      <c r="A163" s="17" t="n">
        <v>6271</v>
      </c>
      <c r="B163" s="23" t="n">
        <v>44926</v>
      </c>
      <c r="C163" s="17" t="s">
        <v>147</v>
      </c>
      <c r="D163" s="17" t="s">
        <v>113</v>
      </c>
      <c r="E163" s="17" t="n">
        <v>1055421</v>
      </c>
      <c r="F163" s="17" t="n">
        <v>1020805.6</v>
      </c>
      <c r="G163" s="17" t="n">
        <v>924344</v>
      </c>
      <c r="H163" s="17" t="n">
        <v>87018</v>
      </c>
      <c r="I163" s="17" t="n">
        <v>8.24486152919072</v>
      </c>
      <c r="J163" s="17" t="n">
        <v>749042</v>
      </c>
      <c r="K163" s="17" t="n">
        <v>713018.4</v>
      </c>
      <c r="L163" s="17" t="n">
        <v>740333</v>
      </c>
      <c r="M163" s="17" t="n">
        <v>589916</v>
      </c>
      <c r="N163" s="17" t="n">
        <v>116759</v>
      </c>
      <c r="O163" s="17" t="n">
        <v>3803</v>
      </c>
      <c r="P163" s="17" t="n">
        <v>7890</v>
      </c>
      <c r="Q163" s="17" t="n">
        <v>2601</v>
      </c>
      <c r="R163" s="17" t="n">
        <v>573</v>
      </c>
      <c r="S163" s="17" t="n">
        <v>-21</v>
      </c>
      <c r="T163" s="17" t="n">
        <v>-21</v>
      </c>
      <c r="U163" s="17" t="n">
        <v>-0.00294522553695669</v>
      </c>
      <c r="V163" s="17" t="n">
        <v>104918</v>
      </c>
      <c r="W163" s="17" t="n">
        <v>704507</v>
      </c>
      <c r="X163" s="17" t="n">
        <v>14.8923999335706</v>
      </c>
      <c r="Y163" s="17" t="n">
        <v>14582</v>
      </c>
      <c r="Z163" s="17" t="n">
        <v>1.42847962432808</v>
      </c>
      <c r="AA163" s="17" t="n">
        <v>16.51</v>
      </c>
      <c r="AB163" s="17" t="n">
        <v>3.50957980394927</v>
      </c>
      <c r="AC163" s="17" t="n">
        <v>1.162685136481</v>
      </c>
      <c r="AD163" s="17" t="n">
        <v>0.1</v>
      </c>
      <c r="AE163" s="17" t="n">
        <v>1</v>
      </c>
      <c r="AF163" s="17" t="s">
        <v>210</v>
      </c>
      <c r="AG163" s="17" t="s">
        <v>211</v>
      </c>
      <c r="AH163" s="17" t="n">
        <v>0</v>
      </c>
    </row>
    <row r="164" customFormat="false" ht="15" hidden="false" customHeight="false" outlineLevel="0" collapsed="false">
      <c r="A164" s="17" t="n">
        <v>6275</v>
      </c>
      <c r="B164" s="23" t="n">
        <v>44926</v>
      </c>
      <c r="C164" s="17" t="s">
        <v>165</v>
      </c>
      <c r="D164" s="17" t="s">
        <v>113</v>
      </c>
      <c r="E164" s="17" t="n">
        <v>534246</v>
      </c>
      <c r="F164" s="17" t="n">
        <v>537276.6</v>
      </c>
      <c r="G164" s="17" t="n">
        <v>499882</v>
      </c>
      <c r="H164" s="17" t="n">
        <v>24487</v>
      </c>
      <c r="I164" s="17" t="n">
        <v>4.58346903860768</v>
      </c>
      <c r="J164" s="17" t="n">
        <v>310667</v>
      </c>
      <c r="K164" s="17" t="n">
        <v>294656</v>
      </c>
      <c r="L164" s="17" t="n">
        <v>307861</v>
      </c>
      <c r="M164" s="17" t="n">
        <v>252290</v>
      </c>
      <c r="N164" s="17" t="n">
        <v>33759</v>
      </c>
      <c r="O164" s="17" t="n">
        <v>13570</v>
      </c>
      <c r="P164" s="17" t="n">
        <v>1436</v>
      </c>
      <c r="Q164" s="17" t="n">
        <v>237</v>
      </c>
      <c r="R164" s="17" t="n">
        <v>0</v>
      </c>
      <c r="S164" s="17" t="n">
        <v>2</v>
      </c>
      <c r="T164" s="17" t="n">
        <v>2</v>
      </c>
      <c r="U164" s="17" t="n">
        <v>0.000678757602085143</v>
      </c>
      <c r="V164" s="17" t="n">
        <v>46875</v>
      </c>
      <c r="W164" s="17" t="n">
        <v>298825</v>
      </c>
      <c r="X164" s="17" t="n">
        <v>15.6864385509914</v>
      </c>
      <c r="Y164" s="17" t="n">
        <v>3133</v>
      </c>
      <c r="Z164" s="17" t="n">
        <v>0.583126084404197</v>
      </c>
      <c r="AA164" s="17" t="n">
        <v>10.62</v>
      </c>
      <c r="AB164" s="17" t="n">
        <v>2.86500169611941</v>
      </c>
      <c r="AC164" s="17" t="n">
        <v>0.903217915002237</v>
      </c>
      <c r="AD164" s="17" t="n">
        <v>-0.06</v>
      </c>
      <c r="AE164" s="17" t="n">
        <v>1</v>
      </c>
      <c r="AF164" s="17" t="s">
        <v>210</v>
      </c>
      <c r="AG164" s="17" t="s">
        <v>211</v>
      </c>
      <c r="AH164" s="17" t="n">
        <v>0</v>
      </c>
    </row>
    <row r="165" customFormat="false" ht="15" hidden="false" customHeight="false" outlineLevel="0" collapsed="false">
      <c r="A165" s="17" t="n">
        <v>6280</v>
      </c>
      <c r="B165" s="23" t="n">
        <v>44926</v>
      </c>
      <c r="C165" s="17" t="s">
        <v>138</v>
      </c>
      <c r="D165" s="17" t="s">
        <v>113</v>
      </c>
      <c r="E165" s="17" t="n">
        <v>84636</v>
      </c>
      <c r="F165" s="17" t="n">
        <v>85584.2</v>
      </c>
      <c r="G165" s="17" t="n">
        <v>75635</v>
      </c>
      <c r="H165" s="17" t="n">
        <v>8605</v>
      </c>
      <c r="I165" s="17" t="n">
        <v>10.1670683869748</v>
      </c>
      <c r="J165" s="17" t="n">
        <v>63400</v>
      </c>
      <c r="K165" s="17" t="n">
        <v>62243.2</v>
      </c>
      <c r="L165" s="17" t="n">
        <v>62573</v>
      </c>
      <c r="M165" s="17" t="n">
        <v>54882</v>
      </c>
      <c r="N165" s="17" t="n">
        <v>3426</v>
      </c>
      <c r="O165" s="17" t="n">
        <v>1765</v>
      </c>
      <c r="P165" s="17" t="n">
        <v>622</v>
      </c>
      <c r="Q165" s="17" t="n">
        <v>1116</v>
      </c>
      <c r="R165" s="17" t="n">
        <v>0</v>
      </c>
      <c r="S165" s="17" t="n">
        <v>78</v>
      </c>
      <c r="T165" s="17" t="n">
        <v>78</v>
      </c>
      <c r="U165" s="17" t="n">
        <v>0.125314893835793</v>
      </c>
      <c r="V165" s="17" t="n">
        <v>0</v>
      </c>
      <c r="W165" s="17" t="n">
        <v>0</v>
      </c>
      <c r="X165" s="17" t="n">
        <v>0</v>
      </c>
      <c r="Y165" s="17" t="n">
        <v>1225</v>
      </c>
      <c r="Z165" s="17" t="n">
        <v>1.43133896209814</v>
      </c>
      <c r="AA165" s="17" t="n">
        <v>14.82</v>
      </c>
      <c r="AB165" s="17" t="n">
        <v>4.34579347751593</v>
      </c>
      <c r="AC165" s="17" t="n">
        <v>1.30441640378549</v>
      </c>
      <c r="AD165" s="17" t="n">
        <v>0.11</v>
      </c>
      <c r="AE165" s="17" t="n">
        <v>1</v>
      </c>
      <c r="AF165" s="17" t="s">
        <v>210</v>
      </c>
      <c r="AG165" s="17" t="s">
        <v>211</v>
      </c>
      <c r="AH165" s="17" t="n">
        <v>0</v>
      </c>
    </row>
    <row r="166" customFormat="false" ht="15" hidden="false" customHeight="false" outlineLevel="0" collapsed="false">
      <c r="A166" s="17" t="n">
        <v>11971</v>
      </c>
      <c r="B166" s="23" t="n">
        <v>44926</v>
      </c>
      <c r="C166" s="17" t="s">
        <v>134</v>
      </c>
      <c r="D166" s="17" t="s">
        <v>108</v>
      </c>
      <c r="E166" s="17" t="n">
        <v>3906943</v>
      </c>
      <c r="F166" s="17" t="n">
        <v>3770530.8</v>
      </c>
      <c r="G166" s="17" t="n">
        <v>3050819</v>
      </c>
      <c r="H166" s="17" t="n">
        <v>447316</v>
      </c>
      <c r="I166" s="17" t="n">
        <v>11.449258409964</v>
      </c>
      <c r="J166" s="17" t="n">
        <v>2902690</v>
      </c>
      <c r="K166" s="17" t="n">
        <v>2735937.8</v>
      </c>
      <c r="L166" s="17" t="n">
        <v>2876830</v>
      </c>
      <c r="M166" s="17" t="n">
        <v>2554897</v>
      </c>
      <c r="N166" s="17" t="n">
        <v>194294</v>
      </c>
      <c r="O166" s="17" t="n">
        <v>7800</v>
      </c>
      <c r="P166" s="17" t="n">
        <v>6548</v>
      </c>
      <c r="Q166" s="17" t="n">
        <v>1146</v>
      </c>
      <c r="R166" s="17" t="n">
        <v>216</v>
      </c>
      <c r="S166" s="17" t="n">
        <v>-237</v>
      </c>
      <c r="T166" s="17" t="n">
        <v>-237</v>
      </c>
      <c r="U166" s="17" t="n">
        <v>-0.00866247763381171</v>
      </c>
      <c r="V166" s="17" t="n">
        <v>410053</v>
      </c>
      <c r="W166" s="17" t="n">
        <v>3085154</v>
      </c>
      <c r="X166" s="17" t="n">
        <v>13.2911679611455</v>
      </c>
      <c r="Y166" s="17" t="n">
        <v>49034</v>
      </c>
      <c r="Z166" s="17" t="n">
        <v>1.30045350644</v>
      </c>
      <c r="AA166" s="17" t="n">
        <v>10.79</v>
      </c>
      <c r="AB166" s="17" t="n">
        <v>3.45843569395616</v>
      </c>
      <c r="AC166" s="17" t="n">
        <v>0.890897753463167</v>
      </c>
      <c r="AD166" s="17" t="n">
        <v>0.12</v>
      </c>
      <c r="AE166" s="17" t="n">
        <v>1</v>
      </c>
      <c r="AF166" s="17" t="s">
        <v>231</v>
      </c>
      <c r="AG166" s="17" t="s">
        <v>232</v>
      </c>
      <c r="AH166" s="17" t="n">
        <v>0</v>
      </c>
    </row>
    <row r="167" customFormat="false" ht="15" hidden="false" customHeight="false" outlineLevel="0" collapsed="false">
      <c r="A167" s="17" t="n">
        <v>12874</v>
      </c>
      <c r="B167" s="23" t="n">
        <v>44926</v>
      </c>
      <c r="C167" s="17" t="s">
        <v>159</v>
      </c>
      <c r="D167" s="17" t="s">
        <v>108</v>
      </c>
      <c r="E167" s="17" t="n">
        <v>981838</v>
      </c>
      <c r="F167" s="17" t="n">
        <v>963048.8</v>
      </c>
      <c r="G167" s="17" t="n">
        <v>861068</v>
      </c>
      <c r="H167" s="17" t="n">
        <v>97187</v>
      </c>
      <c r="I167" s="17" t="n">
        <v>9.89847612335232</v>
      </c>
      <c r="J167" s="17" t="n">
        <v>749622</v>
      </c>
      <c r="K167" s="17" t="n">
        <v>737219.4</v>
      </c>
      <c r="L167" s="17" t="n">
        <v>742194</v>
      </c>
      <c r="M167" s="17" t="n">
        <v>599821</v>
      </c>
      <c r="N167" s="17" t="n">
        <v>130722</v>
      </c>
      <c r="O167" s="17" t="n">
        <v>5348</v>
      </c>
      <c r="P167" s="17" t="n">
        <v>505</v>
      </c>
      <c r="Q167" s="17" t="n">
        <v>390</v>
      </c>
      <c r="R167" s="17" t="n">
        <v>0</v>
      </c>
      <c r="S167" s="17" t="n">
        <v>-125</v>
      </c>
      <c r="T167" s="17" t="n">
        <v>-125</v>
      </c>
      <c r="U167" s="17" t="n">
        <v>-0.0169556037185131</v>
      </c>
      <c r="V167" s="17" t="n">
        <v>111736</v>
      </c>
      <c r="W167" s="17" t="n">
        <v>723167</v>
      </c>
      <c r="X167" s="17" t="n">
        <v>15.4509262729079</v>
      </c>
      <c r="Y167" s="17" t="n">
        <v>10542</v>
      </c>
      <c r="Z167" s="17" t="n">
        <v>1.09464857855594</v>
      </c>
      <c r="AA167" s="17" t="n">
        <v>10.88</v>
      </c>
      <c r="AB167" s="17" t="n">
        <v>3.7482197406091</v>
      </c>
      <c r="AC167" s="17" t="n">
        <v>0.990899413304305</v>
      </c>
      <c r="AD167" s="17" t="n">
        <v>-0.05</v>
      </c>
      <c r="AE167" s="17" t="n">
        <v>1</v>
      </c>
      <c r="AF167" s="17" t="s">
        <v>231</v>
      </c>
      <c r="AG167" s="17" t="s">
        <v>232</v>
      </c>
      <c r="AH167" s="17" t="n">
        <v>0</v>
      </c>
    </row>
    <row r="168" customFormat="false" ht="15" hidden="false" customHeight="false" outlineLevel="0" collapsed="false">
      <c r="A168" s="17" t="n">
        <v>13063</v>
      </c>
      <c r="B168" s="23" t="n">
        <v>44926</v>
      </c>
      <c r="C168" s="17" t="s">
        <v>139</v>
      </c>
      <c r="D168" s="17" t="s">
        <v>108</v>
      </c>
      <c r="E168" s="17" t="n">
        <v>1843469</v>
      </c>
      <c r="F168" s="17" t="n">
        <v>1825590.6</v>
      </c>
      <c r="G168" s="17" t="n">
        <v>1640586</v>
      </c>
      <c r="H168" s="17" t="n">
        <v>136120</v>
      </c>
      <c r="I168" s="17" t="n">
        <v>7.3839050182021</v>
      </c>
      <c r="J168" s="17" t="n">
        <v>1335612</v>
      </c>
      <c r="K168" s="17" t="n">
        <v>1262116.4</v>
      </c>
      <c r="L168" s="17" t="n">
        <v>1322057</v>
      </c>
      <c r="M168" s="17" t="n">
        <v>1281066</v>
      </c>
      <c r="N168" s="17" t="n">
        <v>46233</v>
      </c>
      <c r="O168" s="17" t="n">
        <v>839</v>
      </c>
      <c r="P168" s="17" t="n">
        <v>528</v>
      </c>
      <c r="Q168" s="17" t="n">
        <v>261</v>
      </c>
      <c r="R168" s="17" t="n">
        <v>746</v>
      </c>
      <c r="S168" s="17" t="n">
        <v>-159</v>
      </c>
      <c r="T168" s="17" t="n">
        <v>-159</v>
      </c>
      <c r="U168" s="17" t="n">
        <v>-0.0125978871679348</v>
      </c>
      <c r="V168" s="17" t="n">
        <v>0</v>
      </c>
      <c r="W168" s="17" t="n">
        <v>0</v>
      </c>
      <c r="X168" s="17" t="n">
        <v>0</v>
      </c>
      <c r="Y168" s="17" t="n">
        <v>13598</v>
      </c>
      <c r="Z168" s="17" t="n">
        <v>0.74485484313953</v>
      </c>
      <c r="AA168" s="17" t="n">
        <v>9.45</v>
      </c>
      <c r="AB168" s="17" t="n">
        <v>3.53048222013871</v>
      </c>
      <c r="AC168" s="17" t="n">
        <v>1.01489055204655</v>
      </c>
      <c r="AD168" s="17" t="n">
        <v>-0.08</v>
      </c>
      <c r="AE168" s="17" t="n">
        <v>1</v>
      </c>
      <c r="AF168" s="17" t="s">
        <v>241</v>
      </c>
      <c r="AG168" s="17" t="s">
        <v>232</v>
      </c>
      <c r="AH168" s="17" t="n">
        <v>0</v>
      </c>
    </row>
    <row r="169" customFormat="false" ht="15" hidden="false" customHeight="false" outlineLevel="0" collapsed="false">
      <c r="A169" s="17" t="n">
        <v>14134</v>
      </c>
      <c r="B169" s="23" t="n">
        <v>44926</v>
      </c>
      <c r="C169" s="17" t="s">
        <v>155</v>
      </c>
      <c r="D169" s="17" t="s">
        <v>113</v>
      </c>
      <c r="E169" s="17" t="n">
        <v>838127</v>
      </c>
      <c r="F169" s="17" t="n">
        <v>853652.8</v>
      </c>
      <c r="G169" s="17" t="n">
        <v>719419</v>
      </c>
      <c r="H169" s="17" t="n">
        <v>97584</v>
      </c>
      <c r="I169" s="17" t="n">
        <v>11.6431042073576</v>
      </c>
      <c r="J169" s="17" t="n">
        <v>618146</v>
      </c>
      <c r="K169" s="17" t="n">
        <v>610339.2</v>
      </c>
      <c r="L169" s="17" t="n">
        <v>611386</v>
      </c>
      <c r="M169" s="17" t="n">
        <v>543525</v>
      </c>
      <c r="N169" s="17" t="n">
        <v>28029</v>
      </c>
      <c r="O169" s="17" t="n">
        <v>22010</v>
      </c>
      <c r="P169" s="17" t="n">
        <v>12984</v>
      </c>
      <c r="Q169" s="17" t="n">
        <v>5416</v>
      </c>
      <c r="R169" s="17" t="n">
        <v>0</v>
      </c>
      <c r="S169" s="17" t="n">
        <v>467</v>
      </c>
      <c r="T169" s="17" t="n">
        <v>467</v>
      </c>
      <c r="U169" s="17" t="n">
        <v>0.0765148297864532</v>
      </c>
      <c r="V169" s="17" t="n">
        <v>102079</v>
      </c>
      <c r="W169" s="17" t="n">
        <v>565338</v>
      </c>
      <c r="X169" s="17" t="n">
        <v>18.0562778373292</v>
      </c>
      <c r="Y169" s="17" t="n">
        <v>1893</v>
      </c>
      <c r="Z169" s="17" t="n">
        <v>0.221752918751043</v>
      </c>
      <c r="AA169" s="17" t="n">
        <v>1.92</v>
      </c>
      <c r="AB169" s="17" t="n">
        <v>3.12340753760266</v>
      </c>
      <c r="AC169" s="17" t="n">
        <v>1.09359277581672</v>
      </c>
      <c r="AD169" s="17" t="n">
        <v>-0.11</v>
      </c>
      <c r="AE169" s="17" t="n">
        <v>1</v>
      </c>
      <c r="AF169" s="17" t="s">
        <v>241</v>
      </c>
      <c r="AG169" s="17" t="s">
        <v>232</v>
      </c>
      <c r="AH169" s="17" t="n">
        <v>0</v>
      </c>
    </row>
    <row r="170" customFormat="false" ht="15" hidden="false" customHeight="false" outlineLevel="0" collapsed="false">
      <c r="A170" s="17" t="n">
        <v>14136</v>
      </c>
      <c r="B170" s="23" t="n">
        <v>44926</v>
      </c>
      <c r="C170" s="17" t="s">
        <v>153</v>
      </c>
      <c r="D170" s="17" t="s">
        <v>113</v>
      </c>
      <c r="E170" s="17" t="n">
        <v>228201</v>
      </c>
      <c r="F170" s="17" t="n">
        <v>224337.8</v>
      </c>
      <c r="G170" s="17" t="n">
        <v>209378</v>
      </c>
      <c r="H170" s="17" t="n">
        <v>14622</v>
      </c>
      <c r="I170" s="17" t="n">
        <v>6.4075091695479</v>
      </c>
      <c r="J170" s="17" t="n">
        <v>139954</v>
      </c>
      <c r="K170" s="17" t="n">
        <v>128483.4</v>
      </c>
      <c r="L170" s="17" t="n">
        <v>138613</v>
      </c>
      <c r="M170" s="17" t="n">
        <v>113932</v>
      </c>
      <c r="N170" s="17" t="n">
        <v>13222</v>
      </c>
      <c r="O170" s="17" t="n">
        <v>12457</v>
      </c>
      <c r="P170" s="17" t="n">
        <v>107</v>
      </c>
      <c r="Q170" s="17" t="n">
        <v>1094</v>
      </c>
      <c r="R170" s="17" t="n">
        <v>670</v>
      </c>
      <c r="S170" s="17" t="n">
        <v>90</v>
      </c>
      <c r="T170" s="17" t="n">
        <v>90</v>
      </c>
      <c r="U170" s="17" t="n">
        <v>0.0700479595029397</v>
      </c>
      <c r="V170" s="17" t="n">
        <v>24761</v>
      </c>
      <c r="W170" s="17" t="n">
        <v>140153</v>
      </c>
      <c r="X170" s="17" t="n">
        <v>17.6671209321242</v>
      </c>
      <c r="Y170" s="17" t="n">
        <v>1043</v>
      </c>
      <c r="Z170" s="17" t="n">
        <v>0.464923878187269</v>
      </c>
      <c r="AA170" s="17" t="n">
        <v>6.05</v>
      </c>
      <c r="AB170" s="17" t="n">
        <v>3.71178604169158</v>
      </c>
      <c r="AC170" s="17" t="n">
        <v>0.958171970790403</v>
      </c>
      <c r="AD170" s="17" t="n">
        <v>0.03</v>
      </c>
      <c r="AE170" s="17" t="n">
        <v>1</v>
      </c>
      <c r="AF170" s="17" t="s">
        <v>241</v>
      </c>
      <c r="AG170" s="17" t="s">
        <v>232</v>
      </c>
      <c r="AH170" s="17" t="n">
        <v>1</v>
      </c>
    </row>
    <row r="171" customFormat="false" ht="15" hidden="false" customHeight="false" outlineLevel="0" collapsed="false">
      <c r="A171" s="17" t="n">
        <v>14140</v>
      </c>
      <c r="B171" s="23" t="n">
        <v>44926</v>
      </c>
      <c r="C171" s="17" t="s">
        <v>120</v>
      </c>
      <c r="D171" s="17" t="s">
        <v>113</v>
      </c>
      <c r="E171" s="17" t="n">
        <v>1414255</v>
      </c>
      <c r="F171" s="17" t="n">
        <v>1422078.8</v>
      </c>
      <c r="G171" s="17" t="n">
        <v>1185491</v>
      </c>
      <c r="H171" s="17" t="n">
        <v>113940</v>
      </c>
      <c r="I171" s="17" t="n">
        <v>8.05653860159589</v>
      </c>
      <c r="J171" s="17" t="n">
        <v>973789</v>
      </c>
      <c r="K171" s="17" t="n">
        <v>955221.4</v>
      </c>
      <c r="L171" s="17" t="n">
        <v>963245</v>
      </c>
      <c r="M171" s="17" t="n">
        <v>878159</v>
      </c>
      <c r="N171" s="17" t="n">
        <v>86826</v>
      </c>
      <c r="O171" s="17" t="n">
        <v>1204</v>
      </c>
      <c r="P171" s="17" t="n">
        <v>2462</v>
      </c>
      <c r="Q171" s="17" t="n">
        <v>734</v>
      </c>
      <c r="R171" s="17" t="n">
        <v>0</v>
      </c>
      <c r="S171" s="17" t="n">
        <v>76</v>
      </c>
      <c r="T171" s="17" t="n">
        <v>76</v>
      </c>
      <c r="U171" s="17" t="n">
        <v>0.00795627066144037</v>
      </c>
      <c r="V171" s="17" t="n">
        <v>0</v>
      </c>
      <c r="W171" s="17" t="n">
        <v>0</v>
      </c>
      <c r="X171" s="17" t="n">
        <v>0</v>
      </c>
      <c r="Y171" s="17" t="n">
        <v>10046</v>
      </c>
      <c r="Z171" s="17" t="n">
        <v>0.706430614112242</v>
      </c>
      <c r="AA171" s="17" t="n">
        <v>8.33</v>
      </c>
      <c r="AB171" s="17" t="n">
        <v>3.11589074154043</v>
      </c>
      <c r="AC171" s="17" t="n">
        <v>1.08278076667533</v>
      </c>
      <c r="AD171" s="17" t="n">
        <v>0</v>
      </c>
      <c r="AE171" s="17" t="n">
        <v>1</v>
      </c>
      <c r="AF171" s="17" t="s">
        <v>241</v>
      </c>
      <c r="AG171" s="17" t="s">
        <v>232</v>
      </c>
      <c r="AH171" s="17" t="n">
        <v>0</v>
      </c>
    </row>
    <row r="172" customFormat="false" ht="15" hidden="false" customHeight="false" outlineLevel="0" collapsed="false">
      <c r="A172" s="17" t="n">
        <v>14158</v>
      </c>
      <c r="B172" s="23" t="n">
        <v>44926</v>
      </c>
      <c r="C172" s="17" t="s">
        <v>112</v>
      </c>
      <c r="D172" s="17" t="s">
        <v>113</v>
      </c>
      <c r="E172" s="17" t="n">
        <v>1335789</v>
      </c>
      <c r="F172" s="17" t="n">
        <v>1252736.2</v>
      </c>
      <c r="G172" s="17" t="n">
        <v>1204403</v>
      </c>
      <c r="H172" s="17" t="n">
        <v>71084</v>
      </c>
      <c r="I172" s="17" t="n">
        <v>5.3214991289792</v>
      </c>
      <c r="J172" s="17" t="n">
        <v>960671</v>
      </c>
      <c r="K172" s="17" t="n">
        <v>871735.6</v>
      </c>
      <c r="L172" s="17" t="n">
        <v>952332</v>
      </c>
      <c r="M172" s="17" t="n">
        <v>824447</v>
      </c>
      <c r="N172" s="17" t="n">
        <v>40782</v>
      </c>
      <c r="O172" s="17" t="n">
        <v>2089</v>
      </c>
      <c r="P172" s="17" t="n">
        <v>2211</v>
      </c>
      <c r="Q172" s="17" t="n">
        <v>3040</v>
      </c>
      <c r="R172" s="17" t="n">
        <v>186</v>
      </c>
      <c r="S172" s="17" t="n">
        <v>-3</v>
      </c>
      <c r="T172" s="17" t="n">
        <v>-3</v>
      </c>
      <c r="U172" s="17" t="n">
        <v>-0.000344141044601138</v>
      </c>
      <c r="V172" s="17" t="n">
        <v>114618</v>
      </c>
      <c r="W172" s="17" t="n">
        <v>821464</v>
      </c>
      <c r="X172" s="17" t="n">
        <v>13.9528938577954</v>
      </c>
      <c r="Y172" s="17" t="n">
        <v>13475</v>
      </c>
      <c r="Z172" s="17" t="n">
        <v>1.07564545512455</v>
      </c>
      <c r="AA172" s="17" t="n">
        <v>16.97</v>
      </c>
      <c r="AB172" s="17" t="n">
        <v>3.42354879042827</v>
      </c>
      <c r="AC172" s="17" t="n">
        <v>0.868039110163625</v>
      </c>
      <c r="AD172" s="17" t="n">
        <v>0</v>
      </c>
      <c r="AE172" s="17" t="n">
        <v>1</v>
      </c>
      <c r="AF172" s="17" t="s">
        <v>231</v>
      </c>
      <c r="AG172" s="17" t="s">
        <v>232</v>
      </c>
      <c r="AH172" s="17" t="n">
        <v>0</v>
      </c>
    </row>
    <row r="173" customFormat="false" ht="15" hidden="false" customHeight="false" outlineLevel="0" collapsed="false">
      <c r="A173" s="17" t="n">
        <v>14168</v>
      </c>
      <c r="B173" s="23" t="n">
        <v>44926</v>
      </c>
      <c r="C173" s="17" t="s">
        <v>162</v>
      </c>
      <c r="D173" s="17" t="s">
        <v>113</v>
      </c>
      <c r="E173" s="17" t="n">
        <v>368796</v>
      </c>
      <c r="F173" s="17" t="n">
        <v>373350.8</v>
      </c>
      <c r="G173" s="17" t="n">
        <v>332153</v>
      </c>
      <c r="H173" s="17" t="n">
        <v>31831</v>
      </c>
      <c r="I173" s="17" t="n">
        <v>8.6310589051942</v>
      </c>
      <c r="J173" s="17" t="n">
        <v>208925</v>
      </c>
      <c r="K173" s="17" t="n">
        <v>196227.4</v>
      </c>
      <c r="L173" s="17" t="n">
        <v>205944</v>
      </c>
      <c r="M173" s="17" t="n">
        <v>173273</v>
      </c>
      <c r="N173" s="17" t="n">
        <v>11593</v>
      </c>
      <c r="O173" s="17" t="n">
        <v>9164</v>
      </c>
      <c r="P173" s="17" t="n">
        <v>1146</v>
      </c>
      <c r="Q173" s="17" t="n">
        <v>204</v>
      </c>
      <c r="R173" s="17" t="n">
        <v>0</v>
      </c>
      <c r="S173" s="17" t="n">
        <v>58</v>
      </c>
      <c r="T173" s="17" t="n">
        <v>58</v>
      </c>
      <c r="U173" s="17" t="n">
        <v>0.0295575439515582</v>
      </c>
      <c r="V173" s="17" t="n">
        <v>39963</v>
      </c>
      <c r="W173" s="17" t="n">
        <v>217907</v>
      </c>
      <c r="X173" s="17" t="n">
        <v>18.3394750971745</v>
      </c>
      <c r="Y173" s="17" t="n">
        <v>2072</v>
      </c>
      <c r="Z173" s="17" t="n">
        <v>0.554974035143356</v>
      </c>
      <c r="AA173" s="17" t="n">
        <v>6.25</v>
      </c>
      <c r="AB173" s="17" t="n">
        <v>3.0732840381186</v>
      </c>
      <c r="AC173" s="17" t="n">
        <v>1.42682780902238</v>
      </c>
      <c r="AD173" s="17" t="n">
        <v>0.02</v>
      </c>
      <c r="AE173" s="17" t="n">
        <v>1</v>
      </c>
      <c r="AF173" s="17" t="s">
        <v>231</v>
      </c>
      <c r="AG173" s="17" t="s">
        <v>232</v>
      </c>
      <c r="AH173" s="17" t="n">
        <v>0</v>
      </c>
    </row>
    <row r="174" customFormat="false" ht="15" hidden="false" customHeight="false" outlineLevel="0" collapsed="false">
      <c r="A174" s="17" t="n">
        <v>14240</v>
      </c>
      <c r="B174" s="23" t="n">
        <v>44926</v>
      </c>
      <c r="C174" s="17" t="s">
        <v>195</v>
      </c>
      <c r="D174" s="17" t="s">
        <v>116</v>
      </c>
      <c r="E174" s="17" t="n">
        <v>1297773</v>
      </c>
      <c r="F174" s="17" t="n">
        <v>1262808.6</v>
      </c>
      <c r="G174" s="17" t="n">
        <v>1070008</v>
      </c>
      <c r="H174" s="17" t="n">
        <v>81085</v>
      </c>
      <c r="I174" s="17" t="n">
        <v>6.24801101579398</v>
      </c>
      <c r="J174" s="17" t="n">
        <v>930014</v>
      </c>
      <c r="K174" s="17" t="n">
        <v>869668.2</v>
      </c>
      <c r="L174" s="17" t="n">
        <v>918654</v>
      </c>
      <c r="M174" s="17" t="n">
        <v>824710</v>
      </c>
      <c r="N174" s="17" t="n">
        <v>24518</v>
      </c>
      <c r="O174" s="17" t="n">
        <v>17452</v>
      </c>
      <c r="P174" s="17" t="n">
        <v>2163</v>
      </c>
      <c r="Q174" s="17" t="n">
        <v>8212</v>
      </c>
      <c r="R174" s="17" t="n">
        <v>0</v>
      </c>
      <c r="S174" s="17" t="n">
        <v>-94</v>
      </c>
      <c r="T174" s="17" t="n">
        <v>-94</v>
      </c>
      <c r="U174" s="17" t="n">
        <v>-0.0108087199232995</v>
      </c>
      <c r="V174" s="17" t="n">
        <v>121410</v>
      </c>
      <c r="W174" s="17" t="n">
        <v>824952</v>
      </c>
      <c r="X174" s="17" t="n">
        <v>14.7172199109766</v>
      </c>
      <c r="Y174" s="17" t="n">
        <v>3927</v>
      </c>
      <c r="Z174" s="17" t="n">
        <v>0.31097349194486</v>
      </c>
      <c r="AA174" s="17" t="n">
        <v>4.22</v>
      </c>
      <c r="AB174" s="17" t="n">
        <v>3.01422887354516</v>
      </c>
      <c r="AC174" s="17" t="n">
        <v>1.22148698836792</v>
      </c>
      <c r="AD174" s="17" t="n">
        <v>0.14</v>
      </c>
      <c r="AE174" s="17" t="n">
        <v>0</v>
      </c>
      <c r="AF174" s="17" t="s">
        <v>231</v>
      </c>
      <c r="AG174" s="17" t="s">
        <v>232</v>
      </c>
      <c r="AH174" s="17" t="n">
        <v>0</v>
      </c>
    </row>
    <row r="175" customFormat="false" ht="15" hidden="false" customHeight="false" outlineLevel="0" collapsed="false">
      <c r="A175" s="17" t="n">
        <v>17115</v>
      </c>
      <c r="B175" s="23" t="n">
        <v>44926</v>
      </c>
      <c r="C175" s="17" t="s">
        <v>143</v>
      </c>
      <c r="D175" s="17" t="s">
        <v>108</v>
      </c>
      <c r="E175" s="17" t="n">
        <v>1004795</v>
      </c>
      <c r="F175" s="17" t="n">
        <v>915303.6</v>
      </c>
      <c r="G175" s="17" t="n">
        <v>856846</v>
      </c>
      <c r="H175" s="17" t="n">
        <v>78632</v>
      </c>
      <c r="I175" s="17" t="n">
        <v>7.82567588413557</v>
      </c>
      <c r="J175" s="17" t="n">
        <v>833453</v>
      </c>
      <c r="K175" s="17" t="n">
        <v>733541.4</v>
      </c>
      <c r="L175" s="17" t="n">
        <v>825628</v>
      </c>
      <c r="M175" s="17" t="n">
        <v>786913</v>
      </c>
      <c r="N175" s="17" t="n">
        <v>40984</v>
      </c>
      <c r="O175" s="17" t="n">
        <v>4504</v>
      </c>
      <c r="P175" s="17" t="n">
        <v>265</v>
      </c>
      <c r="Q175" s="17" t="n">
        <v>278</v>
      </c>
      <c r="R175" s="17" t="n">
        <v>0</v>
      </c>
      <c r="S175" s="17" t="n">
        <v>216</v>
      </c>
      <c r="T175" s="17" t="n">
        <v>216</v>
      </c>
      <c r="U175" s="17" t="n">
        <v>0.0294461907671469</v>
      </c>
      <c r="V175" s="17" t="n">
        <v>102512</v>
      </c>
      <c r="W175" s="17" t="n">
        <v>734753</v>
      </c>
      <c r="X175" s="17" t="n">
        <v>13.9518994818667</v>
      </c>
      <c r="Y175" s="17" t="n">
        <v>5889</v>
      </c>
      <c r="Z175" s="17" t="n">
        <v>0.643393077444468</v>
      </c>
      <c r="AA175" s="17" t="n">
        <v>7.35</v>
      </c>
      <c r="AB175" s="17" t="n">
        <v>3.57368381916725</v>
      </c>
      <c r="AC175" s="17" t="n">
        <v>0.938865178960301</v>
      </c>
      <c r="AD175" s="17" t="n">
        <v>0</v>
      </c>
      <c r="AE175" s="17" t="n">
        <v>1</v>
      </c>
      <c r="AF175" s="17" t="s">
        <v>241</v>
      </c>
      <c r="AG175" s="17" t="s">
        <v>232</v>
      </c>
      <c r="AH175" s="17" t="n">
        <v>0</v>
      </c>
    </row>
    <row r="176" customFormat="false" ht="15" hidden="false" customHeight="false" outlineLevel="0" collapsed="false">
      <c r="A176" s="17" t="n">
        <v>17180</v>
      </c>
      <c r="B176" s="23" t="n">
        <v>44926</v>
      </c>
      <c r="C176" s="17" t="s">
        <v>127</v>
      </c>
      <c r="D176" s="17" t="s">
        <v>116</v>
      </c>
      <c r="E176" s="17" t="n">
        <v>1552881</v>
      </c>
      <c r="F176" s="17" t="n">
        <v>1397068.2</v>
      </c>
      <c r="G176" s="17" t="n">
        <v>1174035</v>
      </c>
      <c r="H176" s="17" t="n">
        <v>127894</v>
      </c>
      <c r="I176" s="17" t="n">
        <v>8.23591762665652</v>
      </c>
      <c r="J176" s="17" t="n">
        <v>1390042</v>
      </c>
      <c r="K176" s="17" t="n">
        <v>1242406</v>
      </c>
      <c r="L176" s="17" t="n">
        <v>1377049</v>
      </c>
      <c r="M176" s="17" t="n">
        <v>1118314</v>
      </c>
      <c r="N176" s="17" t="n">
        <v>49201</v>
      </c>
      <c r="O176" s="17" t="n">
        <v>202826</v>
      </c>
      <c r="P176" s="17" t="n">
        <v>4104</v>
      </c>
      <c r="Q176" s="17" t="n">
        <v>2652</v>
      </c>
      <c r="R176" s="17" t="n">
        <v>1</v>
      </c>
      <c r="S176" s="17" t="n">
        <v>275</v>
      </c>
      <c r="T176" s="17" t="n">
        <v>275</v>
      </c>
      <c r="U176" s="17" t="n">
        <v>0.0221344713402865</v>
      </c>
      <c r="V176" s="17" t="n">
        <v>153643</v>
      </c>
      <c r="W176" s="17" t="n">
        <v>1123581</v>
      </c>
      <c r="X176" s="17" t="n">
        <v>13.6744035365497</v>
      </c>
      <c r="Y176" s="17" t="n">
        <v>10791</v>
      </c>
      <c r="Z176" s="17" t="n">
        <v>0.772403237007327</v>
      </c>
      <c r="AA176" s="17" t="n">
        <v>8.53</v>
      </c>
      <c r="AB176" s="17" t="n">
        <v>3.52667259637935</v>
      </c>
      <c r="AC176" s="17" t="n">
        <v>0.934719958101985</v>
      </c>
      <c r="AD176" s="17" t="n">
        <v>0.15</v>
      </c>
      <c r="AE176" s="17" t="n">
        <v>1</v>
      </c>
      <c r="AF176" s="17" t="s">
        <v>241</v>
      </c>
      <c r="AG176" s="17" t="s">
        <v>232</v>
      </c>
      <c r="AH176" s="17" t="n">
        <v>0</v>
      </c>
    </row>
    <row r="177" customFormat="false" ht="15" hidden="false" customHeight="false" outlineLevel="0" collapsed="false">
      <c r="A177" s="17" t="n">
        <v>17443</v>
      </c>
      <c r="B177" s="23" t="n">
        <v>44926</v>
      </c>
      <c r="C177" s="17" t="s">
        <v>132</v>
      </c>
      <c r="D177" s="17" t="s">
        <v>116</v>
      </c>
      <c r="E177" s="17" t="n">
        <v>380965</v>
      </c>
      <c r="F177" s="17" t="n">
        <v>358344.6</v>
      </c>
      <c r="G177" s="17" t="n">
        <v>341206</v>
      </c>
      <c r="H177" s="17" t="n">
        <v>38509</v>
      </c>
      <c r="I177" s="17" t="n">
        <v>10.1082776633024</v>
      </c>
      <c r="J177" s="17" t="n">
        <v>206549</v>
      </c>
      <c r="K177" s="17" t="n">
        <v>194313.4</v>
      </c>
      <c r="L177" s="17" t="n">
        <v>204787</v>
      </c>
      <c r="M177" s="17" t="n">
        <v>204563</v>
      </c>
      <c r="N177" s="17" t="n">
        <v>0</v>
      </c>
      <c r="O177" s="17" t="n">
        <v>969</v>
      </c>
      <c r="P177" s="17" t="n">
        <v>286</v>
      </c>
      <c r="Q177" s="17" t="n">
        <v>523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1549</v>
      </c>
      <c r="Z177" s="17" t="n">
        <v>0.432265478536582</v>
      </c>
      <c r="AA177" s="17" t="n">
        <v>3.75</v>
      </c>
      <c r="AB177" s="17" t="n">
        <v>2.04936413046113</v>
      </c>
      <c r="AC177" s="17" t="n">
        <v>0.853066342611196</v>
      </c>
      <c r="AD177" s="17" t="n">
        <v>0.05</v>
      </c>
      <c r="AE177" s="17" t="n">
        <v>1</v>
      </c>
      <c r="AF177" s="17" t="s">
        <v>241</v>
      </c>
      <c r="AG177" s="17" t="s">
        <v>232</v>
      </c>
      <c r="AH177" s="17" t="n">
        <v>1</v>
      </c>
    </row>
    <row r="178" customFormat="false" ht="15" hidden="false" customHeight="false" outlineLevel="0" collapsed="false">
      <c r="A178" s="17" t="n">
        <v>17658</v>
      </c>
      <c r="B178" s="23" t="n">
        <v>44926</v>
      </c>
      <c r="C178" s="17" t="s">
        <v>144</v>
      </c>
      <c r="D178" s="17" t="s">
        <v>108</v>
      </c>
      <c r="E178" s="17" t="n">
        <v>1795136</v>
      </c>
      <c r="F178" s="17" t="n">
        <v>1756959</v>
      </c>
      <c r="G178" s="17" t="n">
        <v>1531543</v>
      </c>
      <c r="H178" s="17" t="n">
        <v>187871</v>
      </c>
      <c r="I178" s="17" t="n">
        <v>10.4655580412849</v>
      </c>
      <c r="J178" s="17" t="n">
        <v>1215074</v>
      </c>
      <c r="K178" s="17" t="n">
        <v>1138005.8</v>
      </c>
      <c r="L178" s="17" t="n">
        <v>1206667</v>
      </c>
      <c r="M178" s="17" t="n">
        <v>1049471</v>
      </c>
      <c r="N178" s="17" t="n">
        <v>87968</v>
      </c>
      <c r="O178" s="17" t="n">
        <v>64395</v>
      </c>
      <c r="P178" s="17" t="n">
        <v>677</v>
      </c>
      <c r="Q178" s="17" t="n">
        <v>1734</v>
      </c>
      <c r="R178" s="17" t="n">
        <v>197</v>
      </c>
      <c r="S178" s="17" t="n">
        <v>533</v>
      </c>
      <c r="T178" s="17" t="n">
        <v>533</v>
      </c>
      <c r="U178" s="17" t="n">
        <v>0.0468363166514617</v>
      </c>
      <c r="V178" s="17" t="n">
        <v>0</v>
      </c>
      <c r="W178" s="17" t="n">
        <v>0</v>
      </c>
      <c r="X178" s="17" t="n">
        <v>0</v>
      </c>
      <c r="Y178" s="17" t="n">
        <v>9279</v>
      </c>
      <c r="Z178" s="17" t="n">
        <v>0.528128430999244</v>
      </c>
      <c r="AA178" s="17" t="n">
        <v>4.61</v>
      </c>
      <c r="AB178" s="17" t="n">
        <v>3.63823974585112</v>
      </c>
      <c r="AC178" s="17" t="n">
        <v>0.691892016453319</v>
      </c>
      <c r="AD178" s="17" t="n">
        <v>-0.01</v>
      </c>
      <c r="AE178" s="17" t="n">
        <v>1</v>
      </c>
      <c r="AF178" s="17" t="s">
        <v>241</v>
      </c>
      <c r="AG178" s="17" t="s">
        <v>232</v>
      </c>
      <c r="AH178" s="17" t="n">
        <v>0</v>
      </c>
    </row>
    <row r="179" customFormat="false" ht="15" hidden="false" customHeight="false" outlineLevel="0" collapsed="false">
      <c r="A179" s="17" t="n">
        <v>17741</v>
      </c>
      <c r="B179" s="23" t="n">
        <v>44926</v>
      </c>
      <c r="C179" s="17" t="s">
        <v>161</v>
      </c>
      <c r="D179" s="17" t="s">
        <v>108</v>
      </c>
      <c r="E179" s="17" t="n">
        <v>1004289</v>
      </c>
      <c r="F179" s="17" t="n">
        <v>1007672</v>
      </c>
      <c r="G179" s="17" t="n">
        <v>828427</v>
      </c>
      <c r="H179" s="17" t="n">
        <v>130201</v>
      </c>
      <c r="I179" s="17" t="n">
        <v>12.9644952797452</v>
      </c>
      <c r="J179" s="17" t="n">
        <v>848425</v>
      </c>
      <c r="K179" s="17" t="n">
        <v>814163.8</v>
      </c>
      <c r="L179" s="17" t="n">
        <v>840513</v>
      </c>
      <c r="M179" s="17" t="n">
        <v>795357</v>
      </c>
      <c r="N179" s="17" t="n">
        <v>45845</v>
      </c>
      <c r="O179" s="17" t="n">
        <v>3546</v>
      </c>
      <c r="P179" s="17" t="n">
        <v>1820</v>
      </c>
      <c r="Q179" s="17" t="n">
        <v>2400</v>
      </c>
      <c r="R179" s="17" t="n">
        <v>0</v>
      </c>
      <c r="S179" s="17" t="n">
        <v>-9</v>
      </c>
      <c r="T179" s="17" t="n">
        <v>-9</v>
      </c>
      <c r="U179" s="17" t="n">
        <v>-0.00110542866189826</v>
      </c>
      <c r="V179" s="17" t="n">
        <v>0</v>
      </c>
      <c r="W179" s="17" t="n">
        <v>0</v>
      </c>
      <c r="X179" s="17" t="n">
        <v>0</v>
      </c>
      <c r="Y179" s="17" t="n">
        <v>8305</v>
      </c>
      <c r="Z179" s="17" t="n">
        <v>0.824176914710342</v>
      </c>
      <c r="AA179" s="17" t="n">
        <v>6.4</v>
      </c>
      <c r="AB179" s="17" t="n">
        <v>3.5594789903923</v>
      </c>
      <c r="AC179" s="17" t="n">
        <v>0.932551492471344</v>
      </c>
      <c r="AD179" s="17" t="n">
        <v>0.02</v>
      </c>
      <c r="AE179" s="17" t="n">
        <v>1</v>
      </c>
      <c r="AF179" s="17" t="s">
        <v>241</v>
      </c>
      <c r="AG179" s="17" t="s">
        <v>232</v>
      </c>
      <c r="AH179" s="17" t="n">
        <v>0</v>
      </c>
    </row>
    <row r="180" customFormat="false" ht="15" hidden="false" customHeight="false" outlineLevel="0" collapsed="false">
      <c r="A180" s="17" t="n">
        <v>17743</v>
      </c>
      <c r="B180" s="23" t="n">
        <v>44926</v>
      </c>
      <c r="C180" s="17" t="s">
        <v>129</v>
      </c>
      <c r="D180" s="17" t="s">
        <v>108</v>
      </c>
      <c r="E180" s="17" t="n">
        <v>1276362</v>
      </c>
      <c r="F180" s="17" t="n">
        <v>1213569.4</v>
      </c>
      <c r="G180" s="17" t="n">
        <v>1007618</v>
      </c>
      <c r="H180" s="17" t="n">
        <v>120023</v>
      </c>
      <c r="I180" s="17" t="n">
        <v>9.40352345181069</v>
      </c>
      <c r="J180" s="17" t="n">
        <v>984104</v>
      </c>
      <c r="K180" s="17" t="n">
        <v>943318.8</v>
      </c>
      <c r="L180" s="17" t="n">
        <v>979208</v>
      </c>
      <c r="M180" s="17" t="n">
        <v>953202</v>
      </c>
      <c r="N180" s="17" t="n">
        <v>11335</v>
      </c>
      <c r="O180" s="17" t="n">
        <v>6789</v>
      </c>
      <c r="P180" s="17" t="n">
        <v>2426</v>
      </c>
      <c r="Q180" s="17" t="n">
        <v>2594</v>
      </c>
      <c r="R180" s="17" t="n">
        <v>0</v>
      </c>
      <c r="S180" s="17" t="n">
        <v>-240</v>
      </c>
      <c r="T180" s="17" t="n">
        <v>-240</v>
      </c>
      <c r="U180" s="17" t="n">
        <v>-0.0254420880830532</v>
      </c>
      <c r="V180" s="17" t="n">
        <v>0</v>
      </c>
      <c r="W180" s="17" t="n">
        <v>0</v>
      </c>
      <c r="X180" s="17" t="n">
        <v>0</v>
      </c>
      <c r="Y180" s="17" t="n">
        <v>5066</v>
      </c>
      <c r="Z180" s="17" t="n">
        <v>0.417446254000801</v>
      </c>
      <c r="AA180" s="17" t="n">
        <v>4.11</v>
      </c>
      <c r="AB180" s="17" t="n">
        <v>2.6949216119851</v>
      </c>
      <c r="AC180" s="17" t="n">
        <v>0.497508393421834</v>
      </c>
      <c r="AD180" s="17" t="n">
        <v>-0.03</v>
      </c>
      <c r="AE180" s="17" t="n">
        <v>1</v>
      </c>
      <c r="AF180" s="17" t="s">
        <v>241</v>
      </c>
      <c r="AG180" s="17" t="s">
        <v>232</v>
      </c>
      <c r="AH180" s="17" t="n">
        <v>1</v>
      </c>
    </row>
    <row r="181" customFormat="false" ht="15" hidden="false" customHeight="false" outlineLevel="0" collapsed="false">
      <c r="A181" s="17" t="n">
        <v>17748</v>
      </c>
      <c r="B181" s="23" t="n">
        <v>44926</v>
      </c>
      <c r="C181" s="17" t="s">
        <v>196</v>
      </c>
      <c r="D181" s="17" t="s">
        <v>108</v>
      </c>
      <c r="E181" s="17" t="n">
        <v>1607984</v>
      </c>
      <c r="F181" s="17" t="n">
        <v>1560863.2</v>
      </c>
      <c r="G181" s="17" t="n">
        <v>1349761</v>
      </c>
      <c r="H181" s="17" t="n">
        <v>106514</v>
      </c>
      <c r="I181" s="17" t="n">
        <v>6.62407088627748</v>
      </c>
      <c r="J181" s="17" t="n">
        <v>1241205</v>
      </c>
      <c r="K181" s="17" t="n">
        <v>1172455.6</v>
      </c>
      <c r="L181" s="17" t="n">
        <v>1231058</v>
      </c>
      <c r="M181" s="17" t="n">
        <v>1039935</v>
      </c>
      <c r="N181" s="17" t="n">
        <v>166333</v>
      </c>
      <c r="O181" s="17" t="n">
        <v>3017</v>
      </c>
      <c r="P181" s="17" t="n">
        <v>6143</v>
      </c>
      <c r="Q181" s="17" t="n">
        <v>3233</v>
      </c>
      <c r="R181" s="17" t="n">
        <v>0</v>
      </c>
      <c r="S181" s="17" t="n">
        <v>242</v>
      </c>
      <c r="T181" s="17" t="n">
        <v>242</v>
      </c>
      <c r="U181" s="17" t="n">
        <v>0.0206404404567644</v>
      </c>
      <c r="V181" s="17" t="n">
        <v>0</v>
      </c>
      <c r="W181" s="17" t="n">
        <v>0</v>
      </c>
      <c r="X181" s="17" t="n">
        <v>0</v>
      </c>
      <c r="Y181" s="17" t="n">
        <v>6228</v>
      </c>
      <c r="Z181" s="17" t="n">
        <v>0.399009983706452</v>
      </c>
      <c r="AA181" s="17" t="n">
        <v>5.35</v>
      </c>
      <c r="AB181" s="17" t="n">
        <v>3.0347031274041</v>
      </c>
      <c r="AC181" s="17" t="n">
        <v>0.817512014534263</v>
      </c>
      <c r="AD181" s="17" t="n">
        <v>0.06</v>
      </c>
      <c r="AE181" s="17" t="n">
        <v>0</v>
      </c>
      <c r="AF181" s="17" t="s">
        <v>241</v>
      </c>
      <c r="AG181" s="17" t="s">
        <v>232</v>
      </c>
      <c r="AH181" s="17" t="n">
        <v>0</v>
      </c>
    </row>
    <row r="182" customFormat="false" ht="15" hidden="false" customHeight="false" outlineLevel="0" collapsed="false">
      <c r="A182" s="17" t="n">
        <v>17749</v>
      </c>
      <c r="B182" s="23" t="n">
        <v>44926</v>
      </c>
      <c r="C182" s="17" t="s">
        <v>156</v>
      </c>
      <c r="D182" s="17" t="s">
        <v>108</v>
      </c>
      <c r="E182" s="17" t="n">
        <v>1276951</v>
      </c>
      <c r="F182" s="17" t="n">
        <v>1241917.6</v>
      </c>
      <c r="G182" s="17" t="n">
        <v>1055695</v>
      </c>
      <c r="H182" s="17" t="n">
        <v>150442</v>
      </c>
      <c r="I182" s="17" t="n">
        <v>11.7813447814364</v>
      </c>
      <c r="J182" s="17" t="n">
        <v>724813</v>
      </c>
      <c r="K182" s="17" t="n">
        <v>687911.8</v>
      </c>
      <c r="L182" s="17" t="n">
        <v>714813</v>
      </c>
      <c r="M182" s="17" t="n">
        <v>655371</v>
      </c>
      <c r="N182" s="17" t="n">
        <v>48423</v>
      </c>
      <c r="O182" s="17" t="n">
        <v>9983</v>
      </c>
      <c r="P182" s="17" t="n">
        <v>204</v>
      </c>
      <c r="Q182" s="17" t="n">
        <v>965</v>
      </c>
      <c r="R182" s="17" t="n">
        <v>0</v>
      </c>
      <c r="S182" s="17" t="n">
        <v>17</v>
      </c>
      <c r="T182" s="17" t="n">
        <v>17</v>
      </c>
      <c r="U182" s="17" t="n">
        <v>0.00247124704068167</v>
      </c>
      <c r="V182" s="17" t="n">
        <v>0</v>
      </c>
      <c r="W182" s="17" t="n">
        <v>0</v>
      </c>
      <c r="X182" s="17" t="n">
        <v>0</v>
      </c>
      <c r="Y182" s="17" t="n">
        <v>7863</v>
      </c>
      <c r="Z182" s="17" t="n">
        <v>0.633133792451287</v>
      </c>
      <c r="AA182" s="17" t="n">
        <v>4.96</v>
      </c>
      <c r="AB182" s="17" t="n">
        <v>2.95051816547678</v>
      </c>
      <c r="AC182" s="17" t="n">
        <v>1.37966620355871</v>
      </c>
      <c r="AD182" s="17" t="n">
        <v>0.05</v>
      </c>
      <c r="AE182" s="17" t="n">
        <v>1</v>
      </c>
      <c r="AF182" s="17" t="s">
        <v>241</v>
      </c>
      <c r="AG182" s="17" t="s">
        <v>232</v>
      </c>
      <c r="AH182" s="17" t="n">
        <v>1</v>
      </c>
    </row>
    <row r="183" customFormat="false" ht="15" hidden="false" customHeight="false" outlineLevel="0" collapsed="false">
      <c r="A183" s="17" t="n">
        <v>17751</v>
      </c>
      <c r="B183" s="23" t="n">
        <v>44926</v>
      </c>
      <c r="C183" s="17" t="s">
        <v>125</v>
      </c>
      <c r="D183" s="17" t="s">
        <v>108</v>
      </c>
      <c r="E183" s="17" t="n">
        <v>1450036</v>
      </c>
      <c r="F183" s="17" t="n">
        <v>1413364</v>
      </c>
      <c r="G183" s="17" t="n">
        <v>1265376</v>
      </c>
      <c r="H183" s="17" t="n">
        <v>125470</v>
      </c>
      <c r="I183" s="17" t="n">
        <v>8.65288861793776</v>
      </c>
      <c r="J183" s="17" t="n">
        <v>1210320</v>
      </c>
      <c r="K183" s="17" t="n">
        <v>1131890.4</v>
      </c>
      <c r="L183" s="17" t="n">
        <v>1195113</v>
      </c>
      <c r="M183" s="17" t="n">
        <v>1045931</v>
      </c>
      <c r="N183" s="17" t="n">
        <v>116008</v>
      </c>
      <c r="O183" s="17" t="n">
        <v>1809</v>
      </c>
      <c r="P183" s="17" t="n">
        <v>6987</v>
      </c>
      <c r="Q183" s="17" t="n">
        <v>2294</v>
      </c>
      <c r="R183" s="17" t="n">
        <v>0</v>
      </c>
      <c r="S183" s="17" t="n">
        <v>-458</v>
      </c>
      <c r="T183" s="17" t="n">
        <v>-458</v>
      </c>
      <c r="U183" s="17" t="n">
        <v>-0.0404632816039433</v>
      </c>
      <c r="V183" s="17" t="n">
        <v>155045</v>
      </c>
      <c r="W183" s="17" t="n">
        <v>1181283</v>
      </c>
      <c r="X183" s="17" t="n">
        <v>13.1251359750373</v>
      </c>
      <c r="Y183" s="17" t="n">
        <v>8181</v>
      </c>
      <c r="Z183" s="17" t="n">
        <v>0.57883178006515</v>
      </c>
      <c r="AA183" s="17" t="n">
        <v>6.4</v>
      </c>
      <c r="AB183" s="17" t="n">
        <v>3.25537988746412</v>
      </c>
      <c r="AC183" s="17" t="n">
        <v>1.25644457664089</v>
      </c>
      <c r="AD183" s="17" t="n">
        <v>0.23</v>
      </c>
      <c r="AE183" s="17" t="n">
        <v>1</v>
      </c>
      <c r="AF183" s="17" t="s">
        <v>241</v>
      </c>
      <c r="AG183" s="17" t="s">
        <v>232</v>
      </c>
      <c r="AH183" s="17" t="n">
        <v>0</v>
      </c>
    </row>
    <row r="184" customFormat="false" ht="15" hidden="false" customHeight="false" outlineLevel="0" collapsed="false">
      <c r="A184" s="17" t="n">
        <v>17897</v>
      </c>
      <c r="B184" s="23" t="n">
        <v>44926</v>
      </c>
      <c r="C184" s="17" t="s">
        <v>149</v>
      </c>
      <c r="D184" s="17" t="s">
        <v>108</v>
      </c>
      <c r="E184" s="17" t="n">
        <v>1640422</v>
      </c>
      <c r="F184" s="17" t="n">
        <v>1536014.2</v>
      </c>
      <c r="G184" s="17" t="n">
        <v>1346856</v>
      </c>
      <c r="H184" s="17" t="n">
        <v>195954</v>
      </c>
      <c r="I184" s="17" t="n">
        <v>11.9453408939895</v>
      </c>
      <c r="J184" s="17" t="n">
        <v>1382026</v>
      </c>
      <c r="K184" s="17" t="n">
        <v>1287080.6</v>
      </c>
      <c r="L184" s="17" t="n">
        <v>1373061</v>
      </c>
      <c r="M184" s="17" t="n">
        <v>1298561</v>
      </c>
      <c r="N184" s="17" t="n">
        <v>70885</v>
      </c>
      <c r="O184" s="17" t="n">
        <v>3472</v>
      </c>
      <c r="P184" s="17" t="n">
        <v>3315</v>
      </c>
      <c r="Q184" s="17" t="n">
        <v>2597</v>
      </c>
      <c r="R184" s="17" t="n">
        <v>0</v>
      </c>
      <c r="S184" s="17" t="n">
        <v>-94</v>
      </c>
      <c r="T184" s="17" t="n">
        <v>-94</v>
      </c>
      <c r="U184" s="17" t="n">
        <v>-0.00730334992229702</v>
      </c>
      <c r="V184" s="17" t="n">
        <v>0</v>
      </c>
      <c r="W184" s="17" t="n">
        <v>0</v>
      </c>
      <c r="X184" s="17" t="n">
        <v>0</v>
      </c>
      <c r="Y184" s="17" t="n">
        <v>4447</v>
      </c>
      <c r="Z184" s="17" t="n">
        <v>0.289515552655698</v>
      </c>
      <c r="AA184" s="17" t="n">
        <v>2.28</v>
      </c>
      <c r="AB184" s="17" t="n">
        <v>3.21087062819531</v>
      </c>
      <c r="AC184" s="17" t="n">
        <v>0.64868533587646</v>
      </c>
      <c r="AD184" s="17" t="n">
        <v>0.09</v>
      </c>
      <c r="AE184" s="17" t="n">
        <v>1</v>
      </c>
      <c r="AF184" s="17" t="s">
        <v>241</v>
      </c>
      <c r="AG184" s="17" t="s">
        <v>232</v>
      </c>
      <c r="AH184" s="17" t="n">
        <v>0</v>
      </c>
    </row>
    <row r="185" customFormat="false" ht="15" hidden="false" customHeight="false" outlineLevel="0" collapsed="false">
      <c r="A185" s="17" t="n">
        <v>17951</v>
      </c>
      <c r="B185" s="23" t="n">
        <v>44926</v>
      </c>
      <c r="C185" s="17" t="s">
        <v>136</v>
      </c>
      <c r="D185" s="17" t="s">
        <v>116</v>
      </c>
      <c r="E185" s="17" t="n">
        <v>761892</v>
      </c>
      <c r="F185" s="17" t="n">
        <v>723668.6</v>
      </c>
      <c r="G185" s="17" t="n">
        <v>670773</v>
      </c>
      <c r="H185" s="17" t="n">
        <v>55088</v>
      </c>
      <c r="I185" s="17" t="n">
        <v>7.23042110955359</v>
      </c>
      <c r="J185" s="17" t="n">
        <v>532569</v>
      </c>
      <c r="K185" s="17" t="n">
        <v>487968.2</v>
      </c>
      <c r="L185" s="17" t="n">
        <v>528227</v>
      </c>
      <c r="M185" s="17" t="n">
        <v>498217</v>
      </c>
      <c r="N185" s="17" t="n">
        <v>21098</v>
      </c>
      <c r="O185" s="17" t="n">
        <v>1648</v>
      </c>
      <c r="P185" s="17" t="n">
        <v>69</v>
      </c>
      <c r="Q185" s="17" t="n">
        <v>114</v>
      </c>
      <c r="R185" s="17" t="n">
        <v>0</v>
      </c>
      <c r="S185" s="17" t="n">
        <v>292</v>
      </c>
      <c r="T185" s="17" t="n">
        <v>292</v>
      </c>
      <c r="U185" s="17" t="n">
        <v>0.0598399649813246</v>
      </c>
      <c r="V185" s="17" t="n">
        <v>75713</v>
      </c>
      <c r="W185" s="17" t="n">
        <v>520027</v>
      </c>
      <c r="X185" s="17" t="n">
        <v>14.5594363369594</v>
      </c>
      <c r="Y185" s="17" t="n">
        <v>6932</v>
      </c>
      <c r="Z185" s="17" t="n">
        <v>0.957897026346038</v>
      </c>
      <c r="AA185" s="17" t="n">
        <v>12.35</v>
      </c>
      <c r="AB185" s="17" t="n">
        <v>3.1978524844161</v>
      </c>
      <c r="AC185" s="17" t="n">
        <v>0.815293417378781</v>
      </c>
      <c r="AD185" s="17" t="n">
        <v>0.12</v>
      </c>
      <c r="AE185" s="17" t="n">
        <v>1</v>
      </c>
      <c r="AF185" s="17" t="s">
        <v>241</v>
      </c>
      <c r="AG185" s="17" t="s">
        <v>232</v>
      </c>
      <c r="AH185" s="17" t="n">
        <v>0</v>
      </c>
    </row>
    <row r="186" customFormat="false" ht="15" hidden="false" customHeight="false" outlineLevel="0" collapsed="false">
      <c r="A186" s="17" t="n">
        <v>17960</v>
      </c>
      <c r="B186" s="23" t="n">
        <v>44926</v>
      </c>
      <c r="C186" s="17" t="s">
        <v>115</v>
      </c>
      <c r="D186" s="17" t="s">
        <v>116</v>
      </c>
      <c r="E186" s="17" t="n">
        <v>1317746</v>
      </c>
      <c r="F186" s="17" t="n">
        <v>1228134.6</v>
      </c>
      <c r="G186" s="17" t="n">
        <v>1042080</v>
      </c>
      <c r="H186" s="17" t="n">
        <v>104375</v>
      </c>
      <c r="I186" s="17" t="n">
        <v>7.92072220291316</v>
      </c>
      <c r="J186" s="17" t="n">
        <v>1117900</v>
      </c>
      <c r="K186" s="17" t="n">
        <v>1013705.2</v>
      </c>
      <c r="L186" s="17" t="n">
        <v>1107173</v>
      </c>
      <c r="M186" s="17" t="n">
        <v>810216</v>
      </c>
      <c r="N186" s="17" t="n">
        <v>105990</v>
      </c>
      <c r="O186" s="17" t="n">
        <v>197482</v>
      </c>
      <c r="P186" s="17" t="n">
        <v>789</v>
      </c>
      <c r="Q186" s="17" t="n">
        <v>2173</v>
      </c>
      <c r="R186" s="17" t="n">
        <v>901</v>
      </c>
      <c r="S186" s="17" t="n">
        <v>58</v>
      </c>
      <c r="T186" s="17" t="n">
        <v>58</v>
      </c>
      <c r="U186" s="17" t="n">
        <v>0.00572158453956831</v>
      </c>
      <c r="V186" s="17" t="n">
        <v>131525</v>
      </c>
      <c r="W186" s="17" t="n">
        <v>1032146</v>
      </c>
      <c r="X186" s="17" t="n">
        <v>12.7428677725826</v>
      </c>
      <c r="Y186" s="17" t="n">
        <v>9427</v>
      </c>
      <c r="Z186" s="17" t="n">
        <v>0.767586875249667</v>
      </c>
      <c r="AA186" s="17" t="n">
        <v>8.9</v>
      </c>
      <c r="AB186" s="17" t="n">
        <v>3.52927271699529</v>
      </c>
      <c r="AC186" s="17" t="n">
        <v>0.959567045352894</v>
      </c>
      <c r="AD186" s="17" t="n">
        <v>0.12</v>
      </c>
      <c r="AE186" s="17" t="n">
        <v>1</v>
      </c>
      <c r="AF186" s="17" t="s">
        <v>241</v>
      </c>
      <c r="AG186" s="17" t="s">
        <v>232</v>
      </c>
      <c r="AH186" s="17" t="n">
        <v>0</v>
      </c>
    </row>
    <row r="187" customFormat="false" ht="15" hidden="false" customHeight="false" outlineLevel="0" collapsed="false">
      <c r="A187" s="17" t="n">
        <v>18012</v>
      </c>
      <c r="B187" s="23" t="n">
        <v>44926</v>
      </c>
      <c r="C187" s="17" t="s">
        <v>148</v>
      </c>
      <c r="D187" s="17" t="s">
        <v>116</v>
      </c>
      <c r="E187" s="17" t="n">
        <v>2432022</v>
      </c>
      <c r="F187" s="17" t="n">
        <v>2376682.4</v>
      </c>
      <c r="G187" s="17" t="n">
        <v>2055299</v>
      </c>
      <c r="H187" s="17" t="n">
        <v>239523</v>
      </c>
      <c r="I187" s="17" t="n">
        <v>9.84871847376381</v>
      </c>
      <c r="J187" s="17" t="n">
        <v>1963339</v>
      </c>
      <c r="K187" s="17" t="n">
        <v>1863331</v>
      </c>
      <c r="L187" s="17" t="n">
        <v>1940541</v>
      </c>
      <c r="M187" s="17" t="n">
        <v>1858029</v>
      </c>
      <c r="N187" s="17" t="n">
        <v>45540</v>
      </c>
      <c r="O187" s="17" t="n">
        <v>34202</v>
      </c>
      <c r="P187" s="17" t="n">
        <v>1509</v>
      </c>
      <c r="Q187" s="17" t="n">
        <v>1590</v>
      </c>
      <c r="R187" s="17" t="n">
        <v>0</v>
      </c>
      <c r="S187" s="17" t="n">
        <v>51</v>
      </c>
      <c r="T187" s="17" t="n">
        <v>51</v>
      </c>
      <c r="U187" s="17" t="n">
        <v>0.0027370338388617</v>
      </c>
      <c r="V187" s="17" t="n">
        <v>278931</v>
      </c>
      <c r="W187" s="17" t="n">
        <v>2151978</v>
      </c>
      <c r="X187" s="17" t="n">
        <v>12.9616102023348</v>
      </c>
      <c r="Y187" s="17" t="n">
        <v>27283</v>
      </c>
      <c r="Z187" s="17" t="n">
        <v>1.14794471486809</v>
      </c>
      <c r="AA187" s="17" t="n">
        <v>11.52</v>
      </c>
      <c r="AB187" s="17" t="n">
        <v>3.56773617213357</v>
      </c>
      <c r="AC187" s="17" t="n">
        <v>1.16118510354045</v>
      </c>
      <c r="AD187" s="17" t="n">
        <v>0.01</v>
      </c>
      <c r="AE187" s="17" t="n">
        <v>1</v>
      </c>
      <c r="AF187" s="17" t="s">
        <v>314</v>
      </c>
      <c r="AG187" s="17" t="s">
        <v>232</v>
      </c>
      <c r="AH187" s="17" t="n">
        <v>0</v>
      </c>
    </row>
    <row r="188" customFormat="false" ht="15" hidden="false" customHeight="false" outlineLevel="0" collapsed="false">
      <c r="A188" s="17" t="n">
        <v>18013</v>
      </c>
      <c r="B188" s="23" t="n">
        <v>44926</v>
      </c>
      <c r="C188" s="17" t="s">
        <v>131</v>
      </c>
      <c r="D188" s="17" t="s">
        <v>116</v>
      </c>
      <c r="E188" s="17" t="n">
        <v>2733504</v>
      </c>
      <c r="F188" s="17" t="n">
        <v>2653166</v>
      </c>
      <c r="G188" s="17" t="n">
        <v>2369151</v>
      </c>
      <c r="H188" s="17" t="n">
        <v>202913</v>
      </c>
      <c r="I188" s="17" t="n">
        <v>7.42318284516869</v>
      </c>
      <c r="J188" s="17" t="n">
        <v>2169489</v>
      </c>
      <c r="K188" s="17" t="n">
        <v>2024614</v>
      </c>
      <c r="L188" s="17" t="n">
        <v>2150741</v>
      </c>
      <c r="M188" s="17" t="n">
        <v>1987119</v>
      </c>
      <c r="N188" s="17" t="n">
        <v>109331</v>
      </c>
      <c r="O188" s="17" t="n">
        <v>20430</v>
      </c>
      <c r="P188" s="17" t="n">
        <v>1584</v>
      </c>
      <c r="Q188" s="17" t="n">
        <v>2395</v>
      </c>
      <c r="R188" s="17" t="n">
        <v>62</v>
      </c>
      <c r="S188" s="17" t="n">
        <v>-34</v>
      </c>
      <c r="T188" s="17" t="n">
        <v>-34</v>
      </c>
      <c r="U188" s="17" t="n">
        <v>-0.00167933245547052</v>
      </c>
      <c r="V188" s="17" t="n">
        <v>257446</v>
      </c>
      <c r="W188" s="17" t="n">
        <v>1936423</v>
      </c>
      <c r="X188" s="17" t="n">
        <v>13.2949257471121</v>
      </c>
      <c r="Y188" s="17" t="n">
        <v>18847</v>
      </c>
      <c r="Z188" s="17" t="n">
        <v>0.710358869365882</v>
      </c>
      <c r="AA188" s="17" t="n">
        <v>9.11</v>
      </c>
      <c r="AB188" s="17" t="n">
        <v>3.17602118840462</v>
      </c>
      <c r="AC188" s="17" t="n">
        <v>0.864166630943969</v>
      </c>
      <c r="AD188" s="17" t="n">
        <v>0.01</v>
      </c>
      <c r="AE188" s="17" t="n">
        <v>1</v>
      </c>
      <c r="AF188" s="17" t="s">
        <v>314</v>
      </c>
      <c r="AG188" s="17" t="s">
        <v>232</v>
      </c>
      <c r="AH188" s="17" t="n">
        <v>0</v>
      </c>
    </row>
    <row r="189" customFormat="false" ht="15" hidden="false" customHeight="false" outlineLevel="0" collapsed="false">
      <c r="A189" s="17" t="n">
        <v>18028</v>
      </c>
      <c r="B189" s="23" t="n">
        <v>44926</v>
      </c>
      <c r="C189" s="17" t="s">
        <v>130</v>
      </c>
      <c r="D189" s="17" t="s">
        <v>116</v>
      </c>
      <c r="E189" s="17" t="n">
        <v>382131</v>
      </c>
      <c r="F189" s="17" t="n">
        <v>378113</v>
      </c>
      <c r="G189" s="17" t="n">
        <v>329968</v>
      </c>
      <c r="H189" s="17" t="n">
        <v>35637</v>
      </c>
      <c r="I189" s="17" t="n">
        <v>9.32585945657379</v>
      </c>
      <c r="J189" s="17" t="n">
        <v>252236</v>
      </c>
      <c r="K189" s="17" t="n">
        <v>238960.4</v>
      </c>
      <c r="L189" s="17" t="n">
        <v>249816</v>
      </c>
      <c r="M189" s="17" t="n">
        <v>218425</v>
      </c>
      <c r="N189" s="17" t="n">
        <v>18569</v>
      </c>
      <c r="O189" s="17" t="n">
        <v>8838</v>
      </c>
      <c r="P189" s="17" t="n">
        <v>1059</v>
      </c>
      <c r="Q189" s="17" t="n">
        <v>820</v>
      </c>
      <c r="R189" s="17" t="n">
        <v>456</v>
      </c>
      <c r="S189" s="17" t="n">
        <v>220</v>
      </c>
      <c r="T189" s="17" t="n">
        <v>220</v>
      </c>
      <c r="U189" s="17" t="n">
        <v>0.0920654635663482</v>
      </c>
      <c r="V189" s="17" t="n">
        <v>0</v>
      </c>
      <c r="W189" s="17" t="n">
        <v>0</v>
      </c>
      <c r="X189" s="17" t="n">
        <v>0</v>
      </c>
      <c r="Y189" s="17" t="n">
        <v>2554</v>
      </c>
      <c r="Z189" s="17" t="n">
        <v>0.675459452597504</v>
      </c>
      <c r="AA189" s="17" t="n">
        <v>6.48</v>
      </c>
      <c r="AB189" s="17" t="n">
        <v>3.44182797024617</v>
      </c>
      <c r="AC189" s="17" t="n">
        <v>0.959418956849934</v>
      </c>
      <c r="AD189" s="17" t="n">
        <v>0.1</v>
      </c>
      <c r="AE189" s="17" t="n">
        <v>1</v>
      </c>
      <c r="AF189" s="17" t="s">
        <v>241</v>
      </c>
      <c r="AG189" s="17" t="s">
        <v>232</v>
      </c>
      <c r="AH189" s="17" t="n">
        <v>0</v>
      </c>
    </row>
    <row r="190" customFormat="false" ht="15" hidden="false" customHeight="false" outlineLevel="0" collapsed="false">
      <c r="A190" s="17" t="n">
        <v>18030</v>
      </c>
      <c r="B190" s="23" t="n">
        <v>44926</v>
      </c>
      <c r="C190" s="17" t="s">
        <v>157</v>
      </c>
      <c r="D190" s="17" t="s">
        <v>116</v>
      </c>
      <c r="E190" s="17" t="n">
        <v>702716</v>
      </c>
      <c r="F190" s="17" t="n">
        <v>687677.4</v>
      </c>
      <c r="G190" s="17" t="n">
        <v>654989</v>
      </c>
      <c r="H190" s="17" t="n">
        <v>42204</v>
      </c>
      <c r="I190" s="17" t="n">
        <v>6.00584019717781</v>
      </c>
      <c r="J190" s="17" t="n">
        <v>551441</v>
      </c>
      <c r="K190" s="17" t="n">
        <v>513255</v>
      </c>
      <c r="L190" s="17" t="n">
        <v>545923</v>
      </c>
      <c r="M190" s="17" t="n">
        <v>430473</v>
      </c>
      <c r="N190" s="17" t="n">
        <v>34512</v>
      </c>
      <c r="O190" s="17" t="n">
        <v>86350</v>
      </c>
      <c r="P190" s="17" t="n">
        <v>822</v>
      </c>
      <c r="Q190" s="17" t="n">
        <v>415</v>
      </c>
      <c r="R190" s="17" t="n">
        <v>0</v>
      </c>
      <c r="S190" s="17" t="n">
        <v>172</v>
      </c>
      <c r="T190" s="17" t="n">
        <v>172</v>
      </c>
      <c r="U190" s="17" t="n">
        <v>0.0335116072907229</v>
      </c>
      <c r="V190" s="17" t="n">
        <v>62053</v>
      </c>
      <c r="W190" s="17" t="n">
        <v>478569</v>
      </c>
      <c r="X190" s="17" t="n">
        <v>12.9663643069234</v>
      </c>
      <c r="Y190" s="17" t="n">
        <v>2653</v>
      </c>
      <c r="Z190" s="17" t="n">
        <v>0.385791360891023</v>
      </c>
      <c r="AA190" s="17" t="n">
        <v>5.8</v>
      </c>
      <c r="AB190" s="17" t="n">
        <v>3.23438857231214</v>
      </c>
      <c r="AC190" s="17" t="n">
        <v>1.00065102159615</v>
      </c>
      <c r="AD190" s="17" t="n">
        <v>0.19</v>
      </c>
      <c r="AE190" s="17" t="n">
        <v>1</v>
      </c>
      <c r="AF190" s="17" t="s">
        <v>241</v>
      </c>
      <c r="AG190" s="17" t="s">
        <v>232</v>
      </c>
      <c r="AH190" s="17" t="n">
        <v>0</v>
      </c>
    </row>
    <row r="191" customFormat="false" ht="15" hidden="false" customHeight="false" outlineLevel="0" collapsed="false">
      <c r="A191" s="17" t="n">
        <v>18031</v>
      </c>
      <c r="B191" s="23" t="n">
        <v>44926</v>
      </c>
      <c r="C191" s="17" t="s">
        <v>152</v>
      </c>
      <c r="D191" s="17" t="s">
        <v>116</v>
      </c>
      <c r="E191" s="17" t="n">
        <v>648071</v>
      </c>
      <c r="F191" s="17" t="n">
        <v>635605</v>
      </c>
      <c r="G191" s="17" t="n">
        <v>582524</v>
      </c>
      <c r="H191" s="17" t="n">
        <v>35327</v>
      </c>
      <c r="I191" s="17" t="n">
        <v>5.45110026524872</v>
      </c>
      <c r="J191" s="17" t="n">
        <v>463179</v>
      </c>
      <c r="K191" s="17" t="n">
        <v>434993.6</v>
      </c>
      <c r="L191" s="17" t="n">
        <v>458902</v>
      </c>
      <c r="M191" s="17" t="n">
        <v>421449</v>
      </c>
      <c r="N191" s="17" t="n">
        <v>28982</v>
      </c>
      <c r="O191" s="17" t="n">
        <v>8276</v>
      </c>
      <c r="P191" s="17" t="n">
        <v>630</v>
      </c>
      <c r="Q191" s="17" t="n">
        <v>1137</v>
      </c>
      <c r="R191" s="17" t="n">
        <v>0</v>
      </c>
      <c r="S191" s="17" t="n">
        <v>6</v>
      </c>
      <c r="T191" s="17" t="n">
        <v>6</v>
      </c>
      <c r="U191" s="17" t="n">
        <v>0.00137933063842778</v>
      </c>
      <c r="V191" s="17" t="n">
        <v>61235</v>
      </c>
      <c r="W191" s="17" t="n">
        <v>374171</v>
      </c>
      <c r="X191" s="17" t="n">
        <v>16.3655120252505</v>
      </c>
      <c r="Y191" s="17" t="n">
        <v>4031</v>
      </c>
      <c r="Z191" s="17" t="n">
        <v>0.634198912846815</v>
      </c>
      <c r="AA191" s="17" t="n">
        <v>9.66</v>
      </c>
      <c r="AB191" s="17" t="n">
        <v>3.04436126621075</v>
      </c>
      <c r="AC191" s="17" t="n">
        <v>0.923401104108779</v>
      </c>
      <c r="AD191" s="17" t="n">
        <v>-0.12</v>
      </c>
      <c r="AE191" s="17" t="n">
        <v>0</v>
      </c>
      <c r="AF191" s="17" t="s">
        <v>241</v>
      </c>
      <c r="AG191" s="17" t="s">
        <v>232</v>
      </c>
      <c r="AH191" s="17" t="n">
        <v>0</v>
      </c>
    </row>
    <row r="192" customFormat="false" ht="15" hidden="false" customHeight="false" outlineLevel="0" collapsed="false">
      <c r="A192" s="17" t="n">
        <v>18038</v>
      </c>
      <c r="B192" s="23" t="n">
        <v>44926</v>
      </c>
      <c r="C192" s="17" t="s">
        <v>128</v>
      </c>
      <c r="D192" s="17" t="s">
        <v>116</v>
      </c>
      <c r="E192" s="17" t="n">
        <v>530980</v>
      </c>
      <c r="F192" s="17" t="n">
        <v>497448</v>
      </c>
      <c r="G192" s="17" t="n">
        <v>432649</v>
      </c>
      <c r="H192" s="17" t="n">
        <v>63947</v>
      </c>
      <c r="I192" s="17" t="n">
        <v>12.043203133828</v>
      </c>
      <c r="J192" s="17" t="n">
        <v>405123</v>
      </c>
      <c r="K192" s="17" t="n">
        <v>373871</v>
      </c>
      <c r="L192" s="17" t="n">
        <v>400869</v>
      </c>
      <c r="M192" s="17" t="n">
        <v>384424</v>
      </c>
      <c r="N192" s="17" t="n">
        <v>16994</v>
      </c>
      <c r="O192" s="17" t="n">
        <v>3229</v>
      </c>
      <c r="P192" s="17" t="n">
        <v>2186</v>
      </c>
      <c r="Q192" s="17" t="n">
        <v>3681</v>
      </c>
      <c r="R192" s="17" t="n">
        <v>0</v>
      </c>
      <c r="S192" s="17" t="n">
        <v>-169</v>
      </c>
      <c r="T192" s="17" t="n">
        <v>-169</v>
      </c>
      <c r="U192" s="17" t="n">
        <v>-0.0452027571007112</v>
      </c>
      <c r="V192" s="17" t="n">
        <v>0</v>
      </c>
      <c r="W192" s="17" t="n">
        <v>0</v>
      </c>
      <c r="X192" s="17" t="n">
        <v>0</v>
      </c>
      <c r="Y192" s="17" t="n">
        <v>-1404</v>
      </c>
      <c r="Z192" s="17" t="n">
        <v>-0.282240555796787</v>
      </c>
      <c r="AA192" s="17" t="n">
        <v>-2.12</v>
      </c>
      <c r="AB192" s="17" t="n">
        <v>3.1083634457838</v>
      </c>
      <c r="AC192" s="17" t="n">
        <v>1.05005146585111</v>
      </c>
      <c r="AD192" s="17" t="n">
        <v>-0.04</v>
      </c>
      <c r="AE192" s="17" t="n">
        <v>1</v>
      </c>
      <c r="AF192" s="17" t="s">
        <v>241</v>
      </c>
      <c r="AG192" s="17" t="s">
        <v>232</v>
      </c>
      <c r="AH192" s="17" t="n">
        <v>1</v>
      </c>
    </row>
    <row r="193" customFormat="false" ht="15" hidden="false" customHeight="false" outlineLevel="0" collapsed="false">
      <c r="A193" s="17" t="n">
        <v>18408</v>
      </c>
      <c r="B193" s="23" t="n">
        <v>44926</v>
      </c>
      <c r="C193" s="17" t="s">
        <v>107</v>
      </c>
      <c r="D193" s="17" t="s">
        <v>108</v>
      </c>
      <c r="E193" s="17" t="n">
        <v>7377141</v>
      </c>
      <c r="F193" s="17" t="n">
        <v>7091451.8</v>
      </c>
      <c r="G193" s="17" t="n">
        <v>5909658</v>
      </c>
      <c r="H193" s="17" t="n">
        <v>349062</v>
      </c>
      <c r="I193" s="17" t="n">
        <v>4.73167043980859</v>
      </c>
      <c r="J193" s="17" t="n">
        <v>4697324</v>
      </c>
      <c r="K193" s="17" t="n">
        <v>4272955.4</v>
      </c>
      <c r="L193" s="17" t="n">
        <v>4659427</v>
      </c>
      <c r="M193" s="17" t="n">
        <v>4276244</v>
      </c>
      <c r="N193" s="17" t="n">
        <v>320720</v>
      </c>
      <c r="O193" s="17" t="n">
        <v>29697</v>
      </c>
      <c r="P193" s="17" t="n">
        <v>5657</v>
      </c>
      <c r="Q193" s="17" t="n">
        <v>7442</v>
      </c>
      <c r="R193" s="17" t="n">
        <v>0</v>
      </c>
      <c r="S193" s="17" t="n">
        <v>246</v>
      </c>
      <c r="T193" s="17" t="n">
        <v>246</v>
      </c>
      <c r="U193" s="17" t="n">
        <v>0.00575713942626221</v>
      </c>
      <c r="V193" s="17" t="n">
        <v>568610</v>
      </c>
      <c r="W193" s="17" t="n">
        <v>4832472</v>
      </c>
      <c r="X193" s="17" t="n">
        <v>11.766441688643</v>
      </c>
      <c r="Y193" s="17" t="n">
        <v>51037</v>
      </c>
      <c r="Z193" s="17" t="n">
        <v>0.719697481409942</v>
      </c>
      <c r="AA193" s="17" t="n">
        <v>12.38</v>
      </c>
      <c r="AB193" s="17" t="n">
        <v>2.63715336998131</v>
      </c>
      <c r="AC193" s="17" t="n">
        <v>0.806778497714869</v>
      </c>
      <c r="AD193" s="17" t="n">
        <v>-0.16</v>
      </c>
      <c r="AE193" s="17" t="n">
        <v>1</v>
      </c>
      <c r="AF193" s="17" t="s">
        <v>241</v>
      </c>
      <c r="AG193" s="17" t="s">
        <v>232</v>
      </c>
      <c r="AH193" s="17" t="n">
        <v>0</v>
      </c>
    </row>
    <row r="194" customFormat="false" ht="15" hidden="false" customHeight="false" outlineLevel="0" collapsed="false">
      <c r="A194" s="17" t="n">
        <v>19531</v>
      </c>
      <c r="B194" s="23" t="n">
        <v>44926</v>
      </c>
      <c r="C194" s="17" t="s">
        <v>146</v>
      </c>
      <c r="D194" s="17" t="s">
        <v>108</v>
      </c>
      <c r="E194" s="17" t="n">
        <v>2360784</v>
      </c>
      <c r="F194" s="17" t="n">
        <v>2292578.2</v>
      </c>
      <c r="G194" s="17" t="n">
        <v>1966979</v>
      </c>
      <c r="H194" s="17" t="n">
        <v>223250</v>
      </c>
      <c r="I194" s="17" t="n">
        <v>9.45660424672482</v>
      </c>
      <c r="J194" s="17" t="n">
        <v>1885573</v>
      </c>
      <c r="K194" s="17" t="n">
        <v>1750936.2</v>
      </c>
      <c r="L194" s="17" t="n">
        <v>1862223</v>
      </c>
      <c r="M194" s="17" t="n">
        <v>1530116</v>
      </c>
      <c r="N194" s="17" t="n">
        <v>244556</v>
      </c>
      <c r="O194" s="17" t="n">
        <v>13770</v>
      </c>
      <c r="P194" s="17" t="n">
        <v>8354</v>
      </c>
      <c r="Q194" s="17" t="n">
        <v>8421</v>
      </c>
      <c r="R194" s="17" t="n">
        <v>0</v>
      </c>
      <c r="S194" s="17" t="n">
        <v>201</v>
      </c>
      <c r="T194" s="17" t="n">
        <v>201</v>
      </c>
      <c r="U194" s="17" t="n">
        <v>0.0114795730421246</v>
      </c>
      <c r="V194" s="17" t="n">
        <v>287733</v>
      </c>
      <c r="W194" s="17" t="n">
        <v>2003515</v>
      </c>
      <c r="X194" s="17" t="n">
        <v>14.3614098222374</v>
      </c>
      <c r="Y194" s="17" t="n">
        <v>16139</v>
      </c>
      <c r="Z194" s="17" t="n">
        <v>0.703967262708858</v>
      </c>
      <c r="AA194" s="17" t="n">
        <v>7.12</v>
      </c>
      <c r="AB194" s="17" t="n">
        <v>3.51497175830085</v>
      </c>
      <c r="AC194" s="17" t="n">
        <v>1.23835035822002</v>
      </c>
      <c r="AD194" s="17" t="n">
        <v>0</v>
      </c>
      <c r="AE194" s="17" t="n">
        <v>1</v>
      </c>
      <c r="AF194" s="17" t="s">
        <v>241</v>
      </c>
      <c r="AG194" s="17" t="s">
        <v>232</v>
      </c>
      <c r="AH194" s="17" t="n">
        <v>0</v>
      </c>
    </row>
    <row r="195" customFormat="false" ht="15" hidden="false" customHeight="false" outlineLevel="0" collapsed="false">
      <c r="A195" s="17" t="n">
        <v>19532</v>
      </c>
      <c r="B195" s="23" t="n">
        <v>44926</v>
      </c>
      <c r="C195" s="17" t="s">
        <v>164</v>
      </c>
      <c r="D195" s="17" t="s">
        <v>108</v>
      </c>
      <c r="E195" s="17" t="n">
        <v>774373</v>
      </c>
      <c r="F195" s="17" t="n">
        <v>771682.8</v>
      </c>
      <c r="G195" s="17" t="n">
        <v>673912</v>
      </c>
      <c r="H195" s="17" t="n">
        <v>87739</v>
      </c>
      <c r="I195" s="17" t="n">
        <v>11.3303278910809</v>
      </c>
      <c r="J195" s="17" t="n">
        <v>544282</v>
      </c>
      <c r="K195" s="17" t="n">
        <v>518125.8</v>
      </c>
      <c r="L195" s="17" t="n">
        <v>538421</v>
      </c>
      <c r="M195" s="17" t="n">
        <v>460817</v>
      </c>
      <c r="N195" s="17" t="n">
        <v>30200</v>
      </c>
      <c r="O195" s="17" t="n">
        <v>46433</v>
      </c>
      <c r="P195" s="17" t="n">
        <v>797</v>
      </c>
      <c r="Q195" s="17" t="n">
        <v>790</v>
      </c>
      <c r="R195" s="17" t="n">
        <v>0</v>
      </c>
      <c r="S195" s="17" t="n">
        <v>45</v>
      </c>
      <c r="T195" s="17" t="n">
        <v>45</v>
      </c>
      <c r="U195" s="17" t="n">
        <v>0.00868514943668121</v>
      </c>
      <c r="V195" s="17" t="n">
        <v>114793</v>
      </c>
      <c r="W195" s="17" t="n">
        <v>549654</v>
      </c>
      <c r="X195" s="17" t="n">
        <v>20.8845928529584</v>
      </c>
      <c r="Y195" s="17" t="n">
        <v>5576</v>
      </c>
      <c r="Z195" s="17" t="n">
        <v>0.722576685653743</v>
      </c>
      <c r="AA195" s="17" t="n">
        <v>6.05</v>
      </c>
      <c r="AB195" s="17" t="n">
        <v>3.35594796053323</v>
      </c>
      <c r="AC195" s="17" t="n">
        <v>1.07683149543803</v>
      </c>
      <c r="AD195" s="17" t="n">
        <v>0</v>
      </c>
      <c r="AE195" s="17" t="n">
        <v>1</v>
      </c>
      <c r="AF195" s="17" t="s">
        <v>241</v>
      </c>
      <c r="AG195" s="17" t="s">
        <v>232</v>
      </c>
      <c r="AH195" s="17" t="n">
        <v>1</v>
      </c>
    </row>
    <row r="196" customFormat="false" ht="15" hidden="false" customHeight="false" outlineLevel="0" collapsed="false">
      <c r="A196" s="17" t="n">
        <v>19690</v>
      </c>
      <c r="B196" s="23" t="n">
        <v>44926</v>
      </c>
      <c r="C196" s="17" t="s">
        <v>158</v>
      </c>
      <c r="D196" s="17" t="s">
        <v>108</v>
      </c>
      <c r="E196" s="17" t="n">
        <v>2809418</v>
      </c>
      <c r="F196" s="17" t="n">
        <v>1832238.2</v>
      </c>
      <c r="G196" s="17" t="n">
        <v>2251472</v>
      </c>
      <c r="H196" s="17" t="n">
        <v>263427</v>
      </c>
      <c r="I196" s="17" t="n">
        <v>9.37656838533817</v>
      </c>
      <c r="J196" s="17" t="n">
        <v>2504757</v>
      </c>
      <c r="K196" s="17" t="n">
        <v>1537470.4</v>
      </c>
      <c r="L196" s="17" t="n">
        <v>2498346</v>
      </c>
      <c r="M196" s="17" t="n">
        <v>2024933</v>
      </c>
      <c r="N196" s="17" t="n">
        <v>46473</v>
      </c>
      <c r="O196" s="17" t="n">
        <v>609</v>
      </c>
      <c r="P196" s="17" t="n">
        <v>12899</v>
      </c>
      <c r="Q196" s="17" t="n">
        <v>10727</v>
      </c>
      <c r="R196" s="17" t="n">
        <v>0</v>
      </c>
      <c r="S196" s="17" t="n">
        <v>-362</v>
      </c>
      <c r="T196" s="17" t="n">
        <v>-362</v>
      </c>
      <c r="U196" s="17" t="n">
        <v>-0.0235451687395087</v>
      </c>
      <c r="V196" s="17" t="n">
        <v>270253</v>
      </c>
      <c r="W196" s="17" t="n">
        <v>2433673</v>
      </c>
      <c r="X196" s="17" t="n">
        <v>11.1047375715636</v>
      </c>
      <c r="Y196" s="17" t="n">
        <v>40468</v>
      </c>
      <c r="Z196" s="17" t="n">
        <v>2.20866479041863</v>
      </c>
      <c r="AA196" s="17" t="n">
        <v>16.18</v>
      </c>
      <c r="AB196" s="17" t="n">
        <v>5.49030154110946</v>
      </c>
      <c r="AC196" s="17" t="n">
        <v>0.255952972683578</v>
      </c>
      <c r="AD196" s="17" t="n">
        <v>0</v>
      </c>
      <c r="AE196" s="17" t="n">
        <v>1</v>
      </c>
      <c r="AF196" s="17" t="s">
        <v>231</v>
      </c>
      <c r="AG196" s="17" t="s">
        <v>232</v>
      </c>
      <c r="AH196" s="17" t="n">
        <v>0</v>
      </c>
    </row>
    <row r="197" customFormat="false" ht="15" hidden="false" customHeight="false" outlineLevel="0" collapsed="false">
      <c r="A197" s="17" t="n">
        <v>19836</v>
      </c>
      <c r="B197" s="23" t="n">
        <v>44926</v>
      </c>
      <c r="C197" s="17" t="s">
        <v>136</v>
      </c>
      <c r="D197" s="17" t="s">
        <v>108</v>
      </c>
      <c r="E197" s="17" t="n">
        <v>578817</v>
      </c>
      <c r="F197" s="17" t="n">
        <v>570730.8</v>
      </c>
      <c r="G197" s="17" t="n">
        <v>445845</v>
      </c>
      <c r="H197" s="17" t="n">
        <v>116585</v>
      </c>
      <c r="I197" s="17" t="n">
        <v>20.1419446906363</v>
      </c>
      <c r="J197" s="17" t="n">
        <v>483136</v>
      </c>
      <c r="K197" s="17" t="n">
        <v>452079.2</v>
      </c>
      <c r="L197" s="17" t="n">
        <v>478823</v>
      </c>
      <c r="M197" s="17" t="n">
        <v>416786</v>
      </c>
      <c r="N197" s="17" t="n">
        <v>49718</v>
      </c>
      <c r="O197" s="17" t="n">
        <v>11831</v>
      </c>
      <c r="P197" s="17" t="n">
        <v>1681</v>
      </c>
      <c r="Q197" s="17" t="n">
        <v>2966</v>
      </c>
      <c r="R197" s="17" t="n">
        <v>106</v>
      </c>
      <c r="S197" s="17" t="n">
        <v>111</v>
      </c>
      <c r="T197" s="17" t="n">
        <v>111</v>
      </c>
      <c r="U197" s="17" t="n">
        <v>0.0245532198782868</v>
      </c>
      <c r="V197" s="17" t="n">
        <v>130121</v>
      </c>
      <c r="W197" s="17" t="n">
        <v>460126</v>
      </c>
      <c r="X197" s="17" t="n">
        <v>28.2794278089045</v>
      </c>
      <c r="Y197" s="17" t="n">
        <v>4770</v>
      </c>
      <c r="Z197" s="17" t="n">
        <v>0.83577055943012</v>
      </c>
      <c r="AA197" s="17" t="n">
        <v>4.14</v>
      </c>
      <c r="AB197" s="17" t="n">
        <v>4.22369418469126</v>
      </c>
      <c r="AC197" s="17" t="n">
        <v>0.892709299244933</v>
      </c>
      <c r="AD197" s="17" t="n">
        <v>0.09</v>
      </c>
      <c r="AE197" s="17" t="n">
        <v>1</v>
      </c>
      <c r="AF197" s="17" t="s">
        <v>314</v>
      </c>
      <c r="AG197" s="17" t="s">
        <v>232</v>
      </c>
      <c r="AH197" s="17" t="n">
        <v>0</v>
      </c>
    </row>
    <row r="198" customFormat="false" ht="15" hidden="false" customHeight="false" outlineLevel="0" collapsed="false">
      <c r="A198" s="17" t="n">
        <v>24540</v>
      </c>
      <c r="B198" s="23" t="n">
        <v>44926</v>
      </c>
      <c r="C198" s="17" t="s">
        <v>163</v>
      </c>
      <c r="D198" s="17" t="s">
        <v>116</v>
      </c>
      <c r="E198" s="17" t="n">
        <v>1260196</v>
      </c>
      <c r="F198" s="17" t="n">
        <v>1239909</v>
      </c>
      <c r="G198" s="17" t="n">
        <v>1017970</v>
      </c>
      <c r="H198" s="17" t="n">
        <v>214985</v>
      </c>
      <c r="I198" s="17" t="n">
        <v>17.0596478643005</v>
      </c>
      <c r="J198" s="17" t="n">
        <v>1087189</v>
      </c>
      <c r="K198" s="17" t="n">
        <v>1062049.4</v>
      </c>
      <c r="L198" s="17" t="n">
        <v>1073926</v>
      </c>
      <c r="M198" s="17" t="n">
        <v>1047480</v>
      </c>
      <c r="N198" s="17" t="n">
        <v>42837</v>
      </c>
      <c r="O198" s="17" t="n">
        <v>32</v>
      </c>
      <c r="P198" s="17" t="n">
        <v>372</v>
      </c>
      <c r="Q198" s="17" t="n">
        <v>2026</v>
      </c>
      <c r="R198" s="17" t="n">
        <v>0</v>
      </c>
      <c r="S198" s="17" t="n">
        <v>-15</v>
      </c>
      <c r="T198" s="17" t="n">
        <v>-15</v>
      </c>
      <c r="U198" s="17" t="n">
        <v>-0.00141236368101145</v>
      </c>
      <c r="V198" s="17" t="n">
        <v>0</v>
      </c>
      <c r="W198" s="17" t="n">
        <v>0</v>
      </c>
      <c r="X198" s="17" t="n">
        <v>0</v>
      </c>
      <c r="Y198" s="17" t="n">
        <v>30366</v>
      </c>
      <c r="Z198" s="17" t="n">
        <v>2.4490506964624</v>
      </c>
      <c r="AA198" s="17" t="n">
        <v>15.2</v>
      </c>
      <c r="AB198" s="17" t="n">
        <v>4.74422673868285</v>
      </c>
      <c r="AC198" s="17" t="n">
        <v>1.21993508028503</v>
      </c>
      <c r="AD198" s="17" t="n">
        <v>0.05</v>
      </c>
      <c r="AE198" s="17" t="n">
        <v>1</v>
      </c>
      <c r="AF198" s="17" t="s">
        <v>231</v>
      </c>
      <c r="AG198" s="17" t="s">
        <v>232</v>
      </c>
      <c r="AH198" s="17" t="n">
        <v>0</v>
      </c>
    </row>
    <row r="199" customFormat="false" ht="15" hidden="false" customHeight="false" outlineLevel="0" collapsed="false">
      <c r="A199" s="17" t="n">
        <v>27824</v>
      </c>
      <c r="B199" s="23" t="n">
        <v>44926</v>
      </c>
      <c r="C199" s="17" t="s">
        <v>117</v>
      </c>
      <c r="D199" s="17" t="s">
        <v>116</v>
      </c>
      <c r="E199" s="17" t="n">
        <v>487232</v>
      </c>
      <c r="F199" s="17" t="n">
        <v>467942.8</v>
      </c>
      <c r="G199" s="17" t="n">
        <v>385881</v>
      </c>
      <c r="H199" s="17" t="n">
        <v>66059</v>
      </c>
      <c r="I199" s="17" t="n">
        <v>13.558017535794</v>
      </c>
      <c r="J199" s="17" t="n">
        <v>403625</v>
      </c>
      <c r="K199" s="17" t="n">
        <v>377165.8</v>
      </c>
      <c r="L199" s="17" t="n">
        <v>400511</v>
      </c>
      <c r="M199" s="17" t="n">
        <v>342567</v>
      </c>
      <c r="N199" s="17" t="n">
        <v>21116</v>
      </c>
      <c r="O199" s="17" t="n">
        <v>39942</v>
      </c>
      <c r="P199" s="17" t="n">
        <v>881</v>
      </c>
      <c r="Q199" s="17" t="n">
        <v>967</v>
      </c>
      <c r="R199" s="17" t="n">
        <v>0</v>
      </c>
      <c r="S199" s="17" t="n">
        <v>58</v>
      </c>
      <c r="T199" s="17" t="n">
        <v>58</v>
      </c>
      <c r="U199" s="17" t="n">
        <v>0.0153778523927673</v>
      </c>
      <c r="V199" s="17" t="n">
        <v>75143</v>
      </c>
      <c r="W199" s="17" t="n">
        <v>325336</v>
      </c>
      <c r="X199" s="17" t="n">
        <v>23.0970442865222</v>
      </c>
      <c r="Y199" s="17" t="n">
        <v>1150</v>
      </c>
      <c r="Z199" s="17" t="n">
        <v>0.24575653263604</v>
      </c>
      <c r="AA199" s="17" t="n">
        <v>1.69</v>
      </c>
      <c r="AB199" s="17" t="n">
        <v>2.83552534330862</v>
      </c>
      <c r="AC199" s="17" t="n">
        <v>0.771508206875194</v>
      </c>
      <c r="AD199" s="17" t="n">
        <v>0.02</v>
      </c>
      <c r="AE199" s="17" t="n">
        <v>1</v>
      </c>
      <c r="AF199" s="17" t="s">
        <v>354</v>
      </c>
      <c r="AG199" s="17" t="s">
        <v>232</v>
      </c>
      <c r="AH199" s="17" t="n">
        <v>1</v>
      </c>
    </row>
    <row r="200" customFormat="false" ht="15" hidden="false" customHeight="false" outlineLevel="0" collapsed="false">
      <c r="A200" s="17" t="n">
        <v>28155</v>
      </c>
      <c r="B200" s="23" t="n">
        <v>44926</v>
      </c>
      <c r="C200" s="17" t="s">
        <v>150</v>
      </c>
      <c r="D200" s="17" t="s">
        <v>116</v>
      </c>
      <c r="E200" s="17" t="n">
        <v>297675</v>
      </c>
      <c r="F200" s="17" t="n">
        <v>294520.4</v>
      </c>
      <c r="G200" s="17" t="n">
        <v>258019</v>
      </c>
      <c r="H200" s="17" t="n">
        <v>27626</v>
      </c>
      <c r="I200" s="17" t="n">
        <v>9.28059124884522</v>
      </c>
      <c r="J200" s="17" t="n">
        <v>158085</v>
      </c>
      <c r="K200" s="17" t="n">
        <v>151208.4</v>
      </c>
      <c r="L200" s="17" t="n">
        <v>157171</v>
      </c>
      <c r="M200" s="17" t="n">
        <v>146082</v>
      </c>
      <c r="N200" s="17" t="n">
        <v>6284</v>
      </c>
      <c r="O200" s="17" t="n">
        <v>5033</v>
      </c>
      <c r="P200" s="17" t="n">
        <v>67</v>
      </c>
      <c r="Q200" s="17" t="n">
        <v>732</v>
      </c>
      <c r="R200" s="17" t="n">
        <v>0</v>
      </c>
      <c r="S200" s="17" t="n">
        <v>5</v>
      </c>
      <c r="T200" s="17" t="n">
        <v>5</v>
      </c>
      <c r="U200" s="17" t="n">
        <v>0.00330669460162266</v>
      </c>
      <c r="V200" s="17" t="n">
        <v>29261</v>
      </c>
      <c r="W200" s="17" t="n">
        <v>160834</v>
      </c>
      <c r="X200" s="17" t="n">
        <v>18.1932924630364</v>
      </c>
      <c r="Y200" s="17" t="n">
        <v>380</v>
      </c>
      <c r="Z200" s="17" t="n">
        <v>0.129023320625668</v>
      </c>
      <c r="AA200" s="17" t="n">
        <v>1.38</v>
      </c>
      <c r="AB200" s="17" t="n">
        <v>2.77876474751211</v>
      </c>
      <c r="AC200" s="17" t="n">
        <v>0.578169971850587</v>
      </c>
      <c r="AD200" s="17" t="n">
        <v>0.03</v>
      </c>
      <c r="AE200" s="17" t="n">
        <v>1</v>
      </c>
      <c r="AF200" s="17" t="s">
        <v>314</v>
      </c>
      <c r="AG200" s="17" t="s">
        <v>232</v>
      </c>
      <c r="AH200" s="17" t="n">
        <v>0</v>
      </c>
    </row>
    <row r="201" customFormat="false" ht="15" hidden="false" customHeight="false" outlineLevel="0" collapsed="false">
      <c r="A201" s="17" t="n">
        <v>28288</v>
      </c>
      <c r="B201" s="23" t="n">
        <v>44926</v>
      </c>
      <c r="C201" s="17" t="s">
        <v>124</v>
      </c>
      <c r="D201" s="17" t="s">
        <v>108</v>
      </c>
      <c r="E201" s="17" t="n">
        <v>101567</v>
      </c>
      <c r="F201" s="17" t="n">
        <v>96705.2</v>
      </c>
      <c r="G201" s="17" t="n">
        <v>81268</v>
      </c>
      <c r="H201" s="17" t="n">
        <v>5901</v>
      </c>
      <c r="I201" s="17" t="n">
        <v>5.80995795878583</v>
      </c>
      <c r="J201" s="17" t="n">
        <v>78728</v>
      </c>
      <c r="K201" s="17" t="n">
        <v>76140.6</v>
      </c>
      <c r="L201" s="17" t="n">
        <v>77866</v>
      </c>
      <c r="M201" s="17" t="n">
        <v>74650</v>
      </c>
      <c r="N201" s="17" t="n">
        <v>3446</v>
      </c>
      <c r="O201" s="17" t="n">
        <v>633</v>
      </c>
      <c r="P201" s="17" t="n">
        <v>364</v>
      </c>
      <c r="Q201" s="17" t="n">
        <v>54</v>
      </c>
      <c r="R201" s="17" t="n">
        <v>0</v>
      </c>
      <c r="S201" s="17" t="n">
        <v>45</v>
      </c>
      <c r="T201" s="17" t="n">
        <v>45</v>
      </c>
      <c r="U201" s="17" t="n">
        <v>0.059101189115925</v>
      </c>
      <c r="V201" s="17" t="n">
        <v>8888</v>
      </c>
      <c r="W201" s="17" t="n">
        <v>65055</v>
      </c>
      <c r="X201" s="17" t="n">
        <v>13.6622857582046</v>
      </c>
      <c r="Y201" s="17" t="n">
        <v>95</v>
      </c>
      <c r="Z201" s="17" t="n">
        <v>0.0982367028867114</v>
      </c>
      <c r="AA201" s="17" t="n">
        <v>1.43</v>
      </c>
      <c r="AB201" s="17" t="n">
        <v>3.46738373105731</v>
      </c>
      <c r="AC201" s="17" t="n">
        <v>1.09490905395793</v>
      </c>
      <c r="AD201" s="17" t="n">
        <v>0.04</v>
      </c>
      <c r="AE201" s="17" t="n">
        <v>1</v>
      </c>
      <c r="AF201" s="17" t="s">
        <v>361</v>
      </c>
      <c r="AG201" s="17" t="s">
        <v>211</v>
      </c>
      <c r="AH201" s="17" t="n">
        <v>0</v>
      </c>
    </row>
    <row r="202" customFormat="false" ht="15" hidden="false" customHeight="false" outlineLevel="0" collapsed="false">
      <c r="A202" s="17" t="n">
        <v>28369</v>
      </c>
      <c r="B202" s="23" t="n">
        <v>44926</v>
      </c>
      <c r="C202" s="17" t="s">
        <v>145</v>
      </c>
      <c r="D202" s="17" t="s">
        <v>108</v>
      </c>
      <c r="E202" s="17" t="n">
        <v>86156</v>
      </c>
      <c r="F202" s="17" t="n">
        <v>86849.4</v>
      </c>
      <c r="G202" s="17" t="n">
        <v>76209</v>
      </c>
      <c r="H202" s="17" t="n">
        <v>9537</v>
      </c>
      <c r="I202" s="17" t="n">
        <v>11.069455406472</v>
      </c>
      <c r="J202" s="17" t="n">
        <v>73364</v>
      </c>
      <c r="K202" s="17" t="n">
        <v>73388.2</v>
      </c>
      <c r="L202" s="17" t="n">
        <v>72816</v>
      </c>
      <c r="M202" s="17" t="n">
        <v>62199</v>
      </c>
      <c r="N202" s="17" t="n">
        <v>10376</v>
      </c>
      <c r="O202" s="17" t="n">
        <v>789</v>
      </c>
      <c r="P202" s="17" t="n">
        <v>243</v>
      </c>
      <c r="Q202" s="17" t="n">
        <v>299</v>
      </c>
      <c r="R202" s="17" t="n">
        <v>0</v>
      </c>
      <c r="S202" s="17" t="n">
        <v>-9</v>
      </c>
      <c r="T202" s="17" t="n">
        <v>-9</v>
      </c>
      <c r="U202" s="17" t="n">
        <v>-0.0122635519061648</v>
      </c>
      <c r="V202" s="17" t="n">
        <v>0</v>
      </c>
      <c r="W202" s="17" t="n">
        <v>0</v>
      </c>
      <c r="X202" s="17" t="n">
        <v>0</v>
      </c>
      <c r="Y202" s="17" t="n">
        <v>105</v>
      </c>
      <c r="Z202" s="17" t="n">
        <v>0.120898935398517</v>
      </c>
      <c r="AA202" s="17" t="n">
        <v>1.11</v>
      </c>
      <c r="AB202" s="17" t="n">
        <v>3.68178301928101</v>
      </c>
      <c r="AC202" s="17" t="n">
        <v>0.746960362030424</v>
      </c>
      <c r="AD202" s="17" t="n">
        <v>-0.01</v>
      </c>
      <c r="AE202" s="17" t="n">
        <v>1</v>
      </c>
      <c r="AF202" s="17" t="s">
        <v>361</v>
      </c>
      <c r="AG202" s="17" t="s">
        <v>211</v>
      </c>
      <c r="AH202" s="17" t="n">
        <v>1</v>
      </c>
    </row>
    <row r="203" customFormat="false" ht="15" hidden="false" customHeight="false" outlineLevel="0" collapsed="false">
      <c r="A203" s="17" t="n">
        <v>28837</v>
      </c>
      <c r="B203" s="23" t="n">
        <v>44926</v>
      </c>
      <c r="C203" s="17" t="s">
        <v>142</v>
      </c>
      <c r="D203" s="17" t="s">
        <v>113</v>
      </c>
      <c r="E203" s="17" t="n">
        <v>309393</v>
      </c>
      <c r="F203" s="17" t="n">
        <v>302416.4</v>
      </c>
      <c r="G203" s="17" t="n">
        <v>282476</v>
      </c>
      <c r="H203" s="17" t="n">
        <v>23557</v>
      </c>
      <c r="I203" s="17" t="n">
        <v>7.61394084546192</v>
      </c>
      <c r="J203" s="17" t="n">
        <v>188508</v>
      </c>
      <c r="K203" s="17" t="n">
        <v>189445.8</v>
      </c>
      <c r="L203" s="17" t="n">
        <v>186207</v>
      </c>
      <c r="M203" s="17" t="n">
        <v>179883</v>
      </c>
      <c r="N203" s="17" t="n">
        <v>6121</v>
      </c>
      <c r="O203" s="17" t="n">
        <v>1547</v>
      </c>
      <c r="P203" s="17" t="n">
        <v>19</v>
      </c>
      <c r="Q203" s="17" t="n">
        <v>480</v>
      </c>
      <c r="R203" s="17" t="n">
        <v>0</v>
      </c>
      <c r="S203" s="17" t="n">
        <v>117</v>
      </c>
      <c r="T203" s="17" t="n">
        <v>117</v>
      </c>
      <c r="U203" s="17" t="n">
        <v>0.0617590888792467</v>
      </c>
      <c r="V203" s="17" t="n">
        <v>23829</v>
      </c>
      <c r="W203" s="17" t="n">
        <v>154672</v>
      </c>
      <c r="X203" s="17" t="n">
        <v>15.4061497879384</v>
      </c>
      <c r="Y203" s="17" t="n">
        <v>1776</v>
      </c>
      <c r="Z203" s="17" t="n">
        <v>0.587269738016854</v>
      </c>
      <c r="AA203" s="17" t="n">
        <v>7.87</v>
      </c>
      <c r="AB203" s="17" t="n">
        <v>3.00954600230921</v>
      </c>
      <c r="AC203" s="17" t="n">
        <v>1.22063785091349</v>
      </c>
      <c r="AD203" s="17" t="n">
        <v>0.04</v>
      </c>
      <c r="AE203" s="17" t="n">
        <v>1</v>
      </c>
      <c r="AF203" s="17" t="s">
        <v>314</v>
      </c>
      <c r="AG203" s="17" t="s">
        <v>232</v>
      </c>
      <c r="AH203" s="17" t="n">
        <v>1</v>
      </c>
    </row>
    <row r="204" customFormat="false" ht="15" hidden="false" customHeight="false" outlineLevel="0" collapsed="false">
      <c r="A204" s="17" t="n">
        <v>29636</v>
      </c>
      <c r="B204" s="23" t="n">
        <v>44926</v>
      </c>
      <c r="C204" s="17" t="s">
        <v>123</v>
      </c>
      <c r="D204" s="17" t="s">
        <v>108</v>
      </c>
      <c r="E204" s="17" t="n">
        <v>181529</v>
      </c>
      <c r="F204" s="17" t="n">
        <v>180851</v>
      </c>
      <c r="G204" s="17" t="n">
        <v>149099</v>
      </c>
      <c r="H204" s="17" t="n">
        <v>24331</v>
      </c>
      <c r="I204" s="17" t="n">
        <v>13.4033680568945</v>
      </c>
      <c r="J204" s="17" t="n">
        <v>125359</v>
      </c>
      <c r="K204" s="17" t="n">
        <v>114223</v>
      </c>
      <c r="L204" s="17" t="n">
        <v>123566</v>
      </c>
      <c r="M204" s="17" t="n">
        <v>121892</v>
      </c>
      <c r="N204" s="17" t="n">
        <v>1648</v>
      </c>
      <c r="O204" s="17" t="n">
        <v>1819</v>
      </c>
      <c r="P204" s="17" t="n">
        <v>2260</v>
      </c>
      <c r="Q204" s="17" t="n">
        <v>2724</v>
      </c>
      <c r="R204" s="17" t="n">
        <v>0</v>
      </c>
      <c r="S204" s="17" t="n">
        <v>-42</v>
      </c>
      <c r="T204" s="17" t="n">
        <v>-42</v>
      </c>
      <c r="U204" s="17" t="n">
        <v>-0.0367701776349772</v>
      </c>
      <c r="V204" s="17" t="n">
        <v>26497</v>
      </c>
      <c r="W204" s="17" t="n">
        <v>96322</v>
      </c>
      <c r="X204" s="17" t="n">
        <v>27.508772658375</v>
      </c>
      <c r="Y204" s="17" t="n">
        <v>653</v>
      </c>
      <c r="Z204" s="17" t="n">
        <v>0.361070715672017</v>
      </c>
      <c r="AA204" s="17" t="n">
        <v>2.71</v>
      </c>
      <c r="AB204" s="17" t="n">
        <v>3.34702562270041</v>
      </c>
      <c r="AC204" s="17" t="n">
        <v>1.4302922007993</v>
      </c>
      <c r="AD204" s="17" t="n">
        <v>0.05</v>
      </c>
      <c r="AE204" s="17" t="n">
        <v>1</v>
      </c>
      <c r="AF204" s="17" t="s">
        <v>361</v>
      </c>
      <c r="AG204" s="17" t="s">
        <v>211</v>
      </c>
      <c r="AH204" s="17" t="n">
        <v>1</v>
      </c>
    </row>
    <row r="205" customFormat="false" ht="15" hidden="false" customHeight="false" outlineLevel="0" collapsed="false">
      <c r="A205" s="17" t="n">
        <v>29743</v>
      </c>
      <c r="B205" s="23" t="n">
        <v>44926</v>
      </c>
      <c r="C205" s="17" t="s">
        <v>140</v>
      </c>
      <c r="D205" s="17" t="s">
        <v>108</v>
      </c>
      <c r="E205" s="17" t="n">
        <v>185569</v>
      </c>
      <c r="F205" s="17" t="n">
        <v>178318.2</v>
      </c>
      <c r="G205" s="17" t="n">
        <v>165554</v>
      </c>
      <c r="H205" s="17" t="n">
        <v>15292</v>
      </c>
      <c r="I205" s="17" t="n">
        <v>8.24060053133875</v>
      </c>
      <c r="J205" s="17" t="n">
        <v>123871</v>
      </c>
      <c r="K205" s="17" t="n">
        <v>119607.8</v>
      </c>
      <c r="L205" s="17" t="n">
        <v>123469</v>
      </c>
      <c r="M205" s="17" t="n">
        <v>81025</v>
      </c>
      <c r="N205" s="17" t="n">
        <v>22468</v>
      </c>
      <c r="O205" s="17" t="n">
        <v>20308</v>
      </c>
      <c r="P205" s="17" t="n">
        <v>643</v>
      </c>
      <c r="Q205" s="17" t="n">
        <v>910</v>
      </c>
      <c r="R205" s="17" t="n">
        <v>0</v>
      </c>
      <c r="S205" s="17" t="n">
        <v>128</v>
      </c>
      <c r="T205" s="17" t="n">
        <v>128</v>
      </c>
      <c r="U205" s="17" t="n">
        <v>0.107016432038713</v>
      </c>
      <c r="V205" s="17" t="n">
        <v>18738</v>
      </c>
      <c r="W205" s="17" t="n">
        <v>105181</v>
      </c>
      <c r="X205" s="17" t="n">
        <v>17.815004611099</v>
      </c>
      <c r="Y205" s="17" t="n">
        <v>1391</v>
      </c>
      <c r="Z205" s="17" t="n">
        <v>0.780066196271609</v>
      </c>
      <c r="AA205" s="17" t="n">
        <v>9.16</v>
      </c>
      <c r="AB205" s="17" t="n">
        <v>2.65814854829539</v>
      </c>
      <c r="AC205" s="17" t="n">
        <v>0.324531165486676</v>
      </c>
      <c r="AD205" s="17" t="n">
        <v>0</v>
      </c>
      <c r="AE205" s="17" t="n">
        <v>1</v>
      </c>
      <c r="AF205" s="17" t="s">
        <v>354</v>
      </c>
      <c r="AG205" s="17" t="s">
        <v>211</v>
      </c>
      <c r="AH205" s="17" t="n">
        <v>0</v>
      </c>
    </row>
    <row r="206" customFormat="false" ht="15" hidden="false" customHeight="false" outlineLevel="0" collapsed="false">
      <c r="A206" s="17" t="n">
        <v>29744</v>
      </c>
      <c r="B206" s="23" t="n">
        <v>44926</v>
      </c>
      <c r="C206" s="17" t="s">
        <v>137</v>
      </c>
      <c r="D206" s="17" t="s">
        <v>116</v>
      </c>
      <c r="E206" s="17" t="n">
        <v>537395</v>
      </c>
      <c r="F206" s="17" t="n">
        <v>511710.2</v>
      </c>
      <c r="G206" s="17" t="n">
        <v>393417</v>
      </c>
      <c r="H206" s="17" t="n">
        <v>39950</v>
      </c>
      <c r="I206" s="17" t="n">
        <v>7.43401036481545</v>
      </c>
      <c r="J206" s="17" t="n">
        <v>402003</v>
      </c>
      <c r="K206" s="17" t="n">
        <v>387640.8</v>
      </c>
      <c r="L206" s="17" t="n">
        <v>398423</v>
      </c>
      <c r="M206" s="17" t="n">
        <v>369776</v>
      </c>
      <c r="N206" s="17" t="n">
        <v>24059</v>
      </c>
      <c r="O206" s="17" t="n">
        <v>8168</v>
      </c>
      <c r="P206" s="17" t="n">
        <v>89</v>
      </c>
      <c r="Q206" s="17" t="n">
        <v>13</v>
      </c>
      <c r="R206" s="17" t="n">
        <v>0</v>
      </c>
      <c r="S206" s="17" t="n">
        <v>10</v>
      </c>
      <c r="T206" s="17" t="n">
        <v>10</v>
      </c>
      <c r="U206" s="17" t="n">
        <v>0.00257970781197439</v>
      </c>
      <c r="V206" s="17" t="n">
        <v>52475</v>
      </c>
      <c r="W206" s="17" t="n">
        <v>337846</v>
      </c>
      <c r="X206" s="17" t="n">
        <v>15.5322247414503</v>
      </c>
      <c r="Y206" s="17" t="n">
        <v>-499</v>
      </c>
      <c r="Z206" s="17" t="n">
        <v>-0.0975161331550553</v>
      </c>
      <c r="AA206" s="17" t="n">
        <v>-1.14</v>
      </c>
      <c r="AB206" s="17" t="n">
        <v>3.10480213755178</v>
      </c>
      <c r="AC206" s="17" t="n">
        <v>0.890540617856086</v>
      </c>
      <c r="AD206" s="17" t="n">
        <v>0</v>
      </c>
      <c r="AE206" s="17" t="n">
        <v>1</v>
      </c>
      <c r="AF206" s="17" t="s">
        <v>361</v>
      </c>
      <c r="AG206" s="17" t="s">
        <v>211</v>
      </c>
      <c r="AH206" s="17" t="n">
        <v>0</v>
      </c>
    </row>
    <row r="207" customFormat="false" ht="15" hidden="false" customHeight="false" outlineLevel="0" collapsed="false">
      <c r="A207" s="17" t="n">
        <v>30350</v>
      </c>
      <c r="B207" s="23" t="n">
        <v>44926</v>
      </c>
      <c r="C207" s="17" t="s">
        <v>154</v>
      </c>
      <c r="D207" s="17" t="s">
        <v>113</v>
      </c>
      <c r="E207" s="17" t="n">
        <v>551789</v>
      </c>
      <c r="F207" s="17" t="n">
        <v>547574.2</v>
      </c>
      <c r="G207" s="17" t="n">
        <v>463644</v>
      </c>
      <c r="H207" s="17" t="n">
        <v>51142</v>
      </c>
      <c r="I207" s="17" t="n">
        <v>9.26839788397377</v>
      </c>
      <c r="J207" s="17" t="n">
        <v>392714</v>
      </c>
      <c r="K207" s="17" t="n">
        <v>374979.6</v>
      </c>
      <c r="L207" s="17" t="n">
        <v>387605</v>
      </c>
      <c r="M207" s="17" t="n">
        <v>373732</v>
      </c>
      <c r="N207" s="17" t="n">
        <v>16386</v>
      </c>
      <c r="O207" s="17" t="n">
        <v>1149</v>
      </c>
      <c r="P207" s="17" t="n">
        <v>1476</v>
      </c>
      <c r="Q207" s="17" t="n">
        <v>909</v>
      </c>
      <c r="R207" s="17" t="n">
        <v>0</v>
      </c>
      <c r="S207" s="17" t="n">
        <v>194</v>
      </c>
      <c r="T207" s="17" t="n">
        <v>194</v>
      </c>
      <c r="U207" s="17" t="n">
        <v>0.0517361477797726</v>
      </c>
      <c r="V207" s="17" t="n">
        <v>62834</v>
      </c>
      <c r="W207" s="17" t="n">
        <v>299798</v>
      </c>
      <c r="X207" s="17" t="n">
        <v>20.9587789111335</v>
      </c>
      <c r="Y207" s="17" t="n">
        <v>3976</v>
      </c>
      <c r="Z207" s="17" t="n">
        <v>0.726111639299295</v>
      </c>
      <c r="AA207" s="17" t="n">
        <v>7.72</v>
      </c>
      <c r="AB207" s="17" t="n">
        <v>2.92072690193104</v>
      </c>
      <c r="AC207" s="17" t="n">
        <v>1.30094674495944</v>
      </c>
      <c r="AD207" s="17" t="n">
        <v>0</v>
      </c>
      <c r="AE207" s="17" t="n">
        <v>1</v>
      </c>
      <c r="AF207" s="17" t="s">
        <v>361</v>
      </c>
      <c r="AG207" s="17" t="s">
        <v>211</v>
      </c>
      <c r="AH207" s="17" t="n">
        <v>0</v>
      </c>
    </row>
    <row r="208" customFormat="false" ht="15" hidden="false" customHeight="false" outlineLevel="0" collapsed="false">
      <c r="A208" s="17" t="n">
        <v>30878</v>
      </c>
      <c r="B208" s="23" t="n">
        <v>44926</v>
      </c>
      <c r="C208" s="17" t="s">
        <v>110</v>
      </c>
      <c r="D208" s="17" t="s">
        <v>108</v>
      </c>
      <c r="E208" s="17" t="n">
        <v>101068</v>
      </c>
      <c r="F208" s="17" t="n">
        <v>100681.4</v>
      </c>
      <c r="G208" s="17" t="n">
        <v>73524</v>
      </c>
      <c r="H208" s="17" t="n">
        <v>12458</v>
      </c>
      <c r="I208" s="17" t="n">
        <v>12.3263545335814</v>
      </c>
      <c r="J208" s="17" t="n">
        <v>81665</v>
      </c>
      <c r="K208" s="17" t="n">
        <v>73797</v>
      </c>
      <c r="L208" s="17" t="n">
        <v>80805</v>
      </c>
      <c r="M208" s="17" t="n">
        <v>81554</v>
      </c>
      <c r="N208" s="17" t="n">
        <v>0</v>
      </c>
      <c r="O208" s="17" t="n">
        <v>110</v>
      </c>
      <c r="P208" s="17" t="n">
        <v>710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314</v>
      </c>
      <c r="Z208" s="17" t="n">
        <v>0.311874884536767</v>
      </c>
      <c r="AA208" s="17" t="n">
        <v>2.53</v>
      </c>
      <c r="AB208" s="17" t="n">
        <v>2.2059004756858</v>
      </c>
      <c r="AC208" s="17" t="n">
        <v>1.0530827159738</v>
      </c>
      <c r="AD208" s="17" t="n">
        <v>0.08</v>
      </c>
      <c r="AE208" s="17" t="n">
        <v>1</v>
      </c>
      <c r="AF208" s="17" t="s">
        <v>354</v>
      </c>
      <c r="AG208" s="17" t="s">
        <v>232</v>
      </c>
      <c r="AH208" s="17" t="n">
        <v>1</v>
      </c>
    </row>
    <row r="209" customFormat="false" ht="15" hidden="false" customHeight="false" outlineLevel="0" collapsed="false">
      <c r="A209" s="17" t="n">
        <v>33418</v>
      </c>
      <c r="B209" s="23" t="n">
        <v>44926</v>
      </c>
      <c r="C209" s="17" t="s">
        <v>133</v>
      </c>
      <c r="D209" s="17" t="s">
        <v>113</v>
      </c>
      <c r="E209" s="17" t="n">
        <v>742176</v>
      </c>
      <c r="F209" s="17" t="n">
        <v>745753</v>
      </c>
      <c r="G209" s="17" t="n">
        <v>574586</v>
      </c>
      <c r="H209" s="17" t="n">
        <v>65423</v>
      </c>
      <c r="I209" s="17" t="n">
        <v>8.81502500754538</v>
      </c>
      <c r="J209" s="17" t="n">
        <v>362057</v>
      </c>
      <c r="K209" s="17" t="n">
        <v>358445.4</v>
      </c>
      <c r="L209" s="17" t="n">
        <v>358214</v>
      </c>
      <c r="M209" s="17" t="n">
        <v>308351</v>
      </c>
      <c r="N209" s="17" t="n">
        <v>41788</v>
      </c>
      <c r="O209" s="17" t="n">
        <v>11928</v>
      </c>
      <c r="P209" s="17" t="n">
        <v>1487</v>
      </c>
      <c r="Q209" s="17" t="n">
        <v>238</v>
      </c>
      <c r="R209" s="17" t="n">
        <v>0</v>
      </c>
      <c r="S209" s="17" t="n">
        <v>-8</v>
      </c>
      <c r="T209" s="17" t="n">
        <v>-8</v>
      </c>
      <c r="U209" s="17" t="n">
        <v>-0.00223186013825258</v>
      </c>
      <c r="V209" s="17" t="n">
        <v>85453</v>
      </c>
      <c r="W209" s="17" t="n">
        <v>455446</v>
      </c>
      <c r="X209" s="17" t="n">
        <v>18.7624877592514</v>
      </c>
      <c r="Y209" s="17" t="n">
        <v>7714</v>
      </c>
      <c r="Z209" s="17" t="n">
        <v>1.03439074331582</v>
      </c>
      <c r="AA209" s="17" t="n">
        <v>12.66</v>
      </c>
      <c r="AB209" s="17" t="n">
        <v>2.81376676100904</v>
      </c>
      <c r="AC209" s="17" t="n">
        <v>1.0614350779021</v>
      </c>
      <c r="AD209" s="17" t="n">
        <v>-0.49</v>
      </c>
      <c r="AE209" s="17" t="n">
        <v>1</v>
      </c>
      <c r="AF209" s="17" t="s">
        <v>210</v>
      </c>
      <c r="AG209" s="17" t="s">
        <v>211</v>
      </c>
      <c r="AH209" s="17" t="n">
        <v>0</v>
      </c>
    </row>
    <row r="210" customFormat="false" ht="15" hidden="false" customHeight="false" outlineLevel="0" collapsed="false">
      <c r="A210" s="17" t="n">
        <v>35206</v>
      </c>
      <c r="B210" s="23" t="n">
        <v>44926</v>
      </c>
      <c r="C210" s="17" t="s">
        <v>166</v>
      </c>
      <c r="D210" s="17" t="s">
        <v>116</v>
      </c>
      <c r="E210" s="17" t="n">
        <v>65008</v>
      </c>
      <c r="F210" s="17" t="n">
        <v>63977.8</v>
      </c>
      <c r="G210" s="17" t="n">
        <v>500</v>
      </c>
      <c r="H210" s="17" t="n">
        <v>60620</v>
      </c>
      <c r="I210" s="17" t="n">
        <v>93.2500615308885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0</v>
      </c>
      <c r="R210" s="17" t="n">
        <v>0</v>
      </c>
      <c r="S210" s="17" t="n">
        <v>0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3872</v>
      </c>
      <c r="Z210" s="17" t="n">
        <v>6.0520993219523</v>
      </c>
      <c r="AA210" s="17" t="n">
        <v>6.69</v>
      </c>
      <c r="AB210" s="17" t="n">
        <v>4.03106585162927</v>
      </c>
      <c r="AC210" s="17" t="n">
        <v>0</v>
      </c>
      <c r="AD210" s="17" t="n">
        <v>0</v>
      </c>
      <c r="AE210" s="17" t="n">
        <v>1</v>
      </c>
      <c r="AF210" s="17" t="s">
        <v>361</v>
      </c>
      <c r="AG210" s="17" t="s">
        <v>211</v>
      </c>
      <c r="AH210" s="17" t="n">
        <v>0</v>
      </c>
    </row>
    <row r="211" customFormat="false" ht="15" hidden="false" customHeight="false" outlineLevel="0" collapsed="false">
      <c r="A211" s="17" t="n">
        <v>59086</v>
      </c>
      <c r="B211" s="23" t="n">
        <v>44926</v>
      </c>
      <c r="C211" s="17" t="s">
        <v>141</v>
      </c>
      <c r="D211" s="17" t="s">
        <v>116</v>
      </c>
      <c r="E211" s="17" t="n">
        <v>654191</v>
      </c>
      <c r="F211" s="17" t="n">
        <v>676876.2</v>
      </c>
      <c r="G211" s="17" t="n">
        <v>564578</v>
      </c>
      <c r="H211" s="17" t="n">
        <v>76313</v>
      </c>
      <c r="I211" s="17" t="n">
        <v>11.6652476111717</v>
      </c>
      <c r="J211" s="17" t="n">
        <v>575471</v>
      </c>
      <c r="K211" s="17" t="n">
        <v>536570.4</v>
      </c>
      <c r="L211" s="17" t="n">
        <v>568360</v>
      </c>
      <c r="M211" s="17" t="n">
        <v>455851</v>
      </c>
      <c r="N211" s="17" t="n">
        <v>120243</v>
      </c>
      <c r="O211" s="17" t="n">
        <v>0</v>
      </c>
      <c r="P211" s="17" t="n">
        <v>2111</v>
      </c>
      <c r="Q211" s="17" t="n">
        <v>0</v>
      </c>
      <c r="R211" s="17" t="n">
        <v>341</v>
      </c>
      <c r="S211" s="17" t="n">
        <v>0</v>
      </c>
      <c r="T211" s="17" t="n">
        <v>0</v>
      </c>
      <c r="U211" s="17" t="n">
        <v>0</v>
      </c>
      <c r="V211" s="17" t="n">
        <v>83424</v>
      </c>
      <c r="W211" s="17" t="n">
        <v>598826</v>
      </c>
      <c r="X211" s="17" t="n">
        <v>13.9312588297769</v>
      </c>
      <c r="Y211" s="17" t="n">
        <v>10667</v>
      </c>
      <c r="Z211" s="17" t="n">
        <v>1.57591595036138</v>
      </c>
      <c r="AA211" s="17" t="n">
        <v>15.26</v>
      </c>
      <c r="AB211" s="17" t="n">
        <v>3.91319114659101</v>
      </c>
      <c r="AC211" s="17" t="n">
        <v>1.23568346623896</v>
      </c>
      <c r="AD211" s="17" t="n">
        <v>0.21</v>
      </c>
      <c r="AE211" s="17" t="n">
        <v>1</v>
      </c>
      <c r="AF211" s="17" t="s">
        <v>231</v>
      </c>
      <c r="AG211" s="17" t="s">
        <v>232</v>
      </c>
      <c r="AH211" s="17" t="n">
        <v>0</v>
      </c>
    </row>
    <row r="212" customFormat="false" ht="15" hidden="false" customHeight="false" outlineLevel="0" collapsed="false">
      <c r="A212" s="17" t="n">
        <v>59176</v>
      </c>
      <c r="B212" s="23" t="n">
        <v>44926</v>
      </c>
      <c r="C212" s="17" t="s">
        <v>151</v>
      </c>
      <c r="D212" s="17" t="s">
        <v>116</v>
      </c>
      <c r="E212" s="17" t="n">
        <v>176672</v>
      </c>
      <c r="F212" s="17" t="n">
        <v>160469.6</v>
      </c>
      <c r="G212" s="17" t="n">
        <v>151831</v>
      </c>
      <c r="H212" s="17" t="n">
        <v>23234</v>
      </c>
      <c r="I212" s="17" t="n">
        <v>13.1509237456982</v>
      </c>
      <c r="J212" s="17" t="n">
        <v>134845</v>
      </c>
      <c r="K212" s="17" t="n">
        <v>117675.4</v>
      </c>
      <c r="L212" s="17" t="n">
        <v>133568</v>
      </c>
      <c r="M212" s="17" t="n">
        <v>116593</v>
      </c>
      <c r="N212" s="17" t="n">
        <v>18249</v>
      </c>
      <c r="O212" s="17" t="n">
        <v>9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25118</v>
      </c>
      <c r="W212" s="17" t="n">
        <v>137160</v>
      </c>
      <c r="X212" s="17" t="n">
        <v>18.312919218431</v>
      </c>
      <c r="Y212" s="17" t="n">
        <v>1407</v>
      </c>
      <c r="Z212" s="17" t="n">
        <v>0.876801587341154</v>
      </c>
      <c r="AA212" s="17" t="n">
        <v>6.71</v>
      </c>
      <c r="AB212" s="17" t="n">
        <v>3.22916520994024</v>
      </c>
      <c r="AC212" s="17" t="n">
        <v>0.947013237420742</v>
      </c>
      <c r="AD212" s="17" t="n">
        <v>0.27</v>
      </c>
      <c r="AE212" s="17" t="n">
        <v>1</v>
      </c>
      <c r="AF212" s="17" t="s">
        <v>231</v>
      </c>
      <c r="AG212" s="17" t="s">
        <v>232</v>
      </c>
      <c r="AH212" s="17" t="n">
        <v>0</v>
      </c>
    </row>
    <row r="213" customFormat="false" ht="15" hidden="false" customHeight="false" outlineLevel="0" collapsed="false">
      <c r="A213" s="17" t="n">
        <v>59289</v>
      </c>
      <c r="B213" s="23" t="n">
        <v>44926</v>
      </c>
      <c r="C213" s="17" t="s">
        <v>121</v>
      </c>
      <c r="D213" s="17" t="s">
        <v>116</v>
      </c>
      <c r="E213" s="17" t="n">
        <v>22693</v>
      </c>
      <c r="F213" s="17" t="n">
        <v>22693</v>
      </c>
      <c r="G213" s="17" t="n">
        <v>525</v>
      </c>
      <c r="H213" s="17" t="n">
        <v>21542</v>
      </c>
      <c r="I213" s="17" t="n">
        <v>94.9279513506368</v>
      </c>
      <c r="J213" s="17" t="n">
        <v>4726</v>
      </c>
      <c r="K213" s="17" t="n">
        <v>4726</v>
      </c>
      <c r="L213" s="17" t="n">
        <v>4675</v>
      </c>
      <c r="M213" s="17" t="n">
        <v>2961</v>
      </c>
      <c r="N213" s="17" t="n">
        <v>1605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-2833</v>
      </c>
      <c r="Z213" s="17" t="n">
        <v>-12.4840259110739</v>
      </c>
      <c r="AA213" s="17" t="n">
        <v>-13.15</v>
      </c>
      <c r="AB213" s="17" t="n">
        <v>1.36841090874048</v>
      </c>
      <c r="AC213" s="17" t="n">
        <v>1.07913669064748</v>
      </c>
      <c r="AD213" s="17" t="n">
        <v>0.22</v>
      </c>
      <c r="AE213" s="17" t="n">
        <v>1</v>
      </c>
      <c r="AF213" s="17" t="s">
        <v>241</v>
      </c>
      <c r="AG213" s="17" t="s">
        <v>232</v>
      </c>
      <c r="AH213" s="17" t="n">
        <v>0</v>
      </c>
    </row>
    <row r="214" customFormat="false" ht="15" hidden="false" customHeight="false" outlineLevel="0" collapsed="false">
      <c r="A214" s="17" t="n">
        <v>59298</v>
      </c>
      <c r="B214" s="23" t="n">
        <v>44926</v>
      </c>
      <c r="C214" s="17" t="s">
        <v>160</v>
      </c>
      <c r="D214" s="17" t="s">
        <v>113</v>
      </c>
      <c r="E214" s="17" t="n">
        <v>87230</v>
      </c>
      <c r="F214" s="17" t="n">
        <v>62723.5</v>
      </c>
      <c r="G214" s="17" t="n">
        <v>56740</v>
      </c>
      <c r="H214" s="17" t="n">
        <v>29627</v>
      </c>
      <c r="I214" s="17" t="n">
        <v>33.9642324888227</v>
      </c>
      <c r="J214" s="17" t="n">
        <v>22351</v>
      </c>
      <c r="K214" s="17" t="n">
        <v>14999.5</v>
      </c>
      <c r="L214" s="17" t="n">
        <v>22127</v>
      </c>
      <c r="M214" s="17" t="n">
        <v>15722</v>
      </c>
      <c r="N214" s="17" t="n">
        <v>6633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-1467</v>
      </c>
      <c r="Z214" s="17" t="n">
        <v>-2.33883632131498</v>
      </c>
      <c r="AA214" s="17" t="n">
        <v>-4.87</v>
      </c>
      <c r="AB214" s="17" t="n">
        <v>0.821136479111009</v>
      </c>
      <c r="AC214" s="17" t="n">
        <v>1.00219229564673</v>
      </c>
      <c r="AD214" s="17" t="n">
        <v>0.36</v>
      </c>
      <c r="AE214" s="17" t="n">
        <v>1</v>
      </c>
      <c r="AF214" s="17" t="s">
        <v>231</v>
      </c>
      <c r="AG214" s="17" t="s">
        <v>232</v>
      </c>
      <c r="AH214" s="17" t="n">
        <v>0</v>
      </c>
    </row>
    <row r="215" customFormat="false" ht="15" hidden="false" customHeight="false" outlineLevel="0" collapsed="false">
      <c r="A215" s="17" t="n">
        <v>4255</v>
      </c>
      <c r="B215" s="23" t="n">
        <v>45016</v>
      </c>
      <c r="C215" s="17" t="s">
        <v>126</v>
      </c>
      <c r="D215" s="17" t="s">
        <v>108</v>
      </c>
      <c r="E215" s="17" t="n">
        <v>5707400</v>
      </c>
      <c r="F215" s="17" t="n">
        <v>5684928.5</v>
      </c>
      <c r="G215" s="17" t="n">
        <v>4682533</v>
      </c>
      <c r="H215" s="17" t="n">
        <v>475108</v>
      </c>
      <c r="I215" s="17" t="n">
        <v>8.3244209272173</v>
      </c>
      <c r="J215" s="17" t="n">
        <v>4077670</v>
      </c>
      <c r="K215" s="17" t="n">
        <v>4046610</v>
      </c>
      <c r="L215" s="17" t="n">
        <v>4040536</v>
      </c>
      <c r="M215" s="17" t="n">
        <v>3668834</v>
      </c>
      <c r="N215" s="17" t="n">
        <v>347458</v>
      </c>
      <c r="O215" s="17" t="n">
        <v>19811</v>
      </c>
      <c r="P215" s="17" t="n">
        <v>2958</v>
      </c>
      <c r="Q215" s="17" t="n">
        <v>2138</v>
      </c>
      <c r="R215" s="17" t="n">
        <v>0</v>
      </c>
      <c r="S215" s="17" t="n">
        <v>227</v>
      </c>
      <c r="T215" s="17" t="n">
        <v>908</v>
      </c>
      <c r="U215" s="17" t="n">
        <v>0.0224385349712475</v>
      </c>
      <c r="V215" s="17" t="n">
        <v>532657</v>
      </c>
      <c r="W215" s="17" t="n">
        <v>4041943</v>
      </c>
      <c r="X215" s="17" t="n">
        <v>13.1782412567421</v>
      </c>
      <c r="Y215" s="17" t="n">
        <v>53316</v>
      </c>
      <c r="Z215" s="17" t="n">
        <v>0.937848206885979</v>
      </c>
      <c r="AA215" s="17" t="n">
        <v>11.39</v>
      </c>
      <c r="AB215" s="17" t="n">
        <v>2.65321190023137</v>
      </c>
      <c r="AC215" s="17" t="n">
        <v>0.910667121174592</v>
      </c>
      <c r="AD215" s="17" t="n">
        <v>0.01</v>
      </c>
      <c r="AE215" s="17" t="n">
        <v>1</v>
      </c>
      <c r="AF215" s="17" t="s">
        <v>210</v>
      </c>
      <c r="AG215" s="17" t="s">
        <v>211</v>
      </c>
      <c r="AH215" s="17" t="n">
        <v>0</v>
      </c>
    </row>
    <row r="216" customFormat="false" ht="15" hidden="false" customHeight="false" outlineLevel="0" collapsed="false">
      <c r="A216" s="17" t="n">
        <v>4256</v>
      </c>
      <c r="B216" s="23" t="n">
        <v>45016</v>
      </c>
      <c r="C216" s="17" t="s">
        <v>135</v>
      </c>
      <c r="D216" s="17" t="s">
        <v>108</v>
      </c>
      <c r="E216" s="17" t="n">
        <v>2776791</v>
      </c>
      <c r="F216" s="17" t="n">
        <v>2740419</v>
      </c>
      <c r="G216" s="17" t="n">
        <v>2467296</v>
      </c>
      <c r="H216" s="17" t="n">
        <v>199927</v>
      </c>
      <c r="I216" s="17" t="n">
        <v>7.1999297030277</v>
      </c>
      <c r="J216" s="17" t="n">
        <v>1982847</v>
      </c>
      <c r="K216" s="17" t="n">
        <v>1948898</v>
      </c>
      <c r="L216" s="17" t="n">
        <v>1959389</v>
      </c>
      <c r="M216" s="17" t="n">
        <v>1576558</v>
      </c>
      <c r="N216" s="17" t="n">
        <v>294299</v>
      </c>
      <c r="O216" s="17" t="n">
        <v>19435</v>
      </c>
      <c r="P216" s="17" t="n">
        <v>1800</v>
      </c>
      <c r="Q216" s="17" t="n">
        <v>946</v>
      </c>
      <c r="R216" s="17" t="n">
        <v>208</v>
      </c>
      <c r="S216" s="17" t="n">
        <v>25</v>
      </c>
      <c r="T216" s="17" t="n">
        <v>100</v>
      </c>
      <c r="U216" s="17" t="n">
        <v>0.00513110486028515</v>
      </c>
      <c r="V216" s="17" t="n">
        <v>263305</v>
      </c>
      <c r="W216" s="17" t="n">
        <v>1931091</v>
      </c>
      <c r="X216" s="17" t="n">
        <v>13.6350384316431</v>
      </c>
      <c r="Y216" s="17" t="n">
        <v>32704</v>
      </c>
      <c r="Z216" s="17" t="n">
        <v>1.19339414885096</v>
      </c>
      <c r="AA216" s="17" t="n">
        <v>16.35</v>
      </c>
      <c r="AB216" s="17" t="n">
        <v>2.70732453141392</v>
      </c>
      <c r="AC216" s="17" t="n">
        <v>1.18304639742754</v>
      </c>
      <c r="AD216" s="17" t="n">
        <v>0.08</v>
      </c>
      <c r="AE216" s="17" t="n">
        <v>1</v>
      </c>
      <c r="AF216" s="17" t="s">
        <v>210</v>
      </c>
      <c r="AG216" s="17" t="s">
        <v>211</v>
      </c>
      <c r="AH216" s="17" t="n">
        <v>0</v>
      </c>
    </row>
    <row r="217" customFormat="false" ht="15" hidden="false" customHeight="false" outlineLevel="0" collapsed="false">
      <c r="A217" s="17" t="n">
        <v>6271</v>
      </c>
      <c r="B217" s="23" t="n">
        <v>45016</v>
      </c>
      <c r="C217" s="17" t="s">
        <v>147</v>
      </c>
      <c r="D217" s="17" t="s">
        <v>113</v>
      </c>
      <c r="E217" s="17" t="n">
        <v>1030080</v>
      </c>
      <c r="F217" s="17" t="n">
        <v>1042750.5</v>
      </c>
      <c r="G217" s="17" t="n">
        <v>889655</v>
      </c>
      <c r="H217" s="17" t="n">
        <v>91934</v>
      </c>
      <c r="I217" s="17" t="n">
        <v>8.92493786890339</v>
      </c>
      <c r="J217" s="17" t="n">
        <v>759096</v>
      </c>
      <c r="K217" s="17" t="n">
        <v>754069</v>
      </c>
      <c r="L217" s="17" t="n">
        <v>749840</v>
      </c>
      <c r="M217" s="17" t="n">
        <v>593607</v>
      </c>
      <c r="N217" s="17" t="n">
        <v>120865</v>
      </c>
      <c r="O217" s="17" t="n">
        <v>3347</v>
      </c>
      <c r="P217" s="17" t="n">
        <v>8482</v>
      </c>
      <c r="Q217" s="17" t="n">
        <v>2551</v>
      </c>
      <c r="R217" s="17" t="n">
        <v>176</v>
      </c>
      <c r="S217" s="17" t="n">
        <v>-96</v>
      </c>
      <c r="T217" s="17" t="n">
        <v>-384</v>
      </c>
      <c r="U217" s="17" t="n">
        <v>-0.050923721834474</v>
      </c>
      <c r="V217" s="17" t="n">
        <v>107265</v>
      </c>
      <c r="W217" s="17" t="n">
        <v>711841</v>
      </c>
      <c r="X217" s="17" t="n">
        <v>15.0686740437823</v>
      </c>
      <c r="Y217" s="17" t="n">
        <v>14444</v>
      </c>
      <c r="Z217" s="17" t="n">
        <v>1.38518274505742</v>
      </c>
      <c r="AA217" s="17" t="n">
        <v>16.14</v>
      </c>
      <c r="AB217" s="17" t="n">
        <v>3.56771486783687</v>
      </c>
      <c r="AC217" s="17" t="n">
        <v>1.21934511576928</v>
      </c>
      <c r="AD217" s="17" t="n">
        <v>0.11</v>
      </c>
      <c r="AE217" s="17" t="n">
        <v>1</v>
      </c>
      <c r="AF217" s="17" t="s">
        <v>210</v>
      </c>
      <c r="AG217" s="17" t="s">
        <v>211</v>
      </c>
      <c r="AH217" s="17" t="n">
        <v>0</v>
      </c>
    </row>
    <row r="218" customFormat="false" ht="15" hidden="false" customHeight="false" outlineLevel="0" collapsed="false">
      <c r="A218" s="17" t="n">
        <v>6275</v>
      </c>
      <c r="B218" s="23" t="n">
        <v>45016</v>
      </c>
      <c r="C218" s="17" t="s">
        <v>165</v>
      </c>
      <c r="D218" s="17" t="s">
        <v>113</v>
      </c>
      <c r="E218" s="17" t="n">
        <v>537695</v>
      </c>
      <c r="F218" s="17" t="n">
        <v>535970.5</v>
      </c>
      <c r="G218" s="17" t="n">
        <v>478571</v>
      </c>
      <c r="H218" s="17" t="n">
        <v>28866</v>
      </c>
      <c r="I218" s="17" t="n">
        <v>5.36847097332131</v>
      </c>
      <c r="J218" s="17" t="n">
        <v>316204</v>
      </c>
      <c r="K218" s="17" t="n">
        <v>313435.5</v>
      </c>
      <c r="L218" s="17" t="n">
        <v>314865</v>
      </c>
      <c r="M218" s="17" t="n">
        <v>257983</v>
      </c>
      <c r="N218" s="17" t="n">
        <v>34399</v>
      </c>
      <c r="O218" s="17" t="n">
        <v>13680</v>
      </c>
      <c r="P218" s="17" t="n">
        <v>1344</v>
      </c>
      <c r="Q218" s="17" t="n">
        <v>84</v>
      </c>
      <c r="R218" s="17" t="n">
        <v>0</v>
      </c>
      <c r="S218" s="17" t="n">
        <v>-1</v>
      </c>
      <c r="T218" s="17" t="n">
        <v>-4</v>
      </c>
      <c r="U218" s="17" t="n">
        <v>-0.00127617962866363</v>
      </c>
      <c r="V218" s="17" t="n">
        <v>47110</v>
      </c>
      <c r="W218" s="17" t="n">
        <v>304350</v>
      </c>
      <c r="X218" s="17" t="n">
        <v>15.478889436504</v>
      </c>
      <c r="Y218" s="17" t="n">
        <v>3208</v>
      </c>
      <c r="Z218" s="17" t="n">
        <v>0.598540404742425</v>
      </c>
      <c r="AA218" s="17" t="n">
        <v>12.03</v>
      </c>
      <c r="AB218" s="17" t="n">
        <v>3.1316128693877</v>
      </c>
      <c r="AC218" s="17" t="n">
        <v>0.423460803784898</v>
      </c>
      <c r="AD218" s="17" t="n">
        <v>0</v>
      </c>
      <c r="AE218" s="17" t="n">
        <v>1</v>
      </c>
      <c r="AF218" s="17" t="s">
        <v>210</v>
      </c>
      <c r="AG218" s="17" t="s">
        <v>211</v>
      </c>
      <c r="AH218" s="17" t="n">
        <v>0</v>
      </c>
    </row>
    <row r="219" customFormat="false" ht="15" hidden="false" customHeight="false" outlineLevel="0" collapsed="false">
      <c r="A219" s="17" t="n">
        <v>6280</v>
      </c>
      <c r="B219" s="23" t="n">
        <v>45016</v>
      </c>
      <c r="C219" s="17" t="s">
        <v>138</v>
      </c>
      <c r="D219" s="17" t="s">
        <v>113</v>
      </c>
      <c r="E219" s="17" t="n">
        <v>83956</v>
      </c>
      <c r="F219" s="17" t="n">
        <v>84296</v>
      </c>
      <c r="G219" s="17" t="n">
        <v>74763</v>
      </c>
      <c r="H219" s="17" t="n">
        <v>9018</v>
      </c>
      <c r="I219" s="17" t="n">
        <v>10.7413407022726</v>
      </c>
      <c r="J219" s="17" t="n">
        <v>63645</v>
      </c>
      <c r="K219" s="17" t="n">
        <v>63522.5</v>
      </c>
      <c r="L219" s="17" t="n">
        <v>62818</v>
      </c>
      <c r="M219" s="17" t="n">
        <v>55677</v>
      </c>
      <c r="N219" s="17" t="n">
        <v>3599</v>
      </c>
      <c r="O219" s="17" t="n">
        <v>1756</v>
      </c>
      <c r="P219" s="17" t="n">
        <v>597</v>
      </c>
      <c r="Q219" s="17" t="n">
        <v>768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1648</v>
      </c>
      <c r="Z219" s="17" t="n">
        <v>1.95501565910601</v>
      </c>
      <c r="AA219" s="17" t="n">
        <v>18.7</v>
      </c>
      <c r="AB219" s="17" t="n">
        <v>4.84342172329343</v>
      </c>
      <c r="AC219" s="17" t="n">
        <v>1.299395082096</v>
      </c>
      <c r="AD219" s="17" t="n">
        <v>0</v>
      </c>
      <c r="AE219" s="17" t="n">
        <v>1</v>
      </c>
      <c r="AF219" s="17" t="s">
        <v>210</v>
      </c>
      <c r="AG219" s="17" t="s">
        <v>211</v>
      </c>
      <c r="AH219" s="17" t="n">
        <v>0</v>
      </c>
    </row>
    <row r="220" customFormat="false" ht="15" hidden="false" customHeight="false" outlineLevel="0" collapsed="false">
      <c r="A220" s="17" t="n">
        <v>11971</v>
      </c>
      <c r="B220" s="23" t="n">
        <v>45016</v>
      </c>
      <c r="C220" s="17" t="s">
        <v>134</v>
      </c>
      <c r="D220" s="17" t="s">
        <v>108</v>
      </c>
      <c r="E220" s="17" t="n">
        <v>3925512</v>
      </c>
      <c r="F220" s="17" t="n">
        <v>3916227.5</v>
      </c>
      <c r="G220" s="17" t="n">
        <v>3061414</v>
      </c>
      <c r="H220" s="17" t="n">
        <v>461427</v>
      </c>
      <c r="I220" s="17" t="n">
        <v>11.7545685760227</v>
      </c>
      <c r="J220" s="17" t="n">
        <v>2944469</v>
      </c>
      <c r="K220" s="17" t="n">
        <v>2923579.5</v>
      </c>
      <c r="L220" s="17" t="n">
        <v>2917862</v>
      </c>
      <c r="M220" s="17" t="n">
        <v>2595296</v>
      </c>
      <c r="N220" s="17" t="n">
        <v>195856</v>
      </c>
      <c r="O220" s="17" t="n">
        <v>7535</v>
      </c>
      <c r="P220" s="17" t="n">
        <v>7795</v>
      </c>
      <c r="Q220" s="17" t="n">
        <v>6311</v>
      </c>
      <c r="R220" s="17" t="n">
        <v>138</v>
      </c>
      <c r="S220" s="17" t="n">
        <v>51</v>
      </c>
      <c r="T220" s="17" t="n">
        <v>204</v>
      </c>
      <c r="U220" s="17" t="n">
        <v>0.00697774765488676</v>
      </c>
      <c r="V220" s="17" t="n">
        <v>419780</v>
      </c>
      <c r="W220" s="17" t="n">
        <v>3127484</v>
      </c>
      <c r="X220" s="17" t="n">
        <v>13.4222908894178</v>
      </c>
      <c r="Y220" s="17" t="n">
        <v>57232</v>
      </c>
      <c r="Z220" s="17" t="n">
        <v>1.46140641727275</v>
      </c>
      <c r="AA220" s="17" t="n">
        <v>12.6</v>
      </c>
      <c r="AB220" s="17" t="n">
        <v>3.62834593183597</v>
      </c>
      <c r="AC220" s="17" t="n">
        <v>0.903626426360746</v>
      </c>
      <c r="AD220" s="17" t="n">
        <v>0.06</v>
      </c>
      <c r="AE220" s="17" t="n">
        <v>1</v>
      </c>
      <c r="AF220" s="17" t="s">
        <v>231</v>
      </c>
      <c r="AG220" s="17" t="s">
        <v>232</v>
      </c>
      <c r="AH220" s="17" t="n">
        <v>0</v>
      </c>
    </row>
    <row r="221" customFormat="false" ht="15" hidden="false" customHeight="false" outlineLevel="0" collapsed="false">
      <c r="A221" s="17" t="n">
        <v>12874</v>
      </c>
      <c r="B221" s="23" t="n">
        <v>45016</v>
      </c>
      <c r="C221" s="17" t="s">
        <v>159</v>
      </c>
      <c r="D221" s="17" t="s">
        <v>108</v>
      </c>
      <c r="E221" s="17" t="n">
        <v>980710</v>
      </c>
      <c r="F221" s="17" t="n">
        <v>981274</v>
      </c>
      <c r="G221" s="17" t="n">
        <v>858980</v>
      </c>
      <c r="H221" s="17" t="n">
        <v>100647</v>
      </c>
      <c r="I221" s="17" t="n">
        <v>10.2626668434094</v>
      </c>
      <c r="J221" s="17" t="n">
        <v>760973</v>
      </c>
      <c r="K221" s="17" t="n">
        <v>755297.5</v>
      </c>
      <c r="L221" s="17" t="n">
        <v>753186</v>
      </c>
      <c r="M221" s="17" t="n">
        <v>608741</v>
      </c>
      <c r="N221" s="17" t="n">
        <v>133780</v>
      </c>
      <c r="O221" s="17" t="n">
        <v>4939</v>
      </c>
      <c r="P221" s="17" t="n">
        <v>468</v>
      </c>
      <c r="Q221" s="17" t="n">
        <v>165</v>
      </c>
      <c r="R221" s="17" t="n">
        <v>6</v>
      </c>
      <c r="S221" s="17" t="n">
        <v>-2</v>
      </c>
      <c r="T221" s="17" t="n">
        <v>-8</v>
      </c>
      <c r="U221" s="17" t="n">
        <v>-0.00105918528791635</v>
      </c>
      <c r="V221" s="17" t="n">
        <v>114008</v>
      </c>
      <c r="W221" s="17" t="n">
        <v>724098</v>
      </c>
      <c r="X221" s="17" t="n">
        <v>15.7448301196799</v>
      </c>
      <c r="Y221" s="17" t="n">
        <v>10912</v>
      </c>
      <c r="Z221" s="17" t="n">
        <v>1.11202375687117</v>
      </c>
      <c r="AA221" s="17" t="n">
        <v>11.03</v>
      </c>
      <c r="AB221" s="17" t="n">
        <v>3.92115359174494</v>
      </c>
      <c r="AC221" s="17" t="n">
        <v>1.02329517604435</v>
      </c>
      <c r="AD221" s="17" t="n">
        <v>-0.01</v>
      </c>
      <c r="AE221" s="17" t="n">
        <v>1</v>
      </c>
      <c r="AF221" s="17" t="s">
        <v>231</v>
      </c>
      <c r="AG221" s="17" t="s">
        <v>232</v>
      </c>
      <c r="AH221" s="17" t="n">
        <v>0</v>
      </c>
    </row>
    <row r="222" customFormat="false" ht="15" hidden="false" customHeight="false" outlineLevel="0" collapsed="false">
      <c r="A222" s="17" t="n">
        <v>13063</v>
      </c>
      <c r="B222" s="23" t="n">
        <v>45016</v>
      </c>
      <c r="C222" s="17" t="s">
        <v>139</v>
      </c>
      <c r="D222" s="17" t="s">
        <v>108</v>
      </c>
      <c r="E222" s="17" t="n">
        <v>1853851</v>
      </c>
      <c r="F222" s="17" t="n">
        <v>1848660</v>
      </c>
      <c r="G222" s="17" t="n">
        <v>1620191</v>
      </c>
      <c r="H222" s="17" t="n">
        <v>141179</v>
      </c>
      <c r="I222" s="17" t="n">
        <v>7.61544482269611</v>
      </c>
      <c r="J222" s="17" t="n">
        <v>1379139</v>
      </c>
      <c r="K222" s="17" t="n">
        <v>1357375.5</v>
      </c>
      <c r="L222" s="17" t="n">
        <v>1363651</v>
      </c>
      <c r="M222" s="17" t="n">
        <v>1316711</v>
      </c>
      <c r="N222" s="17" t="n">
        <v>53456</v>
      </c>
      <c r="O222" s="17" t="n">
        <v>932</v>
      </c>
      <c r="P222" s="17" t="n">
        <v>519</v>
      </c>
      <c r="Q222" s="17" t="n">
        <v>1178</v>
      </c>
      <c r="R222" s="17" t="n">
        <v>892</v>
      </c>
      <c r="S222" s="17" t="n">
        <v>55</v>
      </c>
      <c r="T222" s="17" t="n">
        <v>220</v>
      </c>
      <c r="U222" s="17" t="n">
        <v>0.0162077479665723</v>
      </c>
      <c r="V222" s="17" t="n">
        <v>0</v>
      </c>
      <c r="W222" s="17" t="n">
        <v>0</v>
      </c>
      <c r="X222" s="17" t="n">
        <v>0</v>
      </c>
      <c r="Y222" s="17" t="n">
        <v>7992</v>
      </c>
      <c r="Z222" s="17" t="n">
        <v>0.432313134919347</v>
      </c>
      <c r="AA222" s="17" t="n">
        <v>5.76</v>
      </c>
      <c r="AB222" s="17" t="n">
        <v>3.32459574825263</v>
      </c>
      <c r="AC222" s="17" t="n">
        <v>1.12301950709827</v>
      </c>
      <c r="AD222" s="17" t="n">
        <v>0.14</v>
      </c>
      <c r="AE222" s="17" t="n">
        <v>1</v>
      </c>
      <c r="AF222" s="17" t="s">
        <v>241</v>
      </c>
      <c r="AG222" s="17" t="s">
        <v>232</v>
      </c>
      <c r="AH222" s="17" t="n">
        <v>0</v>
      </c>
    </row>
    <row r="223" customFormat="false" ht="15" hidden="false" customHeight="false" outlineLevel="0" collapsed="false">
      <c r="A223" s="17" t="n">
        <v>14134</v>
      </c>
      <c r="B223" s="23" t="n">
        <v>45016</v>
      </c>
      <c r="C223" s="17" t="s">
        <v>155</v>
      </c>
      <c r="D223" s="17" t="s">
        <v>113</v>
      </c>
      <c r="E223" s="17" t="n">
        <v>835568</v>
      </c>
      <c r="F223" s="17" t="n">
        <v>836847.5</v>
      </c>
      <c r="G223" s="17" t="n">
        <v>701903</v>
      </c>
      <c r="H223" s="17" t="n">
        <v>99761</v>
      </c>
      <c r="I223" s="17" t="n">
        <v>11.939303563564</v>
      </c>
      <c r="J223" s="17" t="n">
        <v>632893</v>
      </c>
      <c r="K223" s="17" t="n">
        <v>625519.5</v>
      </c>
      <c r="L223" s="17" t="n">
        <v>625870</v>
      </c>
      <c r="M223" s="17" t="n">
        <v>551797</v>
      </c>
      <c r="N223" s="17" t="n">
        <v>27912</v>
      </c>
      <c r="O223" s="17" t="n">
        <v>29009</v>
      </c>
      <c r="P223" s="17" t="n">
        <v>12896</v>
      </c>
      <c r="Q223" s="17" t="n">
        <v>4692</v>
      </c>
      <c r="R223" s="17" t="n">
        <v>0</v>
      </c>
      <c r="S223" s="17" t="n">
        <v>397</v>
      </c>
      <c r="T223" s="17" t="n">
        <v>1588</v>
      </c>
      <c r="U223" s="17" t="n">
        <v>0.253868984100416</v>
      </c>
      <c r="V223" s="17" t="n">
        <v>103488</v>
      </c>
      <c r="W223" s="17" t="n">
        <v>583223</v>
      </c>
      <c r="X223" s="17" t="n">
        <v>17.7441561803976</v>
      </c>
      <c r="Y223" s="17" t="n">
        <v>5812</v>
      </c>
      <c r="Z223" s="17" t="n">
        <v>0.694511246075301</v>
      </c>
      <c r="AA223" s="17" t="n">
        <v>5.89</v>
      </c>
      <c r="AB223" s="17" t="n">
        <v>3.39563138167248</v>
      </c>
      <c r="AC223" s="17" t="n">
        <v>1.10966624690114</v>
      </c>
      <c r="AD223" s="17" t="n">
        <v>0.11</v>
      </c>
      <c r="AE223" s="17" t="n">
        <v>1</v>
      </c>
      <c r="AF223" s="17" t="s">
        <v>241</v>
      </c>
      <c r="AG223" s="17" t="s">
        <v>232</v>
      </c>
      <c r="AH223" s="17" t="n">
        <v>0</v>
      </c>
    </row>
    <row r="224" customFormat="false" ht="15" hidden="false" customHeight="false" outlineLevel="0" collapsed="false">
      <c r="A224" s="17" t="n">
        <v>14136</v>
      </c>
      <c r="B224" s="23" t="n">
        <v>45016</v>
      </c>
      <c r="C224" s="17" t="s">
        <v>153</v>
      </c>
      <c r="D224" s="17" t="s">
        <v>113</v>
      </c>
      <c r="E224" s="17" t="n">
        <v>223596</v>
      </c>
      <c r="F224" s="17" t="n">
        <v>225898.5</v>
      </c>
      <c r="G224" s="17" t="n">
        <v>203232</v>
      </c>
      <c r="H224" s="17" t="n">
        <v>15756</v>
      </c>
      <c r="I224" s="17" t="n">
        <v>7.04663768582622</v>
      </c>
      <c r="J224" s="17" t="n">
        <v>144100</v>
      </c>
      <c r="K224" s="17" t="n">
        <v>142027</v>
      </c>
      <c r="L224" s="17" t="n">
        <v>142198</v>
      </c>
      <c r="M224" s="17" t="n">
        <v>115852</v>
      </c>
      <c r="N224" s="17" t="n">
        <v>13072</v>
      </c>
      <c r="O224" s="17" t="n">
        <v>14836</v>
      </c>
      <c r="P224" s="17" t="n">
        <v>73</v>
      </c>
      <c r="Q224" s="17" t="n">
        <v>1355</v>
      </c>
      <c r="R224" s="17" t="n">
        <v>256</v>
      </c>
      <c r="S224" s="17" t="n">
        <v>6</v>
      </c>
      <c r="T224" s="17" t="n">
        <v>24</v>
      </c>
      <c r="U224" s="17" t="n">
        <v>0.0168981954135481</v>
      </c>
      <c r="V224" s="17" t="n">
        <v>25200</v>
      </c>
      <c r="W224" s="17" t="n">
        <v>142671</v>
      </c>
      <c r="X224" s="17" t="n">
        <v>17.6630149084257</v>
      </c>
      <c r="Y224" s="17" t="n">
        <v>1268</v>
      </c>
      <c r="Z224" s="17" t="n">
        <v>0.561314041483233</v>
      </c>
      <c r="AA224" s="17" t="n">
        <v>8.35</v>
      </c>
      <c r="AB224" s="17" t="n">
        <v>4.1509021946044</v>
      </c>
      <c r="AC224" s="17" t="n">
        <v>1.31991672449688</v>
      </c>
      <c r="AD224" s="17" t="n">
        <v>0.05</v>
      </c>
      <c r="AE224" s="17" t="n">
        <v>1</v>
      </c>
      <c r="AF224" s="17" t="s">
        <v>241</v>
      </c>
      <c r="AG224" s="17" t="s">
        <v>232</v>
      </c>
      <c r="AH224" s="17" t="n">
        <v>1</v>
      </c>
    </row>
    <row r="225" customFormat="false" ht="15" hidden="false" customHeight="false" outlineLevel="0" collapsed="false">
      <c r="A225" s="17" t="n">
        <v>14140</v>
      </c>
      <c r="B225" s="23" t="n">
        <v>45016</v>
      </c>
      <c r="C225" s="17" t="s">
        <v>120</v>
      </c>
      <c r="D225" s="17" t="s">
        <v>113</v>
      </c>
      <c r="E225" s="17" t="n">
        <v>1413583</v>
      </c>
      <c r="F225" s="17" t="n">
        <v>1413919</v>
      </c>
      <c r="G225" s="17" t="n">
        <v>1126353</v>
      </c>
      <c r="H225" s="17" t="n">
        <v>121200</v>
      </c>
      <c r="I225" s="17" t="n">
        <v>8.57395710050277</v>
      </c>
      <c r="J225" s="17" t="n">
        <v>993363</v>
      </c>
      <c r="K225" s="17" t="n">
        <v>983576</v>
      </c>
      <c r="L225" s="17" t="n">
        <v>985236</v>
      </c>
      <c r="M225" s="17" t="n">
        <v>890367</v>
      </c>
      <c r="N225" s="17" t="n">
        <v>88947</v>
      </c>
      <c r="O225" s="17" t="n">
        <v>1356</v>
      </c>
      <c r="P225" s="17" t="n">
        <v>2395</v>
      </c>
      <c r="Q225" s="17" t="n">
        <v>1113</v>
      </c>
      <c r="R225" s="17" t="n">
        <v>0</v>
      </c>
      <c r="S225" s="17" t="n">
        <v>23</v>
      </c>
      <c r="T225" s="17" t="n">
        <v>92</v>
      </c>
      <c r="U225" s="17" t="n">
        <v>0.00935362391924976</v>
      </c>
      <c r="V225" s="17" t="n">
        <v>0</v>
      </c>
      <c r="W225" s="17" t="n">
        <v>0</v>
      </c>
      <c r="X225" s="17" t="n">
        <v>0</v>
      </c>
      <c r="Y225" s="17" t="n">
        <v>6424</v>
      </c>
      <c r="Z225" s="17" t="n">
        <v>0.454340029379335</v>
      </c>
      <c r="AA225" s="17" t="n">
        <v>5.46</v>
      </c>
      <c r="AB225" s="17" t="n">
        <v>2.94879850271109</v>
      </c>
      <c r="AC225" s="17" t="n">
        <v>0.818129928334355</v>
      </c>
      <c r="AD225" s="17" t="n">
        <v>0.04</v>
      </c>
      <c r="AE225" s="17" t="n">
        <v>1</v>
      </c>
      <c r="AF225" s="17" t="s">
        <v>241</v>
      </c>
      <c r="AG225" s="17" t="s">
        <v>232</v>
      </c>
      <c r="AH225" s="17" t="n">
        <v>0</v>
      </c>
    </row>
    <row r="226" customFormat="false" ht="15" hidden="false" customHeight="false" outlineLevel="0" collapsed="false">
      <c r="A226" s="17" t="n">
        <v>14158</v>
      </c>
      <c r="B226" s="23" t="n">
        <v>45016</v>
      </c>
      <c r="C226" s="17" t="s">
        <v>112</v>
      </c>
      <c r="D226" s="17" t="s">
        <v>113</v>
      </c>
      <c r="E226" s="17" t="n">
        <v>1361586</v>
      </c>
      <c r="F226" s="17" t="n">
        <v>1348687.5</v>
      </c>
      <c r="G226" s="17" t="n">
        <v>1229192</v>
      </c>
      <c r="H226" s="17" t="n">
        <v>76684</v>
      </c>
      <c r="I226" s="17" t="n">
        <v>5.631961550721</v>
      </c>
      <c r="J226" s="17" t="n">
        <v>976616</v>
      </c>
      <c r="K226" s="17" t="n">
        <v>968643.5</v>
      </c>
      <c r="L226" s="17" t="n">
        <v>969682</v>
      </c>
      <c r="M226" s="17" t="n">
        <v>836877</v>
      </c>
      <c r="N226" s="17" t="n">
        <v>41376</v>
      </c>
      <c r="O226" s="17" t="n">
        <v>2300</v>
      </c>
      <c r="P226" s="17" t="n">
        <v>2174</v>
      </c>
      <c r="Q226" s="17" t="n">
        <v>1202</v>
      </c>
      <c r="R226" s="17" t="n">
        <v>175</v>
      </c>
      <c r="S226" s="17" t="n">
        <v>0</v>
      </c>
      <c r="T226" s="17" t="n">
        <v>0</v>
      </c>
      <c r="U226" s="17" t="n">
        <v>0</v>
      </c>
      <c r="V226" s="17" t="n">
        <v>116351</v>
      </c>
      <c r="W226" s="17" t="n">
        <v>850408</v>
      </c>
      <c r="X226" s="17" t="n">
        <v>13.6817856840481</v>
      </c>
      <c r="Y226" s="17" t="n">
        <v>12820</v>
      </c>
      <c r="Z226" s="17" t="n">
        <v>0.950553779137124</v>
      </c>
      <c r="AA226" s="17" t="n">
        <v>17.35</v>
      </c>
      <c r="AB226" s="17" t="n">
        <v>3.20763847247988</v>
      </c>
      <c r="AC226" s="17" t="n">
        <v>0.710002703211907</v>
      </c>
      <c r="AD226" s="17" t="n">
        <v>0.02</v>
      </c>
      <c r="AE226" s="17" t="n">
        <v>1</v>
      </c>
      <c r="AF226" s="17" t="s">
        <v>231</v>
      </c>
      <c r="AG226" s="17" t="s">
        <v>232</v>
      </c>
      <c r="AH226" s="17" t="n">
        <v>0</v>
      </c>
    </row>
    <row r="227" customFormat="false" ht="15" hidden="false" customHeight="false" outlineLevel="0" collapsed="false">
      <c r="A227" s="17" t="n">
        <v>14168</v>
      </c>
      <c r="B227" s="23" t="n">
        <v>45016</v>
      </c>
      <c r="C227" s="17" t="s">
        <v>162</v>
      </c>
      <c r="D227" s="17" t="s">
        <v>113</v>
      </c>
      <c r="E227" s="17" t="n">
        <v>356091</v>
      </c>
      <c r="F227" s="17" t="n">
        <v>362443.5</v>
      </c>
      <c r="G227" s="17" t="n">
        <v>318086</v>
      </c>
      <c r="H227" s="17" t="n">
        <v>33166</v>
      </c>
      <c r="I227" s="17" t="n">
        <v>9.31391133165399</v>
      </c>
      <c r="J227" s="17" t="n">
        <v>213563</v>
      </c>
      <c r="K227" s="17" t="n">
        <v>211244</v>
      </c>
      <c r="L227" s="17" t="n">
        <v>210324</v>
      </c>
      <c r="M227" s="17" t="n">
        <v>178006</v>
      </c>
      <c r="N227" s="17" t="n">
        <v>11681</v>
      </c>
      <c r="O227" s="17" t="n">
        <v>9179</v>
      </c>
      <c r="P227" s="17" t="n">
        <v>977</v>
      </c>
      <c r="Q227" s="17" t="n">
        <v>232</v>
      </c>
      <c r="R227" s="17" t="n">
        <v>0</v>
      </c>
      <c r="S227" s="17" t="n">
        <v>1</v>
      </c>
      <c r="T227" s="17" t="n">
        <v>4</v>
      </c>
      <c r="U227" s="17" t="n">
        <v>0.00189354490541743</v>
      </c>
      <c r="V227" s="17" t="n">
        <v>40383</v>
      </c>
      <c r="W227" s="17" t="n">
        <v>230748</v>
      </c>
      <c r="X227" s="17" t="n">
        <v>17.5009100837277</v>
      </c>
      <c r="Y227" s="17" t="n">
        <v>2856</v>
      </c>
      <c r="Z227" s="17" t="n">
        <v>0.78798488592015</v>
      </c>
      <c r="AA227" s="17" t="n">
        <v>8.79</v>
      </c>
      <c r="AB227" s="17" t="n">
        <v>3.74117535947867</v>
      </c>
      <c r="AC227" s="17" t="n">
        <v>1.51664848311739</v>
      </c>
      <c r="AD227" s="17" t="n">
        <v>0.08</v>
      </c>
      <c r="AE227" s="17" t="n">
        <v>1</v>
      </c>
      <c r="AF227" s="17" t="s">
        <v>231</v>
      </c>
      <c r="AG227" s="17" t="s">
        <v>232</v>
      </c>
      <c r="AH227" s="17" t="n">
        <v>0</v>
      </c>
    </row>
    <row r="228" customFormat="false" ht="15" hidden="false" customHeight="false" outlineLevel="0" collapsed="false">
      <c r="A228" s="17" t="n">
        <v>14240</v>
      </c>
      <c r="B228" s="23" t="n">
        <v>45016</v>
      </c>
      <c r="C228" s="17" t="s">
        <v>195</v>
      </c>
      <c r="D228" s="17" t="s">
        <v>116</v>
      </c>
      <c r="E228" s="17" t="n">
        <v>1364518</v>
      </c>
      <c r="F228" s="17" t="n">
        <v>1331145.5</v>
      </c>
      <c r="G228" s="17" t="n">
        <v>1019790</v>
      </c>
      <c r="H228" s="17" t="n">
        <v>86202</v>
      </c>
      <c r="I228" s="17" t="n">
        <v>6.31739559316916</v>
      </c>
      <c r="J228" s="17" t="n">
        <v>950254</v>
      </c>
      <c r="K228" s="17" t="n">
        <v>940134</v>
      </c>
      <c r="L228" s="17" t="n">
        <v>939162</v>
      </c>
      <c r="M228" s="17" t="n">
        <v>832225</v>
      </c>
      <c r="N228" s="17" t="n">
        <v>24984</v>
      </c>
      <c r="O228" s="17" t="n">
        <v>17932</v>
      </c>
      <c r="P228" s="17" t="n">
        <v>2251</v>
      </c>
      <c r="Q228" s="17" t="n">
        <v>2644</v>
      </c>
      <c r="R228" s="17" t="n">
        <v>0</v>
      </c>
      <c r="S228" s="17" t="n">
        <v>26</v>
      </c>
      <c r="T228" s="17" t="n">
        <v>104</v>
      </c>
      <c r="U228" s="17" t="n">
        <v>0.0110622528277884</v>
      </c>
      <c r="V228" s="17" t="n">
        <v>122340</v>
      </c>
      <c r="W228" s="17" t="n">
        <v>828587</v>
      </c>
      <c r="X228" s="17" t="n">
        <v>14.7648949355952</v>
      </c>
      <c r="Y228" s="17" t="n">
        <v>5876</v>
      </c>
      <c r="Z228" s="17" t="n">
        <v>0.441424322134583</v>
      </c>
      <c r="AA228" s="17" t="n">
        <v>7.03</v>
      </c>
      <c r="AB228" s="17" t="n">
        <v>2.9700610541535</v>
      </c>
      <c r="AC228" s="17" t="n">
        <v>1.1672668570719</v>
      </c>
      <c r="AD228" s="17" t="n">
        <v>0</v>
      </c>
      <c r="AE228" s="17" t="n">
        <v>0</v>
      </c>
      <c r="AF228" s="17" t="s">
        <v>231</v>
      </c>
      <c r="AG228" s="17" t="s">
        <v>232</v>
      </c>
      <c r="AH228" s="17" t="n">
        <v>0</v>
      </c>
    </row>
    <row r="229" customFormat="false" ht="15" hidden="false" customHeight="false" outlineLevel="0" collapsed="false">
      <c r="A229" s="17" t="n">
        <v>17115</v>
      </c>
      <c r="B229" s="23" t="n">
        <v>45016</v>
      </c>
      <c r="C229" s="17" t="s">
        <v>143</v>
      </c>
      <c r="D229" s="17" t="s">
        <v>108</v>
      </c>
      <c r="E229" s="17" t="n">
        <v>1044604</v>
      </c>
      <c r="F229" s="17" t="n">
        <v>1024699.5</v>
      </c>
      <c r="G229" s="17" t="n">
        <v>888210</v>
      </c>
      <c r="H229" s="17" t="n">
        <v>82605</v>
      </c>
      <c r="I229" s="17" t="n">
        <v>7.90778132191721</v>
      </c>
      <c r="J229" s="17" t="n">
        <v>860779</v>
      </c>
      <c r="K229" s="17" t="n">
        <v>847116</v>
      </c>
      <c r="L229" s="17" t="n">
        <v>851929</v>
      </c>
      <c r="M229" s="17" t="n">
        <v>814065</v>
      </c>
      <c r="N229" s="17" t="n">
        <v>41130</v>
      </c>
      <c r="O229" s="17" t="n">
        <v>4630</v>
      </c>
      <c r="P229" s="17" t="n">
        <v>259</v>
      </c>
      <c r="Q229" s="17" t="n">
        <v>37</v>
      </c>
      <c r="R229" s="17" t="n">
        <v>0</v>
      </c>
      <c r="S229" s="17" t="n">
        <v>7</v>
      </c>
      <c r="T229" s="17" t="n">
        <v>28</v>
      </c>
      <c r="U229" s="17" t="n">
        <v>0.00330533244561548</v>
      </c>
      <c r="V229" s="17" t="n">
        <v>104783</v>
      </c>
      <c r="W229" s="17" t="n">
        <v>768946</v>
      </c>
      <c r="X229" s="17" t="n">
        <v>13.626834654189</v>
      </c>
      <c r="Y229" s="17" t="n">
        <v>7116</v>
      </c>
      <c r="Z229" s="17" t="n">
        <v>0.694447494119008</v>
      </c>
      <c r="AA229" s="17" t="n">
        <v>8.83</v>
      </c>
      <c r="AB229" s="17" t="n">
        <v>3.14233773367192</v>
      </c>
      <c r="AC229" s="17" t="n">
        <v>1.0281384652739</v>
      </c>
      <c r="AD229" s="17" t="n">
        <v>0.03</v>
      </c>
      <c r="AE229" s="17" t="n">
        <v>1</v>
      </c>
      <c r="AF229" s="17" t="s">
        <v>241</v>
      </c>
      <c r="AG229" s="17" t="s">
        <v>232</v>
      </c>
      <c r="AH229" s="17" t="n">
        <v>0</v>
      </c>
    </row>
    <row r="230" customFormat="false" ht="15" hidden="false" customHeight="false" outlineLevel="0" collapsed="false">
      <c r="A230" s="17" t="n">
        <v>17180</v>
      </c>
      <c r="B230" s="23" t="n">
        <v>45016</v>
      </c>
      <c r="C230" s="17" t="s">
        <v>127</v>
      </c>
      <c r="D230" s="17" t="s">
        <v>116</v>
      </c>
      <c r="E230" s="17" t="n">
        <v>1570158</v>
      </c>
      <c r="F230" s="17" t="n">
        <v>1561519.5</v>
      </c>
      <c r="G230" s="17" t="n">
        <v>1147694</v>
      </c>
      <c r="H230" s="17" t="n">
        <v>131076</v>
      </c>
      <c r="I230" s="17" t="n">
        <v>8.34794969678211</v>
      </c>
      <c r="J230" s="17" t="n">
        <v>1410571</v>
      </c>
      <c r="K230" s="17" t="n">
        <v>1400306.5</v>
      </c>
      <c r="L230" s="17" t="n">
        <v>1397271</v>
      </c>
      <c r="M230" s="17" t="n">
        <v>1135680</v>
      </c>
      <c r="N230" s="17" t="n">
        <v>49856</v>
      </c>
      <c r="O230" s="17" t="n">
        <v>201536</v>
      </c>
      <c r="P230" s="17" t="n">
        <v>4701</v>
      </c>
      <c r="Q230" s="17" t="n">
        <v>1615</v>
      </c>
      <c r="R230" s="17" t="n">
        <v>0</v>
      </c>
      <c r="S230" s="17" t="n">
        <v>72</v>
      </c>
      <c r="T230" s="17" t="n">
        <v>288</v>
      </c>
      <c r="U230" s="17" t="n">
        <v>0.0205669258837262</v>
      </c>
      <c r="V230" s="17" t="n">
        <v>155937</v>
      </c>
      <c r="W230" s="17" t="n">
        <v>1132129</v>
      </c>
      <c r="X230" s="17" t="n">
        <v>13.7737837295927</v>
      </c>
      <c r="Y230" s="17" t="n">
        <v>7948</v>
      </c>
      <c r="Z230" s="17" t="n">
        <v>0.508991402284762</v>
      </c>
      <c r="AA230" s="17" t="n">
        <v>6.14</v>
      </c>
      <c r="AB230" s="17" t="n">
        <v>3.04575475622422</v>
      </c>
      <c r="AC230" s="17" t="n">
        <v>0.942880578148849</v>
      </c>
      <c r="AD230" s="17" t="n">
        <v>0.11</v>
      </c>
      <c r="AE230" s="17" t="n">
        <v>1</v>
      </c>
      <c r="AF230" s="17" t="s">
        <v>241</v>
      </c>
      <c r="AG230" s="17" t="s">
        <v>232</v>
      </c>
      <c r="AH230" s="17" t="n">
        <v>0</v>
      </c>
    </row>
    <row r="231" customFormat="false" ht="15" hidden="false" customHeight="false" outlineLevel="0" collapsed="false">
      <c r="A231" s="17" t="n">
        <v>17443</v>
      </c>
      <c r="B231" s="23" t="n">
        <v>45016</v>
      </c>
      <c r="C231" s="17" t="s">
        <v>132</v>
      </c>
      <c r="D231" s="17" t="s">
        <v>116</v>
      </c>
      <c r="E231" s="17" t="n">
        <v>371402</v>
      </c>
      <c r="F231" s="17" t="n">
        <v>376183.5</v>
      </c>
      <c r="G231" s="17" t="n">
        <v>330910</v>
      </c>
      <c r="H231" s="17" t="n">
        <v>39228</v>
      </c>
      <c r="I231" s="17" t="n">
        <v>10.5621402146461</v>
      </c>
      <c r="J231" s="17" t="n">
        <v>208618</v>
      </c>
      <c r="K231" s="17" t="n">
        <v>207583.5</v>
      </c>
      <c r="L231" s="17" t="n">
        <v>206887</v>
      </c>
      <c r="M231" s="17" t="n">
        <v>206692</v>
      </c>
      <c r="N231" s="17" t="n">
        <v>0</v>
      </c>
      <c r="O231" s="17" t="n">
        <v>927</v>
      </c>
      <c r="P231" s="17" t="n">
        <v>250</v>
      </c>
      <c r="Q231" s="17" t="n">
        <v>520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388</v>
      </c>
      <c r="Z231" s="17" t="n">
        <v>0.103141153187208</v>
      </c>
      <c r="AA231" s="17" t="n">
        <v>1</v>
      </c>
      <c r="AB231" s="17" t="n">
        <v>1.74122890578543</v>
      </c>
      <c r="AC231" s="17" t="n">
        <v>0.829746234744845</v>
      </c>
      <c r="AD231" s="17" t="n">
        <v>0.04</v>
      </c>
      <c r="AE231" s="17" t="n">
        <v>1</v>
      </c>
      <c r="AF231" s="17" t="s">
        <v>241</v>
      </c>
      <c r="AG231" s="17" t="s">
        <v>232</v>
      </c>
      <c r="AH231" s="17" t="n">
        <v>1</v>
      </c>
    </row>
    <row r="232" customFormat="false" ht="15" hidden="false" customHeight="false" outlineLevel="0" collapsed="false">
      <c r="A232" s="17" t="n">
        <v>17658</v>
      </c>
      <c r="B232" s="23" t="n">
        <v>45016</v>
      </c>
      <c r="C232" s="17" t="s">
        <v>144</v>
      </c>
      <c r="D232" s="17" t="s">
        <v>108</v>
      </c>
      <c r="E232" s="17" t="n">
        <v>1830565</v>
      </c>
      <c r="F232" s="17" t="n">
        <v>1812850.5</v>
      </c>
      <c r="G232" s="17" t="n">
        <v>1563995</v>
      </c>
      <c r="H232" s="17" t="n">
        <v>199630</v>
      </c>
      <c r="I232" s="17" t="n">
        <v>10.9053762089847</v>
      </c>
      <c r="J232" s="17" t="n">
        <v>1233738</v>
      </c>
      <c r="K232" s="17" t="n">
        <v>1224406</v>
      </c>
      <c r="L232" s="17" t="n">
        <v>1226295</v>
      </c>
      <c r="M232" s="17" t="n">
        <v>1063253</v>
      </c>
      <c r="N232" s="17" t="n">
        <v>89661</v>
      </c>
      <c r="O232" s="17" t="n">
        <v>67833</v>
      </c>
      <c r="P232" s="17" t="n">
        <v>672</v>
      </c>
      <c r="Q232" s="17" t="n">
        <v>1867</v>
      </c>
      <c r="R232" s="17" t="n">
        <v>0</v>
      </c>
      <c r="S232" s="17" t="n">
        <v>-7</v>
      </c>
      <c r="T232" s="17" t="n">
        <v>-28</v>
      </c>
      <c r="U232" s="17" t="n">
        <v>-0.00228682316159836</v>
      </c>
      <c r="V232" s="17" t="n">
        <v>0</v>
      </c>
      <c r="W232" s="17" t="n">
        <v>0</v>
      </c>
      <c r="X232" s="17" t="n">
        <v>0</v>
      </c>
      <c r="Y232" s="17" t="n">
        <v>19664</v>
      </c>
      <c r="Z232" s="17" t="n">
        <v>1.0847005861763</v>
      </c>
      <c r="AA232" s="17" t="n">
        <v>10.15</v>
      </c>
      <c r="AB232" s="17" t="n">
        <v>3.49825185127277</v>
      </c>
      <c r="AC232" s="17" t="n">
        <v>0.603288542624123</v>
      </c>
      <c r="AD232" s="17" t="n">
        <v>0.02</v>
      </c>
      <c r="AE232" s="17" t="n">
        <v>1</v>
      </c>
      <c r="AF232" s="17" t="s">
        <v>241</v>
      </c>
      <c r="AG232" s="17" t="s">
        <v>232</v>
      </c>
      <c r="AH232" s="17" t="n">
        <v>0</v>
      </c>
    </row>
    <row r="233" customFormat="false" ht="15" hidden="false" customHeight="false" outlineLevel="0" collapsed="false">
      <c r="A233" s="17" t="n">
        <v>17741</v>
      </c>
      <c r="B233" s="23" t="n">
        <v>45016</v>
      </c>
      <c r="C233" s="17" t="s">
        <v>161</v>
      </c>
      <c r="D233" s="17" t="s">
        <v>108</v>
      </c>
      <c r="E233" s="17" t="n">
        <v>1010266</v>
      </c>
      <c r="F233" s="17" t="n">
        <v>1007277.5</v>
      </c>
      <c r="G233" s="17" t="n">
        <v>833199</v>
      </c>
      <c r="H233" s="17" t="n">
        <v>132521</v>
      </c>
      <c r="I233" s="17" t="n">
        <v>13.1174363979388</v>
      </c>
      <c r="J233" s="17" t="n">
        <v>842535</v>
      </c>
      <c r="K233" s="17" t="n">
        <v>845480</v>
      </c>
      <c r="L233" s="17" t="n">
        <v>834361</v>
      </c>
      <c r="M233" s="17" t="n">
        <v>791960</v>
      </c>
      <c r="N233" s="17" t="n">
        <v>43923</v>
      </c>
      <c r="O233" s="17" t="n">
        <v>3582</v>
      </c>
      <c r="P233" s="17" t="n">
        <v>1676</v>
      </c>
      <c r="Q233" s="17" t="n">
        <v>2512</v>
      </c>
      <c r="R233" s="17" t="n">
        <v>0</v>
      </c>
      <c r="S233" s="17" t="n">
        <v>-2</v>
      </c>
      <c r="T233" s="17" t="n">
        <v>-8</v>
      </c>
      <c r="U233" s="17" t="n">
        <v>-0.000946208071154847</v>
      </c>
      <c r="V233" s="17" t="n">
        <v>0</v>
      </c>
      <c r="W233" s="17" t="n">
        <v>0</v>
      </c>
      <c r="X233" s="17" t="n">
        <v>0</v>
      </c>
      <c r="Y233" s="17" t="n">
        <v>7896</v>
      </c>
      <c r="Z233" s="17" t="n">
        <v>0.783895202662623</v>
      </c>
      <c r="AA233" s="17" t="n">
        <v>6.01</v>
      </c>
      <c r="AB233" s="17" t="n">
        <v>3.62976174766622</v>
      </c>
      <c r="AC233" s="17" t="n">
        <v>0.970167411442848</v>
      </c>
      <c r="AD233" s="17" t="n">
        <v>0.04</v>
      </c>
      <c r="AE233" s="17" t="n">
        <v>1</v>
      </c>
      <c r="AF233" s="17" t="s">
        <v>241</v>
      </c>
      <c r="AG233" s="17" t="s">
        <v>232</v>
      </c>
      <c r="AH233" s="17" t="n">
        <v>0</v>
      </c>
    </row>
    <row r="234" customFormat="false" ht="15" hidden="false" customHeight="false" outlineLevel="0" collapsed="false">
      <c r="A234" s="17" t="n">
        <v>17743</v>
      </c>
      <c r="B234" s="23" t="n">
        <v>45016</v>
      </c>
      <c r="C234" s="17" t="s">
        <v>129</v>
      </c>
      <c r="D234" s="17" t="s">
        <v>108</v>
      </c>
      <c r="E234" s="17" t="n">
        <v>1303794</v>
      </c>
      <c r="F234" s="17" t="n">
        <v>1290078</v>
      </c>
      <c r="G234" s="17" t="n">
        <v>997602</v>
      </c>
      <c r="H234" s="17" t="n">
        <v>122164</v>
      </c>
      <c r="I234" s="17" t="n">
        <v>9.36988511988857</v>
      </c>
      <c r="J234" s="17" t="n">
        <v>1009203</v>
      </c>
      <c r="K234" s="17" t="n">
        <v>996653.5</v>
      </c>
      <c r="L234" s="17" t="n">
        <v>1004494</v>
      </c>
      <c r="M234" s="17" t="n">
        <v>979266</v>
      </c>
      <c r="N234" s="17" t="n">
        <v>10295</v>
      </c>
      <c r="O234" s="17" t="n">
        <v>7106</v>
      </c>
      <c r="P234" s="17" t="n">
        <v>2506</v>
      </c>
      <c r="Q234" s="17" t="n">
        <v>3655</v>
      </c>
      <c r="R234" s="17" t="n">
        <v>0</v>
      </c>
      <c r="S234" s="17" t="n">
        <v>-13</v>
      </c>
      <c r="T234" s="17" t="n">
        <v>-52</v>
      </c>
      <c r="U234" s="17" t="n">
        <v>-0.00521746023066191</v>
      </c>
      <c r="V234" s="17" t="n">
        <v>0</v>
      </c>
      <c r="W234" s="17" t="n">
        <v>0</v>
      </c>
      <c r="X234" s="17" t="n">
        <v>0</v>
      </c>
      <c r="Y234" s="17" t="n">
        <v>1100</v>
      </c>
      <c r="Z234" s="17" t="n">
        <v>0.0852661622010452</v>
      </c>
      <c r="AA234" s="17" t="n">
        <v>0.91</v>
      </c>
      <c r="AB234" s="17" t="n">
        <v>2.16823970331417</v>
      </c>
      <c r="AC234" s="17" t="n">
        <v>0.466605826578003</v>
      </c>
      <c r="AD234" s="17" t="n">
        <v>0</v>
      </c>
      <c r="AE234" s="17" t="n">
        <v>1</v>
      </c>
      <c r="AF234" s="17" t="s">
        <v>241</v>
      </c>
      <c r="AG234" s="17" t="s">
        <v>232</v>
      </c>
      <c r="AH234" s="17" t="n">
        <v>1</v>
      </c>
    </row>
    <row r="235" customFormat="false" ht="15" hidden="false" customHeight="false" outlineLevel="0" collapsed="false">
      <c r="A235" s="17" t="n">
        <v>17748</v>
      </c>
      <c r="B235" s="23" t="n">
        <v>45016</v>
      </c>
      <c r="C235" s="17" t="s">
        <v>196</v>
      </c>
      <c r="D235" s="17" t="s">
        <v>108</v>
      </c>
      <c r="E235" s="17" t="n">
        <v>1649776</v>
      </c>
      <c r="F235" s="17" t="n">
        <v>1628880</v>
      </c>
      <c r="G235" s="17" t="n">
        <v>1413359</v>
      </c>
      <c r="H235" s="17" t="n">
        <v>110285</v>
      </c>
      <c r="I235" s="17" t="n">
        <v>6.68484691255055</v>
      </c>
      <c r="J235" s="17" t="n">
        <v>1247367</v>
      </c>
      <c r="K235" s="17" t="n">
        <v>1244286</v>
      </c>
      <c r="L235" s="17" t="n">
        <v>1237527</v>
      </c>
      <c r="M235" s="17" t="n">
        <v>1051242</v>
      </c>
      <c r="N235" s="17" t="n">
        <v>161096</v>
      </c>
      <c r="O235" s="17" t="n">
        <v>3255</v>
      </c>
      <c r="P235" s="17" t="n">
        <v>6401</v>
      </c>
      <c r="Q235" s="17" t="n">
        <v>2887</v>
      </c>
      <c r="R235" s="17" t="n">
        <v>0</v>
      </c>
      <c r="S235" s="17" t="n">
        <v>1111</v>
      </c>
      <c r="T235" s="17" t="n">
        <v>4444</v>
      </c>
      <c r="U235" s="17" t="n">
        <v>0.357152616038435</v>
      </c>
      <c r="V235" s="17" t="n">
        <v>0</v>
      </c>
      <c r="W235" s="17" t="n">
        <v>0</v>
      </c>
      <c r="X235" s="17" t="n">
        <v>0</v>
      </c>
      <c r="Y235" s="17" t="n">
        <v>1812</v>
      </c>
      <c r="Z235" s="17" t="n">
        <v>0.111242080447915</v>
      </c>
      <c r="AA235" s="17" t="n">
        <v>1.67</v>
      </c>
      <c r="AB235" s="17" t="n">
        <v>2.55248226856839</v>
      </c>
      <c r="AC235" s="17" t="n">
        <v>0.788861658196826</v>
      </c>
      <c r="AD235" s="17" t="n">
        <v>0.2</v>
      </c>
      <c r="AE235" s="17" t="n">
        <v>0</v>
      </c>
      <c r="AF235" s="17" t="s">
        <v>241</v>
      </c>
      <c r="AG235" s="17" t="s">
        <v>232</v>
      </c>
      <c r="AH235" s="17" t="n">
        <v>0</v>
      </c>
    </row>
    <row r="236" customFormat="false" ht="15" hidden="false" customHeight="false" outlineLevel="0" collapsed="false">
      <c r="A236" s="17" t="n">
        <v>17749</v>
      </c>
      <c r="B236" s="23" t="n">
        <v>45016</v>
      </c>
      <c r="C236" s="17" t="s">
        <v>156</v>
      </c>
      <c r="D236" s="17" t="s">
        <v>108</v>
      </c>
      <c r="E236" s="17" t="n">
        <v>1286254</v>
      </c>
      <c r="F236" s="17" t="n">
        <v>1281602.5</v>
      </c>
      <c r="G236" s="17" t="n">
        <v>1024638</v>
      </c>
      <c r="H236" s="17" t="n">
        <v>162250</v>
      </c>
      <c r="I236" s="17" t="n">
        <v>12.6141493048807</v>
      </c>
      <c r="J236" s="17" t="n">
        <v>748128</v>
      </c>
      <c r="K236" s="17" t="n">
        <v>736470.5</v>
      </c>
      <c r="L236" s="17" t="n">
        <v>737350</v>
      </c>
      <c r="M236" s="17" t="n">
        <v>677598</v>
      </c>
      <c r="N236" s="17" t="n">
        <v>49547</v>
      </c>
      <c r="O236" s="17" t="n">
        <v>9780</v>
      </c>
      <c r="P236" s="17" t="n">
        <v>210</v>
      </c>
      <c r="Q236" s="17" t="n">
        <v>1358</v>
      </c>
      <c r="R236" s="17" t="n">
        <v>0</v>
      </c>
      <c r="S236" s="17" t="n">
        <v>7</v>
      </c>
      <c r="T236" s="17" t="n">
        <v>28</v>
      </c>
      <c r="U236" s="17" t="n">
        <v>0.00380191738840863</v>
      </c>
      <c r="V236" s="17" t="n">
        <v>0</v>
      </c>
      <c r="W236" s="17" t="n">
        <v>0</v>
      </c>
      <c r="X236" s="17" t="n">
        <v>0</v>
      </c>
      <c r="Y236" s="17" t="n">
        <v>16880</v>
      </c>
      <c r="Z236" s="17" t="n">
        <v>1.31710105122298</v>
      </c>
      <c r="AA236" s="17" t="n">
        <v>10.8</v>
      </c>
      <c r="AB236" s="17" t="n">
        <v>2.9879296742975</v>
      </c>
      <c r="AC236" s="17" t="n">
        <v>1.44066256041747</v>
      </c>
      <c r="AD236" s="17" t="n">
        <v>0.05</v>
      </c>
      <c r="AE236" s="17" t="n">
        <v>1</v>
      </c>
      <c r="AF236" s="17" t="s">
        <v>241</v>
      </c>
      <c r="AG236" s="17" t="s">
        <v>232</v>
      </c>
      <c r="AH236" s="17" t="n">
        <v>1</v>
      </c>
    </row>
    <row r="237" customFormat="false" ht="15" hidden="false" customHeight="false" outlineLevel="0" collapsed="false">
      <c r="A237" s="17" t="n">
        <v>17751</v>
      </c>
      <c r="B237" s="23" t="n">
        <v>45016</v>
      </c>
      <c r="C237" s="17" t="s">
        <v>125</v>
      </c>
      <c r="D237" s="17" t="s">
        <v>108</v>
      </c>
      <c r="E237" s="17" t="n">
        <v>1498353</v>
      </c>
      <c r="F237" s="17" t="n">
        <v>1474194.5</v>
      </c>
      <c r="G237" s="17" t="n">
        <v>1191607</v>
      </c>
      <c r="H237" s="17" t="n">
        <v>129181</v>
      </c>
      <c r="I237" s="17" t="n">
        <v>8.62153311002147</v>
      </c>
      <c r="J237" s="17" t="n">
        <v>1213041</v>
      </c>
      <c r="K237" s="17" t="n">
        <v>1211680.5</v>
      </c>
      <c r="L237" s="17" t="n">
        <v>1201597</v>
      </c>
      <c r="M237" s="17" t="n">
        <v>1050455</v>
      </c>
      <c r="N237" s="17" t="n">
        <v>113658</v>
      </c>
      <c r="O237" s="17" t="n">
        <v>1501</v>
      </c>
      <c r="P237" s="17" t="n">
        <v>2844</v>
      </c>
      <c r="Q237" s="17" t="n">
        <v>2201</v>
      </c>
      <c r="R237" s="17" t="n">
        <v>0</v>
      </c>
      <c r="S237" s="17" t="n">
        <v>4071</v>
      </c>
      <c r="T237" s="17" t="n">
        <v>16284</v>
      </c>
      <c r="U237" s="17" t="n">
        <v>1.34391863201562</v>
      </c>
      <c r="V237" s="17" t="n">
        <v>154840</v>
      </c>
      <c r="W237" s="17" t="n">
        <v>1177854</v>
      </c>
      <c r="X237" s="17" t="n">
        <v>13.1459416871701</v>
      </c>
      <c r="Y237" s="17" t="n">
        <v>8512</v>
      </c>
      <c r="Z237" s="17" t="n">
        <v>0.577400064916807</v>
      </c>
      <c r="AA237" s="17" t="n">
        <v>6.69</v>
      </c>
      <c r="AB237" s="17" t="n">
        <v>3.21523746744756</v>
      </c>
      <c r="AC237" s="17" t="n">
        <v>0.943414113785107</v>
      </c>
      <c r="AD237" s="17" t="n">
        <v>0.08</v>
      </c>
      <c r="AE237" s="17" t="n">
        <v>1</v>
      </c>
      <c r="AF237" s="17" t="s">
        <v>241</v>
      </c>
      <c r="AG237" s="17" t="s">
        <v>232</v>
      </c>
      <c r="AH237" s="17" t="n">
        <v>0</v>
      </c>
    </row>
    <row r="238" customFormat="false" ht="15" hidden="false" customHeight="false" outlineLevel="0" collapsed="false">
      <c r="A238" s="17" t="n">
        <v>17897</v>
      </c>
      <c r="B238" s="23" t="n">
        <v>45016</v>
      </c>
      <c r="C238" s="17" t="s">
        <v>149</v>
      </c>
      <c r="D238" s="17" t="s">
        <v>108</v>
      </c>
      <c r="E238" s="17" t="n">
        <v>1665050</v>
      </c>
      <c r="F238" s="17" t="n">
        <v>1652736</v>
      </c>
      <c r="G238" s="17" t="n">
        <v>1329955</v>
      </c>
      <c r="H238" s="17" t="n">
        <v>200040</v>
      </c>
      <c r="I238" s="17" t="n">
        <v>12.0140536320231</v>
      </c>
      <c r="J238" s="17" t="n">
        <v>1405330</v>
      </c>
      <c r="K238" s="17" t="n">
        <v>1393678</v>
      </c>
      <c r="L238" s="17" t="n">
        <v>1396856</v>
      </c>
      <c r="M238" s="17" t="n">
        <v>1322849</v>
      </c>
      <c r="N238" s="17" t="n">
        <v>69971</v>
      </c>
      <c r="O238" s="17" t="n">
        <v>3501</v>
      </c>
      <c r="P238" s="17" t="n">
        <v>3806</v>
      </c>
      <c r="Q238" s="17" t="n">
        <v>1292</v>
      </c>
      <c r="R238" s="17" t="n">
        <v>16</v>
      </c>
      <c r="S238" s="17" t="n">
        <v>-101</v>
      </c>
      <c r="T238" s="17" t="n">
        <v>-404</v>
      </c>
      <c r="U238" s="17" t="n">
        <v>-0.0289880445841866</v>
      </c>
      <c r="V238" s="17" t="n">
        <v>0</v>
      </c>
      <c r="W238" s="17" t="n">
        <v>0</v>
      </c>
      <c r="X238" s="17" t="n">
        <v>0</v>
      </c>
      <c r="Y238" s="17" t="n">
        <v>10856</v>
      </c>
      <c r="Z238" s="17" t="n">
        <v>0.65685021685254</v>
      </c>
      <c r="AA238" s="17" t="n">
        <v>5.48</v>
      </c>
      <c r="AB238" s="17" t="n">
        <v>2.67608748065265</v>
      </c>
      <c r="AC238" s="17" t="n">
        <v>0.602990045042801</v>
      </c>
      <c r="AD238" s="17" t="n">
        <v>-0.05</v>
      </c>
      <c r="AE238" s="17" t="n">
        <v>1</v>
      </c>
      <c r="AF238" s="17" t="s">
        <v>241</v>
      </c>
      <c r="AG238" s="17" t="s">
        <v>232</v>
      </c>
      <c r="AH238" s="17" t="n">
        <v>0</v>
      </c>
    </row>
    <row r="239" customFormat="false" ht="15" hidden="false" customHeight="false" outlineLevel="0" collapsed="false">
      <c r="A239" s="17" t="n">
        <v>17951</v>
      </c>
      <c r="B239" s="23" t="n">
        <v>45016</v>
      </c>
      <c r="C239" s="17" t="s">
        <v>136</v>
      </c>
      <c r="D239" s="17" t="s">
        <v>116</v>
      </c>
      <c r="E239" s="17" t="n">
        <v>753464</v>
      </c>
      <c r="F239" s="17" t="n">
        <v>757678</v>
      </c>
      <c r="G239" s="17" t="n">
        <v>678863</v>
      </c>
      <c r="H239" s="17" t="n">
        <v>57390</v>
      </c>
      <c r="I239" s="17" t="n">
        <v>7.61682044530329</v>
      </c>
      <c r="J239" s="17" t="n">
        <v>536149</v>
      </c>
      <c r="K239" s="17" t="n">
        <v>534359</v>
      </c>
      <c r="L239" s="17" t="n">
        <v>531379</v>
      </c>
      <c r="M239" s="17" t="n">
        <v>498891</v>
      </c>
      <c r="N239" s="17" t="n">
        <v>22713</v>
      </c>
      <c r="O239" s="17" t="n">
        <v>1774</v>
      </c>
      <c r="P239" s="17" t="n">
        <v>68</v>
      </c>
      <c r="Q239" s="17" t="n">
        <v>2194</v>
      </c>
      <c r="R239" s="17" t="n">
        <v>0</v>
      </c>
      <c r="S239" s="17" t="n">
        <v>-203</v>
      </c>
      <c r="T239" s="17" t="n">
        <v>-812</v>
      </c>
      <c r="U239" s="17" t="n">
        <v>-0.151957766220837</v>
      </c>
      <c r="V239" s="17" t="n">
        <v>76686</v>
      </c>
      <c r="W239" s="17" t="n">
        <v>523004</v>
      </c>
      <c r="X239" s="17" t="n">
        <v>14.6626029628837</v>
      </c>
      <c r="Y239" s="17" t="n">
        <v>4316</v>
      </c>
      <c r="Z239" s="17" t="n">
        <v>0.569635122043929</v>
      </c>
      <c r="AA239" s="17" t="n">
        <v>7.67</v>
      </c>
      <c r="AB239" s="17" t="n">
        <v>2.83578052985655</v>
      </c>
      <c r="AC239" s="17" t="n">
        <v>0.889678055913561</v>
      </c>
      <c r="AD239" s="17" t="n">
        <v>0.12</v>
      </c>
      <c r="AE239" s="17" t="n">
        <v>1</v>
      </c>
      <c r="AF239" s="17" t="s">
        <v>241</v>
      </c>
      <c r="AG239" s="17" t="s">
        <v>232</v>
      </c>
      <c r="AH239" s="17" t="n">
        <v>0</v>
      </c>
    </row>
    <row r="240" customFormat="false" ht="15" hidden="false" customHeight="false" outlineLevel="0" collapsed="false">
      <c r="A240" s="17" t="n">
        <v>17960</v>
      </c>
      <c r="B240" s="23" t="n">
        <v>45016</v>
      </c>
      <c r="C240" s="17" t="s">
        <v>115</v>
      </c>
      <c r="D240" s="17" t="s">
        <v>116</v>
      </c>
      <c r="E240" s="17" t="n">
        <v>1332758</v>
      </c>
      <c r="F240" s="17" t="n">
        <v>1325252</v>
      </c>
      <c r="G240" s="17" t="n">
        <v>1015763</v>
      </c>
      <c r="H240" s="17" t="n">
        <v>107964</v>
      </c>
      <c r="I240" s="17" t="n">
        <v>8.10079549325534</v>
      </c>
      <c r="J240" s="17" t="n">
        <v>1141207</v>
      </c>
      <c r="K240" s="17" t="n">
        <v>1129553.5</v>
      </c>
      <c r="L240" s="17" t="n">
        <v>1129791</v>
      </c>
      <c r="M240" s="17" t="n">
        <v>821435</v>
      </c>
      <c r="N240" s="17" t="n">
        <v>113261</v>
      </c>
      <c r="O240" s="17" t="n">
        <v>202345</v>
      </c>
      <c r="P240" s="17" t="n">
        <v>821</v>
      </c>
      <c r="Q240" s="17" t="n">
        <v>2222</v>
      </c>
      <c r="R240" s="17" t="n">
        <v>0</v>
      </c>
      <c r="S240" s="17" t="n">
        <v>23</v>
      </c>
      <c r="T240" s="17" t="n">
        <v>92</v>
      </c>
      <c r="U240" s="17" t="n">
        <v>0.00814481120194838</v>
      </c>
      <c r="V240" s="17" t="n">
        <v>133979</v>
      </c>
      <c r="W240" s="17" t="n">
        <v>1040683</v>
      </c>
      <c r="X240" s="17" t="n">
        <v>12.874141309121</v>
      </c>
      <c r="Y240" s="17" t="n">
        <v>7368</v>
      </c>
      <c r="Z240" s="17" t="n">
        <v>0.555969732548979</v>
      </c>
      <c r="AA240" s="17" t="n">
        <v>6.94</v>
      </c>
      <c r="AB240" s="17" t="n">
        <v>2.98488627502336</v>
      </c>
      <c r="AC240" s="17" t="n">
        <v>1.00034437223045</v>
      </c>
      <c r="AD240" s="17" t="n">
        <v>0.05</v>
      </c>
      <c r="AE240" s="17" t="n">
        <v>1</v>
      </c>
      <c r="AF240" s="17" t="s">
        <v>241</v>
      </c>
      <c r="AG240" s="17" t="s">
        <v>232</v>
      </c>
      <c r="AH240" s="17" t="n">
        <v>0</v>
      </c>
    </row>
    <row r="241" customFormat="false" ht="15" hidden="false" customHeight="false" outlineLevel="0" collapsed="false">
      <c r="A241" s="17" t="n">
        <v>18012</v>
      </c>
      <c r="B241" s="23" t="n">
        <v>45016</v>
      </c>
      <c r="C241" s="17" t="s">
        <v>148</v>
      </c>
      <c r="D241" s="17" t="s">
        <v>116</v>
      </c>
      <c r="E241" s="17" t="n">
        <v>2429028</v>
      </c>
      <c r="F241" s="17" t="n">
        <v>2430525</v>
      </c>
      <c r="G241" s="17" t="n">
        <v>2050411</v>
      </c>
      <c r="H241" s="17" t="n">
        <v>248764</v>
      </c>
      <c r="I241" s="17" t="n">
        <v>10.2412981653567</v>
      </c>
      <c r="J241" s="17" t="n">
        <v>1975493</v>
      </c>
      <c r="K241" s="17" t="n">
        <v>1969416</v>
      </c>
      <c r="L241" s="17" t="n">
        <v>1950430</v>
      </c>
      <c r="M241" s="17" t="n">
        <v>1870355</v>
      </c>
      <c r="N241" s="17" t="n">
        <v>46030</v>
      </c>
      <c r="O241" s="17" t="n">
        <v>34042</v>
      </c>
      <c r="P241" s="17" t="n">
        <v>1410</v>
      </c>
      <c r="Q241" s="17" t="n">
        <v>1100</v>
      </c>
      <c r="R241" s="17" t="n">
        <v>0</v>
      </c>
      <c r="S241" s="17" t="n">
        <v>46</v>
      </c>
      <c r="T241" s="17" t="n">
        <v>184</v>
      </c>
      <c r="U241" s="17" t="n">
        <v>0.00934287118617905</v>
      </c>
      <c r="V241" s="17" t="n">
        <v>285865</v>
      </c>
      <c r="W241" s="17" t="n">
        <v>2143386</v>
      </c>
      <c r="X241" s="17" t="n">
        <v>13.3370750765378</v>
      </c>
      <c r="Y241" s="17" t="n">
        <v>24148</v>
      </c>
      <c r="Z241" s="17" t="n">
        <v>0.993530204379712</v>
      </c>
      <c r="AA241" s="17" t="n">
        <v>9.89</v>
      </c>
      <c r="AB241" s="17" t="n">
        <v>3.23879774845535</v>
      </c>
      <c r="AC241" s="17" t="n">
        <v>1.26869596601962</v>
      </c>
      <c r="AD241" s="17" t="n">
        <v>0.06</v>
      </c>
      <c r="AE241" s="17" t="n">
        <v>1</v>
      </c>
      <c r="AF241" s="17" t="s">
        <v>314</v>
      </c>
      <c r="AG241" s="17" t="s">
        <v>232</v>
      </c>
      <c r="AH241" s="17" t="n">
        <v>0</v>
      </c>
    </row>
    <row r="242" customFormat="false" ht="15" hidden="false" customHeight="false" outlineLevel="0" collapsed="false">
      <c r="A242" s="17" t="n">
        <v>18013</v>
      </c>
      <c r="B242" s="23" t="n">
        <v>45016</v>
      </c>
      <c r="C242" s="17" t="s">
        <v>131</v>
      </c>
      <c r="D242" s="17" t="s">
        <v>116</v>
      </c>
      <c r="E242" s="17" t="n">
        <v>2733301</v>
      </c>
      <c r="F242" s="17" t="n">
        <v>2733402.5</v>
      </c>
      <c r="G242" s="17" t="n">
        <v>2369188</v>
      </c>
      <c r="H242" s="17" t="n">
        <v>210055</v>
      </c>
      <c r="I242" s="17" t="n">
        <v>7.68502993267116</v>
      </c>
      <c r="J242" s="17" t="n">
        <v>2203643</v>
      </c>
      <c r="K242" s="17" t="n">
        <v>2186566</v>
      </c>
      <c r="L242" s="17" t="n">
        <v>2187281</v>
      </c>
      <c r="M242" s="17" t="n">
        <v>2017963</v>
      </c>
      <c r="N242" s="17" t="n">
        <v>110218</v>
      </c>
      <c r="O242" s="17" t="n">
        <v>23888</v>
      </c>
      <c r="P242" s="17" t="n">
        <v>1023</v>
      </c>
      <c r="Q242" s="17" t="n">
        <v>3732</v>
      </c>
      <c r="R242" s="17" t="n">
        <v>0</v>
      </c>
      <c r="S242" s="17" t="n">
        <v>9</v>
      </c>
      <c r="T242" s="17" t="n">
        <v>36</v>
      </c>
      <c r="U242" s="17" t="n">
        <v>0.00164641725884332</v>
      </c>
      <c r="V242" s="17" t="n">
        <v>260258</v>
      </c>
      <c r="W242" s="17" t="n">
        <v>1955300</v>
      </c>
      <c r="X242" s="17" t="n">
        <v>13.3103871528666</v>
      </c>
      <c r="Y242" s="17" t="n">
        <v>12120</v>
      </c>
      <c r="Z242" s="17" t="n">
        <v>0.443403413877027</v>
      </c>
      <c r="AA242" s="17" t="n">
        <v>5.87</v>
      </c>
      <c r="AB242" s="17" t="n">
        <v>2.9811963289553</v>
      </c>
      <c r="AC242" s="17" t="n">
        <v>0.742497763930001</v>
      </c>
      <c r="AD242" s="17" t="n">
        <v>0.04</v>
      </c>
      <c r="AE242" s="17" t="n">
        <v>1</v>
      </c>
      <c r="AF242" s="17" t="s">
        <v>314</v>
      </c>
      <c r="AG242" s="17" t="s">
        <v>232</v>
      </c>
      <c r="AH242" s="17" t="n">
        <v>0</v>
      </c>
    </row>
    <row r="243" customFormat="false" ht="15" hidden="false" customHeight="false" outlineLevel="0" collapsed="false">
      <c r="A243" s="17" t="n">
        <v>18028</v>
      </c>
      <c r="B243" s="23" t="n">
        <v>45016</v>
      </c>
      <c r="C243" s="17" t="s">
        <v>130</v>
      </c>
      <c r="D243" s="17" t="s">
        <v>116</v>
      </c>
      <c r="E243" s="17" t="n">
        <v>384151</v>
      </c>
      <c r="F243" s="17" t="n">
        <v>383141</v>
      </c>
      <c r="G243" s="17" t="n">
        <v>321675</v>
      </c>
      <c r="H243" s="17" t="n">
        <v>38054</v>
      </c>
      <c r="I243" s="17" t="n">
        <v>9.90600050500975</v>
      </c>
      <c r="J243" s="17" t="n">
        <v>253368</v>
      </c>
      <c r="K243" s="17" t="n">
        <v>252802</v>
      </c>
      <c r="L243" s="17" t="n">
        <v>250892</v>
      </c>
      <c r="M243" s="17" t="n">
        <v>222649</v>
      </c>
      <c r="N243" s="17" t="n">
        <v>15846</v>
      </c>
      <c r="O243" s="17" t="n">
        <v>8663</v>
      </c>
      <c r="P243" s="17" t="n">
        <v>1519</v>
      </c>
      <c r="Q243" s="17" t="n">
        <v>1473</v>
      </c>
      <c r="R243" s="17" t="n">
        <v>163</v>
      </c>
      <c r="S243" s="17" t="n">
        <v>87</v>
      </c>
      <c r="T243" s="17" t="n">
        <v>348</v>
      </c>
      <c r="U243" s="17" t="n">
        <v>0.137657138788459</v>
      </c>
      <c r="V243" s="17" t="n">
        <v>0</v>
      </c>
      <c r="W243" s="17" t="n">
        <v>0</v>
      </c>
      <c r="X243" s="17" t="n">
        <v>0</v>
      </c>
      <c r="Y243" s="17" t="n">
        <v>2332</v>
      </c>
      <c r="Z243" s="17" t="n">
        <v>0.60865321121989</v>
      </c>
      <c r="AA243" s="17" t="n">
        <v>6.33</v>
      </c>
      <c r="AB243" s="17" t="n">
        <v>3.57814376005256</v>
      </c>
      <c r="AC243" s="17" t="n">
        <v>0.977234694199741</v>
      </c>
      <c r="AD243" s="17" t="n">
        <v>0.15</v>
      </c>
      <c r="AE243" s="17" t="n">
        <v>1</v>
      </c>
      <c r="AF243" s="17" t="s">
        <v>241</v>
      </c>
      <c r="AG243" s="17" t="s">
        <v>232</v>
      </c>
      <c r="AH243" s="17" t="n">
        <v>0</v>
      </c>
    </row>
    <row r="244" customFormat="false" ht="15" hidden="false" customHeight="false" outlineLevel="0" collapsed="false">
      <c r="A244" s="17" t="n">
        <v>18030</v>
      </c>
      <c r="B244" s="23" t="n">
        <v>45016</v>
      </c>
      <c r="C244" s="17" t="s">
        <v>157</v>
      </c>
      <c r="D244" s="17" t="s">
        <v>116</v>
      </c>
      <c r="E244" s="17" t="n">
        <v>704016</v>
      </c>
      <c r="F244" s="17" t="n">
        <v>703366</v>
      </c>
      <c r="G244" s="17" t="n">
        <v>652422</v>
      </c>
      <c r="H244" s="17" t="n">
        <v>44712</v>
      </c>
      <c r="I244" s="17" t="n">
        <v>6.35099202290857</v>
      </c>
      <c r="J244" s="17" t="n">
        <v>558490</v>
      </c>
      <c r="K244" s="17" t="n">
        <v>554965.5</v>
      </c>
      <c r="L244" s="17" t="n">
        <v>552801</v>
      </c>
      <c r="M244" s="17" t="n">
        <v>437108</v>
      </c>
      <c r="N244" s="17" t="n">
        <v>34886</v>
      </c>
      <c r="O244" s="17" t="n">
        <v>86405</v>
      </c>
      <c r="P244" s="17" t="n">
        <v>501</v>
      </c>
      <c r="Q244" s="17" t="n">
        <v>714</v>
      </c>
      <c r="R244" s="17" t="n">
        <v>0</v>
      </c>
      <c r="S244" s="17" t="n">
        <v>-12</v>
      </c>
      <c r="T244" s="17" t="n">
        <v>-48</v>
      </c>
      <c r="U244" s="17" t="n">
        <v>-0.00864918630077005</v>
      </c>
      <c r="V244" s="17" t="n">
        <v>63227</v>
      </c>
      <c r="W244" s="17" t="n">
        <v>486743</v>
      </c>
      <c r="X244" s="17" t="n">
        <v>12.9898118719735</v>
      </c>
      <c r="Y244" s="17" t="n">
        <v>4404</v>
      </c>
      <c r="Z244" s="17" t="n">
        <v>0.626132056425815</v>
      </c>
      <c r="AA244" s="17" t="n">
        <v>10.13</v>
      </c>
      <c r="AB244" s="17" t="n">
        <v>3.50492880613363</v>
      </c>
      <c r="AC244" s="17" t="n">
        <v>1.01863954591846</v>
      </c>
      <c r="AD244" s="17" t="n">
        <v>0.11</v>
      </c>
      <c r="AE244" s="17" t="n">
        <v>1</v>
      </c>
      <c r="AF244" s="17" t="s">
        <v>241</v>
      </c>
      <c r="AG244" s="17" t="s">
        <v>232</v>
      </c>
      <c r="AH244" s="17" t="n">
        <v>0</v>
      </c>
    </row>
    <row r="245" customFormat="false" ht="15" hidden="false" customHeight="false" outlineLevel="0" collapsed="false">
      <c r="A245" s="17" t="n">
        <v>18031</v>
      </c>
      <c r="B245" s="23" t="n">
        <v>45016</v>
      </c>
      <c r="C245" s="17" t="s">
        <v>152</v>
      </c>
      <c r="D245" s="17" t="s">
        <v>116</v>
      </c>
      <c r="E245" s="17" t="n">
        <v>653889</v>
      </c>
      <c r="F245" s="17" t="n">
        <v>650980</v>
      </c>
      <c r="G245" s="17" t="n">
        <v>579895</v>
      </c>
      <c r="H245" s="17" t="n">
        <v>37639</v>
      </c>
      <c r="I245" s="17" t="n">
        <v>5.75617574236606</v>
      </c>
      <c r="J245" s="17" t="n">
        <v>467587</v>
      </c>
      <c r="K245" s="17" t="n">
        <v>465383</v>
      </c>
      <c r="L245" s="17" t="n">
        <v>463458</v>
      </c>
      <c r="M245" s="17" t="n">
        <v>424817</v>
      </c>
      <c r="N245" s="17" t="n">
        <v>28272</v>
      </c>
      <c r="O245" s="17" t="n">
        <v>7125</v>
      </c>
      <c r="P245" s="17" t="n">
        <v>861</v>
      </c>
      <c r="Q245" s="17" t="n">
        <v>1064</v>
      </c>
      <c r="R245" s="17" t="n">
        <v>0</v>
      </c>
      <c r="S245" s="17" t="n">
        <v>3</v>
      </c>
      <c r="T245" s="17" t="n">
        <v>12</v>
      </c>
      <c r="U245" s="17" t="n">
        <v>0.0025785213469336</v>
      </c>
      <c r="V245" s="17" t="n">
        <v>61404</v>
      </c>
      <c r="W245" s="17" t="n">
        <v>374452</v>
      </c>
      <c r="X245" s="17" t="n">
        <v>16.3983634751584</v>
      </c>
      <c r="Y245" s="17" t="n">
        <v>2028</v>
      </c>
      <c r="Z245" s="17" t="n">
        <v>0.311530308150788</v>
      </c>
      <c r="AA245" s="17" t="n">
        <v>5.56</v>
      </c>
      <c r="AB245" s="17" t="n">
        <v>2.86529528105113</v>
      </c>
      <c r="AC245" s="17" t="n">
        <v>0.883044224924987</v>
      </c>
      <c r="AD245" s="17" t="n">
        <v>0.06</v>
      </c>
      <c r="AE245" s="17" t="n">
        <v>0</v>
      </c>
      <c r="AF245" s="17" t="s">
        <v>241</v>
      </c>
      <c r="AG245" s="17" t="s">
        <v>232</v>
      </c>
      <c r="AH245" s="17" t="n">
        <v>0</v>
      </c>
    </row>
    <row r="246" customFormat="false" ht="15" hidden="false" customHeight="false" outlineLevel="0" collapsed="false">
      <c r="A246" s="17" t="n">
        <v>18038</v>
      </c>
      <c r="B246" s="23" t="n">
        <v>45016</v>
      </c>
      <c r="C246" s="17" t="s">
        <v>128</v>
      </c>
      <c r="D246" s="17" t="s">
        <v>116</v>
      </c>
      <c r="E246" s="17" t="n">
        <v>548592</v>
      </c>
      <c r="F246" s="17" t="n">
        <v>539786</v>
      </c>
      <c r="G246" s="17" t="n">
        <v>453467</v>
      </c>
      <c r="H246" s="17" t="n">
        <v>65334</v>
      </c>
      <c r="I246" s="17" t="n">
        <v>11.909397147607</v>
      </c>
      <c r="J246" s="17" t="n">
        <v>418300</v>
      </c>
      <c r="K246" s="17" t="n">
        <v>411711.5</v>
      </c>
      <c r="L246" s="17" t="n">
        <v>414195</v>
      </c>
      <c r="M246" s="17" t="n">
        <v>397248</v>
      </c>
      <c r="N246" s="17" t="n">
        <v>17283</v>
      </c>
      <c r="O246" s="17" t="n">
        <v>3452</v>
      </c>
      <c r="P246" s="17" t="n">
        <v>2269</v>
      </c>
      <c r="Q246" s="17" t="n">
        <v>1813</v>
      </c>
      <c r="R246" s="17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380</v>
      </c>
      <c r="Z246" s="17" t="n">
        <v>0.0703982689436184</v>
      </c>
      <c r="AA246" s="17" t="n">
        <v>0.59</v>
      </c>
      <c r="AB246" s="17" t="n">
        <v>2.59646477985742</v>
      </c>
      <c r="AC246" s="17" t="n">
        <v>0.981353095864212</v>
      </c>
      <c r="AD246" s="17" t="n">
        <v>0.12</v>
      </c>
      <c r="AE246" s="17" t="n">
        <v>1</v>
      </c>
      <c r="AF246" s="17" t="s">
        <v>241</v>
      </c>
      <c r="AG246" s="17" t="s">
        <v>232</v>
      </c>
      <c r="AH246" s="17" t="n">
        <v>1</v>
      </c>
    </row>
    <row r="247" customFormat="false" ht="15" hidden="false" customHeight="false" outlineLevel="0" collapsed="false">
      <c r="A247" s="17" t="n">
        <v>18408</v>
      </c>
      <c r="B247" s="23" t="n">
        <v>45016</v>
      </c>
      <c r="C247" s="17" t="s">
        <v>107</v>
      </c>
      <c r="D247" s="17" t="s">
        <v>108</v>
      </c>
      <c r="E247" s="17" t="n">
        <v>7408655</v>
      </c>
      <c r="F247" s="17" t="n">
        <v>7392898</v>
      </c>
      <c r="G247" s="17" t="n">
        <v>5909216</v>
      </c>
      <c r="H247" s="17" t="n">
        <v>379605</v>
      </c>
      <c r="I247" s="17" t="n">
        <v>5.12380452322318</v>
      </c>
      <c r="J247" s="17" t="n">
        <v>4709677</v>
      </c>
      <c r="K247" s="17" t="n">
        <v>4703500.5</v>
      </c>
      <c r="L247" s="17" t="n">
        <v>4673246</v>
      </c>
      <c r="M247" s="17" t="n">
        <v>4284764</v>
      </c>
      <c r="N247" s="17" t="n">
        <v>323957</v>
      </c>
      <c r="O247" s="17" t="n">
        <v>30117</v>
      </c>
      <c r="P247" s="17" t="n">
        <v>2650</v>
      </c>
      <c r="Q247" s="17" t="n">
        <v>5472</v>
      </c>
      <c r="R247" s="17" t="n">
        <v>0</v>
      </c>
      <c r="S247" s="17" t="n">
        <v>1465</v>
      </c>
      <c r="T247" s="17" t="n">
        <v>5860</v>
      </c>
      <c r="U247" s="17" t="n">
        <v>0.124588059467624</v>
      </c>
      <c r="V247" s="17" t="n">
        <v>568550</v>
      </c>
      <c r="W247" s="17" t="n">
        <v>4823913</v>
      </c>
      <c r="X247" s="17" t="n">
        <v>11.786074914701</v>
      </c>
      <c r="Y247" s="17" t="n">
        <v>5380</v>
      </c>
      <c r="Z247" s="17" t="n">
        <v>0.0727725446773376</v>
      </c>
      <c r="AA247" s="17" t="n">
        <v>1.48</v>
      </c>
      <c r="AB247" s="17" t="n">
        <v>2.1967342242162</v>
      </c>
      <c r="AC247" s="17" t="n">
        <v>0.773535000383253</v>
      </c>
      <c r="AD247" s="17" t="n">
        <v>0</v>
      </c>
      <c r="AE247" s="17" t="n">
        <v>1</v>
      </c>
      <c r="AF247" s="17" t="s">
        <v>241</v>
      </c>
      <c r="AG247" s="17" t="s">
        <v>232</v>
      </c>
      <c r="AH247" s="17" t="n">
        <v>0</v>
      </c>
    </row>
    <row r="248" customFormat="false" ht="15" hidden="false" customHeight="false" outlineLevel="0" collapsed="false">
      <c r="A248" s="17" t="n">
        <v>19531</v>
      </c>
      <c r="B248" s="23" t="n">
        <v>45016</v>
      </c>
      <c r="C248" s="17" t="s">
        <v>146</v>
      </c>
      <c r="D248" s="17" t="s">
        <v>108</v>
      </c>
      <c r="E248" s="17" t="n">
        <v>2391401</v>
      </c>
      <c r="F248" s="17" t="n">
        <v>2376092.5</v>
      </c>
      <c r="G248" s="17" t="n">
        <v>1997122</v>
      </c>
      <c r="H248" s="17" t="n">
        <v>231126</v>
      </c>
      <c r="I248" s="17" t="n">
        <v>9.66487845409448</v>
      </c>
      <c r="J248" s="17" t="n">
        <v>1912462</v>
      </c>
      <c r="K248" s="17" t="n">
        <v>1899017.5</v>
      </c>
      <c r="L248" s="17" t="n">
        <v>1889220</v>
      </c>
      <c r="M248" s="17" t="n">
        <v>1564296</v>
      </c>
      <c r="N248" s="17" t="n">
        <v>238788</v>
      </c>
      <c r="O248" s="17" t="n">
        <v>14418</v>
      </c>
      <c r="P248" s="17" t="n">
        <v>14969</v>
      </c>
      <c r="Q248" s="17" t="n">
        <v>8568</v>
      </c>
      <c r="R248" s="17" t="n">
        <v>0</v>
      </c>
      <c r="S248" s="17" t="n">
        <v>24</v>
      </c>
      <c r="T248" s="17" t="n">
        <v>96</v>
      </c>
      <c r="U248" s="17" t="n">
        <v>0.00505524567309148</v>
      </c>
      <c r="V248" s="17" t="n">
        <v>291376</v>
      </c>
      <c r="W248" s="17" t="n">
        <v>2046603</v>
      </c>
      <c r="X248" s="17" t="n">
        <v>14.2370552569306</v>
      </c>
      <c r="Y248" s="17" t="n">
        <v>14228</v>
      </c>
      <c r="Z248" s="17" t="n">
        <v>0.598798237021496</v>
      </c>
      <c r="AA248" s="17" t="n">
        <v>6.26</v>
      </c>
      <c r="AB248" s="17" t="n">
        <v>2.83903414631549</v>
      </c>
      <c r="AC248" s="17" t="n">
        <v>1.21529212083691</v>
      </c>
      <c r="AD248" s="17" t="n">
        <v>0</v>
      </c>
      <c r="AE248" s="17" t="n">
        <v>1</v>
      </c>
      <c r="AF248" s="17" t="s">
        <v>241</v>
      </c>
      <c r="AG248" s="17" t="s">
        <v>232</v>
      </c>
      <c r="AH248" s="17" t="n">
        <v>0</v>
      </c>
    </row>
    <row r="249" customFormat="false" ht="15" hidden="false" customHeight="false" outlineLevel="0" collapsed="false">
      <c r="A249" s="17" t="n">
        <v>19532</v>
      </c>
      <c r="B249" s="23" t="n">
        <v>45016</v>
      </c>
      <c r="C249" s="17" t="s">
        <v>164</v>
      </c>
      <c r="D249" s="17" t="s">
        <v>108</v>
      </c>
      <c r="E249" s="17" t="n">
        <v>781513</v>
      </c>
      <c r="F249" s="17" t="n">
        <v>777943</v>
      </c>
      <c r="G249" s="17" t="n">
        <v>676028</v>
      </c>
      <c r="H249" s="17" t="n">
        <v>91464</v>
      </c>
      <c r="I249" s="17" t="n">
        <v>11.7034521498683</v>
      </c>
      <c r="J249" s="17" t="n">
        <v>558105</v>
      </c>
      <c r="K249" s="17" t="n">
        <v>551193.5</v>
      </c>
      <c r="L249" s="17" t="n">
        <v>552337</v>
      </c>
      <c r="M249" s="17" t="n">
        <v>465968</v>
      </c>
      <c r="N249" s="17" t="n">
        <v>34197</v>
      </c>
      <c r="O249" s="17" t="n">
        <v>47272</v>
      </c>
      <c r="P249" s="17" t="n">
        <v>712</v>
      </c>
      <c r="Q249" s="17" t="n">
        <v>427</v>
      </c>
      <c r="R249" s="17" t="n">
        <v>0</v>
      </c>
      <c r="S249" s="17" t="n">
        <v>16</v>
      </c>
      <c r="T249" s="17" t="n">
        <v>64</v>
      </c>
      <c r="U249" s="17" t="n">
        <v>0.0116111674030989</v>
      </c>
      <c r="V249" s="17" t="n">
        <v>116341</v>
      </c>
      <c r="W249" s="17" t="n">
        <v>537384</v>
      </c>
      <c r="X249" s="17" t="n">
        <v>21.6495094755333</v>
      </c>
      <c r="Y249" s="17" t="n">
        <v>6452</v>
      </c>
      <c r="Z249" s="17" t="n">
        <v>0.829366675964692</v>
      </c>
      <c r="AA249" s="17" t="n">
        <v>7.2</v>
      </c>
      <c r="AB249" s="17" t="n">
        <v>3.56459940305092</v>
      </c>
      <c r="AC249" s="17" t="n">
        <v>1.03349728097759</v>
      </c>
      <c r="AD249" s="17" t="n">
        <v>0</v>
      </c>
      <c r="AE249" s="17" t="n">
        <v>1</v>
      </c>
      <c r="AF249" s="17" t="s">
        <v>241</v>
      </c>
      <c r="AG249" s="17" t="s">
        <v>232</v>
      </c>
      <c r="AH249" s="17" t="n">
        <v>1</v>
      </c>
    </row>
    <row r="250" customFormat="false" ht="15" hidden="false" customHeight="false" outlineLevel="0" collapsed="false">
      <c r="A250" s="17" t="n">
        <v>19690</v>
      </c>
      <c r="B250" s="23" t="n">
        <v>45016</v>
      </c>
      <c r="C250" s="17" t="s">
        <v>158</v>
      </c>
      <c r="D250" s="17" t="s">
        <v>108</v>
      </c>
      <c r="E250" s="17" t="n">
        <v>2866479</v>
      </c>
      <c r="F250" s="17" t="n">
        <v>2837948.5</v>
      </c>
      <c r="G250" s="17" t="n">
        <v>2150204</v>
      </c>
      <c r="H250" s="17" t="n">
        <v>283869</v>
      </c>
      <c r="I250" s="17" t="n">
        <v>9.9030552814097</v>
      </c>
      <c r="J250" s="17" t="n">
        <v>2509795</v>
      </c>
      <c r="K250" s="17" t="n">
        <v>2507276</v>
      </c>
      <c r="L250" s="17" t="n">
        <v>2502703</v>
      </c>
      <c r="M250" s="17" t="n">
        <v>2010351</v>
      </c>
      <c r="N250" s="17" t="n">
        <v>41557</v>
      </c>
      <c r="O250" s="17" t="n">
        <v>534</v>
      </c>
      <c r="P250" s="17" t="n">
        <v>14522</v>
      </c>
      <c r="Q250" s="17" t="n">
        <v>6586</v>
      </c>
      <c r="R250" s="17" t="n">
        <v>0</v>
      </c>
      <c r="S250" s="17" t="n">
        <v>-5</v>
      </c>
      <c r="T250" s="17" t="n">
        <v>-20</v>
      </c>
      <c r="U250" s="17" t="n">
        <v>-0.000797678436677893</v>
      </c>
      <c r="V250" s="17" t="n">
        <v>291171</v>
      </c>
      <c r="W250" s="17" t="n">
        <v>2448991</v>
      </c>
      <c r="X250" s="17" t="n">
        <v>11.8894271150854</v>
      </c>
      <c r="Y250" s="17" t="n">
        <v>50068</v>
      </c>
      <c r="Z250" s="17" t="n">
        <v>1.76423215572799</v>
      </c>
      <c r="AA250" s="17" t="n">
        <v>18.3</v>
      </c>
      <c r="AB250" s="17" t="n">
        <v>4.69912192082439</v>
      </c>
      <c r="AC250" s="17" t="n">
        <v>0.282572879458283</v>
      </c>
      <c r="AD250" s="17" t="n">
        <v>0.1</v>
      </c>
      <c r="AE250" s="17" t="n">
        <v>1</v>
      </c>
      <c r="AF250" s="17" t="s">
        <v>231</v>
      </c>
      <c r="AG250" s="17" t="s">
        <v>232</v>
      </c>
      <c r="AH250" s="17" t="n">
        <v>0</v>
      </c>
    </row>
    <row r="251" customFormat="false" ht="15" hidden="false" customHeight="false" outlineLevel="0" collapsed="false">
      <c r="A251" s="17" t="n">
        <v>19836</v>
      </c>
      <c r="B251" s="23" t="n">
        <v>45016</v>
      </c>
      <c r="C251" s="17" t="s">
        <v>136</v>
      </c>
      <c r="D251" s="17" t="s">
        <v>108</v>
      </c>
      <c r="E251" s="17" t="n">
        <v>600233</v>
      </c>
      <c r="F251" s="17" t="n">
        <v>589525</v>
      </c>
      <c r="G251" s="17" t="n">
        <v>442530</v>
      </c>
      <c r="H251" s="17" t="n">
        <v>118387</v>
      </c>
      <c r="I251" s="17" t="n">
        <v>19.7235073713041</v>
      </c>
      <c r="J251" s="17" t="n">
        <v>497024</v>
      </c>
      <c r="K251" s="17" t="n">
        <v>490080</v>
      </c>
      <c r="L251" s="17" t="n">
        <v>492711</v>
      </c>
      <c r="M251" s="17" t="n">
        <v>430517</v>
      </c>
      <c r="N251" s="17" t="n">
        <v>49653</v>
      </c>
      <c r="O251" s="17" t="n">
        <v>12278</v>
      </c>
      <c r="P251" s="17" t="n">
        <v>2423</v>
      </c>
      <c r="Q251" s="17" t="n">
        <v>2008</v>
      </c>
      <c r="R251" s="17" t="n">
        <v>40</v>
      </c>
      <c r="S251" s="17" t="n">
        <v>14</v>
      </c>
      <c r="T251" s="17" t="n">
        <v>56</v>
      </c>
      <c r="U251" s="17" t="n">
        <v>0.0114267058439439</v>
      </c>
      <c r="V251" s="17" t="n">
        <v>130712</v>
      </c>
      <c r="W251" s="17" t="n">
        <v>473150</v>
      </c>
      <c r="X251" s="17" t="n">
        <v>27.6259114445736</v>
      </c>
      <c r="Y251" s="17" t="n">
        <v>3900</v>
      </c>
      <c r="Z251" s="17" t="n">
        <v>0.661549552605912</v>
      </c>
      <c r="AA251" s="17" t="n">
        <v>3.32</v>
      </c>
      <c r="AB251" s="17" t="n">
        <v>4.18519544520099</v>
      </c>
      <c r="AC251" s="17" t="n">
        <v>0.867764936904455</v>
      </c>
      <c r="AD251" s="17" t="n">
        <v>0.01</v>
      </c>
      <c r="AE251" s="17" t="n">
        <v>1</v>
      </c>
      <c r="AF251" s="17" t="s">
        <v>314</v>
      </c>
      <c r="AG251" s="17" t="s">
        <v>232</v>
      </c>
      <c r="AH251" s="17" t="n">
        <v>0</v>
      </c>
    </row>
    <row r="252" customFormat="false" ht="15" hidden="false" customHeight="false" outlineLevel="0" collapsed="false">
      <c r="A252" s="17" t="n">
        <v>24540</v>
      </c>
      <c r="B252" s="23" t="n">
        <v>45016</v>
      </c>
      <c r="C252" s="17" t="s">
        <v>163</v>
      </c>
      <c r="D252" s="17" t="s">
        <v>116</v>
      </c>
      <c r="E252" s="17" t="n">
        <v>1306028</v>
      </c>
      <c r="F252" s="17" t="n">
        <v>1283112</v>
      </c>
      <c r="G252" s="17" t="n">
        <v>1050825</v>
      </c>
      <c r="H252" s="17" t="n">
        <v>223212</v>
      </c>
      <c r="I252" s="17" t="n">
        <v>17.0909046360415</v>
      </c>
      <c r="J252" s="17" t="n">
        <v>1134464</v>
      </c>
      <c r="K252" s="17" t="n">
        <v>1110826.5</v>
      </c>
      <c r="L252" s="17" t="n">
        <v>1123136</v>
      </c>
      <c r="M252" s="17" t="n">
        <v>1099219</v>
      </c>
      <c r="N252" s="17" t="n">
        <v>38781</v>
      </c>
      <c r="O252" s="17" t="n">
        <v>84</v>
      </c>
      <c r="P252" s="17" t="n">
        <v>358</v>
      </c>
      <c r="Q252" s="17" t="n">
        <v>0</v>
      </c>
      <c r="R252" s="17" t="n">
        <v>0</v>
      </c>
      <c r="S252" s="17" t="n">
        <v>0</v>
      </c>
      <c r="T252" s="17" t="n">
        <v>0</v>
      </c>
      <c r="U252" s="17" t="n">
        <v>0</v>
      </c>
      <c r="V252" s="17" t="n">
        <v>0</v>
      </c>
      <c r="W252" s="17" t="n">
        <v>0</v>
      </c>
      <c r="X252" s="17" t="n">
        <v>0</v>
      </c>
      <c r="Y252" s="17" t="n">
        <v>28476</v>
      </c>
      <c r="Z252" s="17" t="n">
        <v>2.21929184669772</v>
      </c>
      <c r="AA252" s="17" t="n">
        <v>13</v>
      </c>
      <c r="AB252" s="17" t="n">
        <v>5.05140342249484</v>
      </c>
      <c r="AC252" s="17" t="n">
        <v>0.998533228026628</v>
      </c>
      <c r="AD252" s="17" t="n">
        <v>0.44</v>
      </c>
      <c r="AE252" s="17" t="n">
        <v>1</v>
      </c>
      <c r="AF252" s="17" t="s">
        <v>231</v>
      </c>
      <c r="AG252" s="17" t="s">
        <v>232</v>
      </c>
      <c r="AH252" s="17" t="n">
        <v>0</v>
      </c>
    </row>
    <row r="253" customFormat="false" ht="15" hidden="false" customHeight="false" outlineLevel="0" collapsed="false">
      <c r="A253" s="17" t="n">
        <v>27824</v>
      </c>
      <c r="B253" s="23" t="n">
        <v>45016</v>
      </c>
      <c r="C253" s="17" t="s">
        <v>117</v>
      </c>
      <c r="D253" s="17" t="s">
        <v>116</v>
      </c>
      <c r="E253" s="17" t="n">
        <v>495672</v>
      </c>
      <c r="F253" s="17" t="n">
        <v>491452</v>
      </c>
      <c r="G253" s="17" t="n">
        <v>388458</v>
      </c>
      <c r="H253" s="17" t="n">
        <v>66508</v>
      </c>
      <c r="I253" s="17" t="n">
        <v>13.4177439919947</v>
      </c>
      <c r="J253" s="17" t="n">
        <v>409171</v>
      </c>
      <c r="K253" s="17" t="n">
        <v>406398</v>
      </c>
      <c r="L253" s="17" t="n">
        <v>406105</v>
      </c>
      <c r="M253" s="17" t="n">
        <v>347963</v>
      </c>
      <c r="N253" s="17" t="n">
        <v>20795</v>
      </c>
      <c r="O253" s="17" t="n">
        <v>40413</v>
      </c>
      <c r="P253" s="17" t="n">
        <v>1218</v>
      </c>
      <c r="Q253" s="17" t="n">
        <v>948</v>
      </c>
      <c r="R253" s="17" t="n">
        <v>0</v>
      </c>
      <c r="S253" s="17" t="n">
        <v>49</v>
      </c>
      <c r="T253" s="17" t="n">
        <v>196</v>
      </c>
      <c r="U253" s="17" t="n">
        <v>0.0482285838020856</v>
      </c>
      <c r="V253" s="17" t="n">
        <v>74844</v>
      </c>
      <c r="W253" s="17" t="n">
        <v>324641</v>
      </c>
      <c r="X253" s="17" t="n">
        <v>23.0543893100379</v>
      </c>
      <c r="Y253" s="17" t="n">
        <v>-1004</v>
      </c>
      <c r="Z253" s="17" t="n">
        <v>-0.20429258605113</v>
      </c>
      <c r="AA253" s="17" t="n">
        <v>-1.51</v>
      </c>
      <c r="AB253" s="17" t="n">
        <v>2.10264237732131</v>
      </c>
      <c r="AC253" s="17" t="n">
        <v>0.749319966468787</v>
      </c>
      <c r="AD253" s="17" t="n">
        <v>0</v>
      </c>
      <c r="AE253" s="17" t="n">
        <v>1</v>
      </c>
      <c r="AF253" s="17" t="s">
        <v>354</v>
      </c>
      <c r="AG253" s="17" t="s">
        <v>232</v>
      </c>
      <c r="AH253" s="17" t="n">
        <v>1</v>
      </c>
    </row>
    <row r="254" customFormat="false" ht="15" hidden="false" customHeight="false" outlineLevel="0" collapsed="false">
      <c r="A254" s="17" t="n">
        <v>28155</v>
      </c>
      <c r="B254" s="23" t="n">
        <v>45016</v>
      </c>
      <c r="C254" s="17" t="s">
        <v>150</v>
      </c>
      <c r="D254" s="17" t="s">
        <v>116</v>
      </c>
      <c r="E254" s="17" t="n">
        <v>300236</v>
      </c>
      <c r="F254" s="17" t="n">
        <v>298955.5</v>
      </c>
      <c r="G254" s="17" t="n">
        <v>253151</v>
      </c>
      <c r="H254" s="17" t="n">
        <v>27786</v>
      </c>
      <c r="I254" s="17" t="n">
        <v>9.25471962056516</v>
      </c>
      <c r="J254" s="17" t="n">
        <v>160817</v>
      </c>
      <c r="K254" s="17" t="n">
        <v>159451</v>
      </c>
      <c r="L254" s="17" t="n">
        <v>159904</v>
      </c>
      <c r="M254" s="17" t="n">
        <v>148519</v>
      </c>
      <c r="N254" s="17" t="n">
        <v>6272</v>
      </c>
      <c r="O254" s="17" t="n">
        <v>5371</v>
      </c>
      <c r="P254" s="17" t="n">
        <v>52</v>
      </c>
      <c r="Q254" s="17" t="n">
        <v>344</v>
      </c>
      <c r="R254" s="17" t="n">
        <v>0</v>
      </c>
      <c r="S254" s="17" t="n">
        <v>0</v>
      </c>
      <c r="T254" s="17" t="n">
        <v>0</v>
      </c>
      <c r="U254" s="17" t="n">
        <v>0</v>
      </c>
      <c r="V254" s="17" t="n">
        <v>29330</v>
      </c>
      <c r="W254" s="17" t="n">
        <v>164271</v>
      </c>
      <c r="X254" s="17" t="n">
        <v>17.8546426332098</v>
      </c>
      <c r="Y254" s="17" t="n">
        <v>276</v>
      </c>
      <c r="Z254" s="17" t="n">
        <v>0.092321432453994</v>
      </c>
      <c r="AA254" s="17" t="n">
        <v>1</v>
      </c>
      <c r="AB254" s="17" t="n">
        <v>2.59801376961667</v>
      </c>
      <c r="AC254" s="17" t="n">
        <v>0.567726048862993</v>
      </c>
      <c r="AD254" s="17" t="n">
        <v>0</v>
      </c>
      <c r="AE254" s="17" t="n">
        <v>1</v>
      </c>
      <c r="AF254" s="17" t="s">
        <v>314</v>
      </c>
      <c r="AG254" s="17" t="s">
        <v>232</v>
      </c>
      <c r="AH254" s="17" t="n">
        <v>0</v>
      </c>
    </row>
    <row r="255" customFormat="false" ht="15" hidden="false" customHeight="false" outlineLevel="0" collapsed="false">
      <c r="A255" s="17" t="n">
        <v>28288</v>
      </c>
      <c r="B255" s="23" t="n">
        <v>45016</v>
      </c>
      <c r="C255" s="17" t="s">
        <v>124</v>
      </c>
      <c r="D255" s="17" t="s">
        <v>108</v>
      </c>
      <c r="E255" s="17" t="n">
        <v>101744</v>
      </c>
      <c r="F255" s="17" t="n">
        <v>101655.5</v>
      </c>
      <c r="G255" s="17" t="n">
        <v>79637</v>
      </c>
      <c r="H255" s="17" t="n">
        <v>6128</v>
      </c>
      <c r="I255" s="17" t="n">
        <v>6.02295958484038</v>
      </c>
      <c r="J255" s="17" t="n">
        <v>79160</v>
      </c>
      <c r="K255" s="17" t="n">
        <v>78944</v>
      </c>
      <c r="L255" s="17" t="n">
        <v>78296</v>
      </c>
      <c r="M255" s="17" t="n">
        <v>75313</v>
      </c>
      <c r="N255" s="17" t="n">
        <v>3222</v>
      </c>
      <c r="O255" s="17" t="n">
        <v>625</v>
      </c>
      <c r="P255" s="17" t="n">
        <v>270</v>
      </c>
      <c r="Q255" s="17" t="n">
        <v>844</v>
      </c>
      <c r="R255" s="17" t="n">
        <v>0</v>
      </c>
      <c r="S255" s="17" t="n">
        <v>-1</v>
      </c>
      <c r="T255" s="17" t="n">
        <v>-4</v>
      </c>
      <c r="U255" s="17" t="n">
        <v>-0.00506688285366842</v>
      </c>
      <c r="V255" s="17" t="n">
        <v>8901</v>
      </c>
      <c r="W255" s="17" t="n">
        <v>64668</v>
      </c>
      <c r="X255" s="17" t="n">
        <v>13.7641491928002</v>
      </c>
      <c r="Y255" s="17" t="n">
        <v>76</v>
      </c>
      <c r="Z255" s="17" t="n">
        <v>0.0747623099586348</v>
      </c>
      <c r="AA255" s="17" t="n">
        <v>1.26</v>
      </c>
      <c r="AB255" s="17" t="n">
        <v>3.00779992314323</v>
      </c>
      <c r="AC255" s="17" t="n">
        <v>1.09146033350177</v>
      </c>
      <c r="AD255" s="17" t="n">
        <v>0</v>
      </c>
      <c r="AE255" s="17" t="n">
        <v>1</v>
      </c>
      <c r="AF255" s="17" t="s">
        <v>361</v>
      </c>
      <c r="AG255" s="17" t="s">
        <v>211</v>
      </c>
      <c r="AH255" s="17" t="n">
        <v>0</v>
      </c>
    </row>
    <row r="256" customFormat="false" ht="15" hidden="false" customHeight="false" outlineLevel="0" collapsed="false">
      <c r="A256" s="17" t="n">
        <v>28369</v>
      </c>
      <c r="B256" s="23" t="n">
        <v>45016</v>
      </c>
      <c r="C256" s="17" t="s">
        <v>145</v>
      </c>
      <c r="D256" s="17" t="s">
        <v>108</v>
      </c>
      <c r="E256" s="17" t="n">
        <v>87275</v>
      </c>
      <c r="F256" s="17" t="n">
        <v>86715.5</v>
      </c>
      <c r="G256" s="17" t="n">
        <v>77349</v>
      </c>
      <c r="H256" s="17" t="n">
        <v>9500</v>
      </c>
      <c r="I256" s="17" t="n">
        <v>10.8851331996563</v>
      </c>
      <c r="J256" s="17" t="n">
        <v>73207</v>
      </c>
      <c r="K256" s="17" t="n">
        <v>73285.5</v>
      </c>
      <c r="L256" s="17" t="n">
        <v>72647</v>
      </c>
      <c r="M256" s="17" t="n">
        <v>61622</v>
      </c>
      <c r="N256" s="17" t="n">
        <v>10828</v>
      </c>
      <c r="O256" s="17" t="n">
        <v>757</v>
      </c>
      <c r="P256" s="17" t="n">
        <v>326</v>
      </c>
      <c r="Q256" s="17" t="n">
        <v>230</v>
      </c>
      <c r="R256" s="17" t="n">
        <v>0</v>
      </c>
      <c r="S256" s="17" t="n">
        <v>1</v>
      </c>
      <c r="T256" s="17" t="n">
        <v>4</v>
      </c>
      <c r="U256" s="17" t="n">
        <v>0.00545810562798917</v>
      </c>
      <c r="V256" s="17" t="n">
        <v>0</v>
      </c>
      <c r="W256" s="17" t="n">
        <v>0</v>
      </c>
      <c r="X256" s="17" t="n">
        <v>0</v>
      </c>
      <c r="Y256" s="17" t="n">
        <v>-80</v>
      </c>
      <c r="Z256" s="17" t="n">
        <v>-0.0922557097635371</v>
      </c>
      <c r="AA256" s="17" t="n">
        <v>-0.84</v>
      </c>
      <c r="AB256" s="17" t="n">
        <v>3.49219492000097</v>
      </c>
      <c r="AC256" s="17" t="n">
        <v>0.764954171049217</v>
      </c>
      <c r="AD256" s="17" t="n">
        <v>0.04</v>
      </c>
      <c r="AE256" s="17" t="n">
        <v>1</v>
      </c>
      <c r="AF256" s="17" t="s">
        <v>361</v>
      </c>
      <c r="AG256" s="17" t="s">
        <v>211</v>
      </c>
      <c r="AH256" s="17" t="n">
        <v>1</v>
      </c>
    </row>
    <row r="257" customFormat="false" ht="15" hidden="false" customHeight="false" outlineLevel="0" collapsed="false">
      <c r="A257" s="17" t="n">
        <v>28837</v>
      </c>
      <c r="B257" s="23" t="n">
        <v>45016</v>
      </c>
      <c r="C257" s="17" t="s">
        <v>142</v>
      </c>
      <c r="D257" s="17" t="s">
        <v>113</v>
      </c>
      <c r="E257" s="17" t="n">
        <v>288419</v>
      </c>
      <c r="F257" s="17" t="n">
        <v>298906</v>
      </c>
      <c r="G257" s="17" t="n">
        <v>260987</v>
      </c>
      <c r="H257" s="17" t="n">
        <v>24341</v>
      </c>
      <c r="I257" s="17" t="n">
        <v>8.4394578720542</v>
      </c>
      <c r="J257" s="17" t="n">
        <v>188100</v>
      </c>
      <c r="K257" s="17" t="n">
        <v>188304</v>
      </c>
      <c r="L257" s="17" t="n">
        <v>185815</v>
      </c>
      <c r="M257" s="17" t="n">
        <v>179697</v>
      </c>
      <c r="N257" s="17" t="n">
        <v>6280</v>
      </c>
      <c r="O257" s="17" t="n">
        <v>1194</v>
      </c>
      <c r="P257" s="17" t="n">
        <v>19</v>
      </c>
      <c r="Q257" s="17" t="n">
        <v>454</v>
      </c>
      <c r="R257" s="17" t="n">
        <v>0</v>
      </c>
      <c r="S257" s="17" t="n">
        <v>-2</v>
      </c>
      <c r="T257" s="17" t="n">
        <v>-8</v>
      </c>
      <c r="U257" s="17" t="n">
        <v>-0.00424844931599966</v>
      </c>
      <c r="V257" s="17" t="n">
        <v>24453</v>
      </c>
      <c r="W257" s="17" t="n">
        <v>149641</v>
      </c>
      <c r="X257" s="17" t="n">
        <v>16.3411097226028</v>
      </c>
      <c r="Y257" s="17" t="n">
        <v>2568</v>
      </c>
      <c r="Z257" s="17" t="n">
        <v>0.859132971569657</v>
      </c>
      <c r="AA257" s="17" t="n">
        <v>10.72</v>
      </c>
      <c r="AB257" s="17" t="n">
        <v>3.67223584421509</v>
      </c>
      <c r="AC257" s="17" t="n">
        <v>1.21477937267411</v>
      </c>
      <c r="AD257" s="17" t="n">
        <v>0.01</v>
      </c>
      <c r="AE257" s="17" t="n">
        <v>1</v>
      </c>
      <c r="AF257" s="17" t="s">
        <v>314</v>
      </c>
      <c r="AG257" s="17" t="s">
        <v>232</v>
      </c>
      <c r="AH257" s="17" t="n">
        <v>1</v>
      </c>
    </row>
    <row r="258" customFormat="false" ht="15" hidden="false" customHeight="false" outlineLevel="0" collapsed="false">
      <c r="A258" s="17" t="n">
        <v>29636</v>
      </c>
      <c r="B258" s="23" t="n">
        <v>45016</v>
      </c>
      <c r="C258" s="17" t="s">
        <v>123</v>
      </c>
      <c r="D258" s="17" t="s">
        <v>108</v>
      </c>
      <c r="E258" s="17" t="n">
        <v>185057</v>
      </c>
      <c r="F258" s="17" t="n">
        <v>183293</v>
      </c>
      <c r="G258" s="17" t="n">
        <v>147344</v>
      </c>
      <c r="H258" s="17" t="n">
        <v>24743</v>
      </c>
      <c r="I258" s="17" t="n">
        <v>13.3704750428246</v>
      </c>
      <c r="J258" s="17" t="n">
        <v>127987</v>
      </c>
      <c r="K258" s="17" t="n">
        <v>126673</v>
      </c>
      <c r="L258" s="17" t="n">
        <v>126133</v>
      </c>
      <c r="M258" s="17" t="n">
        <v>124654</v>
      </c>
      <c r="N258" s="17" t="n">
        <v>1626</v>
      </c>
      <c r="O258" s="17" t="n">
        <v>1707</v>
      </c>
      <c r="P258" s="17" t="n">
        <v>2472</v>
      </c>
      <c r="Q258" s="17" t="n">
        <v>2283</v>
      </c>
      <c r="R258" s="17" t="n">
        <v>0</v>
      </c>
      <c r="S258" s="17" t="n">
        <v>3</v>
      </c>
      <c r="T258" s="17" t="n">
        <v>12</v>
      </c>
      <c r="U258" s="17" t="n">
        <v>0.00947321054999882</v>
      </c>
      <c r="V258" s="17" t="n">
        <v>26672</v>
      </c>
      <c r="W258" s="17" t="n">
        <v>100820</v>
      </c>
      <c r="X258" s="17" t="n">
        <v>26.4550684388018</v>
      </c>
      <c r="Y258" s="17" t="n">
        <v>600</v>
      </c>
      <c r="Z258" s="17" t="n">
        <v>0.327344743116213</v>
      </c>
      <c r="AA258" s="17" t="n">
        <v>2.45</v>
      </c>
      <c r="AB258" s="17" t="n">
        <v>3.56806733632053</v>
      </c>
      <c r="AC258" s="17" t="n">
        <v>1.44858462187566</v>
      </c>
      <c r="AD258" s="17" t="n">
        <v>0.07</v>
      </c>
      <c r="AE258" s="17" t="n">
        <v>1</v>
      </c>
      <c r="AF258" s="17" t="s">
        <v>361</v>
      </c>
      <c r="AG258" s="17" t="s">
        <v>211</v>
      </c>
      <c r="AH258" s="17" t="n">
        <v>1</v>
      </c>
    </row>
    <row r="259" customFormat="false" ht="15" hidden="false" customHeight="false" outlineLevel="0" collapsed="false">
      <c r="A259" s="17" t="n">
        <v>29743</v>
      </c>
      <c r="B259" s="23" t="n">
        <v>45016</v>
      </c>
      <c r="C259" s="17" t="s">
        <v>140</v>
      </c>
      <c r="D259" s="17" t="s">
        <v>108</v>
      </c>
      <c r="E259" s="17" t="n">
        <v>189487</v>
      </c>
      <c r="F259" s="17" t="n">
        <v>187528</v>
      </c>
      <c r="G259" s="17" t="n">
        <v>163950</v>
      </c>
      <c r="H259" s="17" t="n">
        <v>16226</v>
      </c>
      <c r="I259" s="17" t="n">
        <v>8.5631204251479</v>
      </c>
      <c r="J259" s="17" t="n">
        <v>126279</v>
      </c>
      <c r="K259" s="17" t="n">
        <v>125075</v>
      </c>
      <c r="L259" s="17" t="n">
        <v>125326</v>
      </c>
      <c r="M259" s="17" t="n">
        <v>80937</v>
      </c>
      <c r="N259" s="17" t="n">
        <v>24692</v>
      </c>
      <c r="O259" s="17" t="n">
        <v>20551</v>
      </c>
      <c r="P259" s="17" t="n">
        <v>203</v>
      </c>
      <c r="Q259" s="17" t="n">
        <v>607</v>
      </c>
      <c r="R259" s="17" t="n">
        <v>0</v>
      </c>
      <c r="S259" s="17" t="n">
        <v>0</v>
      </c>
      <c r="T259" s="17" t="n">
        <v>0</v>
      </c>
      <c r="U259" s="17" t="n">
        <v>0</v>
      </c>
      <c r="V259" s="17" t="n">
        <v>19174</v>
      </c>
      <c r="W259" s="17" t="n">
        <v>107060</v>
      </c>
      <c r="X259" s="17" t="n">
        <v>17.9095834111713</v>
      </c>
      <c r="Y259" s="17" t="n">
        <v>1332</v>
      </c>
      <c r="Z259" s="17" t="n">
        <v>0.71029392943987</v>
      </c>
      <c r="AA259" s="17" t="n">
        <v>8.45</v>
      </c>
      <c r="AB259" s="17" t="n">
        <v>2.47345429828997</v>
      </c>
      <c r="AC259" s="17" t="n">
        <v>0.754678133339669</v>
      </c>
      <c r="AD259" s="17" t="n">
        <v>-0.03</v>
      </c>
      <c r="AE259" s="17" t="n">
        <v>1</v>
      </c>
      <c r="AF259" s="17" t="s">
        <v>354</v>
      </c>
      <c r="AG259" s="17" t="s">
        <v>211</v>
      </c>
      <c r="AH259" s="17" t="n">
        <v>0</v>
      </c>
    </row>
    <row r="260" customFormat="false" ht="15" hidden="false" customHeight="false" outlineLevel="0" collapsed="false">
      <c r="A260" s="17" t="n">
        <v>29744</v>
      </c>
      <c r="B260" s="23" t="n">
        <v>45016</v>
      </c>
      <c r="C260" s="17" t="s">
        <v>137</v>
      </c>
      <c r="D260" s="17" t="s">
        <v>116</v>
      </c>
      <c r="E260" s="17" t="n">
        <v>548387</v>
      </c>
      <c r="F260" s="17" t="n">
        <v>542891</v>
      </c>
      <c r="G260" s="17" t="n">
        <v>438333</v>
      </c>
      <c r="H260" s="17" t="n">
        <v>54173</v>
      </c>
      <c r="I260" s="17" t="n">
        <v>9.87860762563664</v>
      </c>
      <c r="J260" s="17" t="n">
        <v>405809</v>
      </c>
      <c r="K260" s="17" t="n">
        <v>403906</v>
      </c>
      <c r="L260" s="17" t="n">
        <v>402523</v>
      </c>
      <c r="M260" s="17" t="n">
        <v>372826</v>
      </c>
      <c r="N260" s="17" t="n">
        <v>24690</v>
      </c>
      <c r="O260" s="17" t="n">
        <v>8293</v>
      </c>
      <c r="P260" s="17" t="n">
        <v>88</v>
      </c>
      <c r="Q260" s="17" t="n">
        <v>240</v>
      </c>
      <c r="R260" s="17" t="n">
        <v>0</v>
      </c>
      <c r="S260" s="17" t="n">
        <v>-1</v>
      </c>
      <c r="T260" s="17" t="n">
        <v>-4</v>
      </c>
      <c r="U260" s="17" t="n">
        <v>-0.000990329433085916</v>
      </c>
      <c r="V260" s="17" t="n">
        <v>65983</v>
      </c>
      <c r="W260" s="17" t="n">
        <v>333903</v>
      </c>
      <c r="X260" s="17" t="n">
        <v>19.7611282318518</v>
      </c>
      <c r="Y260" s="17" t="n">
        <v>1856</v>
      </c>
      <c r="Z260" s="17" t="n">
        <v>0.341873414737028</v>
      </c>
      <c r="AA260" s="17" t="n">
        <v>3.94</v>
      </c>
      <c r="AB260" s="17" t="n">
        <v>2.48227565047063</v>
      </c>
      <c r="AC260" s="17" t="n">
        <v>0.809740542964794</v>
      </c>
      <c r="AD260" s="17" t="n">
        <v>0</v>
      </c>
      <c r="AE260" s="17" t="n">
        <v>1</v>
      </c>
      <c r="AF260" s="17" t="s">
        <v>361</v>
      </c>
      <c r="AG260" s="17" t="s">
        <v>211</v>
      </c>
      <c r="AH260" s="17" t="n">
        <v>0</v>
      </c>
    </row>
    <row r="261" customFormat="false" ht="15" hidden="false" customHeight="false" outlineLevel="0" collapsed="false">
      <c r="A261" s="17" t="n">
        <v>30350</v>
      </c>
      <c r="B261" s="23" t="n">
        <v>45016</v>
      </c>
      <c r="C261" s="17" t="s">
        <v>154</v>
      </c>
      <c r="D261" s="17" t="s">
        <v>113</v>
      </c>
      <c r="E261" s="17" t="n">
        <v>554362</v>
      </c>
      <c r="F261" s="17" t="n">
        <v>553075.5</v>
      </c>
      <c r="G261" s="17" t="n">
        <v>454335</v>
      </c>
      <c r="H261" s="17" t="n">
        <v>53124</v>
      </c>
      <c r="I261" s="17" t="n">
        <v>9.58290791937398</v>
      </c>
      <c r="J261" s="17" t="n">
        <v>393124</v>
      </c>
      <c r="K261" s="17" t="n">
        <v>392919</v>
      </c>
      <c r="L261" s="17" t="n">
        <v>387999</v>
      </c>
      <c r="M261" s="17" t="n">
        <v>373761</v>
      </c>
      <c r="N261" s="17" t="n">
        <v>16693</v>
      </c>
      <c r="O261" s="17" t="n">
        <v>1231</v>
      </c>
      <c r="P261" s="17" t="n">
        <v>1313</v>
      </c>
      <c r="Q261" s="17" t="n">
        <v>1612</v>
      </c>
      <c r="R261" s="17" t="n">
        <v>0</v>
      </c>
      <c r="S261" s="17" t="n">
        <v>-16</v>
      </c>
      <c r="T261" s="17" t="n">
        <v>-64</v>
      </c>
      <c r="U261" s="17" t="n">
        <v>-0.0162883444170427</v>
      </c>
      <c r="V261" s="17" t="n">
        <v>63943</v>
      </c>
      <c r="W261" s="17" t="n">
        <v>297593</v>
      </c>
      <c r="X261" s="17" t="n">
        <v>21.4867285184799</v>
      </c>
      <c r="Y261" s="17" t="n">
        <v>4544</v>
      </c>
      <c r="Z261" s="17" t="n">
        <v>0.821587649425802</v>
      </c>
      <c r="AA261" s="17" t="n">
        <v>8.72</v>
      </c>
      <c r="AB261" s="17" t="n">
        <v>3.03436326107607</v>
      </c>
      <c r="AC261" s="17" t="n">
        <v>1.30365991392029</v>
      </c>
      <c r="AD261" s="17" t="n">
        <v>0</v>
      </c>
      <c r="AE261" s="17" t="n">
        <v>1</v>
      </c>
      <c r="AF261" s="17" t="s">
        <v>361</v>
      </c>
      <c r="AG261" s="17" t="s">
        <v>211</v>
      </c>
      <c r="AH261" s="17" t="n">
        <v>0</v>
      </c>
    </row>
    <row r="262" customFormat="false" ht="15" hidden="false" customHeight="false" outlineLevel="0" collapsed="false">
      <c r="A262" s="17" t="n">
        <v>30878</v>
      </c>
      <c r="B262" s="23" t="n">
        <v>45016</v>
      </c>
      <c r="C262" s="17" t="s">
        <v>110</v>
      </c>
      <c r="D262" s="17" t="s">
        <v>108</v>
      </c>
      <c r="E262" s="17" t="n">
        <v>104047</v>
      </c>
      <c r="F262" s="17" t="n">
        <v>102557.5</v>
      </c>
      <c r="G262" s="17" t="n">
        <v>76408</v>
      </c>
      <c r="H262" s="17" t="n">
        <v>12490</v>
      </c>
      <c r="I262" s="17" t="n">
        <v>12.0041904139475</v>
      </c>
      <c r="J262" s="17" t="n">
        <v>83118</v>
      </c>
      <c r="K262" s="17" t="n">
        <v>82391.5</v>
      </c>
      <c r="L262" s="17" t="n">
        <v>82273</v>
      </c>
      <c r="M262" s="17" t="n">
        <v>83020</v>
      </c>
      <c r="N262" s="17" t="n">
        <v>0</v>
      </c>
      <c r="O262" s="17" t="n">
        <v>97</v>
      </c>
      <c r="P262" s="17" t="n">
        <v>710</v>
      </c>
      <c r="Q262" s="17" t="n">
        <v>25</v>
      </c>
      <c r="R262" s="17" t="n">
        <v>0</v>
      </c>
      <c r="S262" s="17" t="n">
        <v>0</v>
      </c>
      <c r="T262" s="17" t="n">
        <v>0</v>
      </c>
      <c r="U262" s="17" t="n">
        <v>0</v>
      </c>
      <c r="V262" s="17" t="n">
        <v>0</v>
      </c>
      <c r="W262" s="17" t="n">
        <v>0</v>
      </c>
      <c r="X262" s="17" t="n">
        <v>0</v>
      </c>
      <c r="Y262" s="17" t="n">
        <v>-308</v>
      </c>
      <c r="Z262" s="17" t="n">
        <v>-0.300319333057066</v>
      </c>
      <c r="AA262" s="17" t="n">
        <v>-2.47</v>
      </c>
      <c r="AB262" s="17" t="n">
        <v>2.00579294029632</v>
      </c>
      <c r="AC262" s="17" t="n">
        <v>1.01662696407517</v>
      </c>
      <c r="AD262" s="17" t="n">
        <v>0.34</v>
      </c>
      <c r="AE262" s="17" t="n">
        <v>1</v>
      </c>
      <c r="AF262" s="17" t="s">
        <v>354</v>
      </c>
      <c r="AG262" s="17" t="s">
        <v>232</v>
      </c>
      <c r="AH262" s="17" t="n">
        <v>1</v>
      </c>
    </row>
    <row r="263" customFormat="false" ht="15" hidden="false" customHeight="false" outlineLevel="0" collapsed="false">
      <c r="A263" s="17" t="n">
        <v>33418</v>
      </c>
      <c r="B263" s="23" t="n">
        <v>45016</v>
      </c>
      <c r="C263" s="17" t="s">
        <v>133</v>
      </c>
      <c r="D263" s="17" t="s">
        <v>113</v>
      </c>
      <c r="E263" s="17" t="n">
        <v>745394</v>
      </c>
      <c r="F263" s="17" t="n">
        <v>743785</v>
      </c>
      <c r="G263" s="17" t="n">
        <v>529254</v>
      </c>
      <c r="H263" s="17" t="n">
        <v>67356</v>
      </c>
      <c r="I263" s="17" t="n">
        <v>9.03629489907351</v>
      </c>
      <c r="J263" s="17" t="n">
        <v>363499</v>
      </c>
      <c r="K263" s="17" t="n">
        <v>362778</v>
      </c>
      <c r="L263" s="17" t="n">
        <v>360651</v>
      </c>
      <c r="M263" s="17" t="n">
        <v>305729</v>
      </c>
      <c r="N263" s="17" t="n">
        <v>46441</v>
      </c>
      <c r="O263" s="17" t="n">
        <v>11330</v>
      </c>
      <c r="P263" s="17" t="n">
        <v>1287</v>
      </c>
      <c r="Q263" s="17" t="n">
        <v>237</v>
      </c>
      <c r="R263" s="17" t="n">
        <v>0</v>
      </c>
      <c r="S263" s="17" t="n">
        <v>2</v>
      </c>
      <c r="T263" s="17" t="n">
        <v>8</v>
      </c>
      <c r="U263" s="17" t="n">
        <v>0.00220520538731676</v>
      </c>
      <c r="V263" s="17" t="n">
        <v>86096</v>
      </c>
      <c r="W263" s="17" t="n">
        <v>455395</v>
      </c>
      <c r="X263" s="17" t="n">
        <v>18.9057850876711</v>
      </c>
      <c r="Y263" s="17" t="n">
        <v>6932</v>
      </c>
      <c r="Z263" s="17" t="n">
        <v>0.931989755103962</v>
      </c>
      <c r="AA263" s="17" t="n">
        <v>10.44</v>
      </c>
      <c r="AB263" s="17" t="n">
        <v>3.00755226824019</v>
      </c>
      <c r="AC263" s="17" t="n">
        <v>0.783495965601006</v>
      </c>
      <c r="AD263" s="17" t="n">
        <v>0.01</v>
      </c>
      <c r="AE263" s="17" t="n">
        <v>1</v>
      </c>
      <c r="AF263" s="17" t="s">
        <v>210</v>
      </c>
      <c r="AG263" s="17" t="s">
        <v>211</v>
      </c>
      <c r="AH263" s="17" t="n">
        <v>0</v>
      </c>
    </row>
    <row r="264" customFormat="false" ht="15" hidden="false" customHeight="false" outlineLevel="0" collapsed="false">
      <c r="A264" s="17" t="n">
        <v>35206</v>
      </c>
      <c r="B264" s="23" t="n">
        <v>45016</v>
      </c>
      <c r="C264" s="17" t="s">
        <v>166</v>
      </c>
      <c r="D264" s="17" t="s">
        <v>116</v>
      </c>
      <c r="E264" s="17" t="n">
        <v>66610</v>
      </c>
      <c r="F264" s="17" t="n">
        <v>65809</v>
      </c>
      <c r="G264" s="17" t="n">
        <v>500</v>
      </c>
      <c r="H264" s="17" t="n">
        <v>64048</v>
      </c>
      <c r="I264" s="17" t="n">
        <v>96.1537306710704</v>
      </c>
      <c r="J264" s="17" t="n">
        <v>0</v>
      </c>
      <c r="K264" s="17" t="n">
        <v>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13712</v>
      </c>
      <c r="Z264" s="17" t="n">
        <v>20.8360558586212</v>
      </c>
      <c r="AA264" s="17" t="n">
        <v>22</v>
      </c>
      <c r="AB264" s="17" t="n">
        <v>4.34943363248294</v>
      </c>
      <c r="AC264" s="17" t="n">
        <v>0</v>
      </c>
      <c r="AD264" s="17" t="n">
        <v>0</v>
      </c>
      <c r="AE264" s="17" t="n">
        <v>1</v>
      </c>
      <c r="AF264" s="17" t="s">
        <v>361</v>
      </c>
      <c r="AG264" s="17" t="s">
        <v>211</v>
      </c>
      <c r="AH264" s="17" t="n">
        <v>0</v>
      </c>
    </row>
    <row r="265" customFormat="false" ht="15" hidden="false" customHeight="false" outlineLevel="0" collapsed="false">
      <c r="A265" s="17" t="n">
        <v>59086</v>
      </c>
      <c r="B265" s="23" t="n">
        <v>45016</v>
      </c>
      <c r="C265" s="17" t="s">
        <v>141</v>
      </c>
      <c r="D265" s="17" t="s">
        <v>116</v>
      </c>
      <c r="E265" s="17" t="n">
        <v>693867</v>
      </c>
      <c r="F265" s="17" t="n">
        <v>674029</v>
      </c>
      <c r="G265" s="17" t="n">
        <v>607363</v>
      </c>
      <c r="H265" s="17" t="n">
        <v>80605</v>
      </c>
      <c r="I265" s="17" t="n">
        <v>11.6167795845602</v>
      </c>
      <c r="J265" s="17" t="n">
        <v>581159</v>
      </c>
      <c r="K265" s="17" t="n">
        <v>578315</v>
      </c>
      <c r="L265" s="17" t="n">
        <v>574758</v>
      </c>
      <c r="M265" s="17" t="n">
        <v>463062</v>
      </c>
      <c r="N265" s="17" t="n">
        <v>118646</v>
      </c>
      <c r="O265" s="17" t="n">
        <v>0</v>
      </c>
      <c r="P265" s="17" t="n">
        <v>4263</v>
      </c>
      <c r="Q265" s="17" t="n">
        <v>200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87006</v>
      </c>
      <c r="W265" s="17" t="n">
        <v>606299</v>
      </c>
      <c r="X265" s="17" t="n">
        <v>14.3503452916795</v>
      </c>
      <c r="Y265" s="17" t="n">
        <v>11124</v>
      </c>
      <c r="Z265" s="17" t="n">
        <v>1.65037409369627</v>
      </c>
      <c r="AA265" s="17" t="n">
        <v>14.18</v>
      </c>
      <c r="AB265" s="17" t="n">
        <v>4.14472638660804</v>
      </c>
      <c r="AC265" s="17" t="n">
        <v>1.10141974915643</v>
      </c>
      <c r="AD265" s="17" t="n">
        <v>-0.07</v>
      </c>
      <c r="AE265" s="17" t="n">
        <v>1</v>
      </c>
      <c r="AF265" s="17" t="s">
        <v>231</v>
      </c>
      <c r="AG265" s="17" t="s">
        <v>232</v>
      </c>
      <c r="AH265" s="17" t="n">
        <v>0</v>
      </c>
    </row>
    <row r="266" customFormat="false" ht="15" hidden="false" customHeight="false" outlineLevel="0" collapsed="false">
      <c r="A266" s="17" t="n">
        <v>59176</v>
      </c>
      <c r="B266" s="23" t="n">
        <v>45016</v>
      </c>
      <c r="C266" s="17" t="s">
        <v>151</v>
      </c>
      <c r="D266" s="17" t="s">
        <v>116</v>
      </c>
      <c r="E266" s="17" t="n">
        <v>191655</v>
      </c>
      <c r="F266" s="17" t="n">
        <v>184163.5</v>
      </c>
      <c r="G266" s="17" t="n">
        <v>161440</v>
      </c>
      <c r="H266" s="17" t="n">
        <v>23472</v>
      </c>
      <c r="I266" s="17" t="n">
        <v>12.2470063395163</v>
      </c>
      <c r="J266" s="17" t="n">
        <v>138506</v>
      </c>
      <c r="K266" s="17" t="n">
        <v>136675.5</v>
      </c>
      <c r="L266" s="17" t="n">
        <v>137137</v>
      </c>
      <c r="M266" s="17" t="n">
        <v>119629</v>
      </c>
      <c r="N266" s="17" t="n">
        <v>18881</v>
      </c>
      <c r="O266" s="17" t="n">
        <v>8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0</v>
      </c>
      <c r="U266" s="17" t="n">
        <v>0</v>
      </c>
      <c r="V266" s="17" t="n">
        <v>25431</v>
      </c>
      <c r="W266" s="17" t="n">
        <v>139439</v>
      </c>
      <c r="X266" s="17" t="n">
        <v>18.2380826024283</v>
      </c>
      <c r="Y266" s="17" t="n">
        <v>388</v>
      </c>
      <c r="Z266" s="17" t="n">
        <v>0.210682355624214</v>
      </c>
      <c r="AA266" s="17" t="n">
        <v>1.66</v>
      </c>
      <c r="AB266" s="17" t="n">
        <v>2.88197979481557</v>
      </c>
      <c r="AC266" s="17" t="n">
        <v>0.988404834447605</v>
      </c>
      <c r="AD266" s="17" t="n">
        <v>0.2</v>
      </c>
      <c r="AE266" s="17" t="n">
        <v>1</v>
      </c>
      <c r="AF266" s="17" t="s">
        <v>231</v>
      </c>
      <c r="AG266" s="17" t="s">
        <v>232</v>
      </c>
      <c r="AH266" s="17" t="n">
        <v>0</v>
      </c>
    </row>
    <row r="267" customFormat="false" ht="15" hidden="false" customHeight="false" outlineLevel="0" collapsed="false">
      <c r="A267" s="17" t="n">
        <v>59289</v>
      </c>
      <c r="B267" s="23" t="n">
        <v>45016</v>
      </c>
      <c r="C267" s="17" t="s">
        <v>121</v>
      </c>
      <c r="D267" s="17" t="s">
        <v>116</v>
      </c>
      <c r="E267" s="17" t="n">
        <v>44619</v>
      </c>
      <c r="F267" s="17" t="n">
        <v>33656</v>
      </c>
      <c r="G267" s="17" t="n">
        <v>22939</v>
      </c>
      <c r="H267" s="17" t="n">
        <v>20800</v>
      </c>
      <c r="I267" s="17" t="n">
        <v>46.6169120778144</v>
      </c>
      <c r="J267" s="17" t="n">
        <v>11029</v>
      </c>
      <c r="K267" s="17" t="n">
        <v>7877.5</v>
      </c>
      <c r="L267" s="17" t="n">
        <v>10902</v>
      </c>
      <c r="M267" s="17" t="n">
        <v>4676</v>
      </c>
      <c r="N267" s="17" t="n">
        <v>5881</v>
      </c>
      <c r="O267" s="17" t="n">
        <v>0</v>
      </c>
      <c r="P267" s="17" t="n">
        <v>0</v>
      </c>
      <c r="Q267" s="17" t="n">
        <v>0</v>
      </c>
      <c r="R267" s="17" t="n">
        <v>0</v>
      </c>
      <c r="S267" s="17" t="n">
        <v>0</v>
      </c>
      <c r="T267" s="17" t="n">
        <v>0</v>
      </c>
      <c r="U267" s="17" t="n">
        <v>0</v>
      </c>
      <c r="V267" s="17" t="n">
        <v>0</v>
      </c>
      <c r="W267" s="17" t="n">
        <v>0</v>
      </c>
      <c r="X267" s="17" t="n">
        <v>0</v>
      </c>
      <c r="Y267" s="17" t="n">
        <v>-2756</v>
      </c>
      <c r="Z267" s="17" t="n">
        <v>-8.18873306394105</v>
      </c>
      <c r="AA267" s="17" t="n">
        <v>-13.02</v>
      </c>
      <c r="AB267" s="17" t="n">
        <v>3.92436110451776</v>
      </c>
      <c r="AC267" s="17" t="n">
        <v>1.1515096563605</v>
      </c>
      <c r="AD267" s="17" t="n">
        <v>0.9</v>
      </c>
      <c r="AE267" s="17" t="n">
        <v>1</v>
      </c>
      <c r="AF267" s="17" t="s">
        <v>241</v>
      </c>
      <c r="AG267" s="17" t="s">
        <v>232</v>
      </c>
      <c r="AH267" s="17" t="n">
        <v>0</v>
      </c>
    </row>
    <row r="268" customFormat="false" ht="15" hidden="false" customHeight="false" outlineLevel="0" collapsed="false">
      <c r="A268" s="17" t="n">
        <v>59298</v>
      </c>
      <c r="B268" s="23" t="n">
        <v>45016</v>
      </c>
      <c r="C268" s="17" t="s">
        <v>160</v>
      </c>
      <c r="D268" s="17" t="s">
        <v>113</v>
      </c>
      <c r="E268" s="17" t="n">
        <v>115337</v>
      </c>
      <c r="F268" s="17" t="n">
        <v>101283.5</v>
      </c>
      <c r="G268" s="17" t="n">
        <v>85635</v>
      </c>
      <c r="H268" s="17" t="n">
        <v>28720</v>
      </c>
      <c r="I268" s="17" t="n">
        <v>24.9009424555867</v>
      </c>
      <c r="J268" s="17" t="n">
        <v>37121</v>
      </c>
      <c r="K268" s="17" t="n">
        <v>29736</v>
      </c>
      <c r="L268" s="17" t="n">
        <v>36750</v>
      </c>
      <c r="M268" s="17" t="n">
        <v>28863</v>
      </c>
      <c r="N268" s="17" t="n">
        <v>8264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-3628</v>
      </c>
      <c r="Z268" s="17" t="n">
        <v>-3.58202471281107</v>
      </c>
      <c r="AA268" s="17" t="n">
        <v>-12.44</v>
      </c>
      <c r="AB268" s="17" t="n">
        <v>2.41809750847441</v>
      </c>
      <c r="AC268" s="17" t="n">
        <v>0.999434282481614</v>
      </c>
      <c r="AD268" s="17" t="n">
        <v>0.58</v>
      </c>
      <c r="AE268" s="17" t="n">
        <v>1</v>
      </c>
      <c r="AF268" s="17" t="s">
        <v>231</v>
      </c>
      <c r="AG268" s="17" t="s">
        <v>232</v>
      </c>
      <c r="AH268" s="17" t="n">
        <v>0</v>
      </c>
    </row>
    <row r="269" customFormat="false" ht="15" hidden="false" customHeight="false" outlineLevel="0" collapsed="false">
      <c r="A269" s="17" t="n">
        <v>4255</v>
      </c>
      <c r="B269" s="23" t="n">
        <v>45107</v>
      </c>
      <c r="C269" s="17" t="s">
        <v>126</v>
      </c>
      <c r="D269" s="17" t="s">
        <v>108</v>
      </c>
      <c r="E269" s="17" t="n">
        <v>5734437</v>
      </c>
      <c r="F269" s="17" t="n">
        <v>5701431.33333333</v>
      </c>
      <c r="G269" s="17" t="n">
        <v>4731600</v>
      </c>
      <c r="H269" s="17" t="n">
        <v>478695</v>
      </c>
      <c r="I269" s="17" t="n">
        <v>8.3477244583906</v>
      </c>
      <c r="J269" s="17" t="n">
        <v>4112167</v>
      </c>
      <c r="K269" s="17" t="n">
        <v>4068462.33333333</v>
      </c>
      <c r="L269" s="17" t="n">
        <v>4075184</v>
      </c>
      <c r="M269" s="17" t="n">
        <v>3708024</v>
      </c>
      <c r="N269" s="17" t="n">
        <v>346048</v>
      </c>
      <c r="O269" s="17" t="n">
        <v>19845</v>
      </c>
      <c r="P269" s="17" t="n">
        <v>3048</v>
      </c>
      <c r="Q269" s="17" t="n">
        <v>2251</v>
      </c>
      <c r="R269" s="17" t="n">
        <v>0</v>
      </c>
      <c r="S269" s="17" t="n">
        <v>683</v>
      </c>
      <c r="T269" s="17" t="n">
        <v>1366</v>
      </c>
      <c r="U269" s="17" t="n">
        <v>0.0335753384960264</v>
      </c>
      <c r="V269" s="17" t="n">
        <v>539656</v>
      </c>
      <c r="W269" s="17" t="n">
        <v>4079095</v>
      </c>
      <c r="X269" s="17" t="n">
        <v>13.2297972957237</v>
      </c>
      <c r="Y269" s="17" t="n">
        <v>52866</v>
      </c>
      <c r="Z269" s="17" t="n">
        <v>0.927240843731989</v>
      </c>
      <c r="AA269" s="17" t="n">
        <v>11.21</v>
      </c>
      <c r="AB269" s="17" t="n">
        <v>2.58787003447893</v>
      </c>
      <c r="AC269" s="17" t="n">
        <v>0.899355497964942</v>
      </c>
      <c r="AD269" s="17" t="n">
        <v>0.01</v>
      </c>
      <c r="AE269" s="17" t="n">
        <v>1</v>
      </c>
      <c r="AF269" s="17" t="s">
        <v>210</v>
      </c>
      <c r="AG269" s="17" t="s">
        <v>211</v>
      </c>
      <c r="AH269" s="17" t="n">
        <v>0</v>
      </c>
    </row>
    <row r="270" customFormat="false" ht="15" hidden="false" customHeight="false" outlineLevel="0" collapsed="false">
      <c r="A270" s="17" t="n">
        <v>4256</v>
      </c>
      <c r="B270" s="23" t="n">
        <v>45107</v>
      </c>
      <c r="C270" s="17" t="s">
        <v>135</v>
      </c>
      <c r="D270" s="17" t="s">
        <v>108</v>
      </c>
      <c r="E270" s="17" t="n">
        <v>2844637</v>
      </c>
      <c r="F270" s="17" t="n">
        <v>2775158.33333333</v>
      </c>
      <c r="G270" s="17" t="n">
        <v>2500556</v>
      </c>
      <c r="H270" s="17" t="n">
        <v>203536</v>
      </c>
      <c r="I270" s="17" t="n">
        <v>7.15507813474971</v>
      </c>
      <c r="J270" s="17" t="n">
        <v>2060953</v>
      </c>
      <c r="K270" s="17" t="n">
        <v>1986249.66666667</v>
      </c>
      <c r="L270" s="17" t="n">
        <v>2037488</v>
      </c>
      <c r="M270" s="17" t="n">
        <v>1630531</v>
      </c>
      <c r="N270" s="17" t="n">
        <v>306090</v>
      </c>
      <c r="O270" s="17" t="n">
        <v>20316</v>
      </c>
      <c r="P270" s="17" t="n">
        <v>1676</v>
      </c>
      <c r="Q270" s="17" t="n">
        <v>1949</v>
      </c>
      <c r="R270" s="17" t="n">
        <v>318</v>
      </c>
      <c r="S270" s="17" t="n">
        <v>48</v>
      </c>
      <c r="T270" s="17" t="n">
        <v>96</v>
      </c>
      <c r="U270" s="17" t="n">
        <v>0.00483322925667787</v>
      </c>
      <c r="V270" s="17" t="n">
        <v>267710</v>
      </c>
      <c r="W270" s="17" t="n">
        <v>1964797</v>
      </c>
      <c r="X270" s="17" t="n">
        <v>13.625326178735</v>
      </c>
      <c r="Y270" s="17" t="n">
        <v>31710</v>
      </c>
      <c r="Z270" s="17" t="n">
        <v>1.14263750716926</v>
      </c>
      <c r="AA270" s="17" t="n">
        <v>15.76</v>
      </c>
      <c r="AB270" s="17" t="n">
        <v>2.56137469947548</v>
      </c>
      <c r="AC270" s="17" t="n">
        <v>1.13855095191399</v>
      </c>
      <c r="AD270" s="17" t="n">
        <v>0.05</v>
      </c>
      <c r="AE270" s="17" t="n">
        <v>1</v>
      </c>
      <c r="AF270" s="17" t="s">
        <v>210</v>
      </c>
      <c r="AG270" s="17" t="s">
        <v>211</v>
      </c>
      <c r="AH270" s="17" t="n">
        <v>0</v>
      </c>
    </row>
    <row r="271" customFormat="false" ht="15" hidden="false" customHeight="false" outlineLevel="0" collapsed="false">
      <c r="A271" s="17" t="n">
        <v>6271</v>
      </c>
      <c r="B271" s="23" t="n">
        <v>45107</v>
      </c>
      <c r="C271" s="17" t="s">
        <v>147</v>
      </c>
      <c r="D271" s="17" t="s">
        <v>113</v>
      </c>
      <c r="E271" s="17" t="n">
        <v>1031317</v>
      </c>
      <c r="F271" s="17" t="n">
        <v>1038939.33333333</v>
      </c>
      <c r="G271" s="17" t="n">
        <v>852686</v>
      </c>
      <c r="H271" s="17" t="n">
        <v>92265</v>
      </c>
      <c r="I271" s="17" t="n">
        <v>8.94632785069964</v>
      </c>
      <c r="J271" s="17" t="n">
        <v>782411</v>
      </c>
      <c r="K271" s="17" t="n">
        <v>763516.333333333</v>
      </c>
      <c r="L271" s="17" t="n">
        <v>773155</v>
      </c>
      <c r="M271" s="17" t="n">
        <v>618469</v>
      </c>
      <c r="N271" s="17" t="n">
        <v>125407</v>
      </c>
      <c r="O271" s="17" t="n">
        <v>3526</v>
      </c>
      <c r="P271" s="17" t="n">
        <v>7745</v>
      </c>
      <c r="Q271" s="17" t="n">
        <v>1900</v>
      </c>
      <c r="R271" s="17" t="n">
        <v>351</v>
      </c>
      <c r="S271" s="17" t="n">
        <v>283</v>
      </c>
      <c r="T271" s="17" t="n">
        <v>566</v>
      </c>
      <c r="U271" s="17" t="n">
        <v>0.0741306996706903</v>
      </c>
      <c r="V271" s="17" t="n">
        <v>109365</v>
      </c>
      <c r="W271" s="17" t="n">
        <v>737262</v>
      </c>
      <c r="X271" s="17" t="n">
        <v>14.8339396306876</v>
      </c>
      <c r="Y271" s="17" t="n">
        <v>14228</v>
      </c>
      <c r="Z271" s="17" t="n">
        <v>1.36947361058618</v>
      </c>
      <c r="AA271" s="17" t="n">
        <v>15.74</v>
      </c>
      <c r="AB271" s="17" t="n">
        <v>3.53794135103339</v>
      </c>
      <c r="AC271" s="17" t="n">
        <v>1.18300995256969</v>
      </c>
      <c r="AD271" s="17" t="n">
        <v>0.11</v>
      </c>
      <c r="AE271" s="17" t="n">
        <v>1</v>
      </c>
      <c r="AF271" s="17" t="s">
        <v>210</v>
      </c>
      <c r="AG271" s="17" t="s">
        <v>211</v>
      </c>
      <c r="AH271" s="17" t="n">
        <v>0</v>
      </c>
    </row>
    <row r="272" customFormat="false" ht="15" hidden="false" customHeight="false" outlineLevel="0" collapsed="false">
      <c r="A272" s="17" t="n">
        <v>6275</v>
      </c>
      <c r="B272" s="23" t="n">
        <v>45107</v>
      </c>
      <c r="C272" s="17" t="s">
        <v>165</v>
      </c>
      <c r="D272" s="17" t="s">
        <v>113</v>
      </c>
      <c r="E272" s="17" t="n">
        <v>549189</v>
      </c>
      <c r="F272" s="17" t="n">
        <v>540376.666666667</v>
      </c>
      <c r="G272" s="17" t="n">
        <v>469803</v>
      </c>
      <c r="H272" s="17" t="n">
        <v>27287</v>
      </c>
      <c r="I272" s="17" t="n">
        <v>4.96859915256861</v>
      </c>
      <c r="J272" s="17" t="n">
        <v>328932</v>
      </c>
      <c r="K272" s="17" t="n">
        <v>318601</v>
      </c>
      <c r="L272" s="17" t="n">
        <v>327582</v>
      </c>
      <c r="M272" s="17" t="n">
        <v>269836</v>
      </c>
      <c r="N272" s="17" t="n">
        <v>34100</v>
      </c>
      <c r="O272" s="17" t="n">
        <v>13676</v>
      </c>
      <c r="P272" s="17" t="n">
        <v>1335</v>
      </c>
      <c r="Q272" s="17" t="n">
        <v>246</v>
      </c>
      <c r="R272" s="17" t="n">
        <v>152</v>
      </c>
      <c r="S272" s="17" t="n">
        <v>0</v>
      </c>
      <c r="T272" s="17" t="n">
        <v>0</v>
      </c>
      <c r="U272" s="17" t="n">
        <v>0</v>
      </c>
      <c r="V272" s="17" t="n">
        <v>47371</v>
      </c>
      <c r="W272" s="17" t="n">
        <v>314313</v>
      </c>
      <c r="X272" s="17" t="n">
        <v>15.0712824477511</v>
      </c>
      <c r="Y272" s="17" t="n">
        <v>2594</v>
      </c>
      <c r="Z272" s="17" t="n">
        <v>0.480035530771746</v>
      </c>
      <c r="AA272" s="17" t="n">
        <v>9.65</v>
      </c>
      <c r="AB272" s="17" t="n">
        <v>2.97239376778099</v>
      </c>
      <c r="AC272" s="17" t="n">
        <v>0.410419174783846</v>
      </c>
      <c r="AD272" s="17" t="n">
        <v>0</v>
      </c>
      <c r="AE272" s="17" t="n">
        <v>1</v>
      </c>
      <c r="AF272" s="17" t="s">
        <v>210</v>
      </c>
      <c r="AG272" s="17" t="s">
        <v>211</v>
      </c>
      <c r="AH272" s="17" t="n">
        <v>0</v>
      </c>
    </row>
    <row r="273" customFormat="false" ht="15" hidden="false" customHeight="false" outlineLevel="0" collapsed="false">
      <c r="A273" s="17" t="n">
        <v>6280</v>
      </c>
      <c r="B273" s="23" t="n">
        <v>45107</v>
      </c>
      <c r="C273" s="17" t="s">
        <v>138</v>
      </c>
      <c r="D273" s="17" t="s">
        <v>113</v>
      </c>
      <c r="E273" s="17" t="n">
        <v>83293</v>
      </c>
      <c r="F273" s="17" t="n">
        <v>83961.6666666667</v>
      </c>
      <c r="G273" s="17" t="n">
        <v>73688</v>
      </c>
      <c r="H273" s="17" t="n">
        <v>9047</v>
      </c>
      <c r="I273" s="17" t="n">
        <v>10.8616570420083</v>
      </c>
      <c r="J273" s="17" t="n">
        <v>65402</v>
      </c>
      <c r="K273" s="17" t="n">
        <v>64149</v>
      </c>
      <c r="L273" s="17" t="n">
        <v>64557</v>
      </c>
      <c r="M273" s="17" t="n">
        <v>57427</v>
      </c>
      <c r="N273" s="17" t="n">
        <v>3640</v>
      </c>
      <c r="O273" s="17" t="n">
        <v>1707</v>
      </c>
      <c r="P273" s="17" t="n">
        <v>711</v>
      </c>
      <c r="Q273" s="17" t="n">
        <v>316</v>
      </c>
      <c r="R273" s="17" t="n">
        <v>0</v>
      </c>
      <c r="S273" s="17" t="n">
        <v>9</v>
      </c>
      <c r="T273" s="17" t="n">
        <v>18</v>
      </c>
      <c r="U273" s="17" t="n">
        <v>0.0280596735724641</v>
      </c>
      <c r="V273" s="17" t="n">
        <v>0</v>
      </c>
      <c r="W273" s="17" t="n">
        <v>0</v>
      </c>
      <c r="X273" s="17" t="n">
        <v>0</v>
      </c>
      <c r="Y273" s="17" t="n">
        <v>1632</v>
      </c>
      <c r="Z273" s="17" t="n">
        <v>1.943744168966</v>
      </c>
      <c r="AA273" s="17" t="n">
        <v>18.36</v>
      </c>
      <c r="AB273" s="17" t="n">
        <v>5.0004375382846</v>
      </c>
      <c r="AC273" s="17" t="n">
        <v>1.29200941867221</v>
      </c>
      <c r="AD273" s="17" t="n">
        <v>0.06</v>
      </c>
      <c r="AE273" s="17" t="n">
        <v>1</v>
      </c>
      <c r="AF273" s="17" t="s">
        <v>210</v>
      </c>
      <c r="AG273" s="17" t="s">
        <v>211</v>
      </c>
      <c r="AH273" s="17" t="n">
        <v>0</v>
      </c>
    </row>
    <row r="274" customFormat="false" ht="15" hidden="false" customHeight="false" outlineLevel="0" collapsed="false">
      <c r="A274" s="17" t="n">
        <v>11971</v>
      </c>
      <c r="B274" s="23" t="n">
        <v>45107</v>
      </c>
      <c r="C274" s="17" t="s">
        <v>134</v>
      </c>
      <c r="D274" s="17" t="s">
        <v>108</v>
      </c>
      <c r="E274" s="17" t="n">
        <v>4024714</v>
      </c>
      <c r="F274" s="17" t="n">
        <v>3952389.66666667</v>
      </c>
      <c r="G274" s="17" t="n">
        <v>3097302</v>
      </c>
      <c r="H274" s="17" t="n">
        <v>463527</v>
      </c>
      <c r="I274" s="17" t="n">
        <v>11.5170171097872</v>
      </c>
      <c r="J274" s="17" t="n">
        <v>3011149</v>
      </c>
      <c r="K274" s="17" t="n">
        <v>2952769.33333333</v>
      </c>
      <c r="L274" s="17" t="n">
        <v>2983787</v>
      </c>
      <c r="M274" s="17" t="n">
        <v>2647016</v>
      </c>
      <c r="N274" s="17" t="n">
        <v>218097</v>
      </c>
      <c r="O274" s="17" t="n">
        <v>7796</v>
      </c>
      <c r="P274" s="17" t="n">
        <v>6704</v>
      </c>
      <c r="Q274" s="17" t="n">
        <v>1816</v>
      </c>
      <c r="R274" s="17" t="n">
        <v>568</v>
      </c>
      <c r="S274" s="17" t="n">
        <v>46</v>
      </c>
      <c r="T274" s="17" t="n">
        <v>92</v>
      </c>
      <c r="U274" s="17" t="n">
        <v>0.00311571916442734</v>
      </c>
      <c r="V274" s="17" t="n">
        <v>427327</v>
      </c>
      <c r="W274" s="17" t="n">
        <v>3214380</v>
      </c>
      <c r="X274" s="17" t="n">
        <v>13.2942278137619</v>
      </c>
      <c r="Y274" s="17" t="n">
        <v>53226</v>
      </c>
      <c r="Z274" s="17" t="n">
        <v>1.34667895852712</v>
      </c>
      <c r="AA274" s="17" t="n">
        <v>11.64</v>
      </c>
      <c r="AB274" s="17" t="n">
        <v>3.47596816651074</v>
      </c>
      <c r="AC274" s="17" t="n">
        <v>0.908689672945444</v>
      </c>
      <c r="AD274" s="17" t="n">
        <v>0.07</v>
      </c>
      <c r="AE274" s="17" t="n">
        <v>1</v>
      </c>
      <c r="AF274" s="17" t="s">
        <v>231</v>
      </c>
      <c r="AG274" s="17" t="s">
        <v>232</v>
      </c>
      <c r="AH274" s="17" t="n">
        <v>0</v>
      </c>
    </row>
    <row r="275" customFormat="false" ht="15" hidden="false" customHeight="false" outlineLevel="0" collapsed="false">
      <c r="A275" s="17" t="n">
        <v>12874</v>
      </c>
      <c r="B275" s="23" t="n">
        <v>45107</v>
      </c>
      <c r="C275" s="17" t="s">
        <v>159</v>
      </c>
      <c r="D275" s="17" t="s">
        <v>108</v>
      </c>
      <c r="E275" s="17" t="n">
        <v>1000625</v>
      </c>
      <c r="F275" s="17" t="n">
        <v>987724.333333333</v>
      </c>
      <c r="G275" s="17" t="n">
        <v>879800</v>
      </c>
      <c r="H275" s="17" t="n">
        <v>101151</v>
      </c>
      <c r="I275" s="17" t="n">
        <v>10.108782011243</v>
      </c>
      <c r="J275" s="17" t="n">
        <v>781131</v>
      </c>
      <c r="K275" s="17" t="n">
        <v>763908.666666667</v>
      </c>
      <c r="L275" s="17" t="n">
        <v>773454</v>
      </c>
      <c r="M275" s="17" t="n">
        <v>615778</v>
      </c>
      <c r="N275" s="17" t="n">
        <v>141954</v>
      </c>
      <c r="O275" s="17" t="n">
        <v>5455</v>
      </c>
      <c r="P275" s="17" t="n">
        <v>420</v>
      </c>
      <c r="Q275" s="17" t="n">
        <v>193</v>
      </c>
      <c r="R275" s="17" t="n">
        <v>0</v>
      </c>
      <c r="S275" s="17" t="n">
        <v>32</v>
      </c>
      <c r="T275" s="17" t="n">
        <v>64</v>
      </c>
      <c r="U275" s="17" t="n">
        <v>0.00837796490505409</v>
      </c>
      <c r="V275" s="17" t="n">
        <v>115773</v>
      </c>
      <c r="W275" s="17" t="n">
        <v>748846</v>
      </c>
      <c r="X275" s="17" t="n">
        <v>15.460188076053</v>
      </c>
      <c r="Y275" s="17" t="n">
        <v>10866</v>
      </c>
      <c r="Z275" s="17" t="n">
        <v>1.1001045163411</v>
      </c>
      <c r="AA275" s="17" t="n">
        <v>10.9</v>
      </c>
      <c r="AB275" s="17" t="n">
        <v>3.90232385084841</v>
      </c>
      <c r="AC275" s="17" t="n">
        <v>0.982805700964371</v>
      </c>
      <c r="AD275" s="17" t="n">
        <v>-0.02</v>
      </c>
      <c r="AE275" s="17" t="n">
        <v>1</v>
      </c>
      <c r="AF275" s="17" t="s">
        <v>231</v>
      </c>
      <c r="AG275" s="17" t="s">
        <v>232</v>
      </c>
      <c r="AH275" s="17" t="n">
        <v>0</v>
      </c>
    </row>
    <row r="276" customFormat="false" ht="15" hidden="false" customHeight="false" outlineLevel="0" collapsed="false">
      <c r="A276" s="17" t="n">
        <v>13063</v>
      </c>
      <c r="B276" s="23" t="n">
        <v>45107</v>
      </c>
      <c r="C276" s="17" t="s">
        <v>139</v>
      </c>
      <c r="D276" s="17" t="s">
        <v>108</v>
      </c>
      <c r="E276" s="17" t="n">
        <v>1812064</v>
      </c>
      <c r="F276" s="17" t="n">
        <v>1836461.33333333</v>
      </c>
      <c r="G276" s="17" t="n">
        <v>1600851</v>
      </c>
      <c r="H276" s="17" t="n">
        <v>137010</v>
      </c>
      <c r="I276" s="17" t="n">
        <v>7.56099122326805</v>
      </c>
      <c r="J276" s="17" t="n">
        <v>1384852</v>
      </c>
      <c r="K276" s="17" t="n">
        <v>1366534.33333333</v>
      </c>
      <c r="L276" s="17" t="n">
        <v>1368738</v>
      </c>
      <c r="M276" s="17" t="n">
        <v>1322359</v>
      </c>
      <c r="N276" s="17" t="n">
        <v>53620</v>
      </c>
      <c r="O276" s="17" t="n">
        <v>851</v>
      </c>
      <c r="P276" s="17" t="n">
        <v>501</v>
      </c>
      <c r="Q276" s="17" t="n">
        <v>0</v>
      </c>
      <c r="R276" s="17" t="n">
        <v>711</v>
      </c>
      <c r="S276" s="17" t="n">
        <v>53</v>
      </c>
      <c r="T276" s="17" t="n">
        <v>106</v>
      </c>
      <c r="U276" s="17" t="n">
        <v>0.00775684865095474</v>
      </c>
      <c r="V276" s="17" t="n">
        <v>0</v>
      </c>
      <c r="W276" s="17" t="n">
        <v>0</v>
      </c>
      <c r="X276" s="17" t="n">
        <v>0</v>
      </c>
      <c r="Y276" s="17" t="n">
        <v>1954</v>
      </c>
      <c r="Z276" s="17" t="n">
        <v>0.106400279958703</v>
      </c>
      <c r="AA276" s="17" t="n">
        <v>1.41</v>
      </c>
      <c r="AB276" s="17" t="n">
        <v>3.22117893560772</v>
      </c>
      <c r="AC276" s="17" t="n">
        <v>1.1635900442791</v>
      </c>
      <c r="AD276" s="17" t="n">
        <v>0.14</v>
      </c>
      <c r="AE276" s="17" t="n">
        <v>1</v>
      </c>
      <c r="AF276" s="17" t="s">
        <v>241</v>
      </c>
      <c r="AG276" s="17" t="s">
        <v>232</v>
      </c>
      <c r="AH276" s="17" t="n">
        <v>0</v>
      </c>
    </row>
    <row r="277" customFormat="false" ht="15" hidden="false" customHeight="false" outlineLevel="0" collapsed="false">
      <c r="A277" s="17" t="n">
        <v>14134</v>
      </c>
      <c r="B277" s="23" t="n">
        <v>45107</v>
      </c>
      <c r="C277" s="17" t="s">
        <v>155</v>
      </c>
      <c r="D277" s="17" t="s">
        <v>113</v>
      </c>
      <c r="E277" s="17" t="n">
        <v>847137</v>
      </c>
      <c r="F277" s="17" t="n">
        <v>840277.333333333</v>
      </c>
      <c r="G277" s="17" t="n">
        <v>678698</v>
      </c>
      <c r="H277" s="17" t="n">
        <v>100453</v>
      </c>
      <c r="I277" s="17" t="n">
        <v>11.8579403331456</v>
      </c>
      <c r="J277" s="17" t="n">
        <v>646015</v>
      </c>
      <c r="K277" s="17" t="n">
        <v>632351.333333333</v>
      </c>
      <c r="L277" s="17" t="n">
        <v>638821</v>
      </c>
      <c r="M277" s="17" t="n">
        <v>571141</v>
      </c>
      <c r="N277" s="17" t="n">
        <v>28195</v>
      </c>
      <c r="O277" s="17" t="n">
        <v>29490</v>
      </c>
      <c r="P277" s="17" t="n">
        <v>12099</v>
      </c>
      <c r="Q277" s="17" t="n">
        <v>5509</v>
      </c>
      <c r="R277" s="17" t="n">
        <v>0</v>
      </c>
      <c r="S277" s="17" t="n">
        <v>451</v>
      </c>
      <c r="T277" s="17" t="n">
        <v>902</v>
      </c>
      <c r="U277" s="17" t="n">
        <v>0.142642223152319</v>
      </c>
      <c r="V277" s="17" t="n">
        <v>105046</v>
      </c>
      <c r="W277" s="17" t="n">
        <v>580807</v>
      </c>
      <c r="X277" s="17" t="n">
        <v>18.0862145256514</v>
      </c>
      <c r="Y277" s="17" t="n">
        <v>5896</v>
      </c>
      <c r="Z277" s="17" t="n">
        <v>0.701673098405606</v>
      </c>
      <c r="AA277" s="17" t="n">
        <v>5.94</v>
      </c>
      <c r="AB277" s="17" t="n">
        <v>3.29334633797883</v>
      </c>
      <c r="AC277" s="17" t="n">
        <v>1.11359643351935</v>
      </c>
      <c r="AD277" s="17" t="n">
        <v>0.11</v>
      </c>
      <c r="AE277" s="17" t="n">
        <v>1</v>
      </c>
      <c r="AF277" s="17" t="s">
        <v>241</v>
      </c>
      <c r="AG277" s="17" t="s">
        <v>232</v>
      </c>
      <c r="AH277" s="17" t="n">
        <v>0</v>
      </c>
    </row>
    <row r="278" customFormat="false" ht="15" hidden="false" customHeight="false" outlineLevel="0" collapsed="false">
      <c r="A278" s="17" t="n">
        <v>14136</v>
      </c>
      <c r="B278" s="23" t="n">
        <v>45107</v>
      </c>
      <c r="C278" s="17" t="s">
        <v>153</v>
      </c>
      <c r="D278" s="17" t="s">
        <v>113</v>
      </c>
      <c r="E278" s="17" t="n">
        <v>231428</v>
      </c>
      <c r="F278" s="17" t="n">
        <v>227741.666666667</v>
      </c>
      <c r="G278" s="17" t="n">
        <v>199035</v>
      </c>
      <c r="H278" s="17" t="n">
        <v>15826</v>
      </c>
      <c r="I278" s="17" t="n">
        <v>6.83841194669616</v>
      </c>
      <c r="J278" s="17" t="n">
        <v>146930</v>
      </c>
      <c r="K278" s="17" t="n">
        <v>143661.333333333</v>
      </c>
      <c r="L278" s="17" t="n">
        <v>145006</v>
      </c>
      <c r="M278" s="17" t="n">
        <v>118077</v>
      </c>
      <c r="N278" s="17" t="n">
        <v>13599</v>
      </c>
      <c r="O278" s="17" t="n">
        <v>14936</v>
      </c>
      <c r="P278" s="17" t="n">
        <v>71</v>
      </c>
      <c r="Q278" s="17" t="n">
        <v>1765</v>
      </c>
      <c r="R278" s="17" t="n">
        <v>660</v>
      </c>
      <c r="S278" s="17" t="n">
        <v>21</v>
      </c>
      <c r="T278" s="17" t="n">
        <v>42</v>
      </c>
      <c r="U278" s="17" t="n">
        <v>0.0292354240528651</v>
      </c>
      <c r="V278" s="17" t="n">
        <v>25905</v>
      </c>
      <c r="W278" s="17" t="n">
        <v>148720</v>
      </c>
      <c r="X278" s="17" t="n">
        <v>17.4186390532544</v>
      </c>
      <c r="Y278" s="17" t="n">
        <v>1500</v>
      </c>
      <c r="Z278" s="17" t="n">
        <v>0.65864100406162</v>
      </c>
      <c r="AA278" s="17" t="n">
        <v>9.74</v>
      </c>
      <c r="AB278" s="17" t="n">
        <v>4.11601446727282</v>
      </c>
      <c r="AC278" s="17" t="n">
        <v>1.30946709317362</v>
      </c>
      <c r="AD278" s="17" t="n">
        <v>0.06</v>
      </c>
      <c r="AE278" s="17" t="n">
        <v>1</v>
      </c>
      <c r="AF278" s="17" t="s">
        <v>241</v>
      </c>
      <c r="AG278" s="17" t="s">
        <v>232</v>
      </c>
      <c r="AH278" s="17" t="n">
        <v>1</v>
      </c>
    </row>
    <row r="279" customFormat="false" ht="15" hidden="false" customHeight="false" outlineLevel="0" collapsed="false">
      <c r="A279" s="17" t="n">
        <v>14140</v>
      </c>
      <c r="B279" s="23" t="n">
        <v>45107</v>
      </c>
      <c r="C279" s="17" t="s">
        <v>120</v>
      </c>
      <c r="D279" s="17" t="s">
        <v>113</v>
      </c>
      <c r="E279" s="17" t="n">
        <v>1455126</v>
      </c>
      <c r="F279" s="17" t="n">
        <v>1427654.66666667</v>
      </c>
      <c r="G279" s="17" t="n">
        <v>1135506</v>
      </c>
      <c r="H279" s="17" t="n">
        <v>119184</v>
      </c>
      <c r="I279" s="17" t="n">
        <v>8.19063091443628</v>
      </c>
      <c r="J279" s="17" t="n">
        <v>1012877</v>
      </c>
      <c r="K279" s="17" t="n">
        <v>993343</v>
      </c>
      <c r="L279" s="17" t="n">
        <v>1004595</v>
      </c>
      <c r="M279" s="17" t="n">
        <v>902092</v>
      </c>
      <c r="N279" s="17" t="n">
        <v>93803</v>
      </c>
      <c r="O279" s="17" t="n">
        <v>1397</v>
      </c>
      <c r="P279" s="17" t="n">
        <v>4474</v>
      </c>
      <c r="Q279" s="17" t="n">
        <v>169</v>
      </c>
      <c r="R279" s="17" t="n">
        <v>0</v>
      </c>
      <c r="S279" s="17" t="n">
        <v>18</v>
      </c>
      <c r="T279" s="17" t="n">
        <v>36</v>
      </c>
      <c r="U279" s="17" t="n">
        <v>0.00362412580548713</v>
      </c>
      <c r="V279" s="17" t="n">
        <v>0</v>
      </c>
      <c r="W279" s="17" t="n">
        <v>0</v>
      </c>
      <c r="X279" s="17" t="n">
        <v>0</v>
      </c>
      <c r="Y279" s="17" t="n">
        <v>4850</v>
      </c>
      <c r="Z279" s="17" t="n">
        <v>0.339718008369905</v>
      </c>
      <c r="AA279" s="17" t="n">
        <v>4.11</v>
      </c>
      <c r="AB279" s="17" t="n">
        <v>2.7602160616299</v>
      </c>
      <c r="AC279" s="17" t="n">
        <v>0.817670852433218</v>
      </c>
      <c r="AD279" s="17" t="n">
        <v>0.04</v>
      </c>
      <c r="AE279" s="17" t="n">
        <v>1</v>
      </c>
      <c r="AF279" s="17" t="s">
        <v>241</v>
      </c>
      <c r="AG279" s="17" t="s">
        <v>232</v>
      </c>
      <c r="AH279" s="17" t="n">
        <v>0</v>
      </c>
    </row>
    <row r="280" customFormat="false" ht="15" hidden="false" customHeight="false" outlineLevel="0" collapsed="false">
      <c r="A280" s="17" t="n">
        <v>14158</v>
      </c>
      <c r="B280" s="23" t="n">
        <v>45107</v>
      </c>
      <c r="C280" s="17" t="s">
        <v>112</v>
      </c>
      <c r="D280" s="17" t="s">
        <v>113</v>
      </c>
      <c r="E280" s="17" t="n">
        <v>1334466</v>
      </c>
      <c r="F280" s="17" t="n">
        <v>1343947</v>
      </c>
      <c r="G280" s="17" t="n">
        <v>1127096</v>
      </c>
      <c r="H280" s="17" t="n">
        <v>75241</v>
      </c>
      <c r="I280" s="17" t="n">
        <v>5.63828527665748</v>
      </c>
      <c r="J280" s="17" t="n">
        <v>940237</v>
      </c>
      <c r="K280" s="17" t="n">
        <v>959174.666666667</v>
      </c>
      <c r="L280" s="17" t="n">
        <v>933457</v>
      </c>
      <c r="M280" s="17" t="n">
        <v>869255</v>
      </c>
      <c r="N280" s="17" t="n">
        <v>41096</v>
      </c>
      <c r="O280" s="17" t="n">
        <v>2333</v>
      </c>
      <c r="P280" s="17" t="n">
        <v>1957</v>
      </c>
      <c r="Q280" s="17" t="n">
        <v>286</v>
      </c>
      <c r="R280" s="17" t="n">
        <v>64</v>
      </c>
      <c r="S280" s="17" t="n">
        <v>3</v>
      </c>
      <c r="T280" s="17" t="n">
        <v>6</v>
      </c>
      <c r="U280" s="17" t="n">
        <v>0.000625537788737818</v>
      </c>
      <c r="V280" s="17" t="n">
        <v>117546</v>
      </c>
      <c r="W280" s="17" t="n">
        <v>872412</v>
      </c>
      <c r="X280" s="17" t="n">
        <v>13.4736798668519</v>
      </c>
      <c r="Y280" s="17" t="n">
        <v>12292</v>
      </c>
      <c r="Z280" s="17" t="n">
        <v>0.914619400913875</v>
      </c>
      <c r="AA280" s="17" t="n">
        <v>16.54</v>
      </c>
      <c r="AB280" s="17" t="n">
        <v>3.17333702990149</v>
      </c>
      <c r="AC280" s="17" t="n">
        <v>0.721094787803501</v>
      </c>
      <c r="AD280" s="17" t="n">
        <v>0</v>
      </c>
      <c r="AE280" s="17" t="n">
        <v>1</v>
      </c>
      <c r="AF280" s="17" t="s">
        <v>231</v>
      </c>
      <c r="AG280" s="17" t="s">
        <v>232</v>
      </c>
      <c r="AH280" s="17" t="n">
        <v>0</v>
      </c>
    </row>
    <row r="281" customFormat="false" ht="15" hidden="false" customHeight="false" outlineLevel="0" collapsed="false">
      <c r="A281" s="17" t="n">
        <v>14168</v>
      </c>
      <c r="B281" s="23" t="n">
        <v>45107</v>
      </c>
      <c r="C281" s="17" t="s">
        <v>162</v>
      </c>
      <c r="D281" s="17" t="s">
        <v>113</v>
      </c>
      <c r="E281" s="17" t="n">
        <v>354017</v>
      </c>
      <c r="F281" s="17" t="n">
        <v>359634.666666667</v>
      </c>
      <c r="G281" s="17" t="n">
        <v>316211</v>
      </c>
      <c r="H281" s="17" t="n">
        <v>33013</v>
      </c>
      <c r="I281" s="17" t="n">
        <v>9.32525839154617</v>
      </c>
      <c r="J281" s="17" t="n">
        <v>221896</v>
      </c>
      <c r="K281" s="17" t="n">
        <v>214794.666666667</v>
      </c>
      <c r="L281" s="17" t="n">
        <v>218400</v>
      </c>
      <c r="M281" s="17" t="n">
        <v>185047</v>
      </c>
      <c r="N281" s="17" t="n">
        <v>11719</v>
      </c>
      <c r="O281" s="17" t="n">
        <v>9368</v>
      </c>
      <c r="P281" s="17" t="n">
        <v>1000</v>
      </c>
      <c r="Q281" s="17" t="n">
        <v>648</v>
      </c>
      <c r="R281" s="17" t="n">
        <v>0</v>
      </c>
      <c r="S281" s="17" t="n">
        <v>-6</v>
      </c>
      <c r="T281" s="17" t="n">
        <v>-12</v>
      </c>
      <c r="U281" s="17" t="n">
        <v>-0.00558673089338035</v>
      </c>
      <c r="V281" s="17" t="n">
        <v>40821</v>
      </c>
      <c r="W281" s="17" t="n">
        <v>237587</v>
      </c>
      <c r="X281" s="17" t="n">
        <v>17.1814956205516</v>
      </c>
      <c r="Y281" s="17" t="n">
        <v>2774</v>
      </c>
      <c r="Z281" s="17" t="n">
        <v>0.771338321111053</v>
      </c>
      <c r="AA281" s="17" t="n">
        <v>8.49</v>
      </c>
      <c r="AB281" s="17" t="n">
        <v>3.87001556218775</v>
      </c>
      <c r="AC281" s="17" t="n">
        <v>1.57551285286801</v>
      </c>
      <c r="AD281" s="17" t="n">
        <v>0.18</v>
      </c>
      <c r="AE281" s="17" t="n">
        <v>1</v>
      </c>
      <c r="AF281" s="17" t="s">
        <v>231</v>
      </c>
      <c r="AG281" s="17" t="s">
        <v>232</v>
      </c>
      <c r="AH281" s="17" t="n">
        <v>0</v>
      </c>
    </row>
    <row r="282" customFormat="false" ht="15" hidden="false" customHeight="false" outlineLevel="0" collapsed="false">
      <c r="A282" s="17" t="n">
        <v>14240</v>
      </c>
      <c r="B282" s="23" t="n">
        <v>45107</v>
      </c>
      <c r="C282" s="17" t="s">
        <v>195</v>
      </c>
      <c r="D282" s="17" t="s">
        <v>116</v>
      </c>
      <c r="E282" s="17" t="n">
        <v>1364156</v>
      </c>
      <c r="F282" s="17" t="n">
        <v>1342149</v>
      </c>
      <c r="G282" s="17" t="n">
        <v>1068855</v>
      </c>
      <c r="H282" s="17" t="n">
        <v>84062</v>
      </c>
      <c r="I282" s="17" t="n">
        <v>6.16219845824085</v>
      </c>
      <c r="J282" s="17" t="n">
        <v>961383</v>
      </c>
      <c r="K282" s="17" t="n">
        <v>947217</v>
      </c>
      <c r="L282" s="17" t="n">
        <v>950280</v>
      </c>
      <c r="M282" s="17" t="n">
        <v>840679</v>
      </c>
      <c r="N282" s="17" t="n">
        <v>25053</v>
      </c>
      <c r="O282" s="17" t="n">
        <v>18013</v>
      </c>
      <c r="P282" s="17" t="n">
        <v>2407</v>
      </c>
      <c r="Q282" s="17" t="n">
        <v>439</v>
      </c>
      <c r="R282" s="17" t="n">
        <v>0</v>
      </c>
      <c r="S282" s="17" t="n">
        <v>15</v>
      </c>
      <c r="T282" s="17" t="n">
        <v>30</v>
      </c>
      <c r="U282" s="17" t="n">
        <v>0.00316717288646635</v>
      </c>
      <c r="V282" s="17" t="n">
        <v>123694</v>
      </c>
      <c r="W282" s="17" t="n">
        <v>833617</v>
      </c>
      <c r="X282" s="17" t="n">
        <v>14.8382290668257</v>
      </c>
      <c r="Y282" s="17" t="n">
        <v>6552</v>
      </c>
      <c r="Z282" s="17" t="n">
        <v>0.488172326619474</v>
      </c>
      <c r="AA282" s="17" t="n">
        <v>7.82</v>
      </c>
      <c r="AB282" s="17" t="n">
        <v>2.84318350205088</v>
      </c>
      <c r="AC282" s="17" t="n">
        <v>1.1548987240257</v>
      </c>
      <c r="AD282" s="17" t="n">
        <v>0</v>
      </c>
      <c r="AE282" s="17" t="n">
        <v>0</v>
      </c>
      <c r="AF282" s="17" t="s">
        <v>231</v>
      </c>
      <c r="AG282" s="17" t="s">
        <v>232</v>
      </c>
      <c r="AH282" s="17" t="n">
        <v>0</v>
      </c>
    </row>
    <row r="283" customFormat="false" ht="15" hidden="false" customHeight="false" outlineLevel="0" collapsed="false">
      <c r="A283" s="17" t="n">
        <v>17115</v>
      </c>
      <c r="B283" s="23" t="n">
        <v>45107</v>
      </c>
      <c r="C283" s="17" t="s">
        <v>143</v>
      </c>
      <c r="D283" s="17" t="s">
        <v>108</v>
      </c>
      <c r="E283" s="17" t="n">
        <v>1072006</v>
      </c>
      <c r="F283" s="17" t="n">
        <v>1040468.33333333</v>
      </c>
      <c r="G283" s="17" t="n">
        <v>821428</v>
      </c>
      <c r="H283" s="17" t="n">
        <v>81921</v>
      </c>
      <c r="I283" s="17" t="n">
        <v>7.64184155685696</v>
      </c>
      <c r="J283" s="17" t="n">
        <v>882529</v>
      </c>
      <c r="K283" s="17" t="n">
        <v>858920.333333333</v>
      </c>
      <c r="L283" s="17" t="n">
        <v>873311</v>
      </c>
      <c r="M283" s="17" t="n">
        <v>832338</v>
      </c>
      <c r="N283" s="17" t="n">
        <v>43867</v>
      </c>
      <c r="O283" s="17" t="n">
        <v>5156</v>
      </c>
      <c r="P283" s="17" t="n">
        <v>254</v>
      </c>
      <c r="Q283" s="17" t="n">
        <v>36</v>
      </c>
      <c r="R283" s="17" t="n">
        <v>0</v>
      </c>
      <c r="S283" s="17" t="n">
        <v>11</v>
      </c>
      <c r="T283" s="17" t="n">
        <v>22</v>
      </c>
      <c r="U283" s="17" t="n">
        <v>0.00256135512761952</v>
      </c>
      <c r="V283" s="17" t="n">
        <v>106192</v>
      </c>
      <c r="W283" s="17" t="n">
        <v>781267</v>
      </c>
      <c r="X283" s="17" t="n">
        <v>13.5922802319822</v>
      </c>
      <c r="Y283" s="17" t="n">
        <v>6060</v>
      </c>
      <c r="Z283" s="17" t="n">
        <v>0.58243002750364</v>
      </c>
      <c r="AA283" s="17" t="n">
        <v>7.48</v>
      </c>
      <c r="AB283" s="17" t="n">
        <v>3.0071112208117</v>
      </c>
      <c r="AC283" s="17" t="n">
        <v>1.0444982544483</v>
      </c>
      <c r="AD283" s="17" t="n">
        <v>0.09</v>
      </c>
      <c r="AE283" s="17" t="n">
        <v>1</v>
      </c>
      <c r="AF283" s="17" t="s">
        <v>241</v>
      </c>
      <c r="AG283" s="17" t="s">
        <v>232</v>
      </c>
      <c r="AH283" s="17" t="n">
        <v>0</v>
      </c>
    </row>
    <row r="284" customFormat="false" ht="15" hidden="false" customHeight="false" outlineLevel="0" collapsed="false">
      <c r="A284" s="17" t="n">
        <v>17180</v>
      </c>
      <c r="B284" s="23" t="n">
        <v>45107</v>
      </c>
      <c r="C284" s="17" t="s">
        <v>127</v>
      </c>
      <c r="D284" s="17" t="s">
        <v>116</v>
      </c>
      <c r="E284" s="17" t="n">
        <v>1616649</v>
      </c>
      <c r="F284" s="17" t="n">
        <v>1579896</v>
      </c>
      <c r="G284" s="17" t="n">
        <v>1185191</v>
      </c>
      <c r="H284" s="17" t="n">
        <v>131745</v>
      </c>
      <c r="I284" s="17" t="n">
        <v>8.14926431154815</v>
      </c>
      <c r="J284" s="17" t="n">
        <v>1450822</v>
      </c>
      <c r="K284" s="17" t="n">
        <v>1417145</v>
      </c>
      <c r="L284" s="17" t="n">
        <v>1437079</v>
      </c>
      <c r="M284" s="17" t="n">
        <v>1177241</v>
      </c>
      <c r="N284" s="17" t="n">
        <v>51213</v>
      </c>
      <c r="O284" s="17" t="n">
        <v>198983</v>
      </c>
      <c r="P284" s="17" t="n">
        <v>5043</v>
      </c>
      <c r="Q284" s="17" t="n">
        <v>1866</v>
      </c>
      <c r="R284" s="17" t="n">
        <v>1345</v>
      </c>
      <c r="S284" s="17" t="n">
        <v>149</v>
      </c>
      <c r="T284" s="17" t="n">
        <v>298</v>
      </c>
      <c r="U284" s="17" t="n">
        <v>0.0210281940097873</v>
      </c>
      <c r="V284" s="17" t="n">
        <v>157477</v>
      </c>
      <c r="W284" s="17" t="n">
        <v>1151546</v>
      </c>
      <c r="X284" s="17" t="n">
        <v>13.6752678572979</v>
      </c>
      <c r="Y284" s="17" t="n">
        <v>6180</v>
      </c>
      <c r="Z284" s="17" t="n">
        <v>0.391164988075164</v>
      </c>
      <c r="AA284" s="17" t="n">
        <v>4.75</v>
      </c>
      <c r="AB284" s="17" t="n">
        <v>2.9118152452165</v>
      </c>
      <c r="AC284" s="17" t="n">
        <v>0.947256107227489</v>
      </c>
      <c r="AD284" s="17" t="n">
        <v>0.12</v>
      </c>
      <c r="AE284" s="17" t="n">
        <v>1</v>
      </c>
      <c r="AF284" s="17" t="s">
        <v>241</v>
      </c>
      <c r="AG284" s="17" t="s">
        <v>232</v>
      </c>
      <c r="AH284" s="17" t="n">
        <v>0</v>
      </c>
    </row>
    <row r="285" customFormat="false" ht="15" hidden="false" customHeight="false" outlineLevel="0" collapsed="false">
      <c r="A285" s="17" t="n">
        <v>17443</v>
      </c>
      <c r="B285" s="23" t="n">
        <v>45107</v>
      </c>
      <c r="C285" s="17" t="s">
        <v>132</v>
      </c>
      <c r="D285" s="17" t="s">
        <v>116</v>
      </c>
      <c r="E285" s="17" t="n">
        <v>360577</v>
      </c>
      <c r="F285" s="17" t="n">
        <v>370981.333333333</v>
      </c>
      <c r="G285" s="17" t="n">
        <v>321273</v>
      </c>
      <c r="H285" s="17" t="n">
        <v>38058</v>
      </c>
      <c r="I285" s="17" t="n">
        <v>10.5547497483201</v>
      </c>
      <c r="J285" s="17" t="n">
        <v>212528</v>
      </c>
      <c r="K285" s="17" t="n">
        <v>209231.666666667</v>
      </c>
      <c r="L285" s="17" t="n">
        <v>210772</v>
      </c>
      <c r="M285" s="17" t="n">
        <v>210812</v>
      </c>
      <c r="N285" s="17" t="n">
        <v>0</v>
      </c>
      <c r="O285" s="17" t="n">
        <v>716</v>
      </c>
      <c r="P285" s="17" t="n">
        <v>109</v>
      </c>
      <c r="Q285" s="17" t="n">
        <v>1208</v>
      </c>
      <c r="R285" s="17" t="n">
        <v>0</v>
      </c>
      <c r="S285" s="17" t="n">
        <v>0</v>
      </c>
      <c r="T285" s="17" t="n">
        <v>0</v>
      </c>
      <c r="U285" s="17" t="n">
        <v>0</v>
      </c>
      <c r="V285" s="17" t="n">
        <v>0</v>
      </c>
      <c r="W285" s="17" t="n">
        <v>0</v>
      </c>
      <c r="X285" s="17" t="n">
        <v>0</v>
      </c>
      <c r="Y285" s="17" t="n">
        <v>366</v>
      </c>
      <c r="Z285" s="17" t="n">
        <v>0.0986572549921649</v>
      </c>
      <c r="AA285" s="17" t="n">
        <v>0.95</v>
      </c>
      <c r="AB285" s="17" t="n">
        <v>1.66288900108496</v>
      </c>
      <c r="AC285" s="17" t="n">
        <v>0.82624407136942</v>
      </c>
      <c r="AD285" s="17" t="n">
        <v>0.03</v>
      </c>
      <c r="AE285" s="17" t="n">
        <v>1</v>
      </c>
      <c r="AF285" s="17" t="s">
        <v>241</v>
      </c>
      <c r="AG285" s="17" t="s">
        <v>232</v>
      </c>
      <c r="AH285" s="17" t="n">
        <v>1</v>
      </c>
    </row>
    <row r="286" customFormat="false" ht="15" hidden="false" customHeight="false" outlineLevel="0" collapsed="false">
      <c r="A286" s="17" t="n">
        <v>17658</v>
      </c>
      <c r="B286" s="23" t="n">
        <v>45107</v>
      </c>
      <c r="C286" s="17" t="s">
        <v>144</v>
      </c>
      <c r="D286" s="17" t="s">
        <v>108</v>
      </c>
      <c r="E286" s="17" t="n">
        <v>1826350</v>
      </c>
      <c r="F286" s="17" t="n">
        <v>1817350.33333333</v>
      </c>
      <c r="G286" s="17" t="n">
        <v>1452649</v>
      </c>
      <c r="H286" s="17" t="n">
        <v>198387</v>
      </c>
      <c r="I286" s="17" t="n">
        <v>10.8624852848578</v>
      </c>
      <c r="J286" s="17" t="n">
        <v>1269717</v>
      </c>
      <c r="K286" s="17" t="n">
        <v>1239509.66666667</v>
      </c>
      <c r="L286" s="17" t="n">
        <v>1262268</v>
      </c>
      <c r="M286" s="17" t="n">
        <v>1085469</v>
      </c>
      <c r="N286" s="17" t="n">
        <v>94739</v>
      </c>
      <c r="O286" s="17" t="n">
        <v>76379</v>
      </c>
      <c r="P286" s="17" t="n">
        <v>1369</v>
      </c>
      <c r="Q286" s="17" t="n">
        <v>1757</v>
      </c>
      <c r="R286" s="17" t="n">
        <v>0</v>
      </c>
      <c r="S286" s="17" t="n">
        <v>-88</v>
      </c>
      <c r="T286" s="17" t="n">
        <v>-176</v>
      </c>
      <c r="U286" s="17" t="n">
        <v>-0.0141991631637134</v>
      </c>
      <c r="V286" s="17" t="n">
        <v>0</v>
      </c>
      <c r="W286" s="17" t="n">
        <v>0</v>
      </c>
      <c r="X286" s="17" t="n">
        <v>0</v>
      </c>
      <c r="Y286" s="17" t="n">
        <v>16914</v>
      </c>
      <c r="Z286" s="17" t="n">
        <v>0.930695622619818</v>
      </c>
      <c r="AA286" s="17" t="n">
        <v>8.66</v>
      </c>
      <c r="AB286" s="17" t="n">
        <v>3.42723508377535</v>
      </c>
      <c r="AC286" s="17" t="n">
        <v>0.586666162617339</v>
      </c>
      <c r="AD286" s="17" t="n">
        <v>0</v>
      </c>
      <c r="AE286" s="17" t="n">
        <v>1</v>
      </c>
      <c r="AF286" s="17" t="s">
        <v>241</v>
      </c>
      <c r="AG286" s="17" t="s">
        <v>232</v>
      </c>
      <c r="AH286" s="17" t="n">
        <v>0</v>
      </c>
    </row>
    <row r="287" customFormat="false" ht="15" hidden="false" customHeight="false" outlineLevel="0" collapsed="false">
      <c r="A287" s="17" t="n">
        <v>17741</v>
      </c>
      <c r="B287" s="23" t="n">
        <v>45107</v>
      </c>
      <c r="C287" s="17" t="s">
        <v>161</v>
      </c>
      <c r="D287" s="17" t="s">
        <v>108</v>
      </c>
      <c r="E287" s="17" t="n">
        <v>1036036</v>
      </c>
      <c r="F287" s="17" t="n">
        <v>1016863.66666667</v>
      </c>
      <c r="G287" s="17" t="n">
        <v>800487</v>
      </c>
      <c r="H287" s="17" t="n">
        <v>133406</v>
      </c>
      <c r="I287" s="17" t="n">
        <v>12.8765795783158</v>
      </c>
      <c r="J287" s="17" t="n">
        <v>877735</v>
      </c>
      <c r="K287" s="17" t="n">
        <v>856231.666666667</v>
      </c>
      <c r="L287" s="17" t="n">
        <v>869525</v>
      </c>
      <c r="M287" s="17" t="n">
        <v>820189</v>
      </c>
      <c r="N287" s="17" t="n">
        <v>50276</v>
      </c>
      <c r="O287" s="17" t="n">
        <v>4108</v>
      </c>
      <c r="P287" s="17" t="n">
        <v>1987</v>
      </c>
      <c r="Q287" s="17" t="n">
        <v>2554</v>
      </c>
      <c r="R287" s="17" t="n">
        <v>0</v>
      </c>
      <c r="S287" s="17" t="n">
        <v>-3</v>
      </c>
      <c r="T287" s="17" t="n">
        <v>-6</v>
      </c>
      <c r="U287" s="17" t="n">
        <v>-0.000700744930791706</v>
      </c>
      <c r="V287" s="17" t="n">
        <v>0</v>
      </c>
      <c r="W287" s="17" t="n">
        <v>0</v>
      </c>
      <c r="X287" s="17" t="n">
        <v>0</v>
      </c>
      <c r="Y287" s="17" t="n">
        <v>7036</v>
      </c>
      <c r="Z287" s="17" t="n">
        <v>0.691931497863857</v>
      </c>
      <c r="AA287" s="17" t="n">
        <v>5.33</v>
      </c>
      <c r="AB287" s="17" t="n">
        <v>3.42548551951932</v>
      </c>
      <c r="AC287" s="17" t="n">
        <v>0.93536203979561</v>
      </c>
      <c r="AD287" s="17" t="n">
        <v>0.03</v>
      </c>
      <c r="AE287" s="17" t="n">
        <v>1</v>
      </c>
      <c r="AF287" s="17" t="s">
        <v>241</v>
      </c>
      <c r="AG287" s="17" t="s">
        <v>232</v>
      </c>
      <c r="AH287" s="17" t="n">
        <v>0</v>
      </c>
    </row>
    <row r="288" customFormat="false" ht="15" hidden="false" customHeight="false" outlineLevel="0" collapsed="false">
      <c r="A288" s="17" t="n">
        <v>17743</v>
      </c>
      <c r="B288" s="23" t="n">
        <v>45107</v>
      </c>
      <c r="C288" s="17" t="s">
        <v>129</v>
      </c>
      <c r="D288" s="17" t="s">
        <v>108</v>
      </c>
      <c r="E288" s="17" t="n">
        <v>1333208</v>
      </c>
      <c r="F288" s="17" t="n">
        <v>1304454.66666667</v>
      </c>
      <c r="G288" s="17" t="n">
        <v>950623</v>
      </c>
      <c r="H288" s="17" t="n">
        <v>121236</v>
      </c>
      <c r="I288" s="17" t="n">
        <v>9.09355479415065</v>
      </c>
      <c r="J288" s="17" t="n">
        <v>1037097</v>
      </c>
      <c r="K288" s="17" t="n">
        <v>1010134.66666667</v>
      </c>
      <c r="L288" s="17" t="n">
        <v>1032385</v>
      </c>
      <c r="M288" s="17" t="n">
        <v>1005554</v>
      </c>
      <c r="N288" s="17" t="n">
        <v>11605</v>
      </c>
      <c r="O288" s="17" t="n">
        <v>7617</v>
      </c>
      <c r="P288" s="17" t="n">
        <v>4416</v>
      </c>
      <c r="Q288" s="17" t="n">
        <v>993</v>
      </c>
      <c r="R288" s="17" t="n">
        <v>0</v>
      </c>
      <c r="S288" s="17" t="n">
        <v>-16</v>
      </c>
      <c r="T288" s="17" t="n">
        <v>-32</v>
      </c>
      <c r="U288" s="17" t="n">
        <v>-0.00316789444575707</v>
      </c>
      <c r="V288" s="17" t="n">
        <v>0</v>
      </c>
      <c r="W288" s="17" t="n">
        <v>0</v>
      </c>
      <c r="X288" s="17" t="n">
        <v>0</v>
      </c>
      <c r="Y288" s="17" t="n">
        <v>1260</v>
      </c>
      <c r="Z288" s="17" t="n">
        <v>0.0965920880347445</v>
      </c>
      <c r="AA288" s="17" t="n">
        <v>1.04</v>
      </c>
      <c r="AB288" s="17" t="n">
        <v>2.08643107377961</v>
      </c>
      <c r="AC288" s="17" t="n">
        <v>0.454345157685347</v>
      </c>
      <c r="AD288" s="17" t="n">
        <v>0</v>
      </c>
      <c r="AE288" s="17" t="n">
        <v>1</v>
      </c>
      <c r="AF288" s="17" t="s">
        <v>241</v>
      </c>
      <c r="AG288" s="17" t="s">
        <v>232</v>
      </c>
      <c r="AH288" s="17" t="n">
        <v>1</v>
      </c>
    </row>
    <row r="289" customFormat="false" ht="15" hidden="false" customHeight="false" outlineLevel="0" collapsed="false">
      <c r="A289" s="17" t="n">
        <v>17748</v>
      </c>
      <c r="B289" s="23" t="n">
        <v>45107</v>
      </c>
      <c r="C289" s="17" t="s">
        <v>196</v>
      </c>
      <c r="D289" s="17" t="s">
        <v>108</v>
      </c>
      <c r="E289" s="17" t="n">
        <v>1638948</v>
      </c>
      <c r="F289" s="17" t="n">
        <v>1632236</v>
      </c>
      <c r="G289" s="17" t="n">
        <v>1352478</v>
      </c>
      <c r="H289" s="17" t="n">
        <v>107830</v>
      </c>
      <c r="I289" s="17" t="n">
        <v>6.57922032913796</v>
      </c>
      <c r="J289" s="17" t="n">
        <v>1266653</v>
      </c>
      <c r="K289" s="17" t="n">
        <v>1251741.66666667</v>
      </c>
      <c r="L289" s="17" t="n">
        <v>1255356</v>
      </c>
      <c r="M289" s="17" t="n">
        <v>1048029</v>
      </c>
      <c r="N289" s="17" t="n">
        <v>181251</v>
      </c>
      <c r="O289" s="17" t="n">
        <v>3607</v>
      </c>
      <c r="P289" s="17" t="n">
        <v>6702</v>
      </c>
      <c r="Q289" s="17" t="n">
        <v>1943</v>
      </c>
      <c r="R289" s="17" t="n">
        <v>0</v>
      </c>
      <c r="S289" s="17" t="n">
        <v>1110</v>
      </c>
      <c r="T289" s="17" t="n">
        <v>2220</v>
      </c>
      <c r="U289" s="17" t="n">
        <v>0.177352888308956</v>
      </c>
      <c r="V289" s="17" t="n">
        <v>0</v>
      </c>
      <c r="W289" s="17" t="n">
        <v>0</v>
      </c>
      <c r="X289" s="17" t="n">
        <v>0</v>
      </c>
      <c r="Y289" s="17" t="n">
        <v>3038</v>
      </c>
      <c r="Z289" s="17" t="n">
        <v>0.18612504564291</v>
      </c>
      <c r="AA289" s="17" t="n">
        <v>2.81</v>
      </c>
      <c r="AB289" s="17" t="n">
        <v>2.48237446499793</v>
      </c>
      <c r="AC289" s="17" t="n">
        <v>0.891878043947316</v>
      </c>
      <c r="AD289" s="17" t="n">
        <v>0.1</v>
      </c>
      <c r="AE289" s="17" t="n">
        <v>0</v>
      </c>
      <c r="AF289" s="17" t="s">
        <v>241</v>
      </c>
      <c r="AG289" s="17" t="s">
        <v>232</v>
      </c>
      <c r="AH289" s="17" t="n">
        <v>0</v>
      </c>
    </row>
    <row r="290" customFormat="false" ht="15" hidden="false" customHeight="false" outlineLevel="0" collapsed="false">
      <c r="A290" s="17" t="n">
        <v>17749</v>
      </c>
      <c r="B290" s="23" t="n">
        <v>45107</v>
      </c>
      <c r="C290" s="17" t="s">
        <v>156</v>
      </c>
      <c r="D290" s="17" t="s">
        <v>108</v>
      </c>
      <c r="E290" s="17" t="n">
        <v>1316293</v>
      </c>
      <c r="F290" s="17" t="n">
        <v>1293166</v>
      </c>
      <c r="G290" s="17" t="n">
        <v>1027633</v>
      </c>
      <c r="H290" s="17" t="n">
        <v>161414</v>
      </c>
      <c r="I290" s="17" t="n">
        <v>12.2627712826855</v>
      </c>
      <c r="J290" s="17" t="n">
        <v>776535</v>
      </c>
      <c r="K290" s="17" t="n">
        <v>749825.333333333</v>
      </c>
      <c r="L290" s="17" t="n">
        <v>765585</v>
      </c>
      <c r="M290" s="17" t="n">
        <v>702580</v>
      </c>
      <c r="N290" s="17" t="n">
        <v>52094</v>
      </c>
      <c r="O290" s="17" t="n">
        <v>10410</v>
      </c>
      <c r="P290" s="17" t="n">
        <v>293</v>
      </c>
      <c r="Q290" s="17" t="n">
        <v>280</v>
      </c>
      <c r="R290" s="17" t="n">
        <v>0</v>
      </c>
      <c r="S290" s="17" t="n">
        <v>11</v>
      </c>
      <c r="T290" s="17" t="n">
        <v>22</v>
      </c>
      <c r="U290" s="17" t="n">
        <v>0.00293401663320702</v>
      </c>
      <c r="V290" s="17" t="n">
        <v>0</v>
      </c>
      <c r="W290" s="17" t="n">
        <v>0</v>
      </c>
      <c r="X290" s="17" t="n">
        <v>0</v>
      </c>
      <c r="Y290" s="17" t="n">
        <v>17236</v>
      </c>
      <c r="Z290" s="17" t="n">
        <v>1.33285285879771</v>
      </c>
      <c r="AA290" s="17" t="n">
        <v>10.91</v>
      </c>
      <c r="AB290" s="17" t="n">
        <v>2.84287513095667</v>
      </c>
      <c r="AC290" s="17" t="n">
        <v>1.41011029766849</v>
      </c>
      <c r="AD290" s="17" t="n">
        <v>0.05</v>
      </c>
      <c r="AE290" s="17" t="n">
        <v>1</v>
      </c>
      <c r="AF290" s="17" t="s">
        <v>241</v>
      </c>
      <c r="AG290" s="17" t="s">
        <v>232</v>
      </c>
      <c r="AH290" s="17" t="n">
        <v>1</v>
      </c>
    </row>
    <row r="291" customFormat="false" ht="15" hidden="false" customHeight="false" outlineLevel="0" collapsed="false">
      <c r="A291" s="17" t="n">
        <v>17751</v>
      </c>
      <c r="B291" s="23" t="n">
        <v>45107</v>
      </c>
      <c r="C291" s="17" t="s">
        <v>125</v>
      </c>
      <c r="D291" s="17" t="s">
        <v>108</v>
      </c>
      <c r="E291" s="17" t="n">
        <v>1539209</v>
      </c>
      <c r="F291" s="17" t="n">
        <v>1495866</v>
      </c>
      <c r="G291" s="17" t="n">
        <v>1218035</v>
      </c>
      <c r="H291" s="17" t="n">
        <v>129936</v>
      </c>
      <c r="I291" s="17" t="n">
        <v>8.44173858131027</v>
      </c>
      <c r="J291" s="17" t="n">
        <v>1255714</v>
      </c>
      <c r="K291" s="17" t="n">
        <v>1226358.33333333</v>
      </c>
      <c r="L291" s="17" t="n">
        <v>1244088</v>
      </c>
      <c r="M291" s="17" t="n">
        <v>1072258</v>
      </c>
      <c r="N291" s="17" t="n">
        <v>118420</v>
      </c>
      <c r="O291" s="17" t="n">
        <v>2111</v>
      </c>
      <c r="P291" s="17" t="n">
        <v>2725</v>
      </c>
      <c r="Q291" s="17" t="n">
        <v>2912</v>
      </c>
      <c r="R291" s="17" t="n">
        <v>0</v>
      </c>
      <c r="S291" s="17" t="n">
        <v>4196</v>
      </c>
      <c r="T291" s="17" t="n">
        <v>8392</v>
      </c>
      <c r="U291" s="17" t="n">
        <v>0.684302440151397</v>
      </c>
      <c r="V291" s="17" t="n">
        <v>157173</v>
      </c>
      <c r="W291" s="17" t="n">
        <v>1233663</v>
      </c>
      <c r="X291" s="17" t="n">
        <v>12.7403512952889</v>
      </c>
      <c r="Y291" s="17" t="n">
        <v>8560</v>
      </c>
      <c r="Z291" s="17" t="n">
        <v>0.57224377049816</v>
      </c>
      <c r="AA291" s="17" t="n">
        <v>6.68</v>
      </c>
      <c r="AB291" s="17" t="n">
        <v>3.14254047562197</v>
      </c>
      <c r="AC291" s="17" t="n">
        <v>0.925847764698013</v>
      </c>
      <c r="AD291" s="17" t="n">
        <v>0.08</v>
      </c>
      <c r="AE291" s="17" t="n">
        <v>1</v>
      </c>
      <c r="AF291" s="17" t="s">
        <v>241</v>
      </c>
      <c r="AG291" s="17" t="s">
        <v>232</v>
      </c>
      <c r="AH291" s="17" t="n">
        <v>0</v>
      </c>
    </row>
    <row r="292" customFormat="false" ht="15" hidden="false" customHeight="false" outlineLevel="0" collapsed="false">
      <c r="A292" s="17" t="n">
        <v>17897</v>
      </c>
      <c r="B292" s="23" t="n">
        <v>45107</v>
      </c>
      <c r="C292" s="17" t="s">
        <v>149</v>
      </c>
      <c r="D292" s="17" t="s">
        <v>108</v>
      </c>
      <c r="E292" s="17" t="n">
        <v>1670135</v>
      </c>
      <c r="F292" s="17" t="n">
        <v>1658535.66666667</v>
      </c>
      <c r="G292" s="17" t="n">
        <v>1316659</v>
      </c>
      <c r="H292" s="17" t="n">
        <v>202487</v>
      </c>
      <c r="I292" s="17" t="n">
        <v>12.1239899768582</v>
      </c>
      <c r="J292" s="17" t="n">
        <v>1413161</v>
      </c>
      <c r="K292" s="17" t="n">
        <v>1400172.33333333</v>
      </c>
      <c r="L292" s="17" t="n">
        <v>1404776</v>
      </c>
      <c r="M292" s="17" t="n">
        <v>1329657</v>
      </c>
      <c r="N292" s="17" t="n">
        <v>70462</v>
      </c>
      <c r="O292" s="17" t="n">
        <v>3869</v>
      </c>
      <c r="P292" s="17" t="n">
        <v>3724</v>
      </c>
      <c r="Q292" s="17" t="n">
        <v>1892</v>
      </c>
      <c r="R292" s="17" t="n">
        <v>0</v>
      </c>
      <c r="S292" s="17" t="n">
        <v>-87</v>
      </c>
      <c r="T292" s="17" t="n">
        <v>-174</v>
      </c>
      <c r="U292" s="17" t="n">
        <v>-0.0124270417189122</v>
      </c>
      <c r="V292" s="17" t="n">
        <v>219947</v>
      </c>
      <c r="W292" s="17" t="n">
        <v>1283330</v>
      </c>
      <c r="X292" s="17" t="n">
        <v>17.1387717890176</v>
      </c>
      <c r="Y292" s="17" t="n">
        <v>11846</v>
      </c>
      <c r="Z292" s="17" t="n">
        <v>0.7142445132825</v>
      </c>
      <c r="AA292" s="17" t="n">
        <v>5.94</v>
      </c>
      <c r="AB292" s="17" t="n">
        <v>2.60427667903162</v>
      </c>
      <c r="AC292" s="17" t="n">
        <v>0.59335065148274</v>
      </c>
      <c r="AD292" s="17" t="n">
        <v>-0.05</v>
      </c>
      <c r="AE292" s="17" t="n">
        <v>1</v>
      </c>
      <c r="AF292" s="17" t="s">
        <v>241</v>
      </c>
      <c r="AG292" s="17" t="s">
        <v>232</v>
      </c>
      <c r="AH292" s="17" t="n">
        <v>0</v>
      </c>
    </row>
    <row r="293" customFormat="false" ht="15" hidden="false" customHeight="false" outlineLevel="0" collapsed="false">
      <c r="A293" s="17" t="n">
        <v>17951</v>
      </c>
      <c r="B293" s="23" t="n">
        <v>45107</v>
      </c>
      <c r="C293" s="17" t="s">
        <v>136</v>
      </c>
      <c r="D293" s="17" t="s">
        <v>116</v>
      </c>
      <c r="E293" s="17" t="n">
        <v>785855</v>
      </c>
      <c r="F293" s="17" t="n">
        <v>767070.333333333</v>
      </c>
      <c r="G293" s="17" t="n">
        <v>698423</v>
      </c>
      <c r="H293" s="17" t="n">
        <v>56939</v>
      </c>
      <c r="I293" s="17" t="n">
        <v>7.24548421782644</v>
      </c>
      <c r="J293" s="17" t="n">
        <v>553850</v>
      </c>
      <c r="K293" s="17" t="n">
        <v>540856</v>
      </c>
      <c r="L293" s="17" t="n">
        <v>548861</v>
      </c>
      <c r="M293" s="17" t="n">
        <v>515478</v>
      </c>
      <c r="N293" s="17" t="n">
        <v>23611</v>
      </c>
      <c r="O293" s="17" t="n">
        <v>1822</v>
      </c>
      <c r="P293" s="17" t="n">
        <v>67</v>
      </c>
      <c r="Q293" s="17" t="n">
        <v>168</v>
      </c>
      <c r="R293" s="17" t="n">
        <v>0</v>
      </c>
      <c r="S293" s="17" t="n">
        <v>-197</v>
      </c>
      <c r="T293" s="17" t="n">
        <v>-394</v>
      </c>
      <c r="U293" s="17" t="n">
        <v>-0.0728474862070496</v>
      </c>
      <c r="V293" s="17" t="n">
        <v>78051</v>
      </c>
      <c r="W293" s="17" t="n">
        <v>540373</v>
      </c>
      <c r="X293" s="17" t="n">
        <v>14.4439118904905</v>
      </c>
      <c r="Y293" s="17" t="n">
        <v>4432</v>
      </c>
      <c r="Z293" s="17" t="n">
        <v>0.577782741347925</v>
      </c>
      <c r="AA293" s="17" t="n">
        <v>7.85</v>
      </c>
      <c r="AB293" s="17" t="n">
        <v>2.73948979123525</v>
      </c>
      <c r="AC293" s="17" t="n">
        <v>0.900785411212422</v>
      </c>
      <c r="AD293" s="17" t="n">
        <v>0.12</v>
      </c>
      <c r="AE293" s="17" t="n">
        <v>1</v>
      </c>
      <c r="AF293" s="17" t="s">
        <v>241</v>
      </c>
      <c r="AG293" s="17" t="s">
        <v>232</v>
      </c>
      <c r="AH293" s="17" t="n">
        <v>0</v>
      </c>
    </row>
    <row r="294" customFormat="false" ht="15" hidden="false" customHeight="false" outlineLevel="0" collapsed="false">
      <c r="A294" s="17" t="n">
        <v>17960</v>
      </c>
      <c r="B294" s="23" t="n">
        <v>45107</v>
      </c>
      <c r="C294" s="17" t="s">
        <v>115</v>
      </c>
      <c r="D294" s="17" t="s">
        <v>116</v>
      </c>
      <c r="E294" s="17" t="n">
        <v>1355202</v>
      </c>
      <c r="F294" s="17" t="n">
        <v>1335235.33333333</v>
      </c>
      <c r="G294" s="17" t="n">
        <v>1044918</v>
      </c>
      <c r="H294" s="17" t="n">
        <v>108306</v>
      </c>
      <c r="I294" s="17" t="n">
        <v>7.99187132250395</v>
      </c>
      <c r="J294" s="17" t="n">
        <v>1162537</v>
      </c>
      <c r="K294" s="17" t="n">
        <v>1140548</v>
      </c>
      <c r="L294" s="17" t="n">
        <v>1151276</v>
      </c>
      <c r="M294" s="17" t="n">
        <v>827985</v>
      </c>
      <c r="N294" s="17" t="n">
        <v>111328</v>
      </c>
      <c r="O294" s="17" t="n">
        <v>219108</v>
      </c>
      <c r="P294" s="17" t="n">
        <v>8464</v>
      </c>
      <c r="Q294" s="17" t="n">
        <v>2045</v>
      </c>
      <c r="R294" s="17" t="n">
        <v>0</v>
      </c>
      <c r="S294" s="17" t="n">
        <v>39</v>
      </c>
      <c r="T294" s="17" t="n">
        <v>78</v>
      </c>
      <c r="U294" s="17" t="n">
        <v>0.0068388178314284</v>
      </c>
      <c r="V294" s="17" t="n">
        <v>135410</v>
      </c>
      <c r="W294" s="17" t="n">
        <v>1063195</v>
      </c>
      <c r="X294" s="17" t="n">
        <v>12.7361396545319</v>
      </c>
      <c r="Y294" s="17" t="n">
        <v>6376</v>
      </c>
      <c r="Z294" s="17" t="n">
        <v>0.47751881940412</v>
      </c>
      <c r="AA294" s="17" t="n">
        <v>5.97</v>
      </c>
      <c r="AB294" s="17" t="n">
        <v>2.86686073652849</v>
      </c>
      <c r="AC294" s="17" t="n">
        <v>0.968657341658803</v>
      </c>
      <c r="AD294" s="17" t="n">
        <v>0.06</v>
      </c>
      <c r="AE294" s="17" t="n">
        <v>1</v>
      </c>
      <c r="AF294" s="17" t="s">
        <v>241</v>
      </c>
      <c r="AG294" s="17" t="s">
        <v>232</v>
      </c>
      <c r="AH294" s="17" t="n">
        <v>0</v>
      </c>
    </row>
    <row r="295" customFormat="false" ht="15" hidden="false" customHeight="false" outlineLevel="0" collapsed="false">
      <c r="A295" s="17" t="n">
        <v>18012</v>
      </c>
      <c r="B295" s="23" t="n">
        <v>45107</v>
      </c>
      <c r="C295" s="17" t="s">
        <v>148</v>
      </c>
      <c r="D295" s="17" t="s">
        <v>116</v>
      </c>
      <c r="E295" s="17" t="n">
        <v>2459524</v>
      </c>
      <c r="F295" s="17" t="n">
        <v>2440191.33333333</v>
      </c>
      <c r="G295" s="17" t="n">
        <v>2061672</v>
      </c>
      <c r="H295" s="17" t="n">
        <v>250653</v>
      </c>
      <c r="I295" s="17" t="n">
        <v>10.1911182814236</v>
      </c>
      <c r="J295" s="17" t="n">
        <v>2005386</v>
      </c>
      <c r="K295" s="17" t="n">
        <v>1981406</v>
      </c>
      <c r="L295" s="17" t="n">
        <v>1979964</v>
      </c>
      <c r="M295" s="17" t="n">
        <v>1892192</v>
      </c>
      <c r="N295" s="17" t="n">
        <v>50060</v>
      </c>
      <c r="O295" s="17" t="n">
        <v>34372</v>
      </c>
      <c r="P295" s="17" t="n">
        <v>1011</v>
      </c>
      <c r="Q295" s="17" t="n">
        <v>2254</v>
      </c>
      <c r="R295" s="17" t="n">
        <v>0</v>
      </c>
      <c r="S295" s="17" t="n">
        <v>74</v>
      </c>
      <c r="T295" s="17" t="n">
        <v>148</v>
      </c>
      <c r="U295" s="17" t="n">
        <v>0.00746944341543328</v>
      </c>
      <c r="V295" s="17" t="n">
        <v>291001</v>
      </c>
      <c r="W295" s="17" t="n">
        <v>2152041</v>
      </c>
      <c r="X295" s="17" t="n">
        <v>13.5220936775833</v>
      </c>
      <c r="Y295" s="17" t="n">
        <v>20816</v>
      </c>
      <c r="Z295" s="17" t="n">
        <v>0.853047862093874</v>
      </c>
      <c r="AA295" s="17" t="n">
        <v>8.45</v>
      </c>
      <c r="AB295" s="17" t="n">
        <v>3.08785515504174</v>
      </c>
      <c r="AC295" s="17" t="n">
        <v>1.26768612127541</v>
      </c>
      <c r="AD295" s="17" t="n">
        <v>0.06</v>
      </c>
      <c r="AE295" s="17" t="n">
        <v>1</v>
      </c>
      <c r="AF295" s="17" t="s">
        <v>314</v>
      </c>
      <c r="AG295" s="17" t="s">
        <v>232</v>
      </c>
      <c r="AH295" s="17" t="n">
        <v>0</v>
      </c>
    </row>
    <row r="296" customFormat="false" ht="15" hidden="false" customHeight="false" outlineLevel="0" collapsed="false">
      <c r="A296" s="17" t="n">
        <v>18013</v>
      </c>
      <c r="B296" s="23" t="n">
        <v>45107</v>
      </c>
      <c r="C296" s="17" t="s">
        <v>131</v>
      </c>
      <c r="D296" s="17" t="s">
        <v>116</v>
      </c>
      <c r="E296" s="17" t="n">
        <v>2835749</v>
      </c>
      <c r="F296" s="17" t="n">
        <v>2767518</v>
      </c>
      <c r="G296" s="17" t="n">
        <v>2403310</v>
      </c>
      <c r="H296" s="17" t="n">
        <v>211459</v>
      </c>
      <c r="I296" s="17" t="n">
        <v>7.45690115733092</v>
      </c>
      <c r="J296" s="17" t="n">
        <v>2261511</v>
      </c>
      <c r="K296" s="17" t="n">
        <v>2211547.66666667</v>
      </c>
      <c r="L296" s="17" t="n">
        <v>2245221</v>
      </c>
      <c r="M296" s="17" t="n">
        <v>2073740</v>
      </c>
      <c r="N296" s="17" t="n">
        <v>108738</v>
      </c>
      <c r="O296" s="17" t="n">
        <v>25577</v>
      </c>
      <c r="P296" s="17" t="n">
        <v>1133</v>
      </c>
      <c r="Q296" s="17" t="n">
        <v>3815</v>
      </c>
      <c r="R296" s="17" t="n">
        <v>19</v>
      </c>
      <c r="S296" s="17" t="n">
        <v>93</v>
      </c>
      <c r="T296" s="17" t="n">
        <v>186</v>
      </c>
      <c r="U296" s="17" t="n">
        <v>0.00841039977584325</v>
      </c>
      <c r="V296" s="17" t="n">
        <v>263046</v>
      </c>
      <c r="W296" s="17" t="n">
        <v>2014447</v>
      </c>
      <c r="X296" s="17" t="n">
        <v>13.0579757124412</v>
      </c>
      <c r="Y296" s="17" t="n">
        <v>12690</v>
      </c>
      <c r="Z296" s="17" t="n">
        <v>0.458533603033476</v>
      </c>
      <c r="AA296" s="17" t="n">
        <v>6.1</v>
      </c>
      <c r="AB296" s="17" t="n">
        <v>2.83684674080354</v>
      </c>
      <c r="AC296" s="17" t="n">
        <v>0.720314869129533</v>
      </c>
      <c r="AD296" s="17" t="n">
        <v>0.02</v>
      </c>
      <c r="AE296" s="17" t="n">
        <v>1</v>
      </c>
      <c r="AF296" s="17" t="s">
        <v>314</v>
      </c>
      <c r="AG296" s="17" t="s">
        <v>232</v>
      </c>
      <c r="AH296" s="17" t="n">
        <v>0</v>
      </c>
    </row>
    <row r="297" customFormat="false" ht="15" hidden="false" customHeight="false" outlineLevel="0" collapsed="false">
      <c r="A297" s="17" t="n">
        <v>18028</v>
      </c>
      <c r="B297" s="23" t="n">
        <v>45107</v>
      </c>
      <c r="C297" s="17" t="s">
        <v>130</v>
      </c>
      <c r="D297" s="17" t="s">
        <v>116</v>
      </c>
      <c r="E297" s="17" t="n">
        <v>385140</v>
      </c>
      <c r="F297" s="17" t="n">
        <v>383807.333333333</v>
      </c>
      <c r="G297" s="17" t="n">
        <v>318025</v>
      </c>
      <c r="H297" s="17" t="n">
        <v>37896</v>
      </c>
      <c r="I297" s="17" t="n">
        <v>9.83953886898271</v>
      </c>
      <c r="J297" s="17" t="n">
        <v>257736</v>
      </c>
      <c r="K297" s="17" t="n">
        <v>254446.666666667</v>
      </c>
      <c r="L297" s="17" t="n">
        <v>255297</v>
      </c>
      <c r="M297" s="17" t="n">
        <v>228527</v>
      </c>
      <c r="N297" s="17" t="n">
        <v>15285</v>
      </c>
      <c r="O297" s="17" t="n">
        <v>7701</v>
      </c>
      <c r="P297" s="17" t="n">
        <v>855</v>
      </c>
      <c r="Q297" s="17" t="n">
        <v>417</v>
      </c>
      <c r="R297" s="17" t="n">
        <v>20</v>
      </c>
      <c r="S297" s="17" t="n">
        <v>234</v>
      </c>
      <c r="T297" s="17" t="n">
        <v>468</v>
      </c>
      <c r="U297" s="17" t="n">
        <v>0.183928524641706</v>
      </c>
      <c r="V297" s="17" t="n">
        <v>0</v>
      </c>
      <c r="W297" s="17" t="n">
        <v>0</v>
      </c>
      <c r="X297" s="17" t="n">
        <v>0</v>
      </c>
      <c r="Y297" s="17" t="n">
        <v>2208</v>
      </c>
      <c r="Z297" s="17" t="n">
        <v>0.575288643086549</v>
      </c>
      <c r="AA297" s="17" t="n">
        <v>5.94</v>
      </c>
      <c r="AB297" s="17" t="n">
        <v>3.49800968810121</v>
      </c>
      <c r="AC297" s="17" t="n">
        <v>0.946317161746904</v>
      </c>
      <c r="AD297" s="17" t="n">
        <v>0.13</v>
      </c>
      <c r="AE297" s="17" t="n">
        <v>1</v>
      </c>
      <c r="AF297" s="17" t="s">
        <v>241</v>
      </c>
      <c r="AG297" s="17" t="s">
        <v>232</v>
      </c>
      <c r="AH297" s="17" t="n">
        <v>0</v>
      </c>
    </row>
    <row r="298" customFormat="false" ht="15" hidden="false" customHeight="false" outlineLevel="0" collapsed="false">
      <c r="A298" s="17" t="n">
        <v>18030</v>
      </c>
      <c r="B298" s="23" t="n">
        <v>45107</v>
      </c>
      <c r="C298" s="17" t="s">
        <v>157</v>
      </c>
      <c r="D298" s="17" t="s">
        <v>116</v>
      </c>
      <c r="E298" s="17" t="n">
        <v>736677</v>
      </c>
      <c r="F298" s="17" t="n">
        <v>714469.666666667</v>
      </c>
      <c r="G298" s="17" t="n">
        <v>664243</v>
      </c>
      <c r="H298" s="17" t="n">
        <v>44564</v>
      </c>
      <c r="I298" s="17" t="n">
        <v>6.04932690989402</v>
      </c>
      <c r="J298" s="17" t="n">
        <v>586930</v>
      </c>
      <c r="K298" s="17" t="n">
        <v>565620.333333333</v>
      </c>
      <c r="L298" s="17" t="n">
        <v>581110</v>
      </c>
      <c r="M298" s="17" t="n">
        <v>449340</v>
      </c>
      <c r="N298" s="17" t="n">
        <v>41828</v>
      </c>
      <c r="O298" s="17" t="n">
        <v>95640</v>
      </c>
      <c r="P298" s="17" t="n">
        <v>490</v>
      </c>
      <c r="Q298" s="17" t="n">
        <v>161</v>
      </c>
      <c r="R298" s="17" t="n">
        <v>0</v>
      </c>
      <c r="S298" s="17" t="n">
        <v>-4</v>
      </c>
      <c r="T298" s="17" t="n">
        <v>-8</v>
      </c>
      <c r="U298" s="17" t="n">
        <v>-0.00141437631013972</v>
      </c>
      <c r="V298" s="17" t="n">
        <v>64341</v>
      </c>
      <c r="W298" s="17" t="n">
        <v>514687</v>
      </c>
      <c r="X298" s="17" t="n">
        <v>12.5009957508155</v>
      </c>
      <c r="Y298" s="17" t="n">
        <v>4178</v>
      </c>
      <c r="Z298" s="17" t="n">
        <v>0.584769402386572</v>
      </c>
      <c r="AA298" s="17" t="n">
        <v>9.53</v>
      </c>
      <c r="AB298" s="17" t="n">
        <v>3.48465163748127</v>
      </c>
      <c r="AC298" s="17" t="n">
        <v>0.991600361201506</v>
      </c>
      <c r="AD298" s="17" t="n">
        <v>0.13</v>
      </c>
      <c r="AE298" s="17" t="n">
        <v>1</v>
      </c>
      <c r="AF298" s="17" t="s">
        <v>241</v>
      </c>
      <c r="AG298" s="17" t="s">
        <v>232</v>
      </c>
      <c r="AH298" s="17" t="n">
        <v>0</v>
      </c>
    </row>
    <row r="299" customFormat="false" ht="15" hidden="false" customHeight="false" outlineLevel="0" collapsed="false">
      <c r="A299" s="17" t="n">
        <v>18031</v>
      </c>
      <c r="B299" s="23" t="n">
        <v>45107</v>
      </c>
      <c r="C299" s="17" t="s">
        <v>152</v>
      </c>
      <c r="D299" s="17" t="s">
        <v>116</v>
      </c>
      <c r="E299" s="17" t="n">
        <v>686908</v>
      </c>
      <c r="F299" s="17" t="n">
        <v>662956</v>
      </c>
      <c r="G299" s="17" t="n">
        <v>578969</v>
      </c>
      <c r="H299" s="17" t="n">
        <v>36036</v>
      </c>
      <c r="I299" s="17" t="n">
        <v>5.24611738398738</v>
      </c>
      <c r="J299" s="17" t="n">
        <v>480187</v>
      </c>
      <c r="K299" s="17" t="n">
        <v>470317.666666667</v>
      </c>
      <c r="L299" s="17" t="n">
        <v>476083</v>
      </c>
      <c r="M299" s="17" t="n">
        <v>433545</v>
      </c>
      <c r="N299" s="17" t="n">
        <v>28192</v>
      </c>
      <c r="O299" s="17" t="n">
        <v>10462</v>
      </c>
      <c r="P299" s="17" t="n">
        <v>1022</v>
      </c>
      <c r="Q299" s="17" t="n">
        <v>1125</v>
      </c>
      <c r="R299" s="17" t="n">
        <v>0</v>
      </c>
      <c r="S299" s="17" t="n">
        <v>-1</v>
      </c>
      <c r="T299" s="17" t="n">
        <v>-2</v>
      </c>
      <c r="U299" s="17" t="n">
        <v>-0.000425244497867753</v>
      </c>
      <c r="V299" s="17" t="n">
        <v>61340</v>
      </c>
      <c r="W299" s="17" t="n">
        <v>380509</v>
      </c>
      <c r="X299" s="17" t="n">
        <v>16.120512261208</v>
      </c>
      <c r="Y299" s="17" t="n">
        <v>1922</v>
      </c>
      <c r="Z299" s="17" t="n">
        <v>0.289913659428378</v>
      </c>
      <c r="AA299" s="17" t="n">
        <v>5.29</v>
      </c>
      <c r="AB299" s="17" t="n">
        <v>2.74432283882166</v>
      </c>
      <c r="AC299" s="17" t="n">
        <v>0.854667035967238</v>
      </c>
      <c r="AD299" s="17" t="n">
        <v>0.01</v>
      </c>
      <c r="AE299" s="17" t="n">
        <v>0</v>
      </c>
      <c r="AF299" s="17" t="s">
        <v>241</v>
      </c>
      <c r="AG299" s="17" t="s">
        <v>232</v>
      </c>
      <c r="AH299" s="17" t="n">
        <v>0</v>
      </c>
    </row>
    <row r="300" customFormat="false" ht="15" hidden="false" customHeight="false" outlineLevel="0" collapsed="false">
      <c r="A300" s="17" t="n">
        <v>18038</v>
      </c>
      <c r="B300" s="23" t="n">
        <v>45107</v>
      </c>
      <c r="C300" s="17" t="s">
        <v>128</v>
      </c>
      <c r="D300" s="17" t="s">
        <v>116</v>
      </c>
      <c r="E300" s="17" t="n">
        <v>548920</v>
      </c>
      <c r="F300" s="17" t="n">
        <v>542830.666666667</v>
      </c>
      <c r="G300" s="17" t="n">
        <v>429568</v>
      </c>
      <c r="H300" s="17" t="n">
        <v>65364</v>
      </c>
      <c r="I300" s="17" t="n">
        <v>11.9077461196531</v>
      </c>
      <c r="J300" s="17" t="n">
        <v>420009</v>
      </c>
      <c r="K300" s="17" t="n">
        <v>414477.333333333</v>
      </c>
      <c r="L300" s="17" t="n">
        <v>415859</v>
      </c>
      <c r="M300" s="17" t="n">
        <v>399161</v>
      </c>
      <c r="N300" s="17" t="n">
        <v>16670</v>
      </c>
      <c r="O300" s="17" t="n">
        <v>3651</v>
      </c>
      <c r="P300" s="17" t="n">
        <v>2268</v>
      </c>
      <c r="Q300" s="17" t="n">
        <v>765</v>
      </c>
      <c r="R300" s="17" t="n">
        <v>0</v>
      </c>
      <c r="S300" s="17" t="n">
        <v>-9</v>
      </c>
      <c r="T300" s="17" t="n">
        <v>-18</v>
      </c>
      <c r="U300" s="17" t="n">
        <v>-0.00434281890766845</v>
      </c>
      <c r="V300" s="17" t="n">
        <v>0</v>
      </c>
      <c r="W300" s="17" t="n">
        <v>0</v>
      </c>
      <c r="X300" s="17" t="n">
        <v>0</v>
      </c>
      <c r="Y300" s="17" t="n">
        <v>2110</v>
      </c>
      <c r="Z300" s="17" t="n">
        <v>0.388703168329964</v>
      </c>
      <c r="AA300" s="17" t="n">
        <v>3.25</v>
      </c>
      <c r="AB300" s="17" t="n">
        <v>2.59263990566501</v>
      </c>
      <c r="AC300" s="17" t="n">
        <v>0.988074065079558</v>
      </c>
      <c r="AD300" s="17" t="n">
        <v>0.06</v>
      </c>
      <c r="AE300" s="17" t="n">
        <v>1</v>
      </c>
      <c r="AF300" s="17" t="s">
        <v>241</v>
      </c>
      <c r="AG300" s="17" t="s">
        <v>232</v>
      </c>
      <c r="AH300" s="17" t="n">
        <v>1</v>
      </c>
    </row>
    <row r="301" customFormat="false" ht="15" hidden="false" customHeight="false" outlineLevel="0" collapsed="false">
      <c r="A301" s="17" t="n">
        <v>18408</v>
      </c>
      <c r="B301" s="23" t="n">
        <v>45107</v>
      </c>
      <c r="C301" s="17" t="s">
        <v>107</v>
      </c>
      <c r="D301" s="17" t="s">
        <v>108</v>
      </c>
      <c r="E301" s="17" t="n">
        <v>7459345</v>
      </c>
      <c r="F301" s="17" t="n">
        <v>7415047</v>
      </c>
      <c r="G301" s="17" t="n">
        <v>5594077</v>
      </c>
      <c r="H301" s="17" t="n">
        <v>367424</v>
      </c>
      <c r="I301" s="17" t="n">
        <v>4.92568717494633</v>
      </c>
      <c r="J301" s="17" t="n">
        <v>4774928</v>
      </c>
      <c r="K301" s="17" t="n">
        <v>4727309.66666667</v>
      </c>
      <c r="L301" s="17" t="n">
        <v>4736854</v>
      </c>
      <c r="M301" s="17" t="n">
        <v>4349363</v>
      </c>
      <c r="N301" s="17" t="n">
        <v>309355</v>
      </c>
      <c r="O301" s="17" t="n">
        <v>32242</v>
      </c>
      <c r="P301" s="17" t="n">
        <v>3474</v>
      </c>
      <c r="Q301" s="17" t="n">
        <v>3273</v>
      </c>
      <c r="R301" s="17" t="n">
        <v>0</v>
      </c>
      <c r="S301" s="17" t="n">
        <v>1521</v>
      </c>
      <c r="T301" s="17" t="n">
        <v>3042</v>
      </c>
      <c r="U301" s="17" t="n">
        <v>0.0643494971664292</v>
      </c>
      <c r="V301" s="17" t="n">
        <v>572710</v>
      </c>
      <c r="W301" s="17" t="n">
        <v>4908000</v>
      </c>
      <c r="X301" s="17" t="n">
        <v>11.6689079054605</v>
      </c>
      <c r="Y301" s="17" t="n">
        <v>5534</v>
      </c>
      <c r="Z301" s="17" t="n">
        <v>0.0746320286304322</v>
      </c>
      <c r="AA301" s="17" t="n">
        <v>1.51</v>
      </c>
      <c r="AB301" s="17" t="n">
        <v>2.12159952430504</v>
      </c>
      <c r="AC301" s="17" t="n">
        <v>0.797373279764637</v>
      </c>
      <c r="AD301" s="17" t="n">
        <v>0.07</v>
      </c>
      <c r="AE301" s="17" t="n">
        <v>1</v>
      </c>
      <c r="AF301" s="17" t="s">
        <v>241</v>
      </c>
      <c r="AG301" s="17" t="s">
        <v>232</v>
      </c>
      <c r="AH301" s="17" t="n">
        <v>0</v>
      </c>
    </row>
    <row r="302" customFormat="false" ht="15" hidden="false" customHeight="false" outlineLevel="0" collapsed="false">
      <c r="A302" s="17" t="n">
        <v>19531</v>
      </c>
      <c r="B302" s="23" t="n">
        <v>45107</v>
      </c>
      <c r="C302" s="17" t="s">
        <v>146</v>
      </c>
      <c r="D302" s="17" t="s">
        <v>108</v>
      </c>
      <c r="E302" s="17" t="n">
        <v>2396062</v>
      </c>
      <c r="F302" s="17" t="n">
        <v>2382749</v>
      </c>
      <c r="G302" s="17" t="n">
        <v>1963859</v>
      </c>
      <c r="H302" s="17" t="n">
        <v>235363</v>
      </c>
      <c r="I302" s="17" t="n">
        <v>9.82290942387968</v>
      </c>
      <c r="J302" s="17" t="n">
        <v>1948994</v>
      </c>
      <c r="K302" s="17" t="n">
        <v>1915676.33333333</v>
      </c>
      <c r="L302" s="17" t="n">
        <v>1926354</v>
      </c>
      <c r="M302" s="17" t="n">
        <v>1592985</v>
      </c>
      <c r="N302" s="17" t="n">
        <v>238802</v>
      </c>
      <c r="O302" s="17" t="n">
        <v>15221</v>
      </c>
      <c r="P302" s="17" t="n">
        <v>11853</v>
      </c>
      <c r="Q302" s="17" t="n">
        <v>2559</v>
      </c>
      <c r="R302" s="17" t="n">
        <v>65</v>
      </c>
      <c r="S302" s="17" t="n">
        <v>1077</v>
      </c>
      <c r="T302" s="17" t="n">
        <v>2154</v>
      </c>
      <c r="U302" s="17" t="n">
        <v>0.112440706319735</v>
      </c>
      <c r="V302" s="17" t="n">
        <v>292350</v>
      </c>
      <c r="W302" s="17" t="n">
        <v>2039919</v>
      </c>
      <c r="X302" s="17" t="n">
        <v>14.3314513958643</v>
      </c>
      <c r="Y302" s="17" t="n">
        <v>11026</v>
      </c>
      <c r="Z302" s="17" t="n">
        <v>0.462742823520228</v>
      </c>
      <c r="AA302" s="17" t="n">
        <v>4.8</v>
      </c>
      <c r="AB302" s="17" t="n">
        <v>2.73756903103094</v>
      </c>
      <c r="AC302" s="17" t="n">
        <v>1.16162492034352</v>
      </c>
      <c r="AD302" s="17" t="n">
        <v>0</v>
      </c>
      <c r="AE302" s="17" t="n">
        <v>1</v>
      </c>
      <c r="AF302" s="17" t="s">
        <v>241</v>
      </c>
      <c r="AG302" s="17" t="s">
        <v>232</v>
      </c>
      <c r="AH302" s="17" t="n">
        <v>0</v>
      </c>
    </row>
    <row r="303" customFormat="false" ht="15" hidden="false" customHeight="false" outlineLevel="0" collapsed="false">
      <c r="A303" s="17" t="n">
        <v>19532</v>
      </c>
      <c r="B303" s="23" t="n">
        <v>45107</v>
      </c>
      <c r="C303" s="17" t="s">
        <v>164</v>
      </c>
      <c r="D303" s="17" t="s">
        <v>108</v>
      </c>
      <c r="E303" s="17" t="n">
        <v>792753</v>
      </c>
      <c r="F303" s="17" t="n">
        <v>782879.666666667</v>
      </c>
      <c r="G303" s="17" t="n">
        <v>647966</v>
      </c>
      <c r="H303" s="17" t="n">
        <v>91641</v>
      </c>
      <c r="I303" s="17" t="n">
        <v>11.5598427252877</v>
      </c>
      <c r="J303" s="17" t="n">
        <v>564676</v>
      </c>
      <c r="K303" s="17" t="n">
        <v>555687.666666667</v>
      </c>
      <c r="L303" s="17" t="n">
        <v>558921</v>
      </c>
      <c r="M303" s="17" t="n">
        <v>466819</v>
      </c>
      <c r="N303" s="17" t="n">
        <v>38262</v>
      </c>
      <c r="O303" s="17" t="n">
        <v>49373</v>
      </c>
      <c r="P303" s="17" t="n">
        <v>876</v>
      </c>
      <c r="Q303" s="17" t="n">
        <v>999</v>
      </c>
      <c r="R303" s="17" t="n">
        <v>14</v>
      </c>
      <c r="S303" s="17" t="n">
        <v>30</v>
      </c>
      <c r="T303" s="17" t="n">
        <v>60</v>
      </c>
      <c r="U303" s="17" t="n">
        <v>0.0107974323705823</v>
      </c>
      <c r="V303" s="17" t="n">
        <v>117928</v>
      </c>
      <c r="W303" s="17" t="n">
        <v>568728</v>
      </c>
      <c r="X303" s="17" t="n">
        <v>20.7353954790339</v>
      </c>
      <c r="Y303" s="17" t="n">
        <v>6420</v>
      </c>
      <c r="Z303" s="17" t="n">
        <v>0.820049398822041</v>
      </c>
      <c r="AA303" s="17" t="n">
        <v>7.11</v>
      </c>
      <c r="AB303" s="17" t="n">
        <v>3.44940493723311</v>
      </c>
      <c r="AC303" s="17" t="n">
        <v>1.01916851433388</v>
      </c>
      <c r="AD303" s="17" t="n">
        <v>0</v>
      </c>
      <c r="AE303" s="17" t="n">
        <v>1</v>
      </c>
      <c r="AF303" s="17" t="s">
        <v>241</v>
      </c>
      <c r="AG303" s="17" t="s">
        <v>232</v>
      </c>
      <c r="AH303" s="17" t="n">
        <v>1</v>
      </c>
    </row>
    <row r="304" customFormat="false" ht="15" hidden="false" customHeight="false" outlineLevel="0" collapsed="false">
      <c r="A304" s="17" t="n">
        <v>19690</v>
      </c>
      <c r="B304" s="23" t="n">
        <v>45107</v>
      </c>
      <c r="C304" s="17" t="s">
        <v>158</v>
      </c>
      <c r="D304" s="17" t="s">
        <v>108</v>
      </c>
      <c r="E304" s="17" t="n">
        <v>2869938</v>
      </c>
      <c r="F304" s="17" t="n">
        <v>2848611.66666667</v>
      </c>
      <c r="G304" s="17" t="n">
        <v>1960331</v>
      </c>
      <c r="H304" s="17" t="n">
        <v>296663</v>
      </c>
      <c r="I304" s="17" t="n">
        <v>10.3369132016092</v>
      </c>
      <c r="J304" s="17" t="n">
        <v>2520360</v>
      </c>
      <c r="K304" s="17" t="n">
        <v>2511637.33333333</v>
      </c>
      <c r="L304" s="17" t="n">
        <v>2513056</v>
      </c>
      <c r="M304" s="17" t="n">
        <v>2020060</v>
      </c>
      <c r="N304" s="17" t="n">
        <v>37835</v>
      </c>
      <c r="O304" s="17" t="n">
        <v>470</v>
      </c>
      <c r="P304" s="17" t="n">
        <v>15683</v>
      </c>
      <c r="Q304" s="17" t="n">
        <v>645</v>
      </c>
      <c r="R304" s="17" t="n">
        <v>0</v>
      </c>
      <c r="S304" s="17" t="n">
        <v>234</v>
      </c>
      <c r="T304" s="17" t="n">
        <v>468</v>
      </c>
      <c r="U304" s="17" t="n">
        <v>0.0186332634010855</v>
      </c>
      <c r="V304" s="17" t="n">
        <v>304210</v>
      </c>
      <c r="W304" s="17" t="n">
        <v>2473576</v>
      </c>
      <c r="X304" s="17" t="n">
        <v>12.2983890529339</v>
      </c>
      <c r="Y304" s="17" t="n">
        <v>49204</v>
      </c>
      <c r="Z304" s="17" t="n">
        <v>1.72729756659238</v>
      </c>
      <c r="AA304" s="17" t="n">
        <v>17.49</v>
      </c>
      <c r="AB304" s="17" t="n">
        <v>4.82690808234839</v>
      </c>
      <c r="AC304" s="17" t="n">
        <v>0.289799869859861</v>
      </c>
      <c r="AD304" s="17" t="n">
        <v>0.08</v>
      </c>
      <c r="AE304" s="17" t="n">
        <v>1</v>
      </c>
      <c r="AF304" s="17" t="s">
        <v>231</v>
      </c>
      <c r="AG304" s="17" t="s">
        <v>232</v>
      </c>
      <c r="AH304" s="17" t="n">
        <v>0</v>
      </c>
    </row>
    <row r="305" customFormat="false" ht="15" hidden="false" customHeight="false" outlineLevel="0" collapsed="false">
      <c r="A305" s="17" t="n">
        <v>19836</v>
      </c>
      <c r="B305" s="23" t="n">
        <v>45107</v>
      </c>
      <c r="C305" s="17" t="s">
        <v>136</v>
      </c>
      <c r="D305" s="17" t="s">
        <v>108</v>
      </c>
      <c r="E305" s="17" t="n">
        <v>608950</v>
      </c>
      <c r="F305" s="17" t="n">
        <v>596000</v>
      </c>
      <c r="G305" s="17" t="n">
        <v>446012</v>
      </c>
      <c r="H305" s="17" t="n">
        <v>119294</v>
      </c>
      <c r="I305" s="17" t="n">
        <v>19.590114130881</v>
      </c>
      <c r="J305" s="17" t="n">
        <v>506806</v>
      </c>
      <c r="K305" s="17" t="n">
        <v>495655.333333333</v>
      </c>
      <c r="L305" s="17" t="n">
        <v>502493</v>
      </c>
      <c r="M305" s="17" t="n">
        <v>437325</v>
      </c>
      <c r="N305" s="17" t="n">
        <v>52848</v>
      </c>
      <c r="O305" s="17" t="n">
        <v>12252</v>
      </c>
      <c r="P305" s="17" t="n">
        <v>3354</v>
      </c>
      <c r="Q305" s="17" t="n">
        <v>2513</v>
      </c>
      <c r="R305" s="17" t="n">
        <v>320</v>
      </c>
      <c r="S305" s="17" t="n">
        <v>85</v>
      </c>
      <c r="T305" s="17" t="n">
        <v>170</v>
      </c>
      <c r="U305" s="17" t="n">
        <v>0.0342980269891847</v>
      </c>
      <c r="V305" s="17" t="n">
        <v>132228</v>
      </c>
      <c r="W305" s="17" t="n">
        <v>485480</v>
      </c>
      <c r="X305" s="17" t="n">
        <v>27.2365493944138</v>
      </c>
      <c r="Y305" s="17" t="n">
        <v>4982</v>
      </c>
      <c r="Z305" s="17" t="n">
        <v>0.835906040268456</v>
      </c>
      <c r="AA305" s="17" t="n">
        <v>4.22</v>
      </c>
      <c r="AB305" s="17" t="n">
        <v>4.15464324965216</v>
      </c>
      <c r="AC305" s="17" t="n">
        <v>0.851015970608083</v>
      </c>
      <c r="AD305" s="17" t="n">
        <v>0.03</v>
      </c>
      <c r="AE305" s="17" t="n">
        <v>1</v>
      </c>
      <c r="AF305" s="17" t="s">
        <v>314</v>
      </c>
      <c r="AG305" s="17" t="s">
        <v>232</v>
      </c>
      <c r="AH305" s="17" t="n">
        <v>0</v>
      </c>
    </row>
    <row r="306" customFormat="false" ht="15" hidden="false" customHeight="false" outlineLevel="0" collapsed="false">
      <c r="A306" s="17" t="n">
        <v>24540</v>
      </c>
      <c r="B306" s="23" t="n">
        <v>45107</v>
      </c>
      <c r="C306" s="17" t="s">
        <v>163</v>
      </c>
      <c r="D306" s="17" t="s">
        <v>116</v>
      </c>
      <c r="E306" s="17" t="n">
        <v>1353335</v>
      </c>
      <c r="F306" s="17" t="n">
        <v>1306519.66666667</v>
      </c>
      <c r="G306" s="17" t="n">
        <v>1091222</v>
      </c>
      <c r="H306" s="17" t="n">
        <v>232110</v>
      </c>
      <c r="I306" s="17" t="n">
        <v>17.1509640997979</v>
      </c>
      <c r="J306" s="17" t="n">
        <v>1145876</v>
      </c>
      <c r="K306" s="17" t="n">
        <v>1122509.66666667</v>
      </c>
      <c r="L306" s="17" t="n">
        <v>1135036</v>
      </c>
      <c r="M306" s="17" t="n">
        <v>1109265</v>
      </c>
      <c r="N306" s="17" t="n">
        <v>40277</v>
      </c>
      <c r="O306" s="17" t="n">
        <v>135</v>
      </c>
      <c r="P306" s="17" t="n">
        <v>342</v>
      </c>
      <c r="Q306" s="17" t="n">
        <v>118</v>
      </c>
      <c r="R306" s="17" t="n">
        <v>0</v>
      </c>
      <c r="S306" s="17" t="n">
        <v>0</v>
      </c>
      <c r="T306" s="17" t="n">
        <v>0</v>
      </c>
      <c r="U306" s="17" t="n">
        <v>0</v>
      </c>
      <c r="V306" s="17" t="n">
        <v>0</v>
      </c>
      <c r="W306" s="17" t="n">
        <v>0</v>
      </c>
      <c r="X306" s="17" t="n">
        <v>0</v>
      </c>
      <c r="Y306" s="17" t="n">
        <v>33078</v>
      </c>
      <c r="Z306" s="17" t="n">
        <v>2.53176441533346</v>
      </c>
      <c r="AA306" s="17" t="n">
        <v>14.8</v>
      </c>
      <c r="AB306" s="17" t="n">
        <v>5.00438106220581</v>
      </c>
      <c r="AC306" s="17" t="n">
        <v>0.946001137993989</v>
      </c>
      <c r="AD306" s="17" t="n">
        <v>0.16</v>
      </c>
      <c r="AE306" s="17" t="n">
        <v>1</v>
      </c>
      <c r="AF306" s="17" t="s">
        <v>231</v>
      </c>
      <c r="AG306" s="17" t="s">
        <v>232</v>
      </c>
      <c r="AH306" s="17" t="n">
        <v>0</v>
      </c>
    </row>
    <row r="307" customFormat="false" ht="15" hidden="false" customHeight="false" outlineLevel="0" collapsed="false">
      <c r="A307" s="17" t="n">
        <v>27824</v>
      </c>
      <c r="B307" s="23" t="n">
        <v>45107</v>
      </c>
      <c r="C307" s="17" t="s">
        <v>117</v>
      </c>
      <c r="D307" s="17" t="s">
        <v>116</v>
      </c>
      <c r="E307" s="17" t="n">
        <v>511371</v>
      </c>
      <c r="F307" s="17" t="n">
        <v>498091.666666667</v>
      </c>
      <c r="G307" s="17" t="n">
        <v>380476</v>
      </c>
      <c r="H307" s="17" t="n">
        <v>65899</v>
      </c>
      <c r="I307" s="17" t="n">
        <v>12.8867299866438</v>
      </c>
      <c r="J307" s="17" t="n">
        <v>425994</v>
      </c>
      <c r="K307" s="17" t="n">
        <v>412930</v>
      </c>
      <c r="L307" s="17" t="n">
        <v>422760</v>
      </c>
      <c r="M307" s="17" t="n">
        <v>362683</v>
      </c>
      <c r="N307" s="17" t="n">
        <v>21394</v>
      </c>
      <c r="O307" s="17" t="n">
        <v>41917</v>
      </c>
      <c r="P307" s="17" t="n">
        <v>1230</v>
      </c>
      <c r="Q307" s="17" t="n">
        <v>1038</v>
      </c>
      <c r="R307" s="17" t="n">
        <v>0</v>
      </c>
      <c r="S307" s="17" t="n">
        <v>-6</v>
      </c>
      <c r="T307" s="17" t="n">
        <v>-12</v>
      </c>
      <c r="U307" s="17" t="n">
        <v>-0.00290606156007071</v>
      </c>
      <c r="V307" s="17" t="n">
        <v>74782</v>
      </c>
      <c r="W307" s="17" t="n">
        <v>342014</v>
      </c>
      <c r="X307" s="17" t="n">
        <v>21.8651868052185</v>
      </c>
      <c r="Y307" s="17" t="n">
        <v>-894</v>
      </c>
      <c r="Z307" s="17" t="n">
        <v>-0.179485034548527</v>
      </c>
      <c r="AA307" s="17" t="n">
        <v>-1.35</v>
      </c>
      <c r="AB307" s="17" t="n">
        <v>2.03415693915203</v>
      </c>
      <c r="AC307" s="17" t="n">
        <v>0.759165622051015</v>
      </c>
      <c r="AD307" s="17" t="n">
        <v>0</v>
      </c>
      <c r="AE307" s="17" t="n">
        <v>1</v>
      </c>
      <c r="AF307" s="17" t="s">
        <v>354</v>
      </c>
      <c r="AG307" s="17" t="s">
        <v>232</v>
      </c>
      <c r="AH307" s="17" t="n">
        <v>1</v>
      </c>
    </row>
    <row r="308" customFormat="false" ht="15" hidden="false" customHeight="false" outlineLevel="0" collapsed="false">
      <c r="A308" s="17" t="n">
        <v>28155</v>
      </c>
      <c r="B308" s="23" t="n">
        <v>45107</v>
      </c>
      <c r="C308" s="17" t="s">
        <v>150</v>
      </c>
      <c r="D308" s="17" t="s">
        <v>116</v>
      </c>
      <c r="E308" s="17" t="n">
        <v>297569</v>
      </c>
      <c r="F308" s="17" t="n">
        <v>298493.333333333</v>
      </c>
      <c r="G308" s="17" t="n">
        <v>264006</v>
      </c>
      <c r="H308" s="17" t="n">
        <v>27564</v>
      </c>
      <c r="I308" s="17" t="n">
        <v>9.26306167645151</v>
      </c>
      <c r="J308" s="17" t="n">
        <v>159158</v>
      </c>
      <c r="K308" s="17" t="n">
        <v>159353.333333333</v>
      </c>
      <c r="L308" s="17" t="n">
        <v>158345</v>
      </c>
      <c r="M308" s="17" t="n">
        <v>147112</v>
      </c>
      <c r="N308" s="17" t="n">
        <v>5813</v>
      </c>
      <c r="O308" s="17" t="n">
        <v>5560</v>
      </c>
      <c r="P308" s="17" t="n">
        <v>52</v>
      </c>
      <c r="Q308" s="17" t="n">
        <v>767</v>
      </c>
      <c r="R308" s="17" t="n">
        <v>0</v>
      </c>
      <c r="S308" s="17" t="n">
        <v>0</v>
      </c>
      <c r="T308" s="17" t="n">
        <v>0</v>
      </c>
      <c r="U308" s="17" t="n">
        <v>0</v>
      </c>
      <c r="V308" s="17" t="n">
        <v>29119</v>
      </c>
      <c r="W308" s="17" t="n">
        <v>163242</v>
      </c>
      <c r="X308" s="17" t="n">
        <v>17.8379338650592</v>
      </c>
      <c r="Y308" s="17" t="n">
        <v>114</v>
      </c>
      <c r="Z308" s="17" t="n">
        <v>0.0381918077455666</v>
      </c>
      <c r="AA308" s="17" t="n">
        <v>0.41</v>
      </c>
      <c r="AB308" s="17" t="n">
        <v>2.47080923260729</v>
      </c>
      <c r="AC308" s="17" t="n">
        <v>0.510813154224104</v>
      </c>
      <c r="AD308" s="17" t="n">
        <v>-0.07</v>
      </c>
      <c r="AE308" s="17" t="n">
        <v>1</v>
      </c>
      <c r="AF308" s="17" t="s">
        <v>314</v>
      </c>
      <c r="AG308" s="17" t="s">
        <v>232</v>
      </c>
      <c r="AH308" s="17" t="n">
        <v>0</v>
      </c>
    </row>
    <row r="309" customFormat="false" ht="15" hidden="false" customHeight="false" outlineLevel="0" collapsed="false">
      <c r="A309" s="17" t="n">
        <v>28288</v>
      </c>
      <c r="B309" s="23" t="n">
        <v>45107</v>
      </c>
      <c r="C309" s="17" t="s">
        <v>124</v>
      </c>
      <c r="D309" s="17" t="s">
        <v>108</v>
      </c>
      <c r="E309" s="17" t="n">
        <v>103989</v>
      </c>
      <c r="F309" s="17" t="n">
        <v>102433.333333333</v>
      </c>
      <c r="G309" s="17" t="n">
        <v>78624</v>
      </c>
      <c r="H309" s="17" t="n">
        <v>5937</v>
      </c>
      <c r="I309" s="17" t="n">
        <v>5.70925770995009</v>
      </c>
      <c r="J309" s="17" t="n">
        <v>81091</v>
      </c>
      <c r="K309" s="17" t="n">
        <v>79659.6666666667</v>
      </c>
      <c r="L309" s="17" t="n">
        <v>80221</v>
      </c>
      <c r="M309" s="17" t="n">
        <v>75531</v>
      </c>
      <c r="N309" s="17" t="n">
        <v>4909</v>
      </c>
      <c r="O309" s="17" t="n">
        <v>651</v>
      </c>
      <c r="P309" s="17" t="n">
        <v>266</v>
      </c>
      <c r="Q309" s="17" t="n">
        <v>831</v>
      </c>
      <c r="R309" s="17" t="n">
        <v>0</v>
      </c>
      <c r="S309" s="17" t="n">
        <v>-8</v>
      </c>
      <c r="T309" s="17" t="n">
        <v>-16</v>
      </c>
      <c r="U309" s="17" t="n">
        <v>-0.0200854468384251</v>
      </c>
      <c r="V309" s="17" t="n">
        <v>8886</v>
      </c>
      <c r="W309" s="17" t="n">
        <v>66151</v>
      </c>
      <c r="X309" s="17" t="n">
        <v>13.4329035086393</v>
      </c>
      <c r="Y309" s="17" t="n">
        <v>-30</v>
      </c>
      <c r="Z309" s="17" t="n">
        <v>-0.0292873413602343</v>
      </c>
      <c r="AA309" s="17" t="n">
        <v>-0.5</v>
      </c>
      <c r="AB309" s="17" t="n">
        <v>2.81908951863754</v>
      </c>
      <c r="AC309" s="17" t="n">
        <v>1.07286875238929</v>
      </c>
      <c r="AD309" s="17" t="n">
        <v>0</v>
      </c>
      <c r="AE309" s="17" t="n">
        <v>1</v>
      </c>
      <c r="AF309" s="17" t="s">
        <v>361</v>
      </c>
      <c r="AG309" s="17" t="s">
        <v>211</v>
      </c>
      <c r="AH309" s="17" t="n">
        <v>0</v>
      </c>
    </row>
    <row r="310" customFormat="false" ht="15" hidden="false" customHeight="false" outlineLevel="0" collapsed="false">
      <c r="A310" s="17" t="n">
        <v>28369</v>
      </c>
      <c r="B310" s="23" t="n">
        <v>45107</v>
      </c>
      <c r="C310" s="17" t="s">
        <v>145</v>
      </c>
      <c r="D310" s="17" t="s">
        <v>108</v>
      </c>
      <c r="E310" s="17" t="n">
        <v>87702</v>
      </c>
      <c r="F310" s="17" t="n">
        <v>87044.3333333333</v>
      </c>
      <c r="G310" s="17" t="n">
        <v>77819</v>
      </c>
      <c r="H310" s="17" t="n">
        <v>9428</v>
      </c>
      <c r="I310" s="17" t="n">
        <v>10.7500399078698</v>
      </c>
      <c r="J310" s="17" t="n">
        <v>75333</v>
      </c>
      <c r="K310" s="17" t="n">
        <v>73968</v>
      </c>
      <c r="L310" s="17" t="n">
        <v>74764</v>
      </c>
      <c r="M310" s="17" t="n">
        <v>63212</v>
      </c>
      <c r="N310" s="17" t="n">
        <v>11294</v>
      </c>
      <c r="O310" s="17" t="n">
        <v>827</v>
      </c>
      <c r="P310" s="17" t="n">
        <v>231</v>
      </c>
      <c r="Q310" s="17" t="n">
        <v>76</v>
      </c>
      <c r="R310" s="17" t="n">
        <v>0</v>
      </c>
      <c r="S310" s="17" t="n">
        <v>-1</v>
      </c>
      <c r="T310" s="17" t="n">
        <v>-2</v>
      </c>
      <c r="U310" s="17" t="n">
        <v>-0.0027038719446247</v>
      </c>
      <c r="V310" s="17" t="n">
        <v>0</v>
      </c>
      <c r="W310" s="17" t="n">
        <v>0</v>
      </c>
      <c r="X310" s="17" t="n">
        <v>0</v>
      </c>
      <c r="Y310" s="17" t="n">
        <v>-184</v>
      </c>
      <c r="Z310" s="17" t="n">
        <v>-0.21138653483091</v>
      </c>
      <c r="AA310" s="17" t="n">
        <v>-1.94</v>
      </c>
      <c r="AB310" s="17" t="n">
        <v>3.38744850981342</v>
      </c>
      <c r="AC310" s="17" t="n">
        <v>0.755313076606534</v>
      </c>
      <c r="AD310" s="17" t="n">
        <v>0.03</v>
      </c>
      <c r="AE310" s="17" t="n">
        <v>1</v>
      </c>
      <c r="AF310" s="17" t="s">
        <v>361</v>
      </c>
      <c r="AG310" s="17" t="s">
        <v>211</v>
      </c>
      <c r="AH310" s="17" t="n">
        <v>1</v>
      </c>
    </row>
    <row r="311" customFormat="false" ht="15" hidden="false" customHeight="false" outlineLevel="0" collapsed="false">
      <c r="A311" s="17" t="n">
        <v>28837</v>
      </c>
      <c r="B311" s="23" t="n">
        <v>45107</v>
      </c>
      <c r="C311" s="17" t="s">
        <v>142</v>
      </c>
      <c r="D311" s="17" t="s">
        <v>113</v>
      </c>
      <c r="E311" s="17" t="n">
        <v>285195</v>
      </c>
      <c r="F311" s="17" t="n">
        <v>294335.666666667</v>
      </c>
      <c r="G311" s="17" t="n">
        <v>256863</v>
      </c>
      <c r="H311" s="17" t="n">
        <v>24942</v>
      </c>
      <c r="I311" s="17" t="n">
        <v>8.74559511912902</v>
      </c>
      <c r="J311" s="17" t="n">
        <v>193010</v>
      </c>
      <c r="K311" s="17" t="n">
        <v>189872.666666667</v>
      </c>
      <c r="L311" s="17" t="n">
        <v>190734</v>
      </c>
      <c r="M311" s="17" t="n">
        <v>183990</v>
      </c>
      <c r="N311" s="17" t="n">
        <v>6474</v>
      </c>
      <c r="O311" s="17" t="n">
        <v>1267</v>
      </c>
      <c r="P311" s="17" t="n">
        <v>38</v>
      </c>
      <c r="Q311" s="17" t="n">
        <v>366</v>
      </c>
      <c r="R311" s="17" t="n">
        <v>0</v>
      </c>
      <c r="S311" s="17" t="n">
        <v>-4</v>
      </c>
      <c r="T311" s="17" t="n">
        <v>-8</v>
      </c>
      <c r="U311" s="17" t="n">
        <v>-0.00421334999947333</v>
      </c>
      <c r="V311" s="17" t="n">
        <v>25353</v>
      </c>
      <c r="W311" s="17" t="n">
        <v>154998</v>
      </c>
      <c r="X311" s="17" t="n">
        <v>16.3569852514226</v>
      </c>
      <c r="Y311" s="17" t="n">
        <v>2938</v>
      </c>
      <c r="Z311" s="17" t="n">
        <v>0.998180082377603</v>
      </c>
      <c r="AA311" s="17" t="n">
        <v>12.1</v>
      </c>
      <c r="AB311" s="17" t="n">
        <v>3.64030461666489</v>
      </c>
      <c r="AC311" s="17" t="n">
        <v>1.17921351225325</v>
      </c>
      <c r="AD311" s="17" t="n">
        <v>0</v>
      </c>
      <c r="AE311" s="17" t="n">
        <v>1</v>
      </c>
      <c r="AF311" s="17" t="s">
        <v>314</v>
      </c>
      <c r="AG311" s="17" t="s">
        <v>232</v>
      </c>
      <c r="AH311" s="17" t="n">
        <v>1</v>
      </c>
    </row>
    <row r="312" customFormat="false" ht="15" hidden="false" customHeight="false" outlineLevel="0" collapsed="false">
      <c r="A312" s="17" t="n">
        <v>29636</v>
      </c>
      <c r="B312" s="23" t="n">
        <v>45107</v>
      </c>
      <c r="C312" s="17" t="s">
        <v>123</v>
      </c>
      <c r="D312" s="17" t="s">
        <v>108</v>
      </c>
      <c r="E312" s="17" t="n">
        <v>182034</v>
      </c>
      <c r="F312" s="17" t="n">
        <v>182873.333333333</v>
      </c>
      <c r="G312" s="17" t="n">
        <v>145903</v>
      </c>
      <c r="H312" s="17" t="n">
        <v>24760</v>
      </c>
      <c r="I312" s="17" t="n">
        <v>13.6018545985915</v>
      </c>
      <c r="J312" s="17" t="n">
        <v>130004</v>
      </c>
      <c r="K312" s="17" t="n">
        <v>127783.333333333</v>
      </c>
      <c r="L312" s="17" t="n">
        <v>128110</v>
      </c>
      <c r="M312" s="17" t="n">
        <v>126522</v>
      </c>
      <c r="N312" s="17" t="n">
        <v>2015</v>
      </c>
      <c r="O312" s="17" t="n">
        <v>1467</v>
      </c>
      <c r="P312" s="17" t="n">
        <v>2061</v>
      </c>
      <c r="Q312" s="17" t="n">
        <v>2273</v>
      </c>
      <c r="R312" s="17" t="n">
        <v>0</v>
      </c>
      <c r="S312" s="17" t="n">
        <v>-5</v>
      </c>
      <c r="T312" s="17" t="n">
        <v>-10</v>
      </c>
      <c r="U312" s="17" t="n">
        <v>-0.00782574670666493</v>
      </c>
      <c r="V312" s="17" t="n">
        <v>26897</v>
      </c>
      <c r="W312" s="17" t="n">
        <v>100694</v>
      </c>
      <c r="X312" s="17" t="n">
        <v>26.711621347846</v>
      </c>
      <c r="Y312" s="17" t="n">
        <v>750</v>
      </c>
      <c r="Z312" s="17" t="n">
        <v>0.410119937297218</v>
      </c>
      <c r="AA312" s="17" t="n">
        <v>3.05</v>
      </c>
      <c r="AB312" s="17" t="n">
        <v>3.55071845607826</v>
      </c>
      <c r="AC312" s="17" t="n">
        <v>1.4568782499</v>
      </c>
      <c r="AD312" s="17" t="n">
        <v>0.07</v>
      </c>
      <c r="AE312" s="17" t="n">
        <v>1</v>
      </c>
      <c r="AF312" s="17" t="s">
        <v>361</v>
      </c>
      <c r="AG312" s="17" t="s">
        <v>211</v>
      </c>
      <c r="AH312" s="17" t="n">
        <v>1</v>
      </c>
    </row>
    <row r="313" customFormat="false" ht="15" hidden="false" customHeight="false" outlineLevel="0" collapsed="false">
      <c r="A313" s="17" t="n">
        <v>29743</v>
      </c>
      <c r="B313" s="23" t="n">
        <v>45107</v>
      </c>
      <c r="C313" s="17" t="s">
        <v>140</v>
      </c>
      <c r="D313" s="17" t="s">
        <v>108</v>
      </c>
      <c r="E313" s="17" t="n">
        <v>185445</v>
      </c>
      <c r="F313" s="17" t="n">
        <v>186833.666666667</v>
      </c>
      <c r="G313" s="17" t="n">
        <v>165388</v>
      </c>
      <c r="H313" s="17" t="n">
        <v>15742</v>
      </c>
      <c r="I313" s="17" t="n">
        <v>8.48877025533177</v>
      </c>
      <c r="J313" s="17" t="n">
        <v>130074</v>
      </c>
      <c r="K313" s="17" t="n">
        <v>126741.333333333</v>
      </c>
      <c r="L313" s="17" t="n">
        <v>129129</v>
      </c>
      <c r="M313" s="17" t="n">
        <v>81523</v>
      </c>
      <c r="N313" s="17" t="n">
        <v>27495</v>
      </c>
      <c r="O313" s="17" t="n">
        <v>20952</v>
      </c>
      <c r="P313" s="17" t="n">
        <v>624</v>
      </c>
      <c r="Q313" s="17" t="n">
        <v>575</v>
      </c>
      <c r="R313" s="17" t="n">
        <v>0</v>
      </c>
      <c r="S313" s="17" t="n">
        <v>8</v>
      </c>
      <c r="T313" s="17" t="n">
        <v>16</v>
      </c>
      <c r="U313" s="17" t="n">
        <v>0.0126241373506144</v>
      </c>
      <c r="V313" s="17" t="n">
        <v>19388</v>
      </c>
      <c r="W313" s="17" t="n">
        <v>109820</v>
      </c>
      <c r="X313" s="17" t="n">
        <v>17.6543434711346</v>
      </c>
      <c r="Y313" s="17" t="n">
        <v>1108</v>
      </c>
      <c r="Z313" s="17" t="n">
        <v>0.593040868794168</v>
      </c>
      <c r="AA313" s="17" t="n">
        <v>7.03</v>
      </c>
      <c r="AB313" s="17" t="n">
        <v>2.39838700420097</v>
      </c>
      <c r="AC313" s="17" t="n">
        <v>0.72650952534711</v>
      </c>
      <c r="AD313" s="17" t="n">
        <v>-0.01</v>
      </c>
      <c r="AE313" s="17" t="n">
        <v>1</v>
      </c>
      <c r="AF313" s="17" t="s">
        <v>354</v>
      </c>
      <c r="AG313" s="17" t="s">
        <v>211</v>
      </c>
      <c r="AH313" s="17" t="n">
        <v>0</v>
      </c>
    </row>
    <row r="314" customFormat="false" ht="15" hidden="false" customHeight="false" outlineLevel="0" collapsed="false">
      <c r="A314" s="17" t="n">
        <v>29744</v>
      </c>
      <c r="B314" s="23" t="n">
        <v>45107</v>
      </c>
      <c r="C314" s="17" t="s">
        <v>137</v>
      </c>
      <c r="D314" s="17" t="s">
        <v>116</v>
      </c>
      <c r="E314" s="17" t="n">
        <v>552677</v>
      </c>
      <c r="F314" s="17" t="n">
        <v>546153</v>
      </c>
      <c r="G314" s="17" t="n">
        <v>410619</v>
      </c>
      <c r="H314" s="17" t="n">
        <v>52781</v>
      </c>
      <c r="I314" s="17" t="n">
        <v>9.55006269484708</v>
      </c>
      <c r="J314" s="17" t="n">
        <v>417149</v>
      </c>
      <c r="K314" s="17" t="n">
        <v>408320.333333333</v>
      </c>
      <c r="L314" s="17" t="n">
        <v>413830</v>
      </c>
      <c r="M314" s="17" t="n">
        <v>384059</v>
      </c>
      <c r="N314" s="17" t="n">
        <v>24168</v>
      </c>
      <c r="O314" s="17" t="n">
        <v>8922</v>
      </c>
      <c r="P314" s="17" t="n">
        <v>3</v>
      </c>
      <c r="Q314" s="17" t="n">
        <v>0</v>
      </c>
      <c r="R314" s="17" t="n">
        <v>0</v>
      </c>
      <c r="S314" s="17" t="n">
        <v>2</v>
      </c>
      <c r="T314" s="17" t="n">
        <v>4</v>
      </c>
      <c r="U314" s="17" t="n">
        <v>0.000979623024733033</v>
      </c>
      <c r="V314" s="17" t="n">
        <v>65881</v>
      </c>
      <c r="W314" s="17" t="n">
        <v>352536</v>
      </c>
      <c r="X314" s="17" t="n">
        <v>18.6877368552432</v>
      </c>
      <c r="Y314" s="17" t="n">
        <v>-152</v>
      </c>
      <c r="Z314" s="17" t="n">
        <v>-0.0278310290339887</v>
      </c>
      <c r="AA314" s="17" t="n">
        <v>-0.31</v>
      </c>
      <c r="AB314" s="17" t="n">
        <v>2.38092808099468</v>
      </c>
      <c r="AC314" s="17" t="n">
        <v>0.795638968330261</v>
      </c>
      <c r="AD314" s="17" t="n">
        <v>0.01</v>
      </c>
      <c r="AE314" s="17" t="n">
        <v>1</v>
      </c>
      <c r="AF314" s="17" t="s">
        <v>361</v>
      </c>
      <c r="AG314" s="17" t="s">
        <v>211</v>
      </c>
      <c r="AH314" s="17" t="n">
        <v>0</v>
      </c>
    </row>
    <row r="315" customFormat="false" ht="15" hidden="false" customHeight="false" outlineLevel="0" collapsed="false">
      <c r="A315" s="17" t="n">
        <v>30350</v>
      </c>
      <c r="B315" s="23" t="n">
        <v>45107</v>
      </c>
      <c r="C315" s="17" t="s">
        <v>154</v>
      </c>
      <c r="D315" s="17" t="s">
        <v>113</v>
      </c>
      <c r="E315" s="17" t="n">
        <v>551849</v>
      </c>
      <c r="F315" s="17" t="n">
        <v>552666.666666667</v>
      </c>
      <c r="G315" s="17" t="n">
        <v>438525</v>
      </c>
      <c r="H315" s="17" t="n">
        <v>53168</v>
      </c>
      <c r="I315" s="17" t="n">
        <v>9.63451958778579</v>
      </c>
      <c r="J315" s="17" t="n">
        <v>396729</v>
      </c>
      <c r="K315" s="17" t="n">
        <v>394189</v>
      </c>
      <c r="L315" s="17" t="n">
        <v>391600</v>
      </c>
      <c r="M315" s="17" t="n">
        <v>376669</v>
      </c>
      <c r="N315" s="17" t="n">
        <v>17162</v>
      </c>
      <c r="O315" s="17" t="n">
        <v>1216</v>
      </c>
      <c r="P315" s="17" t="n">
        <v>1166</v>
      </c>
      <c r="Q315" s="17" t="n">
        <v>486</v>
      </c>
      <c r="R315" s="17" t="n">
        <v>0</v>
      </c>
      <c r="S315" s="17" t="n">
        <v>-20</v>
      </c>
      <c r="T315" s="17" t="n">
        <v>-40</v>
      </c>
      <c r="U315" s="17" t="n">
        <v>-0.0101474165945777</v>
      </c>
      <c r="V315" s="17" t="n">
        <v>64623</v>
      </c>
      <c r="W315" s="17" t="n">
        <v>300572</v>
      </c>
      <c r="X315" s="17" t="n">
        <v>21.5000066539798</v>
      </c>
      <c r="Y315" s="17" t="n">
        <v>3758</v>
      </c>
      <c r="Z315" s="17" t="n">
        <v>0.679975874547648</v>
      </c>
      <c r="AA315" s="17" t="n">
        <v>7.16</v>
      </c>
      <c r="AB315" s="17" t="n">
        <v>2.96883492457416</v>
      </c>
      <c r="AC315" s="17" t="n">
        <v>1.29282205233295</v>
      </c>
      <c r="AD315" s="17" t="n">
        <v>0</v>
      </c>
      <c r="AE315" s="17" t="n">
        <v>1</v>
      </c>
      <c r="AF315" s="17" t="s">
        <v>361</v>
      </c>
      <c r="AG315" s="17" t="s">
        <v>211</v>
      </c>
      <c r="AH315" s="17" t="n">
        <v>0</v>
      </c>
    </row>
    <row r="316" customFormat="false" ht="15" hidden="false" customHeight="false" outlineLevel="0" collapsed="false">
      <c r="A316" s="17" t="n">
        <v>30878</v>
      </c>
      <c r="B316" s="23" t="n">
        <v>45107</v>
      </c>
      <c r="C316" s="17" t="s">
        <v>110</v>
      </c>
      <c r="D316" s="17" t="s">
        <v>108</v>
      </c>
      <c r="E316" s="17" t="n">
        <v>102023</v>
      </c>
      <c r="F316" s="17" t="n">
        <v>102379.333333333</v>
      </c>
      <c r="G316" s="17" t="n">
        <v>73248</v>
      </c>
      <c r="H316" s="17" t="n">
        <v>12549</v>
      </c>
      <c r="I316" s="17" t="n">
        <v>12.3001676092646</v>
      </c>
      <c r="J316" s="17" t="n">
        <v>84437</v>
      </c>
      <c r="K316" s="17" t="n">
        <v>83073.3333333333</v>
      </c>
      <c r="L316" s="17" t="n">
        <v>83741</v>
      </c>
      <c r="M316" s="17" t="n">
        <v>84259</v>
      </c>
      <c r="N316" s="17" t="n">
        <v>0</v>
      </c>
      <c r="O316" s="17" t="n">
        <v>178</v>
      </c>
      <c r="P316" s="17" t="n">
        <v>704</v>
      </c>
      <c r="Q316" s="17" t="n">
        <v>109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98</v>
      </c>
      <c r="Z316" s="17" t="n">
        <v>0.0957224439828351</v>
      </c>
      <c r="AA316" s="17" t="n">
        <v>0.78</v>
      </c>
      <c r="AB316" s="17" t="n">
        <v>1.78418160806126</v>
      </c>
      <c r="AC316" s="17" t="n">
        <v>0.824283193386785</v>
      </c>
      <c r="AD316" s="17" t="n">
        <v>-0.12</v>
      </c>
      <c r="AE316" s="17" t="n">
        <v>1</v>
      </c>
      <c r="AF316" s="17" t="s">
        <v>354</v>
      </c>
      <c r="AG316" s="17" t="s">
        <v>232</v>
      </c>
      <c r="AH316" s="17" t="n">
        <v>1</v>
      </c>
    </row>
    <row r="317" customFormat="false" ht="15" hidden="false" customHeight="false" outlineLevel="0" collapsed="false">
      <c r="A317" s="17" t="n">
        <v>33418</v>
      </c>
      <c r="B317" s="23" t="n">
        <v>45107</v>
      </c>
      <c r="C317" s="17" t="s">
        <v>133</v>
      </c>
      <c r="D317" s="17" t="s">
        <v>113</v>
      </c>
      <c r="E317" s="17" t="n">
        <v>749197</v>
      </c>
      <c r="F317" s="17" t="n">
        <v>745589</v>
      </c>
      <c r="G317" s="17" t="n">
        <v>565840</v>
      </c>
      <c r="H317" s="17" t="n">
        <v>68367</v>
      </c>
      <c r="I317" s="17" t="n">
        <v>9.12537022972596</v>
      </c>
      <c r="J317" s="17" t="n">
        <v>371810</v>
      </c>
      <c r="K317" s="17" t="n">
        <v>365788.666666667</v>
      </c>
      <c r="L317" s="17" t="n">
        <v>368699</v>
      </c>
      <c r="M317" s="17" t="n">
        <v>314793</v>
      </c>
      <c r="N317" s="17" t="n">
        <v>45951</v>
      </c>
      <c r="O317" s="17" t="n">
        <v>11428</v>
      </c>
      <c r="P317" s="17" t="n">
        <v>1120</v>
      </c>
      <c r="Q317" s="17" t="n">
        <v>58</v>
      </c>
      <c r="R317" s="17" t="n">
        <v>0</v>
      </c>
      <c r="S317" s="17" t="n">
        <v>-24</v>
      </c>
      <c r="T317" s="17" t="n">
        <v>-48</v>
      </c>
      <c r="U317" s="17" t="n">
        <v>-0.0131223311092197</v>
      </c>
      <c r="V317" s="17" t="n">
        <v>86590</v>
      </c>
      <c r="W317" s="17" t="n">
        <v>467034</v>
      </c>
      <c r="X317" s="17" t="n">
        <v>18.5404060518078</v>
      </c>
      <c r="Y317" s="17" t="n">
        <v>5440</v>
      </c>
      <c r="Z317" s="17" t="n">
        <v>0.729624498215505</v>
      </c>
      <c r="AA317" s="17" t="n">
        <v>8.11</v>
      </c>
      <c r="AB317" s="17" t="n">
        <v>2.80710680168781</v>
      </c>
      <c r="AC317" s="17" t="n">
        <v>0.836717678384121</v>
      </c>
      <c r="AD317" s="17" t="n">
        <v>0.07</v>
      </c>
      <c r="AE317" s="17" t="n">
        <v>1</v>
      </c>
      <c r="AF317" s="17" t="s">
        <v>210</v>
      </c>
      <c r="AG317" s="17" t="s">
        <v>211</v>
      </c>
      <c r="AH317" s="17" t="n">
        <v>0</v>
      </c>
    </row>
    <row r="318" customFormat="false" ht="15" hidden="false" customHeight="false" outlineLevel="0" collapsed="false">
      <c r="A318" s="17" t="n">
        <v>35206</v>
      </c>
      <c r="B318" s="23" t="n">
        <v>45107</v>
      </c>
      <c r="C318" s="17" t="s">
        <v>166</v>
      </c>
      <c r="D318" s="17" t="s">
        <v>116</v>
      </c>
      <c r="E318" s="17" t="n">
        <v>69697</v>
      </c>
      <c r="F318" s="17" t="n">
        <v>67105</v>
      </c>
      <c r="G318" s="17" t="n">
        <v>500</v>
      </c>
      <c r="H318" s="17" t="n">
        <v>67177</v>
      </c>
      <c r="I318" s="17" t="n">
        <v>96.384349398109</v>
      </c>
      <c r="J318" s="17" t="n">
        <v>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13114</v>
      </c>
      <c r="Z318" s="17" t="n">
        <v>19.5425080098353</v>
      </c>
      <c r="AA318" s="17" t="n">
        <v>20.51</v>
      </c>
      <c r="AB318" s="17" t="n">
        <v>4.70983556889856</v>
      </c>
      <c r="AC318" s="17" t="n">
        <v>0</v>
      </c>
      <c r="AD318" s="17" t="n">
        <v>0</v>
      </c>
      <c r="AE318" s="17" t="n">
        <v>1</v>
      </c>
      <c r="AF318" s="17" t="s">
        <v>361</v>
      </c>
      <c r="AG318" s="17" t="s">
        <v>211</v>
      </c>
      <c r="AH318" s="17" t="n">
        <v>0</v>
      </c>
    </row>
    <row r="319" customFormat="false" ht="15" hidden="false" customHeight="false" outlineLevel="0" collapsed="false">
      <c r="A319" s="17" t="n">
        <v>59086</v>
      </c>
      <c r="B319" s="23" t="n">
        <v>45107</v>
      </c>
      <c r="C319" s="17" t="s">
        <v>141</v>
      </c>
      <c r="D319" s="17" t="s">
        <v>116</v>
      </c>
      <c r="E319" s="17" t="n">
        <v>695227</v>
      </c>
      <c r="F319" s="17" t="n">
        <v>681095</v>
      </c>
      <c r="G319" s="17" t="n">
        <v>607749</v>
      </c>
      <c r="H319" s="17" t="n">
        <v>83914</v>
      </c>
      <c r="I319" s="17" t="n">
        <v>12.0700145420129</v>
      </c>
      <c r="J319" s="17" t="n">
        <v>582250</v>
      </c>
      <c r="K319" s="17" t="n">
        <v>579626.666666667</v>
      </c>
      <c r="L319" s="17" t="n">
        <v>576228</v>
      </c>
      <c r="M319" s="17" t="n">
        <v>466335</v>
      </c>
      <c r="N319" s="17" t="n">
        <v>116363</v>
      </c>
      <c r="O319" s="17" t="n">
        <v>0</v>
      </c>
      <c r="P319" s="17" t="n">
        <v>4947</v>
      </c>
      <c r="Q319" s="17" t="n">
        <v>1699</v>
      </c>
      <c r="R319" s="17" t="n">
        <v>45</v>
      </c>
      <c r="S319" s="17" t="n">
        <v>313</v>
      </c>
      <c r="T319" s="17" t="n">
        <v>626</v>
      </c>
      <c r="U319" s="17" t="n">
        <v>0.1080005520795</v>
      </c>
      <c r="V319" s="17" t="n">
        <v>89936</v>
      </c>
      <c r="W319" s="17" t="n">
        <v>611527</v>
      </c>
      <c r="X319" s="17" t="n">
        <v>14.706791359989</v>
      </c>
      <c r="Y319" s="17" t="n">
        <v>11528</v>
      </c>
      <c r="Z319" s="17" t="n">
        <v>1.69256858441187</v>
      </c>
      <c r="AA319" s="17" t="n">
        <v>14.36</v>
      </c>
      <c r="AB319" s="17" t="n">
        <v>4.13253602764002</v>
      </c>
      <c r="AC319" s="17" t="n">
        <v>1.03426363246028</v>
      </c>
      <c r="AD319" s="17" t="n">
        <v>-0.05</v>
      </c>
      <c r="AE319" s="17" t="n">
        <v>1</v>
      </c>
      <c r="AF319" s="17" t="s">
        <v>231</v>
      </c>
      <c r="AG319" s="17" t="s">
        <v>232</v>
      </c>
      <c r="AH319" s="17" t="n">
        <v>0</v>
      </c>
    </row>
    <row r="320" customFormat="false" ht="15" hidden="false" customHeight="false" outlineLevel="0" collapsed="false">
      <c r="A320" s="17" t="n">
        <v>59176</v>
      </c>
      <c r="B320" s="23" t="n">
        <v>45107</v>
      </c>
      <c r="C320" s="17" t="s">
        <v>151</v>
      </c>
      <c r="D320" s="17" t="s">
        <v>116</v>
      </c>
      <c r="E320" s="17" t="n">
        <v>202708</v>
      </c>
      <c r="F320" s="17" t="n">
        <v>190345</v>
      </c>
      <c r="G320" s="17" t="n">
        <v>173553</v>
      </c>
      <c r="H320" s="17" t="n">
        <v>23273</v>
      </c>
      <c r="I320" s="17" t="n">
        <v>11.4810466286481</v>
      </c>
      <c r="J320" s="17" t="n">
        <v>137040</v>
      </c>
      <c r="K320" s="17" t="n">
        <v>136797</v>
      </c>
      <c r="L320" s="17" t="n">
        <v>135608</v>
      </c>
      <c r="M320" s="17" t="n">
        <v>117163</v>
      </c>
      <c r="N320" s="17" t="n">
        <v>19871</v>
      </c>
      <c r="O320" s="17" t="n">
        <v>6</v>
      </c>
      <c r="P320" s="17" t="n">
        <v>0</v>
      </c>
      <c r="Q320" s="17" t="n">
        <v>0</v>
      </c>
      <c r="R320" s="17" t="n">
        <v>0</v>
      </c>
      <c r="S320" s="17" t="n">
        <v>34</v>
      </c>
      <c r="T320" s="17" t="n">
        <v>68</v>
      </c>
      <c r="U320" s="17" t="n">
        <v>0.0497086924420857</v>
      </c>
      <c r="V320" s="17" t="n">
        <v>25294</v>
      </c>
      <c r="W320" s="17" t="n">
        <v>136832</v>
      </c>
      <c r="X320" s="17" t="n">
        <v>18.4854420018709</v>
      </c>
      <c r="Y320" s="17" t="n">
        <v>-216</v>
      </c>
      <c r="Z320" s="17" t="n">
        <v>-0.113478158081379</v>
      </c>
      <c r="AA320" s="17" t="n">
        <v>-0.93</v>
      </c>
      <c r="AB320" s="17" t="n">
        <v>2.54666176438783</v>
      </c>
      <c r="AC320" s="17" t="n">
        <v>1.04495037945126</v>
      </c>
      <c r="AD320" s="17" t="n">
        <v>0.2</v>
      </c>
      <c r="AE320" s="17" t="n">
        <v>1</v>
      </c>
      <c r="AF320" s="17" t="s">
        <v>231</v>
      </c>
      <c r="AG320" s="17" t="s">
        <v>232</v>
      </c>
      <c r="AH320" s="17" t="n">
        <v>0</v>
      </c>
    </row>
    <row r="321" customFormat="false" ht="15" hidden="false" customHeight="false" outlineLevel="0" collapsed="false">
      <c r="A321" s="17" t="n">
        <v>59289</v>
      </c>
      <c r="B321" s="23" t="n">
        <v>45107</v>
      </c>
      <c r="C321" s="17" t="s">
        <v>121</v>
      </c>
      <c r="D321" s="17" t="s">
        <v>116</v>
      </c>
      <c r="E321" s="17" t="n">
        <v>50390</v>
      </c>
      <c r="F321" s="17" t="n">
        <v>39234</v>
      </c>
      <c r="G321" s="17" t="n">
        <v>29218</v>
      </c>
      <c r="H321" s="17" t="n">
        <v>20357</v>
      </c>
      <c r="I321" s="17" t="n">
        <v>40.3988886683866</v>
      </c>
      <c r="J321" s="17" t="n">
        <v>17374</v>
      </c>
      <c r="K321" s="17" t="n">
        <v>11043</v>
      </c>
      <c r="L321" s="17" t="n">
        <v>17169</v>
      </c>
      <c r="M321" s="17" t="n">
        <v>7760</v>
      </c>
      <c r="N321" s="17" t="n">
        <v>8750</v>
      </c>
      <c r="O321" s="17" t="n">
        <v>0</v>
      </c>
      <c r="P321" s="17" t="n">
        <v>0</v>
      </c>
      <c r="Q321" s="17" t="n">
        <v>0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-2264</v>
      </c>
      <c r="Z321" s="17" t="n">
        <v>-5.7705051740837</v>
      </c>
      <c r="AA321" s="17" t="n">
        <v>-10.83</v>
      </c>
      <c r="AB321" s="17" t="n">
        <v>4.45994655954665</v>
      </c>
      <c r="AC321" s="17" t="n">
        <v>1.17992402440428</v>
      </c>
      <c r="AD321" s="17" t="n">
        <v>0.79</v>
      </c>
      <c r="AE321" s="17" t="n">
        <v>1</v>
      </c>
      <c r="AF321" s="17" t="s">
        <v>241</v>
      </c>
      <c r="AG321" s="17" t="s">
        <v>232</v>
      </c>
      <c r="AH321" s="17" t="n">
        <v>0</v>
      </c>
    </row>
    <row r="322" customFormat="false" ht="15" hidden="false" customHeight="false" outlineLevel="0" collapsed="false">
      <c r="A322" s="17" t="n">
        <v>59298</v>
      </c>
      <c r="B322" s="23" t="n">
        <v>45107</v>
      </c>
      <c r="C322" s="17" t="s">
        <v>160</v>
      </c>
      <c r="D322" s="17" t="s">
        <v>113</v>
      </c>
      <c r="E322" s="17" t="n">
        <v>125919</v>
      </c>
      <c r="F322" s="17" t="n">
        <v>109495.333333333</v>
      </c>
      <c r="G322" s="17" t="n">
        <v>96751</v>
      </c>
      <c r="H322" s="17" t="n">
        <v>28131</v>
      </c>
      <c r="I322" s="17" t="n">
        <v>22.3405522597861</v>
      </c>
      <c r="J322" s="17" t="n">
        <v>45897</v>
      </c>
      <c r="K322" s="17" t="n">
        <v>35123</v>
      </c>
      <c r="L322" s="17" t="n">
        <v>45544</v>
      </c>
      <c r="M322" s="17" t="n">
        <v>35680</v>
      </c>
      <c r="N322" s="17" t="n">
        <v>10224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-2984</v>
      </c>
      <c r="Z322" s="17" t="n">
        <v>-2.72523029900818</v>
      </c>
      <c r="AA322" s="17" t="n">
        <v>-10.35</v>
      </c>
      <c r="AB322" s="17" t="n">
        <v>2.64668436492276</v>
      </c>
      <c r="AC322" s="17" t="n">
        <v>0.769113449680807</v>
      </c>
      <c r="AD322" s="17" t="n">
        <v>0.24</v>
      </c>
      <c r="AE322" s="17" t="n">
        <v>1</v>
      </c>
      <c r="AF322" s="17" t="s">
        <v>231</v>
      </c>
      <c r="AG322" s="17" t="s">
        <v>232</v>
      </c>
      <c r="AH322" s="17" t="n">
        <v>0</v>
      </c>
    </row>
    <row r="323" customFormat="false" ht="15" hidden="false" customHeight="false" outlineLevel="0" collapsed="false">
      <c r="A323" s="17" t="n">
        <v>4255</v>
      </c>
      <c r="B323" s="23" t="n">
        <v>45199</v>
      </c>
      <c r="C323" s="17" t="s">
        <v>126</v>
      </c>
      <c r="D323" s="17" t="s">
        <v>108</v>
      </c>
      <c r="E323" s="17" t="n">
        <v>5769551</v>
      </c>
      <c r="F323" s="17" t="n">
        <v>5718461.25</v>
      </c>
      <c r="G323" s="17" t="n">
        <v>4715626</v>
      </c>
      <c r="H323" s="17" t="n">
        <v>473807</v>
      </c>
      <c r="I323" s="17" t="n">
        <v>8.21219883488334</v>
      </c>
      <c r="J323" s="17" t="n">
        <v>4069600</v>
      </c>
      <c r="K323" s="17" t="n">
        <v>4068746.75</v>
      </c>
      <c r="L323" s="17" t="n">
        <v>4033193</v>
      </c>
      <c r="M323" s="17" t="n">
        <v>3692040</v>
      </c>
      <c r="N323" s="17" t="n">
        <v>329244</v>
      </c>
      <c r="O323" s="17" t="n">
        <v>19312</v>
      </c>
      <c r="P323" s="17" t="n">
        <v>4624</v>
      </c>
      <c r="Q323" s="17" t="n">
        <v>3802</v>
      </c>
      <c r="R323" s="17" t="n">
        <v>0</v>
      </c>
      <c r="S323" s="17" t="n">
        <v>803</v>
      </c>
      <c r="T323" s="17" t="n">
        <v>1070.6399</v>
      </c>
      <c r="U323" s="17" t="n">
        <v>0.0263137512798013</v>
      </c>
      <c r="V323" s="17" t="n">
        <v>544093</v>
      </c>
      <c r="W323" s="17" t="n">
        <v>4036340</v>
      </c>
      <c r="X323" s="17" t="n">
        <v>13.4798604676514</v>
      </c>
      <c r="Y323" s="17" t="n">
        <v>49089.4394</v>
      </c>
      <c r="Z323" s="17" t="n">
        <v>0.858437912821391</v>
      </c>
      <c r="AA323" s="17" t="n">
        <v>10.4</v>
      </c>
      <c r="AB323" s="17" t="n">
        <v>2.56474515514667</v>
      </c>
      <c r="AC323" s="17" t="n">
        <v>0.894608806762336</v>
      </c>
      <c r="AD323" s="17" t="n">
        <v>-0.01</v>
      </c>
      <c r="AE323" s="17" t="n">
        <v>1</v>
      </c>
      <c r="AF323" s="17" t="s">
        <v>210</v>
      </c>
      <c r="AG323" s="17" t="s">
        <v>211</v>
      </c>
      <c r="AH323" s="17" t="n">
        <v>0</v>
      </c>
    </row>
    <row r="324" customFormat="false" ht="15" hidden="false" customHeight="false" outlineLevel="0" collapsed="false">
      <c r="A324" s="17" t="n">
        <v>4256</v>
      </c>
      <c r="B324" s="23" t="n">
        <v>45199</v>
      </c>
      <c r="C324" s="17" t="s">
        <v>135</v>
      </c>
      <c r="D324" s="17" t="s">
        <v>108</v>
      </c>
      <c r="E324" s="17" t="n">
        <v>2908137</v>
      </c>
      <c r="F324" s="17" t="n">
        <v>2808403</v>
      </c>
      <c r="G324" s="17" t="n">
        <v>2600576</v>
      </c>
      <c r="H324" s="17" t="n">
        <v>198185</v>
      </c>
      <c r="I324" s="17" t="n">
        <v>6.814844004942</v>
      </c>
      <c r="J324" s="17" t="n">
        <v>2080128</v>
      </c>
      <c r="K324" s="17" t="n">
        <v>2009719.25</v>
      </c>
      <c r="L324" s="17" t="n">
        <v>2056806</v>
      </c>
      <c r="M324" s="17" t="n">
        <v>1651715</v>
      </c>
      <c r="N324" s="17" t="n">
        <v>305649</v>
      </c>
      <c r="O324" s="17" t="n">
        <v>19370</v>
      </c>
      <c r="P324" s="17" t="n">
        <v>2553</v>
      </c>
      <c r="Q324" s="17" t="n">
        <v>876</v>
      </c>
      <c r="R324" s="17" t="n">
        <v>11</v>
      </c>
      <c r="S324" s="17" t="n">
        <v>30</v>
      </c>
      <c r="T324" s="17" t="n">
        <v>39.999</v>
      </c>
      <c r="U324" s="17" t="n">
        <v>0.0019902779952971</v>
      </c>
      <c r="V324" s="17" t="n">
        <v>271911</v>
      </c>
      <c r="W324" s="17" t="n">
        <v>1981563</v>
      </c>
      <c r="X324" s="17" t="n">
        <v>13.7220466873877</v>
      </c>
      <c r="Y324" s="17" t="n">
        <v>31392.5485</v>
      </c>
      <c r="Z324" s="17" t="n">
        <v>1.11780782530143</v>
      </c>
      <c r="AA324" s="17" t="n">
        <v>15.66</v>
      </c>
      <c r="AB324" s="17" t="n">
        <v>2.49431632578962</v>
      </c>
      <c r="AC324" s="17" t="n">
        <v>1.12118100424589</v>
      </c>
      <c r="AD324" s="17" t="n">
        <v>0.02</v>
      </c>
      <c r="AE324" s="17" t="n">
        <v>1</v>
      </c>
      <c r="AF324" s="17" t="s">
        <v>210</v>
      </c>
      <c r="AG324" s="17" t="s">
        <v>211</v>
      </c>
      <c r="AH324" s="17" t="n">
        <v>0</v>
      </c>
    </row>
    <row r="325" customFormat="false" ht="15" hidden="false" customHeight="false" outlineLevel="0" collapsed="false">
      <c r="A325" s="17" t="n">
        <v>6271</v>
      </c>
      <c r="B325" s="23" t="n">
        <v>45199</v>
      </c>
      <c r="C325" s="17" t="s">
        <v>147</v>
      </c>
      <c r="D325" s="17" t="s">
        <v>113</v>
      </c>
      <c r="E325" s="17" t="n">
        <v>1082666</v>
      </c>
      <c r="F325" s="17" t="n">
        <v>1049871</v>
      </c>
      <c r="G325" s="17" t="n">
        <v>902628</v>
      </c>
      <c r="H325" s="17" t="n">
        <v>90587</v>
      </c>
      <c r="I325" s="17" t="n">
        <v>8.36703101418166</v>
      </c>
      <c r="J325" s="17" t="n">
        <v>839179</v>
      </c>
      <c r="K325" s="17" t="n">
        <v>782432</v>
      </c>
      <c r="L325" s="17" t="n">
        <v>829691</v>
      </c>
      <c r="M325" s="17" t="n">
        <v>644820</v>
      </c>
      <c r="N325" s="17" t="n">
        <v>125837</v>
      </c>
      <c r="O325" s="17" t="n">
        <v>3320</v>
      </c>
      <c r="P325" s="17" t="n">
        <v>7215</v>
      </c>
      <c r="Q325" s="17" t="n">
        <v>724</v>
      </c>
      <c r="R325" s="17" t="n">
        <v>999</v>
      </c>
      <c r="S325" s="17" t="n">
        <v>314</v>
      </c>
      <c r="T325" s="17" t="n">
        <v>418.6562</v>
      </c>
      <c r="U325" s="17" t="n">
        <v>0.0535070395893828</v>
      </c>
      <c r="V325" s="17" t="n">
        <v>112109</v>
      </c>
      <c r="W325" s="17" t="n">
        <v>765294</v>
      </c>
      <c r="X325" s="17" t="n">
        <v>14.6491413757327</v>
      </c>
      <c r="Y325" s="17" t="n">
        <v>14384.9737</v>
      </c>
      <c r="Z325" s="17" t="n">
        <v>1.3701658298972</v>
      </c>
      <c r="AA325" s="17" t="n">
        <v>15.9</v>
      </c>
      <c r="AB325" s="17" t="n">
        <v>3.50998122320519</v>
      </c>
      <c r="AC325" s="17" t="n">
        <v>1.13062886464032</v>
      </c>
      <c r="AD325" s="17" t="n">
        <v>0.1</v>
      </c>
      <c r="AE325" s="17" t="n">
        <v>1</v>
      </c>
      <c r="AF325" s="17" t="s">
        <v>210</v>
      </c>
      <c r="AG325" s="17" t="s">
        <v>211</v>
      </c>
      <c r="AH325" s="17" t="n">
        <v>0</v>
      </c>
    </row>
    <row r="326" customFormat="false" ht="15" hidden="false" customHeight="false" outlineLevel="0" collapsed="false">
      <c r="A326" s="17" t="n">
        <v>6275</v>
      </c>
      <c r="B326" s="23" t="n">
        <v>45199</v>
      </c>
      <c r="C326" s="17" t="s">
        <v>165</v>
      </c>
      <c r="D326" s="17" t="s">
        <v>113</v>
      </c>
      <c r="E326" s="17" t="n">
        <v>554170</v>
      </c>
      <c r="F326" s="17" t="n">
        <v>543825</v>
      </c>
      <c r="G326" s="17" t="n">
        <v>479167</v>
      </c>
      <c r="H326" s="17" t="n">
        <v>22855</v>
      </c>
      <c r="I326" s="17" t="n">
        <v>4.12418571918364</v>
      </c>
      <c r="J326" s="17" t="n">
        <v>333822</v>
      </c>
      <c r="K326" s="17" t="n">
        <v>322406.25</v>
      </c>
      <c r="L326" s="17" t="n">
        <v>332466</v>
      </c>
      <c r="M326" s="17" t="n">
        <v>274189</v>
      </c>
      <c r="N326" s="17" t="n">
        <v>34934</v>
      </c>
      <c r="O326" s="17" t="n">
        <v>13861</v>
      </c>
      <c r="P326" s="17" t="n">
        <v>1262</v>
      </c>
      <c r="Q326" s="17" t="n">
        <v>392</v>
      </c>
      <c r="R326" s="17" t="n">
        <v>0</v>
      </c>
      <c r="S326" s="17" t="n">
        <v>0</v>
      </c>
      <c r="T326" s="17" t="n">
        <v>0</v>
      </c>
      <c r="U326" s="17" t="n">
        <v>0</v>
      </c>
      <c r="V326" s="17" t="n">
        <v>47587</v>
      </c>
      <c r="W326" s="17" t="n">
        <v>321564</v>
      </c>
      <c r="X326" s="17" t="n">
        <v>14.7986092970606</v>
      </c>
      <c r="Y326" s="17" t="n">
        <v>2329.2751</v>
      </c>
      <c r="Z326" s="17" t="n">
        <v>0.428313354479842</v>
      </c>
      <c r="AA326" s="17" t="n">
        <v>9</v>
      </c>
      <c r="AB326" s="17" t="n">
        <v>2.89483386017296</v>
      </c>
      <c r="AC326" s="17" t="n">
        <v>0.406204504196847</v>
      </c>
      <c r="AD326" s="17" t="n">
        <v>0.01</v>
      </c>
      <c r="AE326" s="17" t="n">
        <v>1</v>
      </c>
      <c r="AF326" s="17" t="s">
        <v>210</v>
      </c>
      <c r="AG326" s="17" t="s">
        <v>211</v>
      </c>
      <c r="AH326" s="17" t="n">
        <v>0</v>
      </c>
    </row>
    <row r="327" customFormat="false" ht="15" hidden="false" customHeight="false" outlineLevel="0" collapsed="false">
      <c r="A327" s="17" t="n">
        <v>6280</v>
      </c>
      <c r="B327" s="23" t="n">
        <v>45199</v>
      </c>
      <c r="C327" s="17" t="s">
        <v>138</v>
      </c>
      <c r="D327" s="17" t="s">
        <v>113</v>
      </c>
      <c r="E327" s="17" t="n">
        <v>81114</v>
      </c>
      <c r="F327" s="17" t="n">
        <v>83249.75</v>
      </c>
      <c r="G327" s="17" t="n">
        <v>71481</v>
      </c>
      <c r="H327" s="17" t="n">
        <v>9381</v>
      </c>
      <c r="I327" s="17" t="n">
        <v>11.5652045269621</v>
      </c>
      <c r="J327" s="17" t="n">
        <v>66663</v>
      </c>
      <c r="K327" s="17" t="n">
        <v>64777.5</v>
      </c>
      <c r="L327" s="17" t="n">
        <v>65801</v>
      </c>
      <c r="M327" s="17" t="n">
        <v>59127</v>
      </c>
      <c r="N327" s="17" t="n">
        <v>3368</v>
      </c>
      <c r="O327" s="17" t="n">
        <v>1610</v>
      </c>
      <c r="P327" s="17" t="n">
        <v>952</v>
      </c>
      <c r="Q327" s="17" t="n">
        <v>721</v>
      </c>
      <c r="R327" s="17" t="n">
        <v>0</v>
      </c>
      <c r="S327" s="17" t="n">
        <v>9</v>
      </c>
      <c r="T327" s="17" t="n">
        <v>11.9997</v>
      </c>
      <c r="U327" s="17" t="n">
        <v>0.0185244876693296</v>
      </c>
      <c r="V327" s="17" t="n">
        <v>0</v>
      </c>
      <c r="W327" s="17" t="n">
        <v>0</v>
      </c>
      <c r="X327" s="17" t="n">
        <v>0</v>
      </c>
      <c r="Y327" s="17" t="n">
        <v>1533.295</v>
      </c>
      <c r="Z327" s="17" t="n">
        <v>1.84180132673071</v>
      </c>
      <c r="AA327" s="17" t="n">
        <v>17.01</v>
      </c>
      <c r="AB327" s="17" t="n">
        <v>4.97162854589493</v>
      </c>
      <c r="AC327" s="17" t="n">
        <v>1.29307111891154</v>
      </c>
      <c r="AD327" s="17" t="n">
        <v>0.07</v>
      </c>
      <c r="AE327" s="17" t="n">
        <v>1</v>
      </c>
      <c r="AF327" s="17" t="s">
        <v>210</v>
      </c>
      <c r="AG327" s="17" t="s">
        <v>211</v>
      </c>
      <c r="AH327" s="17" t="n">
        <v>0</v>
      </c>
    </row>
    <row r="328" customFormat="false" ht="15" hidden="false" customHeight="false" outlineLevel="0" collapsed="false">
      <c r="A328" s="17" t="n">
        <v>11971</v>
      </c>
      <c r="B328" s="23" t="n">
        <v>45199</v>
      </c>
      <c r="C328" s="17" t="s">
        <v>134</v>
      </c>
      <c r="D328" s="17" t="s">
        <v>108</v>
      </c>
      <c r="E328" s="17" t="n">
        <v>3980815</v>
      </c>
      <c r="F328" s="17" t="n">
        <v>3959496</v>
      </c>
      <c r="G328" s="17" t="n">
        <v>3148381</v>
      </c>
      <c r="H328" s="17" t="n">
        <v>456209</v>
      </c>
      <c r="I328" s="17" t="n">
        <v>11.4601909407998</v>
      </c>
      <c r="J328" s="17" t="n">
        <v>2994807</v>
      </c>
      <c r="K328" s="17" t="n">
        <v>2963278.75</v>
      </c>
      <c r="L328" s="17" t="n">
        <v>2966796</v>
      </c>
      <c r="M328" s="17" t="n">
        <v>2636437</v>
      </c>
      <c r="N328" s="17" t="n">
        <v>203469</v>
      </c>
      <c r="O328" s="17" t="n">
        <v>7845</v>
      </c>
      <c r="P328" s="17" t="n">
        <v>6769</v>
      </c>
      <c r="Q328" s="17" t="n">
        <v>2914</v>
      </c>
      <c r="R328" s="17" t="n">
        <v>959</v>
      </c>
      <c r="S328" s="17" t="n">
        <v>70</v>
      </c>
      <c r="T328" s="17" t="n">
        <v>93.331</v>
      </c>
      <c r="U328" s="17" t="n">
        <v>0.00314958557307509</v>
      </c>
      <c r="V328" s="17" t="n">
        <v>434770</v>
      </c>
      <c r="W328" s="17" t="n">
        <v>3196457</v>
      </c>
      <c r="X328" s="17" t="n">
        <v>13.601622045909</v>
      </c>
      <c r="Y328" s="17" t="n">
        <v>52378.6905</v>
      </c>
      <c r="Z328" s="17" t="n">
        <v>1.3228625688724</v>
      </c>
      <c r="AA328" s="17" t="n">
        <v>11.46</v>
      </c>
      <c r="AB328" s="17" t="n">
        <v>3.44709104963489</v>
      </c>
      <c r="AC328" s="17" t="n">
        <v>0.935319037253486</v>
      </c>
      <c r="AD328" s="17" t="n">
        <v>0.07</v>
      </c>
      <c r="AE328" s="17" t="n">
        <v>1</v>
      </c>
      <c r="AF328" s="17" t="s">
        <v>231</v>
      </c>
      <c r="AG328" s="17" t="s">
        <v>232</v>
      </c>
      <c r="AH328" s="17" t="n">
        <v>0</v>
      </c>
    </row>
    <row r="329" customFormat="false" ht="15" hidden="false" customHeight="false" outlineLevel="0" collapsed="false">
      <c r="A329" s="17" t="n">
        <v>12874</v>
      </c>
      <c r="B329" s="23" t="n">
        <v>45199</v>
      </c>
      <c r="C329" s="17" t="s">
        <v>159</v>
      </c>
      <c r="D329" s="17" t="s">
        <v>108</v>
      </c>
      <c r="E329" s="17" t="n">
        <v>1015573</v>
      </c>
      <c r="F329" s="17" t="n">
        <v>994686.5</v>
      </c>
      <c r="G329" s="17" t="n">
        <v>892145</v>
      </c>
      <c r="H329" s="17" t="n">
        <v>100287</v>
      </c>
      <c r="I329" s="17" t="n">
        <v>9.87491790348897</v>
      </c>
      <c r="J329" s="17" t="n">
        <v>791811</v>
      </c>
      <c r="K329" s="17" t="n">
        <v>770884.25</v>
      </c>
      <c r="L329" s="17" t="n">
        <v>784144</v>
      </c>
      <c r="M329" s="17" t="n">
        <v>624999</v>
      </c>
      <c r="N329" s="17" t="n">
        <v>141382</v>
      </c>
      <c r="O329" s="17" t="n">
        <v>5445</v>
      </c>
      <c r="P329" s="17" t="n">
        <v>415</v>
      </c>
      <c r="Q329" s="17" t="n">
        <v>1582</v>
      </c>
      <c r="R329" s="17" t="n">
        <v>0</v>
      </c>
      <c r="S329" s="17" t="n">
        <v>34</v>
      </c>
      <c r="T329" s="17" t="n">
        <v>45.3322</v>
      </c>
      <c r="U329" s="17" t="n">
        <v>0.00588054562017579</v>
      </c>
      <c r="V329" s="17" t="n">
        <v>117914</v>
      </c>
      <c r="W329" s="17" t="n">
        <v>760095</v>
      </c>
      <c r="X329" s="17" t="n">
        <v>15.5130608673916</v>
      </c>
      <c r="Y329" s="17" t="n">
        <v>10993.0585</v>
      </c>
      <c r="Z329" s="17" t="n">
        <v>1.10517821444244</v>
      </c>
      <c r="AA329" s="17" t="n">
        <v>11.01</v>
      </c>
      <c r="AB329" s="17" t="n">
        <v>3.89276399528267</v>
      </c>
      <c r="AC329" s="17" t="n">
        <v>0.968286623954454</v>
      </c>
      <c r="AD329" s="17" t="n">
        <v>-0.03</v>
      </c>
      <c r="AE329" s="17" t="n">
        <v>1</v>
      </c>
      <c r="AF329" s="17" t="s">
        <v>231</v>
      </c>
      <c r="AG329" s="17" t="s">
        <v>232</v>
      </c>
      <c r="AH329" s="17" t="n">
        <v>0</v>
      </c>
    </row>
    <row r="330" customFormat="false" ht="15" hidden="false" customHeight="false" outlineLevel="0" collapsed="false">
      <c r="A330" s="17" t="n">
        <v>13063</v>
      </c>
      <c r="B330" s="23" t="n">
        <v>45199</v>
      </c>
      <c r="C330" s="17" t="s">
        <v>139</v>
      </c>
      <c r="D330" s="17" t="s">
        <v>108</v>
      </c>
      <c r="E330" s="17" t="n">
        <v>1813189</v>
      </c>
      <c r="F330" s="17" t="n">
        <v>1830643.25</v>
      </c>
      <c r="G330" s="17" t="n">
        <v>1662459</v>
      </c>
      <c r="H330" s="17" t="n">
        <v>130802</v>
      </c>
      <c r="I330" s="17" t="n">
        <v>7.21391978442402</v>
      </c>
      <c r="J330" s="17" t="n">
        <v>1407387</v>
      </c>
      <c r="K330" s="17" t="n">
        <v>1376747.5</v>
      </c>
      <c r="L330" s="17" t="n">
        <v>1390661</v>
      </c>
      <c r="M330" s="17" t="n">
        <v>1342676</v>
      </c>
      <c r="N330" s="17" t="n">
        <v>54104</v>
      </c>
      <c r="O330" s="17" t="n">
        <v>893</v>
      </c>
      <c r="P330" s="17" t="n">
        <v>592</v>
      </c>
      <c r="Q330" s="17" t="n">
        <v>398</v>
      </c>
      <c r="R330" s="17" t="n">
        <v>700</v>
      </c>
      <c r="S330" s="17" t="n">
        <v>66</v>
      </c>
      <c r="T330" s="17" t="n">
        <v>87.9978</v>
      </c>
      <c r="U330" s="17" t="n">
        <v>0.00639171670912785</v>
      </c>
      <c r="V330" s="17" t="n">
        <v>0</v>
      </c>
      <c r="W330" s="17" t="n">
        <v>0</v>
      </c>
      <c r="X330" s="17" t="n">
        <v>0</v>
      </c>
      <c r="Y330" s="17" t="n">
        <v>3754.5728</v>
      </c>
      <c r="Z330" s="17" t="n">
        <v>0.205095820826914</v>
      </c>
      <c r="AA330" s="17" t="n">
        <v>2.76</v>
      </c>
      <c r="AB330" s="17" t="n">
        <v>3.19853630126845</v>
      </c>
      <c r="AC330" s="17" t="n">
        <v>1.18844354822092</v>
      </c>
      <c r="AD330" s="17" t="n">
        <v>0.14</v>
      </c>
      <c r="AE330" s="17" t="n">
        <v>1</v>
      </c>
      <c r="AF330" s="17" t="s">
        <v>241</v>
      </c>
      <c r="AG330" s="17" t="s">
        <v>232</v>
      </c>
      <c r="AH330" s="17" t="n">
        <v>0</v>
      </c>
    </row>
    <row r="331" customFormat="false" ht="15" hidden="false" customHeight="false" outlineLevel="0" collapsed="false">
      <c r="A331" s="17" t="n">
        <v>14134</v>
      </c>
      <c r="B331" s="23" t="n">
        <v>45199</v>
      </c>
      <c r="C331" s="17" t="s">
        <v>155</v>
      </c>
      <c r="D331" s="17" t="s">
        <v>113</v>
      </c>
      <c r="E331" s="17" t="n">
        <v>862974</v>
      </c>
      <c r="F331" s="17" t="n">
        <v>845951.5</v>
      </c>
      <c r="G331" s="17" t="n">
        <v>683848</v>
      </c>
      <c r="H331" s="17" t="n">
        <v>97790</v>
      </c>
      <c r="I331" s="17" t="n">
        <v>11.3317434824224</v>
      </c>
      <c r="J331" s="17" t="n">
        <v>659466</v>
      </c>
      <c r="K331" s="17" t="n">
        <v>639130</v>
      </c>
      <c r="L331" s="17" t="n">
        <v>652124</v>
      </c>
      <c r="M331" s="17" t="n">
        <v>579506</v>
      </c>
      <c r="N331" s="17" t="n">
        <v>26362</v>
      </c>
      <c r="O331" s="17" t="n">
        <v>28791</v>
      </c>
      <c r="P331" s="17" t="n">
        <v>12208</v>
      </c>
      <c r="Q331" s="17" t="n">
        <v>7041</v>
      </c>
      <c r="R331" s="17" t="n">
        <v>0</v>
      </c>
      <c r="S331" s="17" t="n">
        <v>528</v>
      </c>
      <c r="T331" s="17" t="n">
        <v>703.9824</v>
      </c>
      <c r="U331" s="17" t="n">
        <v>0.110146981052368</v>
      </c>
      <c r="V331" s="17" t="n">
        <v>104540</v>
      </c>
      <c r="W331" s="17" t="n">
        <v>538600</v>
      </c>
      <c r="X331" s="17" t="n">
        <v>19.4095803936131</v>
      </c>
      <c r="Y331" s="17" t="n">
        <v>3947.9013</v>
      </c>
      <c r="Z331" s="17" t="n">
        <v>0.466681754214042</v>
      </c>
      <c r="AA331" s="17" t="n">
        <v>3.99</v>
      </c>
      <c r="AB331" s="17" t="n">
        <v>3.23068828096064</v>
      </c>
      <c r="AC331" s="17" t="n">
        <v>1.11332502357968</v>
      </c>
      <c r="AD331" s="17" t="n">
        <v>0.11</v>
      </c>
      <c r="AE331" s="17" t="n">
        <v>1</v>
      </c>
      <c r="AF331" s="17" t="s">
        <v>241</v>
      </c>
      <c r="AG331" s="17" t="s">
        <v>232</v>
      </c>
      <c r="AH331" s="17" t="n">
        <v>0</v>
      </c>
    </row>
    <row r="332" customFormat="false" ht="15" hidden="false" customHeight="false" outlineLevel="0" collapsed="false">
      <c r="A332" s="17" t="n">
        <v>14136</v>
      </c>
      <c r="B332" s="23" t="n">
        <v>45199</v>
      </c>
      <c r="C332" s="17" t="s">
        <v>153</v>
      </c>
      <c r="D332" s="17" t="s">
        <v>113</v>
      </c>
      <c r="E332" s="17" t="n">
        <v>226042</v>
      </c>
      <c r="F332" s="17" t="n">
        <v>227316.75</v>
      </c>
      <c r="G332" s="17" t="n">
        <v>193047</v>
      </c>
      <c r="H332" s="17" t="n">
        <v>14702</v>
      </c>
      <c r="I332" s="17" t="n">
        <v>6.50410100777732</v>
      </c>
      <c r="J332" s="17" t="n">
        <v>146706</v>
      </c>
      <c r="K332" s="17" t="n">
        <v>144422.5</v>
      </c>
      <c r="L332" s="17" t="n">
        <v>144807</v>
      </c>
      <c r="M332" s="17" t="n">
        <v>117617</v>
      </c>
      <c r="N332" s="17" t="n">
        <v>14059</v>
      </c>
      <c r="O332" s="17" t="n">
        <v>14729</v>
      </c>
      <c r="P332" s="17" t="n">
        <v>83</v>
      </c>
      <c r="Q332" s="17" t="n">
        <v>546</v>
      </c>
      <c r="R332" s="17" t="n">
        <v>734</v>
      </c>
      <c r="S332" s="17" t="n">
        <v>74</v>
      </c>
      <c r="T332" s="17" t="n">
        <v>98.6642</v>
      </c>
      <c r="U332" s="17" t="n">
        <v>0.0683163634475238</v>
      </c>
      <c r="V332" s="17" t="n">
        <v>26267</v>
      </c>
      <c r="W332" s="17" t="n">
        <v>148571</v>
      </c>
      <c r="X332" s="17" t="n">
        <v>17.6797625377766</v>
      </c>
      <c r="Y332" s="17" t="n">
        <v>1494.6293</v>
      </c>
      <c r="Z332" s="17" t="n">
        <v>0.657509532403573</v>
      </c>
      <c r="AA332" s="17" t="n">
        <v>9.82</v>
      </c>
      <c r="AB332" s="17" t="n">
        <v>4.07799974023827</v>
      </c>
      <c r="AC332" s="17" t="n">
        <v>1.29442558586561</v>
      </c>
      <c r="AD332" s="17" t="n">
        <v>0.05</v>
      </c>
      <c r="AE332" s="17" t="n">
        <v>1</v>
      </c>
      <c r="AF332" s="17" t="s">
        <v>241</v>
      </c>
      <c r="AG332" s="17" t="s">
        <v>232</v>
      </c>
      <c r="AH332" s="17" t="n">
        <v>1</v>
      </c>
    </row>
    <row r="333" customFormat="false" ht="15" hidden="false" customHeight="false" outlineLevel="0" collapsed="false">
      <c r="A333" s="17" t="n">
        <v>14140</v>
      </c>
      <c r="B333" s="23" t="n">
        <v>45199</v>
      </c>
      <c r="C333" s="17" t="s">
        <v>120</v>
      </c>
      <c r="D333" s="17" t="s">
        <v>113</v>
      </c>
      <c r="E333" s="17" t="n">
        <v>1446742</v>
      </c>
      <c r="F333" s="17" t="n">
        <v>1432426.5</v>
      </c>
      <c r="G333" s="17" t="n">
        <v>1144937</v>
      </c>
      <c r="H333" s="17" t="n">
        <v>114596</v>
      </c>
      <c r="I333" s="17" t="n">
        <v>7.92097001400388</v>
      </c>
      <c r="J333" s="17" t="n">
        <v>1027888</v>
      </c>
      <c r="K333" s="17" t="n">
        <v>1001979.25</v>
      </c>
      <c r="L333" s="17" t="n">
        <v>1019526</v>
      </c>
      <c r="M333" s="17" t="n">
        <v>915552</v>
      </c>
      <c r="N333" s="17" t="n">
        <v>85696</v>
      </c>
      <c r="O333" s="17" t="n">
        <v>1520</v>
      </c>
      <c r="P333" s="17" t="n">
        <v>4596</v>
      </c>
      <c r="Q333" s="17" t="n">
        <v>265</v>
      </c>
      <c r="R333" s="17" t="n">
        <v>0</v>
      </c>
      <c r="S333" s="17" t="n">
        <v>38</v>
      </c>
      <c r="T333" s="17" t="n">
        <v>50.6654</v>
      </c>
      <c r="U333" s="17" t="n">
        <v>0.00505653185931745</v>
      </c>
      <c r="V333" s="17" t="n">
        <v>0</v>
      </c>
      <c r="W333" s="17" t="n">
        <v>0</v>
      </c>
      <c r="X333" s="17" t="n">
        <v>0</v>
      </c>
      <c r="Y333" s="17" t="n">
        <v>4047.8988</v>
      </c>
      <c r="Z333" s="17" t="n">
        <v>0.282590331859959</v>
      </c>
      <c r="AA333" s="17" t="n">
        <v>3.45</v>
      </c>
      <c r="AB333" s="17" t="n">
        <v>2.6996394553038</v>
      </c>
      <c r="AC333" s="17" t="n">
        <v>0.8135127562536</v>
      </c>
      <c r="AD333" s="17" t="n">
        <v>0.04</v>
      </c>
      <c r="AE333" s="17" t="n">
        <v>1</v>
      </c>
      <c r="AF333" s="17" t="s">
        <v>241</v>
      </c>
      <c r="AG333" s="17" t="s">
        <v>232</v>
      </c>
      <c r="AH333" s="17" t="n">
        <v>0</v>
      </c>
    </row>
    <row r="334" customFormat="false" ht="15" hidden="false" customHeight="false" outlineLevel="0" collapsed="false">
      <c r="A334" s="17" t="n">
        <v>14158</v>
      </c>
      <c r="B334" s="23" t="n">
        <v>45199</v>
      </c>
      <c r="C334" s="17" t="s">
        <v>112</v>
      </c>
      <c r="D334" s="17" t="s">
        <v>113</v>
      </c>
      <c r="E334" s="17" t="n">
        <v>1395141</v>
      </c>
      <c r="F334" s="17" t="n">
        <v>1356745.5</v>
      </c>
      <c r="G334" s="17" t="n">
        <v>1225741</v>
      </c>
      <c r="H334" s="17" t="n">
        <v>65297</v>
      </c>
      <c r="I334" s="17" t="n">
        <v>4.68031546632204</v>
      </c>
      <c r="J334" s="17" t="n">
        <v>1029735</v>
      </c>
      <c r="K334" s="17" t="n">
        <v>976814.75</v>
      </c>
      <c r="L334" s="17" t="n">
        <v>1022840</v>
      </c>
      <c r="M334" s="17" t="n">
        <v>900510</v>
      </c>
      <c r="N334" s="17" t="n">
        <v>41125</v>
      </c>
      <c r="O334" s="17" t="n">
        <v>2184</v>
      </c>
      <c r="P334" s="17" t="n">
        <v>1882</v>
      </c>
      <c r="Q334" s="17" t="n">
        <v>150</v>
      </c>
      <c r="R334" s="17" t="n">
        <v>245</v>
      </c>
      <c r="S334" s="17" t="n">
        <v>4</v>
      </c>
      <c r="T334" s="17" t="n">
        <v>5.3332</v>
      </c>
      <c r="U334" s="17" t="n">
        <v>0.000545978651530395</v>
      </c>
      <c r="V334" s="17" t="n">
        <v>118274</v>
      </c>
      <c r="W334" s="17" t="n">
        <v>897322</v>
      </c>
      <c r="X334" s="17" t="n">
        <v>13.1807756858742</v>
      </c>
      <c r="Y334" s="17" t="n">
        <v>11843.7039</v>
      </c>
      <c r="Z334" s="17" t="n">
        <v>0.872949562021764</v>
      </c>
      <c r="AA334" s="17" t="n">
        <v>16.43</v>
      </c>
      <c r="AB334" s="17" t="n">
        <v>3.07647902159446</v>
      </c>
      <c r="AC334" s="17" t="n">
        <v>0.669589748818871</v>
      </c>
      <c r="AD334" s="17" t="n">
        <v>-0.02</v>
      </c>
      <c r="AE334" s="17" t="n">
        <v>1</v>
      </c>
      <c r="AF334" s="17" t="s">
        <v>231</v>
      </c>
      <c r="AG334" s="17" t="s">
        <v>232</v>
      </c>
      <c r="AH334" s="17" t="n">
        <v>0</v>
      </c>
    </row>
    <row r="335" customFormat="false" ht="15" hidden="false" customHeight="false" outlineLevel="0" collapsed="false">
      <c r="A335" s="17" t="n">
        <v>14168</v>
      </c>
      <c r="B335" s="23" t="n">
        <v>45199</v>
      </c>
      <c r="C335" s="17" t="s">
        <v>162</v>
      </c>
      <c r="D335" s="17" t="s">
        <v>113</v>
      </c>
      <c r="E335" s="17" t="n">
        <v>359023</v>
      </c>
      <c r="F335" s="17" t="n">
        <v>359481.75</v>
      </c>
      <c r="G335" s="17" t="n">
        <v>322770</v>
      </c>
      <c r="H335" s="17" t="n">
        <v>31301</v>
      </c>
      <c r="I335" s="17" t="n">
        <v>8.71838294482526</v>
      </c>
      <c r="J335" s="17" t="n">
        <v>229069</v>
      </c>
      <c r="K335" s="17" t="n">
        <v>218363.25</v>
      </c>
      <c r="L335" s="17" t="n">
        <v>225418</v>
      </c>
      <c r="M335" s="17" t="n">
        <v>191581</v>
      </c>
      <c r="N335" s="17" t="n">
        <v>11392</v>
      </c>
      <c r="O335" s="17" t="n">
        <v>9903</v>
      </c>
      <c r="P335" s="17" t="n">
        <v>1133</v>
      </c>
      <c r="Q335" s="17" t="n">
        <v>363</v>
      </c>
      <c r="R335" s="17" t="n">
        <v>0</v>
      </c>
      <c r="S335" s="17" t="n">
        <v>-11</v>
      </c>
      <c r="T335" s="17" t="n">
        <v>-14.6663</v>
      </c>
      <c r="U335" s="17" t="n">
        <v>-0.00671646900291143</v>
      </c>
      <c r="V335" s="17" t="n">
        <v>41633</v>
      </c>
      <c r="W335" s="17" t="n">
        <v>245202</v>
      </c>
      <c r="X335" s="17" t="n">
        <v>16.9790621609938</v>
      </c>
      <c r="Y335" s="17" t="n">
        <v>3045.2572</v>
      </c>
      <c r="Z335" s="17" t="n">
        <v>0.847124283777967</v>
      </c>
      <c r="AA335" s="17" t="n">
        <v>9.42</v>
      </c>
      <c r="AB335" s="17" t="n">
        <v>3.93880269357462</v>
      </c>
      <c r="AC335" s="17" t="n">
        <v>1.59384290323003</v>
      </c>
      <c r="AD335" s="17" t="n">
        <v>0.18</v>
      </c>
      <c r="AE335" s="17" t="n">
        <v>1</v>
      </c>
      <c r="AF335" s="17" t="s">
        <v>231</v>
      </c>
      <c r="AG335" s="17" t="s">
        <v>232</v>
      </c>
      <c r="AH335" s="17" t="n">
        <v>0</v>
      </c>
    </row>
    <row r="336" customFormat="false" ht="15" hidden="false" customHeight="false" outlineLevel="0" collapsed="false">
      <c r="A336" s="17" t="n">
        <v>14240</v>
      </c>
      <c r="B336" s="23" t="n">
        <v>45199</v>
      </c>
      <c r="C336" s="17" t="s">
        <v>195</v>
      </c>
      <c r="D336" s="17" t="s">
        <v>116</v>
      </c>
      <c r="E336" s="17" t="n">
        <v>1352605</v>
      </c>
      <c r="F336" s="17" t="n">
        <v>1344763</v>
      </c>
      <c r="G336" s="17" t="n">
        <v>1054870</v>
      </c>
      <c r="H336" s="17" t="n">
        <v>75740</v>
      </c>
      <c r="I336" s="17" t="n">
        <v>5.5995652832867</v>
      </c>
      <c r="J336" s="17" t="n">
        <v>967238</v>
      </c>
      <c r="K336" s="17" t="n">
        <v>952222.25</v>
      </c>
      <c r="L336" s="17" t="n">
        <v>956116</v>
      </c>
      <c r="M336" s="17" t="n">
        <v>823267</v>
      </c>
      <c r="N336" s="17" t="n">
        <v>26965</v>
      </c>
      <c r="O336" s="17" t="n">
        <v>17762</v>
      </c>
      <c r="P336" s="17" t="n">
        <v>2967</v>
      </c>
      <c r="Q336" s="17" t="n">
        <v>236</v>
      </c>
      <c r="R336" s="17" t="n">
        <v>0</v>
      </c>
      <c r="S336" s="17" t="n">
        <v>-4</v>
      </c>
      <c r="T336" s="17" t="n">
        <v>-5.3332</v>
      </c>
      <c r="U336" s="17" t="n">
        <v>-0.000560079330219389</v>
      </c>
      <c r="V336" s="17" t="n">
        <v>125254</v>
      </c>
      <c r="W336" s="17" t="n">
        <v>826379</v>
      </c>
      <c r="X336" s="17" t="n">
        <v>15.1569679287591</v>
      </c>
      <c r="Y336" s="17" t="n">
        <v>7097.1559</v>
      </c>
      <c r="Z336" s="17" t="n">
        <v>0.527762579725944</v>
      </c>
      <c r="AA336" s="17" t="n">
        <v>8.68</v>
      </c>
      <c r="AB336" s="17" t="n">
        <v>2.85113070307758</v>
      </c>
      <c r="AC336" s="17" t="n">
        <v>1.14987211007012</v>
      </c>
      <c r="AD336" s="17" t="n">
        <v>0</v>
      </c>
      <c r="AE336" s="17" t="n">
        <v>0</v>
      </c>
      <c r="AF336" s="17" t="s">
        <v>231</v>
      </c>
      <c r="AG336" s="17" t="s">
        <v>232</v>
      </c>
      <c r="AH336" s="17" t="n">
        <v>0</v>
      </c>
    </row>
    <row r="337" customFormat="false" ht="15" hidden="false" customHeight="false" outlineLevel="0" collapsed="false">
      <c r="A337" s="17" t="n">
        <v>17115</v>
      </c>
      <c r="B337" s="23" t="n">
        <v>45199</v>
      </c>
      <c r="C337" s="17" t="s">
        <v>143</v>
      </c>
      <c r="D337" s="17" t="s">
        <v>108</v>
      </c>
      <c r="E337" s="17" t="n">
        <v>1080866</v>
      </c>
      <c r="F337" s="17" t="n">
        <v>1050567.75</v>
      </c>
      <c r="G337" s="17" t="n">
        <v>797533</v>
      </c>
      <c r="H337" s="17" t="n">
        <v>79915</v>
      </c>
      <c r="I337" s="17" t="n">
        <v>7.3936084584028</v>
      </c>
      <c r="J337" s="17" t="n">
        <v>885313</v>
      </c>
      <c r="K337" s="17" t="n">
        <v>865518.5</v>
      </c>
      <c r="L337" s="17" t="n">
        <v>875962</v>
      </c>
      <c r="M337" s="17" t="n">
        <v>833728</v>
      </c>
      <c r="N337" s="17" t="n">
        <v>44197</v>
      </c>
      <c r="O337" s="17" t="n">
        <v>5743</v>
      </c>
      <c r="P337" s="17" t="n">
        <v>244</v>
      </c>
      <c r="Q337" s="17" t="n">
        <v>1158</v>
      </c>
      <c r="R337" s="17" t="n">
        <v>0</v>
      </c>
      <c r="S337" s="17" t="n">
        <v>-71</v>
      </c>
      <c r="T337" s="17" t="n">
        <v>-94.6643</v>
      </c>
      <c r="U337" s="17" t="n">
        <v>-0.0109372936569236</v>
      </c>
      <c r="V337" s="17" t="n">
        <v>107202</v>
      </c>
      <c r="W337" s="17" t="n">
        <v>790169</v>
      </c>
      <c r="X337" s="17" t="n">
        <v>13.5669711163055</v>
      </c>
      <c r="Y337" s="17" t="n">
        <v>5238.5357</v>
      </c>
      <c r="Z337" s="17" t="n">
        <v>0.498638540922278</v>
      </c>
      <c r="AA337" s="17" t="n">
        <v>6.49</v>
      </c>
      <c r="AB337" s="17" t="n">
        <v>2.94787495581982</v>
      </c>
      <c r="AC337" s="17" t="n">
        <v>1.05623660784378</v>
      </c>
      <c r="AD337" s="17" t="n">
        <v>0.06</v>
      </c>
      <c r="AE337" s="17" t="n">
        <v>1</v>
      </c>
      <c r="AF337" s="17" t="s">
        <v>241</v>
      </c>
      <c r="AG337" s="17" t="s">
        <v>232</v>
      </c>
      <c r="AH337" s="17" t="n">
        <v>0</v>
      </c>
    </row>
    <row r="338" customFormat="false" ht="15" hidden="false" customHeight="false" outlineLevel="0" collapsed="false">
      <c r="A338" s="17" t="n">
        <v>17180</v>
      </c>
      <c r="B338" s="23" t="n">
        <v>45199</v>
      </c>
      <c r="C338" s="17" t="s">
        <v>127</v>
      </c>
      <c r="D338" s="17" t="s">
        <v>116</v>
      </c>
      <c r="E338" s="17" t="n">
        <v>1618725</v>
      </c>
      <c r="F338" s="17" t="n">
        <v>1589603.25</v>
      </c>
      <c r="G338" s="17" t="n">
        <v>1198681</v>
      </c>
      <c r="H338" s="17" t="n">
        <v>130715</v>
      </c>
      <c r="I338" s="17" t="n">
        <v>8.07518262830314</v>
      </c>
      <c r="J338" s="17" t="n">
        <v>1465429</v>
      </c>
      <c r="K338" s="17" t="n">
        <v>1429216</v>
      </c>
      <c r="L338" s="17" t="n">
        <v>1451274</v>
      </c>
      <c r="M338" s="17" t="n">
        <v>1192665</v>
      </c>
      <c r="N338" s="17" t="n">
        <v>53778</v>
      </c>
      <c r="O338" s="17" t="n">
        <v>195410</v>
      </c>
      <c r="P338" s="17" t="n">
        <v>5236</v>
      </c>
      <c r="Q338" s="17" t="n">
        <v>2857</v>
      </c>
      <c r="R338" s="17" t="n">
        <v>0</v>
      </c>
      <c r="S338" s="17" t="n">
        <v>234</v>
      </c>
      <c r="T338" s="17" t="n">
        <v>311.9922</v>
      </c>
      <c r="U338" s="17" t="n">
        <v>0.0218296044824575</v>
      </c>
      <c r="V338" s="17" t="n">
        <v>159417</v>
      </c>
      <c r="W338" s="17" t="n">
        <v>1153897</v>
      </c>
      <c r="X338" s="17" t="n">
        <v>13.815531195592</v>
      </c>
      <c r="Y338" s="17" t="n">
        <v>6297.1759</v>
      </c>
      <c r="Z338" s="17" t="n">
        <v>0.396147648792238</v>
      </c>
      <c r="AA338" s="17" t="n">
        <v>4.83</v>
      </c>
      <c r="AB338" s="17" t="n">
        <v>2.89756095197028</v>
      </c>
      <c r="AC338" s="17" t="n">
        <v>0.965928748509822</v>
      </c>
      <c r="AD338" s="17" t="n">
        <v>0.12</v>
      </c>
      <c r="AE338" s="17" t="n">
        <v>1</v>
      </c>
      <c r="AF338" s="17" t="s">
        <v>241</v>
      </c>
      <c r="AG338" s="17" t="s">
        <v>232</v>
      </c>
      <c r="AH338" s="17" t="n">
        <v>0</v>
      </c>
    </row>
    <row r="339" customFormat="false" ht="15" hidden="false" customHeight="false" outlineLevel="0" collapsed="false">
      <c r="A339" s="17" t="n">
        <v>17443</v>
      </c>
      <c r="B339" s="23" t="n">
        <v>45199</v>
      </c>
      <c r="C339" s="17" t="s">
        <v>132</v>
      </c>
      <c r="D339" s="17" t="s">
        <v>116</v>
      </c>
      <c r="E339" s="17" t="n">
        <v>359919</v>
      </c>
      <c r="F339" s="17" t="n">
        <v>368215.75</v>
      </c>
      <c r="G339" s="17" t="n">
        <v>321726</v>
      </c>
      <c r="H339" s="17" t="n">
        <v>36888</v>
      </c>
      <c r="I339" s="17" t="n">
        <v>10.2489726855209</v>
      </c>
      <c r="J339" s="17" t="n">
        <v>207388</v>
      </c>
      <c r="K339" s="17" t="n">
        <v>208770.75</v>
      </c>
      <c r="L339" s="17" t="n">
        <v>205613</v>
      </c>
      <c r="M339" s="17" t="n">
        <v>205626</v>
      </c>
      <c r="N339" s="17" t="n">
        <v>0</v>
      </c>
      <c r="O339" s="17" t="n">
        <v>761</v>
      </c>
      <c r="P339" s="17" t="n">
        <v>109</v>
      </c>
      <c r="Q339" s="17" t="n">
        <v>310</v>
      </c>
      <c r="R339" s="17" t="n">
        <v>897</v>
      </c>
      <c r="S339" s="17" t="n">
        <v>0</v>
      </c>
      <c r="T339" s="17" t="n">
        <v>0</v>
      </c>
      <c r="U339" s="17" t="n">
        <v>0</v>
      </c>
      <c r="V339" s="17" t="n">
        <v>0</v>
      </c>
      <c r="W339" s="17" t="n">
        <v>0</v>
      </c>
      <c r="X339" s="17" t="n">
        <v>0</v>
      </c>
      <c r="Y339" s="17" t="n">
        <v>250.6604</v>
      </c>
      <c r="Z339" s="17" t="n">
        <v>0.0680743287053854</v>
      </c>
      <c r="AA339" s="17" t="n">
        <v>0.66</v>
      </c>
      <c r="AB339" s="17" t="n">
        <v>1.59052041879174</v>
      </c>
      <c r="AC339" s="17" t="n">
        <v>0.855883657685112</v>
      </c>
      <c r="AD339" s="17" t="n">
        <v>0.02</v>
      </c>
      <c r="AE339" s="17" t="n">
        <v>1</v>
      </c>
      <c r="AF339" s="17" t="s">
        <v>241</v>
      </c>
      <c r="AG339" s="17" t="s">
        <v>232</v>
      </c>
      <c r="AH339" s="17" t="n">
        <v>1</v>
      </c>
    </row>
    <row r="340" customFormat="false" ht="15" hidden="false" customHeight="false" outlineLevel="0" collapsed="false">
      <c r="A340" s="17" t="n">
        <v>17658</v>
      </c>
      <c r="B340" s="23" t="n">
        <v>45199</v>
      </c>
      <c r="C340" s="17" t="s">
        <v>144</v>
      </c>
      <c r="D340" s="17" t="s">
        <v>108</v>
      </c>
      <c r="E340" s="17" t="n">
        <v>1854542</v>
      </c>
      <c r="F340" s="17" t="n">
        <v>1826648.25</v>
      </c>
      <c r="G340" s="17" t="n">
        <v>1539926</v>
      </c>
      <c r="H340" s="17" t="n">
        <v>184915</v>
      </c>
      <c r="I340" s="17" t="n">
        <v>9.97092543603758</v>
      </c>
      <c r="J340" s="17" t="n">
        <v>1292291</v>
      </c>
      <c r="K340" s="17" t="n">
        <v>1252705</v>
      </c>
      <c r="L340" s="17" t="n">
        <v>1284040</v>
      </c>
      <c r="M340" s="17" t="n">
        <v>1103288</v>
      </c>
      <c r="N340" s="17" t="n">
        <v>95704</v>
      </c>
      <c r="O340" s="17" t="n">
        <v>80475</v>
      </c>
      <c r="P340" s="17" t="n">
        <v>1361</v>
      </c>
      <c r="Q340" s="17" t="n">
        <v>2709</v>
      </c>
      <c r="R340" s="17" t="n">
        <v>0</v>
      </c>
      <c r="S340" s="17" t="n">
        <v>-125</v>
      </c>
      <c r="T340" s="17" t="n">
        <v>-166.6625</v>
      </c>
      <c r="U340" s="17" t="n">
        <v>-0.0133042096902303</v>
      </c>
      <c r="V340" s="17" t="n">
        <v>0</v>
      </c>
      <c r="W340" s="17" t="n">
        <v>0</v>
      </c>
      <c r="X340" s="17" t="n">
        <v>0</v>
      </c>
      <c r="Y340" s="17" t="n">
        <v>11978.3672</v>
      </c>
      <c r="Z340" s="17" t="n">
        <v>0.655756640612116</v>
      </c>
      <c r="AA340" s="17" t="n">
        <v>6.22</v>
      </c>
      <c r="AB340" s="17" t="n">
        <v>3.39384266025843</v>
      </c>
      <c r="AC340" s="17" t="n">
        <v>0.638478485109004</v>
      </c>
      <c r="AD340" s="17" t="n">
        <v>0.06</v>
      </c>
      <c r="AE340" s="17" t="n">
        <v>1</v>
      </c>
      <c r="AF340" s="17" t="s">
        <v>241</v>
      </c>
      <c r="AG340" s="17" t="s">
        <v>232</v>
      </c>
      <c r="AH340" s="17" t="n">
        <v>0</v>
      </c>
    </row>
    <row r="341" customFormat="false" ht="15" hidden="false" customHeight="false" outlineLevel="0" collapsed="false">
      <c r="A341" s="17" t="n">
        <v>17741</v>
      </c>
      <c r="B341" s="23" t="n">
        <v>45199</v>
      </c>
      <c r="C341" s="17" t="s">
        <v>161</v>
      </c>
      <c r="D341" s="17" t="s">
        <v>108</v>
      </c>
      <c r="E341" s="17" t="n">
        <v>1063414</v>
      </c>
      <c r="F341" s="17" t="n">
        <v>1028501.25</v>
      </c>
      <c r="G341" s="17" t="n">
        <v>803860</v>
      </c>
      <c r="H341" s="17" t="n">
        <v>132027</v>
      </c>
      <c r="I341" s="17" t="n">
        <v>12.4153904311961</v>
      </c>
      <c r="J341" s="17" t="n">
        <v>905841</v>
      </c>
      <c r="K341" s="17" t="n">
        <v>868634</v>
      </c>
      <c r="L341" s="17" t="n">
        <v>897519</v>
      </c>
      <c r="M341" s="17" t="n">
        <v>844883</v>
      </c>
      <c r="N341" s="17" t="n">
        <v>52698</v>
      </c>
      <c r="O341" s="17" t="n">
        <v>4222</v>
      </c>
      <c r="P341" s="17" t="n">
        <v>2371</v>
      </c>
      <c r="Q341" s="17" t="n">
        <v>3001</v>
      </c>
      <c r="R341" s="17" t="n">
        <v>0</v>
      </c>
      <c r="S341" s="17" t="n">
        <v>-38</v>
      </c>
      <c r="T341" s="17" t="n">
        <v>-50.6654</v>
      </c>
      <c r="U341" s="17" t="n">
        <v>-0.00583276731051283</v>
      </c>
      <c r="V341" s="17" t="n">
        <v>0</v>
      </c>
      <c r="W341" s="17" t="n">
        <v>0</v>
      </c>
      <c r="X341" s="17" t="n">
        <v>0</v>
      </c>
      <c r="Y341" s="17" t="n">
        <v>6013.183</v>
      </c>
      <c r="Z341" s="17" t="n">
        <v>0.584654904405804</v>
      </c>
      <c r="AA341" s="17" t="n">
        <v>4.55</v>
      </c>
      <c r="AB341" s="17" t="n">
        <v>3.32134528468549</v>
      </c>
      <c r="AC341" s="17" t="n">
        <v>0.918704275915972</v>
      </c>
      <c r="AD341" s="17" t="n">
        <v>0.03</v>
      </c>
      <c r="AE341" s="17" t="n">
        <v>1</v>
      </c>
      <c r="AF341" s="17" t="s">
        <v>241</v>
      </c>
      <c r="AG341" s="17" t="s">
        <v>232</v>
      </c>
      <c r="AH341" s="17" t="n">
        <v>0</v>
      </c>
    </row>
    <row r="342" customFormat="false" ht="15" hidden="false" customHeight="false" outlineLevel="0" collapsed="false">
      <c r="A342" s="17" t="n">
        <v>17743</v>
      </c>
      <c r="B342" s="23" t="n">
        <v>45199</v>
      </c>
      <c r="C342" s="17" t="s">
        <v>129</v>
      </c>
      <c r="D342" s="17" t="s">
        <v>108</v>
      </c>
      <c r="E342" s="17" t="n">
        <v>1343923</v>
      </c>
      <c r="F342" s="17" t="n">
        <v>1314321.75</v>
      </c>
      <c r="G342" s="17" t="n">
        <v>962463</v>
      </c>
      <c r="H342" s="17" t="n">
        <v>114040</v>
      </c>
      <c r="I342" s="17" t="n">
        <v>8.48560520208375</v>
      </c>
      <c r="J342" s="17" t="n">
        <v>1053953</v>
      </c>
      <c r="K342" s="17" t="n">
        <v>1021089.25</v>
      </c>
      <c r="L342" s="17" t="n">
        <v>1049272</v>
      </c>
      <c r="M342" s="17" t="n">
        <v>1018679</v>
      </c>
      <c r="N342" s="17" t="n">
        <v>13921</v>
      </c>
      <c r="O342" s="17" t="n">
        <v>9333</v>
      </c>
      <c r="P342" s="17" t="n">
        <v>4816</v>
      </c>
      <c r="Q342" s="17" t="n">
        <v>614</v>
      </c>
      <c r="R342" s="17" t="n">
        <v>50</v>
      </c>
      <c r="S342" s="17" t="n">
        <v>16</v>
      </c>
      <c r="T342" s="17" t="n">
        <v>21.3328</v>
      </c>
      <c r="U342" s="17" t="n">
        <v>0.00208921991882688</v>
      </c>
      <c r="V342" s="17" t="n">
        <v>0</v>
      </c>
      <c r="W342" s="17" t="n">
        <v>0</v>
      </c>
      <c r="X342" s="17" t="n">
        <v>0</v>
      </c>
      <c r="Y342" s="17" t="n">
        <v>547.9863</v>
      </c>
      <c r="Z342" s="17" t="n">
        <v>0.0416934666112008</v>
      </c>
      <c r="AA342" s="17" t="n">
        <v>0.46</v>
      </c>
      <c r="AB342" s="17" t="n">
        <v>2.06213614232857</v>
      </c>
      <c r="AC342" s="17" t="n">
        <v>0.44413745204957</v>
      </c>
      <c r="AD342" s="17" t="n">
        <v>0</v>
      </c>
      <c r="AE342" s="17" t="n">
        <v>1</v>
      </c>
      <c r="AF342" s="17" t="s">
        <v>241</v>
      </c>
      <c r="AG342" s="17" t="s">
        <v>232</v>
      </c>
      <c r="AH342" s="17" t="n">
        <v>1</v>
      </c>
    </row>
    <row r="343" customFormat="false" ht="15" hidden="false" customHeight="false" outlineLevel="0" collapsed="false">
      <c r="A343" s="17" t="n">
        <v>17748</v>
      </c>
      <c r="B343" s="23" t="n">
        <v>45199</v>
      </c>
      <c r="C343" s="17" t="s">
        <v>196</v>
      </c>
      <c r="D343" s="17" t="s">
        <v>108</v>
      </c>
      <c r="E343" s="17" t="n">
        <v>1637222</v>
      </c>
      <c r="F343" s="17" t="n">
        <v>1633482.5</v>
      </c>
      <c r="G343" s="17" t="n">
        <v>1377757</v>
      </c>
      <c r="H343" s="17" t="n">
        <v>100984</v>
      </c>
      <c r="I343" s="17" t="n">
        <v>6.16800898106671</v>
      </c>
      <c r="J343" s="17" t="n">
        <v>1276766</v>
      </c>
      <c r="K343" s="17" t="n">
        <v>1257997.75</v>
      </c>
      <c r="L343" s="17" t="n">
        <v>1266889</v>
      </c>
      <c r="M343" s="17" t="n">
        <v>1059712</v>
      </c>
      <c r="N343" s="17" t="n">
        <v>181024</v>
      </c>
      <c r="O343" s="17" t="n">
        <v>3627</v>
      </c>
      <c r="P343" s="17" t="n">
        <v>6912</v>
      </c>
      <c r="Q343" s="17" t="n">
        <v>1286</v>
      </c>
      <c r="R343" s="17" t="n">
        <v>0</v>
      </c>
      <c r="S343" s="17" t="n">
        <v>1118</v>
      </c>
      <c r="T343" s="17" t="n">
        <v>1490.6294</v>
      </c>
      <c r="U343" s="17" t="n">
        <v>0.118492215109288</v>
      </c>
      <c r="V343" s="17" t="n">
        <v>0</v>
      </c>
      <c r="W343" s="17" t="n">
        <v>0</v>
      </c>
      <c r="X343" s="17" t="n">
        <v>0</v>
      </c>
      <c r="Y343" s="17" t="n">
        <v>4197.2284</v>
      </c>
      <c r="Z343" s="17" t="n">
        <v>0.256949701022203</v>
      </c>
      <c r="AA343" s="17" t="n">
        <v>3.94</v>
      </c>
      <c r="AB343" s="17" t="n">
        <v>2.50725017577047</v>
      </c>
      <c r="AC343" s="17" t="n">
        <v>0.773595161525291</v>
      </c>
      <c r="AD343" s="17" t="n">
        <v>0.03</v>
      </c>
      <c r="AE343" s="17" t="n">
        <v>0</v>
      </c>
      <c r="AF343" s="17" t="s">
        <v>241</v>
      </c>
      <c r="AG343" s="17" t="s">
        <v>232</v>
      </c>
      <c r="AH343" s="17" t="n">
        <v>0</v>
      </c>
    </row>
    <row r="344" customFormat="false" ht="15" hidden="false" customHeight="false" outlineLevel="0" collapsed="false">
      <c r="A344" s="17" t="n">
        <v>17749</v>
      </c>
      <c r="B344" s="23" t="n">
        <v>45199</v>
      </c>
      <c r="C344" s="17" t="s">
        <v>156</v>
      </c>
      <c r="D344" s="17" t="s">
        <v>108</v>
      </c>
      <c r="E344" s="17" t="n">
        <v>1286435</v>
      </c>
      <c r="F344" s="17" t="n">
        <v>1291483.25</v>
      </c>
      <c r="G344" s="17" t="n">
        <v>1014838</v>
      </c>
      <c r="H344" s="17" t="n">
        <v>152647</v>
      </c>
      <c r="I344" s="17" t="n">
        <v>11.8658929522284</v>
      </c>
      <c r="J344" s="17" t="n">
        <v>779799</v>
      </c>
      <c r="K344" s="17" t="n">
        <v>757318.75</v>
      </c>
      <c r="L344" s="17" t="n">
        <v>768673</v>
      </c>
      <c r="M344" s="17" t="n">
        <v>708062</v>
      </c>
      <c r="N344" s="17" t="n">
        <v>49432</v>
      </c>
      <c r="O344" s="17" t="n">
        <v>10742</v>
      </c>
      <c r="P344" s="17" t="n">
        <v>34</v>
      </c>
      <c r="Q344" s="17" t="n">
        <v>1039</v>
      </c>
      <c r="R344" s="17" t="n">
        <v>0</v>
      </c>
      <c r="S344" s="17" t="n">
        <v>9</v>
      </c>
      <c r="T344" s="17" t="n">
        <v>11.9997</v>
      </c>
      <c r="U344" s="17" t="n">
        <v>0.00158449794092646</v>
      </c>
      <c r="V344" s="17" t="n">
        <v>0</v>
      </c>
      <c r="W344" s="17" t="n">
        <v>0</v>
      </c>
      <c r="X344" s="17" t="n">
        <v>0</v>
      </c>
      <c r="Y344" s="17" t="n">
        <v>12669.0166</v>
      </c>
      <c r="Z344" s="17" t="n">
        <v>0.980966388840118</v>
      </c>
      <c r="AA344" s="17" t="n">
        <v>8.09</v>
      </c>
      <c r="AB344" s="17" t="n">
        <v>2.80780948296844</v>
      </c>
      <c r="AC344" s="17" t="n">
        <v>1.4267779261066</v>
      </c>
      <c r="AD344" s="17" t="n">
        <v>0.05</v>
      </c>
      <c r="AE344" s="17" t="n">
        <v>1</v>
      </c>
      <c r="AF344" s="17" t="s">
        <v>241</v>
      </c>
      <c r="AG344" s="17" t="s">
        <v>232</v>
      </c>
      <c r="AH344" s="17" t="n">
        <v>1</v>
      </c>
    </row>
    <row r="345" customFormat="false" ht="15" hidden="false" customHeight="false" outlineLevel="0" collapsed="false">
      <c r="A345" s="17" t="n">
        <v>17751</v>
      </c>
      <c r="B345" s="23" t="n">
        <v>45199</v>
      </c>
      <c r="C345" s="17" t="s">
        <v>125</v>
      </c>
      <c r="D345" s="17" t="s">
        <v>108</v>
      </c>
      <c r="E345" s="17" t="n">
        <v>1580361</v>
      </c>
      <c r="F345" s="17" t="n">
        <v>1516989.75</v>
      </c>
      <c r="G345" s="17" t="n">
        <v>1300135</v>
      </c>
      <c r="H345" s="17" t="n">
        <v>128888</v>
      </c>
      <c r="I345" s="17" t="n">
        <v>8.15560495355175</v>
      </c>
      <c r="J345" s="17" t="n">
        <v>1284182</v>
      </c>
      <c r="K345" s="17" t="n">
        <v>1240814.25</v>
      </c>
      <c r="L345" s="17" t="n">
        <v>1272232</v>
      </c>
      <c r="M345" s="17" t="n">
        <v>1091898</v>
      </c>
      <c r="N345" s="17" t="n">
        <v>120460</v>
      </c>
      <c r="O345" s="17" t="n">
        <v>2396</v>
      </c>
      <c r="P345" s="17" t="n">
        <v>2621</v>
      </c>
      <c r="Q345" s="17" t="n">
        <v>4485</v>
      </c>
      <c r="R345" s="17" t="n">
        <v>0</v>
      </c>
      <c r="S345" s="17" t="n">
        <v>4179</v>
      </c>
      <c r="T345" s="17" t="n">
        <v>5571.8607</v>
      </c>
      <c r="U345" s="17" t="n">
        <v>0.449048735537974</v>
      </c>
      <c r="V345" s="17" t="n">
        <v>159945</v>
      </c>
      <c r="W345" s="17" t="n">
        <v>1269002</v>
      </c>
      <c r="X345" s="17" t="n">
        <v>12.6039990480709</v>
      </c>
      <c r="Y345" s="17" t="n">
        <v>8970.4424</v>
      </c>
      <c r="Z345" s="17" t="n">
        <v>0.591331773995177</v>
      </c>
      <c r="AA345" s="17" t="n">
        <v>6.99</v>
      </c>
      <c r="AB345" s="17" t="n">
        <v>3.12643695959044</v>
      </c>
      <c r="AC345" s="17" t="n">
        <v>0.930553457375979</v>
      </c>
      <c r="AD345" s="17" t="n">
        <v>0.08</v>
      </c>
      <c r="AE345" s="17" t="n">
        <v>1</v>
      </c>
      <c r="AF345" s="17" t="s">
        <v>241</v>
      </c>
      <c r="AG345" s="17" t="s">
        <v>232</v>
      </c>
      <c r="AH345" s="17" t="n">
        <v>0</v>
      </c>
    </row>
    <row r="346" customFormat="false" ht="15" hidden="false" customHeight="false" outlineLevel="0" collapsed="false">
      <c r="A346" s="17" t="n">
        <v>17897</v>
      </c>
      <c r="B346" s="23" t="n">
        <v>45199</v>
      </c>
      <c r="C346" s="17" t="s">
        <v>149</v>
      </c>
      <c r="D346" s="17" t="s">
        <v>108</v>
      </c>
      <c r="E346" s="17" t="n">
        <v>1672541</v>
      </c>
      <c r="F346" s="17" t="n">
        <v>1662037</v>
      </c>
      <c r="G346" s="17" t="n">
        <v>1315387</v>
      </c>
      <c r="H346" s="17" t="n">
        <v>196829</v>
      </c>
      <c r="I346" s="17" t="n">
        <v>11.7682615852168</v>
      </c>
      <c r="J346" s="17" t="n">
        <v>1427049</v>
      </c>
      <c r="K346" s="17" t="n">
        <v>1406891.5</v>
      </c>
      <c r="L346" s="17" t="n">
        <v>1418266</v>
      </c>
      <c r="M346" s="17" t="n">
        <v>1342461</v>
      </c>
      <c r="N346" s="17" t="n">
        <v>71428</v>
      </c>
      <c r="O346" s="17" t="n">
        <v>4426</v>
      </c>
      <c r="P346" s="17" t="n">
        <v>2834</v>
      </c>
      <c r="Q346" s="17" t="n">
        <v>2130</v>
      </c>
      <c r="R346" s="17" t="n">
        <v>0</v>
      </c>
      <c r="S346" s="17" t="n">
        <v>-116</v>
      </c>
      <c r="T346" s="17" t="n">
        <v>-154.6628</v>
      </c>
      <c r="U346" s="17" t="n">
        <v>-0.0109932286889216</v>
      </c>
      <c r="V346" s="17" t="n">
        <v>218886</v>
      </c>
      <c r="W346" s="17" t="n">
        <v>1359389</v>
      </c>
      <c r="X346" s="17" t="n">
        <v>16.1017927907317</v>
      </c>
      <c r="Y346" s="17" t="n">
        <v>6329.1751</v>
      </c>
      <c r="Z346" s="17" t="n">
        <v>0.380808315338347</v>
      </c>
      <c r="AA346" s="17" t="n">
        <v>3.18</v>
      </c>
      <c r="AB346" s="17" t="n">
        <v>2.57492746103926</v>
      </c>
      <c r="AC346" s="17" t="n">
        <v>0.615465902011774</v>
      </c>
      <c r="AD346" s="17" t="n">
        <v>-0.03</v>
      </c>
      <c r="AE346" s="17" t="n">
        <v>1</v>
      </c>
      <c r="AF346" s="17" t="s">
        <v>241</v>
      </c>
      <c r="AG346" s="17" t="s">
        <v>232</v>
      </c>
      <c r="AH346" s="17" t="n">
        <v>0</v>
      </c>
    </row>
    <row r="347" customFormat="false" ht="15" hidden="false" customHeight="false" outlineLevel="0" collapsed="false">
      <c r="A347" s="17" t="n">
        <v>17951</v>
      </c>
      <c r="B347" s="23" t="n">
        <v>45199</v>
      </c>
      <c r="C347" s="17" t="s">
        <v>136</v>
      </c>
      <c r="D347" s="17" t="s">
        <v>116</v>
      </c>
      <c r="E347" s="17" t="n">
        <v>774390</v>
      </c>
      <c r="F347" s="17" t="n">
        <v>768900.25</v>
      </c>
      <c r="G347" s="17" t="n">
        <v>686785</v>
      </c>
      <c r="H347" s="17" t="n">
        <v>56538</v>
      </c>
      <c r="I347" s="17" t="n">
        <v>7.30097237825902</v>
      </c>
      <c r="J347" s="17" t="n">
        <v>564607</v>
      </c>
      <c r="K347" s="17" t="n">
        <v>546793.75</v>
      </c>
      <c r="L347" s="17" t="n">
        <v>559397</v>
      </c>
      <c r="M347" s="17" t="n">
        <v>525776</v>
      </c>
      <c r="N347" s="17" t="n">
        <v>24630</v>
      </c>
      <c r="O347" s="17" t="n">
        <v>1937</v>
      </c>
      <c r="P347" s="17" t="n">
        <v>179</v>
      </c>
      <c r="Q347" s="17" t="n">
        <v>137</v>
      </c>
      <c r="R347" s="17" t="n">
        <v>0</v>
      </c>
      <c r="S347" s="17" t="n">
        <v>-193</v>
      </c>
      <c r="T347" s="17" t="n">
        <v>-257.3269</v>
      </c>
      <c r="U347" s="17" t="n">
        <v>-0.0470610536422554</v>
      </c>
      <c r="V347" s="17" t="n">
        <v>79487</v>
      </c>
      <c r="W347" s="17" t="n">
        <v>543094</v>
      </c>
      <c r="X347" s="17" t="n">
        <v>14.6359562064762</v>
      </c>
      <c r="Y347" s="17" t="n">
        <v>4574.5523</v>
      </c>
      <c r="Z347" s="17" t="n">
        <v>0.594947433038291</v>
      </c>
      <c r="AA347" s="17" t="n">
        <v>8.1</v>
      </c>
      <c r="AB347" s="17" t="n">
        <v>2.73481206488146</v>
      </c>
      <c r="AC347" s="17" t="n">
        <v>0.922765746793788</v>
      </c>
      <c r="AD347" s="17" t="n">
        <v>0.12</v>
      </c>
      <c r="AE347" s="17" t="n">
        <v>1</v>
      </c>
      <c r="AF347" s="17" t="s">
        <v>241</v>
      </c>
      <c r="AG347" s="17" t="s">
        <v>232</v>
      </c>
      <c r="AH347" s="17" t="n">
        <v>0</v>
      </c>
    </row>
    <row r="348" customFormat="false" ht="15" hidden="false" customHeight="false" outlineLevel="0" collapsed="false">
      <c r="A348" s="17" t="n">
        <v>17960</v>
      </c>
      <c r="B348" s="23" t="n">
        <v>45199</v>
      </c>
      <c r="C348" s="17" t="s">
        <v>115</v>
      </c>
      <c r="D348" s="17" t="s">
        <v>116</v>
      </c>
      <c r="E348" s="17" t="n">
        <v>1360683</v>
      </c>
      <c r="F348" s="17" t="n">
        <v>1341597.25</v>
      </c>
      <c r="G348" s="17" t="n">
        <v>1035461</v>
      </c>
      <c r="H348" s="17" t="n">
        <v>105758</v>
      </c>
      <c r="I348" s="17" t="n">
        <v>7.77242017428012</v>
      </c>
      <c r="J348" s="17" t="n">
        <v>1168694</v>
      </c>
      <c r="K348" s="17" t="n">
        <v>1147584.5</v>
      </c>
      <c r="L348" s="17" t="n">
        <v>1157276</v>
      </c>
      <c r="M348" s="17" t="n">
        <v>830148</v>
      </c>
      <c r="N348" s="17" t="n">
        <v>111087</v>
      </c>
      <c r="O348" s="17" t="n">
        <v>223391</v>
      </c>
      <c r="P348" s="17" t="n">
        <v>8539</v>
      </c>
      <c r="Q348" s="17" t="n">
        <v>1539</v>
      </c>
      <c r="R348" s="17" t="n">
        <v>0</v>
      </c>
      <c r="S348" s="17" t="n">
        <v>132</v>
      </c>
      <c r="T348" s="17" t="n">
        <v>175.9956</v>
      </c>
      <c r="U348" s="17" t="n">
        <v>0.0153361778587982</v>
      </c>
      <c r="V348" s="17" t="n">
        <v>136445</v>
      </c>
      <c r="W348" s="17" t="n">
        <v>1061471</v>
      </c>
      <c r="X348" s="17" t="n">
        <v>12.8543313948285</v>
      </c>
      <c r="Y348" s="17" t="n">
        <v>5567.8608</v>
      </c>
      <c r="Z348" s="17" t="n">
        <v>0.41501730865951</v>
      </c>
      <c r="AA348" s="17" t="n">
        <v>5.22</v>
      </c>
      <c r="AB348" s="17" t="n">
        <v>2.80908470351212</v>
      </c>
      <c r="AC348" s="17" t="n">
        <v>0.976987988301472</v>
      </c>
      <c r="AD348" s="17" t="n">
        <v>0.06</v>
      </c>
      <c r="AE348" s="17" t="n">
        <v>1</v>
      </c>
      <c r="AF348" s="17" t="s">
        <v>241</v>
      </c>
      <c r="AG348" s="17" t="s">
        <v>232</v>
      </c>
      <c r="AH348" s="17" t="n">
        <v>0</v>
      </c>
    </row>
    <row r="349" customFormat="false" ht="15" hidden="false" customHeight="false" outlineLevel="0" collapsed="false">
      <c r="A349" s="17" t="n">
        <v>18012</v>
      </c>
      <c r="B349" s="23" t="n">
        <v>45199</v>
      </c>
      <c r="C349" s="17" t="s">
        <v>148</v>
      </c>
      <c r="D349" s="17" t="s">
        <v>116</v>
      </c>
      <c r="E349" s="17" t="n">
        <v>2450354</v>
      </c>
      <c r="F349" s="17" t="n">
        <v>2442732</v>
      </c>
      <c r="G349" s="17" t="n">
        <v>2087557</v>
      </c>
      <c r="H349" s="17" t="n">
        <v>251689</v>
      </c>
      <c r="I349" s="17" t="n">
        <v>10.271536275983</v>
      </c>
      <c r="J349" s="17" t="n">
        <v>1996300</v>
      </c>
      <c r="K349" s="17" t="n">
        <v>1985129.5</v>
      </c>
      <c r="L349" s="17" t="n">
        <v>1971438</v>
      </c>
      <c r="M349" s="17" t="n">
        <v>1885157</v>
      </c>
      <c r="N349" s="17" t="n">
        <v>48455</v>
      </c>
      <c r="O349" s="17" t="n">
        <v>33439</v>
      </c>
      <c r="P349" s="17" t="n">
        <v>742</v>
      </c>
      <c r="Q349" s="17" t="n">
        <v>2224</v>
      </c>
      <c r="R349" s="17" t="n">
        <v>0</v>
      </c>
      <c r="S349" s="17" t="n">
        <v>134</v>
      </c>
      <c r="T349" s="17" t="n">
        <v>178.6622</v>
      </c>
      <c r="U349" s="17" t="n">
        <v>0.00900002745412831</v>
      </c>
      <c r="V349" s="17" t="n">
        <v>296020</v>
      </c>
      <c r="W349" s="17" t="n">
        <v>2145644</v>
      </c>
      <c r="X349" s="17" t="n">
        <v>13.7963240873137</v>
      </c>
      <c r="Y349" s="17" t="n">
        <v>21278.1347</v>
      </c>
      <c r="Z349" s="17" t="n">
        <v>0.871079377516649</v>
      </c>
      <c r="AA349" s="17" t="n">
        <v>8.59</v>
      </c>
      <c r="AB349" s="17" t="n">
        <v>3.04374113069113</v>
      </c>
      <c r="AC349" s="17" t="n">
        <v>1.24540399739518</v>
      </c>
      <c r="AD349" s="17" t="n">
        <v>0.01</v>
      </c>
      <c r="AE349" s="17" t="n">
        <v>1</v>
      </c>
      <c r="AF349" s="17" t="s">
        <v>314</v>
      </c>
      <c r="AG349" s="17" t="s">
        <v>232</v>
      </c>
      <c r="AH349" s="17" t="n">
        <v>0</v>
      </c>
    </row>
    <row r="350" customFormat="false" ht="15" hidden="false" customHeight="false" outlineLevel="0" collapsed="false">
      <c r="A350" s="17" t="n">
        <v>18013</v>
      </c>
      <c r="B350" s="23" t="n">
        <v>45199</v>
      </c>
      <c r="C350" s="17" t="s">
        <v>131</v>
      </c>
      <c r="D350" s="17" t="s">
        <v>116</v>
      </c>
      <c r="E350" s="17" t="n">
        <v>2857828</v>
      </c>
      <c r="F350" s="17" t="n">
        <v>2790095.5</v>
      </c>
      <c r="G350" s="17" t="n">
        <v>2426366</v>
      </c>
      <c r="H350" s="17" t="n">
        <v>208913</v>
      </c>
      <c r="I350" s="17" t="n">
        <v>7.31020201355715</v>
      </c>
      <c r="J350" s="17" t="n">
        <v>2341074</v>
      </c>
      <c r="K350" s="17" t="n">
        <v>2243929.25</v>
      </c>
      <c r="L350" s="17" t="n">
        <v>2324826</v>
      </c>
      <c r="M350" s="17" t="n">
        <v>2134736</v>
      </c>
      <c r="N350" s="17" t="n">
        <v>111358</v>
      </c>
      <c r="O350" s="17" t="n">
        <v>26647</v>
      </c>
      <c r="P350" s="17" t="n">
        <v>1061</v>
      </c>
      <c r="Q350" s="17" t="n">
        <v>4243</v>
      </c>
      <c r="R350" s="17" t="n">
        <v>17</v>
      </c>
      <c r="S350" s="17" t="n">
        <v>129</v>
      </c>
      <c r="T350" s="17" t="n">
        <v>171.9957</v>
      </c>
      <c r="U350" s="17" t="n">
        <v>0.00766493417740332</v>
      </c>
      <c r="V350" s="17" t="n">
        <v>266161</v>
      </c>
      <c r="W350" s="17" t="n">
        <v>2092721</v>
      </c>
      <c r="X350" s="17" t="n">
        <v>12.718417791956</v>
      </c>
      <c r="Y350" s="17" t="n">
        <v>12711.6822</v>
      </c>
      <c r="Z350" s="17" t="n">
        <v>0.455600254543259</v>
      </c>
      <c r="AA350" s="17" t="n">
        <v>6.1</v>
      </c>
      <c r="AB350" s="17" t="n">
        <v>2.78616306186857</v>
      </c>
      <c r="AC350" s="17" t="n">
        <v>0.694040427598615</v>
      </c>
      <c r="AD350" s="17" t="n">
        <v>0.01</v>
      </c>
      <c r="AE350" s="17" t="n">
        <v>1</v>
      </c>
      <c r="AF350" s="17" t="s">
        <v>314</v>
      </c>
      <c r="AG350" s="17" t="s">
        <v>232</v>
      </c>
      <c r="AH350" s="17" t="n">
        <v>0</v>
      </c>
    </row>
    <row r="351" customFormat="false" ht="15" hidden="false" customHeight="false" outlineLevel="0" collapsed="false">
      <c r="A351" s="17" t="n">
        <v>18028</v>
      </c>
      <c r="B351" s="23" t="n">
        <v>45199</v>
      </c>
      <c r="C351" s="17" t="s">
        <v>130</v>
      </c>
      <c r="D351" s="17" t="s">
        <v>116</v>
      </c>
      <c r="E351" s="17" t="n">
        <v>381526</v>
      </c>
      <c r="F351" s="17" t="n">
        <v>383237</v>
      </c>
      <c r="G351" s="17" t="n">
        <v>312777</v>
      </c>
      <c r="H351" s="17" t="n">
        <v>35629</v>
      </c>
      <c r="I351" s="17" t="n">
        <v>9.33855097686658</v>
      </c>
      <c r="J351" s="17" t="n">
        <v>261805</v>
      </c>
      <c r="K351" s="17" t="n">
        <v>256286.25</v>
      </c>
      <c r="L351" s="17" t="n">
        <v>259438</v>
      </c>
      <c r="M351" s="17" t="n">
        <v>235366</v>
      </c>
      <c r="N351" s="17" t="n">
        <v>14223</v>
      </c>
      <c r="O351" s="17" t="n">
        <v>6237</v>
      </c>
      <c r="P351" s="17" t="n">
        <v>831</v>
      </c>
      <c r="Q351" s="17" t="n">
        <v>925</v>
      </c>
      <c r="R351" s="17" t="n">
        <v>233</v>
      </c>
      <c r="S351" s="17" t="n">
        <v>324</v>
      </c>
      <c r="T351" s="17" t="n">
        <v>431.9892</v>
      </c>
      <c r="U351" s="17" t="n">
        <v>0.168557306527369</v>
      </c>
      <c r="V351" s="17" t="n">
        <v>0</v>
      </c>
      <c r="W351" s="17" t="n">
        <v>0</v>
      </c>
      <c r="X351" s="17" t="n">
        <v>0</v>
      </c>
      <c r="Y351" s="17" t="n">
        <v>2209.2781</v>
      </c>
      <c r="Z351" s="17" t="n">
        <v>0.57647828889173</v>
      </c>
      <c r="AA351" s="17" t="n">
        <v>6</v>
      </c>
      <c r="AB351" s="17" t="n">
        <v>3.46173527125438</v>
      </c>
      <c r="AC351" s="17" t="n">
        <v>0.904108019327362</v>
      </c>
      <c r="AD351" s="17" t="n">
        <v>0.09</v>
      </c>
      <c r="AE351" s="17" t="n">
        <v>1</v>
      </c>
      <c r="AF351" s="17" t="s">
        <v>241</v>
      </c>
      <c r="AG351" s="17" t="s">
        <v>232</v>
      </c>
      <c r="AH351" s="17" t="n">
        <v>0</v>
      </c>
    </row>
    <row r="352" customFormat="false" ht="15" hidden="false" customHeight="false" outlineLevel="0" collapsed="false">
      <c r="A352" s="17" t="n">
        <v>18030</v>
      </c>
      <c r="B352" s="23" t="n">
        <v>45199</v>
      </c>
      <c r="C352" s="17" t="s">
        <v>157</v>
      </c>
      <c r="D352" s="17" t="s">
        <v>116</v>
      </c>
      <c r="E352" s="17" t="n">
        <v>734470</v>
      </c>
      <c r="F352" s="17" t="n">
        <v>719469.75</v>
      </c>
      <c r="G352" s="17" t="n">
        <v>660381</v>
      </c>
      <c r="H352" s="17" t="n">
        <v>43119</v>
      </c>
      <c r="I352" s="17" t="n">
        <v>5.87076395223767</v>
      </c>
      <c r="J352" s="17" t="n">
        <v>591923</v>
      </c>
      <c r="K352" s="17" t="n">
        <v>572196</v>
      </c>
      <c r="L352" s="17" t="n">
        <v>585877</v>
      </c>
      <c r="M352" s="17" t="n">
        <v>453550</v>
      </c>
      <c r="N352" s="17" t="n">
        <v>41868</v>
      </c>
      <c r="O352" s="17" t="n">
        <v>96224</v>
      </c>
      <c r="P352" s="17" t="n">
        <v>457</v>
      </c>
      <c r="Q352" s="17" t="n">
        <v>226</v>
      </c>
      <c r="R352" s="17" t="n">
        <v>134</v>
      </c>
      <c r="S352" s="17" t="n">
        <v>10</v>
      </c>
      <c r="T352" s="17" t="n">
        <v>13.333</v>
      </c>
      <c r="U352" s="17" t="n">
        <v>0.00233014561443981</v>
      </c>
      <c r="V352" s="17" t="n">
        <v>65402</v>
      </c>
      <c r="W352" s="17" t="n">
        <v>518470</v>
      </c>
      <c r="X352" s="17" t="n">
        <v>12.6144232067429</v>
      </c>
      <c r="Y352" s="17" t="n">
        <v>4067.8983</v>
      </c>
      <c r="Z352" s="17" t="n">
        <v>0.565402270213584</v>
      </c>
      <c r="AA352" s="17" t="n">
        <v>9.32</v>
      </c>
      <c r="AB352" s="17" t="n">
        <v>3.47560193665529</v>
      </c>
      <c r="AC352" s="17" t="n">
        <v>1.02141663696123</v>
      </c>
      <c r="AD352" s="17" t="n">
        <v>0.13</v>
      </c>
      <c r="AE352" s="17" t="n">
        <v>1</v>
      </c>
      <c r="AF352" s="17" t="s">
        <v>241</v>
      </c>
      <c r="AG352" s="17" t="s">
        <v>232</v>
      </c>
      <c r="AH352" s="17" t="n">
        <v>0</v>
      </c>
    </row>
    <row r="353" customFormat="false" ht="15" hidden="false" customHeight="false" outlineLevel="0" collapsed="false">
      <c r="A353" s="17" t="n">
        <v>18031</v>
      </c>
      <c r="B353" s="23" t="n">
        <v>45199</v>
      </c>
      <c r="C353" s="17" t="s">
        <v>152</v>
      </c>
      <c r="D353" s="17" t="s">
        <v>116</v>
      </c>
      <c r="E353" s="17" t="n">
        <v>671966</v>
      </c>
      <c r="F353" s="17" t="n">
        <v>665208.5</v>
      </c>
      <c r="G353" s="17" t="n">
        <v>568415</v>
      </c>
      <c r="H353" s="17" t="n">
        <v>31180</v>
      </c>
      <c r="I353" s="17" t="n">
        <v>4.6401157201406</v>
      </c>
      <c r="J353" s="17" t="n">
        <v>480849</v>
      </c>
      <c r="K353" s="17" t="n">
        <v>472950.5</v>
      </c>
      <c r="L353" s="17" t="n">
        <v>476843</v>
      </c>
      <c r="M353" s="17" t="n">
        <v>434791</v>
      </c>
      <c r="N353" s="17" t="n">
        <v>26820</v>
      </c>
      <c r="O353" s="17" t="n">
        <v>11759</v>
      </c>
      <c r="P353" s="17" t="n">
        <v>790</v>
      </c>
      <c r="Q353" s="17" t="n">
        <v>1516</v>
      </c>
      <c r="R353" s="17" t="n">
        <v>0</v>
      </c>
      <c r="S353" s="17" t="n">
        <v>7</v>
      </c>
      <c r="T353" s="17" t="n">
        <v>9.3331</v>
      </c>
      <c r="U353" s="17" t="n">
        <v>0.00197337776363488</v>
      </c>
      <c r="V353" s="17" t="n">
        <v>61285</v>
      </c>
      <c r="W353" s="17" t="n">
        <v>379793</v>
      </c>
      <c r="X353" s="17" t="n">
        <v>16.1364216823375</v>
      </c>
      <c r="Y353" s="17" t="n">
        <v>1918.6187</v>
      </c>
      <c r="Z353" s="17" t="n">
        <v>0.288423659649569</v>
      </c>
      <c r="AA353" s="17" t="n">
        <v>5.47</v>
      </c>
      <c r="AB353" s="17" t="n">
        <v>2.73992860785314</v>
      </c>
      <c r="AC353" s="17" t="n">
        <v>0.833109770426891</v>
      </c>
      <c r="AD353" s="17" t="n">
        <v>-0.01</v>
      </c>
      <c r="AE353" s="17" t="n">
        <v>0</v>
      </c>
      <c r="AF353" s="17" t="s">
        <v>241</v>
      </c>
      <c r="AG353" s="17" t="s">
        <v>232</v>
      </c>
      <c r="AH353" s="17" t="n">
        <v>0</v>
      </c>
    </row>
    <row r="354" customFormat="false" ht="15" hidden="false" customHeight="false" outlineLevel="0" collapsed="false">
      <c r="A354" s="17" t="n">
        <v>18038</v>
      </c>
      <c r="B354" s="23" t="n">
        <v>45199</v>
      </c>
      <c r="C354" s="17" t="s">
        <v>128</v>
      </c>
      <c r="D354" s="17" t="s">
        <v>116</v>
      </c>
      <c r="E354" s="17" t="n">
        <v>555533</v>
      </c>
      <c r="F354" s="17" t="n">
        <v>546006.25</v>
      </c>
      <c r="G354" s="17" t="n">
        <v>444746</v>
      </c>
      <c r="H354" s="17" t="n">
        <v>62652</v>
      </c>
      <c r="I354" s="17" t="n">
        <v>11.2778178794059</v>
      </c>
      <c r="J354" s="17" t="n">
        <v>415810</v>
      </c>
      <c r="K354" s="17" t="n">
        <v>414810.5</v>
      </c>
      <c r="L354" s="17" t="n">
        <v>411642</v>
      </c>
      <c r="M354" s="17" t="n">
        <v>395105</v>
      </c>
      <c r="N354" s="17" t="n">
        <v>16653</v>
      </c>
      <c r="O354" s="17" t="n">
        <v>3686</v>
      </c>
      <c r="P354" s="17" t="n">
        <v>2136</v>
      </c>
      <c r="Q354" s="17" t="n">
        <v>1391</v>
      </c>
      <c r="R354" s="17" t="n">
        <v>10</v>
      </c>
      <c r="S354" s="17" t="n">
        <v>-19</v>
      </c>
      <c r="T354" s="17" t="n">
        <v>-25.3327</v>
      </c>
      <c r="U354" s="17" t="n">
        <v>-0.00610705370283539</v>
      </c>
      <c r="V354" s="17" t="n">
        <v>0</v>
      </c>
      <c r="W354" s="17" t="n">
        <v>0</v>
      </c>
      <c r="X354" s="17" t="n">
        <v>0</v>
      </c>
      <c r="Y354" s="17" t="n">
        <v>-95.9976</v>
      </c>
      <c r="Z354" s="17" t="n">
        <v>-0.0175817767653759</v>
      </c>
      <c r="AA354" s="17" t="n">
        <v>-0.15</v>
      </c>
      <c r="AB354" s="17" t="n">
        <v>2.50931095109534</v>
      </c>
      <c r="AC354" s="17" t="n">
        <v>1.00238089512037</v>
      </c>
      <c r="AD354" s="17" t="n">
        <v>0.04</v>
      </c>
      <c r="AE354" s="17" t="n">
        <v>1</v>
      </c>
      <c r="AF354" s="17" t="s">
        <v>241</v>
      </c>
      <c r="AG354" s="17" t="s">
        <v>232</v>
      </c>
      <c r="AH354" s="17" t="n">
        <v>1</v>
      </c>
    </row>
    <row r="355" customFormat="false" ht="15" hidden="false" customHeight="false" outlineLevel="0" collapsed="false">
      <c r="A355" s="17" t="n">
        <v>18408</v>
      </c>
      <c r="B355" s="23" t="n">
        <v>45199</v>
      </c>
      <c r="C355" s="17" t="s">
        <v>107</v>
      </c>
      <c r="D355" s="17" t="s">
        <v>108</v>
      </c>
      <c r="E355" s="17" t="n">
        <v>7253561</v>
      </c>
      <c r="F355" s="17" t="n">
        <v>7374675.5</v>
      </c>
      <c r="G355" s="17" t="n">
        <v>5526161</v>
      </c>
      <c r="H355" s="17" t="n">
        <v>339914</v>
      </c>
      <c r="I355" s="17" t="n">
        <v>4.6861672494379</v>
      </c>
      <c r="J355" s="17" t="n">
        <v>4807986</v>
      </c>
      <c r="K355" s="17" t="n">
        <v>4747478.75</v>
      </c>
      <c r="L355" s="17" t="n">
        <v>4774908</v>
      </c>
      <c r="M355" s="17" t="n">
        <v>4382847</v>
      </c>
      <c r="N355" s="17" t="n">
        <v>321633</v>
      </c>
      <c r="O355" s="17" t="n">
        <v>33238</v>
      </c>
      <c r="P355" s="17" t="n">
        <v>3957</v>
      </c>
      <c r="Q355" s="17" t="n">
        <v>2852</v>
      </c>
      <c r="R355" s="17" t="n">
        <v>0</v>
      </c>
      <c r="S355" s="17" t="n">
        <v>1597</v>
      </c>
      <c r="T355" s="17" t="n">
        <v>2129.2801</v>
      </c>
      <c r="U355" s="17" t="n">
        <v>0.0448507557827405</v>
      </c>
      <c r="V355" s="17" t="n">
        <v>573555</v>
      </c>
      <c r="W355" s="17" t="n">
        <v>4916980</v>
      </c>
      <c r="X355" s="17" t="n">
        <v>11.6647820410089</v>
      </c>
      <c r="Y355" s="17" t="n">
        <v>14215.6446</v>
      </c>
      <c r="Z355" s="17" t="n">
        <v>0.192762984622171</v>
      </c>
      <c r="AA355" s="17" t="n">
        <v>3.96</v>
      </c>
      <c r="AB355" s="17" t="n">
        <v>2.10961267600752</v>
      </c>
      <c r="AC355" s="17" t="n">
        <v>0.687980372654995</v>
      </c>
      <c r="AD355" s="17" t="n">
        <v>-0.06</v>
      </c>
      <c r="AE355" s="17" t="n">
        <v>1</v>
      </c>
      <c r="AF355" s="17" t="s">
        <v>241</v>
      </c>
      <c r="AG355" s="17" t="s">
        <v>232</v>
      </c>
      <c r="AH355" s="17" t="n">
        <v>0</v>
      </c>
    </row>
    <row r="356" customFormat="false" ht="15" hidden="false" customHeight="false" outlineLevel="0" collapsed="false">
      <c r="A356" s="17" t="n">
        <v>19531</v>
      </c>
      <c r="B356" s="23" t="n">
        <v>45199</v>
      </c>
      <c r="C356" s="17" t="s">
        <v>146</v>
      </c>
      <c r="D356" s="17" t="s">
        <v>108</v>
      </c>
      <c r="E356" s="17" t="n">
        <v>2461701</v>
      </c>
      <c r="F356" s="17" t="n">
        <v>2402487</v>
      </c>
      <c r="G356" s="17" t="n">
        <v>2036756</v>
      </c>
      <c r="H356" s="17" t="n">
        <v>225877</v>
      </c>
      <c r="I356" s="17" t="n">
        <v>9.17564724554282</v>
      </c>
      <c r="J356" s="17" t="n">
        <v>1986315</v>
      </c>
      <c r="K356" s="17" t="n">
        <v>1933336</v>
      </c>
      <c r="L356" s="17" t="n">
        <v>1963619</v>
      </c>
      <c r="M356" s="17" t="n">
        <v>1627608</v>
      </c>
      <c r="N356" s="17" t="n">
        <v>237278</v>
      </c>
      <c r="O356" s="17" t="n">
        <v>14701</v>
      </c>
      <c r="P356" s="17" t="n">
        <v>9780</v>
      </c>
      <c r="Q356" s="17" t="n">
        <v>4674</v>
      </c>
      <c r="R356" s="17" t="n">
        <v>0</v>
      </c>
      <c r="S356" s="17" t="n">
        <v>1145</v>
      </c>
      <c r="T356" s="17" t="n">
        <v>1526.6285</v>
      </c>
      <c r="U356" s="17" t="n">
        <v>0.0789634341883666</v>
      </c>
      <c r="V356" s="17" t="n">
        <v>294912</v>
      </c>
      <c r="W356" s="17" t="n">
        <v>2063567</v>
      </c>
      <c r="X356" s="17" t="n">
        <v>14.2913702341625</v>
      </c>
      <c r="Y356" s="17" t="n">
        <v>10762.3976</v>
      </c>
      <c r="Z356" s="17" t="n">
        <v>0.447969025430731</v>
      </c>
      <c r="AA356" s="17" t="n">
        <v>4.7</v>
      </c>
      <c r="AB356" s="17" t="n">
        <v>2.71472125457892</v>
      </c>
      <c r="AC356" s="17" t="n">
        <v>1.14261836617052</v>
      </c>
      <c r="AD356" s="17" t="n">
        <v>0</v>
      </c>
      <c r="AE356" s="17" t="n">
        <v>1</v>
      </c>
      <c r="AF356" s="17" t="s">
        <v>241</v>
      </c>
      <c r="AG356" s="17" t="s">
        <v>232</v>
      </c>
      <c r="AH356" s="17" t="n">
        <v>0</v>
      </c>
    </row>
    <row r="357" customFormat="false" ht="15" hidden="false" customHeight="false" outlineLevel="0" collapsed="false">
      <c r="A357" s="17" t="n">
        <v>19532</v>
      </c>
      <c r="B357" s="23" t="n">
        <v>45199</v>
      </c>
      <c r="C357" s="17" t="s">
        <v>164</v>
      </c>
      <c r="D357" s="17" t="s">
        <v>108</v>
      </c>
      <c r="E357" s="17" t="n">
        <v>816575</v>
      </c>
      <c r="F357" s="17" t="n">
        <v>791303.5</v>
      </c>
      <c r="G357" s="17" t="n">
        <v>712795</v>
      </c>
      <c r="H357" s="17" t="n">
        <v>89758</v>
      </c>
      <c r="I357" s="17" t="n">
        <v>10.9920093071671</v>
      </c>
      <c r="J357" s="17" t="n">
        <v>583009</v>
      </c>
      <c r="K357" s="17" t="n">
        <v>562518</v>
      </c>
      <c r="L357" s="17" t="n">
        <v>577235</v>
      </c>
      <c r="M357" s="17" t="n">
        <v>480800</v>
      </c>
      <c r="N357" s="17" t="n">
        <v>40005</v>
      </c>
      <c r="O357" s="17" t="n">
        <v>51182</v>
      </c>
      <c r="P357" s="17" t="n">
        <v>1137</v>
      </c>
      <c r="Q357" s="17" t="n">
        <v>847</v>
      </c>
      <c r="R357" s="17" t="n">
        <v>0</v>
      </c>
      <c r="S357" s="17" t="n">
        <v>83</v>
      </c>
      <c r="T357" s="17" t="n">
        <v>110.6639</v>
      </c>
      <c r="U357" s="17" t="n">
        <v>0.0196729526877362</v>
      </c>
      <c r="V357" s="17" t="n">
        <v>118648</v>
      </c>
      <c r="W357" s="17" t="n">
        <v>555310</v>
      </c>
      <c r="X357" s="17" t="n">
        <v>21.3660838090436</v>
      </c>
      <c r="Y357" s="17" t="n">
        <v>5445.1972</v>
      </c>
      <c r="Z357" s="17" t="n">
        <v>0.688130053765717</v>
      </c>
      <c r="AA357" s="17" t="n">
        <v>6.04</v>
      </c>
      <c r="AB357" s="17" t="n">
        <v>3.37267208819972</v>
      </c>
      <c r="AC357" s="17" t="n">
        <v>0.990379222276157</v>
      </c>
      <c r="AD357" s="17" t="n">
        <v>0.01</v>
      </c>
      <c r="AE357" s="17" t="n">
        <v>1</v>
      </c>
      <c r="AF357" s="17" t="s">
        <v>241</v>
      </c>
      <c r="AG357" s="17" t="s">
        <v>232</v>
      </c>
      <c r="AH357" s="17" t="n">
        <v>1</v>
      </c>
    </row>
    <row r="358" customFormat="false" ht="15" hidden="false" customHeight="false" outlineLevel="0" collapsed="false">
      <c r="A358" s="17" t="n">
        <v>19690</v>
      </c>
      <c r="B358" s="23" t="n">
        <v>45199</v>
      </c>
      <c r="C358" s="17" t="s">
        <v>158</v>
      </c>
      <c r="D358" s="17" t="s">
        <v>108</v>
      </c>
      <c r="E358" s="17" t="n">
        <v>2876461</v>
      </c>
      <c r="F358" s="17" t="n">
        <v>2855574</v>
      </c>
      <c r="G358" s="17" t="n">
        <v>1996495</v>
      </c>
      <c r="H358" s="17" t="n">
        <v>311569</v>
      </c>
      <c r="I358" s="17" t="n">
        <v>10.8316782323835</v>
      </c>
      <c r="J358" s="17" t="n">
        <v>2528210</v>
      </c>
      <c r="K358" s="17" t="n">
        <v>2515780.5</v>
      </c>
      <c r="L358" s="17" t="n">
        <v>2502907</v>
      </c>
      <c r="M358" s="17" t="n">
        <v>2043563</v>
      </c>
      <c r="N358" s="17" t="n">
        <v>42688</v>
      </c>
      <c r="O358" s="17" t="n">
        <v>421</v>
      </c>
      <c r="P358" s="17" t="n">
        <v>17448</v>
      </c>
      <c r="Q358" s="17" t="n">
        <v>10951</v>
      </c>
      <c r="R358" s="17" t="n">
        <v>0</v>
      </c>
      <c r="S358" s="17" t="n">
        <v>1773</v>
      </c>
      <c r="T358" s="17" t="n">
        <v>2363.9409</v>
      </c>
      <c r="U358" s="17" t="n">
        <v>0.0939645131997803</v>
      </c>
      <c r="V358" s="17" t="n">
        <v>337126</v>
      </c>
      <c r="W358" s="17" t="n">
        <v>2504468</v>
      </c>
      <c r="X358" s="17" t="n">
        <v>13.4609825320188</v>
      </c>
      <c r="Y358" s="17" t="n">
        <v>53033.3408</v>
      </c>
      <c r="Z358" s="17" t="n">
        <v>1.85718670922203</v>
      </c>
      <c r="AA358" s="17" t="n">
        <v>18.36</v>
      </c>
      <c r="AB358" s="17" t="n">
        <v>5.01279887177971</v>
      </c>
      <c r="AC358" s="17" t="n">
        <v>1.00082667183501</v>
      </c>
      <c r="AD358" s="17" t="n">
        <v>0.06</v>
      </c>
      <c r="AE358" s="17" t="n">
        <v>1</v>
      </c>
      <c r="AF358" s="17" t="s">
        <v>231</v>
      </c>
      <c r="AG358" s="17" t="s">
        <v>232</v>
      </c>
      <c r="AH358" s="17" t="n">
        <v>0</v>
      </c>
    </row>
    <row r="359" customFormat="false" ht="15" hidden="false" customHeight="false" outlineLevel="0" collapsed="false">
      <c r="A359" s="17" t="n">
        <v>19836</v>
      </c>
      <c r="B359" s="23" t="n">
        <v>45199</v>
      </c>
      <c r="C359" s="17" t="s">
        <v>136</v>
      </c>
      <c r="D359" s="17" t="s">
        <v>108</v>
      </c>
      <c r="E359" s="17" t="n">
        <v>636045</v>
      </c>
      <c r="F359" s="17" t="n">
        <v>606011.25</v>
      </c>
      <c r="G359" s="17" t="n">
        <v>487132</v>
      </c>
      <c r="H359" s="17" t="n">
        <v>119013</v>
      </c>
      <c r="I359" s="17" t="n">
        <v>18.7114119284013</v>
      </c>
      <c r="J359" s="17" t="n">
        <v>524765</v>
      </c>
      <c r="K359" s="17" t="n">
        <v>502932.75</v>
      </c>
      <c r="L359" s="17" t="n">
        <v>520452</v>
      </c>
      <c r="M359" s="17" t="n">
        <v>456725</v>
      </c>
      <c r="N359" s="17" t="n">
        <v>51639</v>
      </c>
      <c r="O359" s="17" t="n">
        <v>12237</v>
      </c>
      <c r="P359" s="17" t="n">
        <v>3230</v>
      </c>
      <c r="Q359" s="17" t="n">
        <v>2063</v>
      </c>
      <c r="R359" s="17" t="n">
        <v>72</v>
      </c>
      <c r="S359" s="17" t="n">
        <v>35</v>
      </c>
      <c r="T359" s="17" t="n">
        <v>46.6655</v>
      </c>
      <c r="U359" s="17" t="n">
        <v>0.00927867592635397</v>
      </c>
      <c r="V359" s="17" t="n">
        <v>133858</v>
      </c>
      <c r="W359" s="17" t="n">
        <v>505766</v>
      </c>
      <c r="X359" s="17" t="n">
        <v>26.4663895951883</v>
      </c>
      <c r="Y359" s="17" t="n">
        <v>5494.5293</v>
      </c>
      <c r="Z359" s="17" t="n">
        <v>0.906671171533532</v>
      </c>
      <c r="AA359" s="17" t="n">
        <v>4.64</v>
      </c>
      <c r="AB359" s="17" t="n">
        <v>4.05619318892258</v>
      </c>
      <c r="AC359" s="17" t="n">
        <v>0.821891703905558</v>
      </c>
      <c r="AD359" s="17" t="n">
        <v>0.01</v>
      </c>
      <c r="AE359" s="17" t="n">
        <v>1</v>
      </c>
      <c r="AF359" s="17" t="s">
        <v>314</v>
      </c>
      <c r="AG359" s="17" t="s">
        <v>232</v>
      </c>
      <c r="AH359" s="17" t="n">
        <v>0</v>
      </c>
    </row>
    <row r="360" customFormat="false" ht="15" hidden="false" customHeight="false" outlineLevel="0" collapsed="false">
      <c r="A360" s="17" t="n">
        <v>24540</v>
      </c>
      <c r="B360" s="23" t="n">
        <v>45199</v>
      </c>
      <c r="C360" s="17" t="s">
        <v>163</v>
      </c>
      <c r="D360" s="17" t="s">
        <v>116</v>
      </c>
      <c r="E360" s="17" t="n">
        <v>1388131</v>
      </c>
      <c r="F360" s="17" t="n">
        <v>1326922.5</v>
      </c>
      <c r="G360" s="17" t="n">
        <v>1118585</v>
      </c>
      <c r="H360" s="17" t="n">
        <v>238721</v>
      </c>
      <c r="I360" s="17" t="n">
        <v>17.1972962206017</v>
      </c>
      <c r="J360" s="17" t="n">
        <v>1197387</v>
      </c>
      <c r="K360" s="17" t="n">
        <v>1141229</v>
      </c>
      <c r="L360" s="17" t="n">
        <v>1186141</v>
      </c>
      <c r="M360" s="17" t="n">
        <v>1160736</v>
      </c>
      <c r="N360" s="17" t="n">
        <v>40839</v>
      </c>
      <c r="O360" s="17" t="n">
        <v>84</v>
      </c>
      <c r="P360" s="17" t="n">
        <v>445</v>
      </c>
      <c r="Q360" s="17" t="n">
        <v>0</v>
      </c>
      <c r="R360" s="17" t="n">
        <v>0</v>
      </c>
      <c r="S360" s="17" t="n">
        <v>0</v>
      </c>
      <c r="T360" s="17" t="n">
        <v>0</v>
      </c>
      <c r="U360" s="17" t="n">
        <v>0</v>
      </c>
      <c r="V360" s="17" t="n">
        <v>254010</v>
      </c>
      <c r="W360" s="17" t="n">
        <v>1352179</v>
      </c>
      <c r="X360" s="17" t="n">
        <v>18.7852347950974</v>
      </c>
      <c r="Y360" s="17" t="n">
        <v>31580.5438</v>
      </c>
      <c r="Z360" s="17" t="n">
        <v>2.37998404579016</v>
      </c>
      <c r="AA360" s="17" t="n">
        <v>13.9</v>
      </c>
      <c r="AB360" s="17" t="n">
        <v>4.95855725729659</v>
      </c>
      <c r="AC360" s="17" t="n">
        <v>0.939211800361955</v>
      </c>
      <c r="AD360" s="17" t="n">
        <v>0.29</v>
      </c>
      <c r="AE360" s="17" t="n">
        <v>1</v>
      </c>
      <c r="AF360" s="17" t="s">
        <v>231</v>
      </c>
      <c r="AG360" s="17" t="s">
        <v>232</v>
      </c>
      <c r="AH360" s="17" t="n">
        <v>0</v>
      </c>
    </row>
    <row r="361" customFormat="false" ht="15" hidden="false" customHeight="false" outlineLevel="0" collapsed="false">
      <c r="A361" s="17" t="n">
        <v>27824</v>
      </c>
      <c r="B361" s="23" t="n">
        <v>45199</v>
      </c>
      <c r="C361" s="17" t="s">
        <v>117</v>
      </c>
      <c r="D361" s="17" t="s">
        <v>116</v>
      </c>
      <c r="E361" s="17" t="n">
        <v>525416</v>
      </c>
      <c r="F361" s="17" t="n">
        <v>504922.75</v>
      </c>
      <c r="G361" s="17" t="n">
        <v>391764</v>
      </c>
      <c r="H361" s="17" t="n">
        <v>64487</v>
      </c>
      <c r="I361" s="17" t="n">
        <v>12.2735127974786</v>
      </c>
      <c r="J361" s="17" t="n">
        <v>442476</v>
      </c>
      <c r="K361" s="17" t="n">
        <v>420316.5</v>
      </c>
      <c r="L361" s="17" t="n">
        <v>439330</v>
      </c>
      <c r="M361" s="17" t="n">
        <v>376428</v>
      </c>
      <c r="N361" s="17" t="n">
        <v>21545</v>
      </c>
      <c r="O361" s="17" t="n">
        <v>44503</v>
      </c>
      <c r="P361" s="17" t="n">
        <v>1101</v>
      </c>
      <c r="Q361" s="17" t="n">
        <v>1118</v>
      </c>
      <c r="R361" s="17" t="n">
        <v>0</v>
      </c>
      <c r="S361" s="17" t="n">
        <v>82</v>
      </c>
      <c r="T361" s="17" t="n">
        <v>109.3306</v>
      </c>
      <c r="U361" s="17" t="n">
        <v>0.0260114937196137</v>
      </c>
      <c r="V361" s="17" t="n">
        <v>74359</v>
      </c>
      <c r="W361" s="17" t="n">
        <v>353929</v>
      </c>
      <c r="X361" s="17" t="n">
        <v>21.0095810176617</v>
      </c>
      <c r="Y361" s="17" t="n">
        <v>-1007.9748</v>
      </c>
      <c r="Z361" s="17" t="n">
        <v>-0.199629507682116</v>
      </c>
      <c r="AA361" s="17" t="n">
        <v>-1.53</v>
      </c>
      <c r="AB361" s="17" t="n">
        <v>1.9506679893547</v>
      </c>
      <c r="AC361" s="17" t="n">
        <v>0.710999014635822</v>
      </c>
      <c r="AD361" s="17" t="n">
        <v>-0.01</v>
      </c>
      <c r="AE361" s="17" t="n">
        <v>1</v>
      </c>
      <c r="AF361" s="17" t="s">
        <v>354</v>
      </c>
      <c r="AG361" s="17" t="s">
        <v>232</v>
      </c>
      <c r="AH361" s="17" t="n">
        <v>1</v>
      </c>
    </row>
    <row r="362" customFormat="false" ht="15" hidden="false" customHeight="false" outlineLevel="0" collapsed="false">
      <c r="A362" s="17" t="n">
        <v>28155</v>
      </c>
      <c r="B362" s="23" t="n">
        <v>45199</v>
      </c>
      <c r="C362" s="17" t="s">
        <v>150</v>
      </c>
      <c r="D362" s="17" t="s">
        <v>116</v>
      </c>
      <c r="E362" s="17" t="n">
        <v>298875</v>
      </c>
      <c r="F362" s="17" t="n">
        <v>298588.75</v>
      </c>
      <c r="G362" s="17" t="n">
        <v>265401</v>
      </c>
      <c r="H362" s="17" t="n">
        <v>27404</v>
      </c>
      <c r="I362" s="17" t="n">
        <v>9.16905060644082</v>
      </c>
      <c r="J362" s="17" t="n">
        <v>164361</v>
      </c>
      <c r="K362" s="17" t="n">
        <v>160605.25</v>
      </c>
      <c r="L362" s="17" t="n">
        <v>163552</v>
      </c>
      <c r="M362" s="17" t="n">
        <v>146698</v>
      </c>
      <c r="N362" s="17" t="n">
        <v>11483</v>
      </c>
      <c r="O362" s="17" t="n">
        <v>5666</v>
      </c>
      <c r="P362" s="17" t="n">
        <v>23</v>
      </c>
      <c r="Q362" s="17" t="n">
        <v>1393</v>
      </c>
      <c r="R362" s="17" t="n">
        <v>0</v>
      </c>
      <c r="S362" s="17" t="n">
        <v>5</v>
      </c>
      <c r="T362" s="17" t="n">
        <v>6.6665</v>
      </c>
      <c r="U362" s="17" t="n">
        <v>0.00415086057273968</v>
      </c>
      <c r="V362" s="17" t="n">
        <v>29139</v>
      </c>
      <c r="W362" s="17" t="n">
        <v>160246</v>
      </c>
      <c r="X362" s="17" t="n">
        <v>18.1839172272631</v>
      </c>
      <c r="Y362" s="17" t="n">
        <v>110.6639</v>
      </c>
      <c r="Z362" s="17" t="n">
        <v>0.0370623139686274</v>
      </c>
      <c r="AA362" s="17" t="n">
        <v>0.4</v>
      </c>
      <c r="AB362" s="17" t="n">
        <v>2.46018753591954</v>
      </c>
      <c r="AC362" s="17" t="n">
        <v>0.492209222382439</v>
      </c>
      <c r="AD362" s="17" t="n">
        <v>-0.04</v>
      </c>
      <c r="AE362" s="17" t="n">
        <v>1</v>
      </c>
      <c r="AF362" s="17" t="s">
        <v>314</v>
      </c>
      <c r="AG362" s="17" t="s">
        <v>232</v>
      </c>
      <c r="AH362" s="17" t="n">
        <v>0</v>
      </c>
    </row>
    <row r="363" customFormat="false" ht="15" hidden="false" customHeight="false" outlineLevel="0" collapsed="false">
      <c r="A363" s="17" t="n">
        <v>28288</v>
      </c>
      <c r="B363" s="23" t="n">
        <v>45199</v>
      </c>
      <c r="C363" s="17" t="s">
        <v>124</v>
      </c>
      <c r="D363" s="17" t="s">
        <v>108</v>
      </c>
      <c r="E363" s="17" t="n">
        <v>101273</v>
      </c>
      <c r="F363" s="17" t="n">
        <v>102143.25</v>
      </c>
      <c r="G363" s="17" t="n">
        <v>77424</v>
      </c>
      <c r="H363" s="17" t="n">
        <v>5334</v>
      </c>
      <c r="I363" s="17" t="n">
        <v>5.26695170479792</v>
      </c>
      <c r="J363" s="17" t="n">
        <v>81191</v>
      </c>
      <c r="K363" s="17" t="n">
        <v>80042.5</v>
      </c>
      <c r="L363" s="17" t="n">
        <v>80321</v>
      </c>
      <c r="M363" s="17" t="n">
        <v>76188</v>
      </c>
      <c r="N363" s="17" t="n">
        <v>4476</v>
      </c>
      <c r="O363" s="17" t="n">
        <v>527</v>
      </c>
      <c r="P363" s="17" t="n">
        <v>264</v>
      </c>
      <c r="Q363" s="17" t="n">
        <v>37</v>
      </c>
      <c r="R363" s="17" t="n">
        <v>0</v>
      </c>
      <c r="S363" s="17" t="n">
        <v>-8</v>
      </c>
      <c r="T363" s="17" t="n">
        <v>-10.6664</v>
      </c>
      <c r="U363" s="17" t="n">
        <v>-0.0133259206046788</v>
      </c>
      <c r="V363" s="17" t="n">
        <v>8883</v>
      </c>
      <c r="W363" s="17" t="n">
        <v>66950</v>
      </c>
      <c r="X363" s="17" t="n">
        <v>13.2681105302465</v>
      </c>
      <c r="Y363" s="17" t="n">
        <v>-35.9991</v>
      </c>
      <c r="Z363" s="17" t="n">
        <v>-0.0352437385730335</v>
      </c>
      <c r="AA363" s="17" t="n">
        <v>-0.62</v>
      </c>
      <c r="AB363" s="17" t="n">
        <v>2.73718549820226</v>
      </c>
      <c r="AC363" s="17" t="n">
        <v>1.07154733899078</v>
      </c>
      <c r="AD363" s="17" t="n">
        <v>0</v>
      </c>
      <c r="AE363" s="17" t="n">
        <v>1</v>
      </c>
      <c r="AF363" s="17" t="s">
        <v>361</v>
      </c>
      <c r="AG363" s="17" t="s">
        <v>211</v>
      </c>
      <c r="AH363" s="17" t="n">
        <v>0</v>
      </c>
    </row>
    <row r="364" customFormat="false" ht="15" hidden="false" customHeight="false" outlineLevel="0" collapsed="false">
      <c r="A364" s="17" t="n">
        <v>28369</v>
      </c>
      <c r="B364" s="23" t="n">
        <v>45199</v>
      </c>
      <c r="C364" s="17" t="s">
        <v>145</v>
      </c>
      <c r="D364" s="17" t="s">
        <v>108</v>
      </c>
      <c r="E364" s="17" t="n">
        <v>89908</v>
      </c>
      <c r="F364" s="17" t="n">
        <v>87760.25</v>
      </c>
      <c r="G364" s="17" t="n">
        <v>79937</v>
      </c>
      <c r="H364" s="17" t="n">
        <v>9426</v>
      </c>
      <c r="I364" s="17" t="n">
        <v>10.4840503625929</v>
      </c>
      <c r="J364" s="17" t="n">
        <v>77845</v>
      </c>
      <c r="K364" s="17" t="n">
        <v>74937.25</v>
      </c>
      <c r="L364" s="17" t="n">
        <v>77264</v>
      </c>
      <c r="M364" s="17" t="n">
        <v>65337</v>
      </c>
      <c r="N364" s="17" t="n">
        <v>11687</v>
      </c>
      <c r="O364" s="17" t="n">
        <v>821</v>
      </c>
      <c r="P364" s="17" t="n">
        <v>225</v>
      </c>
      <c r="Q364" s="17" t="n">
        <v>180</v>
      </c>
      <c r="R364" s="17" t="n">
        <v>0</v>
      </c>
      <c r="S364" s="17" t="n">
        <v>-1</v>
      </c>
      <c r="T364" s="17" t="n">
        <v>-1.3333</v>
      </c>
      <c r="U364" s="17" t="n">
        <v>-0.00177922194903069</v>
      </c>
      <c r="V364" s="17" t="n">
        <v>0</v>
      </c>
      <c r="W364" s="17" t="n">
        <v>0</v>
      </c>
      <c r="X364" s="17" t="n">
        <v>0</v>
      </c>
      <c r="Y364" s="17" t="n">
        <v>-125.3302</v>
      </c>
      <c r="Z364" s="17" t="n">
        <v>-0.142809757264821</v>
      </c>
      <c r="AA364" s="17" t="n">
        <v>-1.32</v>
      </c>
      <c r="AB364" s="17" t="n">
        <v>3.35494907396286</v>
      </c>
      <c r="AC364" s="17" t="n">
        <v>0.74635493609095</v>
      </c>
      <c r="AD364" s="17" t="n">
        <v>0.04</v>
      </c>
      <c r="AE364" s="17" t="n">
        <v>1</v>
      </c>
      <c r="AF364" s="17" t="s">
        <v>361</v>
      </c>
      <c r="AG364" s="17" t="s">
        <v>211</v>
      </c>
      <c r="AH364" s="17" t="n">
        <v>1</v>
      </c>
    </row>
    <row r="365" customFormat="false" ht="15" hidden="false" customHeight="false" outlineLevel="0" collapsed="false">
      <c r="A365" s="17" t="n">
        <v>28837</v>
      </c>
      <c r="B365" s="23" t="n">
        <v>45199</v>
      </c>
      <c r="C365" s="17" t="s">
        <v>142</v>
      </c>
      <c r="D365" s="17" t="s">
        <v>113</v>
      </c>
      <c r="E365" s="17" t="n">
        <v>282885</v>
      </c>
      <c r="F365" s="17" t="n">
        <v>291473</v>
      </c>
      <c r="G365" s="17" t="n">
        <v>253635</v>
      </c>
      <c r="H365" s="17" t="n">
        <v>25486</v>
      </c>
      <c r="I365" s="17" t="n">
        <v>9.00931473920498</v>
      </c>
      <c r="J365" s="17" t="n">
        <v>194257</v>
      </c>
      <c r="K365" s="17" t="n">
        <v>190968.75</v>
      </c>
      <c r="L365" s="17" t="n">
        <v>192043</v>
      </c>
      <c r="M365" s="17" t="n">
        <v>185306</v>
      </c>
      <c r="N365" s="17" t="n">
        <v>6214</v>
      </c>
      <c r="O365" s="17" t="n">
        <v>1468</v>
      </c>
      <c r="P365" s="17" t="n">
        <v>52</v>
      </c>
      <c r="Q365" s="17" t="n">
        <v>150</v>
      </c>
      <c r="R365" s="17" t="n">
        <v>0</v>
      </c>
      <c r="S365" s="17" t="n">
        <v>49</v>
      </c>
      <c r="T365" s="17" t="n">
        <v>65.3317</v>
      </c>
      <c r="U365" s="17" t="n">
        <v>0.0342106758304697</v>
      </c>
      <c r="V365" s="17" t="n">
        <v>25922</v>
      </c>
      <c r="W365" s="17" t="n">
        <v>157179</v>
      </c>
      <c r="X365" s="17" t="n">
        <v>16.4920250160645</v>
      </c>
      <c r="Y365" s="17" t="n">
        <v>2671.9332</v>
      </c>
      <c r="Z365" s="17" t="n">
        <v>0.916700071704755</v>
      </c>
      <c r="AA365" s="17" t="n">
        <v>10.87</v>
      </c>
      <c r="AB365" s="17" t="n">
        <v>3.61649026008213</v>
      </c>
      <c r="AC365" s="17" t="n">
        <v>1.13972726851542</v>
      </c>
      <c r="AD365" s="17" t="n">
        <v>0.03</v>
      </c>
      <c r="AE365" s="17" t="n">
        <v>1</v>
      </c>
      <c r="AF365" s="17" t="s">
        <v>314</v>
      </c>
      <c r="AG365" s="17" t="s">
        <v>232</v>
      </c>
      <c r="AH365" s="17" t="n">
        <v>1</v>
      </c>
    </row>
    <row r="366" customFormat="false" ht="15" hidden="false" customHeight="false" outlineLevel="0" collapsed="false">
      <c r="A366" s="17" t="n">
        <v>29636</v>
      </c>
      <c r="B366" s="23" t="n">
        <v>45199</v>
      </c>
      <c r="C366" s="17" t="s">
        <v>123</v>
      </c>
      <c r="D366" s="17" t="s">
        <v>108</v>
      </c>
      <c r="E366" s="17" t="n">
        <v>180600</v>
      </c>
      <c r="F366" s="17" t="n">
        <v>182305</v>
      </c>
      <c r="G366" s="17" t="n">
        <v>148201</v>
      </c>
      <c r="H366" s="17" t="n">
        <v>24993</v>
      </c>
      <c r="I366" s="17" t="n">
        <v>13.8388704318937</v>
      </c>
      <c r="J366" s="17" t="n">
        <v>132430</v>
      </c>
      <c r="K366" s="17" t="n">
        <v>128945</v>
      </c>
      <c r="L366" s="17" t="n">
        <v>130531</v>
      </c>
      <c r="M366" s="17" t="n">
        <v>129022</v>
      </c>
      <c r="N366" s="17" t="n">
        <v>1905</v>
      </c>
      <c r="O366" s="17" t="n">
        <v>1503</v>
      </c>
      <c r="P366" s="17" t="n">
        <v>1460</v>
      </c>
      <c r="Q366" s="17" t="n">
        <v>2021</v>
      </c>
      <c r="R366" s="17" t="n">
        <v>0</v>
      </c>
      <c r="S366" s="17" t="n">
        <v>-7</v>
      </c>
      <c r="T366" s="17" t="n">
        <v>-9.3331</v>
      </c>
      <c r="U366" s="17" t="n">
        <v>-0.00723804722943891</v>
      </c>
      <c r="V366" s="17" t="n">
        <v>27119</v>
      </c>
      <c r="W366" s="17" t="n">
        <v>100777</v>
      </c>
      <c r="X366" s="17" t="n">
        <v>26.9099099993054</v>
      </c>
      <c r="Y366" s="17" t="n">
        <v>794.6468</v>
      </c>
      <c r="Z366" s="17" t="n">
        <v>0.435888648144593</v>
      </c>
      <c r="AA366" s="17" t="n">
        <v>3.22</v>
      </c>
      <c r="AB366" s="17" t="n">
        <v>3.59795728465481</v>
      </c>
      <c r="AC366" s="17" t="n">
        <v>1.43396511364495</v>
      </c>
      <c r="AD366" s="17" t="n">
        <v>0.05</v>
      </c>
      <c r="AE366" s="17" t="n">
        <v>1</v>
      </c>
      <c r="AF366" s="17" t="s">
        <v>361</v>
      </c>
      <c r="AG366" s="17" t="s">
        <v>211</v>
      </c>
      <c r="AH366" s="17" t="n">
        <v>1</v>
      </c>
    </row>
    <row r="367" customFormat="false" ht="15" hidden="false" customHeight="false" outlineLevel="0" collapsed="false">
      <c r="A367" s="17" t="n">
        <v>29743</v>
      </c>
      <c r="B367" s="23" t="n">
        <v>45199</v>
      </c>
      <c r="C367" s="17" t="s">
        <v>140</v>
      </c>
      <c r="D367" s="17" t="s">
        <v>108</v>
      </c>
      <c r="E367" s="17" t="n">
        <v>181231</v>
      </c>
      <c r="F367" s="17" t="n">
        <v>185433</v>
      </c>
      <c r="G367" s="17" t="n">
        <v>161163</v>
      </c>
      <c r="H367" s="17" t="n">
        <v>15641</v>
      </c>
      <c r="I367" s="17" t="n">
        <v>8.63042194768003</v>
      </c>
      <c r="J367" s="17" t="n">
        <v>132637</v>
      </c>
      <c r="K367" s="17" t="n">
        <v>128215.25</v>
      </c>
      <c r="L367" s="17" t="n">
        <v>131689</v>
      </c>
      <c r="M367" s="17" t="n">
        <v>83811</v>
      </c>
      <c r="N367" s="17" t="n">
        <v>27176</v>
      </c>
      <c r="O367" s="17" t="n">
        <v>21550</v>
      </c>
      <c r="P367" s="17" t="n">
        <v>267</v>
      </c>
      <c r="Q367" s="17" t="n">
        <v>442</v>
      </c>
      <c r="R367" s="17" t="n">
        <v>0</v>
      </c>
      <c r="S367" s="17" t="n">
        <v>9</v>
      </c>
      <c r="T367" s="17" t="n">
        <v>11.9997</v>
      </c>
      <c r="U367" s="17" t="n">
        <v>0.00935902710481007</v>
      </c>
      <c r="V367" s="17" t="n">
        <v>19685</v>
      </c>
      <c r="W367" s="17" t="n">
        <v>109500</v>
      </c>
      <c r="X367" s="17" t="n">
        <v>17.9771689497717</v>
      </c>
      <c r="Y367" s="17" t="n">
        <v>1130.6384</v>
      </c>
      <c r="Z367" s="17" t="n">
        <v>0.609728796923956</v>
      </c>
      <c r="AA367" s="17" t="n">
        <v>7.19</v>
      </c>
      <c r="AB367" s="17" t="n">
        <v>2.41981937458205</v>
      </c>
      <c r="AC367" s="17" t="n">
        <v>0.714732691481261</v>
      </c>
      <c r="AD367" s="17" t="n">
        <v>-0.01</v>
      </c>
      <c r="AE367" s="17" t="n">
        <v>1</v>
      </c>
      <c r="AF367" s="17" t="s">
        <v>354</v>
      </c>
      <c r="AG367" s="17" t="s">
        <v>211</v>
      </c>
      <c r="AH367" s="17" t="n">
        <v>0</v>
      </c>
    </row>
    <row r="368" customFormat="false" ht="15" hidden="false" customHeight="false" outlineLevel="0" collapsed="false">
      <c r="A368" s="17" t="n">
        <v>29744</v>
      </c>
      <c r="B368" s="23" t="n">
        <v>45199</v>
      </c>
      <c r="C368" s="17" t="s">
        <v>137</v>
      </c>
      <c r="D368" s="17" t="s">
        <v>116</v>
      </c>
      <c r="E368" s="17" t="n">
        <v>556748</v>
      </c>
      <c r="F368" s="17" t="n">
        <v>548801.75</v>
      </c>
      <c r="G368" s="17" t="n">
        <v>435499</v>
      </c>
      <c r="H368" s="17" t="n">
        <v>47207</v>
      </c>
      <c r="I368" s="17" t="n">
        <v>8.4790605444474</v>
      </c>
      <c r="J368" s="17" t="n">
        <v>427991</v>
      </c>
      <c r="K368" s="17" t="n">
        <v>413238</v>
      </c>
      <c r="L368" s="17" t="n">
        <v>424642</v>
      </c>
      <c r="M368" s="17" t="n">
        <v>393303</v>
      </c>
      <c r="N368" s="17" t="n">
        <v>24875</v>
      </c>
      <c r="O368" s="17" t="n">
        <v>9813</v>
      </c>
      <c r="P368" s="17" t="n">
        <v>0</v>
      </c>
      <c r="Q368" s="17" t="n">
        <v>0</v>
      </c>
      <c r="R368" s="17" t="n">
        <v>0</v>
      </c>
      <c r="S368" s="17" t="n">
        <v>2</v>
      </c>
      <c r="T368" s="17" t="n">
        <v>2.6666</v>
      </c>
      <c r="U368" s="17" t="n">
        <v>0.000645293995227932</v>
      </c>
      <c r="V368" s="17" t="n">
        <v>65432</v>
      </c>
      <c r="W368" s="17" t="n">
        <v>365035</v>
      </c>
      <c r="X368" s="17" t="n">
        <v>17.9248565206076</v>
      </c>
      <c r="Y368" s="17" t="n">
        <v>-1315.9671</v>
      </c>
      <c r="Z368" s="17" t="n">
        <v>-0.23978915883559</v>
      </c>
      <c r="AA368" s="17" t="n">
        <v>-2.71</v>
      </c>
      <c r="AB368" s="17" t="n">
        <v>2.23388795792033</v>
      </c>
      <c r="AC368" s="17" t="n">
        <v>0.782493089807963</v>
      </c>
      <c r="AD368" s="17" t="n">
        <v>0.01</v>
      </c>
      <c r="AE368" s="17" t="n">
        <v>1</v>
      </c>
      <c r="AF368" s="17" t="s">
        <v>361</v>
      </c>
      <c r="AG368" s="17" t="s">
        <v>211</v>
      </c>
      <c r="AH368" s="17" t="n">
        <v>0</v>
      </c>
    </row>
    <row r="369" customFormat="false" ht="15" hidden="false" customHeight="false" outlineLevel="0" collapsed="false">
      <c r="A369" s="17" t="n">
        <v>30350</v>
      </c>
      <c r="B369" s="23" t="n">
        <v>45199</v>
      </c>
      <c r="C369" s="17" t="s">
        <v>154</v>
      </c>
      <c r="D369" s="17" t="s">
        <v>113</v>
      </c>
      <c r="E369" s="17" t="n">
        <v>558317</v>
      </c>
      <c r="F369" s="17" t="n">
        <v>554079.25</v>
      </c>
      <c r="G369" s="17" t="n">
        <v>447436</v>
      </c>
      <c r="H369" s="17" t="n">
        <v>53432</v>
      </c>
      <c r="I369" s="17" t="n">
        <v>9.5701904115404</v>
      </c>
      <c r="J369" s="17" t="n">
        <v>405415</v>
      </c>
      <c r="K369" s="17" t="n">
        <v>396995.5</v>
      </c>
      <c r="L369" s="17" t="n">
        <v>400147</v>
      </c>
      <c r="M369" s="17" t="n">
        <v>383676</v>
      </c>
      <c r="N369" s="17" t="n">
        <v>16937</v>
      </c>
      <c r="O369" s="17" t="n">
        <v>1367</v>
      </c>
      <c r="P369" s="17" t="n">
        <v>1501</v>
      </c>
      <c r="Q369" s="17" t="n">
        <v>857</v>
      </c>
      <c r="R369" s="17" t="n">
        <v>0</v>
      </c>
      <c r="S369" s="17" t="n">
        <v>-26</v>
      </c>
      <c r="T369" s="17" t="n">
        <v>-34.6658</v>
      </c>
      <c r="U369" s="17" t="n">
        <v>-0.00873203852436615</v>
      </c>
      <c r="V369" s="17" t="n">
        <v>65847</v>
      </c>
      <c r="W369" s="17" t="n">
        <v>328216</v>
      </c>
      <c r="X369" s="17" t="n">
        <v>20.0620932556609</v>
      </c>
      <c r="Y369" s="17" t="n">
        <v>3818.5712</v>
      </c>
      <c r="Z369" s="17" t="n">
        <v>0.68917419304188</v>
      </c>
      <c r="AA369" s="17" t="n">
        <v>7.24</v>
      </c>
      <c r="AB369" s="17" t="n">
        <v>2.88804492626645</v>
      </c>
      <c r="AC369" s="17" t="n">
        <v>1.29940924731448</v>
      </c>
      <c r="AD369" s="17" t="n">
        <v>0</v>
      </c>
      <c r="AE369" s="17" t="n">
        <v>1</v>
      </c>
      <c r="AF369" s="17" t="s">
        <v>361</v>
      </c>
      <c r="AG369" s="17" t="s">
        <v>211</v>
      </c>
      <c r="AH369" s="17" t="n">
        <v>0</v>
      </c>
    </row>
    <row r="370" customFormat="false" ht="15" hidden="false" customHeight="false" outlineLevel="0" collapsed="false">
      <c r="A370" s="17" t="n">
        <v>30878</v>
      </c>
      <c r="B370" s="23" t="n">
        <v>45199</v>
      </c>
      <c r="C370" s="17" t="s">
        <v>110</v>
      </c>
      <c r="D370" s="17" t="s">
        <v>108</v>
      </c>
      <c r="E370" s="17" t="n">
        <v>103998</v>
      </c>
      <c r="F370" s="17" t="n">
        <v>102784</v>
      </c>
      <c r="G370" s="17" t="n">
        <v>73816</v>
      </c>
      <c r="H370" s="17" t="n">
        <v>12376</v>
      </c>
      <c r="I370" s="17" t="n">
        <v>11.9002288505548</v>
      </c>
      <c r="J370" s="17" t="n">
        <v>86316</v>
      </c>
      <c r="K370" s="17" t="n">
        <v>83884</v>
      </c>
      <c r="L370" s="17" t="n">
        <v>85600</v>
      </c>
      <c r="M370" s="17" t="n">
        <v>86120</v>
      </c>
      <c r="N370" s="17" t="n">
        <v>0</v>
      </c>
      <c r="O370" s="17" t="n">
        <v>196</v>
      </c>
      <c r="P370" s="17" t="n">
        <v>700</v>
      </c>
      <c r="Q370" s="17" t="n">
        <v>215</v>
      </c>
      <c r="R370" s="17" t="n">
        <v>0</v>
      </c>
      <c r="S370" s="17" t="n">
        <v>0</v>
      </c>
      <c r="T370" s="17" t="n">
        <v>0</v>
      </c>
      <c r="U370" s="17" t="n">
        <v>0</v>
      </c>
      <c r="V370" s="17" t="n">
        <v>0</v>
      </c>
      <c r="W370" s="17" t="n">
        <v>0</v>
      </c>
      <c r="X370" s="17" t="n">
        <v>0</v>
      </c>
      <c r="Y370" s="17" t="n">
        <v>-194.6618</v>
      </c>
      <c r="Z370" s="17" t="n">
        <v>-0.189389204545455</v>
      </c>
      <c r="AA370" s="17" t="n">
        <v>-1.56</v>
      </c>
      <c r="AB370" s="17" t="n">
        <v>1.57863495847898</v>
      </c>
      <c r="AC370" s="17" t="n">
        <v>0.82951017192641</v>
      </c>
      <c r="AD370" s="17" t="n">
        <v>-0.06</v>
      </c>
      <c r="AE370" s="17" t="n">
        <v>1</v>
      </c>
      <c r="AF370" s="17" t="s">
        <v>354</v>
      </c>
      <c r="AG370" s="17" t="s">
        <v>232</v>
      </c>
      <c r="AH370" s="17" t="n">
        <v>1</v>
      </c>
    </row>
    <row r="371" customFormat="false" ht="15" hidden="false" customHeight="false" outlineLevel="0" collapsed="false">
      <c r="A371" s="17" t="n">
        <v>33418</v>
      </c>
      <c r="B371" s="23" t="n">
        <v>45199</v>
      </c>
      <c r="C371" s="17" t="s">
        <v>133</v>
      </c>
      <c r="D371" s="17" t="s">
        <v>113</v>
      </c>
      <c r="E371" s="17" t="n">
        <v>798886</v>
      </c>
      <c r="F371" s="17" t="n">
        <v>758913.25</v>
      </c>
      <c r="G371" s="17" t="n">
        <v>597610</v>
      </c>
      <c r="H371" s="17" t="n">
        <v>66192</v>
      </c>
      <c r="I371" s="17" t="n">
        <v>8.28553761112349</v>
      </c>
      <c r="J371" s="17" t="n">
        <v>384973</v>
      </c>
      <c r="K371" s="17" t="n">
        <v>370584.75</v>
      </c>
      <c r="L371" s="17" t="n">
        <v>382241</v>
      </c>
      <c r="M371" s="17" t="n">
        <v>329540</v>
      </c>
      <c r="N371" s="17" t="n">
        <v>45738</v>
      </c>
      <c r="O371" s="17" t="n">
        <v>10764</v>
      </c>
      <c r="P371" s="17" t="n">
        <v>1080</v>
      </c>
      <c r="Q371" s="17" t="n">
        <v>452</v>
      </c>
      <c r="R371" s="17" t="n">
        <v>0</v>
      </c>
      <c r="S371" s="17" t="n">
        <v>-27</v>
      </c>
      <c r="T371" s="17" t="n">
        <v>-35.9991</v>
      </c>
      <c r="U371" s="17" t="n">
        <v>-0.00971413421626227</v>
      </c>
      <c r="V371" s="17" t="n">
        <v>86611</v>
      </c>
      <c r="W371" s="17" t="n">
        <v>493824</v>
      </c>
      <c r="X371" s="17" t="n">
        <v>17.5388397485744</v>
      </c>
      <c r="Y371" s="17" t="n">
        <v>5047.8738</v>
      </c>
      <c r="Z371" s="17" t="n">
        <v>0.6651450346927</v>
      </c>
      <c r="AA371" s="17" t="n">
        <v>7.55</v>
      </c>
      <c r="AB371" s="17" t="n">
        <v>2.64905350409492</v>
      </c>
      <c r="AC371" s="17" t="n">
        <v>0.709660157985105</v>
      </c>
      <c r="AD371" s="17" t="n">
        <v>-0.01</v>
      </c>
      <c r="AE371" s="17" t="n">
        <v>1</v>
      </c>
      <c r="AF371" s="17" t="s">
        <v>210</v>
      </c>
      <c r="AG371" s="17" t="s">
        <v>211</v>
      </c>
      <c r="AH371" s="17" t="n">
        <v>0</v>
      </c>
    </row>
    <row r="372" customFormat="false" ht="15" hidden="false" customHeight="false" outlineLevel="0" collapsed="false">
      <c r="A372" s="17" t="n">
        <v>35206</v>
      </c>
      <c r="B372" s="23" t="n">
        <v>45199</v>
      </c>
      <c r="C372" s="17" t="s">
        <v>166</v>
      </c>
      <c r="D372" s="17" t="s">
        <v>116</v>
      </c>
      <c r="E372" s="17" t="n">
        <v>71615</v>
      </c>
      <c r="F372" s="17" t="n">
        <v>68232.5</v>
      </c>
      <c r="G372" s="17" t="n">
        <v>500</v>
      </c>
      <c r="H372" s="17" t="n">
        <v>69069</v>
      </c>
      <c r="I372" s="17" t="n">
        <v>96.4448788661593</v>
      </c>
      <c r="J372" s="17" t="n">
        <v>0</v>
      </c>
      <c r="K372" s="17" t="n">
        <v>0</v>
      </c>
      <c r="L372" s="17" t="n">
        <v>0</v>
      </c>
      <c r="M372" s="17" t="n">
        <v>0</v>
      </c>
      <c r="N372" s="17" t="n">
        <v>0</v>
      </c>
      <c r="O372" s="17" t="n">
        <v>0</v>
      </c>
      <c r="P372" s="17" t="n">
        <v>0</v>
      </c>
      <c r="Q372" s="17" t="n">
        <v>0</v>
      </c>
      <c r="R372" s="17" t="n">
        <v>0</v>
      </c>
      <c r="S372" s="17" t="n">
        <v>0</v>
      </c>
      <c r="T372" s="17" t="n">
        <v>0</v>
      </c>
      <c r="U372" s="17" t="n">
        <v>0</v>
      </c>
      <c r="V372" s="17" t="n">
        <v>0</v>
      </c>
      <c r="W372" s="17" t="n">
        <v>0</v>
      </c>
      <c r="X372" s="17" t="n">
        <v>0</v>
      </c>
      <c r="Y372" s="17" t="n">
        <v>11265.0517</v>
      </c>
      <c r="Z372" s="17" t="n">
        <v>16.5098035393691</v>
      </c>
      <c r="AA372" s="17" t="n">
        <v>17.27</v>
      </c>
      <c r="AB372" s="17" t="n">
        <v>4.55333780973658</v>
      </c>
      <c r="AC372" s="17" t="n">
        <v>0</v>
      </c>
      <c r="AD372" s="17" t="n">
        <v>0</v>
      </c>
      <c r="AE372" s="17" t="n">
        <v>1</v>
      </c>
      <c r="AF372" s="17" t="s">
        <v>361</v>
      </c>
      <c r="AG372" s="17" t="s">
        <v>211</v>
      </c>
      <c r="AH372" s="17" t="n">
        <v>0</v>
      </c>
    </row>
    <row r="373" customFormat="false" ht="15" hidden="false" customHeight="false" outlineLevel="0" collapsed="false">
      <c r="A373" s="17" t="n">
        <v>59086</v>
      </c>
      <c r="B373" s="23" t="n">
        <v>45199</v>
      </c>
      <c r="C373" s="17" t="s">
        <v>141</v>
      </c>
      <c r="D373" s="17" t="s">
        <v>116</v>
      </c>
      <c r="E373" s="17" t="n">
        <v>697563</v>
      </c>
      <c r="F373" s="17" t="n">
        <v>685212</v>
      </c>
      <c r="G373" s="17" t="n">
        <v>607269</v>
      </c>
      <c r="H373" s="17" t="n">
        <v>86533</v>
      </c>
      <c r="I373" s="17" t="n">
        <v>12.405044418927</v>
      </c>
      <c r="J373" s="17" t="n">
        <v>579195</v>
      </c>
      <c r="K373" s="17" t="n">
        <v>579518.75</v>
      </c>
      <c r="L373" s="17" t="n">
        <v>572834</v>
      </c>
      <c r="M373" s="17" t="n">
        <v>463924</v>
      </c>
      <c r="N373" s="17" t="n">
        <v>115698</v>
      </c>
      <c r="O373" s="17" t="n">
        <v>0</v>
      </c>
      <c r="P373" s="17" t="n">
        <v>6396</v>
      </c>
      <c r="Q373" s="17" t="n">
        <v>2283</v>
      </c>
      <c r="R373" s="17" t="n">
        <v>1232</v>
      </c>
      <c r="S373" s="17" t="n">
        <v>513</v>
      </c>
      <c r="T373" s="17" t="n">
        <v>683.9829</v>
      </c>
      <c r="U373" s="17" t="n">
        <v>0.118026017277267</v>
      </c>
      <c r="V373" s="17" t="n">
        <v>92895</v>
      </c>
      <c r="W373" s="17" t="n">
        <v>607638</v>
      </c>
      <c r="X373" s="17" t="n">
        <v>15.287885221135</v>
      </c>
      <c r="Y373" s="17" t="n">
        <v>10925.0602</v>
      </c>
      <c r="Z373" s="17" t="n">
        <v>1.59440584811708</v>
      </c>
      <c r="AA373" s="17" t="n">
        <v>13.35</v>
      </c>
      <c r="AB373" s="17" t="n">
        <v>4.07526020642892</v>
      </c>
      <c r="AC373" s="17" t="n">
        <v>1.09824843101201</v>
      </c>
      <c r="AD373" s="17" t="n">
        <v>0.07</v>
      </c>
      <c r="AE373" s="17" t="n">
        <v>1</v>
      </c>
      <c r="AF373" s="17" t="s">
        <v>231</v>
      </c>
      <c r="AG373" s="17" t="s">
        <v>232</v>
      </c>
      <c r="AH373" s="17" t="n">
        <v>0</v>
      </c>
    </row>
    <row r="374" customFormat="false" ht="15" hidden="false" customHeight="false" outlineLevel="0" collapsed="false">
      <c r="A374" s="17" t="n">
        <v>59176</v>
      </c>
      <c r="B374" s="23" t="n">
        <v>45199</v>
      </c>
      <c r="C374" s="17" t="s">
        <v>151</v>
      </c>
      <c r="D374" s="17" t="s">
        <v>116</v>
      </c>
      <c r="E374" s="17" t="n">
        <v>219071</v>
      </c>
      <c r="F374" s="17" t="n">
        <v>197526.5</v>
      </c>
      <c r="G374" s="17" t="n">
        <v>188051</v>
      </c>
      <c r="H374" s="17" t="n">
        <v>23030</v>
      </c>
      <c r="I374" s="17" t="n">
        <v>10.5125735492146</v>
      </c>
      <c r="J374" s="17" t="n">
        <v>145767</v>
      </c>
      <c r="K374" s="17" t="n">
        <v>139039.5</v>
      </c>
      <c r="L374" s="17" t="n">
        <v>144227</v>
      </c>
      <c r="M374" s="17" t="n">
        <v>124886</v>
      </c>
      <c r="N374" s="17" t="n">
        <v>20876</v>
      </c>
      <c r="O374" s="17" t="n">
        <v>5</v>
      </c>
      <c r="P374" s="17" t="n">
        <v>0</v>
      </c>
      <c r="Q374" s="17" t="n">
        <v>0</v>
      </c>
      <c r="R374" s="17" t="n">
        <v>0</v>
      </c>
      <c r="S374" s="17" t="n">
        <v>34</v>
      </c>
      <c r="T374" s="17" t="n">
        <v>45.3322</v>
      </c>
      <c r="U374" s="17" t="n">
        <v>0.0326038284084739</v>
      </c>
      <c r="V374" s="17" t="n">
        <v>25200</v>
      </c>
      <c r="W374" s="17" t="n">
        <v>145510</v>
      </c>
      <c r="X374" s="17" t="n">
        <v>17.3183973610061</v>
      </c>
      <c r="Y374" s="17" t="n">
        <v>-442.6556</v>
      </c>
      <c r="Z374" s="17" t="n">
        <v>-0.224099348694985</v>
      </c>
      <c r="AA374" s="17" t="n">
        <v>-1.9</v>
      </c>
      <c r="AB374" s="17" t="n">
        <v>2.37742627283054</v>
      </c>
      <c r="AC374" s="17" t="n">
        <v>1.05648054772342</v>
      </c>
      <c r="AD374" s="17" t="n">
        <v>0.2</v>
      </c>
      <c r="AE374" s="17" t="n">
        <v>1</v>
      </c>
      <c r="AF374" s="17" t="s">
        <v>231</v>
      </c>
      <c r="AG374" s="17" t="s">
        <v>232</v>
      </c>
      <c r="AH374" s="17" t="n">
        <v>0</v>
      </c>
    </row>
    <row r="375" customFormat="false" ht="15" hidden="false" customHeight="false" outlineLevel="0" collapsed="false">
      <c r="A375" s="17" t="n">
        <v>59289</v>
      </c>
      <c r="B375" s="23" t="n">
        <v>45199</v>
      </c>
      <c r="C375" s="17" t="s">
        <v>121</v>
      </c>
      <c r="D375" s="17" t="s">
        <v>116</v>
      </c>
      <c r="E375" s="17" t="n">
        <v>61993</v>
      </c>
      <c r="F375" s="17" t="n">
        <v>44923.75</v>
      </c>
      <c r="G375" s="17" t="n">
        <v>41455</v>
      </c>
      <c r="H375" s="17" t="n">
        <v>19641</v>
      </c>
      <c r="I375" s="17" t="n">
        <v>31.6826093268595</v>
      </c>
      <c r="J375" s="17" t="n">
        <v>30270</v>
      </c>
      <c r="K375" s="17" t="n">
        <v>15849.75</v>
      </c>
      <c r="L375" s="17" t="n">
        <v>29876</v>
      </c>
      <c r="M375" s="17" t="n">
        <v>13029</v>
      </c>
      <c r="N375" s="17" t="n">
        <v>16338</v>
      </c>
      <c r="O375" s="17" t="n">
        <v>0</v>
      </c>
      <c r="P375" s="17" t="n">
        <v>0</v>
      </c>
      <c r="Q375" s="17" t="n">
        <v>0</v>
      </c>
      <c r="R375" s="17" t="n">
        <v>0</v>
      </c>
      <c r="S375" s="17" t="n">
        <v>0</v>
      </c>
      <c r="T375" s="17" t="n">
        <v>0</v>
      </c>
      <c r="U375" s="17" t="n">
        <v>0</v>
      </c>
      <c r="V375" s="17" t="n">
        <v>0</v>
      </c>
      <c r="W375" s="17" t="n">
        <v>0</v>
      </c>
      <c r="X375" s="17" t="n">
        <v>0</v>
      </c>
      <c r="Y375" s="17" t="n">
        <v>-2463.9384</v>
      </c>
      <c r="Z375" s="17" t="n">
        <v>-5.48471220679485</v>
      </c>
      <c r="AA375" s="17" t="n">
        <v>-11.97</v>
      </c>
      <c r="AB375" s="17" t="n">
        <v>4.55562914912624</v>
      </c>
      <c r="AC375" s="17" t="n">
        <v>1.30161876445325</v>
      </c>
      <c r="AD375" s="17" t="n">
        <v>1.02</v>
      </c>
      <c r="AE375" s="17" t="n">
        <v>1</v>
      </c>
      <c r="AF375" s="17" t="s">
        <v>241</v>
      </c>
      <c r="AG375" s="17" t="s">
        <v>232</v>
      </c>
      <c r="AH375" s="17" t="n">
        <v>0</v>
      </c>
    </row>
    <row r="376" customFormat="false" ht="15" hidden="false" customHeight="false" outlineLevel="0" collapsed="false">
      <c r="A376" s="17" t="n">
        <v>59298</v>
      </c>
      <c r="B376" s="23" t="n">
        <v>45199</v>
      </c>
      <c r="C376" s="17" t="s">
        <v>160</v>
      </c>
      <c r="D376" s="17" t="s">
        <v>113</v>
      </c>
      <c r="E376" s="17" t="n">
        <v>134128</v>
      </c>
      <c r="F376" s="17" t="n">
        <v>115653.5</v>
      </c>
      <c r="G376" s="17" t="n">
        <v>105729</v>
      </c>
      <c r="H376" s="17" t="n">
        <v>27342</v>
      </c>
      <c r="I376" s="17" t="n">
        <v>20.3850053680067</v>
      </c>
      <c r="J376" s="17" t="n">
        <v>53456</v>
      </c>
      <c r="K376" s="17" t="n">
        <v>39706.25</v>
      </c>
      <c r="L376" s="17" t="n">
        <v>53034</v>
      </c>
      <c r="M376" s="17" t="n">
        <v>38015</v>
      </c>
      <c r="N376" s="17" t="n">
        <v>15440</v>
      </c>
      <c r="O376" s="17" t="n">
        <v>0</v>
      </c>
      <c r="P376" s="17" t="n">
        <v>0</v>
      </c>
      <c r="Q376" s="17" t="n">
        <v>0</v>
      </c>
      <c r="R376" s="17" t="n">
        <v>0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-2699.9325</v>
      </c>
      <c r="Z376" s="17" t="n">
        <v>-2.33450133372531</v>
      </c>
      <c r="AA376" s="17" t="n">
        <v>-9.49</v>
      </c>
      <c r="AB376" s="17" t="n">
        <v>2.77001222612168</v>
      </c>
      <c r="AC376" s="17" t="n">
        <v>0.789434301107453</v>
      </c>
      <c r="AD376" s="17" t="n">
        <v>0.23</v>
      </c>
      <c r="AE376" s="17" t="n">
        <v>1</v>
      </c>
      <c r="AF376" s="17" t="s">
        <v>231</v>
      </c>
      <c r="AG376" s="17" t="s">
        <v>232</v>
      </c>
      <c r="AH376" s="17" t="n">
        <v>0</v>
      </c>
    </row>
    <row r="377" customFormat="false" ht="15" hidden="false" customHeight="false" outlineLevel="0" collapsed="false">
      <c r="A377" s="17" t="n">
        <v>4255</v>
      </c>
      <c r="B377" s="23" t="n">
        <v>45291</v>
      </c>
      <c r="C377" s="17" t="s">
        <v>126</v>
      </c>
      <c r="D377" s="17" t="s">
        <v>108</v>
      </c>
      <c r="E377" s="17" t="n">
        <v>5700364</v>
      </c>
      <c r="F377" s="17" t="n">
        <v>5714841.8</v>
      </c>
      <c r="G377" s="17" t="n">
        <v>4632579</v>
      </c>
      <c r="H377" s="17" t="n">
        <v>508674</v>
      </c>
      <c r="I377" s="17" t="n">
        <v>8.92353540931772</v>
      </c>
      <c r="J377" s="17" t="n">
        <v>4108414</v>
      </c>
      <c r="K377" s="17" t="n">
        <v>4076680.2</v>
      </c>
      <c r="L377" s="17" t="n">
        <v>4071479</v>
      </c>
      <c r="M377" s="17" t="n">
        <v>3717758</v>
      </c>
      <c r="N377" s="17" t="n">
        <v>335214</v>
      </c>
      <c r="O377" s="17" t="n">
        <v>18237</v>
      </c>
      <c r="P377" s="17" t="n">
        <v>5448</v>
      </c>
      <c r="Q377" s="17" t="n">
        <v>4959</v>
      </c>
      <c r="R377" s="17" t="n">
        <v>0</v>
      </c>
      <c r="S377" s="17" t="n">
        <v>1161</v>
      </c>
      <c r="T377" s="17" t="n">
        <v>1161</v>
      </c>
      <c r="U377" s="17" t="n">
        <v>0.0284790550899725</v>
      </c>
      <c r="V377" s="17" t="n">
        <v>549221</v>
      </c>
      <c r="W377" s="17" t="n">
        <v>4009591</v>
      </c>
      <c r="X377" s="17" t="n">
        <v>13.6976813844604</v>
      </c>
      <c r="Y377" s="17" t="n">
        <v>45889</v>
      </c>
      <c r="Z377" s="17" t="n">
        <v>0.80297935806377</v>
      </c>
      <c r="AA377" s="17" t="n">
        <v>9.57</v>
      </c>
      <c r="AB377" s="17" t="n">
        <v>2.55844446697609</v>
      </c>
      <c r="AC377" s="17" t="n">
        <v>0.899008717232489</v>
      </c>
      <c r="AD377" s="17" t="n">
        <v>0</v>
      </c>
      <c r="AE377" s="17" t="n">
        <v>1</v>
      </c>
      <c r="AF377" s="17" t="s">
        <v>210</v>
      </c>
      <c r="AG377" s="17" t="s">
        <v>211</v>
      </c>
      <c r="AH377" s="17" t="n">
        <v>0</v>
      </c>
    </row>
    <row r="378" customFormat="false" ht="15" hidden="false" customHeight="false" outlineLevel="0" collapsed="false">
      <c r="A378" s="17" t="n">
        <v>4256</v>
      </c>
      <c r="B378" s="23" t="n">
        <v>45291</v>
      </c>
      <c r="C378" s="17" t="s">
        <v>135</v>
      </c>
      <c r="D378" s="17" t="s">
        <v>108</v>
      </c>
      <c r="E378" s="17" t="n">
        <v>2911223</v>
      </c>
      <c r="F378" s="17" t="n">
        <v>2828967</v>
      </c>
      <c r="G378" s="17" t="n">
        <v>2600329</v>
      </c>
      <c r="H378" s="17" t="n">
        <v>214531</v>
      </c>
      <c r="I378" s="17" t="n">
        <v>7.3691022638939</v>
      </c>
      <c r="J378" s="17" t="n">
        <v>2129454</v>
      </c>
      <c r="K378" s="17" t="n">
        <v>2033666.2</v>
      </c>
      <c r="L378" s="17" t="n">
        <v>2105424</v>
      </c>
      <c r="M378" s="17" t="n">
        <v>1701843</v>
      </c>
      <c r="N378" s="17" t="n">
        <v>314127</v>
      </c>
      <c r="O378" s="17" t="n">
        <v>19401</v>
      </c>
      <c r="P378" s="17" t="n">
        <v>2178</v>
      </c>
      <c r="Q378" s="17" t="n">
        <v>2617</v>
      </c>
      <c r="R378" s="17" t="n">
        <v>429</v>
      </c>
      <c r="S378" s="17" t="n">
        <v>233</v>
      </c>
      <c r="T378" s="17" t="n">
        <v>233</v>
      </c>
      <c r="U378" s="17" t="n">
        <v>0.0114571408031466</v>
      </c>
      <c r="V378" s="17" t="n">
        <v>275588</v>
      </c>
      <c r="W378" s="17" t="n">
        <v>2023507</v>
      </c>
      <c r="X378" s="17" t="n">
        <v>13.6193252605501</v>
      </c>
      <c r="Y378" s="17" t="n">
        <v>30441</v>
      </c>
      <c r="Z378" s="17" t="n">
        <v>1.07604648622624</v>
      </c>
      <c r="AA378" s="17" t="n">
        <v>14.98</v>
      </c>
      <c r="AB378" s="17" t="n">
        <v>2.45271276205377</v>
      </c>
      <c r="AC378" s="17" t="n">
        <v>1.12845828085509</v>
      </c>
      <c r="AD378" s="17" t="n">
        <v>0.04</v>
      </c>
      <c r="AE378" s="17" t="n">
        <v>1</v>
      </c>
      <c r="AF378" s="17" t="s">
        <v>210</v>
      </c>
      <c r="AG378" s="17" t="s">
        <v>211</v>
      </c>
      <c r="AH378" s="17" t="n">
        <v>0</v>
      </c>
    </row>
    <row r="379" customFormat="false" ht="15" hidden="false" customHeight="false" outlineLevel="0" collapsed="false">
      <c r="A379" s="17" t="n">
        <v>6271</v>
      </c>
      <c r="B379" s="23" t="n">
        <v>45291</v>
      </c>
      <c r="C379" s="17" t="s">
        <v>147</v>
      </c>
      <c r="D379" s="17" t="s">
        <v>113</v>
      </c>
      <c r="E379" s="17" t="n">
        <v>1098634</v>
      </c>
      <c r="F379" s="17" t="n">
        <v>1059623.6</v>
      </c>
      <c r="G379" s="17" t="n">
        <v>898049</v>
      </c>
      <c r="H379" s="17" t="n">
        <v>101032</v>
      </c>
      <c r="I379" s="17" t="n">
        <v>9.19614721554221</v>
      </c>
      <c r="J379" s="17" t="n">
        <v>846003</v>
      </c>
      <c r="K379" s="17" t="n">
        <v>795146.2</v>
      </c>
      <c r="L379" s="17" t="n">
        <v>836160</v>
      </c>
      <c r="M379" s="17" t="n">
        <v>655964</v>
      </c>
      <c r="N379" s="17" t="n">
        <v>122908</v>
      </c>
      <c r="O379" s="17" t="n">
        <v>7945</v>
      </c>
      <c r="P379" s="17" t="n">
        <v>6955</v>
      </c>
      <c r="Q379" s="17" t="n">
        <v>2530</v>
      </c>
      <c r="R379" s="17" t="n">
        <v>485</v>
      </c>
      <c r="S379" s="17" t="n">
        <v>341</v>
      </c>
      <c r="T379" s="17" t="n">
        <v>341</v>
      </c>
      <c r="U379" s="17" t="n">
        <v>0.0428851952005807</v>
      </c>
      <c r="V379" s="17" t="n">
        <v>115051</v>
      </c>
      <c r="W379" s="17" t="n">
        <v>771938</v>
      </c>
      <c r="X379" s="17" t="n">
        <v>14.9041762421334</v>
      </c>
      <c r="Y379" s="17" t="n">
        <v>14650</v>
      </c>
      <c r="Z379" s="17" t="n">
        <v>1.3825664132056</v>
      </c>
      <c r="AA379" s="17" t="n">
        <v>15.83</v>
      </c>
      <c r="AB379" s="17" t="n">
        <v>3.53792271157194</v>
      </c>
      <c r="AC379" s="17" t="n">
        <v>1.16347105152109</v>
      </c>
      <c r="AD379" s="17" t="n">
        <v>0.14</v>
      </c>
      <c r="AE379" s="17" t="n">
        <v>1</v>
      </c>
      <c r="AF379" s="17" t="s">
        <v>210</v>
      </c>
      <c r="AG379" s="17" t="s">
        <v>211</v>
      </c>
      <c r="AH379" s="17" t="n">
        <v>0</v>
      </c>
    </row>
    <row r="380" customFormat="false" ht="15" hidden="false" customHeight="false" outlineLevel="0" collapsed="false">
      <c r="A380" s="17" t="n">
        <v>6275</v>
      </c>
      <c r="B380" s="23" t="n">
        <v>45291</v>
      </c>
      <c r="C380" s="17" t="s">
        <v>165</v>
      </c>
      <c r="D380" s="17" t="s">
        <v>113</v>
      </c>
      <c r="E380" s="17" t="n">
        <v>560588</v>
      </c>
      <c r="F380" s="17" t="n">
        <v>547177.6</v>
      </c>
      <c r="G380" s="17" t="n">
        <v>486814</v>
      </c>
      <c r="H380" s="17" t="n">
        <v>30793</v>
      </c>
      <c r="I380" s="17" t="n">
        <v>5.49298236851306</v>
      </c>
      <c r="J380" s="17" t="n">
        <v>336986</v>
      </c>
      <c r="K380" s="17" t="n">
        <v>325322.2</v>
      </c>
      <c r="L380" s="17" t="n">
        <v>335611</v>
      </c>
      <c r="M380" s="17" t="n">
        <v>278886</v>
      </c>
      <c r="N380" s="17" t="n">
        <v>35545</v>
      </c>
      <c r="O380" s="17" t="n">
        <v>12925</v>
      </c>
      <c r="P380" s="17" t="n">
        <v>1221</v>
      </c>
      <c r="Q380" s="17" t="n">
        <v>326</v>
      </c>
      <c r="R380" s="17" t="n">
        <v>104</v>
      </c>
      <c r="S380" s="17" t="n">
        <v>8</v>
      </c>
      <c r="T380" s="17" t="n">
        <v>8</v>
      </c>
      <c r="U380" s="17" t="n">
        <v>0.00245910054708839</v>
      </c>
      <c r="V380" s="17" t="n">
        <v>48016</v>
      </c>
      <c r="W380" s="17" t="n">
        <v>323520</v>
      </c>
      <c r="X380" s="17" t="n">
        <v>14.8417408506429</v>
      </c>
      <c r="Y380" s="17" t="n">
        <v>2371</v>
      </c>
      <c r="Z380" s="17" t="n">
        <v>0.433314521647085</v>
      </c>
      <c r="AA380" s="17" t="n">
        <v>8.83</v>
      </c>
      <c r="AB380" s="17" t="n">
        <v>2.86365448541739</v>
      </c>
      <c r="AC380" s="17" t="n">
        <v>0.408028820188376</v>
      </c>
      <c r="AD380" s="17" t="n">
        <v>0.01</v>
      </c>
      <c r="AE380" s="17" t="n">
        <v>1</v>
      </c>
      <c r="AF380" s="17" t="s">
        <v>210</v>
      </c>
      <c r="AG380" s="17" t="s">
        <v>211</v>
      </c>
      <c r="AH380" s="17" t="n">
        <v>0</v>
      </c>
    </row>
    <row r="381" customFormat="false" ht="15" hidden="false" customHeight="false" outlineLevel="0" collapsed="false">
      <c r="A381" s="17" t="n">
        <v>6280</v>
      </c>
      <c r="B381" s="23" t="n">
        <v>45291</v>
      </c>
      <c r="C381" s="17" t="s">
        <v>138</v>
      </c>
      <c r="D381" s="17" t="s">
        <v>113</v>
      </c>
      <c r="E381" s="17" t="n">
        <v>78840</v>
      </c>
      <c r="F381" s="17" t="n">
        <v>82367.8</v>
      </c>
      <c r="G381" s="17" t="n">
        <v>68883</v>
      </c>
      <c r="H381" s="17" t="n">
        <v>9375</v>
      </c>
      <c r="I381" s="17" t="n">
        <v>11.8911719939117</v>
      </c>
      <c r="J381" s="17" t="n">
        <v>67918</v>
      </c>
      <c r="K381" s="17" t="n">
        <v>65405.6</v>
      </c>
      <c r="L381" s="17" t="n">
        <v>67022</v>
      </c>
      <c r="M381" s="17" t="n">
        <v>59964</v>
      </c>
      <c r="N381" s="17" t="n">
        <v>3335</v>
      </c>
      <c r="O381" s="17" t="n">
        <v>2153</v>
      </c>
      <c r="P381" s="17" t="n">
        <v>956</v>
      </c>
      <c r="Q381" s="17" t="n">
        <v>1133</v>
      </c>
      <c r="R381" s="17" t="n">
        <v>0</v>
      </c>
      <c r="S381" s="17" t="n">
        <v>9</v>
      </c>
      <c r="T381" s="17" t="n">
        <v>9</v>
      </c>
      <c r="U381" s="17" t="n">
        <v>0.0137602896388077</v>
      </c>
      <c r="V381" s="17" t="n">
        <v>0</v>
      </c>
      <c r="W381" s="17" t="n">
        <v>0</v>
      </c>
      <c r="X381" s="17" t="n">
        <v>0</v>
      </c>
      <c r="Y381" s="17" t="n">
        <v>1520</v>
      </c>
      <c r="Z381" s="17" t="n">
        <v>1.84538132619786</v>
      </c>
      <c r="AA381" s="17" t="n">
        <v>16.73</v>
      </c>
      <c r="AB381" s="17" t="n">
        <v>5.13228352094596</v>
      </c>
      <c r="AC381" s="17" t="n">
        <v>1.31923790453194</v>
      </c>
      <c r="AD381" s="17" t="n">
        <v>0.09</v>
      </c>
      <c r="AE381" s="17" t="n">
        <v>1</v>
      </c>
      <c r="AF381" s="17" t="s">
        <v>210</v>
      </c>
      <c r="AG381" s="17" t="s">
        <v>211</v>
      </c>
      <c r="AH381" s="17" t="n">
        <v>0</v>
      </c>
    </row>
    <row r="382" customFormat="false" ht="15" hidden="false" customHeight="false" outlineLevel="0" collapsed="false">
      <c r="A382" s="17" t="n">
        <v>11971</v>
      </c>
      <c r="B382" s="23" t="n">
        <v>45291</v>
      </c>
      <c r="C382" s="17" t="s">
        <v>134</v>
      </c>
      <c r="D382" s="17" t="s">
        <v>108</v>
      </c>
      <c r="E382" s="17" t="n">
        <v>3967808</v>
      </c>
      <c r="F382" s="17" t="n">
        <v>3961158.4</v>
      </c>
      <c r="G382" s="17" t="n">
        <v>3149026</v>
      </c>
      <c r="H382" s="17" t="n">
        <v>483954</v>
      </c>
      <c r="I382" s="17" t="n">
        <v>12.1970115489459</v>
      </c>
      <c r="J382" s="17" t="n">
        <v>3001238</v>
      </c>
      <c r="K382" s="17" t="n">
        <v>2970870.6</v>
      </c>
      <c r="L382" s="17" t="n">
        <v>2973096</v>
      </c>
      <c r="M382" s="17" t="n">
        <v>2638835</v>
      </c>
      <c r="N382" s="17" t="n">
        <v>218797</v>
      </c>
      <c r="O382" s="17" t="n">
        <v>7832</v>
      </c>
      <c r="P382" s="17" t="n">
        <v>5529</v>
      </c>
      <c r="Q382" s="17" t="n">
        <v>2393</v>
      </c>
      <c r="R382" s="17" t="n">
        <v>141</v>
      </c>
      <c r="S382" s="17" t="n">
        <v>626</v>
      </c>
      <c r="T382" s="17" t="n">
        <v>626</v>
      </c>
      <c r="U382" s="17" t="n">
        <v>0.0210712644300294</v>
      </c>
      <c r="V382" s="17" t="n">
        <v>441278</v>
      </c>
      <c r="W382" s="17" t="n">
        <v>3158031</v>
      </c>
      <c r="X382" s="17" t="n">
        <v>13.9732003897365</v>
      </c>
      <c r="Y382" s="17" t="n">
        <v>51251</v>
      </c>
      <c r="Z382" s="17" t="n">
        <v>1.29383869122729</v>
      </c>
      <c r="AA382" s="17" t="n">
        <v>11.08</v>
      </c>
      <c r="AB382" s="17" t="n">
        <v>3.42069609134703</v>
      </c>
      <c r="AC382" s="17" t="n">
        <v>0.937679717503244</v>
      </c>
      <c r="AD382" s="17" t="n">
        <v>0.07</v>
      </c>
      <c r="AE382" s="17" t="n">
        <v>1</v>
      </c>
      <c r="AF382" s="17" t="s">
        <v>231</v>
      </c>
      <c r="AG382" s="17" t="s">
        <v>232</v>
      </c>
      <c r="AH382" s="17" t="n">
        <v>0</v>
      </c>
    </row>
    <row r="383" customFormat="false" ht="15" hidden="false" customHeight="false" outlineLevel="0" collapsed="false">
      <c r="A383" s="17" t="n">
        <v>12874</v>
      </c>
      <c r="B383" s="23" t="n">
        <v>45291</v>
      </c>
      <c r="C383" s="17" t="s">
        <v>159</v>
      </c>
      <c r="D383" s="17" t="s">
        <v>108</v>
      </c>
      <c r="E383" s="17" t="n">
        <v>1032673</v>
      </c>
      <c r="F383" s="17" t="n">
        <v>1002283.8</v>
      </c>
      <c r="G383" s="17" t="n">
        <v>895094</v>
      </c>
      <c r="H383" s="17" t="n">
        <v>106976</v>
      </c>
      <c r="I383" s="17" t="n">
        <v>10.3591359510707</v>
      </c>
      <c r="J383" s="17" t="n">
        <v>799093</v>
      </c>
      <c r="K383" s="17" t="n">
        <v>776526</v>
      </c>
      <c r="L383" s="17" t="n">
        <v>791118</v>
      </c>
      <c r="M383" s="17" t="n">
        <v>632740</v>
      </c>
      <c r="N383" s="17" t="n">
        <v>144853</v>
      </c>
      <c r="O383" s="17" t="n">
        <v>5403</v>
      </c>
      <c r="P383" s="17" t="n">
        <v>670</v>
      </c>
      <c r="Q383" s="17" t="n">
        <v>2266</v>
      </c>
      <c r="R383" s="17" t="n">
        <v>0</v>
      </c>
      <c r="S383" s="17" t="n">
        <v>34</v>
      </c>
      <c r="T383" s="17" t="n">
        <v>34</v>
      </c>
      <c r="U383" s="17" t="n">
        <v>0.00437847541486055</v>
      </c>
      <c r="V383" s="17" t="n">
        <v>119984</v>
      </c>
      <c r="W383" s="17" t="n">
        <v>755282</v>
      </c>
      <c r="X383" s="17" t="n">
        <v>15.8859869558655</v>
      </c>
      <c r="Y383" s="17" t="n">
        <v>10784</v>
      </c>
      <c r="Z383" s="17" t="n">
        <v>1.07594276192033</v>
      </c>
      <c r="AA383" s="17" t="n">
        <v>10.65</v>
      </c>
      <c r="AB383" s="17" t="n">
        <v>3.88814771309452</v>
      </c>
      <c r="AC383" s="17" t="n">
        <v>0.998006489857876</v>
      </c>
      <c r="AD383" s="17" t="n">
        <v>0.01</v>
      </c>
      <c r="AE383" s="17" t="n">
        <v>1</v>
      </c>
      <c r="AF383" s="17" t="s">
        <v>231</v>
      </c>
      <c r="AG383" s="17" t="s">
        <v>232</v>
      </c>
      <c r="AH383" s="17" t="n">
        <v>0</v>
      </c>
    </row>
    <row r="384" customFormat="false" ht="15" hidden="false" customHeight="false" outlineLevel="0" collapsed="false">
      <c r="A384" s="17" t="n">
        <v>13063</v>
      </c>
      <c r="B384" s="23" t="n">
        <v>45291</v>
      </c>
      <c r="C384" s="17" t="s">
        <v>139</v>
      </c>
      <c r="D384" s="17" t="s">
        <v>108</v>
      </c>
      <c r="E384" s="17" t="n">
        <v>1825832</v>
      </c>
      <c r="F384" s="17" t="n">
        <v>1829681</v>
      </c>
      <c r="G384" s="17" t="n">
        <v>1598543</v>
      </c>
      <c r="H384" s="17" t="n">
        <v>144898</v>
      </c>
      <c r="I384" s="17" t="n">
        <v>7.93599849274194</v>
      </c>
      <c r="J384" s="17" t="n">
        <v>1419984</v>
      </c>
      <c r="K384" s="17" t="n">
        <v>1385394.8</v>
      </c>
      <c r="L384" s="17" t="n">
        <v>1403034</v>
      </c>
      <c r="M384" s="17" t="n">
        <v>1355009</v>
      </c>
      <c r="N384" s="17" t="n">
        <v>54417</v>
      </c>
      <c r="O384" s="17" t="n">
        <v>842</v>
      </c>
      <c r="P384" s="17" t="n">
        <v>809</v>
      </c>
      <c r="Q384" s="17" t="n">
        <v>1108</v>
      </c>
      <c r="R384" s="17" t="n">
        <v>260</v>
      </c>
      <c r="S384" s="17" t="n">
        <v>51</v>
      </c>
      <c r="T384" s="17" t="n">
        <v>51</v>
      </c>
      <c r="U384" s="17" t="n">
        <v>0.0036812611105513</v>
      </c>
      <c r="V384" s="17" t="n">
        <v>0</v>
      </c>
      <c r="W384" s="17" t="n">
        <v>0</v>
      </c>
      <c r="X384" s="17" t="n">
        <v>0</v>
      </c>
      <c r="Y384" s="17" t="n">
        <v>4021</v>
      </c>
      <c r="Z384" s="17" t="n">
        <v>0.21976508473335</v>
      </c>
      <c r="AA384" s="17" t="n">
        <v>2.91</v>
      </c>
      <c r="AB384" s="17" t="n">
        <v>3.17083919363506</v>
      </c>
      <c r="AC384" s="17" t="n">
        <v>1.19367542169489</v>
      </c>
      <c r="AD384" s="17" t="n">
        <v>0.11</v>
      </c>
      <c r="AE384" s="17" t="n">
        <v>1</v>
      </c>
      <c r="AF384" s="17" t="s">
        <v>241</v>
      </c>
      <c r="AG384" s="17" t="s">
        <v>232</v>
      </c>
      <c r="AH384" s="17" t="n">
        <v>0</v>
      </c>
    </row>
    <row r="385" customFormat="false" ht="15" hidden="false" customHeight="false" outlineLevel="0" collapsed="false">
      <c r="A385" s="17" t="n">
        <v>14134</v>
      </c>
      <c r="B385" s="23" t="n">
        <v>45291</v>
      </c>
      <c r="C385" s="17" t="s">
        <v>155</v>
      </c>
      <c r="D385" s="17" t="s">
        <v>113</v>
      </c>
      <c r="E385" s="17" t="n">
        <v>854743</v>
      </c>
      <c r="F385" s="17" t="n">
        <v>847709.8</v>
      </c>
      <c r="G385" s="17" t="n">
        <v>681633</v>
      </c>
      <c r="H385" s="17" t="n">
        <v>105791</v>
      </c>
      <c r="I385" s="17" t="n">
        <v>12.3769366932517</v>
      </c>
      <c r="J385" s="17" t="n">
        <v>640918</v>
      </c>
      <c r="K385" s="17" t="n">
        <v>639487.6</v>
      </c>
      <c r="L385" s="17" t="n">
        <v>633643</v>
      </c>
      <c r="M385" s="17" t="n">
        <v>566020</v>
      </c>
      <c r="N385" s="17" t="n">
        <v>25773</v>
      </c>
      <c r="O385" s="17" t="n">
        <v>27211</v>
      </c>
      <c r="P385" s="17" t="n">
        <v>10339</v>
      </c>
      <c r="Q385" s="17" t="n">
        <v>3255</v>
      </c>
      <c r="R385" s="17" t="n">
        <v>0</v>
      </c>
      <c r="S385" s="17" t="n">
        <v>595</v>
      </c>
      <c r="T385" s="17" t="n">
        <v>595</v>
      </c>
      <c r="U385" s="17" t="n">
        <v>0.0930432427462237</v>
      </c>
      <c r="V385" s="17" t="n">
        <v>108924</v>
      </c>
      <c r="W385" s="17" t="n">
        <v>565297</v>
      </c>
      <c r="X385" s="17" t="n">
        <v>19.2684553429436</v>
      </c>
      <c r="Y385" s="17" t="n">
        <v>7168</v>
      </c>
      <c r="Z385" s="17" t="n">
        <v>0.845572388097908</v>
      </c>
      <c r="AA385" s="17" t="n">
        <v>7.15</v>
      </c>
      <c r="AB385" s="17" t="n">
        <v>3.22393019720267</v>
      </c>
      <c r="AC385" s="17" t="n">
        <v>1.13509060441429</v>
      </c>
      <c r="AD385" s="17" t="n">
        <v>0.08</v>
      </c>
      <c r="AE385" s="17" t="n">
        <v>1</v>
      </c>
      <c r="AF385" s="17" t="s">
        <v>241</v>
      </c>
      <c r="AG385" s="17" t="s">
        <v>232</v>
      </c>
      <c r="AH385" s="17" t="n">
        <v>0</v>
      </c>
    </row>
    <row r="386" customFormat="false" ht="15" hidden="false" customHeight="false" outlineLevel="0" collapsed="false">
      <c r="A386" s="17" t="n">
        <v>14136</v>
      </c>
      <c r="B386" s="23" t="n">
        <v>45291</v>
      </c>
      <c r="C386" s="17" t="s">
        <v>153</v>
      </c>
      <c r="D386" s="17" t="s">
        <v>113</v>
      </c>
      <c r="E386" s="17" t="n">
        <v>233858</v>
      </c>
      <c r="F386" s="17" t="n">
        <v>228625</v>
      </c>
      <c r="G386" s="17" t="n">
        <v>193772</v>
      </c>
      <c r="H386" s="17" t="n">
        <v>17016</v>
      </c>
      <c r="I386" s="17" t="n">
        <v>7.27621034987043</v>
      </c>
      <c r="J386" s="17" t="n">
        <v>152988</v>
      </c>
      <c r="K386" s="17" t="n">
        <v>146135.6</v>
      </c>
      <c r="L386" s="17" t="n">
        <v>151072</v>
      </c>
      <c r="M386" s="17" t="n">
        <v>123494</v>
      </c>
      <c r="N386" s="17" t="n">
        <v>14469</v>
      </c>
      <c r="O386" s="17" t="n">
        <v>14725</v>
      </c>
      <c r="P386" s="17" t="n">
        <v>6</v>
      </c>
      <c r="Q386" s="17" t="n">
        <v>1094</v>
      </c>
      <c r="R386" s="17" t="n">
        <v>507</v>
      </c>
      <c r="S386" s="17" t="n">
        <v>93</v>
      </c>
      <c r="T386" s="17" t="n">
        <v>93</v>
      </c>
      <c r="U386" s="17" t="n">
        <v>0.0636395238395025</v>
      </c>
      <c r="V386" s="17" t="n">
        <v>26490</v>
      </c>
      <c r="W386" s="17" t="n">
        <v>150796</v>
      </c>
      <c r="X386" s="17" t="n">
        <v>17.5667789596541</v>
      </c>
      <c r="Y386" s="17" t="n">
        <v>1359</v>
      </c>
      <c r="Z386" s="17" t="n">
        <v>0.594423182066703</v>
      </c>
      <c r="AA386" s="17" t="n">
        <v>8.72</v>
      </c>
      <c r="AB386" s="17" t="n">
        <v>4.02120098867828</v>
      </c>
      <c r="AC386" s="17" t="n">
        <v>1.25238580803723</v>
      </c>
      <c r="AD386" s="17" t="n">
        <v>0.06</v>
      </c>
      <c r="AE386" s="17" t="n">
        <v>1</v>
      </c>
      <c r="AF386" s="17" t="s">
        <v>241</v>
      </c>
      <c r="AG386" s="17" t="s">
        <v>232</v>
      </c>
      <c r="AH386" s="17" t="n">
        <v>1</v>
      </c>
    </row>
    <row r="387" customFormat="false" ht="15" hidden="false" customHeight="false" outlineLevel="0" collapsed="false">
      <c r="A387" s="17" t="n">
        <v>14140</v>
      </c>
      <c r="B387" s="23" t="n">
        <v>45291</v>
      </c>
      <c r="C387" s="17" t="s">
        <v>120</v>
      </c>
      <c r="D387" s="17" t="s">
        <v>113</v>
      </c>
      <c r="E387" s="17" t="n">
        <v>1504702</v>
      </c>
      <c r="F387" s="17" t="n">
        <v>1446881.6</v>
      </c>
      <c r="G387" s="17" t="n">
        <v>1190702</v>
      </c>
      <c r="H387" s="17" t="n">
        <v>126249</v>
      </c>
      <c r="I387" s="17" t="n">
        <v>8.39029920874698</v>
      </c>
      <c r="J387" s="17" t="n">
        <v>1039672</v>
      </c>
      <c r="K387" s="17" t="n">
        <v>1009517.8</v>
      </c>
      <c r="L387" s="17" t="n">
        <v>1031139</v>
      </c>
      <c r="M387" s="17" t="n">
        <v>927729</v>
      </c>
      <c r="N387" s="17" t="n">
        <v>93067</v>
      </c>
      <c r="O387" s="17" t="n">
        <v>1491</v>
      </c>
      <c r="P387" s="17" t="n">
        <v>4671</v>
      </c>
      <c r="Q387" s="17" t="n">
        <v>1538</v>
      </c>
      <c r="R387" s="17" t="n">
        <v>0</v>
      </c>
      <c r="S387" s="17" t="n">
        <v>67</v>
      </c>
      <c r="T387" s="17" t="n">
        <v>67</v>
      </c>
      <c r="U387" s="17" t="n">
        <v>0.00663683196076384</v>
      </c>
      <c r="V387" s="17" t="n">
        <v>0</v>
      </c>
      <c r="W387" s="17" t="n">
        <v>0</v>
      </c>
      <c r="X387" s="17" t="n">
        <v>0</v>
      </c>
      <c r="Y387" s="17" t="n">
        <v>3193</v>
      </c>
      <c r="Z387" s="17" t="n">
        <v>0.220681498748757</v>
      </c>
      <c r="AA387" s="17" t="n">
        <v>2.68</v>
      </c>
      <c r="AB387" s="17" t="n">
        <v>2.63872597463427</v>
      </c>
      <c r="AC387" s="17" t="n">
        <v>0.820739617879485</v>
      </c>
      <c r="AD387" s="17" t="n">
        <v>0.03</v>
      </c>
      <c r="AE387" s="17" t="n">
        <v>1</v>
      </c>
      <c r="AF387" s="17" t="s">
        <v>241</v>
      </c>
      <c r="AG387" s="17" t="s">
        <v>232</v>
      </c>
      <c r="AH387" s="17" t="n">
        <v>0</v>
      </c>
    </row>
    <row r="388" customFormat="false" ht="15" hidden="false" customHeight="false" outlineLevel="0" collapsed="false">
      <c r="A388" s="17" t="n">
        <v>14158</v>
      </c>
      <c r="B388" s="23" t="n">
        <v>45291</v>
      </c>
      <c r="C388" s="17" t="s">
        <v>112</v>
      </c>
      <c r="D388" s="17" t="s">
        <v>113</v>
      </c>
      <c r="E388" s="17" t="n">
        <v>1468468</v>
      </c>
      <c r="F388" s="17" t="n">
        <v>1379090</v>
      </c>
      <c r="G388" s="17" t="n">
        <v>1308218</v>
      </c>
      <c r="H388" s="17" t="n">
        <v>82122</v>
      </c>
      <c r="I388" s="17" t="n">
        <v>5.59235883928012</v>
      </c>
      <c r="J388" s="17" t="n">
        <v>1033092</v>
      </c>
      <c r="K388" s="17" t="n">
        <v>988070.2</v>
      </c>
      <c r="L388" s="17" t="n">
        <v>1026526</v>
      </c>
      <c r="M388" s="17" t="n">
        <v>908227</v>
      </c>
      <c r="N388" s="17" t="n">
        <v>40326</v>
      </c>
      <c r="O388" s="17" t="n">
        <v>2468</v>
      </c>
      <c r="P388" s="17" t="n">
        <v>1858</v>
      </c>
      <c r="Q388" s="17" t="n">
        <v>3617</v>
      </c>
      <c r="R388" s="17" t="n">
        <v>162</v>
      </c>
      <c r="S388" s="17" t="n">
        <v>4</v>
      </c>
      <c r="T388" s="17" t="n">
        <v>4</v>
      </c>
      <c r="U388" s="17" t="n">
        <v>0.000404829535391311</v>
      </c>
      <c r="V388" s="17" t="n">
        <v>119652</v>
      </c>
      <c r="W388" s="17" t="n">
        <v>896064</v>
      </c>
      <c r="X388" s="17" t="n">
        <v>13.3530640668524</v>
      </c>
      <c r="Y388" s="17" t="n">
        <v>12134</v>
      </c>
      <c r="Z388" s="17" t="n">
        <v>0.879855556925219</v>
      </c>
      <c r="AA388" s="17" t="n">
        <v>16.38</v>
      </c>
      <c r="AB388" s="17" t="n">
        <v>2.98715522475713</v>
      </c>
      <c r="AC388" s="17" t="n">
        <v>0.635567790671112</v>
      </c>
      <c r="AD388" s="17" t="n">
        <v>-0.04</v>
      </c>
      <c r="AE388" s="17" t="n">
        <v>1</v>
      </c>
      <c r="AF388" s="17" t="s">
        <v>231</v>
      </c>
      <c r="AG388" s="17" t="s">
        <v>232</v>
      </c>
      <c r="AH388" s="17" t="n">
        <v>0</v>
      </c>
    </row>
    <row r="389" customFormat="false" ht="15" hidden="false" customHeight="false" outlineLevel="0" collapsed="false">
      <c r="A389" s="17" t="n">
        <v>14168</v>
      </c>
      <c r="B389" s="23" t="n">
        <v>45291</v>
      </c>
      <c r="C389" s="17" t="s">
        <v>162</v>
      </c>
      <c r="D389" s="17" t="s">
        <v>113</v>
      </c>
      <c r="E389" s="17" t="n">
        <v>357709</v>
      </c>
      <c r="F389" s="17" t="n">
        <v>359127.2</v>
      </c>
      <c r="G389" s="17" t="n">
        <v>317592</v>
      </c>
      <c r="H389" s="17" t="n">
        <v>35301</v>
      </c>
      <c r="I389" s="17" t="n">
        <v>9.86863623783578</v>
      </c>
      <c r="J389" s="17" t="n">
        <v>239389</v>
      </c>
      <c r="K389" s="17" t="n">
        <v>222568.4</v>
      </c>
      <c r="L389" s="17" t="n">
        <v>235389</v>
      </c>
      <c r="M389" s="17" t="n">
        <v>202849</v>
      </c>
      <c r="N389" s="17" t="n">
        <v>11698</v>
      </c>
      <c r="O389" s="17" t="n">
        <v>10178</v>
      </c>
      <c r="P389" s="17" t="n">
        <v>1115</v>
      </c>
      <c r="Q389" s="17" t="n">
        <v>513</v>
      </c>
      <c r="R389" s="17" t="n">
        <v>0</v>
      </c>
      <c r="S389" s="17" t="n">
        <v>-60</v>
      </c>
      <c r="T389" s="17" t="n">
        <v>-60</v>
      </c>
      <c r="U389" s="17" t="n">
        <v>-0.0269580048200913</v>
      </c>
      <c r="V389" s="17" t="n">
        <v>42126</v>
      </c>
      <c r="W389" s="17" t="n">
        <v>251575</v>
      </c>
      <c r="X389" s="17" t="n">
        <v>16.7449070853622</v>
      </c>
      <c r="Y389" s="17" t="n">
        <v>2841</v>
      </c>
      <c r="Z389" s="17" t="n">
        <v>0.791084607348037</v>
      </c>
      <c r="AA389" s="17" t="n">
        <v>8.63</v>
      </c>
      <c r="AB389" s="17" t="n">
        <v>3.99627193623627</v>
      </c>
      <c r="AC389" s="17" t="n">
        <v>1.67092055190506</v>
      </c>
      <c r="AD389" s="17" t="n">
        <v>0.22</v>
      </c>
      <c r="AE389" s="17" t="n">
        <v>1</v>
      </c>
      <c r="AF389" s="17" t="s">
        <v>231</v>
      </c>
      <c r="AG389" s="17" t="s">
        <v>232</v>
      </c>
      <c r="AH389" s="17" t="n">
        <v>0</v>
      </c>
    </row>
    <row r="390" customFormat="false" ht="15" hidden="false" customHeight="false" outlineLevel="0" collapsed="false">
      <c r="A390" s="17" t="n">
        <v>14240</v>
      </c>
      <c r="B390" s="23" t="n">
        <v>45291</v>
      </c>
      <c r="C390" s="17" t="s">
        <v>195</v>
      </c>
      <c r="D390" s="17" t="s">
        <v>116</v>
      </c>
      <c r="E390" s="17" t="n">
        <v>1284888</v>
      </c>
      <c r="F390" s="17" t="n">
        <v>1332788</v>
      </c>
      <c r="G390" s="17" t="n">
        <v>1001876</v>
      </c>
      <c r="H390" s="17" t="n">
        <v>89997</v>
      </c>
      <c r="I390" s="17" t="n">
        <v>7.00426807628369</v>
      </c>
      <c r="J390" s="17" t="n">
        <v>920895</v>
      </c>
      <c r="K390" s="17" t="n">
        <v>945956.8</v>
      </c>
      <c r="L390" s="17" t="n">
        <v>910199</v>
      </c>
      <c r="M390" s="17" t="n">
        <v>809855</v>
      </c>
      <c r="N390" s="17" t="n">
        <v>26444</v>
      </c>
      <c r="O390" s="17" t="n">
        <v>16789</v>
      </c>
      <c r="P390" s="17" t="n">
        <v>2809</v>
      </c>
      <c r="Q390" s="17" t="n">
        <v>3092</v>
      </c>
      <c r="R390" s="17" t="n">
        <v>0</v>
      </c>
      <c r="S390" s="17" t="n">
        <v>17</v>
      </c>
      <c r="T390" s="17" t="n">
        <v>17</v>
      </c>
      <c r="U390" s="17" t="n">
        <v>0.00179712223644885</v>
      </c>
      <c r="V390" s="17" t="n">
        <v>124469</v>
      </c>
      <c r="W390" s="17" t="n">
        <v>795090</v>
      </c>
      <c r="X390" s="17" t="n">
        <v>15.654705756581</v>
      </c>
      <c r="Y390" s="17" t="n">
        <v>6357</v>
      </c>
      <c r="Z390" s="17" t="n">
        <v>0.476970080763032</v>
      </c>
      <c r="AA390" s="17" t="n">
        <v>7.62</v>
      </c>
      <c r="AB390" s="17" t="n">
        <v>2.84438328976009</v>
      </c>
      <c r="AC390" s="17" t="n">
        <v>1.16147877879671</v>
      </c>
      <c r="AD390" s="17" t="n">
        <v>-0.04</v>
      </c>
      <c r="AE390" s="17" t="n">
        <v>0</v>
      </c>
      <c r="AF390" s="17" t="s">
        <v>231</v>
      </c>
      <c r="AG390" s="17" t="s">
        <v>232</v>
      </c>
      <c r="AH390" s="17" t="n">
        <v>0</v>
      </c>
    </row>
    <row r="391" customFormat="false" ht="15" hidden="false" customHeight="false" outlineLevel="0" collapsed="false">
      <c r="A391" s="17" t="n">
        <v>17115</v>
      </c>
      <c r="B391" s="23" t="n">
        <v>45291</v>
      </c>
      <c r="C391" s="17" t="s">
        <v>143</v>
      </c>
      <c r="D391" s="17" t="s">
        <v>108</v>
      </c>
      <c r="E391" s="17" t="n">
        <v>1091692</v>
      </c>
      <c r="F391" s="17" t="n">
        <v>1058792.6</v>
      </c>
      <c r="G391" s="17" t="n">
        <v>771961</v>
      </c>
      <c r="H391" s="17" t="n">
        <v>87410</v>
      </c>
      <c r="I391" s="17" t="n">
        <v>8.00683709324608</v>
      </c>
      <c r="J391" s="17" t="n">
        <v>899416</v>
      </c>
      <c r="K391" s="17" t="n">
        <v>872298</v>
      </c>
      <c r="L391" s="17" t="n">
        <v>890496</v>
      </c>
      <c r="M391" s="17" t="n">
        <v>848763</v>
      </c>
      <c r="N391" s="17" t="n">
        <v>43686</v>
      </c>
      <c r="O391" s="17" t="n">
        <v>6112</v>
      </c>
      <c r="P391" s="17" t="n">
        <v>2404</v>
      </c>
      <c r="Q391" s="17" t="n">
        <v>124</v>
      </c>
      <c r="R391" s="17" t="n">
        <v>0</v>
      </c>
      <c r="S391" s="17" t="n">
        <v>-27</v>
      </c>
      <c r="T391" s="17" t="n">
        <v>-27</v>
      </c>
      <c r="U391" s="17" t="n">
        <v>-0.00309527248715462</v>
      </c>
      <c r="V391" s="17" t="n">
        <v>110215</v>
      </c>
      <c r="W391" s="17" t="n">
        <v>806698</v>
      </c>
      <c r="X391" s="17" t="n">
        <v>13.662485837327</v>
      </c>
      <c r="Y391" s="17" t="n">
        <v>7057</v>
      </c>
      <c r="Z391" s="17" t="n">
        <v>0.666513914056445</v>
      </c>
      <c r="AA391" s="17" t="n">
        <v>8.6</v>
      </c>
      <c r="AB391" s="17" t="n">
        <v>2.88707546912739</v>
      </c>
      <c r="AC391" s="17" t="n">
        <v>0.991754649683795</v>
      </c>
      <c r="AD391" s="17" t="n">
        <v>0</v>
      </c>
      <c r="AE391" s="17" t="n">
        <v>1</v>
      </c>
      <c r="AF391" s="17" t="s">
        <v>241</v>
      </c>
      <c r="AG391" s="17" t="s">
        <v>232</v>
      </c>
      <c r="AH391" s="17" t="n">
        <v>0</v>
      </c>
    </row>
    <row r="392" customFormat="false" ht="15" hidden="false" customHeight="false" outlineLevel="0" collapsed="false">
      <c r="A392" s="17" t="n">
        <v>17180</v>
      </c>
      <c r="B392" s="23" t="n">
        <v>45291</v>
      </c>
      <c r="C392" s="17" t="s">
        <v>127</v>
      </c>
      <c r="D392" s="17" t="s">
        <v>116</v>
      </c>
      <c r="E392" s="17" t="n">
        <v>1636765</v>
      </c>
      <c r="F392" s="17" t="n">
        <v>1599035.6</v>
      </c>
      <c r="G392" s="17" t="n">
        <v>1188350</v>
      </c>
      <c r="H392" s="17" t="n">
        <v>136707</v>
      </c>
      <c r="I392" s="17" t="n">
        <v>8.35226804092219</v>
      </c>
      <c r="J392" s="17" t="n">
        <v>1480488</v>
      </c>
      <c r="K392" s="17" t="n">
        <v>1439470.4</v>
      </c>
      <c r="L392" s="17" t="n">
        <v>1466227</v>
      </c>
      <c r="M392" s="17" t="n">
        <v>1208918</v>
      </c>
      <c r="N392" s="17" t="n">
        <v>52850</v>
      </c>
      <c r="O392" s="17" t="n">
        <v>190591</v>
      </c>
      <c r="P392" s="17" t="n">
        <v>4903</v>
      </c>
      <c r="Q392" s="17" t="n">
        <v>3022</v>
      </c>
      <c r="R392" s="17" t="n">
        <v>0</v>
      </c>
      <c r="S392" s="17" t="n">
        <v>626</v>
      </c>
      <c r="T392" s="17" t="n">
        <v>626</v>
      </c>
      <c r="U392" s="17" t="n">
        <v>0.0434882162217438</v>
      </c>
      <c r="V392" s="17" t="n">
        <v>161750</v>
      </c>
      <c r="W392" s="17" t="n">
        <v>1141907</v>
      </c>
      <c r="X392" s="17" t="n">
        <v>14.1649013448556</v>
      </c>
      <c r="Y392" s="17" t="n">
        <v>7232</v>
      </c>
      <c r="Z392" s="17" t="n">
        <v>0.452272607314059</v>
      </c>
      <c r="AA392" s="17" t="n">
        <v>5.49</v>
      </c>
      <c r="AB392" s="17" t="n">
        <v>2.86567771971113</v>
      </c>
      <c r="AC392" s="17" t="n">
        <v>0.96326346447928</v>
      </c>
      <c r="AD392" s="17" t="n">
        <v>0.12</v>
      </c>
      <c r="AE392" s="17" t="n">
        <v>1</v>
      </c>
      <c r="AF392" s="17" t="s">
        <v>241</v>
      </c>
      <c r="AG392" s="17" t="s">
        <v>232</v>
      </c>
      <c r="AH392" s="17" t="n">
        <v>0</v>
      </c>
    </row>
    <row r="393" customFormat="false" ht="15" hidden="false" customHeight="false" outlineLevel="0" collapsed="false">
      <c r="A393" s="17" t="n">
        <v>17443</v>
      </c>
      <c r="B393" s="23" t="n">
        <v>45291</v>
      </c>
      <c r="C393" s="17" t="s">
        <v>132</v>
      </c>
      <c r="D393" s="17" t="s">
        <v>116</v>
      </c>
      <c r="E393" s="17" t="n">
        <v>351163</v>
      </c>
      <c r="F393" s="17" t="n">
        <v>364805.2</v>
      </c>
      <c r="G393" s="17" t="n">
        <v>309824</v>
      </c>
      <c r="H393" s="17" t="n">
        <v>40157</v>
      </c>
      <c r="I393" s="17" t="n">
        <v>11.4354302702734</v>
      </c>
      <c r="J393" s="17" t="n">
        <v>205058</v>
      </c>
      <c r="K393" s="17" t="n">
        <v>208028.2</v>
      </c>
      <c r="L393" s="17" t="n">
        <v>203348</v>
      </c>
      <c r="M393" s="17" t="n">
        <v>203264</v>
      </c>
      <c r="N393" s="17" t="n">
        <v>0</v>
      </c>
      <c r="O393" s="17" t="n">
        <v>794</v>
      </c>
      <c r="P393" s="17" t="n">
        <v>173</v>
      </c>
      <c r="Q393" s="17" t="n">
        <v>1121</v>
      </c>
      <c r="R393" s="17" t="n">
        <v>0</v>
      </c>
      <c r="S393" s="17" t="n">
        <v>0</v>
      </c>
      <c r="T393" s="17" t="n">
        <v>0</v>
      </c>
      <c r="U393" s="17" t="n">
        <v>0</v>
      </c>
      <c r="V393" s="17" t="n">
        <v>0</v>
      </c>
      <c r="W393" s="17" t="n">
        <v>0</v>
      </c>
      <c r="X393" s="17" t="n">
        <v>0</v>
      </c>
      <c r="Y393" s="17" t="n">
        <v>41</v>
      </c>
      <c r="Z393" s="17" t="n">
        <v>0.0112388748844589</v>
      </c>
      <c r="AA393" s="17" t="n">
        <v>0.11</v>
      </c>
      <c r="AB393" s="17" t="n">
        <v>1.55712530163154</v>
      </c>
      <c r="AC393" s="17" t="n">
        <v>0.833910405836398</v>
      </c>
      <c r="AD393" s="17" t="n">
        <v>0</v>
      </c>
      <c r="AE393" s="17" t="n">
        <v>1</v>
      </c>
      <c r="AF393" s="17" t="s">
        <v>241</v>
      </c>
      <c r="AG393" s="17" t="s">
        <v>232</v>
      </c>
      <c r="AH393" s="17" t="n">
        <v>1</v>
      </c>
    </row>
    <row r="394" customFormat="false" ht="15" hidden="false" customHeight="false" outlineLevel="0" collapsed="false">
      <c r="A394" s="17" t="n">
        <v>17658</v>
      </c>
      <c r="B394" s="23" t="n">
        <v>45291</v>
      </c>
      <c r="C394" s="17" t="s">
        <v>144</v>
      </c>
      <c r="D394" s="17" t="s">
        <v>108</v>
      </c>
      <c r="E394" s="17" t="n">
        <v>1865564</v>
      </c>
      <c r="F394" s="17" t="n">
        <v>1834431.4</v>
      </c>
      <c r="G394" s="17" t="n">
        <v>1489308</v>
      </c>
      <c r="H394" s="17" t="n">
        <v>208565</v>
      </c>
      <c r="I394" s="17" t="n">
        <v>11.1797290256459</v>
      </c>
      <c r="J394" s="17" t="n">
        <v>1305177</v>
      </c>
      <c r="K394" s="17" t="n">
        <v>1263199.4</v>
      </c>
      <c r="L394" s="17" t="n">
        <v>1295980</v>
      </c>
      <c r="M394" s="17" t="n">
        <v>1111057</v>
      </c>
      <c r="N394" s="17" t="n">
        <v>101314</v>
      </c>
      <c r="O394" s="17" t="n">
        <v>79258</v>
      </c>
      <c r="P394" s="17" t="n">
        <v>8793</v>
      </c>
      <c r="Q394" s="17" t="n">
        <v>3070</v>
      </c>
      <c r="R394" s="17" t="n">
        <v>0</v>
      </c>
      <c r="S394" s="17" t="n">
        <v>-127</v>
      </c>
      <c r="T394" s="17" t="n">
        <v>-127</v>
      </c>
      <c r="U394" s="17" t="n">
        <v>-0.0100538363143618</v>
      </c>
      <c r="V394" s="17" t="n">
        <v>0</v>
      </c>
      <c r="W394" s="17" t="n">
        <v>0</v>
      </c>
      <c r="X394" s="17" t="n">
        <v>0</v>
      </c>
      <c r="Y394" s="17" t="n">
        <v>14088</v>
      </c>
      <c r="Z394" s="17" t="n">
        <v>0.767976387669771</v>
      </c>
      <c r="AA394" s="17" t="n">
        <v>7.19</v>
      </c>
      <c r="AB394" s="17" t="n">
        <v>3.36483689960805</v>
      </c>
      <c r="AC394" s="17" t="n">
        <v>0.704655383905784</v>
      </c>
      <c r="AD394" s="17" t="n">
        <v>0.09</v>
      </c>
      <c r="AE394" s="17" t="n">
        <v>1</v>
      </c>
      <c r="AF394" s="17" t="s">
        <v>241</v>
      </c>
      <c r="AG394" s="17" t="s">
        <v>232</v>
      </c>
      <c r="AH394" s="17" t="n">
        <v>0</v>
      </c>
    </row>
    <row r="395" customFormat="false" ht="15" hidden="false" customHeight="false" outlineLevel="0" collapsed="false">
      <c r="A395" s="17" t="n">
        <v>17741</v>
      </c>
      <c r="B395" s="23" t="n">
        <v>45291</v>
      </c>
      <c r="C395" s="17" t="s">
        <v>161</v>
      </c>
      <c r="D395" s="17" t="s">
        <v>108</v>
      </c>
      <c r="E395" s="17" t="n">
        <v>1084657</v>
      </c>
      <c r="F395" s="17" t="n">
        <v>1039732.4</v>
      </c>
      <c r="G395" s="17" t="n">
        <v>813318</v>
      </c>
      <c r="H395" s="17" t="n">
        <v>139308</v>
      </c>
      <c r="I395" s="17" t="n">
        <v>12.8435072101134</v>
      </c>
      <c r="J395" s="17" t="n">
        <v>917122</v>
      </c>
      <c r="K395" s="17" t="n">
        <v>878331.6</v>
      </c>
      <c r="L395" s="17" t="n">
        <v>908392</v>
      </c>
      <c r="M395" s="17" t="n">
        <v>853812</v>
      </c>
      <c r="N395" s="17" t="n">
        <v>54439</v>
      </c>
      <c r="O395" s="17" t="n">
        <v>4268</v>
      </c>
      <c r="P395" s="17" t="n">
        <v>6632</v>
      </c>
      <c r="Q395" s="17" t="n">
        <v>2100</v>
      </c>
      <c r="R395" s="17" t="n">
        <v>0</v>
      </c>
      <c r="S395" s="17" t="n">
        <v>-17</v>
      </c>
      <c r="T395" s="17" t="n">
        <v>-17</v>
      </c>
      <c r="U395" s="17" t="n">
        <v>-0.00193548769052599</v>
      </c>
      <c r="V395" s="17" t="n">
        <v>0</v>
      </c>
      <c r="W395" s="17" t="n">
        <v>0</v>
      </c>
      <c r="X395" s="17" t="n">
        <v>0</v>
      </c>
      <c r="Y395" s="17" t="n">
        <v>6480</v>
      </c>
      <c r="Z395" s="17" t="n">
        <v>0.623237286824956</v>
      </c>
      <c r="AA395" s="17" t="n">
        <v>4.85</v>
      </c>
      <c r="AB395" s="17" t="n">
        <v>3.25992794364075</v>
      </c>
      <c r="AC395" s="17" t="n">
        <v>0.951890806239519</v>
      </c>
      <c r="AD395" s="17" t="n">
        <v>0.05</v>
      </c>
      <c r="AE395" s="17" t="n">
        <v>1</v>
      </c>
      <c r="AF395" s="17" t="s">
        <v>241</v>
      </c>
      <c r="AG395" s="17" t="s">
        <v>232</v>
      </c>
      <c r="AH395" s="17" t="n">
        <v>0</v>
      </c>
    </row>
    <row r="396" customFormat="false" ht="15" hidden="false" customHeight="false" outlineLevel="0" collapsed="false">
      <c r="A396" s="17" t="n">
        <v>17743</v>
      </c>
      <c r="B396" s="23" t="n">
        <v>45291</v>
      </c>
      <c r="C396" s="17" t="s">
        <v>129</v>
      </c>
      <c r="D396" s="17" t="s">
        <v>108</v>
      </c>
      <c r="E396" s="17" t="n">
        <v>1380826</v>
      </c>
      <c r="F396" s="17" t="n">
        <v>1327622.6</v>
      </c>
      <c r="G396" s="17" t="n">
        <v>963516</v>
      </c>
      <c r="H396" s="17" t="n">
        <v>122659</v>
      </c>
      <c r="I396" s="17" t="n">
        <v>8.88301639743168</v>
      </c>
      <c r="J396" s="17" t="n">
        <v>1091678</v>
      </c>
      <c r="K396" s="17" t="n">
        <v>1035207</v>
      </c>
      <c r="L396" s="17" t="n">
        <v>1086994</v>
      </c>
      <c r="M396" s="17" t="n">
        <v>1054307</v>
      </c>
      <c r="N396" s="17" t="n">
        <v>16284</v>
      </c>
      <c r="O396" s="17" t="n">
        <v>9354</v>
      </c>
      <c r="P396" s="17" t="n">
        <v>1762</v>
      </c>
      <c r="Q396" s="17" t="n">
        <v>3339</v>
      </c>
      <c r="R396" s="17" t="n">
        <v>0</v>
      </c>
      <c r="S396" s="17" t="n">
        <v>13</v>
      </c>
      <c r="T396" s="17" t="n">
        <v>13</v>
      </c>
      <c r="U396" s="17" t="n">
        <v>0.00125578748984503</v>
      </c>
      <c r="V396" s="17" t="n">
        <v>0</v>
      </c>
      <c r="W396" s="17" t="n">
        <v>0</v>
      </c>
      <c r="X396" s="17" t="n">
        <v>0</v>
      </c>
      <c r="Y396" s="17" t="n">
        <v>617</v>
      </c>
      <c r="Z396" s="17" t="n">
        <v>0.0464740506827769</v>
      </c>
      <c r="AA396" s="17" t="n">
        <v>0.51</v>
      </c>
      <c r="AB396" s="17" t="n">
        <v>2.02539734976566</v>
      </c>
      <c r="AC396" s="17" t="n">
        <v>0.429064247882617</v>
      </c>
      <c r="AD396" s="17" t="n">
        <v>0</v>
      </c>
      <c r="AE396" s="17" t="n">
        <v>1</v>
      </c>
      <c r="AF396" s="17" t="s">
        <v>241</v>
      </c>
      <c r="AG396" s="17" t="s">
        <v>232</v>
      </c>
      <c r="AH396" s="17" t="n">
        <v>1</v>
      </c>
    </row>
    <row r="397" customFormat="false" ht="15" hidden="false" customHeight="false" outlineLevel="0" collapsed="false">
      <c r="A397" s="17" t="n">
        <v>17748</v>
      </c>
      <c r="B397" s="23" t="n">
        <v>45291</v>
      </c>
      <c r="C397" s="17" t="s">
        <v>196</v>
      </c>
      <c r="D397" s="17" t="s">
        <v>108</v>
      </c>
      <c r="E397" s="17" t="n">
        <v>1668860</v>
      </c>
      <c r="F397" s="17" t="n">
        <v>1640558</v>
      </c>
      <c r="G397" s="17" t="n">
        <v>1336828</v>
      </c>
      <c r="H397" s="17" t="n">
        <v>114376</v>
      </c>
      <c r="I397" s="17" t="n">
        <v>6.85354074038565</v>
      </c>
      <c r="J397" s="17" t="n">
        <v>1279867</v>
      </c>
      <c r="K397" s="17" t="n">
        <v>1262371.6</v>
      </c>
      <c r="L397" s="17" t="n">
        <v>1269952</v>
      </c>
      <c r="M397" s="17" t="n">
        <v>1067583</v>
      </c>
      <c r="N397" s="17" t="n">
        <v>175931</v>
      </c>
      <c r="O397" s="17" t="n">
        <v>3416</v>
      </c>
      <c r="P397" s="17" t="n">
        <v>7520</v>
      </c>
      <c r="Q397" s="17" t="n">
        <v>8168</v>
      </c>
      <c r="R397" s="17" t="n">
        <v>0</v>
      </c>
      <c r="S397" s="17" t="n">
        <v>1213</v>
      </c>
      <c r="T397" s="17" t="n">
        <v>1213</v>
      </c>
      <c r="U397" s="17" t="n">
        <v>0.0960889804555172</v>
      </c>
      <c r="V397" s="17" t="n">
        <v>0</v>
      </c>
      <c r="W397" s="17" t="n">
        <v>0</v>
      </c>
      <c r="X397" s="17" t="n">
        <v>0</v>
      </c>
      <c r="Y397" s="17" t="n">
        <v>5286</v>
      </c>
      <c r="Z397" s="17" t="n">
        <v>0.322207444052572</v>
      </c>
      <c r="AA397" s="17" t="n">
        <v>4.89</v>
      </c>
      <c r="AB397" s="17" t="n">
        <v>2.48310737904527</v>
      </c>
      <c r="AC397" s="17" t="n">
        <v>0.774689870119317</v>
      </c>
      <c r="AD397" s="17" t="n">
        <v>-0.04</v>
      </c>
      <c r="AE397" s="17" t="n">
        <v>0</v>
      </c>
      <c r="AF397" s="17" t="s">
        <v>241</v>
      </c>
      <c r="AG397" s="17" t="s">
        <v>232</v>
      </c>
      <c r="AH397" s="17" t="n">
        <v>0</v>
      </c>
    </row>
    <row r="398" customFormat="false" ht="15" hidden="false" customHeight="false" outlineLevel="0" collapsed="false">
      <c r="A398" s="17" t="n">
        <v>17749</v>
      </c>
      <c r="B398" s="23" t="n">
        <v>45291</v>
      </c>
      <c r="C398" s="17" t="s">
        <v>156</v>
      </c>
      <c r="D398" s="17" t="s">
        <v>108</v>
      </c>
      <c r="E398" s="17" t="n">
        <v>1355181</v>
      </c>
      <c r="F398" s="17" t="n">
        <v>1304222.8</v>
      </c>
      <c r="G398" s="17" t="n">
        <v>1052313</v>
      </c>
      <c r="H398" s="17" t="n">
        <v>172387</v>
      </c>
      <c r="I398" s="17" t="n">
        <v>12.7205886151001</v>
      </c>
      <c r="J398" s="17" t="n">
        <v>796866</v>
      </c>
      <c r="K398" s="17" t="n">
        <v>765228.2</v>
      </c>
      <c r="L398" s="17" t="n">
        <v>785866</v>
      </c>
      <c r="M398" s="17" t="n">
        <v>724667</v>
      </c>
      <c r="N398" s="17" t="n">
        <v>48794</v>
      </c>
      <c r="O398" s="17" t="n">
        <v>10226</v>
      </c>
      <c r="P398" s="17" t="n">
        <v>247</v>
      </c>
      <c r="Q398" s="17" t="n">
        <v>630</v>
      </c>
      <c r="R398" s="17" t="n">
        <v>145</v>
      </c>
      <c r="S398" s="17" t="n">
        <v>47</v>
      </c>
      <c r="T398" s="17" t="n">
        <v>47</v>
      </c>
      <c r="U398" s="17" t="n">
        <v>0.00614195869937883</v>
      </c>
      <c r="V398" s="17" t="n">
        <v>0</v>
      </c>
      <c r="W398" s="17" t="n">
        <v>0</v>
      </c>
      <c r="X398" s="17" t="n">
        <v>0</v>
      </c>
      <c r="Y398" s="17" t="n">
        <v>15856</v>
      </c>
      <c r="Z398" s="17" t="n">
        <v>1.21574319970484</v>
      </c>
      <c r="AA398" s="17" t="n">
        <v>9.92</v>
      </c>
      <c r="AB398" s="17" t="n">
        <v>2.72937346562349</v>
      </c>
      <c r="AC398" s="17" t="n">
        <v>1.38040774735025</v>
      </c>
      <c r="AD398" s="17" t="n">
        <v>0.03</v>
      </c>
      <c r="AE398" s="17" t="n">
        <v>1</v>
      </c>
      <c r="AF398" s="17" t="s">
        <v>241</v>
      </c>
      <c r="AG398" s="17" t="s">
        <v>232</v>
      </c>
      <c r="AH398" s="17" t="n">
        <v>1</v>
      </c>
    </row>
    <row r="399" customFormat="false" ht="15" hidden="false" customHeight="false" outlineLevel="0" collapsed="false">
      <c r="A399" s="17" t="n">
        <v>17751</v>
      </c>
      <c r="B399" s="23" t="n">
        <v>45291</v>
      </c>
      <c r="C399" s="17" t="s">
        <v>125</v>
      </c>
      <c r="D399" s="17" t="s">
        <v>108</v>
      </c>
      <c r="E399" s="17" t="n">
        <v>1594063</v>
      </c>
      <c r="F399" s="17" t="n">
        <v>1532404.4</v>
      </c>
      <c r="G399" s="17" t="n">
        <v>1298128</v>
      </c>
      <c r="H399" s="17" t="n">
        <v>137906</v>
      </c>
      <c r="I399" s="17" t="n">
        <v>8.65122645717265</v>
      </c>
      <c r="J399" s="17" t="n">
        <v>1301332</v>
      </c>
      <c r="K399" s="17" t="n">
        <v>1252917.8</v>
      </c>
      <c r="L399" s="17" t="n">
        <v>1289421</v>
      </c>
      <c r="M399" s="17" t="n">
        <v>1106344</v>
      </c>
      <c r="N399" s="17" t="n">
        <v>128172</v>
      </c>
      <c r="O399" s="17" t="n">
        <v>3312</v>
      </c>
      <c r="P399" s="17" t="n">
        <v>868</v>
      </c>
      <c r="Q399" s="17" t="n">
        <v>5195</v>
      </c>
      <c r="R399" s="17" t="n">
        <v>0</v>
      </c>
      <c r="S399" s="17" t="n">
        <v>4158</v>
      </c>
      <c r="T399" s="17" t="n">
        <v>4158</v>
      </c>
      <c r="U399" s="17" t="n">
        <v>0.331865346633275</v>
      </c>
      <c r="V399" s="17" t="n">
        <v>162144</v>
      </c>
      <c r="W399" s="17" t="n">
        <v>1331620</v>
      </c>
      <c r="X399" s="17" t="n">
        <v>12.1764467340533</v>
      </c>
      <c r="Y399" s="17" t="n">
        <v>9141</v>
      </c>
      <c r="Z399" s="17" t="n">
        <v>0.596513557387332</v>
      </c>
      <c r="AA399" s="17" t="n">
        <v>7.02</v>
      </c>
      <c r="AB399" s="17" t="n">
        <v>3.06166841264483</v>
      </c>
      <c r="AC399" s="17" t="n">
        <v>0.915292945996871</v>
      </c>
      <c r="AD399" s="17" t="n">
        <v>0.04</v>
      </c>
      <c r="AE399" s="17" t="n">
        <v>1</v>
      </c>
      <c r="AF399" s="17" t="s">
        <v>241</v>
      </c>
      <c r="AG399" s="17" t="s">
        <v>232</v>
      </c>
      <c r="AH399" s="17" t="n">
        <v>0</v>
      </c>
    </row>
    <row r="400" customFormat="false" ht="15" hidden="false" customHeight="false" outlineLevel="0" collapsed="false">
      <c r="A400" s="17" t="n">
        <v>17897</v>
      </c>
      <c r="B400" s="23" t="n">
        <v>45291</v>
      </c>
      <c r="C400" s="17" t="s">
        <v>149</v>
      </c>
      <c r="D400" s="17" t="s">
        <v>108</v>
      </c>
      <c r="E400" s="17" t="n">
        <v>1710496</v>
      </c>
      <c r="F400" s="17" t="n">
        <v>1671728.8</v>
      </c>
      <c r="G400" s="17" t="n">
        <v>1305375</v>
      </c>
      <c r="H400" s="17" t="n">
        <v>207718</v>
      </c>
      <c r="I400" s="17" t="n">
        <v>12.1437290703983</v>
      </c>
      <c r="J400" s="17" t="n">
        <v>1443037</v>
      </c>
      <c r="K400" s="17" t="n">
        <v>1414120.6</v>
      </c>
      <c r="L400" s="17" t="n">
        <v>1434063</v>
      </c>
      <c r="M400" s="17" t="n">
        <v>1358198</v>
      </c>
      <c r="N400" s="17" t="n">
        <v>72247</v>
      </c>
      <c r="O400" s="17" t="n">
        <v>3995</v>
      </c>
      <c r="P400" s="17" t="n">
        <v>3022</v>
      </c>
      <c r="Q400" s="17" t="n">
        <v>2841</v>
      </c>
      <c r="R400" s="17" t="n">
        <v>0</v>
      </c>
      <c r="S400" s="17" t="n">
        <v>-105</v>
      </c>
      <c r="T400" s="17" t="n">
        <v>-105</v>
      </c>
      <c r="U400" s="17" t="n">
        <v>-0.00742510928700141</v>
      </c>
      <c r="V400" s="17" t="n">
        <v>225090</v>
      </c>
      <c r="W400" s="17" t="n">
        <v>1305806</v>
      </c>
      <c r="X400" s="17" t="n">
        <v>17.2376294794173</v>
      </c>
      <c r="Y400" s="17" t="n">
        <v>10933</v>
      </c>
      <c r="Z400" s="17" t="n">
        <v>0.65399363820256</v>
      </c>
      <c r="AA400" s="17" t="n">
        <v>5.45</v>
      </c>
      <c r="AB400" s="17" t="n">
        <v>2.54413608727822</v>
      </c>
      <c r="AC400" s="17" t="n">
        <v>0.621882876184048</v>
      </c>
      <c r="AD400" s="17" t="n">
        <v>-0.02</v>
      </c>
      <c r="AE400" s="17" t="n">
        <v>1</v>
      </c>
      <c r="AF400" s="17" t="s">
        <v>241</v>
      </c>
      <c r="AG400" s="17" t="s">
        <v>232</v>
      </c>
      <c r="AH400" s="17" t="n">
        <v>0</v>
      </c>
    </row>
    <row r="401" customFormat="false" ht="15" hidden="false" customHeight="false" outlineLevel="0" collapsed="false">
      <c r="A401" s="17" t="n">
        <v>17951</v>
      </c>
      <c r="B401" s="23" t="n">
        <v>45291</v>
      </c>
      <c r="C401" s="17" t="s">
        <v>136</v>
      </c>
      <c r="D401" s="17" t="s">
        <v>116</v>
      </c>
      <c r="E401" s="17" t="n">
        <v>786047</v>
      </c>
      <c r="F401" s="17" t="n">
        <v>772329.6</v>
      </c>
      <c r="G401" s="17" t="n">
        <v>667956</v>
      </c>
      <c r="H401" s="17" t="n">
        <v>61893</v>
      </c>
      <c r="I401" s="17" t="n">
        <v>7.8739566463583</v>
      </c>
      <c r="J401" s="17" t="n">
        <v>579733</v>
      </c>
      <c r="K401" s="17" t="n">
        <v>553381.6</v>
      </c>
      <c r="L401" s="17" t="n">
        <v>574786</v>
      </c>
      <c r="M401" s="17" t="n">
        <v>540903</v>
      </c>
      <c r="N401" s="17" t="n">
        <v>24625</v>
      </c>
      <c r="O401" s="17" t="n">
        <v>2014</v>
      </c>
      <c r="P401" s="17" t="n">
        <v>175</v>
      </c>
      <c r="Q401" s="17" t="n">
        <v>24</v>
      </c>
      <c r="R401" s="17" t="n">
        <v>0</v>
      </c>
      <c r="S401" s="17" t="n">
        <v>-192</v>
      </c>
      <c r="T401" s="17" t="n">
        <v>-192</v>
      </c>
      <c r="U401" s="17" t="n">
        <v>-0.0346957687064406</v>
      </c>
      <c r="V401" s="17" t="n">
        <v>80505</v>
      </c>
      <c r="W401" s="17" t="n">
        <v>551839</v>
      </c>
      <c r="X401" s="17" t="n">
        <v>14.5884941078829</v>
      </c>
      <c r="Y401" s="17" t="n">
        <v>4551</v>
      </c>
      <c r="Z401" s="17" t="n">
        <v>0.589256193210774</v>
      </c>
      <c r="AA401" s="17" t="n">
        <v>7.91</v>
      </c>
      <c r="AB401" s="17" t="n">
        <v>2.70000309550974</v>
      </c>
      <c r="AC401" s="17" t="n">
        <v>0.85332385770691</v>
      </c>
      <c r="AD401" s="17" t="n">
        <v>0.1</v>
      </c>
      <c r="AE401" s="17" t="n">
        <v>1</v>
      </c>
      <c r="AF401" s="17" t="s">
        <v>241</v>
      </c>
      <c r="AG401" s="17" t="s">
        <v>232</v>
      </c>
      <c r="AH401" s="17" t="n">
        <v>0</v>
      </c>
    </row>
    <row r="402" customFormat="false" ht="15" hidden="false" customHeight="false" outlineLevel="0" collapsed="false">
      <c r="A402" s="17" t="n">
        <v>17960</v>
      </c>
      <c r="B402" s="23" t="n">
        <v>45291</v>
      </c>
      <c r="C402" s="17" t="s">
        <v>115</v>
      </c>
      <c r="D402" s="17" t="s">
        <v>116</v>
      </c>
      <c r="E402" s="17" t="n">
        <v>1368285</v>
      </c>
      <c r="F402" s="17" t="n">
        <v>1346934.8</v>
      </c>
      <c r="G402" s="17" t="n">
        <v>1030269</v>
      </c>
      <c r="H402" s="17" t="n">
        <v>113530</v>
      </c>
      <c r="I402" s="17" t="n">
        <v>8.29724801485071</v>
      </c>
      <c r="J402" s="17" t="n">
        <v>1165140</v>
      </c>
      <c r="K402" s="17" t="n">
        <v>1151095.6</v>
      </c>
      <c r="L402" s="17" t="n">
        <v>1153733</v>
      </c>
      <c r="M402" s="17" t="n">
        <v>832768</v>
      </c>
      <c r="N402" s="17" t="n">
        <v>105296</v>
      </c>
      <c r="O402" s="17" t="n">
        <v>223057</v>
      </c>
      <c r="P402" s="17" t="n">
        <v>8829</v>
      </c>
      <c r="Q402" s="17" t="n">
        <v>2370</v>
      </c>
      <c r="R402" s="17" t="n">
        <v>284</v>
      </c>
      <c r="S402" s="17" t="n">
        <v>199</v>
      </c>
      <c r="T402" s="17" t="n">
        <v>199</v>
      </c>
      <c r="U402" s="17" t="n">
        <v>0.0172878777401286</v>
      </c>
      <c r="V402" s="17" t="n">
        <v>139032</v>
      </c>
      <c r="W402" s="17" t="n">
        <v>1049389</v>
      </c>
      <c r="X402" s="17" t="n">
        <v>13.2488524274602</v>
      </c>
      <c r="Y402" s="17" t="n">
        <v>6972</v>
      </c>
      <c r="Z402" s="17" t="n">
        <v>0.517619709580597</v>
      </c>
      <c r="AA402" s="17" t="n">
        <v>6.46</v>
      </c>
      <c r="AB402" s="17" t="n">
        <v>2.79041633518132</v>
      </c>
      <c r="AC402" s="17" t="n">
        <v>0.979023979950907</v>
      </c>
      <c r="AD402" s="17" t="n">
        <v>0.05</v>
      </c>
      <c r="AE402" s="17" t="n">
        <v>1</v>
      </c>
      <c r="AF402" s="17" t="s">
        <v>241</v>
      </c>
      <c r="AG402" s="17" t="s">
        <v>232</v>
      </c>
      <c r="AH402" s="17" t="n">
        <v>0</v>
      </c>
    </row>
    <row r="403" customFormat="false" ht="15" hidden="false" customHeight="false" outlineLevel="0" collapsed="false">
      <c r="A403" s="17" t="n">
        <v>18012</v>
      </c>
      <c r="B403" s="23" t="n">
        <v>45291</v>
      </c>
      <c r="C403" s="17" t="s">
        <v>148</v>
      </c>
      <c r="D403" s="17" t="s">
        <v>116</v>
      </c>
      <c r="E403" s="17" t="n">
        <v>2515915</v>
      </c>
      <c r="F403" s="17" t="n">
        <v>2457368.6</v>
      </c>
      <c r="G403" s="17" t="n">
        <v>2106019</v>
      </c>
      <c r="H403" s="17" t="n">
        <v>266248</v>
      </c>
      <c r="I403" s="17" t="n">
        <v>10.5825514772955</v>
      </c>
      <c r="J403" s="17" t="n">
        <v>1993532</v>
      </c>
      <c r="K403" s="17" t="n">
        <v>1986810</v>
      </c>
      <c r="L403" s="17" t="n">
        <v>1969524</v>
      </c>
      <c r="M403" s="17" t="n">
        <v>1887130</v>
      </c>
      <c r="N403" s="17" t="n">
        <v>49841</v>
      </c>
      <c r="O403" s="17" t="n">
        <v>33148</v>
      </c>
      <c r="P403" s="17" t="n">
        <v>555</v>
      </c>
      <c r="Q403" s="17" t="n">
        <v>3215</v>
      </c>
      <c r="R403" s="17" t="n">
        <v>0</v>
      </c>
      <c r="S403" s="17" t="n">
        <v>162</v>
      </c>
      <c r="T403" s="17" t="n">
        <v>162</v>
      </c>
      <c r="U403" s="17" t="n">
        <v>0.00815377414045631</v>
      </c>
      <c r="V403" s="17" t="n">
        <v>300923</v>
      </c>
      <c r="W403" s="17" t="n">
        <v>2118069</v>
      </c>
      <c r="X403" s="17" t="n">
        <v>14.2074219489545</v>
      </c>
      <c r="Y403" s="17" t="n">
        <v>21575</v>
      </c>
      <c r="Z403" s="17" t="n">
        <v>0.877971664486964</v>
      </c>
      <c r="AA403" s="17" t="n">
        <v>8.58</v>
      </c>
      <c r="AB403" s="17" t="n">
        <v>3.00536889829927</v>
      </c>
      <c r="AC403" s="17" t="n">
        <v>1.20429468902431</v>
      </c>
      <c r="AD403" s="17" t="n">
        <v>-0.02</v>
      </c>
      <c r="AE403" s="17" t="n">
        <v>1</v>
      </c>
      <c r="AF403" s="17" t="s">
        <v>314</v>
      </c>
      <c r="AG403" s="17" t="s">
        <v>232</v>
      </c>
      <c r="AH403" s="17" t="n">
        <v>0</v>
      </c>
    </row>
    <row r="404" customFormat="false" ht="15" hidden="false" customHeight="false" outlineLevel="0" collapsed="false">
      <c r="A404" s="17" t="n">
        <v>18013</v>
      </c>
      <c r="B404" s="23" t="n">
        <v>45291</v>
      </c>
      <c r="C404" s="17" t="s">
        <v>131</v>
      </c>
      <c r="D404" s="17" t="s">
        <v>116</v>
      </c>
      <c r="E404" s="17" t="n">
        <v>2931539</v>
      </c>
      <c r="F404" s="17" t="n">
        <v>2818384.2</v>
      </c>
      <c r="G404" s="17" t="n">
        <v>2493477</v>
      </c>
      <c r="H404" s="17" t="n">
        <v>220301</v>
      </c>
      <c r="I404" s="17" t="n">
        <v>7.51485823657812</v>
      </c>
      <c r="J404" s="17" t="n">
        <v>2374611</v>
      </c>
      <c r="K404" s="17" t="n">
        <v>2270065.6</v>
      </c>
      <c r="L404" s="17" t="n">
        <v>2357750</v>
      </c>
      <c r="M404" s="17" t="n">
        <v>2161468</v>
      </c>
      <c r="N404" s="17" t="n">
        <v>110574</v>
      </c>
      <c r="O404" s="17" t="n">
        <v>26129</v>
      </c>
      <c r="P404" s="17" t="n">
        <v>686</v>
      </c>
      <c r="Q404" s="17" t="n">
        <v>5925</v>
      </c>
      <c r="R404" s="17" t="n">
        <v>24</v>
      </c>
      <c r="S404" s="17" t="n">
        <v>320</v>
      </c>
      <c r="T404" s="17" t="n">
        <v>320</v>
      </c>
      <c r="U404" s="17" t="n">
        <v>0.0140965089290812</v>
      </c>
      <c r="V404" s="17" t="n">
        <v>268175</v>
      </c>
      <c r="W404" s="17" t="n">
        <v>2114445</v>
      </c>
      <c r="X404" s="17" t="n">
        <v>12.6829971931169</v>
      </c>
      <c r="Y404" s="17" t="n">
        <v>11119</v>
      </c>
      <c r="Z404" s="17" t="n">
        <v>0.394516829891397</v>
      </c>
      <c r="AA404" s="17" t="n">
        <v>5.28</v>
      </c>
      <c r="AB404" s="17" t="n">
        <v>2.73279494803359</v>
      </c>
      <c r="AC404" s="17" t="n">
        <v>0.71005314133557</v>
      </c>
      <c r="AD404" s="17" t="n">
        <v>0.05</v>
      </c>
      <c r="AE404" s="17" t="n">
        <v>1</v>
      </c>
      <c r="AF404" s="17" t="s">
        <v>314</v>
      </c>
      <c r="AG404" s="17" t="s">
        <v>232</v>
      </c>
      <c r="AH404" s="17" t="n">
        <v>0</v>
      </c>
    </row>
    <row r="405" customFormat="false" ht="15" hidden="false" customHeight="false" outlineLevel="0" collapsed="false">
      <c r="A405" s="17" t="n">
        <v>18028</v>
      </c>
      <c r="B405" s="23" t="n">
        <v>45291</v>
      </c>
      <c r="C405" s="17" t="s">
        <v>130</v>
      </c>
      <c r="D405" s="17" t="s">
        <v>116</v>
      </c>
      <c r="E405" s="17" t="n">
        <v>392854</v>
      </c>
      <c r="F405" s="17" t="n">
        <v>385160.4</v>
      </c>
      <c r="G405" s="17" t="n">
        <v>313497</v>
      </c>
      <c r="H405" s="17" t="n">
        <v>40632</v>
      </c>
      <c r="I405" s="17" t="n">
        <v>10.3427736512801</v>
      </c>
      <c r="J405" s="17" t="n">
        <v>265068</v>
      </c>
      <c r="K405" s="17" t="n">
        <v>258042.6</v>
      </c>
      <c r="L405" s="17" t="n">
        <v>262743</v>
      </c>
      <c r="M405" s="17" t="n">
        <v>237654</v>
      </c>
      <c r="N405" s="17" t="n">
        <v>15393</v>
      </c>
      <c r="O405" s="17" t="n">
        <v>6367</v>
      </c>
      <c r="P405" s="17" t="n">
        <v>817</v>
      </c>
      <c r="Q405" s="17" t="n">
        <v>1644</v>
      </c>
      <c r="R405" s="17" t="n">
        <v>104</v>
      </c>
      <c r="S405" s="17" t="n">
        <v>383</v>
      </c>
      <c r="T405" s="17" t="n">
        <v>383</v>
      </c>
      <c r="U405" s="17" t="n">
        <v>0.148425105002042</v>
      </c>
      <c r="V405" s="17" t="n">
        <v>0</v>
      </c>
      <c r="W405" s="17" t="n">
        <v>0</v>
      </c>
      <c r="X405" s="17" t="n">
        <v>0</v>
      </c>
      <c r="Y405" s="17" t="n">
        <v>2351</v>
      </c>
      <c r="Z405" s="17" t="n">
        <v>0.610395045804294</v>
      </c>
      <c r="AA405" s="17" t="n">
        <v>6.26</v>
      </c>
      <c r="AB405" s="17" t="n">
        <v>3.41924397656439</v>
      </c>
      <c r="AC405" s="17" t="n">
        <v>0.877133414821857</v>
      </c>
      <c r="AD405" s="17" t="n">
        <v>0.07</v>
      </c>
      <c r="AE405" s="17" t="n">
        <v>1</v>
      </c>
      <c r="AF405" s="17" t="s">
        <v>241</v>
      </c>
      <c r="AG405" s="17" t="s">
        <v>232</v>
      </c>
      <c r="AH405" s="17" t="n">
        <v>0</v>
      </c>
    </row>
    <row r="406" customFormat="false" ht="15" hidden="false" customHeight="false" outlineLevel="0" collapsed="false">
      <c r="A406" s="17" t="n">
        <v>18030</v>
      </c>
      <c r="B406" s="23" t="n">
        <v>45291</v>
      </c>
      <c r="C406" s="17" t="s">
        <v>157</v>
      </c>
      <c r="D406" s="17" t="s">
        <v>116</v>
      </c>
      <c r="E406" s="17" t="n">
        <v>727730</v>
      </c>
      <c r="F406" s="17" t="n">
        <v>721121.8</v>
      </c>
      <c r="G406" s="17" t="n">
        <v>660214</v>
      </c>
      <c r="H406" s="17" t="n">
        <v>49050</v>
      </c>
      <c r="I406" s="17" t="n">
        <v>6.740137138774</v>
      </c>
      <c r="J406" s="17" t="n">
        <v>587845</v>
      </c>
      <c r="K406" s="17" t="n">
        <v>575325.8</v>
      </c>
      <c r="L406" s="17" t="n">
        <v>581874</v>
      </c>
      <c r="M406" s="17" t="n">
        <v>451120</v>
      </c>
      <c r="N406" s="17" t="n">
        <v>41412</v>
      </c>
      <c r="O406" s="17" t="n">
        <v>95210</v>
      </c>
      <c r="P406" s="17" t="n">
        <v>456</v>
      </c>
      <c r="Q406" s="17" t="n">
        <v>829</v>
      </c>
      <c r="R406" s="17" t="n">
        <v>0</v>
      </c>
      <c r="S406" s="17" t="n">
        <v>-350</v>
      </c>
      <c r="T406" s="17" t="n">
        <v>-350</v>
      </c>
      <c r="U406" s="17" t="n">
        <v>-0.060835095523267</v>
      </c>
      <c r="V406" s="17" t="n">
        <v>67220</v>
      </c>
      <c r="W406" s="17" t="n">
        <v>505566</v>
      </c>
      <c r="X406" s="17" t="n">
        <v>13.2959890498966</v>
      </c>
      <c r="Y406" s="17" t="n">
        <v>5071</v>
      </c>
      <c r="Z406" s="17" t="n">
        <v>0.703209915440082</v>
      </c>
      <c r="AA406" s="17" t="n">
        <v>11.34</v>
      </c>
      <c r="AB406" s="17" t="n">
        <v>3.49141875348247</v>
      </c>
      <c r="AC406" s="17" t="n">
        <v>1.01574394610824</v>
      </c>
      <c r="AD406" s="17" t="n">
        <v>0.04</v>
      </c>
      <c r="AE406" s="17" t="n">
        <v>1</v>
      </c>
      <c r="AF406" s="17" t="s">
        <v>241</v>
      </c>
      <c r="AG406" s="17" t="s">
        <v>232</v>
      </c>
      <c r="AH406" s="17" t="n">
        <v>0</v>
      </c>
    </row>
    <row r="407" customFormat="false" ht="15" hidden="false" customHeight="false" outlineLevel="0" collapsed="false">
      <c r="A407" s="17" t="n">
        <v>18031</v>
      </c>
      <c r="B407" s="23" t="n">
        <v>45291</v>
      </c>
      <c r="C407" s="17" t="s">
        <v>152</v>
      </c>
      <c r="D407" s="17" t="s">
        <v>116</v>
      </c>
      <c r="E407" s="17" t="n">
        <v>684364</v>
      </c>
      <c r="F407" s="17" t="n">
        <v>669039.6</v>
      </c>
      <c r="G407" s="17" t="n">
        <v>562404</v>
      </c>
      <c r="H407" s="17" t="n">
        <v>37606</v>
      </c>
      <c r="I407" s="17" t="n">
        <v>5.49502896119609</v>
      </c>
      <c r="J407" s="17" t="n">
        <v>480262</v>
      </c>
      <c r="K407" s="17" t="n">
        <v>474412.8</v>
      </c>
      <c r="L407" s="17" t="n">
        <v>476247</v>
      </c>
      <c r="M407" s="17" t="n">
        <v>439722</v>
      </c>
      <c r="N407" s="17" t="n">
        <v>23262</v>
      </c>
      <c r="O407" s="17" t="n">
        <v>10669</v>
      </c>
      <c r="P407" s="17" t="n">
        <v>697</v>
      </c>
      <c r="Q407" s="17" t="n">
        <v>1155</v>
      </c>
      <c r="R407" s="17" t="n">
        <v>0</v>
      </c>
      <c r="S407" s="17" t="n">
        <v>-8</v>
      </c>
      <c r="T407" s="17" t="n">
        <v>-8</v>
      </c>
      <c r="U407" s="17" t="n">
        <v>-0.00168629514212096</v>
      </c>
      <c r="V407" s="17" t="n">
        <v>61099</v>
      </c>
      <c r="W407" s="17" t="n">
        <v>379642</v>
      </c>
      <c r="X407" s="17" t="n">
        <v>16.0938463078374</v>
      </c>
      <c r="Y407" s="17" t="n">
        <v>1722</v>
      </c>
      <c r="Z407" s="17" t="n">
        <v>0.257383867860737</v>
      </c>
      <c r="AA407" s="17" t="n">
        <v>4.84</v>
      </c>
      <c r="AB407" s="17" t="n">
        <v>2.72156004022497</v>
      </c>
      <c r="AC407" s="17" t="n">
        <v>0.836002015566503</v>
      </c>
      <c r="AD407" s="17" t="n">
        <v>-0.01</v>
      </c>
      <c r="AE407" s="17" t="n">
        <v>0</v>
      </c>
      <c r="AF407" s="17" t="s">
        <v>241</v>
      </c>
      <c r="AG407" s="17" t="s">
        <v>232</v>
      </c>
      <c r="AH407" s="17" t="n">
        <v>0</v>
      </c>
    </row>
    <row r="408" customFormat="false" ht="15" hidden="false" customHeight="false" outlineLevel="0" collapsed="false">
      <c r="A408" s="17" t="n">
        <v>18038</v>
      </c>
      <c r="B408" s="23" t="n">
        <v>45291</v>
      </c>
      <c r="C408" s="17" t="s">
        <v>128</v>
      </c>
      <c r="D408" s="17" t="s">
        <v>116</v>
      </c>
      <c r="E408" s="17" t="n">
        <v>552093</v>
      </c>
      <c r="F408" s="17" t="n">
        <v>547223.6</v>
      </c>
      <c r="G408" s="17" t="n">
        <v>419606</v>
      </c>
      <c r="H408" s="17" t="n">
        <v>66547</v>
      </c>
      <c r="I408" s="17" t="n">
        <v>12.0535851749615</v>
      </c>
      <c r="J408" s="17" t="n">
        <v>418246</v>
      </c>
      <c r="K408" s="17" t="n">
        <v>415497.6</v>
      </c>
      <c r="L408" s="17" t="n">
        <v>414367</v>
      </c>
      <c r="M408" s="17" t="n">
        <v>392161</v>
      </c>
      <c r="N408" s="17" t="n">
        <v>21976</v>
      </c>
      <c r="O408" s="17" t="n">
        <v>3848</v>
      </c>
      <c r="P408" s="17" t="n">
        <v>2367</v>
      </c>
      <c r="Q408" s="17" t="n">
        <v>822</v>
      </c>
      <c r="R408" s="17" t="n">
        <v>0</v>
      </c>
      <c r="S408" s="17" t="n">
        <v>-77</v>
      </c>
      <c r="T408" s="17" t="n">
        <v>-77</v>
      </c>
      <c r="U408" s="17" t="n">
        <v>-0.0185319963340342</v>
      </c>
      <c r="V408" s="17" t="n">
        <v>0</v>
      </c>
      <c r="W408" s="17" t="n">
        <v>0</v>
      </c>
      <c r="X408" s="17" t="n">
        <v>0</v>
      </c>
      <c r="Y408" s="17" t="n">
        <v>1707</v>
      </c>
      <c r="Z408" s="17" t="n">
        <v>0.311938300906613</v>
      </c>
      <c r="AA408" s="17" t="n">
        <v>2.64</v>
      </c>
      <c r="AB408" s="17" t="n">
        <v>2.45051426504837</v>
      </c>
      <c r="AC408" s="17" t="n">
        <v>0.92744461393534</v>
      </c>
      <c r="AD408" s="17" t="n">
        <v>-0.04</v>
      </c>
      <c r="AE408" s="17" t="n">
        <v>1</v>
      </c>
      <c r="AF408" s="17" t="s">
        <v>241</v>
      </c>
      <c r="AG408" s="17" t="s">
        <v>232</v>
      </c>
      <c r="AH408" s="17" t="n">
        <v>1</v>
      </c>
    </row>
    <row r="409" customFormat="false" ht="15" hidden="false" customHeight="false" outlineLevel="0" collapsed="false">
      <c r="A409" s="17" t="n">
        <v>18408</v>
      </c>
      <c r="B409" s="23" t="n">
        <v>45291</v>
      </c>
      <c r="C409" s="17" t="s">
        <v>107</v>
      </c>
      <c r="D409" s="17" t="s">
        <v>108</v>
      </c>
      <c r="E409" s="17" t="n">
        <v>7260613</v>
      </c>
      <c r="F409" s="17" t="n">
        <v>7351863</v>
      </c>
      <c r="G409" s="17" t="n">
        <v>5329154</v>
      </c>
      <c r="H409" s="17" t="n">
        <v>408311</v>
      </c>
      <c r="I409" s="17" t="n">
        <v>5.62364362347917</v>
      </c>
      <c r="J409" s="17" t="n">
        <v>4829377</v>
      </c>
      <c r="K409" s="17" t="n">
        <v>4763858.4</v>
      </c>
      <c r="L409" s="17" t="n">
        <v>4797557</v>
      </c>
      <c r="M409" s="17" t="n">
        <v>4395557</v>
      </c>
      <c r="N409" s="17" t="n">
        <v>333151</v>
      </c>
      <c r="O409" s="17" t="n">
        <v>34286</v>
      </c>
      <c r="P409" s="17" t="n">
        <v>3682</v>
      </c>
      <c r="Q409" s="17" t="n">
        <v>7936</v>
      </c>
      <c r="R409" s="17" t="n">
        <v>0</v>
      </c>
      <c r="S409" s="17" t="n">
        <v>1220</v>
      </c>
      <c r="T409" s="17" t="n">
        <v>1220</v>
      </c>
      <c r="U409" s="17" t="n">
        <v>0.0256094933468216</v>
      </c>
      <c r="V409" s="17" t="n">
        <v>579357</v>
      </c>
      <c r="W409" s="17" t="n">
        <v>4909302</v>
      </c>
      <c r="X409" s="17" t="n">
        <v>11.8012092146704</v>
      </c>
      <c r="Y409" s="17" t="n">
        <v>18069</v>
      </c>
      <c r="Z409" s="17" t="n">
        <v>0.245774438397451</v>
      </c>
      <c r="AA409" s="17" t="n">
        <v>4.9</v>
      </c>
      <c r="AB409" s="17" t="n">
        <v>2.09802163979008</v>
      </c>
      <c r="AC409" s="17" t="n">
        <v>0.658884158350031</v>
      </c>
      <c r="AD409" s="17" t="n">
        <v>-0.07</v>
      </c>
      <c r="AE409" s="17" t="n">
        <v>1</v>
      </c>
      <c r="AF409" s="17" t="s">
        <v>241</v>
      </c>
      <c r="AG409" s="17" t="s">
        <v>232</v>
      </c>
      <c r="AH409" s="17" t="n">
        <v>0</v>
      </c>
    </row>
    <row r="410" customFormat="false" ht="15" hidden="false" customHeight="false" outlineLevel="0" collapsed="false">
      <c r="A410" s="17" t="n">
        <v>19531</v>
      </c>
      <c r="B410" s="23" t="n">
        <v>45291</v>
      </c>
      <c r="C410" s="17" t="s">
        <v>146</v>
      </c>
      <c r="D410" s="17" t="s">
        <v>108</v>
      </c>
      <c r="E410" s="17" t="n">
        <v>2483046</v>
      </c>
      <c r="F410" s="17" t="n">
        <v>2418598.8</v>
      </c>
      <c r="G410" s="17" t="n">
        <v>2045823</v>
      </c>
      <c r="H410" s="17" t="n">
        <v>242363</v>
      </c>
      <c r="I410" s="17" t="n">
        <v>9.76071325299652</v>
      </c>
      <c r="J410" s="17" t="n">
        <v>1996479</v>
      </c>
      <c r="K410" s="17" t="n">
        <v>1945964.6</v>
      </c>
      <c r="L410" s="17" t="n">
        <v>1975432</v>
      </c>
      <c r="M410" s="17" t="n">
        <v>1632308</v>
      </c>
      <c r="N410" s="17" t="n">
        <v>248052</v>
      </c>
      <c r="O410" s="17" t="n">
        <v>14524</v>
      </c>
      <c r="P410" s="17" t="n">
        <v>6950</v>
      </c>
      <c r="Q410" s="17" t="n">
        <v>8747</v>
      </c>
      <c r="R410" s="17" t="n">
        <v>53</v>
      </c>
      <c r="S410" s="17" t="n">
        <v>433</v>
      </c>
      <c r="T410" s="17" t="n">
        <v>433</v>
      </c>
      <c r="U410" s="17" t="n">
        <v>0.0222511755866474</v>
      </c>
      <c r="V410" s="17" t="n">
        <v>296808</v>
      </c>
      <c r="W410" s="17" t="n">
        <v>2056522</v>
      </c>
      <c r="X410" s="17" t="n">
        <v>14.4325224821325</v>
      </c>
      <c r="Y410" s="17" t="n">
        <v>11685</v>
      </c>
      <c r="Z410" s="17" t="n">
        <v>0.483130976497632</v>
      </c>
      <c r="AA410" s="17" t="n">
        <v>5.05</v>
      </c>
      <c r="AB410" s="17" t="n">
        <v>2.72825941963083</v>
      </c>
      <c r="AC410" s="17" t="n">
        <v>1.05420592953895</v>
      </c>
      <c r="AD410" s="17" t="n">
        <v>-0.1</v>
      </c>
      <c r="AE410" s="17" t="n">
        <v>1</v>
      </c>
      <c r="AF410" s="17" t="s">
        <v>241</v>
      </c>
      <c r="AG410" s="17" t="s">
        <v>232</v>
      </c>
      <c r="AH410" s="17" t="n">
        <v>0</v>
      </c>
    </row>
    <row r="411" customFormat="false" ht="15" hidden="false" customHeight="false" outlineLevel="0" collapsed="false">
      <c r="A411" s="17" t="n">
        <v>19532</v>
      </c>
      <c r="B411" s="23" t="n">
        <v>45291</v>
      </c>
      <c r="C411" s="17" t="s">
        <v>164</v>
      </c>
      <c r="D411" s="17" t="s">
        <v>108</v>
      </c>
      <c r="E411" s="17" t="n">
        <v>876702</v>
      </c>
      <c r="F411" s="17" t="n">
        <v>808383.2</v>
      </c>
      <c r="G411" s="17" t="n">
        <v>727881</v>
      </c>
      <c r="H411" s="17" t="n">
        <v>96676</v>
      </c>
      <c r="I411" s="17" t="n">
        <v>11.0272361646261</v>
      </c>
      <c r="J411" s="17" t="n">
        <v>585480</v>
      </c>
      <c r="K411" s="17" t="n">
        <v>567110.4</v>
      </c>
      <c r="L411" s="17" t="n">
        <v>579563</v>
      </c>
      <c r="M411" s="17" t="n">
        <v>482338</v>
      </c>
      <c r="N411" s="17" t="n">
        <v>43720</v>
      </c>
      <c r="O411" s="17" t="n">
        <v>53648</v>
      </c>
      <c r="P411" s="17" t="n">
        <v>1128</v>
      </c>
      <c r="Q411" s="17" t="n">
        <v>1388</v>
      </c>
      <c r="R411" s="17" t="n">
        <v>12</v>
      </c>
      <c r="S411" s="17" t="n">
        <v>102</v>
      </c>
      <c r="T411" s="17" t="n">
        <v>102</v>
      </c>
      <c r="U411" s="17" t="n">
        <v>0.0179859159698006</v>
      </c>
      <c r="V411" s="17" t="n">
        <v>120881</v>
      </c>
      <c r="W411" s="17" t="n">
        <v>580036</v>
      </c>
      <c r="X411" s="17" t="n">
        <v>20.8402581908709</v>
      </c>
      <c r="Y411" s="17" t="n">
        <v>6211</v>
      </c>
      <c r="Z411" s="17" t="n">
        <v>0.768323735574911</v>
      </c>
      <c r="AA411" s="17" t="n">
        <v>6.79</v>
      </c>
      <c r="AB411" s="17" t="n">
        <v>3.29213749359693</v>
      </c>
      <c r="AC411" s="17" t="n">
        <v>1.0106237616998</v>
      </c>
      <c r="AD411" s="17" t="n">
        <v>0.03</v>
      </c>
      <c r="AE411" s="17" t="n">
        <v>1</v>
      </c>
      <c r="AF411" s="17" t="s">
        <v>241</v>
      </c>
      <c r="AG411" s="17" t="s">
        <v>232</v>
      </c>
      <c r="AH411" s="17" t="n">
        <v>1</v>
      </c>
    </row>
    <row r="412" customFormat="false" ht="15" hidden="false" customHeight="false" outlineLevel="0" collapsed="false">
      <c r="A412" s="17" t="n">
        <v>19690</v>
      </c>
      <c r="B412" s="23" t="n">
        <v>45291</v>
      </c>
      <c r="C412" s="17" t="s">
        <v>158</v>
      </c>
      <c r="D412" s="17" t="s">
        <v>108</v>
      </c>
      <c r="E412" s="17" t="n">
        <v>2968976</v>
      </c>
      <c r="F412" s="17" t="n">
        <v>2878254.4</v>
      </c>
      <c r="G412" s="17" t="n">
        <v>2150988</v>
      </c>
      <c r="H412" s="17" t="n">
        <v>327540</v>
      </c>
      <c r="I412" s="17" t="n">
        <v>11.03208648369</v>
      </c>
      <c r="J412" s="17" t="n">
        <v>2611058</v>
      </c>
      <c r="K412" s="17" t="n">
        <v>2534836</v>
      </c>
      <c r="L412" s="17" t="n">
        <v>2583464</v>
      </c>
      <c r="M412" s="17" t="n">
        <v>2127332</v>
      </c>
      <c r="N412" s="17" t="n">
        <v>48038</v>
      </c>
      <c r="O412" s="17" t="n">
        <v>382</v>
      </c>
      <c r="P412" s="17" t="n">
        <v>30772</v>
      </c>
      <c r="Q412" s="17" t="n">
        <v>3570</v>
      </c>
      <c r="R412" s="17" t="n">
        <v>0</v>
      </c>
      <c r="S412" s="17" t="n">
        <v>2768</v>
      </c>
      <c r="T412" s="17" t="n">
        <v>2768</v>
      </c>
      <c r="U412" s="17" t="n">
        <v>0.109198386009983</v>
      </c>
      <c r="V412" s="17" t="n">
        <v>355096</v>
      </c>
      <c r="W412" s="17" t="n">
        <v>2590744</v>
      </c>
      <c r="X412" s="17" t="n">
        <v>13.7063330070435</v>
      </c>
      <c r="Y412" s="17" t="n">
        <v>53830</v>
      </c>
      <c r="Z412" s="17" t="n">
        <v>1.87023078988431</v>
      </c>
      <c r="AA412" s="17" t="n">
        <v>18.15</v>
      </c>
      <c r="AB412" s="17" t="n">
        <v>5.06398378833269</v>
      </c>
      <c r="AC412" s="17" t="n">
        <v>1.05681298538753</v>
      </c>
      <c r="AD412" s="17" t="n">
        <v>0.06</v>
      </c>
      <c r="AE412" s="17" t="n">
        <v>1</v>
      </c>
      <c r="AF412" s="17" t="s">
        <v>231</v>
      </c>
      <c r="AG412" s="17" t="s">
        <v>232</v>
      </c>
      <c r="AH412" s="17" t="n">
        <v>0</v>
      </c>
    </row>
    <row r="413" customFormat="false" ht="15" hidden="false" customHeight="false" outlineLevel="0" collapsed="false">
      <c r="A413" s="17" t="n">
        <v>19836</v>
      </c>
      <c r="B413" s="23" t="n">
        <v>45291</v>
      </c>
      <c r="C413" s="17" t="s">
        <v>136</v>
      </c>
      <c r="D413" s="17" t="s">
        <v>108</v>
      </c>
      <c r="E413" s="17" t="n">
        <v>659684</v>
      </c>
      <c r="F413" s="17" t="n">
        <v>616745.8</v>
      </c>
      <c r="G413" s="17" t="n">
        <v>484649</v>
      </c>
      <c r="H413" s="17" t="n">
        <v>120787</v>
      </c>
      <c r="I413" s="17" t="n">
        <v>18.3098271293528</v>
      </c>
      <c r="J413" s="17" t="n">
        <v>547206</v>
      </c>
      <c r="K413" s="17" t="n">
        <v>511787.4</v>
      </c>
      <c r="L413" s="17" t="n">
        <v>542743</v>
      </c>
      <c r="M413" s="17" t="n">
        <v>481157</v>
      </c>
      <c r="N413" s="17" t="n">
        <v>49815</v>
      </c>
      <c r="O413" s="17" t="n">
        <v>11959</v>
      </c>
      <c r="P413" s="17" t="n">
        <v>3751</v>
      </c>
      <c r="Q413" s="17" t="n">
        <v>3494</v>
      </c>
      <c r="R413" s="17" t="n">
        <v>123</v>
      </c>
      <c r="S413" s="17" t="n">
        <v>72</v>
      </c>
      <c r="T413" s="17" t="n">
        <v>72</v>
      </c>
      <c r="U413" s="17" t="n">
        <v>0.0140683416590561</v>
      </c>
      <c r="V413" s="17" t="n">
        <v>134796</v>
      </c>
      <c r="W413" s="17" t="n">
        <v>522650</v>
      </c>
      <c r="X413" s="17" t="n">
        <v>25.7908734334641</v>
      </c>
      <c r="Y413" s="17" t="n">
        <v>4858</v>
      </c>
      <c r="Z413" s="17" t="n">
        <v>0.787682704932891</v>
      </c>
      <c r="AA413" s="17" t="n">
        <v>4.09</v>
      </c>
      <c r="AB413" s="17" t="n">
        <v>3.92169622453003</v>
      </c>
      <c r="AC413" s="17" t="n">
        <v>0.815597782188061</v>
      </c>
      <c r="AD413" s="17" t="n">
        <v>0.04</v>
      </c>
      <c r="AE413" s="17" t="n">
        <v>1</v>
      </c>
      <c r="AF413" s="17" t="s">
        <v>314</v>
      </c>
      <c r="AG413" s="17" t="s">
        <v>232</v>
      </c>
      <c r="AH413" s="17" t="n">
        <v>0</v>
      </c>
    </row>
    <row r="414" customFormat="false" ht="15" hidden="false" customHeight="false" outlineLevel="0" collapsed="false">
      <c r="A414" s="17" t="n">
        <v>24540</v>
      </c>
      <c r="B414" s="23" t="n">
        <v>45291</v>
      </c>
      <c r="C414" s="17" t="s">
        <v>163</v>
      </c>
      <c r="D414" s="17" t="s">
        <v>116</v>
      </c>
      <c r="E414" s="17" t="n">
        <v>1381838</v>
      </c>
      <c r="F414" s="17" t="n">
        <v>1337905.6</v>
      </c>
      <c r="G414" s="17" t="n">
        <v>1106164</v>
      </c>
      <c r="H414" s="17" t="n">
        <v>246470</v>
      </c>
      <c r="I414" s="17" t="n">
        <v>17.8363889254746</v>
      </c>
      <c r="J414" s="17" t="n">
        <v>1204510</v>
      </c>
      <c r="K414" s="17" t="n">
        <v>1153885.2</v>
      </c>
      <c r="L414" s="17" t="n">
        <v>1192899</v>
      </c>
      <c r="M414" s="17" t="n">
        <v>1166184</v>
      </c>
      <c r="N414" s="17" t="n">
        <v>42620</v>
      </c>
      <c r="O414" s="17" t="n">
        <v>66</v>
      </c>
      <c r="P414" s="17" t="n">
        <v>430</v>
      </c>
      <c r="Q414" s="17" t="n">
        <v>21674</v>
      </c>
      <c r="R414" s="17" t="n">
        <v>0</v>
      </c>
      <c r="S414" s="17" t="n">
        <v>0</v>
      </c>
      <c r="T414" s="17" t="n">
        <v>0</v>
      </c>
      <c r="U414" s="17" t="n">
        <v>0</v>
      </c>
      <c r="V414" s="17" t="n">
        <v>262917</v>
      </c>
      <c r="W414" s="17" t="n">
        <v>1379036</v>
      </c>
      <c r="X414" s="17" t="n">
        <v>19.0652745831146</v>
      </c>
      <c r="Y414" s="17" t="n">
        <v>31946</v>
      </c>
      <c r="Z414" s="17" t="n">
        <v>2.38776188693731</v>
      </c>
      <c r="AA414" s="17" t="n">
        <v>13.82</v>
      </c>
      <c r="AB414" s="17" t="n">
        <v>4.94178638574564</v>
      </c>
      <c r="AC414" s="17" t="n">
        <v>0.963960448647168</v>
      </c>
      <c r="AD414" s="17" t="n">
        <v>0.3</v>
      </c>
      <c r="AE414" s="17" t="n">
        <v>1</v>
      </c>
      <c r="AF414" s="17" t="s">
        <v>231</v>
      </c>
      <c r="AG414" s="17" t="s">
        <v>232</v>
      </c>
      <c r="AH414" s="17" t="n">
        <v>0</v>
      </c>
    </row>
    <row r="415" customFormat="false" ht="15" hidden="false" customHeight="false" outlineLevel="0" collapsed="false">
      <c r="A415" s="17" t="n">
        <v>27824</v>
      </c>
      <c r="B415" s="23" t="n">
        <v>45291</v>
      </c>
      <c r="C415" s="17" t="s">
        <v>117</v>
      </c>
      <c r="D415" s="17" t="s">
        <v>116</v>
      </c>
      <c r="E415" s="17" t="n">
        <v>540887</v>
      </c>
      <c r="F415" s="17" t="n">
        <v>512115.6</v>
      </c>
      <c r="G415" s="17" t="n">
        <v>387033</v>
      </c>
      <c r="H415" s="17" t="n">
        <v>65160</v>
      </c>
      <c r="I415" s="17" t="n">
        <v>12.0468785531913</v>
      </c>
      <c r="J415" s="17" t="n">
        <v>453372</v>
      </c>
      <c r="K415" s="17" t="n">
        <v>426927.6</v>
      </c>
      <c r="L415" s="17" t="n">
        <v>450372</v>
      </c>
      <c r="M415" s="17" t="n">
        <v>388283</v>
      </c>
      <c r="N415" s="17" t="n">
        <v>21688</v>
      </c>
      <c r="O415" s="17" t="n">
        <v>43401</v>
      </c>
      <c r="P415" s="17" t="n">
        <v>1178</v>
      </c>
      <c r="Q415" s="17" t="n">
        <v>1408</v>
      </c>
      <c r="R415" s="17" t="n">
        <v>0</v>
      </c>
      <c r="S415" s="17" t="n">
        <v>122</v>
      </c>
      <c r="T415" s="17" t="n">
        <v>122</v>
      </c>
      <c r="U415" s="17" t="n">
        <v>0.0285762738225404</v>
      </c>
      <c r="V415" s="17" t="n">
        <v>73942</v>
      </c>
      <c r="W415" s="17" t="n">
        <v>351118</v>
      </c>
      <c r="X415" s="17" t="n">
        <v>21.059017196498</v>
      </c>
      <c r="Y415" s="17" t="n">
        <v>-973</v>
      </c>
      <c r="Z415" s="17" t="n">
        <v>-0.189996164928387</v>
      </c>
      <c r="AA415" s="17" t="n">
        <v>-1.48</v>
      </c>
      <c r="AB415" s="17" t="n">
        <v>1.87494551404564</v>
      </c>
      <c r="AC415" s="17" t="n">
        <v>0.66170826605966</v>
      </c>
      <c r="AD415" s="17" t="n">
        <v>-0.04</v>
      </c>
      <c r="AE415" s="17" t="n">
        <v>1</v>
      </c>
      <c r="AF415" s="17" t="s">
        <v>354</v>
      </c>
      <c r="AG415" s="17" t="s">
        <v>232</v>
      </c>
      <c r="AH415" s="17" t="n">
        <v>1</v>
      </c>
    </row>
    <row r="416" customFormat="false" ht="15" hidden="false" customHeight="false" outlineLevel="0" collapsed="false">
      <c r="A416" s="17" t="n">
        <v>28155</v>
      </c>
      <c r="B416" s="23" t="n">
        <v>45291</v>
      </c>
      <c r="C416" s="17" t="s">
        <v>150</v>
      </c>
      <c r="D416" s="17" t="s">
        <v>116</v>
      </c>
      <c r="E416" s="17" t="n">
        <v>300333</v>
      </c>
      <c r="F416" s="17" t="n">
        <v>298937.6</v>
      </c>
      <c r="G416" s="17" t="n">
        <v>262408</v>
      </c>
      <c r="H416" s="17" t="n">
        <v>27418</v>
      </c>
      <c r="I416" s="17" t="n">
        <v>9.12919992142056</v>
      </c>
      <c r="J416" s="17" t="n">
        <v>167102</v>
      </c>
      <c r="K416" s="17" t="n">
        <v>161904.6</v>
      </c>
      <c r="L416" s="17" t="n">
        <v>166294</v>
      </c>
      <c r="M416" s="17" t="n">
        <v>149453</v>
      </c>
      <c r="N416" s="17" t="n">
        <v>11200</v>
      </c>
      <c r="O416" s="17" t="n">
        <v>5939</v>
      </c>
      <c r="P416" s="17" t="n">
        <v>0</v>
      </c>
      <c r="Q416" s="17" t="n">
        <v>931</v>
      </c>
      <c r="R416" s="17" t="n">
        <v>0</v>
      </c>
      <c r="S416" s="17" t="n">
        <v>5</v>
      </c>
      <c r="T416" s="17" t="n">
        <v>5</v>
      </c>
      <c r="U416" s="17" t="n">
        <v>0.00308823838235603</v>
      </c>
      <c r="V416" s="17" t="n">
        <v>28890</v>
      </c>
      <c r="W416" s="17" t="n">
        <v>165415</v>
      </c>
      <c r="X416" s="17" t="n">
        <v>17.465163376961</v>
      </c>
      <c r="Y416" s="17" t="n">
        <v>-166</v>
      </c>
      <c r="Z416" s="17" t="n">
        <v>-0.0555299835149543</v>
      </c>
      <c r="AA416" s="17" t="n">
        <v>-0.6</v>
      </c>
      <c r="AB416" s="17" t="n">
        <v>2.44769608992379</v>
      </c>
      <c r="AC416" s="17" t="n">
        <v>0.483537001352467</v>
      </c>
      <c r="AD416" s="17" t="n">
        <v>-0.03</v>
      </c>
      <c r="AE416" s="17" t="n">
        <v>1</v>
      </c>
      <c r="AF416" s="17" t="s">
        <v>314</v>
      </c>
      <c r="AG416" s="17" t="s">
        <v>232</v>
      </c>
      <c r="AH416" s="17" t="n">
        <v>0</v>
      </c>
    </row>
    <row r="417" customFormat="false" ht="15" hidden="false" customHeight="false" outlineLevel="0" collapsed="false">
      <c r="A417" s="17" t="n">
        <v>28288</v>
      </c>
      <c r="B417" s="23" t="n">
        <v>45291</v>
      </c>
      <c r="C417" s="17" t="s">
        <v>124</v>
      </c>
      <c r="D417" s="17" t="s">
        <v>108</v>
      </c>
      <c r="E417" s="17" t="n">
        <v>105413</v>
      </c>
      <c r="F417" s="17" t="n">
        <v>102797.2</v>
      </c>
      <c r="G417" s="17" t="n">
        <v>79221</v>
      </c>
      <c r="H417" s="17" t="n">
        <v>6044</v>
      </c>
      <c r="I417" s="17" t="n">
        <v>5.7336381660706</v>
      </c>
      <c r="J417" s="17" t="n">
        <v>84936</v>
      </c>
      <c r="K417" s="17" t="n">
        <v>81021.2</v>
      </c>
      <c r="L417" s="17" t="n">
        <v>84066</v>
      </c>
      <c r="M417" s="17" t="n">
        <v>76865</v>
      </c>
      <c r="N417" s="17" t="n">
        <v>5007</v>
      </c>
      <c r="O417" s="17" t="n">
        <v>3064</v>
      </c>
      <c r="P417" s="17" t="n">
        <v>257</v>
      </c>
      <c r="Q417" s="17" t="n">
        <v>125</v>
      </c>
      <c r="R417" s="17" t="n">
        <v>0</v>
      </c>
      <c r="S417" s="17" t="n">
        <v>-8</v>
      </c>
      <c r="T417" s="17" t="n">
        <v>-8</v>
      </c>
      <c r="U417" s="17" t="n">
        <v>-0.00987395891445696</v>
      </c>
      <c r="V417" s="17" t="n">
        <v>8870</v>
      </c>
      <c r="W417" s="17" t="n">
        <v>69204</v>
      </c>
      <c r="X417" s="17" t="n">
        <v>12.817178197792</v>
      </c>
      <c r="Y417" s="17" t="n">
        <v>-68</v>
      </c>
      <c r="Z417" s="17" t="n">
        <v>-0.0661496616639364</v>
      </c>
      <c r="AA417" s="17" t="n">
        <v>-1.16</v>
      </c>
      <c r="AB417" s="17" t="n">
        <v>2.66046881663987</v>
      </c>
      <c r="AC417" s="17" t="n">
        <v>1.0243006499011</v>
      </c>
      <c r="AD417" s="17" t="n">
        <v>0</v>
      </c>
      <c r="AE417" s="17" t="n">
        <v>1</v>
      </c>
      <c r="AF417" s="17" t="s">
        <v>361</v>
      </c>
      <c r="AG417" s="17" t="s">
        <v>211</v>
      </c>
      <c r="AH417" s="17" t="n">
        <v>0</v>
      </c>
    </row>
    <row r="418" customFormat="false" ht="15" hidden="false" customHeight="false" outlineLevel="0" collapsed="false">
      <c r="A418" s="17" t="n">
        <v>28369</v>
      </c>
      <c r="B418" s="23" t="n">
        <v>45291</v>
      </c>
      <c r="C418" s="17" t="s">
        <v>145</v>
      </c>
      <c r="D418" s="17" t="s">
        <v>108</v>
      </c>
      <c r="E418" s="17" t="n">
        <v>93947</v>
      </c>
      <c r="F418" s="17" t="n">
        <v>88997.6</v>
      </c>
      <c r="G418" s="17" t="n">
        <v>77109</v>
      </c>
      <c r="H418" s="17" t="n">
        <v>9350</v>
      </c>
      <c r="I418" s="17" t="n">
        <v>9.95241998147892</v>
      </c>
      <c r="J418" s="17" t="n">
        <v>78888</v>
      </c>
      <c r="K418" s="17" t="n">
        <v>75727.4</v>
      </c>
      <c r="L418" s="17" t="n">
        <v>78298</v>
      </c>
      <c r="M418" s="17" t="n">
        <v>65888</v>
      </c>
      <c r="N418" s="17" t="n">
        <v>12166</v>
      </c>
      <c r="O418" s="17" t="n">
        <v>834</v>
      </c>
      <c r="P418" s="17" t="n">
        <v>178</v>
      </c>
      <c r="Q418" s="17" t="n">
        <v>102</v>
      </c>
      <c r="R418" s="17" t="n">
        <v>0</v>
      </c>
      <c r="S418" s="17" t="n">
        <v>-2</v>
      </c>
      <c r="T418" s="17" t="n">
        <v>-2</v>
      </c>
      <c r="U418" s="17" t="n">
        <v>-0.0026410519838262</v>
      </c>
      <c r="V418" s="17" t="n">
        <v>0</v>
      </c>
      <c r="W418" s="17" t="n">
        <v>0</v>
      </c>
      <c r="X418" s="17" t="n">
        <v>0</v>
      </c>
      <c r="Y418" s="17" t="n">
        <v>-170</v>
      </c>
      <c r="Z418" s="17" t="n">
        <v>-0.191016386958749</v>
      </c>
      <c r="AA418" s="17" t="n">
        <v>-1.8</v>
      </c>
      <c r="AB418" s="17" t="n">
        <v>3.31528724993313</v>
      </c>
      <c r="AC418" s="17" t="n">
        <v>0.747895750938039</v>
      </c>
      <c r="AD418" s="17" t="n">
        <v>0.03</v>
      </c>
      <c r="AE418" s="17" t="n">
        <v>1</v>
      </c>
      <c r="AF418" s="17" t="s">
        <v>361</v>
      </c>
      <c r="AG418" s="17" t="s">
        <v>211</v>
      </c>
      <c r="AH418" s="17" t="n">
        <v>1</v>
      </c>
    </row>
    <row r="419" customFormat="false" ht="15" hidden="false" customHeight="false" outlineLevel="0" collapsed="false">
      <c r="A419" s="17" t="n">
        <v>28837</v>
      </c>
      <c r="B419" s="23" t="n">
        <v>45291</v>
      </c>
      <c r="C419" s="17" t="s">
        <v>142</v>
      </c>
      <c r="D419" s="17" t="s">
        <v>113</v>
      </c>
      <c r="E419" s="17" t="n">
        <v>285205</v>
      </c>
      <c r="F419" s="17" t="n">
        <v>290219.4</v>
      </c>
      <c r="G419" s="17" t="n">
        <v>255839</v>
      </c>
      <c r="H419" s="17" t="n">
        <v>26107</v>
      </c>
      <c r="I419" s="17" t="n">
        <v>9.15376658894479</v>
      </c>
      <c r="J419" s="17" t="n">
        <v>198536</v>
      </c>
      <c r="K419" s="17" t="n">
        <v>192482.2</v>
      </c>
      <c r="L419" s="17" t="n">
        <v>196215</v>
      </c>
      <c r="M419" s="17" t="n">
        <v>190865</v>
      </c>
      <c r="N419" s="17" t="n">
        <v>6136</v>
      </c>
      <c r="O419" s="17" t="n">
        <v>790</v>
      </c>
      <c r="P419" s="17" t="n">
        <v>89</v>
      </c>
      <c r="Q419" s="17" t="n">
        <v>689</v>
      </c>
      <c r="R419" s="17" t="n">
        <v>0</v>
      </c>
      <c r="S419" s="17" t="n">
        <v>44</v>
      </c>
      <c r="T419" s="17" t="n">
        <v>44</v>
      </c>
      <c r="U419" s="17" t="n">
        <v>0.0228592565961944</v>
      </c>
      <c r="V419" s="17" t="n">
        <v>26398</v>
      </c>
      <c r="W419" s="17" t="n">
        <v>158993</v>
      </c>
      <c r="X419" s="17" t="n">
        <v>16.6032466838163</v>
      </c>
      <c r="Y419" s="17" t="n">
        <v>2448</v>
      </c>
      <c r="Z419" s="17" t="n">
        <v>0.843499779821749</v>
      </c>
      <c r="AA419" s="17" t="n">
        <v>9.84</v>
      </c>
      <c r="AB419" s="17" t="n">
        <v>3.60337323936935</v>
      </c>
      <c r="AC419" s="17" t="n">
        <v>1.16905750090664</v>
      </c>
      <c r="AD419" s="17" t="n">
        <v>0.06</v>
      </c>
      <c r="AE419" s="17" t="n">
        <v>1</v>
      </c>
      <c r="AF419" s="17" t="s">
        <v>314</v>
      </c>
      <c r="AG419" s="17" t="s">
        <v>232</v>
      </c>
      <c r="AH419" s="17" t="n">
        <v>1</v>
      </c>
    </row>
    <row r="420" customFormat="false" ht="15" hidden="false" customHeight="false" outlineLevel="0" collapsed="false">
      <c r="A420" s="17" t="n">
        <v>29636</v>
      </c>
      <c r="B420" s="23" t="n">
        <v>45291</v>
      </c>
      <c r="C420" s="17" t="s">
        <v>123</v>
      </c>
      <c r="D420" s="17" t="s">
        <v>108</v>
      </c>
      <c r="E420" s="17" t="n">
        <v>179139</v>
      </c>
      <c r="F420" s="17" t="n">
        <v>181671.8</v>
      </c>
      <c r="G420" s="17" t="n">
        <v>140257</v>
      </c>
      <c r="H420" s="17" t="n">
        <v>25841</v>
      </c>
      <c r="I420" s="17" t="n">
        <v>14.4251112264778</v>
      </c>
      <c r="J420" s="17" t="n">
        <v>134978</v>
      </c>
      <c r="K420" s="17" t="n">
        <v>130151.6</v>
      </c>
      <c r="L420" s="17" t="n">
        <v>133073</v>
      </c>
      <c r="M420" s="17" t="n">
        <v>131783</v>
      </c>
      <c r="N420" s="17" t="n">
        <v>1690</v>
      </c>
      <c r="O420" s="17" t="n">
        <v>1505</v>
      </c>
      <c r="P420" s="17" t="n">
        <v>1361</v>
      </c>
      <c r="Q420" s="17" t="n">
        <v>2467</v>
      </c>
      <c r="R420" s="17" t="n">
        <v>0</v>
      </c>
      <c r="S420" s="17" t="n">
        <v>-10</v>
      </c>
      <c r="T420" s="17" t="n">
        <v>-10</v>
      </c>
      <c r="U420" s="17" t="n">
        <v>-0.00768334772680474</v>
      </c>
      <c r="V420" s="17" t="n">
        <v>27269</v>
      </c>
      <c r="W420" s="17" t="n">
        <v>100617</v>
      </c>
      <c r="X420" s="17" t="n">
        <v>27.101782005029</v>
      </c>
      <c r="Y420" s="17" t="n">
        <v>748</v>
      </c>
      <c r="Z420" s="17" t="n">
        <v>0.411731485018589</v>
      </c>
      <c r="AA420" s="17" t="n">
        <v>3</v>
      </c>
      <c r="AB420" s="17" t="n">
        <v>3.65429206434729</v>
      </c>
      <c r="AC420" s="17" t="n">
        <v>1.41134110743973</v>
      </c>
      <c r="AD420" s="17" t="n">
        <v>0.04</v>
      </c>
      <c r="AE420" s="17" t="n">
        <v>1</v>
      </c>
      <c r="AF420" s="17" t="s">
        <v>361</v>
      </c>
      <c r="AG420" s="17" t="s">
        <v>211</v>
      </c>
      <c r="AH420" s="17" t="n">
        <v>1</v>
      </c>
    </row>
    <row r="421" customFormat="false" ht="15" hidden="false" customHeight="false" outlineLevel="0" collapsed="false">
      <c r="A421" s="17" t="n">
        <v>29743</v>
      </c>
      <c r="B421" s="23" t="n">
        <v>45291</v>
      </c>
      <c r="C421" s="17" t="s">
        <v>140</v>
      </c>
      <c r="D421" s="17" t="s">
        <v>108</v>
      </c>
      <c r="E421" s="17" t="n">
        <v>188129</v>
      </c>
      <c r="F421" s="17" t="n">
        <v>185972.2</v>
      </c>
      <c r="G421" s="17" t="n">
        <v>163831</v>
      </c>
      <c r="H421" s="17" t="n">
        <v>16795</v>
      </c>
      <c r="I421" s="17" t="n">
        <v>8.92738493267917</v>
      </c>
      <c r="J421" s="17" t="n">
        <v>133848</v>
      </c>
      <c r="K421" s="17" t="n">
        <v>129341.8</v>
      </c>
      <c r="L421" s="17" t="n">
        <v>132956</v>
      </c>
      <c r="M421" s="17" t="n">
        <v>85948</v>
      </c>
      <c r="N421" s="17" t="n">
        <v>26224</v>
      </c>
      <c r="O421" s="17" t="n">
        <v>21579</v>
      </c>
      <c r="P421" s="17" t="n">
        <v>436</v>
      </c>
      <c r="Q421" s="17" t="n">
        <v>573</v>
      </c>
      <c r="R421" s="17" t="n">
        <v>0</v>
      </c>
      <c r="S421" s="17" t="n">
        <v>10</v>
      </c>
      <c r="T421" s="17" t="n">
        <v>10</v>
      </c>
      <c r="U421" s="17" t="n">
        <v>0.00773145263170916</v>
      </c>
      <c r="V421" s="17" t="n">
        <v>19768</v>
      </c>
      <c r="W421" s="17" t="n">
        <v>110882</v>
      </c>
      <c r="X421" s="17" t="n">
        <v>17.8279612561101</v>
      </c>
      <c r="Y421" s="17" t="n">
        <v>987</v>
      </c>
      <c r="Z421" s="17" t="n">
        <v>0.530724484627272</v>
      </c>
      <c r="AA421" s="17" t="n">
        <v>6.19</v>
      </c>
      <c r="AB421" s="17" t="n">
        <v>2.35417694416758</v>
      </c>
      <c r="AC421" s="17" t="n">
        <v>0.666427589504513</v>
      </c>
      <c r="AD421" s="17" t="n">
        <v>-0.03</v>
      </c>
      <c r="AE421" s="17" t="n">
        <v>1</v>
      </c>
      <c r="AF421" s="17" t="s">
        <v>354</v>
      </c>
      <c r="AG421" s="17" t="s">
        <v>211</v>
      </c>
      <c r="AH421" s="17" t="n">
        <v>0</v>
      </c>
    </row>
    <row r="422" customFormat="false" ht="15" hidden="false" customHeight="false" outlineLevel="0" collapsed="false">
      <c r="A422" s="17" t="n">
        <v>29744</v>
      </c>
      <c r="B422" s="23" t="n">
        <v>45291</v>
      </c>
      <c r="C422" s="17" t="s">
        <v>137</v>
      </c>
      <c r="D422" s="17" t="s">
        <v>116</v>
      </c>
      <c r="E422" s="17" t="n">
        <v>571301</v>
      </c>
      <c r="F422" s="17" t="n">
        <v>553301.6</v>
      </c>
      <c r="G422" s="17" t="n">
        <v>426673</v>
      </c>
      <c r="H422" s="17" t="n">
        <v>46181</v>
      </c>
      <c r="I422" s="17" t="n">
        <v>8.08347963682892</v>
      </c>
      <c r="J422" s="17" t="n">
        <v>429667</v>
      </c>
      <c r="K422" s="17" t="n">
        <v>416523.8</v>
      </c>
      <c r="L422" s="17" t="n">
        <v>426277</v>
      </c>
      <c r="M422" s="17" t="n">
        <v>394330</v>
      </c>
      <c r="N422" s="17" t="n">
        <v>25511</v>
      </c>
      <c r="O422" s="17" t="n">
        <v>9826</v>
      </c>
      <c r="P422" s="17" t="n">
        <v>141</v>
      </c>
      <c r="Q422" s="17" t="n">
        <v>4</v>
      </c>
      <c r="R422" s="17" t="n">
        <v>0</v>
      </c>
      <c r="S422" s="17" t="n">
        <v>1</v>
      </c>
      <c r="T422" s="17" t="n">
        <v>1</v>
      </c>
      <c r="U422" s="17" t="n">
        <v>0.000240082319425685</v>
      </c>
      <c r="V422" s="17" t="n">
        <v>55659</v>
      </c>
      <c r="W422" s="17" t="n">
        <v>363626</v>
      </c>
      <c r="X422" s="17" t="n">
        <v>15.3066612398453</v>
      </c>
      <c r="Y422" s="17" t="n">
        <v>-10656</v>
      </c>
      <c r="Z422" s="17" t="n">
        <v>-1.92589358136684</v>
      </c>
      <c r="AA422" s="17" t="n">
        <v>-22.17</v>
      </c>
      <c r="AB422" s="17" t="n">
        <v>2.18195327583115</v>
      </c>
      <c r="AC422" s="17" t="n">
        <v>0.788983096211718</v>
      </c>
      <c r="AD422" s="17" t="n">
        <v>0.02</v>
      </c>
      <c r="AE422" s="17" t="n">
        <v>1</v>
      </c>
      <c r="AF422" s="17" t="s">
        <v>361</v>
      </c>
      <c r="AG422" s="17" t="s">
        <v>211</v>
      </c>
      <c r="AH422" s="17" t="n">
        <v>0</v>
      </c>
    </row>
    <row r="423" customFormat="false" ht="15" hidden="false" customHeight="false" outlineLevel="0" collapsed="false">
      <c r="A423" s="17" t="n">
        <v>30350</v>
      </c>
      <c r="B423" s="23" t="n">
        <v>45291</v>
      </c>
      <c r="C423" s="17" t="s">
        <v>154</v>
      </c>
      <c r="D423" s="17" t="s">
        <v>113</v>
      </c>
      <c r="E423" s="17" t="n">
        <v>552031</v>
      </c>
      <c r="F423" s="17" t="n">
        <v>553669.6</v>
      </c>
      <c r="G423" s="17" t="n">
        <v>441306</v>
      </c>
      <c r="H423" s="17" t="n">
        <v>56419</v>
      </c>
      <c r="I423" s="17" t="n">
        <v>10.2202593694919</v>
      </c>
      <c r="J423" s="17" t="n">
        <v>403381</v>
      </c>
      <c r="K423" s="17" t="n">
        <v>398272.6</v>
      </c>
      <c r="L423" s="17" t="n">
        <v>398118</v>
      </c>
      <c r="M423" s="17" t="n">
        <v>383810</v>
      </c>
      <c r="N423" s="17" t="n">
        <v>16929</v>
      </c>
      <c r="O423" s="17" t="n">
        <v>1371</v>
      </c>
      <c r="P423" s="17" t="n">
        <v>2020</v>
      </c>
      <c r="Q423" s="17" t="n">
        <v>904</v>
      </c>
      <c r="R423" s="17" t="n">
        <v>0</v>
      </c>
      <c r="S423" s="17" t="n">
        <v>-22</v>
      </c>
      <c r="T423" s="17" t="n">
        <v>-22</v>
      </c>
      <c r="U423" s="17" t="n">
        <v>-0.00552385476681047</v>
      </c>
      <c r="V423" s="17" t="n">
        <v>66757</v>
      </c>
      <c r="W423" s="17" t="n">
        <v>322205</v>
      </c>
      <c r="X423" s="17" t="n">
        <v>20.7187970391521</v>
      </c>
      <c r="Y423" s="17" t="n">
        <v>3846</v>
      </c>
      <c r="Z423" s="17" t="n">
        <v>0.694638101857137</v>
      </c>
      <c r="AA423" s="17" t="n">
        <v>7.19</v>
      </c>
      <c r="AB423" s="17" t="n">
        <v>2.83298526110028</v>
      </c>
      <c r="AC423" s="17" t="n">
        <v>1.30472183865874</v>
      </c>
      <c r="AD423" s="17" t="n">
        <v>0</v>
      </c>
      <c r="AE423" s="17" t="n">
        <v>1</v>
      </c>
      <c r="AF423" s="17" t="s">
        <v>361</v>
      </c>
      <c r="AG423" s="17" t="s">
        <v>211</v>
      </c>
      <c r="AH423" s="17" t="n">
        <v>0</v>
      </c>
    </row>
    <row r="424" customFormat="false" ht="15" hidden="false" customHeight="false" outlineLevel="0" collapsed="false">
      <c r="A424" s="17" t="n">
        <v>30878</v>
      </c>
      <c r="B424" s="23" t="n">
        <v>45291</v>
      </c>
      <c r="C424" s="17" t="s">
        <v>110</v>
      </c>
      <c r="D424" s="17" t="s">
        <v>108</v>
      </c>
      <c r="E424" s="17" t="n">
        <v>105203</v>
      </c>
      <c r="F424" s="17" t="n">
        <v>103267.8</v>
      </c>
      <c r="G424" s="17" t="n">
        <v>73899</v>
      </c>
      <c r="H424" s="17" t="n">
        <v>12316</v>
      </c>
      <c r="I424" s="17" t="n">
        <v>11.7068904879138</v>
      </c>
      <c r="J424" s="17" t="n">
        <v>86638</v>
      </c>
      <c r="K424" s="17" t="n">
        <v>84434.8</v>
      </c>
      <c r="L424" s="17" t="n">
        <v>85932</v>
      </c>
      <c r="M424" s="17" t="n">
        <v>86535</v>
      </c>
      <c r="N424" s="17" t="n">
        <v>0</v>
      </c>
      <c r="O424" s="17" t="n">
        <v>104</v>
      </c>
      <c r="P424" s="17" t="n">
        <v>584</v>
      </c>
      <c r="Q424" s="17" t="n">
        <v>151</v>
      </c>
      <c r="R424" s="17" t="n">
        <v>0</v>
      </c>
      <c r="S424" s="17" t="n">
        <v>0</v>
      </c>
      <c r="T424" s="17" t="n">
        <v>0</v>
      </c>
      <c r="U424" s="17" t="n">
        <v>0</v>
      </c>
      <c r="V424" s="17" t="n">
        <v>0</v>
      </c>
      <c r="W424" s="17" t="n">
        <v>0</v>
      </c>
      <c r="X424" s="17" t="n">
        <v>0</v>
      </c>
      <c r="Y424" s="17" t="n">
        <v>-294</v>
      </c>
      <c r="Z424" s="17" t="n">
        <v>-0.284696681831123</v>
      </c>
      <c r="AA424" s="17" t="n">
        <v>-2.36</v>
      </c>
      <c r="AB424" s="17" t="n">
        <v>1.43139746208405</v>
      </c>
      <c r="AC424" s="17" t="n">
        <v>0.814884923474688</v>
      </c>
      <c r="AD424" s="17" t="n">
        <v>-0.05</v>
      </c>
      <c r="AE424" s="17" t="n">
        <v>1</v>
      </c>
      <c r="AF424" s="17" t="s">
        <v>354</v>
      </c>
      <c r="AG424" s="17" t="s">
        <v>232</v>
      </c>
      <c r="AH424" s="17" t="n">
        <v>1</v>
      </c>
    </row>
    <row r="425" customFormat="false" ht="15" hidden="false" customHeight="false" outlineLevel="0" collapsed="false">
      <c r="A425" s="17" t="n">
        <v>33418</v>
      </c>
      <c r="B425" s="23" t="n">
        <v>45291</v>
      </c>
      <c r="C425" s="17" t="s">
        <v>133</v>
      </c>
      <c r="D425" s="17" t="s">
        <v>113</v>
      </c>
      <c r="E425" s="17" t="n">
        <v>854116</v>
      </c>
      <c r="F425" s="17" t="n">
        <v>777953.8</v>
      </c>
      <c r="G425" s="17" t="n">
        <v>664122</v>
      </c>
      <c r="H425" s="17" t="n">
        <v>68784</v>
      </c>
      <c r="I425" s="17" t="n">
        <v>8.05323867015721</v>
      </c>
      <c r="J425" s="17" t="n">
        <v>418780</v>
      </c>
      <c r="K425" s="17" t="n">
        <v>380223.8</v>
      </c>
      <c r="L425" s="17" t="n">
        <v>416000</v>
      </c>
      <c r="M425" s="17" t="n">
        <v>354004</v>
      </c>
      <c r="N425" s="17" t="n">
        <v>52712</v>
      </c>
      <c r="O425" s="17" t="n">
        <v>11771</v>
      </c>
      <c r="P425" s="17" t="n">
        <v>1741</v>
      </c>
      <c r="Q425" s="17" t="n">
        <v>1957</v>
      </c>
      <c r="R425" s="17" t="n">
        <v>0</v>
      </c>
      <c r="S425" s="17" t="n">
        <v>-50</v>
      </c>
      <c r="T425" s="17" t="n">
        <v>-50</v>
      </c>
      <c r="U425" s="17" t="n">
        <v>-0.0131501499906108</v>
      </c>
      <c r="V425" s="17" t="n">
        <v>86949</v>
      </c>
      <c r="W425" s="17" t="n">
        <v>536631</v>
      </c>
      <c r="X425" s="17" t="n">
        <v>16.202753847616</v>
      </c>
      <c r="Y425" s="17" t="n">
        <v>4141</v>
      </c>
      <c r="Z425" s="17" t="n">
        <v>0.532293820018618</v>
      </c>
      <c r="AA425" s="17" t="n">
        <v>6.16</v>
      </c>
      <c r="AB425" s="17" t="n">
        <v>2.54550855392525</v>
      </c>
      <c r="AC425" s="17" t="n">
        <v>0.663833038827069</v>
      </c>
      <c r="AD425" s="17" t="n">
        <v>0.09</v>
      </c>
      <c r="AE425" s="17" t="n">
        <v>1</v>
      </c>
      <c r="AF425" s="17" t="s">
        <v>210</v>
      </c>
      <c r="AG425" s="17" t="s">
        <v>211</v>
      </c>
      <c r="AH425" s="17" t="n">
        <v>0</v>
      </c>
    </row>
    <row r="426" customFormat="false" ht="15" hidden="false" customHeight="false" outlineLevel="0" collapsed="false">
      <c r="A426" s="17" t="n">
        <v>35206</v>
      </c>
      <c r="B426" s="23" t="n">
        <v>45291</v>
      </c>
      <c r="C426" s="17" t="s">
        <v>166</v>
      </c>
      <c r="D426" s="17" t="s">
        <v>116</v>
      </c>
      <c r="E426" s="17" t="n">
        <v>78004</v>
      </c>
      <c r="F426" s="17" t="n">
        <v>70186.8</v>
      </c>
      <c r="G426" s="17" t="n">
        <v>500</v>
      </c>
      <c r="H426" s="17" t="n">
        <v>74403</v>
      </c>
      <c r="I426" s="17" t="n">
        <v>95.3835700733296</v>
      </c>
      <c r="J426" s="17" t="n">
        <v>0</v>
      </c>
      <c r="K426" s="17" t="n">
        <v>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7" t="n">
        <v>0</v>
      </c>
      <c r="R426" s="17" t="n">
        <v>0</v>
      </c>
      <c r="S426" s="17" t="n">
        <v>0</v>
      </c>
      <c r="T426" s="17" t="n">
        <v>0</v>
      </c>
      <c r="U426" s="17" t="n">
        <v>0</v>
      </c>
      <c r="V426" s="17" t="n">
        <v>0</v>
      </c>
      <c r="W426" s="17" t="n">
        <v>0</v>
      </c>
      <c r="X426" s="17" t="n">
        <v>0</v>
      </c>
      <c r="Y426" s="17" t="n">
        <v>13783</v>
      </c>
      <c r="Z426" s="17" t="n">
        <v>19.6375956732605</v>
      </c>
      <c r="AA426" s="17" t="n">
        <v>20.55</v>
      </c>
      <c r="AB426" s="17" t="n">
        <v>4.44282523941103</v>
      </c>
      <c r="AC426" s="17" t="n">
        <v>0</v>
      </c>
      <c r="AD426" s="17" t="n">
        <v>0</v>
      </c>
      <c r="AE426" s="17" t="n">
        <v>1</v>
      </c>
      <c r="AF426" s="17" t="s">
        <v>361</v>
      </c>
      <c r="AG426" s="17" t="s">
        <v>211</v>
      </c>
      <c r="AH426" s="17" t="n">
        <v>0</v>
      </c>
    </row>
    <row r="427" customFormat="false" ht="15" hidden="false" customHeight="false" outlineLevel="0" collapsed="false">
      <c r="A427" s="17" t="n">
        <v>59086</v>
      </c>
      <c r="B427" s="23" t="n">
        <v>45291</v>
      </c>
      <c r="C427" s="17" t="s">
        <v>141</v>
      </c>
      <c r="D427" s="17" t="s">
        <v>116</v>
      </c>
      <c r="E427" s="17" t="n">
        <v>693138</v>
      </c>
      <c r="F427" s="17" t="n">
        <v>686797.2</v>
      </c>
      <c r="G427" s="17" t="n">
        <v>600781</v>
      </c>
      <c r="H427" s="17" t="n">
        <v>88263</v>
      </c>
      <c r="I427" s="17" t="n">
        <v>12.7338278957437</v>
      </c>
      <c r="J427" s="17" t="n">
        <v>588570</v>
      </c>
      <c r="K427" s="17" t="n">
        <v>581329</v>
      </c>
      <c r="L427" s="17" t="n">
        <v>581858</v>
      </c>
      <c r="M427" s="17" t="n">
        <v>473617</v>
      </c>
      <c r="N427" s="17" t="n">
        <v>115313</v>
      </c>
      <c r="O427" s="17" t="n">
        <v>0</v>
      </c>
      <c r="P427" s="17" t="n">
        <v>4555</v>
      </c>
      <c r="Q427" s="17" t="n">
        <v>0</v>
      </c>
      <c r="R427" s="17" t="n">
        <v>1112</v>
      </c>
      <c r="S427" s="17" t="n">
        <v>540</v>
      </c>
      <c r="T427" s="17" t="n">
        <v>540</v>
      </c>
      <c r="U427" s="17" t="n">
        <v>0.0928906006753491</v>
      </c>
      <c r="V427" s="17" t="n">
        <v>94974</v>
      </c>
      <c r="W427" s="17" t="n">
        <v>623388</v>
      </c>
      <c r="X427" s="17" t="n">
        <v>15.2351344587961</v>
      </c>
      <c r="Y427" s="17" t="n">
        <v>10001</v>
      </c>
      <c r="Z427" s="17" t="n">
        <v>1.45617949519887</v>
      </c>
      <c r="AA427" s="17" t="n">
        <v>12.03</v>
      </c>
      <c r="AB427" s="17" t="n">
        <v>4.0764259406766</v>
      </c>
      <c r="AC427" s="17" t="n">
        <v>1.14039111745417</v>
      </c>
      <c r="AD427" s="17" t="n">
        <v>0.11</v>
      </c>
      <c r="AE427" s="17" t="n">
        <v>1</v>
      </c>
      <c r="AF427" s="17" t="s">
        <v>231</v>
      </c>
      <c r="AG427" s="17" t="s">
        <v>232</v>
      </c>
      <c r="AH427" s="17" t="n">
        <v>0</v>
      </c>
    </row>
    <row r="428" customFormat="false" ht="15" hidden="false" customHeight="false" outlineLevel="0" collapsed="false">
      <c r="A428" s="17" t="n">
        <v>59176</v>
      </c>
      <c r="B428" s="23" t="n">
        <v>45291</v>
      </c>
      <c r="C428" s="17" t="s">
        <v>151</v>
      </c>
      <c r="D428" s="17" t="s">
        <v>116</v>
      </c>
      <c r="E428" s="17" t="n">
        <v>238058</v>
      </c>
      <c r="F428" s="17" t="n">
        <v>205632.8</v>
      </c>
      <c r="G428" s="17" t="n">
        <v>197828</v>
      </c>
      <c r="H428" s="17" t="n">
        <v>23051</v>
      </c>
      <c r="I428" s="17" t="n">
        <v>9.68293441094187</v>
      </c>
      <c r="J428" s="17" t="n">
        <v>151977</v>
      </c>
      <c r="K428" s="17" t="n">
        <v>141627</v>
      </c>
      <c r="L428" s="17" t="n">
        <v>150485</v>
      </c>
      <c r="M428" s="17" t="n">
        <v>128774</v>
      </c>
      <c r="N428" s="17" t="n">
        <v>23200</v>
      </c>
      <c r="O428" s="17" t="n">
        <v>4</v>
      </c>
      <c r="P428" s="17" t="n">
        <v>0</v>
      </c>
      <c r="Q428" s="17" t="n">
        <v>0</v>
      </c>
      <c r="R428" s="17" t="n">
        <v>0</v>
      </c>
      <c r="S428" s="17" t="n">
        <v>66</v>
      </c>
      <c r="T428" s="17" t="n">
        <v>66</v>
      </c>
      <c r="U428" s="17" t="n">
        <v>0.0466012836535406</v>
      </c>
      <c r="V428" s="17" t="n">
        <v>25233</v>
      </c>
      <c r="W428" s="17" t="n">
        <v>157171</v>
      </c>
      <c r="X428" s="17" t="n">
        <v>16.0544884234369</v>
      </c>
      <c r="Y428" s="17" t="n">
        <v>-394</v>
      </c>
      <c r="Z428" s="17" t="n">
        <v>-0.191603674122027</v>
      </c>
      <c r="AA428" s="17" t="n">
        <v>-1.7</v>
      </c>
      <c r="AB428" s="17" t="n">
        <v>2.3031848814327</v>
      </c>
      <c r="AC428" s="17" t="n">
        <v>0.981727498239865</v>
      </c>
      <c r="AD428" s="17" t="n">
        <v>0.2</v>
      </c>
      <c r="AE428" s="17" t="n">
        <v>1</v>
      </c>
      <c r="AF428" s="17" t="s">
        <v>231</v>
      </c>
      <c r="AG428" s="17" t="s">
        <v>232</v>
      </c>
      <c r="AH428" s="17" t="n">
        <v>0</v>
      </c>
    </row>
    <row r="429" customFormat="false" ht="15" hidden="false" customHeight="false" outlineLevel="0" collapsed="false">
      <c r="A429" s="17" t="n">
        <v>59289</v>
      </c>
      <c r="B429" s="23" t="n">
        <v>45291</v>
      </c>
      <c r="C429" s="17" t="s">
        <v>121</v>
      </c>
      <c r="D429" s="17" t="s">
        <v>116</v>
      </c>
      <c r="E429" s="17" t="n">
        <v>75597</v>
      </c>
      <c r="F429" s="17" t="n">
        <v>51058.4</v>
      </c>
      <c r="G429" s="17" t="n">
        <v>55515</v>
      </c>
      <c r="H429" s="17" t="n">
        <v>19214</v>
      </c>
      <c r="I429" s="17" t="n">
        <v>25.4163525007606</v>
      </c>
      <c r="J429" s="17" t="n">
        <v>34267</v>
      </c>
      <c r="K429" s="17" t="n">
        <v>19533.2</v>
      </c>
      <c r="L429" s="17" t="n">
        <v>33802</v>
      </c>
      <c r="M429" s="17" t="n">
        <v>13703</v>
      </c>
      <c r="N429" s="17" t="n">
        <v>19039</v>
      </c>
      <c r="O429" s="17" t="n">
        <v>0</v>
      </c>
      <c r="P429" s="17" t="n">
        <v>0</v>
      </c>
      <c r="Q429" s="17" t="n">
        <v>0</v>
      </c>
      <c r="R429" s="17" t="n">
        <v>0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-2275</v>
      </c>
      <c r="Z429" s="17" t="n">
        <v>-4.45568212086552</v>
      </c>
      <c r="AA429" s="17" t="n">
        <v>-11.2</v>
      </c>
      <c r="AB429" s="17" t="n">
        <v>4.5859950609221</v>
      </c>
      <c r="AC429" s="17" t="n">
        <v>1.35699069075204</v>
      </c>
      <c r="AD429" s="17" t="n">
        <v>0.81</v>
      </c>
      <c r="AE429" s="17" t="n">
        <v>1</v>
      </c>
      <c r="AF429" s="17" t="s">
        <v>241</v>
      </c>
      <c r="AG429" s="17" t="s">
        <v>232</v>
      </c>
      <c r="AH429" s="17" t="n">
        <v>0</v>
      </c>
    </row>
    <row r="430" customFormat="false" ht="15" hidden="false" customHeight="false" outlineLevel="0" collapsed="false">
      <c r="A430" s="17" t="n">
        <v>59298</v>
      </c>
      <c r="B430" s="23" t="n">
        <v>45291</v>
      </c>
      <c r="C430" s="17" t="s">
        <v>160</v>
      </c>
      <c r="D430" s="17" t="s">
        <v>113</v>
      </c>
      <c r="E430" s="17" t="n">
        <v>159178</v>
      </c>
      <c r="F430" s="17" t="n">
        <v>124358.4</v>
      </c>
      <c r="G430" s="17" t="n">
        <v>130214</v>
      </c>
      <c r="H430" s="17" t="n">
        <v>27360</v>
      </c>
      <c r="I430" s="17" t="n">
        <v>17.1883049165086</v>
      </c>
      <c r="J430" s="17" t="n">
        <v>77426</v>
      </c>
      <c r="K430" s="17" t="n">
        <v>47250.2</v>
      </c>
      <c r="L430" s="17" t="n">
        <v>76814</v>
      </c>
      <c r="M430" s="17" t="n">
        <v>58407</v>
      </c>
      <c r="N430" s="17" t="n">
        <v>19027</v>
      </c>
      <c r="O430" s="17" t="n">
        <v>0</v>
      </c>
      <c r="P430" s="17" t="n">
        <v>0</v>
      </c>
      <c r="Q430" s="17" t="n">
        <v>0</v>
      </c>
      <c r="R430" s="17" t="n">
        <v>0</v>
      </c>
      <c r="S430" s="17" t="n">
        <v>0</v>
      </c>
      <c r="T430" s="17" t="n">
        <v>0</v>
      </c>
      <c r="U430" s="17" t="n">
        <v>0</v>
      </c>
      <c r="V430" s="17" t="n">
        <v>0</v>
      </c>
      <c r="W430" s="17" t="n">
        <v>0</v>
      </c>
      <c r="X430" s="17" t="n">
        <v>0</v>
      </c>
      <c r="Y430" s="17" t="n">
        <v>-2619</v>
      </c>
      <c r="Z430" s="17" t="n">
        <v>-2.10600972672534</v>
      </c>
      <c r="AA430" s="17" t="n">
        <v>-9.28</v>
      </c>
      <c r="AB430" s="17" t="n">
        <v>2.77710579481781</v>
      </c>
      <c r="AC430" s="17" t="n">
        <v>0.790432154573399</v>
      </c>
      <c r="AD430" s="17" t="n">
        <v>0.31</v>
      </c>
      <c r="AE430" s="17" t="n">
        <v>1</v>
      </c>
      <c r="AF430" s="17" t="s">
        <v>231</v>
      </c>
      <c r="AG430" s="17" t="s">
        <v>232</v>
      </c>
      <c r="AH430" s="17" t="n">
        <v>0</v>
      </c>
    </row>
    <row r="431" customFormat="false" ht="15" hidden="false" customHeight="false" outlineLevel="0" collapsed="false">
      <c r="A431" s="17" t="n">
        <v>4255</v>
      </c>
      <c r="B431" s="23" t="n">
        <v>45382</v>
      </c>
      <c r="C431" s="17" t="s">
        <v>126</v>
      </c>
      <c r="D431" s="17" t="s">
        <v>108</v>
      </c>
      <c r="E431" s="17" t="n">
        <v>5784624</v>
      </c>
      <c r="F431" s="17" t="n">
        <v>5742494</v>
      </c>
      <c r="G431" s="17" t="n">
        <v>4586176</v>
      </c>
      <c r="H431" s="17" t="n">
        <v>514258</v>
      </c>
      <c r="I431" s="17" t="n">
        <v>8.89008516370295</v>
      </c>
      <c r="J431" s="17" t="n">
        <v>4130564</v>
      </c>
      <c r="K431" s="17" t="n">
        <v>4119489</v>
      </c>
      <c r="L431" s="17" t="n">
        <v>4094951</v>
      </c>
      <c r="M431" s="17" t="n">
        <v>3749893</v>
      </c>
      <c r="N431" s="17" t="n">
        <v>330311</v>
      </c>
      <c r="O431" s="17" t="n">
        <v>17653</v>
      </c>
      <c r="P431" s="17" t="n">
        <v>5658</v>
      </c>
      <c r="Q431" s="17" t="n">
        <v>2044</v>
      </c>
      <c r="R431" s="17" t="n">
        <v>0</v>
      </c>
      <c r="S431" s="17" t="n">
        <v>158</v>
      </c>
      <c r="T431" s="17" t="n">
        <v>632</v>
      </c>
      <c r="U431" s="17" t="n">
        <v>0.0153417086439605</v>
      </c>
      <c r="V431" s="17" t="n">
        <v>556065</v>
      </c>
      <c r="W431" s="17" t="n">
        <v>4015943</v>
      </c>
      <c r="X431" s="17" t="n">
        <v>13.8464365654592</v>
      </c>
      <c r="Y431" s="17" t="n">
        <v>55424</v>
      </c>
      <c r="Z431" s="17" t="n">
        <v>0.965155557846469</v>
      </c>
      <c r="AA431" s="17" t="n">
        <v>10.84</v>
      </c>
      <c r="AB431" s="17" t="n">
        <v>2.41335932567702</v>
      </c>
      <c r="AC431" s="17" t="n">
        <v>0.862182500985338</v>
      </c>
      <c r="AD431" s="17" t="n">
        <v>-0.08</v>
      </c>
      <c r="AE431" s="17" t="n">
        <v>1</v>
      </c>
      <c r="AF431" s="17" t="s">
        <v>210</v>
      </c>
      <c r="AG431" s="17" t="s">
        <v>211</v>
      </c>
      <c r="AH431" s="17" t="n">
        <v>0</v>
      </c>
    </row>
    <row r="432" customFormat="false" ht="15" hidden="false" customHeight="false" outlineLevel="0" collapsed="false">
      <c r="A432" s="17" t="n">
        <v>4256</v>
      </c>
      <c r="B432" s="23" t="n">
        <v>45382</v>
      </c>
      <c r="C432" s="17" t="s">
        <v>135</v>
      </c>
      <c r="D432" s="17" t="s">
        <v>108</v>
      </c>
      <c r="E432" s="17" t="n">
        <v>2942447</v>
      </c>
      <c r="F432" s="17" t="n">
        <v>2926835</v>
      </c>
      <c r="G432" s="17" t="n">
        <v>2549402</v>
      </c>
      <c r="H432" s="17" t="n">
        <v>214088</v>
      </c>
      <c r="I432" s="17" t="n">
        <v>7.27584897875816</v>
      </c>
      <c r="J432" s="17" t="n">
        <v>2173746</v>
      </c>
      <c r="K432" s="17" t="n">
        <v>2151600</v>
      </c>
      <c r="L432" s="17" t="n">
        <v>2149539</v>
      </c>
      <c r="M432" s="17" t="n">
        <v>1739026</v>
      </c>
      <c r="N432" s="17" t="n">
        <v>320658</v>
      </c>
      <c r="O432" s="17" t="n">
        <v>19035</v>
      </c>
      <c r="P432" s="17" t="n">
        <v>2710</v>
      </c>
      <c r="Q432" s="17" t="n">
        <v>1164</v>
      </c>
      <c r="R432" s="17" t="n">
        <v>49</v>
      </c>
      <c r="S432" s="17" t="n">
        <v>-78</v>
      </c>
      <c r="T432" s="17" t="n">
        <v>-312</v>
      </c>
      <c r="U432" s="17" t="n">
        <v>-0.0145008365867262</v>
      </c>
      <c r="V432" s="17" t="n">
        <v>277939</v>
      </c>
      <c r="W432" s="17" t="n">
        <v>2059633</v>
      </c>
      <c r="X432" s="17" t="n">
        <v>13.4945885990368</v>
      </c>
      <c r="Y432" s="17" t="n">
        <v>25040</v>
      </c>
      <c r="Z432" s="17" t="n">
        <v>0.85553165791717</v>
      </c>
      <c r="AA432" s="17" t="n">
        <v>11.68</v>
      </c>
      <c r="AB432" s="17" t="n">
        <v>2.15958502147942</v>
      </c>
      <c r="AC432" s="17" t="n">
        <v>1.11360756960565</v>
      </c>
      <c r="AD432" s="17" t="n">
        <v>-0.07</v>
      </c>
      <c r="AE432" s="17" t="n">
        <v>1</v>
      </c>
      <c r="AF432" s="17" t="s">
        <v>210</v>
      </c>
      <c r="AG432" s="17" t="s">
        <v>211</v>
      </c>
      <c r="AH432" s="17" t="n">
        <v>0</v>
      </c>
    </row>
    <row r="433" customFormat="false" ht="15" hidden="false" customHeight="false" outlineLevel="0" collapsed="false">
      <c r="A433" s="17" t="n">
        <v>6271</v>
      </c>
      <c r="B433" s="23" t="n">
        <v>45382</v>
      </c>
      <c r="C433" s="17" t="s">
        <v>147</v>
      </c>
      <c r="D433" s="17" t="s">
        <v>113</v>
      </c>
      <c r="E433" s="17" t="n">
        <v>1106658</v>
      </c>
      <c r="F433" s="17" t="n">
        <v>1102646</v>
      </c>
      <c r="G433" s="17" t="n">
        <v>884850</v>
      </c>
      <c r="H433" s="17" t="n">
        <v>101645</v>
      </c>
      <c r="I433" s="17" t="n">
        <v>9.18486108626152</v>
      </c>
      <c r="J433" s="17" t="n">
        <v>867382</v>
      </c>
      <c r="K433" s="17" t="n">
        <v>856692.5</v>
      </c>
      <c r="L433" s="17" t="n">
        <v>857354</v>
      </c>
      <c r="M433" s="17" t="n">
        <v>668396</v>
      </c>
      <c r="N433" s="17" t="n">
        <v>129701</v>
      </c>
      <c r="O433" s="17" t="n">
        <v>7634</v>
      </c>
      <c r="P433" s="17" t="n">
        <v>6384</v>
      </c>
      <c r="Q433" s="17" t="n">
        <v>2165</v>
      </c>
      <c r="R433" s="17" t="n">
        <v>787</v>
      </c>
      <c r="S433" s="17" t="n">
        <v>133</v>
      </c>
      <c r="T433" s="17" t="n">
        <v>532</v>
      </c>
      <c r="U433" s="17" t="n">
        <v>0.0620992946710751</v>
      </c>
      <c r="V433" s="17" t="n">
        <v>117333</v>
      </c>
      <c r="W433" s="17" t="n">
        <v>784750</v>
      </c>
      <c r="X433" s="17" t="n">
        <v>14.9516406498885</v>
      </c>
      <c r="Y433" s="17" t="n">
        <v>12404</v>
      </c>
      <c r="Z433" s="17" t="n">
        <v>1.1249303947051</v>
      </c>
      <c r="AA433" s="17" t="n">
        <v>12.24</v>
      </c>
      <c r="AB433" s="17" t="n">
        <v>3.32582939701992</v>
      </c>
      <c r="AC433" s="17" t="n">
        <v>1.15612267720566</v>
      </c>
      <c r="AD433" s="17" t="n">
        <v>0.11</v>
      </c>
      <c r="AE433" s="17" t="n">
        <v>1</v>
      </c>
      <c r="AF433" s="17" t="s">
        <v>210</v>
      </c>
      <c r="AG433" s="17" t="s">
        <v>211</v>
      </c>
      <c r="AH433" s="17" t="n">
        <v>0</v>
      </c>
    </row>
    <row r="434" customFormat="false" ht="15" hidden="false" customHeight="false" outlineLevel="0" collapsed="false">
      <c r="A434" s="17" t="n">
        <v>6275</v>
      </c>
      <c r="B434" s="23" t="n">
        <v>45382</v>
      </c>
      <c r="C434" s="17" t="s">
        <v>165</v>
      </c>
      <c r="D434" s="17" t="s">
        <v>113</v>
      </c>
      <c r="E434" s="17" t="n">
        <v>560771</v>
      </c>
      <c r="F434" s="17" t="n">
        <v>560679.5</v>
      </c>
      <c r="G434" s="17" t="n">
        <v>481992</v>
      </c>
      <c r="H434" s="17" t="n">
        <v>30328</v>
      </c>
      <c r="I434" s="17" t="n">
        <v>5.40826825923594</v>
      </c>
      <c r="J434" s="17" t="n">
        <v>341837</v>
      </c>
      <c r="K434" s="17" t="n">
        <v>339411.5</v>
      </c>
      <c r="L434" s="17" t="n">
        <v>340430</v>
      </c>
      <c r="M434" s="17" t="n">
        <v>282409</v>
      </c>
      <c r="N434" s="17" t="n">
        <v>38194</v>
      </c>
      <c r="O434" s="17" t="n">
        <v>11822</v>
      </c>
      <c r="P434" s="17" t="n">
        <v>1168</v>
      </c>
      <c r="Q434" s="17" t="n">
        <v>140</v>
      </c>
      <c r="R434" s="17" t="n">
        <v>406</v>
      </c>
      <c r="S434" s="17" t="n">
        <v>0</v>
      </c>
      <c r="T434" s="17" t="n">
        <v>0</v>
      </c>
      <c r="U434" s="17" t="n">
        <v>0</v>
      </c>
      <c r="V434" s="17" t="n">
        <v>48493</v>
      </c>
      <c r="W434" s="17" t="n">
        <v>328579</v>
      </c>
      <c r="X434" s="17" t="n">
        <v>14.7583990455872</v>
      </c>
      <c r="Y434" s="17" t="n">
        <v>2640</v>
      </c>
      <c r="Z434" s="17" t="n">
        <v>0.470857236620922</v>
      </c>
      <c r="AA434" s="17" t="n">
        <v>8.64</v>
      </c>
      <c r="AB434" s="17" t="n">
        <v>2.73703548739257</v>
      </c>
      <c r="AC434" s="17" t="n">
        <v>0.411599680549502</v>
      </c>
      <c r="AD434" s="17" t="n">
        <v>0.02</v>
      </c>
      <c r="AE434" s="17" t="n">
        <v>1</v>
      </c>
      <c r="AF434" s="17" t="s">
        <v>210</v>
      </c>
      <c r="AG434" s="17" t="s">
        <v>211</v>
      </c>
      <c r="AH434" s="17" t="n">
        <v>0</v>
      </c>
    </row>
    <row r="435" customFormat="false" ht="15" hidden="false" customHeight="false" outlineLevel="0" collapsed="false">
      <c r="A435" s="17" t="n">
        <v>6280</v>
      </c>
      <c r="B435" s="23" t="n">
        <v>45382</v>
      </c>
      <c r="C435" s="17" t="s">
        <v>138</v>
      </c>
      <c r="D435" s="17" t="s">
        <v>113</v>
      </c>
      <c r="E435" s="17" t="n">
        <v>78008</v>
      </c>
      <c r="F435" s="17" t="n">
        <v>78424</v>
      </c>
      <c r="G435" s="17" t="n">
        <v>68177</v>
      </c>
      <c r="H435" s="17" t="n">
        <v>9657</v>
      </c>
      <c r="I435" s="17" t="n">
        <v>12.3794995385089</v>
      </c>
      <c r="J435" s="17" t="n">
        <v>67312</v>
      </c>
      <c r="K435" s="17" t="n">
        <v>67615</v>
      </c>
      <c r="L435" s="17" t="n">
        <v>66413</v>
      </c>
      <c r="M435" s="17" t="n">
        <v>59060</v>
      </c>
      <c r="N435" s="17" t="n">
        <v>4453</v>
      </c>
      <c r="O435" s="17" t="n">
        <v>1569</v>
      </c>
      <c r="P435" s="17" t="n">
        <v>1333</v>
      </c>
      <c r="Q435" s="17" t="n">
        <v>398</v>
      </c>
      <c r="R435" s="17" t="n">
        <v>0</v>
      </c>
      <c r="S435" s="17" t="n">
        <v>0</v>
      </c>
      <c r="T435" s="17" t="n">
        <v>0</v>
      </c>
      <c r="U435" s="17" t="n">
        <v>0</v>
      </c>
      <c r="V435" s="17" t="n">
        <v>0</v>
      </c>
      <c r="W435" s="17" t="n">
        <v>0</v>
      </c>
      <c r="X435" s="17" t="n">
        <v>0</v>
      </c>
      <c r="Y435" s="17" t="n">
        <v>1128</v>
      </c>
      <c r="Z435" s="17" t="n">
        <v>1.43833520350913</v>
      </c>
      <c r="AA435" s="17" t="n">
        <v>11.85</v>
      </c>
      <c r="AB435" s="17" t="n">
        <v>4.7369521381701</v>
      </c>
      <c r="AC435" s="17" t="n">
        <v>1.3355716662705</v>
      </c>
      <c r="AD435" s="17" t="n">
        <v>0.02</v>
      </c>
      <c r="AE435" s="17" t="n">
        <v>1</v>
      </c>
      <c r="AF435" s="17" t="s">
        <v>210</v>
      </c>
      <c r="AG435" s="17" t="s">
        <v>211</v>
      </c>
      <c r="AH435" s="17" t="n">
        <v>0</v>
      </c>
    </row>
    <row r="436" customFormat="false" ht="15" hidden="false" customHeight="false" outlineLevel="0" collapsed="false">
      <c r="A436" s="17" t="n">
        <v>11971</v>
      </c>
      <c r="B436" s="23" t="n">
        <v>45382</v>
      </c>
      <c r="C436" s="17" t="s">
        <v>134</v>
      </c>
      <c r="D436" s="17" t="s">
        <v>108</v>
      </c>
      <c r="E436" s="17" t="n">
        <v>3955727</v>
      </c>
      <c r="F436" s="17" t="n">
        <v>3961767.5</v>
      </c>
      <c r="G436" s="17" t="n">
        <v>3137892</v>
      </c>
      <c r="H436" s="17" t="n">
        <v>487592</v>
      </c>
      <c r="I436" s="17" t="n">
        <v>12.3262297929053</v>
      </c>
      <c r="J436" s="17" t="n">
        <v>3014809</v>
      </c>
      <c r="K436" s="17" t="n">
        <v>3008023.5</v>
      </c>
      <c r="L436" s="17" t="n">
        <v>2986454</v>
      </c>
      <c r="M436" s="17" t="n">
        <v>2661075</v>
      </c>
      <c r="N436" s="17" t="n">
        <v>200453</v>
      </c>
      <c r="O436" s="17" t="n">
        <v>7629</v>
      </c>
      <c r="P436" s="17" t="n">
        <v>6869</v>
      </c>
      <c r="Q436" s="17" t="n">
        <v>2796</v>
      </c>
      <c r="R436" s="17" t="n">
        <v>0</v>
      </c>
      <c r="S436" s="17" t="n">
        <v>76</v>
      </c>
      <c r="T436" s="17" t="n">
        <v>304</v>
      </c>
      <c r="U436" s="17" t="n">
        <v>0.0101063040232232</v>
      </c>
      <c r="V436" s="17" t="n">
        <v>447860</v>
      </c>
      <c r="W436" s="17" t="n">
        <v>3176662</v>
      </c>
      <c r="X436" s="17" t="n">
        <v>14.0984467343394</v>
      </c>
      <c r="Y436" s="17" t="n">
        <v>46288</v>
      </c>
      <c r="Z436" s="17" t="n">
        <v>1.1683674016711</v>
      </c>
      <c r="AA436" s="17" t="n">
        <v>9.53</v>
      </c>
      <c r="AB436" s="17" t="n">
        <v>3.25579709921018</v>
      </c>
      <c r="AC436" s="17" t="n">
        <v>0.940523927054749</v>
      </c>
      <c r="AD436" s="17" t="n">
        <v>0.01</v>
      </c>
      <c r="AE436" s="17" t="n">
        <v>1</v>
      </c>
      <c r="AF436" s="17" t="s">
        <v>231</v>
      </c>
      <c r="AG436" s="17" t="s">
        <v>232</v>
      </c>
      <c r="AH436" s="17" t="n">
        <v>0</v>
      </c>
    </row>
    <row r="437" customFormat="false" ht="15" hidden="false" customHeight="false" outlineLevel="0" collapsed="false">
      <c r="A437" s="17" t="n">
        <v>12874</v>
      </c>
      <c r="B437" s="23" t="n">
        <v>45382</v>
      </c>
      <c r="C437" s="17" t="s">
        <v>159</v>
      </c>
      <c r="D437" s="17" t="s">
        <v>108</v>
      </c>
      <c r="E437" s="17" t="n">
        <v>1024449</v>
      </c>
      <c r="F437" s="17" t="n">
        <v>1028561</v>
      </c>
      <c r="G437" s="17" t="n">
        <v>876882</v>
      </c>
      <c r="H437" s="17" t="n">
        <v>106671</v>
      </c>
      <c r="I437" s="17" t="n">
        <v>10.4125241959336</v>
      </c>
      <c r="J437" s="17" t="n">
        <v>797792</v>
      </c>
      <c r="K437" s="17" t="n">
        <v>798442.5</v>
      </c>
      <c r="L437" s="17" t="n">
        <v>789897</v>
      </c>
      <c r="M437" s="17" t="n">
        <v>629564</v>
      </c>
      <c r="N437" s="17" t="n">
        <v>149340</v>
      </c>
      <c r="O437" s="17" t="n">
        <v>5156</v>
      </c>
      <c r="P437" s="17" t="n">
        <v>1466</v>
      </c>
      <c r="Q437" s="17" t="n">
        <v>286</v>
      </c>
      <c r="R437" s="17" t="n">
        <v>0</v>
      </c>
      <c r="S437" s="17" t="n">
        <v>-40</v>
      </c>
      <c r="T437" s="17" t="n">
        <v>-160</v>
      </c>
      <c r="U437" s="17" t="n">
        <v>-0.0200390134543189</v>
      </c>
      <c r="V437" s="17" t="n">
        <v>121055</v>
      </c>
      <c r="W437" s="17" t="n">
        <v>752435</v>
      </c>
      <c r="X437" s="17" t="n">
        <v>16.0884328878907</v>
      </c>
      <c r="Y437" s="17" t="n">
        <v>9100</v>
      </c>
      <c r="Z437" s="17" t="n">
        <v>0.884731192413479</v>
      </c>
      <c r="AA437" s="17" t="n">
        <v>8.52</v>
      </c>
      <c r="AB437" s="17" t="n">
        <v>3.63748180471991</v>
      </c>
      <c r="AC437" s="17" t="n">
        <v>0.989606313425053</v>
      </c>
      <c r="AD437" s="17" t="n">
        <v>-0.05</v>
      </c>
      <c r="AE437" s="17" t="n">
        <v>1</v>
      </c>
      <c r="AF437" s="17" t="s">
        <v>231</v>
      </c>
      <c r="AG437" s="17" t="s">
        <v>232</v>
      </c>
      <c r="AH437" s="17" t="n">
        <v>0</v>
      </c>
    </row>
    <row r="438" customFormat="false" ht="15" hidden="false" customHeight="false" outlineLevel="0" collapsed="false">
      <c r="A438" s="17" t="n">
        <v>13063</v>
      </c>
      <c r="B438" s="23" t="n">
        <v>45382</v>
      </c>
      <c r="C438" s="17" t="s">
        <v>139</v>
      </c>
      <c r="D438" s="17" t="s">
        <v>108</v>
      </c>
      <c r="E438" s="17" t="n">
        <v>1806517</v>
      </c>
      <c r="F438" s="17" t="n">
        <v>1816174.5</v>
      </c>
      <c r="G438" s="17" t="n">
        <v>1572488</v>
      </c>
      <c r="H438" s="17" t="n">
        <v>144426</v>
      </c>
      <c r="I438" s="17" t="n">
        <v>7.994721333926</v>
      </c>
      <c r="J438" s="17" t="n">
        <v>1429824</v>
      </c>
      <c r="K438" s="17" t="n">
        <v>1424904</v>
      </c>
      <c r="L438" s="17" t="n">
        <v>1412620</v>
      </c>
      <c r="M438" s="17" t="n">
        <v>1360729</v>
      </c>
      <c r="N438" s="17" t="n">
        <v>57837</v>
      </c>
      <c r="O438" s="17" t="n">
        <v>758</v>
      </c>
      <c r="P438" s="17" t="n">
        <v>510</v>
      </c>
      <c r="Q438" s="17" t="n">
        <v>3365</v>
      </c>
      <c r="R438" s="17" t="n">
        <v>0</v>
      </c>
      <c r="S438" s="17" t="n">
        <v>-4</v>
      </c>
      <c r="T438" s="17" t="n">
        <v>-16</v>
      </c>
      <c r="U438" s="17" t="n">
        <v>-0.00112288266437599</v>
      </c>
      <c r="V438" s="17" t="n">
        <v>0</v>
      </c>
      <c r="W438" s="17" t="n">
        <v>0</v>
      </c>
      <c r="X438" s="17" t="n">
        <v>0</v>
      </c>
      <c r="Y438" s="17" t="n">
        <v>5088</v>
      </c>
      <c r="Z438" s="17" t="n">
        <v>0.280149291821904</v>
      </c>
      <c r="AA438" s="17" t="n">
        <v>3.52</v>
      </c>
      <c r="AB438" s="17" t="n">
        <v>2.96240345136222</v>
      </c>
      <c r="AC438" s="17" t="n">
        <v>1.20322501230921</v>
      </c>
      <c r="AD438" s="17" t="n">
        <v>0.06</v>
      </c>
      <c r="AE438" s="17" t="n">
        <v>1</v>
      </c>
      <c r="AF438" s="17" t="s">
        <v>241</v>
      </c>
      <c r="AG438" s="17" t="s">
        <v>232</v>
      </c>
      <c r="AH438" s="17" t="n">
        <v>0</v>
      </c>
    </row>
    <row r="439" customFormat="false" ht="15" hidden="false" customHeight="false" outlineLevel="0" collapsed="false">
      <c r="A439" s="17" t="n">
        <v>14134</v>
      </c>
      <c r="B439" s="23" t="n">
        <v>45382</v>
      </c>
      <c r="C439" s="17" t="s">
        <v>155</v>
      </c>
      <c r="D439" s="17" t="s">
        <v>113</v>
      </c>
      <c r="E439" s="17" t="n">
        <v>842231</v>
      </c>
      <c r="F439" s="17" t="n">
        <v>848487</v>
      </c>
      <c r="G439" s="17" t="n">
        <v>674131</v>
      </c>
      <c r="H439" s="17" t="n">
        <v>108189</v>
      </c>
      <c r="I439" s="17" t="n">
        <v>12.8455257524361</v>
      </c>
      <c r="J439" s="17" t="n">
        <v>633180</v>
      </c>
      <c r="K439" s="17" t="n">
        <v>637049</v>
      </c>
      <c r="L439" s="17" t="n">
        <v>625867</v>
      </c>
      <c r="M439" s="17" t="n">
        <v>560872</v>
      </c>
      <c r="N439" s="17" t="n">
        <v>25471</v>
      </c>
      <c r="O439" s="17" t="n">
        <v>24735</v>
      </c>
      <c r="P439" s="17" t="n">
        <v>10903</v>
      </c>
      <c r="Q439" s="17" t="n">
        <v>4407</v>
      </c>
      <c r="R439" s="17" t="n">
        <v>0</v>
      </c>
      <c r="S439" s="17" t="n">
        <v>150</v>
      </c>
      <c r="T439" s="17" t="n">
        <v>600</v>
      </c>
      <c r="U439" s="17" t="n">
        <v>0.0941842778185038</v>
      </c>
      <c r="V439" s="17" t="n">
        <v>112272</v>
      </c>
      <c r="W439" s="17" t="n">
        <v>573895</v>
      </c>
      <c r="X439" s="17" t="n">
        <v>19.5631605084554</v>
      </c>
      <c r="Y439" s="17" t="n">
        <v>12960</v>
      </c>
      <c r="Z439" s="17" t="n">
        <v>1.52742469831594</v>
      </c>
      <c r="AA439" s="17" t="n">
        <v>12.11</v>
      </c>
      <c r="AB439" s="17" t="n">
        <v>3.06668550800971</v>
      </c>
      <c r="AC439" s="17" t="n">
        <v>1.15496383334913</v>
      </c>
      <c r="AD439" s="17" t="n">
        <v>0.09</v>
      </c>
      <c r="AE439" s="17" t="n">
        <v>1</v>
      </c>
      <c r="AF439" s="17" t="s">
        <v>241</v>
      </c>
      <c r="AG439" s="17" t="s">
        <v>232</v>
      </c>
      <c r="AH439" s="17" t="n">
        <v>0</v>
      </c>
    </row>
    <row r="440" customFormat="false" ht="15" hidden="false" customHeight="false" outlineLevel="0" collapsed="false">
      <c r="A440" s="17" t="n">
        <v>14136</v>
      </c>
      <c r="B440" s="23" t="n">
        <v>45382</v>
      </c>
      <c r="C440" s="17" t="s">
        <v>153</v>
      </c>
      <c r="D440" s="17" t="s">
        <v>113</v>
      </c>
      <c r="E440" s="17" t="n">
        <v>239150</v>
      </c>
      <c r="F440" s="17" t="n">
        <v>236504</v>
      </c>
      <c r="G440" s="17" t="n">
        <v>196243</v>
      </c>
      <c r="H440" s="17" t="n">
        <v>17389</v>
      </c>
      <c r="I440" s="17" t="n">
        <v>7.27116872255906</v>
      </c>
      <c r="J440" s="17" t="n">
        <v>153163</v>
      </c>
      <c r="K440" s="17" t="n">
        <v>153075.5</v>
      </c>
      <c r="L440" s="17" t="n">
        <v>151470</v>
      </c>
      <c r="M440" s="17" t="n">
        <v>123830</v>
      </c>
      <c r="N440" s="17" t="n">
        <v>14438</v>
      </c>
      <c r="O440" s="17" t="n">
        <v>14594</v>
      </c>
      <c r="P440" s="17" t="n">
        <v>502</v>
      </c>
      <c r="Q440" s="17" t="n">
        <v>634</v>
      </c>
      <c r="R440" s="17" t="n">
        <v>469</v>
      </c>
      <c r="S440" s="17" t="n">
        <v>82</v>
      </c>
      <c r="T440" s="17" t="n">
        <v>328</v>
      </c>
      <c r="U440" s="17" t="n">
        <v>0.214273348772338</v>
      </c>
      <c r="V440" s="17" t="n">
        <v>26776</v>
      </c>
      <c r="W440" s="17" t="n">
        <v>152584</v>
      </c>
      <c r="X440" s="17" t="n">
        <v>17.5483668012374</v>
      </c>
      <c r="Y440" s="17" t="n">
        <v>1604</v>
      </c>
      <c r="Z440" s="17" t="n">
        <v>0.678212630653181</v>
      </c>
      <c r="AA440" s="17" t="n">
        <v>9.32</v>
      </c>
      <c r="AB440" s="17" t="n">
        <v>3.75432733834968</v>
      </c>
      <c r="AC440" s="17" t="n">
        <v>1.10535834372531</v>
      </c>
      <c r="AD440" s="17" t="n">
        <v>-0.18</v>
      </c>
      <c r="AE440" s="17" t="n">
        <v>1</v>
      </c>
      <c r="AF440" s="17" t="s">
        <v>241</v>
      </c>
      <c r="AG440" s="17" t="s">
        <v>232</v>
      </c>
      <c r="AH440" s="17" t="n">
        <v>1</v>
      </c>
    </row>
    <row r="441" customFormat="false" ht="15" hidden="false" customHeight="false" outlineLevel="0" collapsed="false">
      <c r="A441" s="17" t="n">
        <v>14140</v>
      </c>
      <c r="B441" s="23" t="n">
        <v>45382</v>
      </c>
      <c r="C441" s="17" t="s">
        <v>120</v>
      </c>
      <c r="D441" s="17" t="s">
        <v>113</v>
      </c>
      <c r="E441" s="17" t="n">
        <v>1501419</v>
      </c>
      <c r="F441" s="17" t="n">
        <v>1503060.5</v>
      </c>
      <c r="G441" s="17" t="n">
        <v>1223701</v>
      </c>
      <c r="H441" s="17" t="n">
        <v>125756</v>
      </c>
      <c r="I441" s="17" t="n">
        <v>8.37580981724622</v>
      </c>
      <c r="J441" s="17" t="n">
        <v>1056452</v>
      </c>
      <c r="K441" s="17" t="n">
        <v>1048062</v>
      </c>
      <c r="L441" s="17" t="n">
        <v>1047556</v>
      </c>
      <c r="M441" s="17" t="n">
        <v>938480</v>
      </c>
      <c r="N441" s="17" t="n">
        <v>86843</v>
      </c>
      <c r="O441" s="17" t="n">
        <v>1578</v>
      </c>
      <c r="P441" s="17" t="n">
        <v>4548</v>
      </c>
      <c r="Q441" s="17" t="n">
        <v>85</v>
      </c>
      <c r="R441" s="17" t="n">
        <v>0</v>
      </c>
      <c r="S441" s="17" t="n">
        <v>7</v>
      </c>
      <c r="T441" s="17" t="n">
        <v>28</v>
      </c>
      <c r="U441" s="17" t="n">
        <v>0.00267159767265677</v>
      </c>
      <c r="V441" s="17" t="n">
        <v>0</v>
      </c>
      <c r="W441" s="17" t="n">
        <v>0</v>
      </c>
      <c r="X441" s="17" t="n">
        <v>0</v>
      </c>
      <c r="Y441" s="17" t="n">
        <v>4000</v>
      </c>
      <c r="Z441" s="17" t="n">
        <v>0.266123685640066</v>
      </c>
      <c r="AA441" s="17" t="n">
        <v>3.17</v>
      </c>
      <c r="AB441" s="17" t="n">
        <v>2.39161561031374</v>
      </c>
      <c r="AC441" s="17" t="n">
        <v>0.842063813594939</v>
      </c>
      <c r="AD441" s="17" t="n">
        <v>0.03</v>
      </c>
      <c r="AE441" s="17" t="n">
        <v>1</v>
      </c>
      <c r="AF441" s="17" t="s">
        <v>241</v>
      </c>
      <c r="AG441" s="17" t="s">
        <v>232</v>
      </c>
      <c r="AH441" s="17" t="n">
        <v>0</v>
      </c>
    </row>
    <row r="442" customFormat="false" ht="15" hidden="false" customHeight="false" outlineLevel="0" collapsed="false">
      <c r="A442" s="17" t="n">
        <v>14158</v>
      </c>
      <c r="B442" s="23" t="n">
        <v>45382</v>
      </c>
      <c r="C442" s="17" t="s">
        <v>112</v>
      </c>
      <c r="D442" s="17" t="s">
        <v>113</v>
      </c>
      <c r="E442" s="17" t="n">
        <v>1416981</v>
      </c>
      <c r="F442" s="17" t="n">
        <v>1442724.5</v>
      </c>
      <c r="G442" s="17" t="n">
        <v>1175239</v>
      </c>
      <c r="H442" s="17" t="n">
        <v>79774</v>
      </c>
      <c r="I442" s="17" t="n">
        <v>5.62985671649796</v>
      </c>
      <c r="J442" s="17" t="n">
        <v>1039391</v>
      </c>
      <c r="K442" s="17" t="n">
        <v>1036241.5</v>
      </c>
      <c r="L442" s="17" t="n">
        <v>1032746</v>
      </c>
      <c r="M442" s="17" t="n">
        <v>909000</v>
      </c>
      <c r="N442" s="17" t="n">
        <v>40567</v>
      </c>
      <c r="O442" s="17" t="n">
        <v>2275</v>
      </c>
      <c r="P442" s="17" t="n">
        <v>1813</v>
      </c>
      <c r="Q442" s="17" t="n">
        <v>2549</v>
      </c>
      <c r="R442" s="17" t="n">
        <v>60</v>
      </c>
      <c r="S442" s="17" t="n">
        <v>-1</v>
      </c>
      <c r="T442" s="17" t="n">
        <v>-4</v>
      </c>
      <c r="U442" s="17" t="n">
        <v>-0.000386010403945412</v>
      </c>
      <c r="V442" s="17" t="n">
        <v>120015</v>
      </c>
      <c r="W442" s="17" t="n">
        <v>899631</v>
      </c>
      <c r="X442" s="17" t="n">
        <v>13.3404695925329</v>
      </c>
      <c r="Y442" s="17" t="n">
        <v>10584</v>
      </c>
      <c r="Z442" s="17" t="n">
        <v>0.733611995914674</v>
      </c>
      <c r="AA442" s="17" t="n">
        <v>13.08</v>
      </c>
      <c r="AB442" s="17" t="n">
        <v>2.72025620948649</v>
      </c>
      <c r="AC442" s="17" t="n">
        <v>0.639316676784771</v>
      </c>
      <c r="AD442" s="17" t="n">
        <v>-0.06</v>
      </c>
      <c r="AE442" s="17" t="n">
        <v>1</v>
      </c>
      <c r="AF442" s="17" t="s">
        <v>231</v>
      </c>
      <c r="AG442" s="17" t="s">
        <v>232</v>
      </c>
      <c r="AH442" s="17" t="n">
        <v>0</v>
      </c>
    </row>
    <row r="443" customFormat="false" ht="15" hidden="false" customHeight="false" outlineLevel="0" collapsed="false">
      <c r="A443" s="17" t="n">
        <v>14168</v>
      </c>
      <c r="B443" s="23" t="n">
        <v>45382</v>
      </c>
      <c r="C443" s="17" t="s">
        <v>162</v>
      </c>
      <c r="D443" s="17" t="s">
        <v>113</v>
      </c>
      <c r="E443" s="17" t="n">
        <v>363663</v>
      </c>
      <c r="F443" s="17" t="n">
        <v>360686</v>
      </c>
      <c r="G443" s="17" t="n">
        <v>323430</v>
      </c>
      <c r="H443" s="17" t="n">
        <v>35210</v>
      </c>
      <c r="I443" s="17" t="n">
        <v>9.6820407905121</v>
      </c>
      <c r="J443" s="17" t="n">
        <v>250702</v>
      </c>
      <c r="K443" s="17" t="n">
        <v>245045.5</v>
      </c>
      <c r="L443" s="17" t="n">
        <v>246577</v>
      </c>
      <c r="M443" s="17" t="n">
        <v>213218</v>
      </c>
      <c r="N443" s="17" t="n">
        <v>12376</v>
      </c>
      <c r="O443" s="17" t="n">
        <v>10104</v>
      </c>
      <c r="P443" s="17" t="n">
        <v>1095</v>
      </c>
      <c r="Q443" s="17" t="n">
        <v>1276</v>
      </c>
      <c r="R443" s="17" t="n">
        <v>1</v>
      </c>
      <c r="S443" s="17" t="n">
        <v>-25</v>
      </c>
      <c r="T443" s="17" t="n">
        <v>-100</v>
      </c>
      <c r="U443" s="17" t="n">
        <v>-0.0408087477631705</v>
      </c>
      <c r="V443" s="17" t="n">
        <v>42718</v>
      </c>
      <c r="W443" s="17" t="n">
        <v>260623</v>
      </c>
      <c r="X443" s="17" t="n">
        <v>16.3907253005299</v>
      </c>
      <c r="Y443" s="17" t="n">
        <v>2840</v>
      </c>
      <c r="Z443" s="17" t="n">
        <v>0.787388476403298</v>
      </c>
      <c r="AA443" s="17" t="n">
        <v>8.06</v>
      </c>
      <c r="AB443" s="17" t="n">
        <v>3.9809390262742</v>
      </c>
      <c r="AC443" s="17" t="n">
        <v>1.64537977359574</v>
      </c>
      <c r="AD443" s="17" t="n">
        <v>0.11</v>
      </c>
      <c r="AE443" s="17" t="n">
        <v>1</v>
      </c>
      <c r="AF443" s="17" t="s">
        <v>231</v>
      </c>
      <c r="AG443" s="17" t="s">
        <v>232</v>
      </c>
      <c r="AH443" s="17" t="n">
        <v>0</v>
      </c>
    </row>
    <row r="444" customFormat="false" ht="15" hidden="false" customHeight="false" outlineLevel="0" collapsed="false">
      <c r="A444" s="17" t="n">
        <v>14240</v>
      </c>
      <c r="B444" s="23" t="n">
        <v>45382</v>
      </c>
      <c r="C444" s="17" t="s">
        <v>195</v>
      </c>
      <c r="D444" s="17" t="s">
        <v>116</v>
      </c>
      <c r="E444" s="17" t="n">
        <v>1238358</v>
      </c>
      <c r="F444" s="17" t="n">
        <v>1261623</v>
      </c>
      <c r="G444" s="17" t="n">
        <v>983728</v>
      </c>
      <c r="H444" s="17" t="n">
        <v>87867</v>
      </c>
      <c r="I444" s="17" t="n">
        <v>7.09544412843459</v>
      </c>
      <c r="J444" s="17" t="n">
        <v>920113</v>
      </c>
      <c r="K444" s="17" t="n">
        <v>920504</v>
      </c>
      <c r="L444" s="17" t="n">
        <v>909411</v>
      </c>
      <c r="M444" s="17" t="n">
        <v>804017</v>
      </c>
      <c r="N444" s="17" t="n">
        <v>26576</v>
      </c>
      <c r="O444" s="17" t="n">
        <v>15838</v>
      </c>
      <c r="P444" s="17" t="n">
        <v>3281</v>
      </c>
      <c r="Q444" s="17" t="n">
        <v>2878</v>
      </c>
      <c r="R444" s="17" t="n">
        <v>0</v>
      </c>
      <c r="S444" s="17" t="n">
        <v>-6</v>
      </c>
      <c r="T444" s="17" t="n">
        <v>-24</v>
      </c>
      <c r="U444" s="17" t="n">
        <v>-0.00260726732311864</v>
      </c>
      <c r="V444" s="17" t="n">
        <v>125323</v>
      </c>
      <c r="W444" s="17" t="n">
        <v>779350</v>
      </c>
      <c r="X444" s="17" t="n">
        <v>16.0804516584333</v>
      </c>
      <c r="Y444" s="17" t="n">
        <v>6180</v>
      </c>
      <c r="Z444" s="17" t="n">
        <v>0.489845223176813</v>
      </c>
      <c r="AA444" s="17" t="n">
        <v>6.95</v>
      </c>
      <c r="AB444" s="17" t="n">
        <v>2.8576455097097</v>
      </c>
      <c r="AC444" s="17" t="n">
        <v>1.16311800833159</v>
      </c>
      <c r="AD444" s="17" t="n">
        <v>0</v>
      </c>
      <c r="AE444" s="17" t="n">
        <v>0</v>
      </c>
      <c r="AF444" s="17" t="s">
        <v>231</v>
      </c>
      <c r="AG444" s="17" t="s">
        <v>232</v>
      </c>
      <c r="AH444" s="17" t="n">
        <v>0</v>
      </c>
    </row>
    <row r="445" customFormat="false" ht="15" hidden="false" customHeight="false" outlineLevel="0" collapsed="false">
      <c r="A445" s="17" t="n">
        <v>17115</v>
      </c>
      <c r="B445" s="23" t="n">
        <v>45382</v>
      </c>
      <c r="C445" s="17" t="s">
        <v>143</v>
      </c>
      <c r="D445" s="17" t="s">
        <v>108</v>
      </c>
      <c r="E445" s="17" t="n">
        <v>1079745</v>
      </c>
      <c r="F445" s="17" t="n">
        <v>1085718.5</v>
      </c>
      <c r="G445" s="17" t="n">
        <v>803428</v>
      </c>
      <c r="H445" s="17" t="n">
        <v>88109</v>
      </c>
      <c r="I445" s="17" t="n">
        <v>8.16016744694349</v>
      </c>
      <c r="J445" s="17" t="n">
        <v>896159</v>
      </c>
      <c r="K445" s="17" t="n">
        <v>897787.5</v>
      </c>
      <c r="L445" s="17" t="n">
        <v>887171</v>
      </c>
      <c r="M445" s="17" t="n">
        <v>845242</v>
      </c>
      <c r="N445" s="17" t="n">
        <v>43323</v>
      </c>
      <c r="O445" s="17" t="n">
        <v>6768</v>
      </c>
      <c r="P445" s="17" t="n">
        <v>2344</v>
      </c>
      <c r="Q445" s="17" t="n">
        <v>1163</v>
      </c>
      <c r="R445" s="17" t="n">
        <v>0</v>
      </c>
      <c r="S445" s="17" t="n">
        <v>8</v>
      </c>
      <c r="T445" s="17" t="n">
        <v>32</v>
      </c>
      <c r="U445" s="17" t="n">
        <v>0.00356431783690461</v>
      </c>
      <c r="V445" s="17" t="n">
        <v>111750</v>
      </c>
      <c r="W445" s="17" t="n">
        <v>800567</v>
      </c>
      <c r="X445" s="17" t="n">
        <v>13.958856660342</v>
      </c>
      <c r="Y445" s="17" t="n">
        <v>5804</v>
      </c>
      <c r="Z445" s="17" t="n">
        <v>0.534576872366088</v>
      </c>
      <c r="AA445" s="17" t="n">
        <v>6.61</v>
      </c>
      <c r="AB445" s="17" t="n">
        <v>2.59385352969745</v>
      </c>
      <c r="AC445" s="17" t="n">
        <v>1.00294702167807</v>
      </c>
      <c r="AD445" s="17" t="n">
        <v>0.03</v>
      </c>
      <c r="AE445" s="17" t="n">
        <v>1</v>
      </c>
      <c r="AF445" s="17" t="s">
        <v>241</v>
      </c>
      <c r="AG445" s="17" t="s">
        <v>232</v>
      </c>
      <c r="AH445" s="17" t="n">
        <v>0</v>
      </c>
    </row>
    <row r="446" customFormat="false" ht="15" hidden="false" customHeight="false" outlineLevel="0" collapsed="false">
      <c r="A446" s="17" t="n">
        <v>17180</v>
      </c>
      <c r="B446" s="23" t="n">
        <v>45382</v>
      </c>
      <c r="C446" s="17" t="s">
        <v>127</v>
      </c>
      <c r="D446" s="17" t="s">
        <v>116</v>
      </c>
      <c r="E446" s="17" t="n">
        <v>1658628</v>
      </c>
      <c r="F446" s="17" t="n">
        <v>1647696.5</v>
      </c>
      <c r="G446" s="17" t="n">
        <v>1184689</v>
      </c>
      <c r="H446" s="17" t="n">
        <v>137543</v>
      </c>
      <c r="I446" s="17" t="n">
        <v>8.29257675621056</v>
      </c>
      <c r="J446" s="17" t="n">
        <v>1488562</v>
      </c>
      <c r="K446" s="17" t="n">
        <v>1484525</v>
      </c>
      <c r="L446" s="17" t="n">
        <v>1473892</v>
      </c>
      <c r="M446" s="17" t="n">
        <v>1225328</v>
      </c>
      <c r="N446" s="17" t="n">
        <v>54013</v>
      </c>
      <c r="O446" s="17" t="n">
        <v>183116</v>
      </c>
      <c r="P446" s="17" t="n">
        <v>6109</v>
      </c>
      <c r="Q446" s="17" t="n">
        <v>1366</v>
      </c>
      <c r="R446" s="17" t="n">
        <v>0</v>
      </c>
      <c r="S446" s="17" t="n">
        <v>108</v>
      </c>
      <c r="T446" s="17" t="n">
        <v>432</v>
      </c>
      <c r="U446" s="17" t="n">
        <v>0.0291002172412051</v>
      </c>
      <c r="V446" s="17" t="n">
        <v>163288</v>
      </c>
      <c r="W446" s="17" t="n">
        <v>1139380</v>
      </c>
      <c r="X446" s="17" t="n">
        <v>14.3313029893451</v>
      </c>
      <c r="Y446" s="17" t="n">
        <v>6380</v>
      </c>
      <c r="Z446" s="17" t="n">
        <v>0.387207231428846</v>
      </c>
      <c r="AA446" s="17" t="n">
        <v>4.65</v>
      </c>
      <c r="AB446" s="17" t="n">
        <v>2.65361488045845</v>
      </c>
      <c r="AC446" s="17" t="n">
        <v>0.985514879460849</v>
      </c>
      <c r="AD446" s="17" t="n">
        <v>0.13</v>
      </c>
      <c r="AE446" s="17" t="n">
        <v>1</v>
      </c>
      <c r="AF446" s="17" t="s">
        <v>241</v>
      </c>
      <c r="AG446" s="17" t="s">
        <v>232</v>
      </c>
      <c r="AH446" s="17" t="n">
        <v>0</v>
      </c>
    </row>
    <row r="447" customFormat="false" ht="15" hidden="false" customHeight="false" outlineLevel="0" collapsed="false">
      <c r="A447" s="17" t="n">
        <v>17443</v>
      </c>
      <c r="B447" s="23" t="n">
        <v>45382</v>
      </c>
      <c r="C447" s="17" t="s">
        <v>132</v>
      </c>
      <c r="D447" s="17" t="s">
        <v>116</v>
      </c>
      <c r="E447" s="17" t="n">
        <v>343636</v>
      </c>
      <c r="F447" s="17" t="n">
        <v>347399.5</v>
      </c>
      <c r="G447" s="17" t="n">
        <v>303567</v>
      </c>
      <c r="H447" s="17" t="n">
        <v>38886</v>
      </c>
      <c r="I447" s="17" t="n">
        <v>11.3160437206812</v>
      </c>
      <c r="J447" s="17" t="n">
        <v>200566</v>
      </c>
      <c r="K447" s="17" t="n">
        <v>202812</v>
      </c>
      <c r="L447" s="17" t="n">
        <v>198910</v>
      </c>
      <c r="M447" s="17" t="n">
        <v>198841</v>
      </c>
      <c r="N447" s="17" t="n">
        <v>0</v>
      </c>
      <c r="O447" s="17" t="n">
        <v>725</v>
      </c>
      <c r="P447" s="17" t="n">
        <v>1048</v>
      </c>
      <c r="Q447" s="17" t="n">
        <v>366</v>
      </c>
      <c r="R447" s="17" t="n">
        <v>0</v>
      </c>
      <c r="S447" s="17" t="n">
        <v>0</v>
      </c>
      <c r="T447" s="17" t="n">
        <v>0</v>
      </c>
      <c r="U447" s="17" t="n">
        <v>0</v>
      </c>
      <c r="V447" s="17" t="n">
        <v>0</v>
      </c>
      <c r="W447" s="17" t="n">
        <v>0</v>
      </c>
      <c r="X447" s="17" t="n">
        <v>0</v>
      </c>
      <c r="Y447" s="17" t="n">
        <v>-1748</v>
      </c>
      <c r="Z447" s="17" t="n">
        <v>-0.50316710300389</v>
      </c>
      <c r="AA447" s="17" t="n">
        <v>-4.42</v>
      </c>
      <c r="AB447" s="17" t="n">
        <v>1.18845740550462</v>
      </c>
      <c r="AC447" s="17" t="n">
        <v>0.825663372655385</v>
      </c>
      <c r="AD447" s="17" t="n">
        <v>-0.07</v>
      </c>
      <c r="AE447" s="17" t="n">
        <v>1</v>
      </c>
      <c r="AF447" s="17" t="s">
        <v>241</v>
      </c>
      <c r="AG447" s="17" t="s">
        <v>232</v>
      </c>
      <c r="AH447" s="17" t="n">
        <v>1</v>
      </c>
    </row>
    <row r="448" customFormat="false" ht="15" hidden="false" customHeight="false" outlineLevel="0" collapsed="false">
      <c r="A448" s="17" t="n">
        <v>17658</v>
      </c>
      <c r="B448" s="23" t="n">
        <v>45382</v>
      </c>
      <c r="C448" s="17" t="s">
        <v>144</v>
      </c>
      <c r="D448" s="17" t="s">
        <v>108</v>
      </c>
      <c r="E448" s="17" t="n">
        <v>1866220</v>
      </c>
      <c r="F448" s="17" t="n">
        <v>1865892</v>
      </c>
      <c r="G448" s="17" t="n">
        <v>1503369</v>
      </c>
      <c r="H448" s="17" t="n">
        <v>208139</v>
      </c>
      <c r="I448" s="17" t="n">
        <v>11.1529723183762</v>
      </c>
      <c r="J448" s="17" t="n">
        <v>1313902</v>
      </c>
      <c r="K448" s="17" t="n">
        <v>1309539.5</v>
      </c>
      <c r="L448" s="17" t="n">
        <v>1304914</v>
      </c>
      <c r="M448" s="17" t="n">
        <v>1122390</v>
      </c>
      <c r="N448" s="17" t="n">
        <v>99126</v>
      </c>
      <c r="O448" s="17" t="n">
        <v>78729</v>
      </c>
      <c r="P448" s="17" t="n">
        <v>9256</v>
      </c>
      <c r="Q448" s="17" t="n">
        <v>2838</v>
      </c>
      <c r="R448" s="17" t="n">
        <v>385</v>
      </c>
      <c r="S448" s="17" t="n">
        <v>-125</v>
      </c>
      <c r="T448" s="17" t="n">
        <v>-500</v>
      </c>
      <c r="U448" s="17" t="n">
        <v>-0.0381813606996963</v>
      </c>
      <c r="V448" s="17" t="n">
        <v>0</v>
      </c>
      <c r="W448" s="17" t="n">
        <v>0</v>
      </c>
      <c r="X448" s="17" t="n">
        <v>0</v>
      </c>
      <c r="Y448" s="17" t="n">
        <v>17880</v>
      </c>
      <c r="Z448" s="17" t="n">
        <v>0.958254818606865</v>
      </c>
      <c r="AA448" s="17" t="n">
        <v>8.58</v>
      </c>
      <c r="AB448" s="17" t="n">
        <v>3.03780900395487</v>
      </c>
      <c r="AC448" s="17" t="n">
        <v>0.684069283706091</v>
      </c>
      <c r="AD448" s="17" t="n">
        <v>-0.01</v>
      </c>
      <c r="AE448" s="17" t="n">
        <v>1</v>
      </c>
      <c r="AF448" s="17" t="s">
        <v>241</v>
      </c>
      <c r="AG448" s="17" t="s">
        <v>232</v>
      </c>
      <c r="AH448" s="17" t="n">
        <v>0</v>
      </c>
    </row>
    <row r="449" customFormat="false" ht="15" hidden="false" customHeight="false" outlineLevel="0" collapsed="false">
      <c r="A449" s="17" t="n">
        <v>17741</v>
      </c>
      <c r="B449" s="23" t="n">
        <v>45382</v>
      </c>
      <c r="C449" s="17" t="s">
        <v>161</v>
      </c>
      <c r="D449" s="17" t="s">
        <v>108</v>
      </c>
      <c r="E449" s="17" t="n">
        <v>1107414</v>
      </c>
      <c r="F449" s="17" t="n">
        <v>1096035.5</v>
      </c>
      <c r="G449" s="17" t="n">
        <v>821220</v>
      </c>
      <c r="H449" s="17" t="n">
        <v>140357</v>
      </c>
      <c r="I449" s="17" t="n">
        <v>12.6743024740522</v>
      </c>
      <c r="J449" s="17" t="n">
        <v>927393</v>
      </c>
      <c r="K449" s="17" t="n">
        <v>922257.5</v>
      </c>
      <c r="L449" s="17" t="n">
        <v>918495</v>
      </c>
      <c r="M449" s="17" t="n">
        <v>863345</v>
      </c>
      <c r="N449" s="17" t="n">
        <v>56338</v>
      </c>
      <c r="O449" s="17" t="n">
        <v>4181</v>
      </c>
      <c r="P449" s="17" t="n">
        <v>7415</v>
      </c>
      <c r="Q449" s="17" t="n">
        <v>2790</v>
      </c>
      <c r="R449" s="17" t="n">
        <v>0</v>
      </c>
      <c r="S449" s="17" t="n">
        <v>48</v>
      </c>
      <c r="T449" s="17" t="n">
        <v>192</v>
      </c>
      <c r="U449" s="17" t="n">
        <v>0.0208184807388392</v>
      </c>
      <c r="V449" s="17" t="n">
        <v>0</v>
      </c>
      <c r="W449" s="17" t="n">
        <v>0</v>
      </c>
      <c r="X449" s="17" t="n">
        <v>0</v>
      </c>
      <c r="Y449" s="17" t="n">
        <v>6188</v>
      </c>
      <c r="Z449" s="17" t="n">
        <v>0.564580253103116</v>
      </c>
      <c r="AA449" s="17" t="n">
        <v>4.43</v>
      </c>
      <c r="AB449" s="17" t="n">
        <v>2.9839273577202</v>
      </c>
      <c r="AC449" s="17" t="n">
        <v>0.959463787197014</v>
      </c>
      <c r="AD449" s="17" t="n">
        <v>0.04</v>
      </c>
      <c r="AE449" s="17" t="n">
        <v>1</v>
      </c>
      <c r="AF449" s="17" t="s">
        <v>241</v>
      </c>
      <c r="AG449" s="17" t="s">
        <v>232</v>
      </c>
      <c r="AH449" s="17" t="n">
        <v>0</v>
      </c>
    </row>
    <row r="450" customFormat="false" ht="15" hidden="false" customHeight="false" outlineLevel="0" collapsed="false">
      <c r="A450" s="17" t="n">
        <v>17743</v>
      </c>
      <c r="B450" s="23" t="n">
        <v>45382</v>
      </c>
      <c r="C450" s="17" t="s">
        <v>129</v>
      </c>
      <c r="D450" s="17" t="s">
        <v>108</v>
      </c>
      <c r="E450" s="17" t="n">
        <v>1393711</v>
      </c>
      <c r="F450" s="17" t="n">
        <v>1387268.5</v>
      </c>
      <c r="G450" s="17" t="n">
        <v>978717</v>
      </c>
      <c r="H450" s="17" t="n">
        <v>122061</v>
      </c>
      <c r="I450" s="17" t="n">
        <v>8.75798497679935</v>
      </c>
      <c r="J450" s="17" t="n">
        <v>1099628</v>
      </c>
      <c r="K450" s="17" t="n">
        <v>1095653</v>
      </c>
      <c r="L450" s="17" t="n">
        <v>1094942</v>
      </c>
      <c r="M450" s="17" t="n">
        <v>1062851</v>
      </c>
      <c r="N450" s="17" t="n">
        <v>15543</v>
      </c>
      <c r="O450" s="17" t="n">
        <v>9685</v>
      </c>
      <c r="P450" s="17" t="n">
        <v>3695</v>
      </c>
      <c r="Q450" s="17" t="n">
        <v>8713</v>
      </c>
      <c r="R450" s="17" t="n">
        <v>0</v>
      </c>
      <c r="S450" s="17" t="n">
        <v>-2</v>
      </c>
      <c r="T450" s="17" t="n">
        <v>-8</v>
      </c>
      <c r="U450" s="17" t="n">
        <v>-0.000730158179642642</v>
      </c>
      <c r="V450" s="17" t="n">
        <v>0</v>
      </c>
      <c r="W450" s="17" t="n">
        <v>0</v>
      </c>
      <c r="X450" s="17" t="n">
        <v>0</v>
      </c>
      <c r="Y450" s="17" t="n">
        <v>-508</v>
      </c>
      <c r="Z450" s="17" t="n">
        <v>-0.0366187223309691</v>
      </c>
      <c r="AA450" s="17" t="n">
        <v>-0.42</v>
      </c>
      <c r="AB450" s="17" t="n">
        <v>1.83483584309946</v>
      </c>
      <c r="AC450" s="17" t="n">
        <v>0.426144114191345</v>
      </c>
      <c r="AD450" s="17" t="n">
        <v>-0.01</v>
      </c>
      <c r="AE450" s="17" t="n">
        <v>1</v>
      </c>
      <c r="AF450" s="17" t="s">
        <v>241</v>
      </c>
      <c r="AG450" s="17" t="s">
        <v>232</v>
      </c>
      <c r="AH450" s="17" t="n">
        <v>1</v>
      </c>
    </row>
    <row r="451" customFormat="false" ht="15" hidden="false" customHeight="false" outlineLevel="0" collapsed="false">
      <c r="A451" s="17" t="n">
        <v>17748</v>
      </c>
      <c r="B451" s="23" t="n">
        <v>45382</v>
      </c>
      <c r="C451" s="17" t="s">
        <v>196</v>
      </c>
      <c r="D451" s="17" t="s">
        <v>108</v>
      </c>
      <c r="E451" s="17" t="n">
        <v>1644996</v>
      </c>
      <c r="F451" s="17" t="n">
        <v>1656928</v>
      </c>
      <c r="G451" s="17" t="n">
        <v>1346317</v>
      </c>
      <c r="H451" s="17" t="n">
        <v>112176</v>
      </c>
      <c r="I451" s="17" t="n">
        <v>6.81922630814908</v>
      </c>
      <c r="J451" s="17" t="n">
        <v>1265225</v>
      </c>
      <c r="K451" s="17" t="n">
        <v>1272546</v>
      </c>
      <c r="L451" s="17" t="n">
        <v>1255473</v>
      </c>
      <c r="M451" s="17" t="n">
        <v>1052324</v>
      </c>
      <c r="N451" s="17" t="n">
        <v>176024</v>
      </c>
      <c r="O451" s="17" t="n">
        <v>3218</v>
      </c>
      <c r="P451" s="17" t="n">
        <v>9414</v>
      </c>
      <c r="Q451" s="17" t="n">
        <v>726</v>
      </c>
      <c r="R451" s="17" t="n">
        <v>0</v>
      </c>
      <c r="S451" s="17" t="n">
        <v>326</v>
      </c>
      <c r="T451" s="17" t="n">
        <v>1304</v>
      </c>
      <c r="U451" s="17" t="n">
        <v>0.102471737760364</v>
      </c>
      <c r="V451" s="17" t="n">
        <v>0</v>
      </c>
      <c r="W451" s="17" t="n">
        <v>0</v>
      </c>
      <c r="X451" s="17" t="n">
        <v>0</v>
      </c>
      <c r="Y451" s="17" t="n">
        <v>3088</v>
      </c>
      <c r="Z451" s="17" t="n">
        <v>0.186368991289905</v>
      </c>
      <c r="AA451" s="17" t="n">
        <v>2.73</v>
      </c>
      <c r="AB451" s="17" t="n">
        <v>2.34329764353995</v>
      </c>
      <c r="AC451" s="17" t="n">
        <v>0.770771997075619</v>
      </c>
      <c r="AD451" s="17" t="n">
        <v>0.03</v>
      </c>
      <c r="AE451" s="17" t="n">
        <v>0</v>
      </c>
      <c r="AF451" s="17" t="s">
        <v>241</v>
      </c>
      <c r="AG451" s="17" t="s">
        <v>232</v>
      </c>
      <c r="AH451" s="17" t="n">
        <v>0</v>
      </c>
    </row>
    <row r="452" customFormat="false" ht="15" hidden="false" customHeight="false" outlineLevel="0" collapsed="false">
      <c r="A452" s="17" t="n">
        <v>17749</v>
      </c>
      <c r="B452" s="23" t="n">
        <v>45382</v>
      </c>
      <c r="C452" s="17" t="s">
        <v>156</v>
      </c>
      <c r="D452" s="17" t="s">
        <v>108</v>
      </c>
      <c r="E452" s="17" t="n">
        <v>1350095</v>
      </c>
      <c r="F452" s="17" t="n">
        <v>1352638</v>
      </c>
      <c r="G452" s="17" t="n">
        <v>1048039</v>
      </c>
      <c r="H452" s="17" t="n">
        <v>173084</v>
      </c>
      <c r="I452" s="17" t="n">
        <v>12.8201348793974</v>
      </c>
      <c r="J452" s="17" t="n">
        <v>812727</v>
      </c>
      <c r="K452" s="17" t="n">
        <v>804796.5</v>
      </c>
      <c r="L452" s="17" t="n">
        <v>801554</v>
      </c>
      <c r="M452" s="17" t="n">
        <v>738584</v>
      </c>
      <c r="N452" s="17" t="n">
        <v>50316</v>
      </c>
      <c r="O452" s="17" t="n">
        <v>10949</v>
      </c>
      <c r="P452" s="17" t="n">
        <v>546</v>
      </c>
      <c r="Q452" s="17" t="n">
        <v>361</v>
      </c>
      <c r="R452" s="17" t="n">
        <v>3</v>
      </c>
      <c r="S452" s="17" t="n">
        <v>4</v>
      </c>
      <c r="T452" s="17" t="n">
        <v>16</v>
      </c>
      <c r="U452" s="17" t="n">
        <v>0.00198808021655164</v>
      </c>
      <c r="V452" s="17" t="n">
        <v>0</v>
      </c>
      <c r="W452" s="17" t="n">
        <v>0</v>
      </c>
      <c r="X452" s="17" t="n">
        <v>0</v>
      </c>
      <c r="Y452" s="17" t="n">
        <v>16304</v>
      </c>
      <c r="Z452" s="17" t="n">
        <v>1.20534836371594</v>
      </c>
      <c r="AA452" s="17" t="n">
        <v>9.44</v>
      </c>
      <c r="AB452" s="17" t="n">
        <v>2.50316352302883</v>
      </c>
      <c r="AC452" s="17" t="n">
        <v>1.37475437631579</v>
      </c>
      <c r="AD452" s="17" t="n">
        <v>0.07</v>
      </c>
      <c r="AE452" s="17" t="n">
        <v>1</v>
      </c>
      <c r="AF452" s="17" t="s">
        <v>241</v>
      </c>
      <c r="AG452" s="17" t="s">
        <v>232</v>
      </c>
      <c r="AH452" s="17" t="n">
        <v>1</v>
      </c>
    </row>
    <row r="453" customFormat="false" ht="15" hidden="false" customHeight="false" outlineLevel="0" collapsed="false">
      <c r="A453" s="17" t="n">
        <v>17751</v>
      </c>
      <c r="B453" s="23" t="n">
        <v>45382</v>
      </c>
      <c r="C453" s="17" t="s">
        <v>125</v>
      </c>
      <c r="D453" s="17" t="s">
        <v>108</v>
      </c>
      <c r="E453" s="17" t="n">
        <v>1632063</v>
      </c>
      <c r="F453" s="17" t="n">
        <v>1613063</v>
      </c>
      <c r="G453" s="17" t="n">
        <v>1308912</v>
      </c>
      <c r="H453" s="17" t="n">
        <v>138475</v>
      </c>
      <c r="I453" s="17" t="n">
        <v>8.48466021225896</v>
      </c>
      <c r="J453" s="17" t="n">
        <v>1332202</v>
      </c>
      <c r="K453" s="17" t="n">
        <v>1316767</v>
      </c>
      <c r="L453" s="17" t="n">
        <v>1320146</v>
      </c>
      <c r="M453" s="17" t="n">
        <v>1123971</v>
      </c>
      <c r="N453" s="17" t="n">
        <v>135811</v>
      </c>
      <c r="O453" s="17" t="n">
        <v>2663</v>
      </c>
      <c r="P453" s="17" t="n">
        <v>805</v>
      </c>
      <c r="Q453" s="17" t="n">
        <v>2865</v>
      </c>
      <c r="R453" s="17" t="n">
        <v>0</v>
      </c>
      <c r="S453" s="17" t="n">
        <v>-18</v>
      </c>
      <c r="T453" s="17" t="n">
        <v>-72</v>
      </c>
      <c r="U453" s="17" t="n">
        <v>-0.00546793775967958</v>
      </c>
      <c r="V453" s="17" t="n">
        <v>163933</v>
      </c>
      <c r="W453" s="17" t="n">
        <v>1366779</v>
      </c>
      <c r="X453" s="17" t="n">
        <v>11.9941117035014</v>
      </c>
      <c r="Y453" s="17" t="n">
        <v>6576</v>
      </c>
      <c r="Z453" s="17" t="n">
        <v>0.407671616049714</v>
      </c>
      <c r="AA453" s="17" t="n">
        <v>4.76</v>
      </c>
      <c r="AB453" s="17" t="n">
        <v>2.63611632629603</v>
      </c>
      <c r="AC453" s="17" t="n">
        <v>0.904967865233651</v>
      </c>
      <c r="AD453" s="17" t="n">
        <v>0.03</v>
      </c>
      <c r="AE453" s="17" t="n">
        <v>1</v>
      </c>
      <c r="AF453" s="17" t="s">
        <v>241</v>
      </c>
      <c r="AG453" s="17" t="s">
        <v>232</v>
      </c>
      <c r="AH453" s="17" t="n">
        <v>0</v>
      </c>
    </row>
    <row r="454" customFormat="false" ht="15" hidden="false" customHeight="false" outlineLevel="0" collapsed="false">
      <c r="A454" s="17" t="n">
        <v>17897</v>
      </c>
      <c r="B454" s="23" t="n">
        <v>45382</v>
      </c>
      <c r="C454" s="17" t="s">
        <v>149</v>
      </c>
      <c r="D454" s="17" t="s">
        <v>108</v>
      </c>
      <c r="E454" s="17" t="n">
        <v>1717181</v>
      </c>
      <c r="F454" s="17" t="n">
        <v>1713838.5</v>
      </c>
      <c r="G454" s="17" t="n">
        <v>1296371</v>
      </c>
      <c r="H454" s="17" t="n">
        <v>211359</v>
      </c>
      <c r="I454" s="17" t="n">
        <v>12.3084869911792</v>
      </c>
      <c r="J454" s="17" t="n">
        <v>1431534</v>
      </c>
      <c r="K454" s="17" t="n">
        <v>1437285.5</v>
      </c>
      <c r="L454" s="17" t="n">
        <v>1422828</v>
      </c>
      <c r="M454" s="17" t="n">
        <v>1346782</v>
      </c>
      <c r="N454" s="17" t="n">
        <v>73033</v>
      </c>
      <c r="O454" s="17" t="n">
        <v>3094</v>
      </c>
      <c r="P454" s="17" t="n">
        <v>3411</v>
      </c>
      <c r="Q454" s="17" t="n">
        <v>2066</v>
      </c>
      <c r="R454" s="17" t="n">
        <v>0</v>
      </c>
      <c r="S454" s="17" t="n">
        <v>-32</v>
      </c>
      <c r="T454" s="17" t="n">
        <v>-128</v>
      </c>
      <c r="U454" s="17" t="n">
        <v>-0.00890567670793311</v>
      </c>
      <c r="V454" s="17" t="n">
        <v>229899</v>
      </c>
      <c r="W454" s="17" t="n">
        <v>1310562</v>
      </c>
      <c r="X454" s="17" t="n">
        <v>17.5420163258205</v>
      </c>
      <c r="Y454" s="17" t="n">
        <v>20552</v>
      </c>
      <c r="Z454" s="17" t="n">
        <v>1.19917950261941</v>
      </c>
      <c r="AA454" s="17" t="n">
        <v>9.81</v>
      </c>
      <c r="AB454" s="17" t="n">
        <v>2.29920093008967</v>
      </c>
      <c r="AC454" s="17" t="n">
        <v>0.608158800279979</v>
      </c>
      <c r="AD454" s="17" t="n">
        <v>-0.08</v>
      </c>
      <c r="AE454" s="17" t="n">
        <v>1</v>
      </c>
      <c r="AF454" s="17" t="s">
        <v>241</v>
      </c>
      <c r="AG454" s="17" t="s">
        <v>232</v>
      </c>
      <c r="AH454" s="17" t="n">
        <v>0</v>
      </c>
    </row>
    <row r="455" customFormat="false" ht="15" hidden="false" customHeight="false" outlineLevel="0" collapsed="false">
      <c r="A455" s="17" t="n">
        <v>17951</v>
      </c>
      <c r="B455" s="23" t="n">
        <v>45382</v>
      </c>
      <c r="C455" s="17" t="s">
        <v>136</v>
      </c>
      <c r="D455" s="17" t="s">
        <v>116</v>
      </c>
      <c r="E455" s="17" t="n">
        <v>794635</v>
      </c>
      <c r="F455" s="17" t="n">
        <v>790341</v>
      </c>
      <c r="G455" s="17" t="n">
        <v>661495</v>
      </c>
      <c r="H455" s="17" t="n">
        <v>61632</v>
      </c>
      <c r="I455" s="17" t="n">
        <v>7.75601376732714</v>
      </c>
      <c r="J455" s="17" t="n">
        <v>585701</v>
      </c>
      <c r="K455" s="17" t="n">
        <v>582717</v>
      </c>
      <c r="L455" s="17" t="n">
        <v>580709</v>
      </c>
      <c r="M455" s="17" t="n">
        <v>544281</v>
      </c>
      <c r="N455" s="17" t="n">
        <v>27259</v>
      </c>
      <c r="O455" s="17" t="n">
        <v>1980</v>
      </c>
      <c r="P455" s="17" t="n">
        <v>174</v>
      </c>
      <c r="Q455" s="17" t="n">
        <v>137</v>
      </c>
      <c r="R455" s="17" t="n">
        <v>0</v>
      </c>
      <c r="S455" s="17" t="n">
        <v>-125</v>
      </c>
      <c r="T455" s="17" t="n">
        <v>-500</v>
      </c>
      <c r="U455" s="17" t="n">
        <v>-0.0858049447673571</v>
      </c>
      <c r="V455" s="17" t="n">
        <v>81490</v>
      </c>
      <c r="W455" s="17" t="n">
        <v>556914</v>
      </c>
      <c r="X455" s="17" t="n">
        <v>14.6324208046485</v>
      </c>
      <c r="Y455" s="17" t="n">
        <v>4428</v>
      </c>
      <c r="Z455" s="17" t="n">
        <v>0.560264493427521</v>
      </c>
      <c r="AA455" s="17" t="n">
        <v>7.17</v>
      </c>
      <c r="AB455" s="17" t="n">
        <v>2.50658748853139</v>
      </c>
      <c r="AC455" s="17" t="n">
        <v>0.852312015857921</v>
      </c>
      <c r="AD455" s="17" t="n">
        <v>-0.03</v>
      </c>
      <c r="AE455" s="17" t="n">
        <v>1</v>
      </c>
      <c r="AF455" s="17" t="s">
        <v>241</v>
      </c>
      <c r="AG455" s="17" t="s">
        <v>232</v>
      </c>
      <c r="AH455" s="17" t="n">
        <v>0</v>
      </c>
    </row>
    <row r="456" customFormat="false" ht="15" hidden="false" customHeight="false" outlineLevel="0" collapsed="false">
      <c r="A456" s="17" t="n">
        <v>17960</v>
      </c>
      <c r="B456" s="23" t="n">
        <v>45382</v>
      </c>
      <c r="C456" s="17" t="s">
        <v>115</v>
      </c>
      <c r="D456" s="17" t="s">
        <v>116</v>
      </c>
      <c r="E456" s="17" t="n">
        <v>1358652</v>
      </c>
      <c r="F456" s="17" t="n">
        <v>1363468.5</v>
      </c>
      <c r="G456" s="17" t="n">
        <v>1003157</v>
      </c>
      <c r="H456" s="17" t="n">
        <v>113634</v>
      </c>
      <c r="I456" s="17" t="n">
        <v>8.3637311099531</v>
      </c>
      <c r="J456" s="17" t="n">
        <v>1167672</v>
      </c>
      <c r="K456" s="17" t="n">
        <v>1166406</v>
      </c>
      <c r="L456" s="17" t="n">
        <v>1156212</v>
      </c>
      <c r="M456" s="17" t="n">
        <v>831348</v>
      </c>
      <c r="N456" s="17" t="n">
        <v>110468</v>
      </c>
      <c r="O456" s="17" t="n">
        <v>221886</v>
      </c>
      <c r="P456" s="17" t="n">
        <v>9231</v>
      </c>
      <c r="Q456" s="17" t="n">
        <v>2013</v>
      </c>
      <c r="R456" s="17" t="n">
        <v>0</v>
      </c>
      <c r="S456" s="17" t="n">
        <v>175</v>
      </c>
      <c r="T456" s="17" t="n">
        <v>700</v>
      </c>
      <c r="U456" s="17" t="n">
        <v>0.0600134087101747</v>
      </c>
      <c r="V456" s="17" t="n">
        <v>140190</v>
      </c>
      <c r="W456" s="17" t="n">
        <v>1049826</v>
      </c>
      <c r="X456" s="17" t="n">
        <v>13.3536414605849</v>
      </c>
      <c r="Y456" s="17" t="n">
        <v>5128</v>
      </c>
      <c r="Z456" s="17" t="n">
        <v>0.376099631197934</v>
      </c>
      <c r="AA456" s="17" t="n">
        <v>4.51</v>
      </c>
      <c r="AB456" s="17" t="n">
        <v>2.71200769173513</v>
      </c>
      <c r="AC456" s="17" t="n">
        <v>0.98143999342281</v>
      </c>
      <c r="AD456" s="17" t="n">
        <v>0.07</v>
      </c>
      <c r="AE456" s="17" t="n">
        <v>1</v>
      </c>
      <c r="AF456" s="17" t="s">
        <v>241</v>
      </c>
      <c r="AG456" s="17" t="s">
        <v>232</v>
      </c>
      <c r="AH456" s="17" t="n">
        <v>0</v>
      </c>
    </row>
    <row r="457" customFormat="false" ht="15" hidden="false" customHeight="false" outlineLevel="0" collapsed="false">
      <c r="A457" s="17" t="n">
        <v>18012</v>
      </c>
      <c r="B457" s="23" t="n">
        <v>45382</v>
      </c>
      <c r="C457" s="17" t="s">
        <v>148</v>
      </c>
      <c r="D457" s="17" t="s">
        <v>116</v>
      </c>
      <c r="E457" s="17" t="n">
        <v>2475597</v>
      </c>
      <c r="F457" s="17" t="n">
        <v>2495756</v>
      </c>
      <c r="G457" s="17" t="n">
        <v>2087993</v>
      </c>
      <c r="H457" s="17" t="n">
        <v>269535</v>
      </c>
      <c r="I457" s="17" t="n">
        <v>10.8876767906893</v>
      </c>
      <c r="J457" s="17" t="n">
        <v>1997011</v>
      </c>
      <c r="K457" s="17" t="n">
        <v>1995271.5</v>
      </c>
      <c r="L457" s="17" t="n">
        <v>1972623</v>
      </c>
      <c r="M457" s="17" t="n">
        <v>1892259</v>
      </c>
      <c r="N457" s="17" t="n">
        <v>50469</v>
      </c>
      <c r="O457" s="17" t="n">
        <v>31306</v>
      </c>
      <c r="P457" s="17" t="n">
        <v>790</v>
      </c>
      <c r="Q457" s="17" t="n">
        <v>4940</v>
      </c>
      <c r="R457" s="17" t="n">
        <v>0</v>
      </c>
      <c r="S457" s="17" t="n">
        <v>22</v>
      </c>
      <c r="T457" s="17" t="n">
        <v>88</v>
      </c>
      <c r="U457" s="17" t="n">
        <v>0.00441042735286902</v>
      </c>
      <c r="V457" s="17" t="n">
        <v>305466</v>
      </c>
      <c r="W457" s="17" t="n">
        <v>2125568</v>
      </c>
      <c r="X457" s="17" t="n">
        <v>14.3710292966398</v>
      </c>
      <c r="Y457" s="17" t="n">
        <v>16656</v>
      </c>
      <c r="Z457" s="17" t="n">
        <v>0.667372932289855</v>
      </c>
      <c r="AA457" s="17" t="n">
        <v>6.22</v>
      </c>
      <c r="AB457" s="17" t="n">
        <v>2.68109876927255</v>
      </c>
      <c r="AC457" s="17" t="n">
        <v>1.22122512094325</v>
      </c>
      <c r="AD457" s="17" t="n">
        <v>0.06</v>
      </c>
      <c r="AE457" s="17" t="n">
        <v>1</v>
      </c>
      <c r="AF457" s="17" t="s">
        <v>314</v>
      </c>
      <c r="AG457" s="17" t="s">
        <v>232</v>
      </c>
      <c r="AH457" s="17" t="n">
        <v>0</v>
      </c>
    </row>
    <row r="458" customFormat="false" ht="15" hidden="false" customHeight="false" outlineLevel="0" collapsed="false">
      <c r="A458" s="17" t="n">
        <v>18013</v>
      </c>
      <c r="B458" s="23" t="n">
        <v>45382</v>
      </c>
      <c r="C458" s="17" t="s">
        <v>131</v>
      </c>
      <c r="D458" s="17" t="s">
        <v>116</v>
      </c>
      <c r="E458" s="17" t="n">
        <v>2943126</v>
      </c>
      <c r="F458" s="17" t="n">
        <v>2937332.5</v>
      </c>
      <c r="G458" s="17" t="n">
        <v>2511525</v>
      </c>
      <c r="H458" s="17" t="n">
        <v>220450</v>
      </c>
      <c r="I458" s="17" t="n">
        <v>7.49033510627816</v>
      </c>
      <c r="J458" s="17" t="n">
        <v>2386994</v>
      </c>
      <c r="K458" s="17" t="n">
        <v>2380802.5</v>
      </c>
      <c r="L458" s="17" t="n">
        <v>2370272</v>
      </c>
      <c r="M458" s="17" t="n">
        <v>2170356</v>
      </c>
      <c r="N458" s="17" t="n">
        <v>113938</v>
      </c>
      <c r="O458" s="17" t="n">
        <v>28036</v>
      </c>
      <c r="P458" s="17" t="n">
        <v>990</v>
      </c>
      <c r="Q458" s="17" t="n">
        <v>4721</v>
      </c>
      <c r="R458" s="17" t="n">
        <v>357</v>
      </c>
      <c r="S458" s="17" t="n">
        <v>12</v>
      </c>
      <c r="T458" s="17" t="n">
        <v>48</v>
      </c>
      <c r="U458" s="17" t="n">
        <v>0.00201612691518931</v>
      </c>
      <c r="V458" s="17" t="n">
        <v>269618</v>
      </c>
      <c r="W458" s="17" t="n">
        <v>2167712</v>
      </c>
      <c r="X458" s="17" t="n">
        <v>12.4379068806188</v>
      </c>
      <c r="Y458" s="17" t="n">
        <v>7708</v>
      </c>
      <c r="Z458" s="17" t="n">
        <v>0.262414963236202</v>
      </c>
      <c r="AA458" s="17" t="n">
        <v>3.5</v>
      </c>
      <c r="AB458" s="17" t="n">
        <v>2.46666204557587</v>
      </c>
      <c r="AC458" s="17" t="n">
        <v>0.700546377577824</v>
      </c>
      <c r="AD458" s="17" t="n">
        <v>-0.01</v>
      </c>
      <c r="AE458" s="17" t="n">
        <v>1</v>
      </c>
      <c r="AF458" s="17" t="s">
        <v>314</v>
      </c>
      <c r="AG458" s="17" t="s">
        <v>232</v>
      </c>
      <c r="AH458" s="17" t="n">
        <v>0</v>
      </c>
    </row>
    <row r="459" customFormat="false" ht="15" hidden="false" customHeight="false" outlineLevel="0" collapsed="false">
      <c r="A459" s="17" t="n">
        <v>18028</v>
      </c>
      <c r="B459" s="23" t="n">
        <v>45382</v>
      </c>
      <c r="C459" s="17" t="s">
        <v>130</v>
      </c>
      <c r="D459" s="17" t="s">
        <v>116</v>
      </c>
      <c r="E459" s="17" t="n">
        <v>397277</v>
      </c>
      <c r="F459" s="17" t="n">
        <v>395065.5</v>
      </c>
      <c r="G459" s="17" t="n">
        <v>325871</v>
      </c>
      <c r="H459" s="17" t="n">
        <v>40522</v>
      </c>
      <c r="I459" s="17" t="n">
        <v>10.1999360647609</v>
      </c>
      <c r="J459" s="17" t="n">
        <v>267508</v>
      </c>
      <c r="K459" s="17" t="n">
        <v>266288</v>
      </c>
      <c r="L459" s="17" t="n">
        <v>265249</v>
      </c>
      <c r="M459" s="17" t="n">
        <v>240691</v>
      </c>
      <c r="N459" s="17" t="n">
        <v>14766</v>
      </c>
      <c r="O459" s="17" t="n">
        <v>6592</v>
      </c>
      <c r="P459" s="17" t="n">
        <v>704</v>
      </c>
      <c r="Q459" s="17" t="n">
        <v>2237</v>
      </c>
      <c r="R459" s="17" t="n">
        <v>59</v>
      </c>
      <c r="S459" s="17" t="n">
        <v>99</v>
      </c>
      <c r="T459" s="17" t="n">
        <v>396</v>
      </c>
      <c r="U459" s="17" t="n">
        <v>0.148711169861203</v>
      </c>
      <c r="V459" s="17" t="n">
        <v>0</v>
      </c>
      <c r="W459" s="17" t="n">
        <v>0</v>
      </c>
      <c r="X459" s="17" t="n">
        <v>0</v>
      </c>
      <c r="Y459" s="17" t="n">
        <v>1572</v>
      </c>
      <c r="Z459" s="17" t="n">
        <v>0.397908701215368</v>
      </c>
      <c r="AA459" s="17" t="n">
        <v>3.87</v>
      </c>
      <c r="AB459" s="17" t="n">
        <v>3.21726110492571</v>
      </c>
      <c r="AC459" s="17" t="n">
        <v>0.844460726408182</v>
      </c>
      <c r="AD459" s="17" t="n">
        <v>0.03</v>
      </c>
      <c r="AE459" s="17" t="n">
        <v>1</v>
      </c>
      <c r="AF459" s="17" t="s">
        <v>241</v>
      </c>
      <c r="AG459" s="17" t="s">
        <v>232</v>
      </c>
      <c r="AH459" s="17" t="n">
        <v>0</v>
      </c>
    </row>
    <row r="460" customFormat="false" ht="15" hidden="false" customHeight="false" outlineLevel="0" collapsed="false">
      <c r="A460" s="17" t="n">
        <v>18030</v>
      </c>
      <c r="B460" s="23" t="n">
        <v>45382</v>
      </c>
      <c r="C460" s="17" t="s">
        <v>157</v>
      </c>
      <c r="D460" s="17" t="s">
        <v>116</v>
      </c>
      <c r="E460" s="17" t="n">
        <v>760475</v>
      </c>
      <c r="F460" s="17" t="n">
        <v>744102.5</v>
      </c>
      <c r="G460" s="17" t="n">
        <v>679167</v>
      </c>
      <c r="H460" s="17" t="n">
        <v>49359</v>
      </c>
      <c r="I460" s="17" t="n">
        <v>6.490548670239</v>
      </c>
      <c r="J460" s="17" t="n">
        <v>576022</v>
      </c>
      <c r="K460" s="17" t="n">
        <v>581933.5</v>
      </c>
      <c r="L460" s="17" t="n">
        <v>570090</v>
      </c>
      <c r="M460" s="17" t="n">
        <v>444671</v>
      </c>
      <c r="N460" s="17" t="n">
        <v>36835</v>
      </c>
      <c r="O460" s="17" t="n">
        <v>94431</v>
      </c>
      <c r="P460" s="17" t="n">
        <v>508</v>
      </c>
      <c r="Q460" s="17" t="n">
        <v>2582</v>
      </c>
      <c r="R460" s="17" t="n">
        <v>133</v>
      </c>
      <c r="S460" s="17" t="n">
        <v>-1</v>
      </c>
      <c r="T460" s="17" t="n">
        <v>-4</v>
      </c>
      <c r="U460" s="17" t="n">
        <v>-0.00068736376235429</v>
      </c>
      <c r="V460" s="17" t="n">
        <v>68339</v>
      </c>
      <c r="W460" s="17" t="n">
        <v>506186</v>
      </c>
      <c r="X460" s="17" t="n">
        <v>13.5007684922143</v>
      </c>
      <c r="Y460" s="17" t="n">
        <v>5064</v>
      </c>
      <c r="Z460" s="17" t="n">
        <v>0.68055140252855</v>
      </c>
      <c r="AA460" s="17" t="n">
        <v>10.29</v>
      </c>
      <c r="AB460" s="17" t="n">
        <v>3.43622712156947</v>
      </c>
      <c r="AC460" s="17" t="n">
        <v>1.02982177764044</v>
      </c>
      <c r="AD460" s="17" t="n">
        <v>-0.01</v>
      </c>
      <c r="AE460" s="17" t="n">
        <v>1</v>
      </c>
      <c r="AF460" s="17" t="s">
        <v>241</v>
      </c>
      <c r="AG460" s="17" t="s">
        <v>232</v>
      </c>
      <c r="AH460" s="17" t="n">
        <v>0</v>
      </c>
    </row>
    <row r="461" customFormat="false" ht="15" hidden="false" customHeight="false" outlineLevel="0" collapsed="false">
      <c r="A461" s="17" t="n">
        <v>18031</v>
      </c>
      <c r="B461" s="23" t="n">
        <v>45382</v>
      </c>
      <c r="C461" s="17" t="s">
        <v>152</v>
      </c>
      <c r="D461" s="17" t="s">
        <v>116</v>
      </c>
      <c r="E461" s="17" t="n">
        <v>669872</v>
      </c>
      <c r="F461" s="17" t="n">
        <v>677118</v>
      </c>
      <c r="G461" s="17" t="n">
        <v>532494</v>
      </c>
      <c r="H461" s="17" t="n">
        <v>36392</v>
      </c>
      <c r="I461" s="17" t="n">
        <v>5.43267967611723</v>
      </c>
      <c r="J461" s="17" t="n">
        <v>476691</v>
      </c>
      <c r="K461" s="17" t="n">
        <v>478476.5</v>
      </c>
      <c r="L461" s="17" t="n">
        <v>472840</v>
      </c>
      <c r="M461" s="17" t="n">
        <v>436768</v>
      </c>
      <c r="N461" s="17" t="n">
        <v>23631</v>
      </c>
      <c r="O461" s="17" t="n">
        <v>10269</v>
      </c>
      <c r="P461" s="17" t="n">
        <v>893</v>
      </c>
      <c r="Q461" s="17" t="n">
        <v>1463</v>
      </c>
      <c r="R461" s="17" t="n">
        <v>8</v>
      </c>
      <c r="S461" s="17" t="n">
        <v>13</v>
      </c>
      <c r="T461" s="17" t="n">
        <v>52</v>
      </c>
      <c r="U461" s="17" t="n">
        <v>0.0108678273645623</v>
      </c>
      <c r="V461" s="17" t="n">
        <v>61252</v>
      </c>
      <c r="W461" s="17" t="n">
        <v>374948</v>
      </c>
      <c r="X461" s="17" t="n">
        <v>16.3361319436295</v>
      </c>
      <c r="Y461" s="17" t="n">
        <v>3100</v>
      </c>
      <c r="Z461" s="17" t="n">
        <v>0.457822713323232</v>
      </c>
      <c r="AA461" s="17" t="n">
        <v>8.38</v>
      </c>
      <c r="AB461" s="17" t="n">
        <v>2.6129414762646</v>
      </c>
      <c r="AC461" s="17" t="n">
        <v>0.807860857452731</v>
      </c>
      <c r="AD461" s="17" t="n">
        <v>-0.1</v>
      </c>
      <c r="AE461" s="17" t="n">
        <v>0</v>
      </c>
      <c r="AF461" s="17" t="s">
        <v>241</v>
      </c>
      <c r="AG461" s="17" t="s">
        <v>232</v>
      </c>
      <c r="AH461" s="17" t="n">
        <v>0</v>
      </c>
    </row>
    <row r="462" customFormat="false" ht="15" hidden="false" customHeight="false" outlineLevel="0" collapsed="false">
      <c r="A462" s="17" t="n">
        <v>18038</v>
      </c>
      <c r="B462" s="23" t="n">
        <v>45382</v>
      </c>
      <c r="C462" s="17" t="s">
        <v>128</v>
      </c>
      <c r="D462" s="17" t="s">
        <v>116</v>
      </c>
      <c r="E462" s="17" t="n">
        <v>522345</v>
      </c>
      <c r="F462" s="17" t="n">
        <v>537219</v>
      </c>
      <c r="G462" s="17" t="n">
        <v>409953</v>
      </c>
      <c r="H462" s="17" t="n">
        <v>65908</v>
      </c>
      <c r="I462" s="17" t="n">
        <v>12.6177143458825</v>
      </c>
      <c r="J462" s="17" t="n">
        <v>416656</v>
      </c>
      <c r="K462" s="17" t="n">
        <v>417451</v>
      </c>
      <c r="L462" s="17" t="n">
        <v>412772</v>
      </c>
      <c r="M462" s="17" t="n">
        <v>389167</v>
      </c>
      <c r="N462" s="17" t="n">
        <v>23498</v>
      </c>
      <c r="O462" s="17" t="n">
        <v>3734</v>
      </c>
      <c r="P462" s="17" t="n">
        <v>2189</v>
      </c>
      <c r="Q462" s="17" t="n">
        <v>1700</v>
      </c>
      <c r="R462" s="17" t="n">
        <v>0</v>
      </c>
      <c r="S462" s="17" t="n">
        <v>-3</v>
      </c>
      <c r="T462" s="17" t="n">
        <v>-12</v>
      </c>
      <c r="U462" s="17" t="n">
        <v>-0.00287458887390376</v>
      </c>
      <c r="V462" s="17" t="n">
        <v>0</v>
      </c>
      <c r="W462" s="17" t="n">
        <v>0</v>
      </c>
      <c r="X462" s="17" t="n">
        <v>0</v>
      </c>
      <c r="Y462" s="17" t="n">
        <v>5840</v>
      </c>
      <c r="Z462" s="17" t="n">
        <v>1.0870799431889</v>
      </c>
      <c r="AA462" s="17" t="n">
        <v>8.82</v>
      </c>
      <c r="AB462" s="17" t="n">
        <v>2.4034256360768</v>
      </c>
      <c r="AC462" s="17" t="n">
        <v>0.932183863906916</v>
      </c>
      <c r="AD462" s="17" t="n">
        <v>0</v>
      </c>
      <c r="AE462" s="17" t="n">
        <v>1</v>
      </c>
      <c r="AF462" s="17" t="s">
        <v>241</v>
      </c>
      <c r="AG462" s="17" t="s">
        <v>232</v>
      </c>
      <c r="AH462" s="17" t="n">
        <v>1</v>
      </c>
    </row>
    <row r="463" customFormat="false" ht="15" hidden="false" customHeight="false" outlineLevel="0" collapsed="false">
      <c r="A463" s="17" t="n">
        <v>18408</v>
      </c>
      <c r="B463" s="23" t="n">
        <v>45382</v>
      </c>
      <c r="C463" s="17" t="s">
        <v>107</v>
      </c>
      <c r="D463" s="17" t="s">
        <v>108</v>
      </c>
      <c r="E463" s="17" t="n">
        <v>7209064</v>
      </c>
      <c r="F463" s="17" t="n">
        <v>7234838.5</v>
      </c>
      <c r="G463" s="17" t="n">
        <v>5243296</v>
      </c>
      <c r="H463" s="17" t="n">
        <v>402922</v>
      </c>
      <c r="I463" s="17" t="n">
        <v>5.58910282943805</v>
      </c>
      <c r="J463" s="17" t="n">
        <v>4840855</v>
      </c>
      <c r="K463" s="17" t="n">
        <v>4835116</v>
      </c>
      <c r="L463" s="17" t="n">
        <v>4808792</v>
      </c>
      <c r="M463" s="17" t="n">
        <v>4375722</v>
      </c>
      <c r="N463" s="17" t="n">
        <v>359864</v>
      </c>
      <c r="O463" s="17" t="n">
        <v>34725</v>
      </c>
      <c r="P463" s="17" t="n">
        <v>4530</v>
      </c>
      <c r="Q463" s="17" t="n">
        <v>7195</v>
      </c>
      <c r="R463" s="17" t="n">
        <v>0</v>
      </c>
      <c r="S463" s="17" t="n">
        <v>-238</v>
      </c>
      <c r="T463" s="17" t="n">
        <v>-952</v>
      </c>
      <c r="U463" s="17" t="n">
        <v>-0.0196892897709176</v>
      </c>
      <c r="V463" s="17" t="n">
        <v>579683</v>
      </c>
      <c r="W463" s="17" t="n">
        <v>4976785</v>
      </c>
      <c r="X463" s="17" t="n">
        <v>11.6477404589509</v>
      </c>
      <c r="Y463" s="17" t="n">
        <v>-1016</v>
      </c>
      <c r="Z463" s="17" t="n">
        <v>-0.0140431607422889</v>
      </c>
      <c r="AA463" s="17" t="n">
        <v>-0.25</v>
      </c>
      <c r="AB463" s="17" t="n">
        <v>2.02641372858428</v>
      </c>
      <c r="AC463" s="17" t="n">
        <v>0.662341673113531</v>
      </c>
      <c r="AD463" s="17" t="n">
        <v>0.02</v>
      </c>
      <c r="AE463" s="17" t="n">
        <v>1</v>
      </c>
      <c r="AF463" s="17" t="s">
        <v>241</v>
      </c>
      <c r="AG463" s="17" t="s">
        <v>232</v>
      </c>
      <c r="AH463" s="17" t="n">
        <v>0</v>
      </c>
    </row>
    <row r="464" customFormat="false" ht="15" hidden="false" customHeight="false" outlineLevel="0" collapsed="false">
      <c r="A464" s="17" t="n">
        <v>19531</v>
      </c>
      <c r="B464" s="23" t="n">
        <v>45382</v>
      </c>
      <c r="C464" s="17" t="s">
        <v>146</v>
      </c>
      <c r="D464" s="17" t="s">
        <v>108</v>
      </c>
      <c r="E464" s="17" t="n">
        <v>2536962</v>
      </c>
      <c r="F464" s="17" t="n">
        <v>2510004</v>
      </c>
      <c r="G464" s="17" t="n">
        <v>1943034</v>
      </c>
      <c r="H464" s="17" t="n">
        <v>242536</v>
      </c>
      <c r="I464" s="17" t="n">
        <v>9.56009589422309</v>
      </c>
      <c r="J464" s="17" t="n">
        <v>2037730</v>
      </c>
      <c r="K464" s="17" t="n">
        <v>2017104.5</v>
      </c>
      <c r="L464" s="17" t="n">
        <v>2016789</v>
      </c>
      <c r="M464" s="17" t="n">
        <v>1667925</v>
      </c>
      <c r="N464" s="17" t="n">
        <v>257202</v>
      </c>
      <c r="O464" s="17" t="n">
        <v>12370</v>
      </c>
      <c r="P464" s="17" t="n">
        <v>8011</v>
      </c>
      <c r="Q464" s="17" t="n">
        <v>9492</v>
      </c>
      <c r="R464" s="17" t="n">
        <v>26</v>
      </c>
      <c r="S464" s="17" t="n">
        <v>141</v>
      </c>
      <c r="T464" s="17" t="n">
        <v>564</v>
      </c>
      <c r="U464" s="17" t="n">
        <v>0.0279608716355548</v>
      </c>
      <c r="V464" s="17" t="n">
        <v>298569</v>
      </c>
      <c r="W464" s="17" t="n">
        <v>2085552</v>
      </c>
      <c r="X464" s="17" t="n">
        <v>14.3160659623927</v>
      </c>
      <c r="Y464" s="17" t="n">
        <v>7608</v>
      </c>
      <c r="Z464" s="17" t="n">
        <v>0.303107086681934</v>
      </c>
      <c r="AA464" s="17" t="n">
        <v>3.14</v>
      </c>
      <c r="AB464" s="17" t="n">
        <v>2.58073221173921</v>
      </c>
      <c r="AC464" s="17" t="n">
        <v>1.027663134959</v>
      </c>
      <c r="AD464" s="17" t="n">
        <v>0</v>
      </c>
      <c r="AE464" s="17" t="n">
        <v>1</v>
      </c>
      <c r="AF464" s="17" t="s">
        <v>241</v>
      </c>
      <c r="AG464" s="17" t="s">
        <v>232</v>
      </c>
      <c r="AH464" s="17" t="n">
        <v>0</v>
      </c>
    </row>
    <row r="465" customFormat="false" ht="15" hidden="false" customHeight="false" outlineLevel="0" collapsed="false">
      <c r="A465" s="17" t="n">
        <v>19532</v>
      </c>
      <c r="B465" s="23" t="n">
        <v>45382</v>
      </c>
      <c r="C465" s="17" t="s">
        <v>164</v>
      </c>
      <c r="D465" s="17" t="s">
        <v>108</v>
      </c>
      <c r="E465" s="17" t="n">
        <v>898226</v>
      </c>
      <c r="F465" s="17" t="n">
        <v>887464</v>
      </c>
      <c r="G465" s="17" t="n">
        <v>728574</v>
      </c>
      <c r="H465" s="17" t="n">
        <v>97076</v>
      </c>
      <c r="I465" s="17" t="n">
        <v>10.8075250549416</v>
      </c>
      <c r="J465" s="17" t="n">
        <v>591701</v>
      </c>
      <c r="K465" s="17" t="n">
        <v>588590.5</v>
      </c>
      <c r="L465" s="17" t="n">
        <v>585768</v>
      </c>
      <c r="M465" s="17" t="n">
        <v>486940</v>
      </c>
      <c r="N465" s="17" t="n">
        <v>47376</v>
      </c>
      <c r="O465" s="17" t="n">
        <v>51912</v>
      </c>
      <c r="P465" s="17" t="n">
        <v>1722</v>
      </c>
      <c r="Q465" s="17" t="n">
        <v>894</v>
      </c>
      <c r="R465" s="17" t="n">
        <v>0</v>
      </c>
      <c r="S465" s="17" t="n">
        <v>26</v>
      </c>
      <c r="T465" s="17" t="n">
        <v>104</v>
      </c>
      <c r="U465" s="17" t="n">
        <v>0.0176693303748532</v>
      </c>
      <c r="V465" s="17" t="n">
        <v>123075</v>
      </c>
      <c r="W465" s="17" t="n">
        <v>587147</v>
      </c>
      <c r="X465" s="17" t="n">
        <v>20.9615309283706</v>
      </c>
      <c r="Y465" s="17" t="n">
        <v>8372</v>
      </c>
      <c r="Z465" s="17" t="n">
        <v>0.943362209622024</v>
      </c>
      <c r="AA465" s="17" t="n">
        <v>8.64</v>
      </c>
      <c r="AB465" s="17" t="n">
        <v>2.92777746211838</v>
      </c>
      <c r="AC465" s="17" t="n">
        <v>1.0027023783972</v>
      </c>
      <c r="AD465" s="17" t="n">
        <v>0.02</v>
      </c>
      <c r="AE465" s="17" t="n">
        <v>1</v>
      </c>
      <c r="AF465" s="17" t="s">
        <v>241</v>
      </c>
      <c r="AG465" s="17" t="s">
        <v>232</v>
      </c>
      <c r="AH465" s="17" t="n">
        <v>1</v>
      </c>
    </row>
    <row r="466" customFormat="false" ht="15" hidden="false" customHeight="false" outlineLevel="0" collapsed="false">
      <c r="A466" s="17" t="n">
        <v>19690</v>
      </c>
      <c r="B466" s="23" t="n">
        <v>45382</v>
      </c>
      <c r="C466" s="17" t="s">
        <v>158</v>
      </c>
      <c r="D466" s="17" t="s">
        <v>108</v>
      </c>
      <c r="E466" s="17" t="n">
        <v>3001015</v>
      </c>
      <c r="F466" s="17" t="n">
        <v>2984995.5</v>
      </c>
      <c r="G466" s="17" t="n">
        <v>2249394</v>
      </c>
      <c r="H466" s="17" t="n">
        <v>351913</v>
      </c>
      <c r="I466" s="17" t="n">
        <v>11.7264658790443</v>
      </c>
      <c r="J466" s="17" t="n">
        <v>2656781</v>
      </c>
      <c r="K466" s="17" t="n">
        <v>2633919.5</v>
      </c>
      <c r="L466" s="17" t="n">
        <v>2630839</v>
      </c>
      <c r="M466" s="17" t="n">
        <v>2071416</v>
      </c>
      <c r="N466" s="17" t="n">
        <v>53076</v>
      </c>
      <c r="O466" s="17" t="n">
        <v>319</v>
      </c>
      <c r="P466" s="17" t="n">
        <v>27951</v>
      </c>
      <c r="Q466" s="17" t="n">
        <v>5111</v>
      </c>
      <c r="R466" s="17" t="n">
        <v>0</v>
      </c>
      <c r="S466" s="17" t="n">
        <v>2248</v>
      </c>
      <c r="T466" s="17" t="n">
        <v>8992</v>
      </c>
      <c r="U466" s="17" t="n">
        <v>0.341392362219119</v>
      </c>
      <c r="V466" s="17" t="n">
        <v>377855</v>
      </c>
      <c r="W466" s="17" t="n">
        <v>2656714</v>
      </c>
      <c r="X466" s="17" t="n">
        <v>14.2226449666769</v>
      </c>
      <c r="Y466" s="17" t="n">
        <v>55460</v>
      </c>
      <c r="Z466" s="17" t="n">
        <v>1.85795924985482</v>
      </c>
      <c r="AA466" s="17" t="n">
        <v>16.32</v>
      </c>
      <c r="AB466" s="17" t="n">
        <v>5.07860865095937</v>
      </c>
      <c r="AC466" s="17" t="n">
        <v>0.976444802940099</v>
      </c>
      <c r="AD466" s="17" t="n">
        <v>0.07</v>
      </c>
      <c r="AE466" s="17" t="n">
        <v>1</v>
      </c>
      <c r="AF466" s="17" t="s">
        <v>231</v>
      </c>
      <c r="AG466" s="17" t="s">
        <v>232</v>
      </c>
      <c r="AH466" s="17" t="n">
        <v>0</v>
      </c>
    </row>
    <row r="467" customFormat="false" ht="15" hidden="false" customHeight="false" outlineLevel="0" collapsed="false">
      <c r="A467" s="17" t="n">
        <v>19836</v>
      </c>
      <c r="B467" s="23" t="n">
        <v>45382</v>
      </c>
      <c r="C467" s="17" t="s">
        <v>136</v>
      </c>
      <c r="D467" s="17" t="s">
        <v>108</v>
      </c>
      <c r="E467" s="17" t="n">
        <v>677132</v>
      </c>
      <c r="F467" s="17" t="n">
        <v>668408</v>
      </c>
      <c r="G467" s="17" t="n">
        <v>501943</v>
      </c>
      <c r="H467" s="17" t="n">
        <v>121076</v>
      </c>
      <c r="I467" s="17" t="n">
        <v>17.8807086358347</v>
      </c>
      <c r="J467" s="17" t="n">
        <v>563910</v>
      </c>
      <c r="K467" s="17" t="n">
        <v>555558</v>
      </c>
      <c r="L467" s="17" t="n">
        <v>559447</v>
      </c>
      <c r="M467" s="17" t="n">
        <v>501814</v>
      </c>
      <c r="N467" s="17" t="n">
        <v>47004</v>
      </c>
      <c r="O467" s="17" t="n">
        <v>11321</v>
      </c>
      <c r="P467" s="17" t="n">
        <v>4708</v>
      </c>
      <c r="Q467" s="17" t="n">
        <v>1775</v>
      </c>
      <c r="R467" s="17" t="n">
        <v>134</v>
      </c>
      <c r="S467" s="17" t="n">
        <v>-6</v>
      </c>
      <c r="T467" s="17" t="n">
        <v>-24</v>
      </c>
      <c r="U467" s="17" t="n">
        <v>-0.00431998099208364</v>
      </c>
      <c r="V467" s="17" t="n">
        <v>135830</v>
      </c>
      <c r="W467" s="17" t="n">
        <v>534622</v>
      </c>
      <c r="X467" s="17" t="n">
        <v>25.4067359742023</v>
      </c>
      <c r="Y467" s="17" t="n">
        <v>4140</v>
      </c>
      <c r="Z467" s="17" t="n">
        <v>0.619382173762133</v>
      </c>
      <c r="AA467" s="17" t="n">
        <v>3.42</v>
      </c>
      <c r="AB467" s="17" t="n">
        <v>3.55685564125512</v>
      </c>
      <c r="AC467" s="17" t="n">
        <v>0.791438350091327</v>
      </c>
      <c r="AD467" s="17" t="n">
        <v>0</v>
      </c>
      <c r="AE467" s="17" t="n">
        <v>1</v>
      </c>
      <c r="AF467" s="17" t="s">
        <v>314</v>
      </c>
      <c r="AG467" s="17" t="s">
        <v>232</v>
      </c>
      <c r="AH467" s="17" t="n">
        <v>0</v>
      </c>
    </row>
    <row r="468" customFormat="false" ht="15" hidden="false" customHeight="false" outlineLevel="0" collapsed="false">
      <c r="A468" s="17" t="n">
        <v>24540</v>
      </c>
      <c r="B468" s="23" t="n">
        <v>45382</v>
      </c>
      <c r="C468" s="17" t="s">
        <v>163</v>
      </c>
      <c r="D468" s="17" t="s">
        <v>116</v>
      </c>
      <c r="E468" s="17" t="n">
        <v>1433532</v>
      </c>
      <c r="F468" s="17" t="n">
        <v>1407685</v>
      </c>
      <c r="G468" s="17" t="n">
        <v>1156113</v>
      </c>
      <c r="H468" s="17" t="n">
        <v>252599</v>
      </c>
      <c r="I468" s="17" t="n">
        <v>17.6207437294738</v>
      </c>
      <c r="J468" s="17" t="n">
        <v>1220007</v>
      </c>
      <c r="K468" s="17" t="n">
        <v>1212258.5</v>
      </c>
      <c r="L468" s="17" t="n">
        <v>1208384</v>
      </c>
      <c r="M468" s="17" t="n">
        <v>1181027</v>
      </c>
      <c r="N468" s="17" t="n">
        <v>42959</v>
      </c>
      <c r="O468" s="17" t="n">
        <v>75</v>
      </c>
      <c r="P468" s="17" t="n">
        <v>30157</v>
      </c>
      <c r="Q468" s="17" t="n">
        <v>0</v>
      </c>
      <c r="R468" s="17" t="n">
        <v>0</v>
      </c>
      <c r="S468" s="17" t="n">
        <v>0</v>
      </c>
      <c r="T468" s="17" t="n">
        <v>0</v>
      </c>
      <c r="U468" s="17" t="n">
        <v>0</v>
      </c>
      <c r="V468" s="17" t="n">
        <v>269261</v>
      </c>
      <c r="W468" s="17" t="n">
        <v>1423257</v>
      </c>
      <c r="X468" s="17" t="n">
        <v>18.9186492671387</v>
      </c>
      <c r="Y468" s="17" t="n">
        <v>26620</v>
      </c>
      <c r="Z468" s="17" t="n">
        <v>1.89104806828232</v>
      </c>
      <c r="AA468" s="17" t="n">
        <v>10.67</v>
      </c>
      <c r="AB468" s="17" t="n">
        <v>4.09894292806512</v>
      </c>
      <c r="AC468" s="17" t="n">
        <v>0.952699451724457</v>
      </c>
      <c r="AD468" s="17" t="n">
        <v>0.06</v>
      </c>
      <c r="AE468" s="17" t="n">
        <v>1</v>
      </c>
      <c r="AF468" s="17" t="s">
        <v>231</v>
      </c>
      <c r="AG468" s="17" t="s">
        <v>232</v>
      </c>
      <c r="AH468" s="17" t="n">
        <v>0</v>
      </c>
    </row>
    <row r="469" customFormat="false" ht="15" hidden="false" customHeight="false" outlineLevel="0" collapsed="false">
      <c r="A469" s="17" t="n">
        <v>27824</v>
      </c>
      <c r="B469" s="23" t="n">
        <v>45382</v>
      </c>
      <c r="C469" s="17" t="s">
        <v>117</v>
      </c>
      <c r="D469" s="17" t="s">
        <v>116</v>
      </c>
      <c r="E469" s="17" t="n">
        <v>541415</v>
      </c>
      <c r="F469" s="17" t="n">
        <v>541151</v>
      </c>
      <c r="G469" s="17" t="n">
        <v>385991</v>
      </c>
      <c r="H469" s="17" t="n">
        <v>64777</v>
      </c>
      <c r="I469" s="17" t="n">
        <v>11.9643896087105</v>
      </c>
      <c r="J469" s="17" t="n">
        <v>453279</v>
      </c>
      <c r="K469" s="17" t="n">
        <v>453325.5</v>
      </c>
      <c r="L469" s="17" t="n">
        <v>450353</v>
      </c>
      <c r="M469" s="17" t="n">
        <v>390846</v>
      </c>
      <c r="N469" s="17" t="n">
        <v>20617</v>
      </c>
      <c r="O469" s="17" t="n">
        <v>41816</v>
      </c>
      <c r="P469" s="17" t="n">
        <v>1045</v>
      </c>
      <c r="Q469" s="17" t="n">
        <v>1418</v>
      </c>
      <c r="R469" s="17" t="n">
        <v>0</v>
      </c>
      <c r="S469" s="17" t="n">
        <v>116</v>
      </c>
      <c r="T469" s="17" t="n">
        <v>464</v>
      </c>
      <c r="U469" s="17" t="n">
        <v>0.102354709805647</v>
      </c>
      <c r="V469" s="17" t="n">
        <v>73413</v>
      </c>
      <c r="W469" s="17" t="n">
        <v>349193</v>
      </c>
      <c r="X469" s="17" t="n">
        <v>21.0236173119163</v>
      </c>
      <c r="Y469" s="17" t="n">
        <v>-2128</v>
      </c>
      <c r="Z469" s="17" t="n">
        <v>-0.393235899037422</v>
      </c>
      <c r="AA469" s="17" t="n">
        <v>-3.28</v>
      </c>
      <c r="AB469" s="17" t="n">
        <v>1.62890150261009</v>
      </c>
      <c r="AC469" s="17" t="n">
        <v>0.645518543766643</v>
      </c>
      <c r="AD469" s="17" t="n">
        <v>0.09</v>
      </c>
      <c r="AE469" s="17" t="n">
        <v>1</v>
      </c>
      <c r="AF469" s="17" t="s">
        <v>354</v>
      </c>
      <c r="AG469" s="17" t="s">
        <v>232</v>
      </c>
      <c r="AH469" s="17" t="n">
        <v>1</v>
      </c>
    </row>
    <row r="470" customFormat="false" ht="15" hidden="false" customHeight="false" outlineLevel="0" collapsed="false">
      <c r="A470" s="17" t="n">
        <v>28155</v>
      </c>
      <c r="B470" s="23" t="n">
        <v>45382</v>
      </c>
      <c r="C470" s="17" t="s">
        <v>150</v>
      </c>
      <c r="D470" s="17" t="s">
        <v>116</v>
      </c>
      <c r="E470" s="17" t="n">
        <v>297031</v>
      </c>
      <c r="F470" s="17" t="n">
        <v>298682</v>
      </c>
      <c r="G470" s="17" t="n">
        <v>249108</v>
      </c>
      <c r="H470" s="17" t="n">
        <v>27388</v>
      </c>
      <c r="I470" s="17" t="n">
        <v>9.22058640343937</v>
      </c>
      <c r="J470" s="17" t="n">
        <v>166779</v>
      </c>
      <c r="K470" s="17" t="n">
        <v>166940.5</v>
      </c>
      <c r="L470" s="17" t="n">
        <v>165991</v>
      </c>
      <c r="M470" s="17" t="n">
        <v>149746</v>
      </c>
      <c r="N470" s="17" t="n">
        <v>10532</v>
      </c>
      <c r="O470" s="17" t="n">
        <v>5990</v>
      </c>
      <c r="P470" s="17" t="n">
        <v>130</v>
      </c>
      <c r="Q470" s="17" t="n">
        <v>447</v>
      </c>
      <c r="R470" s="17" t="n">
        <v>0</v>
      </c>
      <c r="S470" s="17" t="n">
        <v>1</v>
      </c>
      <c r="T470" s="17" t="n">
        <v>4</v>
      </c>
      <c r="U470" s="17" t="n">
        <v>0.00239606326805059</v>
      </c>
      <c r="V470" s="17" t="n">
        <v>28834</v>
      </c>
      <c r="W470" s="17" t="n">
        <v>162674</v>
      </c>
      <c r="X470" s="17" t="n">
        <v>17.7250205933339</v>
      </c>
      <c r="Y470" s="17" t="n">
        <v>-136</v>
      </c>
      <c r="Z470" s="17" t="n">
        <v>-0.0455333766346817</v>
      </c>
      <c r="AA470" s="17" t="n">
        <v>-0.5</v>
      </c>
      <c r="AB470" s="17" t="n">
        <v>2.36750375517175</v>
      </c>
      <c r="AC470" s="17" t="n">
        <v>0.472481547437027</v>
      </c>
      <c r="AD470" s="17" t="n">
        <v>-0.03</v>
      </c>
      <c r="AE470" s="17" t="n">
        <v>1</v>
      </c>
      <c r="AF470" s="17" t="s">
        <v>314</v>
      </c>
      <c r="AG470" s="17" t="s">
        <v>232</v>
      </c>
      <c r="AH470" s="17" t="n">
        <v>0</v>
      </c>
    </row>
    <row r="471" customFormat="false" ht="15" hidden="false" customHeight="false" outlineLevel="0" collapsed="false">
      <c r="A471" s="17" t="n">
        <v>28288</v>
      </c>
      <c r="B471" s="23" t="n">
        <v>45382</v>
      </c>
      <c r="C471" s="17" t="s">
        <v>124</v>
      </c>
      <c r="D471" s="17" t="s">
        <v>108</v>
      </c>
      <c r="E471" s="17" t="n">
        <v>103458</v>
      </c>
      <c r="F471" s="17" t="n">
        <v>104435.5</v>
      </c>
      <c r="G471" s="17" t="n">
        <v>74972</v>
      </c>
      <c r="H471" s="17" t="n">
        <v>5859</v>
      </c>
      <c r="I471" s="17" t="n">
        <v>5.66316766223975</v>
      </c>
      <c r="J471" s="17" t="n">
        <v>83770</v>
      </c>
      <c r="K471" s="17" t="n">
        <v>84353</v>
      </c>
      <c r="L471" s="17" t="n">
        <v>82900</v>
      </c>
      <c r="M471" s="17" t="n">
        <v>75913</v>
      </c>
      <c r="N471" s="17" t="n">
        <v>4949</v>
      </c>
      <c r="O471" s="17" t="n">
        <v>2908</v>
      </c>
      <c r="P471" s="17" t="n">
        <v>254</v>
      </c>
      <c r="Q471" s="17" t="n">
        <v>107</v>
      </c>
      <c r="R471" s="17" t="n">
        <v>0</v>
      </c>
      <c r="S471" s="17" t="n">
        <v>0</v>
      </c>
      <c r="T471" s="17" t="n">
        <v>0</v>
      </c>
      <c r="U471" s="17" t="n">
        <v>0</v>
      </c>
      <c r="V471" s="17" t="n">
        <v>8828</v>
      </c>
      <c r="W471" s="17" t="n">
        <v>64252</v>
      </c>
      <c r="X471" s="17" t="n">
        <v>13.7396501276225</v>
      </c>
      <c r="Y471" s="17" t="n">
        <v>76</v>
      </c>
      <c r="Z471" s="17" t="n">
        <v>0.0727721895332526</v>
      </c>
      <c r="AA471" s="17" t="n">
        <v>1.28</v>
      </c>
      <c r="AB471" s="17" t="n">
        <v>2.71613383497978</v>
      </c>
      <c r="AC471" s="17" t="n">
        <v>1.03855795630894</v>
      </c>
      <c r="AD471" s="17" t="n">
        <v>0</v>
      </c>
      <c r="AE471" s="17" t="n">
        <v>1</v>
      </c>
      <c r="AF471" s="17" t="s">
        <v>361</v>
      </c>
      <c r="AG471" s="17" t="s">
        <v>211</v>
      </c>
      <c r="AH471" s="17" t="n">
        <v>0</v>
      </c>
    </row>
    <row r="472" customFormat="false" ht="15" hidden="false" customHeight="false" outlineLevel="0" collapsed="false">
      <c r="A472" s="17" t="n">
        <v>28369</v>
      </c>
      <c r="B472" s="23" t="n">
        <v>45382</v>
      </c>
      <c r="C472" s="17" t="s">
        <v>145</v>
      </c>
      <c r="D472" s="17" t="s">
        <v>108</v>
      </c>
      <c r="E472" s="17" t="n">
        <v>95113</v>
      </c>
      <c r="F472" s="17" t="n">
        <v>94530</v>
      </c>
      <c r="G472" s="17" t="n">
        <v>75369</v>
      </c>
      <c r="H472" s="17" t="n">
        <v>9266</v>
      </c>
      <c r="I472" s="17" t="n">
        <v>9.74209624341573</v>
      </c>
      <c r="J472" s="17" t="n">
        <v>80819</v>
      </c>
      <c r="K472" s="17" t="n">
        <v>79853.5</v>
      </c>
      <c r="L472" s="17" t="n">
        <v>80220</v>
      </c>
      <c r="M472" s="17" t="n">
        <v>67466</v>
      </c>
      <c r="N472" s="17" t="n">
        <v>12521</v>
      </c>
      <c r="O472" s="17" t="n">
        <v>832</v>
      </c>
      <c r="P472" s="17" t="n">
        <v>174</v>
      </c>
      <c r="Q472" s="17" t="n">
        <v>4</v>
      </c>
      <c r="R472" s="17" t="n">
        <v>0</v>
      </c>
      <c r="S472" s="17" t="n">
        <v>-1</v>
      </c>
      <c r="T472" s="17" t="n">
        <v>-4</v>
      </c>
      <c r="U472" s="17" t="n">
        <v>-0.00500917304814441</v>
      </c>
      <c r="V472" s="17" t="n">
        <v>9304</v>
      </c>
      <c r="W472" s="17" t="n">
        <v>67279</v>
      </c>
      <c r="X472" s="17" t="n">
        <v>13.8289808112487</v>
      </c>
      <c r="Y472" s="17" t="n">
        <v>-336</v>
      </c>
      <c r="Z472" s="17" t="n">
        <v>-0.355442716597905</v>
      </c>
      <c r="AA472" s="17" t="n">
        <v>-3.61</v>
      </c>
      <c r="AB472" s="17" t="n">
        <v>3.0142140002894</v>
      </c>
      <c r="AC472" s="17" t="n">
        <v>0.741162350437397</v>
      </c>
      <c r="AD472" s="17" t="n">
        <v>0.03</v>
      </c>
      <c r="AE472" s="17" t="n">
        <v>1</v>
      </c>
      <c r="AF472" s="17" t="s">
        <v>361</v>
      </c>
      <c r="AG472" s="17" t="s">
        <v>211</v>
      </c>
      <c r="AH472" s="17" t="n">
        <v>1</v>
      </c>
    </row>
    <row r="473" customFormat="false" ht="15" hidden="false" customHeight="false" outlineLevel="0" collapsed="false">
      <c r="A473" s="17" t="n">
        <v>28837</v>
      </c>
      <c r="B473" s="23" t="n">
        <v>45382</v>
      </c>
      <c r="C473" s="17" t="s">
        <v>142</v>
      </c>
      <c r="D473" s="17" t="s">
        <v>113</v>
      </c>
      <c r="E473" s="17" t="n">
        <v>280957</v>
      </c>
      <c r="F473" s="17" t="n">
        <v>283081</v>
      </c>
      <c r="G473" s="17" t="n">
        <v>251772</v>
      </c>
      <c r="H473" s="17" t="n">
        <v>26570</v>
      </c>
      <c r="I473" s="17" t="n">
        <v>9.45696316518186</v>
      </c>
      <c r="J473" s="17" t="n">
        <v>197084</v>
      </c>
      <c r="K473" s="17" t="n">
        <v>197810</v>
      </c>
      <c r="L473" s="17" t="n">
        <v>194949</v>
      </c>
      <c r="M473" s="17" t="n">
        <v>188594</v>
      </c>
      <c r="N473" s="17" t="n">
        <v>6456</v>
      </c>
      <c r="O473" s="17" t="n">
        <v>1299</v>
      </c>
      <c r="P473" s="17" t="n">
        <v>89</v>
      </c>
      <c r="Q473" s="17" t="n">
        <v>795</v>
      </c>
      <c r="R473" s="17" t="n">
        <v>38</v>
      </c>
      <c r="S473" s="17" t="n">
        <v>0</v>
      </c>
      <c r="T473" s="17" t="n">
        <v>0</v>
      </c>
      <c r="U473" s="17" t="n">
        <v>0</v>
      </c>
      <c r="V473" s="17" t="n">
        <v>26929</v>
      </c>
      <c r="W473" s="17" t="n">
        <v>159355</v>
      </c>
      <c r="X473" s="17" t="n">
        <v>16.8987480781902</v>
      </c>
      <c r="Y473" s="17" t="n">
        <v>2092</v>
      </c>
      <c r="Z473" s="17" t="n">
        <v>0.73901109576411</v>
      </c>
      <c r="AA473" s="17" t="n">
        <v>7.94</v>
      </c>
      <c r="AB473" s="17" t="n">
        <v>3.635695510501</v>
      </c>
      <c r="AC473" s="17" t="n">
        <v>1.08329443283067</v>
      </c>
      <c r="AD473" s="17" t="n">
        <v>-0.21</v>
      </c>
      <c r="AE473" s="17" t="n">
        <v>1</v>
      </c>
      <c r="AF473" s="17" t="s">
        <v>314</v>
      </c>
      <c r="AG473" s="17" t="s">
        <v>232</v>
      </c>
      <c r="AH473" s="17" t="n">
        <v>1</v>
      </c>
    </row>
    <row r="474" customFormat="false" ht="15" hidden="false" customHeight="false" outlineLevel="0" collapsed="false">
      <c r="A474" s="17" t="n">
        <v>29636</v>
      </c>
      <c r="B474" s="23" t="n">
        <v>45382</v>
      </c>
      <c r="C474" s="17" t="s">
        <v>123</v>
      </c>
      <c r="D474" s="17" t="s">
        <v>108</v>
      </c>
      <c r="E474" s="17" t="n">
        <v>178210</v>
      </c>
      <c r="F474" s="17" t="n">
        <v>178674.5</v>
      </c>
      <c r="G474" s="17" t="n">
        <v>137138</v>
      </c>
      <c r="H474" s="17" t="n">
        <v>25969</v>
      </c>
      <c r="I474" s="17" t="n">
        <v>14.5721339992144</v>
      </c>
      <c r="J474" s="17" t="n">
        <v>135540</v>
      </c>
      <c r="K474" s="17" t="n">
        <v>135259</v>
      </c>
      <c r="L474" s="17" t="n">
        <v>133633</v>
      </c>
      <c r="M474" s="17" t="n">
        <v>132513</v>
      </c>
      <c r="N474" s="17" t="n">
        <v>1456</v>
      </c>
      <c r="O474" s="17" t="n">
        <v>1571</v>
      </c>
      <c r="P474" s="17" t="n">
        <v>899</v>
      </c>
      <c r="Q474" s="17" t="n">
        <v>3809</v>
      </c>
      <c r="R474" s="17" t="n">
        <v>0</v>
      </c>
      <c r="S474" s="17" t="n">
        <v>0</v>
      </c>
      <c r="T474" s="17" t="n">
        <v>0</v>
      </c>
      <c r="U474" s="17" t="n">
        <v>0</v>
      </c>
      <c r="V474" s="17" t="n">
        <v>27399</v>
      </c>
      <c r="W474" s="17" t="n">
        <v>99959</v>
      </c>
      <c r="X474" s="17" t="n">
        <v>27.410238197661</v>
      </c>
      <c r="Y474" s="17" t="n">
        <v>556</v>
      </c>
      <c r="Z474" s="17" t="n">
        <v>0.311180386680808</v>
      </c>
      <c r="AA474" s="17" t="n">
        <v>2.15</v>
      </c>
      <c r="AB474" s="17" t="n">
        <v>3.5569459283869</v>
      </c>
      <c r="AC474" s="17" t="n">
        <v>1.40696473365796</v>
      </c>
      <c r="AD474" s="17" t="n">
        <v>0.01</v>
      </c>
      <c r="AE474" s="17" t="n">
        <v>1</v>
      </c>
      <c r="AF474" s="17" t="s">
        <v>361</v>
      </c>
      <c r="AG474" s="17" t="s">
        <v>211</v>
      </c>
      <c r="AH474" s="17" t="n">
        <v>1</v>
      </c>
    </row>
    <row r="475" customFormat="false" ht="15" hidden="false" customHeight="false" outlineLevel="0" collapsed="false">
      <c r="A475" s="17" t="n">
        <v>29743</v>
      </c>
      <c r="B475" s="23" t="n">
        <v>45382</v>
      </c>
      <c r="C475" s="17" t="s">
        <v>140</v>
      </c>
      <c r="D475" s="17" t="s">
        <v>108</v>
      </c>
      <c r="E475" s="17" t="n">
        <v>184760</v>
      </c>
      <c r="F475" s="17" t="n">
        <v>186444.5</v>
      </c>
      <c r="G475" s="17" t="n">
        <v>160737</v>
      </c>
      <c r="H475" s="17" t="n">
        <v>16808</v>
      </c>
      <c r="I475" s="17" t="n">
        <v>9.09720718770297</v>
      </c>
      <c r="J475" s="17" t="n">
        <v>133015</v>
      </c>
      <c r="K475" s="17" t="n">
        <v>133431.5</v>
      </c>
      <c r="L475" s="17" t="n">
        <v>132123</v>
      </c>
      <c r="M475" s="17" t="n">
        <v>85228</v>
      </c>
      <c r="N475" s="17" t="n">
        <v>26800</v>
      </c>
      <c r="O475" s="17" t="n">
        <v>20933</v>
      </c>
      <c r="P475" s="17" t="n">
        <v>140</v>
      </c>
      <c r="Q475" s="17" t="n">
        <v>596</v>
      </c>
      <c r="R475" s="17" t="n">
        <v>0</v>
      </c>
      <c r="S475" s="17" t="n">
        <v>0</v>
      </c>
      <c r="T475" s="17" t="n">
        <v>0</v>
      </c>
      <c r="U475" s="17" t="n">
        <v>0</v>
      </c>
      <c r="V475" s="17" t="n">
        <v>19909</v>
      </c>
      <c r="W475" s="17" t="n">
        <v>108772</v>
      </c>
      <c r="X475" s="17" t="n">
        <v>18.3034236752105</v>
      </c>
      <c r="Y475" s="17" t="n">
        <v>560</v>
      </c>
      <c r="Z475" s="17" t="n">
        <v>0.300357479035316</v>
      </c>
      <c r="AA475" s="17" t="n">
        <v>3.33</v>
      </c>
      <c r="AB475" s="17" t="n">
        <v>2.19674669047229</v>
      </c>
      <c r="AC475" s="17" t="n">
        <v>0.670601060030824</v>
      </c>
      <c r="AD475" s="17" t="n">
        <v>0</v>
      </c>
      <c r="AE475" s="17" t="n">
        <v>1</v>
      </c>
      <c r="AF475" s="17" t="s">
        <v>354</v>
      </c>
      <c r="AG475" s="17" t="s">
        <v>211</v>
      </c>
      <c r="AH475" s="17" t="n">
        <v>0</v>
      </c>
    </row>
    <row r="476" customFormat="false" ht="15" hidden="false" customHeight="false" outlineLevel="0" collapsed="false">
      <c r="A476" s="17" t="n">
        <v>29744</v>
      </c>
      <c r="B476" s="23" t="n">
        <v>45382</v>
      </c>
      <c r="C476" s="17" t="s">
        <v>137</v>
      </c>
      <c r="D476" s="17" t="s">
        <v>116</v>
      </c>
      <c r="E476" s="17" t="n">
        <v>576540</v>
      </c>
      <c r="F476" s="17" t="n">
        <v>573920.5</v>
      </c>
      <c r="G476" s="17" t="n">
        <v>428893</v>
      </c>
      <c r="H476" s="17" t="n">
        <v>44302</v>
      </c>
      <c r="I476" s="17" t="n">
        <v>7.68411558608249</v>
      </c>
      <c r="J476" s="17" t="n">
        <v>431608</v>
      </c>
      <c r="K476" s="17" t="n">
        <v>430637.5</v>
      </c>
      <c r="L476" s="17" t="n">
        <v>428188</v>
      </c>
      <c r="M476" s="17" t="n">
        <v>396224</v>
      </c>
      <c r="N476" s="17" t="n">
        <v>25394</v>
      </c>
      <c r="O476" s="17" t="n">
        <v>9990</v>
      </c>
      <c r="P476" s="17" t="n">
        <v>141</v>
      </c>
      <c r="Q476" s="17" t="n">
        <v>0</v>
      </c>
      <c r="R476" s="17" t="n">
        <v>0</v>
      </c>
      <c r="S476" s="17" t="n">
        <v>0</v>
      </c>
      <c r="T476" s="17" t="n">
        <v>0</v>
      </c>
      <c r="U476" s="17" t="n">
        <v>0</v>
      </c>
      <c r="V476" s="17" t="n">
        <v>54692</v>
      </c>
      <c r="W476" s="17" t="n">
        <v>367809</v>
      </c>
      <c r="X476" s="17" t="n">
        <v>14.8696742059058</v>
      </c>
      <c r="Y476" s="17" t="n">
        <v>-4612</v>
      </c>
      <c r="Z476" s="17" t="n">
        <v>-0.803595619950847</v>
      </c>
      <c r="AA476" s="17" t="n">
        <v>-10.19</v>
      </c>
      <c r="AB476" s="17" t="n">
        <v>2.09105523042831</v>
      </c>
      <c r="AC476" s="17" t="n">
        <v>0.792385683305221</v>
      </c>
      <c r="AD476" s="17" t="n">
        <v>-0.01</v>
      </c>
      <c r="AE476" s="17" t="n">
        <v>1</v>
      </c>
      <c r="AF476" s="17" t="s">
        <v>361</v>
      </c>
      <c r="AG476" s="17" t="s">
        <v>211</v>
      </c>
      <c r="AH476" s="17" t="n">
        <v>0</v>
      </c>
    </row>
    <row r="477" customFormat="false" ht="15" hidden="false" customHeight="false" outlineLevel="0" collapsed="false">
      <c r="A477" s="17" t="n">
        <v>30350</v>
      </c>
      <c r="B477" s="23" t="n">
        <v>45382</v>
      </c>
      <c r="C477" s="17" t="s">
        <v>154</v>
      </c>
      <c r="D477" s="17" t="s">
        <v>113</v>
      </c>
      <c r="E477" s="17" t="n">
        <v>558824</v>
      </c>
      <c r="F477" s="17" t="n">
        <v>555427.5</v>
      </c>
      <c r="G477" s="17" t="n">
        <v>445096</v>
      </c>
      <c r="H477" s="17" t="n">
        <v>56764</v>
      </c>
      <c r="I477" s="17" t="n">
        <v>10.1577598671496</v>
      </c>
      <c r="J477" s="17" t="n">
        <v>404058</v>
      </c>
      <c r="K477" s="17" t="n">
        <v>403719.5</v>
      </c>
      <c r="L477" s="17" t="n">
        <v>398919</v>
      </c>
      <c r="M477" s="17" t="n">
        <v>385261</v>
      </c>
      <c r="N477" s="17" t="n">
        <v>16001</v>
      </c>
      <c r="O477" s="17" t="n">
        <v>1534</v>
      </c>
      <c r="P477" s="17" t="n">
        <v>1795</v>
      </c>
      <c r="Q477" s="17" t="n">
        <v>726</v>
      </c>
      <c r="R477" s="17" t="n">
        <v>0</v>
      </c>
      <c r="S477" s="17" t="n">
        <v>-7</v>
      </c>
      <c r="T477" s="17" t="n">
        <v>-28</v>
      </c>
      <c r="U477" s="17" t="n">
        <v>-0.00693550844088532</v>
      </c>
      <c r="V477" s="17" t="n">
        <v>67383</v>
      </c>
      <c r="W477" s="17" t="n">
        <v>321724</v>
      </c>
      <c r="X477" s="17" t="n">
        <v>20.9443498153697</v>
      </c>
      <c r="Y477" s="17" t="n">
        <v>2536</v>
      </c>
      <c r="Z477" s="17" t="n">
        <v>0.456585242898488</v>
      </c>
      <c r="AA477" s="17" t="n">
        <v>4.48</v>
      </c>
      <c r="AB477" s="17" t="n">
        <v>2.55278608364277</v>
      </c>
      <c r="AC477" s="17" t="n">
        <v>1.27184711105831</v>
      </c>
      <c r="AD477" s="17" t="n">
        <v>0.04</v>
      </c>
      <c r="AE477" s="17" t="n">
        <v>1</v>
      </c>
      <c r="AF477" s="17" t="s">
        <v>361</v>
      </c>
      <c r="AG477" s="17" t="s">
        <v>211</v>
      </c>
      <c r="AH477" s="17" t="n">
        <v>0</v>
      </c>
    </row>
    <row r="478" customFormat="false" ht="15" hidden="false" customHeight="false" outlineLevel="0" collapsed="false">
      <c r="A478" s="17" t="n">
        <v>30878</v>
      </c>
      <c r="B478" s="23" t="n">
        <v>45382</v>
      </c>
      <c r="C478" s="17" t="s">
        <v>110</v>
      </c>
      <c r="D478" s="17" t="s">
        <v>108</v>
      </c>
      <c r="E478" s="17" t="n">
        <v>102792</v>
      </c>
      <c r="F478" s="17" t="n">
        <v>103997.5</v>
      </c>
      <c r="G478" s="17" t="n">
        <v>74987</v>
      </c>
      <c r="H478" s="17" t="n">
        <v>12317</v>
      </c>
      <c r="I478" s="17" t="n">
        <v>11.9824499961087</v>
      </c>
      <c r="J478" s="17" t="n">
        <v>87874</v>
      </c>
      <c r="K478" s="17" t="n">
        <v>87256</v>
      </c>
      <c r="L478" s="17" t="n">
        <v>87327</v>
      </c>
      <c r="M478" s="17" t="n">
        <v>87769</v>
      </c>
      <c r="N478" s="17" t="n">
        <v>0</v>
      </c>
      <c r="O478" s="17" t="n">
        <v>105</v>
      </c>
      <c r="P478" s="17" t="n">
        <v>836</v>
      </c>
      <c r="Q478" s="17" t="n">
        <v>1125</v>
      </c>
      <c r="R478" s="17" t="n">
        <v>0</v>
      </c>
      <c r="S478" s="17" t="n">
        <v>0</v>
      </c>
      <c r="T478" s="17" t="n">
        <v>0</v>
      </c>
      <c r="U478" s="17" t="n">
        <v>0</v>
      </c>
      <c r="V478" s="17" t="n">
        <v>0</v>
      </c>
      <c r="W478" s="17" t="n">
        <v>0</v>
      </c>
      <c r="X478" s="17" t="n">
        <v>0</v>
      </c>
      <c r="Y478" s="17" t="n">
        <v>64</v>
      </c>
      <c r="Z478" s="17" t="n">
        <v>0.0615399408639631</v>
      </c>
      <c r="AA478" s="17" t="n">
        <v>0.52</v>
      </c>
      <c r="AB478" s="17" t="n">
        <v>0.966458498694582</v>
      </c>
      <c r="AC478" s="17" t="n">
        <v>0.622482190408995</v>
      </c>
      <c r="AD478" s="17" t="n">
        <v>-0.62</v>
      </c>
      <c r="AE478" s="17" t="n">
        <v>1</v>
      </c>
      <c r="AF478" s="17" t="s">
        <v>354</v>
      </c>
      <c r="AG478" s="17" t="s">
        <v>232</v>
      </c>
      <c r="AH478" s="17" t="n">
        <v>1</v>
      </c>
    </row>
    <row r="479" customFormat="false" ht="15" hidden="false" customHeight="false" outlineLevel="0" collapsed="false">
      <c r="A479" s="17" t="n">
        <v>33418</v>
      </c>
      <c r="B479" s="23" t="n">
        <v>45382</v>
      </c>
      <c r="C479" s="17" t="s">
        <v>133</v>
      </c>
      <c r="D479" s="17" t="s">
        <v>113</v>
      </c>
      <c r="E479" s="17" t="n">
        <v>893621</v>
      </c>
      <c r="F479" s="17" t="n">
        <v>873868.5</v>
      </c>
      <c r="G479" s="17" t="n">
        <v>783873</v>
      </c>
      <c r="H479" s="17" t="n">
        <v>68407</v>
      </c>
      <c r="I479" s="17" t="n">
        <v>7.65503496448718</v>
      </c>
      <c r="J479" s="17" t="n">
        <v>457449</v>
      </c>
      <c r="K479" s="17" t="n">
        <v>438114.5</v>
      </c>
      <c r="L479" s="17" t="n">
        <v>454127</v>
      </c>
      <c r="M479" s="17" t="n">
        <v>381804</v>
      </c>
      <c r="N479" s="17" t="n">
        <v>61228</v>
      </c>
      <c r="O479" s="17" t="n">
        <v>14835</v>
      </c>
      <c r="P479" s="17" t="n">
        <v>1692</v>
      </c>
      <c r="Q479" s="17" t="n">
        <v>118</v>
      </c>
      <c r="R479" s="17" t="n">
        <v>0</v>
      </c>
      <c r="S479" s="17" t="n">
        <v>-5</v>
      </c>
      <c r="T479" s="17" t="n">
        <v>-20</v>
      </c>
      <c r="U479" s="17" t="n">
        <v>-0.00456501667942969</v>
      </c>
      <c r="V479" s="17" t="n">
        <v>87386</v>
      </c>
      <c r="W479" s="17" t="n">
        <v>585920</v>
      </c>
      <c r="X479" s="17" t="n">
        <v>14.9143227744402</v>
      </c>
      <c r="Y479" s="17" t="n">
        <v>2772</v>
      </c>
      <c r="Z479" s="17" t="n">
        <v>0.317210198101888</v>
      </c>
      <c r="AA479" s="17" t="n">
        <v>4.04</v>
      </c>
      <c r="AB479" s="17" t="n">
        <v>2.16942321806463</v>
      </c>
      <c r="AC479" s="17" t="n">
        <v>0.726201172152524</v>
      </c>
      <c r="AD479" s="17" t="n">
        <v>0.22</v>
      </c>
      <c r="AE479" s="17" t="n">
        <v>1</v>
      </c>
      <c r="AF479" s="17" t="s">
        <v>210</v>
      </c>
      <c r="AG479" s="17" t="s">
        <v>211</v>
      </c>
      <c r="AH479" s="17" t="n">
        <v>0</v>
      </c>
    </row>
    <row r="480" customFormat="false" ht="15" hidden="false" customHeight="false" outlineLevel="0" collapsed="false">
      <c r="A480" s="17" t="n">
        <v>35206</v>
      </c>
      <c r="B480" s="23" t="n">
        <v>45382</v>
      </c>
      <c r="C480" s="17" t="s">
        <v>166</v>
      </c>
      <c r="D480" s="17" t="s">
        <v>116</v>
      </c>
      <c r="E480" s="17" t="n">
        <v>79848</v>
      </c>
      <c r="F480" s="17" t="n">
        <v>78926</v>
      </c>
      <c r="G480" s="17" t="n">
        <v>500</v>
      </c>
      <c r="H480" s="17" t="n">
        <v>77369</v>
      </c>
      <c r="I480" s="17" t="n">
        <v>96.8953511672177</v>
      </c>
      <c r="J480" s="17" t="n">
        <v>0</v>
      </c>
      <c r="K480" s="17" t="n">
        <v>0</v>
      </c>
      <c r="L480" s="17" t="n">
        <v>0</v>
      </c>
      <c r="M480" s="17" t="n">
        <v>0</v>
      </c>
      <c r="N480" s="17" t="n">
        <v>0</v>
      </c>
      <c r="O480" s="17" t="n">
        <v>0</v>
      </c>
      <c r="P480" s="17" t="n">
        <v>0</v>
      </c>
      <c r="Q480" s="17" t="n">
        <v>0</v>
      </c>
      <c r="R480" s="17" t="n">
        <v>0</v>
      </c>
      <c r="S480" s="17" t="n">
        <v>0</v>
      </c>
      <c r="T480" s="17" t="n">
        <v>0</v>
      </c>
      <c r="U480" s="17" t="n">
        <v>0</v>
      </c>
      <c r="V480" s="17" t="n">
        <v>0</v>
      </c>
      <c r="W480" s="17" t="n">
        <v>0</v>
      </c>
      <c r="X480" s="17" t="n">
        <v>0</v>
      </c>
      <c r="Y480" s="17" t="n">
        <v>11864</v>
      </c>
      <c r="Z480" s="17" t="n">
        <v>15.0318019410587</v>
      </c>
      <c r="AA480" s="17" t="n">
        <v>15.63</v>
      </c>
      <c r="AB480" s="17" t="n">
        <v>4.56962007745589</v>
      </c>
      <c r="AC480" s="17" t="n">
        <v>0</v>
      </c>
      <c r="AD480" s="17" t="n">
        <v>0</v>
      </c>
      <c r="AE480" s="17" t="n">
        <v>1</v>
      </c>
      <c r="AF480" s="17" t="s">
        <v>361</v>
      </c>
      <c r="AG480" s="17" t="s">
        <v>211</v>
      </c>
      <c r="AH480" s="17" t="n">
        <v>0</v>
      </c>
    </row>
    <row r="481" customFormat="false" ht="15" hidden="false" customHeight="false" outlineLevel="0" collapsed="false">
      <c r="A481" s="17" t="n">
        <v>59086</v>
      </c>
      <c r="B481" s="23" t="n">
        <v>45382</v>
      </c>
      <c r="C481" s="17" t="s">
        <v>141</v>
      </c>
      <c r="D481" s="17" t="s">
        <v>116</v>
      </c>
      <c r="E481" s="17" t="n">
        <v>697280</v>
      </c>
      <c r="F481" s="17" t="n">
        <v>695209</v>
      </c>
      <c r="G481" s="17" t="n">
        <v>594743</v>
      </c>
      <c r="H481" s="17" t="n">
        <v>90844</v>
      </c>
      <c r="I481" s="17" t="n">
        <v>13.0283386874713</v>
      </c>
      <c r="J481" s="17" t="n">
        <v>585578</v>
      </c>
      <c r="K481" s="17" t="n">
        <v>587074</v>
      </c>
      <c r="L481" s="17" t="n">
        <v>579542</v>
      </c>
      <c r="M481" s="17" t="n">
        <v>474718</v>
      </c>
      <c r="N481" s="17" t="n">
        <v>111257</v>
      </c>
      <c r="O481" s="17" t="n">
        <v>0</v>
      </c>
      <c r="P481" s="17" t="n">
        <v>4483</v>
      </c>
      <c r="Q481" s="17" t="n">
        <v>366</v>
      </c>
      <c r="R481" s="17" t="n">
        <v>0</v>
      </c>
      <c r="S481" s="17" t="n">
        <v>160</v>
      </c>
      <c r="T481" s="17" t="n">
        <v>640</v>
      </c>
      <c r="U481" s="17" t="n">
        <v>0.109015217843066</v>
      </c>
      <c r="V481" s="17" t="n">
        <v>96879</v>
      </c>
      <c r="W481" s="17" t="n">
        <v>622125</v>
      </c>
      <c r="X481" s="17" t="n">
        <v>15.5722724532851</v>
      </c>
      <c r="Y481" s="17" t="n">
        <v>10488</v>
      </c>
      <c r="Z481" s="17" t="n">
        <v>1.50861107954586</v>
      </c>
      <c r="AA481" s="17" t="n">
        <v>11.71</v>
      </c>
      <c r="AB481" s="17" t="n">
        <v>3.69176625852335</v>
      </c>
      <c r="AC481" s="17" t="n">
        <v>1.03077642944236</v>
      </c>
      <c r="AD481" s="17" t="n">
        <v>0.09</v>
      </c>
      <c r="AE481" s="17" t="n">
        <v>1</v>
      </c>
      <c r="AF481" s="17" t="s">
        <v>231</v>
      </c>
      <c r="AG481" s="17" t="s">
        <v>232</v>
      </c>
      <c r="AH481" s="17" t="n">
        <v>0</v>
      </c>
    </row>
    <row r="482" customFormat="false" ht="15" hidden="false" customHeight="false" outlineLevel="0" collapsed="false">
      <c r="A482" s="17" t="n">
        <v>59176</v>
      </c>
      <c r="B482" s="23" t="n">
        <v>45382</v>
      </c>
      <c r="C482" s="17" t="s">
        <v>151</v>
      </c>
      <c r="D482" s="17" t="s">
        <v>116</v>
      </c>
      <c r="E482" s="17" t="n">
        <v>222037</v>
      </c>
      <c r="F482" s="17" t="n">
        <v>230047.5</v>
      </c>
      <c r="G482" s="17" t="n">
        <v>182535</v>
      </c>
      <c r="H482" s="17" t="n">
        <v>26809</v>
      </c>
      <c r="I482" s="17" t="n">
        <v>12.0741137738305</v>
      </c>
      <c r="J482" s="17" t="n">
        <v>155520</v>
      </c>
      <c r="K482" s="17" t="n">
        <v>153748.5</v>
      </c>
      <c r="L482" s="17" t="n">
        <v>154019</v>
      </c>
      <c r="M482" s="17" t="n">
        <v>132126</v>
      </c>
      <c r="N482" s="17" t="n">
        <v>23317</v>
      </c>
      <c r="O482" s="17" t="n">
        <v>93</v>
      </c>
      <c r="P482" s="17" t="n">
        <v>0</v>
      </c>
      <c r="Q482" s="17" t="n">
        <v>0</v>
      </c>
      <c r="R482" s="17" t="n">
        <v>0</v>
      </c>
      <c r="S482" s="17" t="n">
        <v>-32</v>
      </c>
      <c r="T482" s="17" t="n">
        <v>-128</v>
      </c>
      <c r="U482" s="17" t="n">
        <v>-0.0832528447432007</v>
      </c>
      <c r="V482" s="17" t="n">
        <v>28992</v>
      </c>
      <c r="W482" s="17" t="n">
        <v>160921</v>
      </c>
      <c r="X482" s="17" t="n">
        <v>18.0162937093356</v>
      </c>
      <c r="Y482" s="17" t="n">
        <v>-148</v>
      </c>
      <c r="Z482" s="17" t="n">
        <v>-0.0643345396059509</v>
      </c>
      <c r="AA482" s="17" t="n">
        <v>-0.59</v>
      </c>
      <c r="AB482" s="17" t="n">
        <v>2.28395268572195</v>
      </c>
      <c r="AC482" s="17" t="n">
        <v>0.965149176954733</v>
      </c>
      <c r="AD482" s="17" t="n">
        <v>0.05</v>
      </c>
      <c r="AE482" s="17" t="n">
        <v>1</v>
      </c>
      <c r="AF482" s="17" t="s">
        <v>231</v>
      </c>
      <c r="AG482" s="17" t="s">
        <v>232</v>
      </c>
      <c r="AH482" s="17" t="n">
        <v>0</v>
      </c>
    </row>
    <row r="483" customFormat="false" ht="15" hidden="false" customHeight="false" outlineLevel="0" collapsed="false">
      <c r="A483" s="17" t="n">
        <v>59289</v>
      </c>
      <c r="B483" s="23" t="n">
        <v>45382</v>
      </c>
      <c r="C483" s="17" t="s">
        <v>121</v>
      </c>
      <c r="D483" s="17" t="s">
        <v>116</v>
      </c>
      <c r="E483" s="17" t="n">
        <v>93964</v>
      </c>
      <c r="F483" s="17" t="n">
        <v>84780.5</v>
      </c>
      <c r="G483" s="17" t="n">
        <v>74106</v>
      </c>
      <c r="H483" s="17" t="n">
        <v>18864</v>
      </c>
      <c r="I483" s="17" t="n">
        <v>20.0757737005662</v>
      </c>
      <c r="J483" s="17" t="n">
        <v>45541</v>
      </c>
      <c r="K483" s="17" t="n">
        <v>39904</v>
      </c>
      <c r="L483" s="17" t="n">
        <v>44938</v>
      </c>
      <c r="M483" s="17" t="n">
        <v>18119</v>
      </c>
      <c r="N483" s="17" t="n">
        <v>25938</v>
      </c>
      <c r="O483" s="17" t="n">
        <v>0</v>
      </c>
      <c r="P483" s="17" t="n">
        <v>327</v>
      </c>
      <c r="Q483" s="17" t="n">
        <v>0</v>
      </c>
      <c r="R483" s="17" t="n">
        <v>0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-1404</v>
      </c>
      <c r="Z483" s="17" t="n">
        <v>-1.65604118871675</v>
      </c>
      <c r="AA483" s="17" t="n">
        <v>-7.37</v>
      </c>
      <c r="AB483" s="17" t="n">
        <v>4.14001571851762</v>
      </c>
      <c r="AC483" s="17" t="n">
        <v>1.32408159680288</v>
      </c>
      <c r="AD483" s="17" t="n">
        <v>0.65</v>
      </c>
      <c r="AE483" s="17" t="n">
        <v>1</v>
      </c>
      <c r="AF483" s="17" t="s">
        <v>241</v>
      </c>
      <c r="AG483" s="17" t="s">
        <v>232</v>
      </c>
      <c r="AH483" s="17" t="n">
        <v>0</v>
      </c>
    </row>
    <row r="484" customFormat="false" ht="15" hidden="false" customHeight="false" outlineLevel="0" collapsed="false">
      <c r="A484" s="17" t="n">
        <v>59298</v>
      </c>
      <c r="B484" s="23" t="n">
        <v>45382</v>
      </c>
      <c r="C484" s="17" t="s">
        <v>160</v>
      </c>
      <c r="D484" s="17" t="s">
        <v>113</v>
      </c>
      <c r="E484" s="17" t="n">
        <v>169806</v>
      </c>
      <c r="F484" s="17" t="n">
        <v>164492</v>
      </c>
      <c r="G484" s="17" t="n">
        <v>142779</v>
      </c>
      <c r="H484" s="17" t="n">
        <v>26235</v>
      </c>
      <c r="I484" s="17" t="n">
        <v>15.4499840995018</v>
      </c>
      <c r="J484" s="17" t="n">
        <v>84880</v>
      </c>
      <c r="K484" s="17" t="n">
        <v>81153</v>
      </c>
      <c r="L484" s="17" t="n">
        <v>84201</v>
      </c>
      <c r="M484" s="17" t="n">
        <v>66264</v>
      </c>
      <c r="N484" s="17" t="n">
        <v>18628</v>
      </c>
      <c r="O484" s="17" t="n">
        <v>0</v>
      </c>
      <c r="P484" s="17" t="n">
        <v>0</v>
      </c>
      <c r="Q484" s="17" t="n">
        <v>0</v>
      </c>
      <c r="R484" s="17" t="n">
        <v>0</v>
      </c>
      <c r="S484" s="17" t="n">
        <v>0</v>
      </c>
      <c r="T484" s="17" t="n">
        <v>0</v>
      </c>
      <c r="U484" s="17" t="n">
        <v>0</v>
      </c>
      <c r="V484" s="17" t="n">
        <v>0</v>
      </c>
      <c r="W484" s="17" t="n">
        <v>0</v>
      </c>
      <c r="X484" s="17" t="n">
        <v>0</v>
      </c>
      <c r="Y484" s="17" t="n">
        <v>-2100</v>
      </c>
      <c r="Z484" s="17" t="n">
        <v>-1.2766578313839</v>
      </c>
      <c r="AA484" s="17" t="n">
        <v>-7.84</v>
      </c>
      <c r="AB484" s="17" t="n">
        <v>2.25176342919154</v>
      </c>
      <c r="AC484" s="17" t="n">
        <v>0.79995287464656</v>
      </c>
      <c r="AD484" s="17" t="n">
        <v>0.17</v>
      </c>
      <c r="AE484" s="17" t="n">
        <v>1</v>
      </c>
      <c r="AF484" s="17" t="s">
        <v>231</v>
      </c>
      <c r="AG484" s="17" t="s">
        <v>232</v>
      </c>
      <c r="AH484" s="17" t="n">
        <v>0</v>
      </c>
    </row>
    <row r="485" customFormat="false" ht="15" hidden="false" customHeight="false" outlineLevel="0" collapsed="false">
      <c r="A485" s="17" t="n">
        <v>4255</v>
      </c>
      <c r="B485" s="23" t="n">
        <v>45473</v>
      </c>
      <c r="C485" s="17" t="s">
        <v>126</v>
      </c>
      <c r="D485" s="17" t="s">
        <v>108</v>
      </c>
      <c r="E485" s="17" t="n">
        <v>5709625</v>
      </c>
      <c r="F485" s="17" t="n">
        <v>5731537.66666667</v>
      </c>
      <c r="G485" s="17" t="n">
        <v>4547560</v>
      </c>
      <c r="H485" s="17" t="n">
        <v>521498</v>
      </c>
      <c r="I485" s="17" t="n">
        <v>9.13366464522626</v>
      </c>
      <c r="J485" s="17" t="n">
        <v>4153682</v>
      </c>
      <c r="K485" s="17" t="n">
        <v>4130886.66666667</v>
      </c>
      <c r="L485" s="17" t="n">
        <v>4118270</v>
      </c>
      <c r="M485" s="17" t="n">
        <v>3763309</v>
      </c>
      <c r="N485" s="17" t="n">
        <v>336171</v>
      </c>
      <c r="O485" s="17" t="n">
        <v>16595</v>
      </c>
      <c r="P485" s="17" t="n">
        <v>7795</v>
      </c>
      <c r="Q485" s="17" t="n">
        <v>2245</v>
      </c>
      <c r="R485" s="17" t="n">
        <v>0</v>
      </c>
      <c r="S485" s="17" t="n">
        <v>547</v>
      </c>
      <c r="T485" s="17" t="n">
        <v>1094</v>
      </c>
      <c r="U485" s="17" t="n">
        <v>0.0264834184105753</v>
      </c>
      <c r="V485" s="17" t="n">
        <v>562313</v>
      </c>
      <c r="W485" s="17" t="n">
        <v>4065707</v>
      </c>
      <c r="X485" s="17" t="n">
        <v>13.8306326550339</v>
      </c>
      <c r="Y485" s="17" t="n">
        <v>53006</v>
      </c>
      <c r="Z485" s="17" t="n">
        <v>0.924812905065092</v>
      </c>
      <c r="AA485" s="17" t="n">
        <v>10.3</v>
      </c>
      <c r="AB485" s="17" t="n">
        <v>2.45330570465421</v>
      </c>
      <c r="AC485" s="17" t="n">
        <v>0.852544802418673</v>
      </c>
      <c r="AD485" s="17" t="n">
        <v>-0.02</v>
      </c>
      <c r="AE485" s="17" t="n">
        <v>1</v>
      </c>
      <c r="AF485" s="17" t="s">
        <v>210</v>
      </c>
      <c r="AG485" s="17" t="s">
        <v>211</v>
      </c>
      <c r="AH485" s="17" t="n">
        <v>0</v>
      </c>
    </row>
    <row r="486" customFormat="false" ht="15" hidden="false" customHeight="false" outlineLevel="0" collapsed="false">
      <c r="A486" s="17" t="n">
        <v>4256</v>
      </c>
      <c r="B486" s="23" t="n">
        <v>45473</v>
      </c>
      <c r="C486" s="17" t="s">
        <v>135</v>
      </c>
      <c r="D486" s="17" t="s">
        <v>108</v>
      </c>
      <c r="E486" s="17" t="n">
        <v>3049270</v>
      </c>
      <c r="F486" s="17" t="n">
        <v>2967646.66666667</v>
      </c>
      <c r="G486" s="17" t="n">
        <v>2578790</v>
      </c>
      <c r="H486" s="17" t="n">
        <v>215996</v>
      </c>
      <c r="I486" s="17" t="n">
        <v>7.08353146818747</v>
      </c>
      <c r="J486" s="17" t="n">
        <v>2247670</v>
      </c>
      <c r="K486" s="17" t="n">
        <v>2183623.33333333</v>
      </c>
      <c r="L486" s="17" t="n">
        <v>2222977</v>
      </c>
      <c r="M486" s="17" t="n">
        <v>1791622</v>
      </c>
      <c r="N486" s="17" t="n">
        <v>328850</v>
      </c>
      <c r="O486" s="17" t="n">
        <v>20514</v>
      </c>
      <c r="P486" s="17" t="n">
        <v>2564</v>
      </c>
      <c r="Q486" s="17" t="n">
        <v>2235</v>
      </c>
      <c r="R486" s="17" t="n">
        <v>87</v>
      </c>
      <c r="S486" s="17" t="n">
        <v>-25</v>
      </c>
      <c r="T486" s="17" t="n">
        <v>-50</v>
      </c>
      <c r="U486" s="17" t="n">
        <v>-0.00228977219819658</v>
      </c>
      <c r="V486" s="17" t="n">
        <v>280868</v>
      </c>
      <c r="W486" s="17" t="n">
        <v>2129638</v>
      </c>
      <c r="X486" s="17" t="n">
        <v>13.1885325111592</v>
      </c>
      <c r="Y486" s="17" t="n">
        <v>25442</v>
      </c>
      <c r="Z486" s="17" t="n">
        <v>0.857312303576122</v>
      </c>
      <c r="AA486" s="17" t="n">
        <v>11.84</v>
      </c>
      <c r="AB486" s="17" t="n">
        <v>2.15400167285319</v>
      </c>
      <c r="AC486" s="17" t="n">
        <v>1.09860433248653</v>
      </c>
      <c r="AD486" s="17" t="n">
        <v>0</v>
      </c>
      <c r="AE486" s="17" t="n">
        <v>1</v>
      </c>
      <c r="AF486" s="17" t="s">
        <v>210</v>
      </c>
      <c r="AG486" s="17" t="s">
        <v>211</v>
      </c>
      <c r="AH486" s="17" t="n">
        <v>0</v>
      </c>
    </row>
    <row r="487" customFormat="false" ht="15" hidden="false" customHeight="false" outlineLevel="0" collapsed="false">
      <c r="A487" s="17" t="n">
        <v>6271</v>
      </c>
      <c r="B487" s="23" t="n">
        <v>45473</v>
      </c>
      <c r="C487" s="17" t="s">
        <v>147</v>
      </c>
      <c r="D487" s="17" t="s">
        <v>113</v>
      </c>
      <c r="E487" s="17" t="n">
        <v>1099892</v>
      </c>
      <c r="F487" s="17" t="n">
        <v>1101728</v>
      </c>
      <c r="G487" s="17" t="n">
        <v>850097</v>
      </c>
      <c r="H487" s="17" t="n">
        <v>103229</v>
      </c>
      <c r="I487" s="17" t="n">
        <v>9.38537601873639</v>
      </c>
      <c r="J487" s="17" t="n">
        <v>862977</v>
      </c>
      <c r="K487" s="17" t="n">
        <v>858787.333333333</v>
      </c>
      <c r="L487" s="17" t="n">
        <v>852641</v>
      </c>
      <c r="M487" s="17" t="n">
        <v>686602</v>
      </c>
      <c r="N487" s="17" t="n">
        <v>129288</v>
      </c>
      <c r="O487" s="17" t="n">
        <v>7297</v>
      </c>
      <c r="P487" s="17" t="n">
        <v>5816</v>
      </c>
      <c r="Q487" s="17" t="n">
        <v>1210</v>
      </c>
      <c r="R487" s="17" t="n">
        <v>670</v>
      </c>
      <c r="S487" s="17" t="n">
        <v>177</v>
      </c>
      <c r="T487" s="17" t="n">
        <v>354</v>
      </c>
      <c r="U487" s="17" t="n">
        <v>0.0412209153837854</v>
      </c>
      <c r="V487" s="17" t="n">
        <v>118935</v>
      </c>
      <c r="W487" s="17" t="n">
        <v>799065</v>
      </c>
      <c r="X487" s="17" t="n">
        <v>14.8842709917216</v>
      </c>
      <c r="Y487" s="17" t="n">
        <v>12298</v>
      </c>
      <c r="Z487" s="17" t="n">
        <v>1.11624647825961</v>
      </c>
      <c r="AA487" s="17" t="n">
        <v>12.06</v>
      </c>
      <c r="AB487" s="17" t="n">
        <v>3.28546061949211</v>
      </c>
      <c r="AC487" s="17" t="n">
        <v>1.1977144234435</v>
      </c>
      <c r="AD487" s="17" t="n">
        <v>0.12</v>
      </c>
      <c r="AE487" s="17" t="n">
        <v>1</v>
      </c>
      <c r="AF487" s="17" t="s">
        <v>210</v>
      </c>
      <c r="AG487" s="17" t="s">
        <v>211</v>
      </c>
      <c r="AH487" s="17" t="n">
        <v>0</v>
      </c>
    </row>
    <row r="488" customFormat="false" ht="15" hidden="false" customHeight="false" outlineLevel="0" collapsed="false">
      <c r="A488" s="17" t="n">
        <v>6275</v>
      </c>
      <c r="B488" s="23" t="n">
        <v>45473</v>
      </c>
      <c r="C488" s="17" t="s">
        <v>165</v>
      </c>
      <c r="D488" s="17" t="s">
        <v>113</v>
      </c>
      <c r="E488" s="17" t="n">
        <v>555322</v>
      </c>
      <c r="F488" s="17" t="n">
        <v>558893.666666667</v>
      </c>
      <c r="G488" s="17" t="n">
        <v>475950</v>
      </c>
      <c r="H488" s="17" t="n">
        <v>30528</v>
      </c>
      <c r="I488" s="17" t="n">
        <v>5.49735108639672</v>
      </c>
      <c r="J488" s="17" t="n">
        <v>346288</v>
      </c>
      <c r="K488" s="17" t="n">
        <v>341703.666666667</v>
      </c>
      <c r="L488" s="17" t="n">
        <v>344873</v>
      </c>
      <c r="M488" s="17" t="n">
        <v>286833</v>
      </c>
      <c r="N488" s="17" t="n">
        <v>39014</v>
      </c>
      <c r="O488" s="17" t="n">
        <v>10906</v>
      </c>
      <c r="P488" s="17" t="n">
        <v>1132</v>
      </c>
      <c r="Q488" s="17" t="n">
        <v>525</v>
      </c>
      <c r="R488" s="17" t="n">
        <v>0</v>
      </c>
      <c r="S488" s="17" t="n">
        <v>10</v>
      </c>
      <c r="T488" s="17" t="n">
        <v>20</v>
      </c>
      <c r="U488" s="17" t="n">
        <v>0.00585302469683771</v>
      </c>
      <c r="V488" s="17" t="n">
        <v>48976</v>
      </c>
      <c r="W488" s="17" t="n">
        <v>330410</v>
      </c>
      <c r="X488" s="17" t="n">
        <v>14.8227959202203</v>
      </c>
      <c r="Y488" s="17" t="n">
        <v>2708</v>
      </c>
      <c r="Z488" s="17" t="n">
        <v>0.484528661086993</v>
      </c>
      <c r="AA488" s="17" t="n">
        <v>8.86</v>
      </c>
      <c r="AB488" s="17" t="n">
        <v>2.76773551547238</v>
      </c>
      <c r="AC488" s="17" t="n">
        <v>0.408619415053366</v>
      </c>
      <c r="AD488" s="17" t="n">
        <v>0.02</v>
      </c>
      <c r="AE488" s="17" t="n">
        <v>1</v>
      </c>
      <c r="AF488" s="17" t="s">
        <v>210</v>
      </c>
      <c r="AG488" s="17" t="s">
        <v>211</v>
      </c>
      <c r="AH488" s="17" t="n">
        <v>0</v>
      </c>
    </row>
    <row r="489" customFormat="false" ht="15" hidden="false" customHeight="false" outlineLevel="0" collapsed="false">
      <c r="A489" s="17" t="n">
        <v>6280</v>
      </c>
      <c r="B489" s="23" t="n">
        <v>45473</v>
      </c>
      <c r="C489" s="17" t="s">
        <v>138</v>
      </c>
      <c r="D489" s="17" t="s">
        <v>113</v>
      </c>
      <c r="E489" s="17" t="n">
        <v>81265</v>
      </c>
      <c r="F489" s="17" t="n">
        <v>79371</v>
      </c>
      <c r="G489" s="17" t="n">
        <v>71124</v>
      </c>
      <c r="H489" s="17" t="n">
        <v>9570</v>
      </c>
      <c r="I489" s="17" t="n">
        <v>11.7762874546238</v>
      </c>
      <c r="J489" s="17" t="n">
        <v>68641</v>
      </c>
      <c r="K489" s="17" t="n">
        <v>67957</v>
      </c>
      <c r="L489" s="17" t="n">
        <v>67743</v>
      </c>
      <c r="M489" s="17" t="n">
        <v>59949</v>
      </c>
      <c r="N489" s="17" t="n">
        <v>4325</v>
      </c>
      <c r="O489" s="17" t="n">
        <v>1574</v>
      </c>
      <c r="P489" s="17" t="n">
        <v>1206</v>
      </c>
      <c r="Q489" s="17" t="n">
        <v>566</v>
      </c>
      <c r="R489" s="17" t="n">
        <v>0</v>
      </c>
      <c r="S489" s="17" t="n">
        <v>1</v>
      </c>
      <c r="T489" s="17" t="n">
        <v>2</v>
      </c>
      <c r="U489" s="17" t="n">
        <v>0.00294303750901305</v>
      </c>
      <c r="V489" s="17" t="n">
        <v>0</v>
      </c>
      <c r="W489" s="17" t="n">
        <v>0</v>
      </c>
      <c r="X489" s="17" t="n">
        <v>0</v>
      </c>
      <c r="Y489" s="17" t="n">
        <v>1140</v>
      </c>
      <c r="Z489" s="17" t="n">
        <v>1.4362928525532</v>
      </c>
      <c r="AA489" s="17" t="n">
        <v>11.96</v>
      </c>
      <c r="AB489" s="17" t="n">
        <v>4.66340562662571</v>
      </c>
      <c r="AC489" s="17" t="n">
        <v>1.30825599860142</v>
      </c>
      <c r="AD489" s="17" t="n">
        <v>0.01</v>
      </c>
      <c r="AE489" s="17" t="n">
        <v>1</v>
      </c>
      <c r="AF489" s="17" t="s">
        <v>210</v>
      </c>
      <c r="AG489" s="17" t="s">
        <v>211</v>
      </c>
      <c r="AH489" s="17" t="n">
        <v>0</v>
      </c>
    </row>
    <row r="490" customFormat="false" ht="15" hidden="false" customHeight="false" outlineLevel="0" collapsed="false">
      <c r="A490" s="17" t="n">
        <v>11971</v>
      </c>
      <c r="B490" s="23" t="n">
        <v>45473</v>
      </c>
      <c r="C490" s="17" t="s">
        <v>134</v>
      </c>
      <c r="D490" s="17" t="s">
        <v>108</v>
      </c>
      <c r="E490" s="17" t="n">
        <v>4030143</v>
      </c>
      <c r="F490" s="17" t="n">
        <v>3984559.33333333</v>
      </c>
      <c r="G490" s="17" t="n">
        <v>3147483</v>
      </c>
      <c r="H490" s="17" t="n">
        <v>493698</v>
      </c>
      <c r="I490" s="17" t="n">
        <v>12.2501360373565</v>
      </c>
      <c r="J490" s="17" t="n">
        <v>3068077</v>
      </c>
      <c r="K490" s="17" t="n">
        <v>3028041.33333333</v>
      </c>
      <c r="L490" s="17" t="n">
        <v>3039222</v>
      </c>
      <c r="M490" s="17" t="n">
        <v>2699076</v>
      </c>
      <c r="N490" s="17" t="n">
        <v>217956</v>
      </c>
      <c r="O490" s="17" t="n">
        <v>8227</v>
      </c>
      <c r="P490" s="17" t="n">
        <v>6276</v>
      </c>
      <c r="Q490" s="17" t="n">
        <v>1636</v>
      </c>
      <c r="R490" s="17" t="n">
        <v>34</v>
      </c>
      <c r="S490" s="17" t="n">
        <v>161</v>
      </c>
      <c r="T490" s="17" t="n">
        <v>322</v>
      </c>
      <c r="U490" s="17" t="n">
        <v>0.010633936745029</v>
      </c>
      <c r="V490" s="17" t="n">
        <v>457619</v>
      </c>
      <c r="W490" s="17" t="n">
        <v>3240469</v>
      </c>
      <c r="X490" s="17" t="n">
        <v>14.1219990069339</v>
      </c>
      <c r="Y490" s="17" t="n">
        <v>47260</v>
      </c>
      <c r="Z490" s="17" t="n">
        <v>1.18607846053742</v>
      </c>
      <c r="AA490" s="17" t="n">
        <v>9.68</v>
      </c>
      <c r="AB490" s="17" t="n">
        <v>3.22079982739227</v>
      </c>
      <c r="AC490" s="17" t="n">
        <v>0.940491389231757</v>
      </c>
      <c r="AD490" s="17" t="n">
        <v>0.03</v>
      </c>
      <c r="AE490" s="17" t="n">
        <v>1</v>
      </c>
      <c r="AF490" s="17" t="s">
        <v>231</v>
      </c>
      <c r="AG490" s="17" t="s">
        <v>232</v>
      </c>
      <c r="AH490" s="17" t="n">
        <v>0</v>
      </c>
    </row>
    <row r="491" customFormat="false" ht="15" hidden="false" customHeight="false" outlineLevel="0" collapsed="false">
      <c r="A491" s="17" t="n">
        <v>12874</v>
      </c>
      <c r="B491" s="23" t="n">
        <v>45473</v>
      </c>
      <c r="C491" s="17" t="s">
        <v>159</v>
      </c>
      <c r="D491" s="17" t="s">
        <v>108</v>
      </c>
      <c r="E491" s="17" t="n">
        <v>1036850</v>
      </c>
      <c r="F491" s="17" t="n">
        <v>1031324</v>
      </c>
      <c r="G491" s="17" t="n">
        <v>862144</v>
      </c>
      <c r="H491" s="17" t="n">
        <v>108474</v>
      </c>
      <c r="I491" s="17" t="n">
        <v>10.4618797318802</v>
      </c>
      <c r="J491" s="17" t="n">
        <v>815577</v>
      </c>
      <c r="K491" s="17" t="n">
        <v>804154</v>
      </c>
      <c r="L491" s="17" t="n">
        <v>807548</v>
      </c>
      <c r="M491" s="17" t="n">
        <v>639776</v>
      </c>
      <c r="N491" s="17" t="n">
        <v>156322</v>
      </c>
      <c r="O491" s="17" t="n">
        <v>5026</v>
      </c>
      <c r="P491" s="17" t="n">
        <v>1516</v>
      </c>
      <c r="Q491" s="17" t="n">
        <v>749</v>
      </c>
      <c r="R491" s="17" t="n">
        <v>0</v>
      </c>
      <c r="S491" s="17" t="n">
        <v>-27</v>
      </c>
      <c r="T491" s="17" t="n">
        <v>-54</v>
      </c>
      <c r="U491" s="17" t="n">
        <v>-0.00671513167875805</v>
      </c>
      <c r="V491" s="17" t="n">
        <v>122503</v>
      </c>
      <c r="W491" s="17" t="n">
        <v>769051</v>
      </c>
      <c r="X491" s="17" t="n">
        <v>15.9291126336225</v>
      </c>
      <c r="Y491" s="17" t="n">
        <v>9010</v>
      </c>
      <c r="Z491" s="17" t="n">
        <v>0.873634279818951</v>
      </c>
      <c r="AA491" s="17" t="n">
        <v>8.39</v>
      </c>
      <c r="AB491" s="17" t="n">
        <v>3.63376838650805</v>
      </c>
      <c r="AC491" s="17" t="n">
        <v>0.984456403258062</v>
      </c>
      <c r="AD491" s="17" t="n">
        <v>0</v>
      </c>
      <c r="AE491" s="17" t="n">
        <v>1</v>
      </c>
      <c r="AF491" s="17" t="s">
        <v>231</v>
      </c>
      <c r="AG491" s="17" t="s">
        <v>232</v>
      </c>
      <c r="AH491" s="17" t="n">
        <v>0</v>
      </c>
    </row>
    <row r="492" customFormat="false" ht="15" hidden="false" customHeight="false" outlineLevel="0" collapsed="false">
      <c r="A492" s="17" t="n">
        <v>13063</v>
      </c>
      <c r="B492" s="23" t="n">
        <v>45473</v>
      </c>
      <c r="C492" s="17" t="s">
        <v>139</v>
      </c>
      <c r="D492" s="17" t="s">
        <v>108</v>
      </c>
      <c r="E492" s="17" t="n">
        <v>1848882</v>
      </c>
      <c r="F492" s="17" t="n">
        <v>1827077</v>
      </c>
      <c r="G492" s="17" t="n">
        <v>1607298</v>
      </c>
      <c r="H492" s="17" t="n">
        <v>147977</v>
      </c>
      <c r="I492" s="17" t="n">
        <v>8.00359352300471</v>
      </c>
      <c r="J492" s="17" t="n">
        <v>1470585</v>
      </c>
      <c r="K492" s="17" t="n">
        <v>1440131</v>
      </c>
      <c r="L492" s="17" t="n">
        <v>1454079</v>
      </c>
      <c r="M492" s="17" t="n">
        <v>1404637</v>
      </c>
      <c r="N492" s="17" t="n">
        <v>55491</v>
      </c>
      <c r="O492" s="17" t="n">
        <v>738</v>
      </c>
      <c r="P492" s="17" t="n">
        <v>701</v>
      </c>
      <c r="Q492" s="17" t="n">
        <v>5182</v>
      </c>
      <c r="R492" s="17" t="n">
        <v>0</v>
      </c>
      <c r="S492" s="17" t="n">
        <v>-17</v>
      </c>
      <c r="T492" s="17" t="n">
        <v>-34</v>
      </c>
      <c r="U492" s="17" t="n">
        <v>-0.00236089633512507</v>
      </c>
      <c r="V492" s="17" t="n">
        <v>0</v>
      </c>
      <c r="W492" s="17" t="n">
        <v>0</v>
      </c>
      <c r="X492" s="17" t="n">
        <v>0</v>
      </c>
      <c r="Y492" s="17" t="n">
        <v>6706</v>
      </c>
      <c r="Z492" s="17" t="n">
        <v>0.367034339548908</v>
      </c>
      <c r="AA492" s="17" t="n">
        <v>4.6</v>
      </c>
      <c r="AB492" s="17" t="n">
        <v>2.96664932851109</v>
      </c>
      <c r="AC492" s="17" t="n">
        <v>1.12241046930303</v>
      </c>
      <c r="AD492" s="17" t="n">
        <v>0</v>
      </c>
      <c r="AE492" s="17" t="n">
        <v>1</v>
      </c>
      <c r="AF492" s="17" t="s">
        <v>241</v>
      </c>
      <c r="AG492" s="17" t="s">
        <v>232</v>
      </c>
      <c r="AH492" s="17" t="n">
        <v>0</v>
      </c>
    </row>
    <row r="493" customFormat="false" ht="15" hidden="false" customHeight="false" outlineLevel="0" collapsed="false">
      <c r="A493" s="17" t="n">
        <v>14134</v>
      </c>
      <c r="B493" s="23" t="n">
        <v>45473</v>
      </c>
      <c r="C493" s="17" t="s">
        <v>155</v>
      </c>
      <c r="D493" s="17" t="s">
        <v>113</v>
      </c>
      <c r="E493" s="17" t="n">
        <v>842999</v>
      </c>
      <c r="F493" s="17" t="n">
        <v>846657.666666667</v>
      </c>
      <c r="G493" s="17" t="n">
        <v>661992</v>
      </c>
      <c r="H493" s="17" t="n">
        <v>108954</v>
      </c>
      <c r="I493" s="17" t="n">
        <v>12.9245704917799</v>
      </c>
      <c r="J493" s="17" t="n">
        <v>629164</v>
      </c>
      <c r="K493" s="17" t="n">
        <v>634420.666666667</v>
      </c>
      <c r="L493" s="17" t="n">
        <v>621770</v>
      </c>
      <c r="M493" s="17" t="n">
        <v>563428</v>
      </c>
      <c r="N493" s="17" t="n">
        <v>25715</v>
      </c>
      <c r="O493" s="17" t="n">
        <v>23101</v>
      </c>
      <c r="P493" s="17" t="n">
        <v>9888</v>
      </c>
      <c r="Q493" s="17" t="n">
        <v>4284</v>
      </c>
      <c r="R493" s="17" t="n">
        <v>0</v>
      </c>
      <c r="S493" s="17" t="n">
        <v>256</v>
      </c>
      <c r="T493" s="17" t="n">
        <v>512</v>
      </c>
      <c r="U493" s="17" t="n">
        <v>0.0807035500104557</v>
      </c>
      <c r="V493" s="17" t="n">
        <v>112792</v>
      </c>
      <c r="W493" s="17" t="n">
        <v>569460</v>
      </c>
      <c r="X493" s="17" t="n">
        <v>19.8068345450076</v>
      </c>
      <c r="Y493" s="17" t="n">
        <v>7628</v>
      </c>
      <c r="Z493" s="17" t="n">
        <v>0.900954458964721</v>
      </c>
      <c r="AA493" s="17" t="n">
        <v>7.09</v>
      </c>
      <c r="AB493" s="17" t="n">
        <v>3.05636859777717</v>
      </c>
      <c r="AC493" s="17" t="n">
        <v>1.17521027903694</v>
      </c>
      <c r="AD493" s="17" t="n">
        <v>0.09</v>
      </c>
      <c r="AE493" s="17" t="n">
        <v>1</v>
      </c>
      <c r="AF493" s="17" t="s">
        <v>241</v>
      </c>
      <c r="AG493" s="17" t="s">
        <v>232</v>
      </c>
      <c r="AH493" s="17" t="n">
        <v>0</v>
      </c>
    </row>
    <row r="494" customFormat="false" ht="15" hidden="false" customHeight="false" outlineLevel="0" collapsed="false">
      <c r="A494" s="17" t="n">
        <v>14136</v>
      </c>
      <c r="B494" s="23" t="n">
        <v>45473</v>
      </c>
      <c r="C494" s="17" t="s">
        <v>153</v>
      </c>
      <c r="D494" s="17" t="s">
        <v>113</v>
      </c>
      <c r="E494" s="17" t="n">
        <v>234689</v>
      </c>
      <c r="F494" s="17" t="n">
        <v>235899</v>
      </c>
      <c r="G494" s="17" t="n">
        <v>196106</v>
      </c>
      <c r="H494" s="17" t="n">
        <v>18072</v>
      </c>
      <c r="I494" s="17" t="n">
        <v>7.70040351273387</v>
      </c>
      <c r="J494" s="17" t="n">
        <v>155721</v>
      </c>
      <c r="K494" s="17" t="n">
        <v>153957.333333333</v>
      </c>
      <c r="L494" s="17" t="n">
        <v>154008</v>
      </c>
      <c r="M494" s="17" t="n">
        <v>125414</v>
      </c>
      <c r="N494" s="17" t="n">
        <v>15081</v>
      </c>
      <c r="O494" s="17" t="n">
        <v>14888</v>
      </c>
      <c r="P494" s="17" t="n">
        <v>483</v>
      </c>
      <c r="Q494" s="17" t="n">
        <v>1456</v>
      </c>
      <c r="R494" s="17" t="n">
        <v>271</v>
      </c>
      <c r="S494" s="17" t="n">
        <v>107</v>
      </c>
      <c r="T494" s="17" t="n">
        <v>214</v>
      </c>
      <c r="U494" s="17" t="n">
        <v>0.13899954965878</v>
      </c>
      <c r="V494" s="17" t="n">
        <v>27162</v>
      </c>
      <c r="W494" s="17" t="n">
        <v>151973</v>
      </c>
      <c r="X494" s="17" t="n">
        <v>17.8729116356195</v>
      </c>
      <c r="Y494" s="17" t="n">
        <v>1448</v>
      </c>
      <c r="Z494" s="17" t="n">
        <v>0.61382201704967</v>
      </c>
      <c r="AA494" s="17" t="n">
        <v>8.28</v>
      </c>
      <c r="AB494" s="17" t="n">
        <v>3.75543484022213</v>
      </c>
      <c r="AC494" s="17" t="n">
        <v>1.10004431001599</v>
      </c>
      <c r="AD494" s="17" t="n">
        <v>-0.05</v>
      </c>
      <c r="AE494" s="17" t="n">
        <v>1</v>
      </c>
      <c r="AF494" s="17" t="s">
        <v>241</v>
      </c>
      <c r="AG494" s="17" t="s">
        <v>232</v>
      </c>
      <c r="AH494" s="17" t="n">
        <v>1</v>
      </c>
    </row>
    <row r="495" customFormat="false" ht="15" hidden="false" customHeight="false" outlineLevel="0" collapsed="false">
      <c r="A495" s="17" t="n">
        <v>14140</v>
      </c>
      <c r="B495" s="23" t="n">
        <v>45473</v>
      </c>
      <c r="C495" s="17" t="s">
        <v>120</v>
      </c>
      <c r="D495" s="17" t="s">
        <v>113</v>
      </c>
      <c r="E495" s="17" t="n">
        <v>1498757</v>
      </c>
      <c r="F495" s="17" t="n">
        <v>1501626</v>
      </c>
      <c r="G495" s="17" t="n">
        <v>1198797</v>
      </c>
      <c r="H495" s="17" t="n">
        <v>127558</v>
      </c>
      <c r="I495" s="17" t="n">
        <v>8.5109193818611</v>
      </c>
      <c r="J495" s="17" t="n">
        <v>1076486</v>
      </c>
      <c r="K495" s="17" t="n">
        <v>1057536.66666667</v>
      </c>
      <c r="L495" s="17" t="n">
        <v>1067922</v>
      </c>
      <c r="M495" s="17" t="n">
        <v>949990</v>
      </c>
      <c r="N495" s="17" t="n">
        <v>93355</v>
      </c>
      <c r="O495" s="17" t="n">
        <v>1569</v>
      </c>
      <c r="P495" s="17" t="n">
        <v>2046</v>
      </c>
      <c r="Q495" s="17" t="n">
        <v>23</v>
      </c>
      <c r="R495" s="17" t="n">
        <v>0</v>
      </c>
      <c r="S495" s="17" t="n">
        <v>39</v>
      </c>
      <c r="T495" s="17" t="n">
        <v>78</v>
      </c>
      <c r="U495" s="17" t="n">
        <v>0.00737563078979137</v>
      </c>
      <c r="V495" s="17" t="n">
        <v>0</v>
      </c>
      <c r="W495" s="17" t="n">
        <v>0</v>
      </c>
      <c r="X495" s="17" t="n">
        <v>0</v>
      </c>
      <c r="Y495" s="17" t="n">
        <v>4380</v>
      </c>
      <c r="Z495" s="17" t="n">
        <v>0.291683814744817</v>
      </c>
      <c r="AA495" s="17" t="n">
        <v>3.46</v>
      </c>
      <c r="AB495" s="17" t="n">
        <v>2.37450563986306</v>
      </c>
      <c r="AC495" s="17" t="n">
        <v>0.795551451667741</v>
      </c>
      <c r="AD495" s="17" t="n">
        <v>-0.07</v>
      </c>
      <c r="AE495" s="17" t="n">
        <v>1</v>
      </c>
      <c r="AF495" s="17" t="s">
        <v>241</v>
      </c>
      <c r="AG495" s="17" t="s">
        <v>232</v>
      </c>
      <c r="AH495" s="17" t="n">
        <v>0</v>
      </c>
    </row>
    <row r="496" customFormat="false" ht="15" hidden="false" customHeight="false" outlineLevel="0" collapsed="false">
      <c r="A496" s="17" t="n">
        <v>14158</v>
      </c>
      <c r="B496" s="23" t="n">
        <v>45473</v>
      </c>
      <c r="C496" s="17" t="s">
        <v>112</v>
      </c>
      <c r="D496" s="17" t="s">
        <v>113</v>
      </c>
      <c r="E496" s="17" t="n">
        <v>1397831</v>
      </c>
      <c r="F496" s="17" t="n">
        <v>1427760</v>
      </c>
      <c r="G496" s="17" t="n">
        <v>1057053</v>
      </c>
      <c r="H496" s="17" t="n">
        <v>80058</v>
      </c>
      <c r="I496" s="17" t="n">
        <v>5.72730179828606</v>
      </c>
      <c r="J496" s="17" t="n">
        <v>1014144</v>
      </c>
      <c r="K496" s="17" t="n">
        <v>1028875.66666667</v>
      </c>
      <c r="L496" s="17" t="n">
        <v>1007251</v>
      </c>
      <c r="M496" s="17" t="n">
        <v>936491</v>
      </c>
      <c r="N496" s="17" t="n">
        <v>40549</v>
      </c>
      <c r="O496" s="17" t="n">
        <v>2209</v>
      </c>
      <c r="P496" s="17" t="n">
        <v>1771</v>
      </c>
      <c r="Q496" s="17" t="n">
        <v>579</v>
      </c>
      <c r="R496" s="17" t="n">
        <v>157</v>
      </c>
      <c r="S496" s="17" t="n">
        <v>-11</v>
      </c>
      <c r="T496" s="17" t="n">
        <v>-22</v>
      </c>
      <c r="U496" s="17" t="n">
        <v>-0.00213825642035789</v>
      </c>
      <c r="V496" s="17" t="n">
        <v>121026</v>
      </c>
      <c r="W496" s="17" t="n">
        <v>921495</v>
      </c>
      <c r="X496" s="17" t="n">
        <v>13.1336578060651</v>
      </c>
      <c r="Y496" s="17" t="n">
        <v>9822</v>
      </c>
      <c r="Z496" s="17" t="n">
        <v>0.687930744662969</v>
      </c>
      <c r="AA496" s="17" t="n">
        <v>12.18</v>
      </c>
      <c r="AB496" s="17" t="n">
        <v>2.84016956010422</v>
      </c>
      <c r="AC496" s="17" t="n">
        <v>0.679686513946737</v>
      </c>
      <c r="AD496" s="17" t="n">
        <v>0.02</v>
      </c>
      <c r="AE496" s="17" t="n">
        <v>1</v>
      </c>
      <c r="AF496" s="17" t="s">
        <v>231</v>
      </c>
      <c r="AG496" s="17" t="s">
        <v>232</v>
      </c>
      <c r="AH496" s="17" t="n">
        <v>0</v>
      </c>
    </row>
    <row r="497" customFormat="false" ht="15" hidden="false" customHeight="false" outlineLevel="0" collapsed="false">
      <c r="A497" s="17" t="n">
        <v>14168</v>
      </c>
      <c r="B497" s="23" t="n">
        <v>45473</v>
      </c>
      <c r="C497" s="17" t="s">
        <v>162</v>
      </c>
      <c r="D497" s="17" t="s">
        <v>113</v>
      </c>
      <c r="E497" s="17" t="n">
        <v>371774</v>
      </c>
      <c r="F497" s="17" t="n">
        <v>364382</v>
      </c>
      <c r="G497" s="17" t="n">
        <v>330926</v>
      </c>
      <c r="H497" s="17" t="n">
        <v>35832</v>
      </c>
      <c r="I497" s="17" t="n">
        <v>9.63811347754281</v>
      </c>
      <c r="J497" s="17" t="n">
        <v>262207</v>
      </c>
      <c r="K497" s="17" t="n">
        <v>250766</v>
      </c>
      <c r="L497" s="17" t="n">
        <v>258112</v>
      </c>
      <c r="M497" s="17" t="n">
        <v>222296</v>
      </c>
      <c r="N497" s="17" t="n">
        <v>12486</v>
      </c>
      <c r="O497" s="17" t="n">
        <v>10566</v>
      </c>
      <c r="P497" s="17" t="n">
        <v>1042</v>
      </c>
      <c r="Q497" s="17" t="n">
        <v>415</v>
      </c>
      <c r="R497" s="17" t="n">
        <v>1</v>
      </c>
      <c r="S497" s="17" t="n">
        <v>35</v>
      </c>
      <c r="T497" s="17" t="n">
        <v>70</v>
      </c>
      <c r="U497" s="17" t="n">
        <v>0.0279144700637248</v>
      </c>
      <c r="V497" s="17" t="n">
        <v>43587</v>
      </c>
      <c r="W497" s="17" t="n">
        <v>270486</v>
      </c>
      <c r="X497" s="17" t="n">
        <v>16.1143275437546</v>
      </c>
      <c r="Y497" s="17" t="n">
        <v>3340</v>
      </c>
      <c r="Z497" s="17" t="n">
        <v>0.916620469726825</v>
      </c>
      <c r="AA497" s="17" t="n">
        <v>9.42</v>
      </c>
      <c r="AB497" s="17" t="n">
        <v>4.04893048233613</v>
      </c>
      <c r="AC497" s="17" t="n">
        <v>1.56174320288932</v>
      </c>
      <c r="AD497" s="17" t="n">
        <v>0.07</v>
      </c>
      <c r="AE497" s="17" t="n">
        <v>1</v>
      </c>
      <c r="AF497" s="17" t="s">
        <v>231</v>
      </c>
      <c r="AG497" s="17" t="s">
        <v>232</v>
      </c>
      <c r="AH497" s="17" t="n">
        <v>0</v>
      </c>
    </row>
    <row r="498" customFormat="false" ht="15" hidden="false" customHeight="false" outlineLevel="0" collapsed="false">
      <c r="A498" s="17" t="n">
        <v>14240</v>
      </c>
      <c r="B498" s="23" t="n">
        <v>45473</v>
      </c>
      <c r="C498" s="17" t="s">
        <v>195</v>
      </c>
      <c r="D498" s="17" t="s">
        <v>116</v>
      </c>
      <c r="E498" s="17" t="n">
        <v>1270696</v>
      </c>
      <c r="F498" s="17" t="n">
        <v>1264647.33333333</v>
      </c>
      <c r="G498" s="17" t="n">
        <v>1022140</v>
      </c>
      <c r="H498" s="17" t="n">
        <v>88523</v>
      </c>
      <c r="I498" s="17" t="n">
        <v>6.96649710080145</v>
      </c>
      <c r="J498" s="17" t="n">
        <v>930519</v>
      </c>
      <c r="K498" s="17" t="n">
        <v>923842.333333333</v>
      </c>
      <c r="L498" s="17" t="n">
        <v>919814</v>
      </c>
      <c r="M498" s="17" t="n">
        <v>787415</v>
      </c>
      <c r="N498" s="17" t="n">
        <v>30527</v>
      </c>
      <c r="O498" s="17" t="n">
        <v>14400</v>
      </c>
      <c r="P498" s="17" t="n">
        <v>3555</v>
      </c>
      <c r="Q498" s="17" t="n">
        <v>671</v>
      </c>
      <c r="R498" s="17" t="n">
        <v>0</v>
      </c>
      <c r="S498" s="17" t="n">
        <v>-9</v>
      </c>
      <c r="T498" s="17" t="n">
        <v>-18</v>
      </c>
      <c r="U498" s="17" t="n">
        <v>-0.0019483844104712</v>
      </c>
      <c r="V498" s="17" t="n">
        <v>125738</v>
      </c>
      <c r="W498" s="17" t="n">
        <v>785830</v>
      </c>
      <c r="X498" s="17" t="n">
        <v>16.0006617207284</v>
      </c>
      <c r="Y498" s="17" t="n">
        <v>5234</v>
      </c>
      <c r="Z498" s="17" t="n">
        <v>0.413870322740833</v>
      </c>
      <c r="AA498" s="17" t="n">
        <v>5.89</v>
      </c>
      <c r="AB498" s="17" t="n">
        <v>2.71037129489864</v>
      </c>
      <c r="AC498" s="17" t="n">
        <v>1.15043325284062</v>
      </c>
      <c r="AD498" s="17" t="n">
        <v>0</v>
      </c>
      <c r="AE498" s="17" t="n">
        <v>0</v>
      </c>
      <c r="AF498" s="17" t="s">
        <v>231</v>
      </c>
      <c r="AG498" s="17" t="s">
        <v>232</v>
      </c>
      <c r="AH498" s="17" t="n">
        <v>0</v>
      </c>
    </row>
    <row r="499" customFormat="false" ht="15" hidden="false" customHeight="false" outlineLevel="0" collapsed="false">
      <c r="A499" s="17" t="n">
        <v>17115</v>
      </c>
      <c r="B499" s="23" t="n">
        <v>45473</v>
      </c>
      <c r="C499" s="17" t="s">
        <v>143</v>
      </c>
      <c r="D499" s="17" t="s">
        <v>108</v>
      </c>
      <c r="E499" s="17" t="n">
        <v>1071403</v>
      </c>
      <c r="F499" s="17" t="n">
        <v>1080946.66666667</v>
      </c>
      <c r="G499" s="17" t="n">
        <v>787661</v>
      </c>
      <c r="H499" s="17" t="n">
        <v>89467</v>
      </c>
      <c r="I499" s="17" t="n">
        <v>8.35045263080279</v>
      </c>
      <c r="J499" s="17" t="n">
        <v>893732</v>
      </c>
      <c r="K499" s="17" t="n">
        <v>896435.666666667</v>
      </c>
      <c r="L499" s="17" t="n">
        <v>884785</v>
      </c>
      <c r="M499" s="17" t="n">
        <v>843758</v>
      </c>
      <c r="N499" s="17" t="n">
        <v>41618</v>
      </c>
      <c r="O499" s="17" t="n">
        <v>7168</v>
      </c>
      <c r="P499" s="17" t="n">
        <v>2433</v>
      </c>
      <c r="Q499" s="17" t="n">
        <v>414</v>
      </c>
      <c r="R499" s="17" t="n">
        <v>0</v>
      </c>
      <c r="S499" s="17" t="n">
        <v>47</v>
      </c>
      <c r="T499" s="17" t="n">
        <v>94</v>
      </c>
      <c r="U499" s="17" t="n">
        <v>0.0104859727803483</v>
      </c>
      <c r="V499" s="17" t="n">
        <v>111503</v>
      </c>
      <c r="W499" s="17" t="n">
        <v>783329</v>
      </c>
      <c r="X499" s="17" t="n">
        <v>14.2345042759811</v>
      </c>
      <c r="Y499" s="17" t="n">
        <v>3996</v>
      </c>
      <c r="Z499" s="17" t="n">
        <v>0.369675963044739</v>
      </c>
      <c r="AA499" s="17" t="n">
        <v>4.52</v>
      </c>
      <c r="AB499" s="17" t="n">
        <v>2.58286310414264</v>
      </c>
      <c r="AC499" s="17" t="n">
        <v>1.00108309873653</v>
      </c>
      <c r="AD499" s="17" t="n">
        <v>0.02</v>
      </c>
      <c r="AE499" s="17" t="n">
        <v>1</v>
      </c>
      <c r="AF499" s="17" t="s">
        <v>241</v>
      </c>
      <c r="AG499" s="17" t="s">
        <v>232</v>
      </c>
      <c r="AH499" s="17" t="n">
        <v>0</v>
      </c>
    </row>
    <row r="500" customFormat="false" ht="15" hidden="false" customHeight="false" outlineLevel="0" collapsed="false">
      <c r="A500" s="17" t="n">
        <v>17180</v>
      </c>
      <c r="B500" s="23" t="n">
        <v>45473</v>
      </c>
      <c r="C500" s="17" t="s">
        <v>127</v>
      </c>
      <c r="D500" s="17" t="s">
        <v>116</v>
      </c>
      <c r="E500" s="17" t="n">
        <v>1640511</v>
      </c>
      <c r="F500" s="17" t="n">
        <v>1645301.33333333</v>
      </c>
      <c r="G500" s="17" t="n">
        <v>1189680</v>
      </c>
      <c r="H500" s="17" t="n">
        <v>139135</v>
      </c>
      <c r="I500" s="17" t="n">
        <v>8.48119884596934</v>
      </c>
      <c r="J500" s="17" t="n">
        <v>1460125</v>
      </c>
      <c r="K500" s="17" t="n">
        <v>1476391.66666667</v>
      </c>
      <c r="L500" s="17" t="n">
        <v>1445235</v>
      </c>
      <c r="M500" s="17" t="n">
        <v>1213990</v>
      </c>
      <c r="N500" s="17" t="n">
        <v>42253</v>
      </c>
      <c r="O500" s="17" t="n">
        <v>177428</v>
      </c>
      <c r="P500" s="17" t="n">
        <v>5092</v>
      </c>
      <c r="Q500" s="17" t="n">
        <v>3256</v>
      </c>
      <c r="R500" s="17" t="n">
        <v>0</v>
      </c>
      <c r="S500" s="17" t="n">
        <v>29</v>
      </c>
      <c r="T500" s="17" t="n">
        <v>58</v>
      </c>
      <c r="U500" s="17" t="n">
        <v>0.00392849684196267</v>
      </c>
      <c r="V500" s="17" t="n">
        <v>164703</v>
      </c>
      <c r="W500" s="17" t="n">
        <v>1120570</v>
      </c>
      <c r="X500" s="17" t="n">
        <v>14.6981446942181</v>
      </c>
      <c r="Y500" s="17" t="n">
        <v>6538</v>
      </c>
      <c r="Z500" s="17" t="n">
        <v>0.39737401699871</v>
      </c>
      <c r="AA500" s="17" t="n">
        <v>4.74</v>
      </c>
      <c r="AB500" s="17" t="n">
        <v>2.63148893135731</v>
      </c>
      <c r="AC500" s="17" t="n">
        <v>1.01977570413492</v>
      </c>
      <c r="AD500" s="17" t="n">
        <v>0.09</v>
      </c>
      <c r="AE500" s="17" t="n">
        <v>1</v>
      </c>
      <c r="AF500" s="17" t="s">
        <v>241</v>
      </c>
      <c r="AG500" s="17" t="s">
        <v>232</v>
      </c>
      <c r="AH500" s="17" t="n">
        <v>0</v>
      </c>
    </row>
    <row r="501" customFormat="false" ht="15" hidden="false" customHeight="false" outlineLevel="0" collapsed="false">
      <c r="A501" s="17" t="n">
        <v>17443</v>
      </c>
      <c r="B501" s="23" t="n">
        <v>45473</v>
      </c>
      <c r="C501" s="17" t="s">
        <v>132</v>
      </c>
      <c r="D501" s="17" t="s">
        <v>116</v>
      </c>
      <c r="E501" s="17" t="n">
        <v>365097</v>
      </c>
      <c r="F501" s="17" t="n">
        <v>353298.666666667</v>
      </c>
      <c r="G501" s="17" t="n">
        <v>300117</v>
      </c>
      <c r="H501" s="17" t="n">
        <v>38871</v>
      </c>
      <c r="I501" s="17" t="n">
        <v>10.6467596282632</v>
      </c>
      <c r="J501" s="17" t="n">
        <v>200580</v>
      </c>
      <c r="K501" s="17" t="n">
        <v>202068</v>
      </c>
      <c r="L501" s="17" t="n">
        <v>198988</v>
      </c>
      <c r="M501" s="17" t="n">
        <v>198905</v>
      </c>
      <c r="N501" s="17" t="n">
        <v>0</v>
      </c>
      <c r="O501" s="17" t="n">
        <v>675</v>
      </c>
      <c r="P501" s="17" t="n">
        <v>1042</v>
      </c>
      <c r="Q501" s="17" t="n">
        <v>375</v>
      </c>
      <c r="R501" s="17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-672</v>
      </c>
      <c r="Z501" s="17" t="n">
        <v>-0.190207341097617</v>
      </c>
      <c r="AA501" s="17" t="n">
        <v>-1.71</v>
      </c>
      <c r="AB501" s="17" t="n">
        <v>1.18436879928444</v>
      </c>
      <c r="AC501" s="17" t="n">
        <v>0.793698275002493</v>
      </c>
      <c r="AD501" s="17" t="n">
        <v>-0.07</v>
      </c>
      <c r="AE501" s="17" t="n">
        <v>1</v>
      </c>
      <c r="AF501" s="17" t="s">
        <v>241</v>
      </c>
      <c r="AG501" s="17" t="s">
        <v>232</v>
      </c>
      <c r="AH501" s="17" t="n">
        <v>1</v>
      </c>
    </row>
    <row r="502" customFormat="false" ht="15" hidden="false" customHeight="false" outlineLevel="0" collapsed="false">
      <c r="A502" s="17" t="n">
        <v>17658</v>
      </c>
      <c r="B502" s="23" t="n">
        <v>45473</v>
      </c>
      <c r="C502" s="17" t="s">
        <v>144</v>
      </c>
      <c r="D502" s="17" t="s">
        <v>108</v>
      </c>
      <c r="E502" s="17" t="n">
        <v>1912692</v>
      </c>
      <c r="F502" s="17" t="n">
        <v>1881492</v>
      </c>
      <c r="G502" s="17" t="n">
        <v>1503955</v>
      </c>
      <c r="H502" s="17" t="n">
        <v>211101</v>
      </c>
      <c r="I502" s="17" t="n">
        <v>11.0368527708591</v>
      </c>
      <c r="J502" s="17" t="n">
        <v>1361231</v>
      </c>
      <c r="K502" s="17" t="n">
        <v>1326770</v>
      </c>
      <c r="L502" s="17" t="n">
        <v>1351693</v>
      </c>
      <c r="M502" s="17" t="n">
        <v>1158750</v>
      </c>
      <c r="N502" s="17" t="n">
        <v>108864</v>
      </c>
      <c r="O502" s="17" t="n">
        <v>79908</v>
      </c>
      <c r="P502" s="17" t="n">
        <v>10806</v>
      </c>
      <c r="Q502" s="17" t="n">
        <v>2245</v>
      </c>
      <c r="R502" s="17" t="n">
        <v>15</v>
      </c>
      <c r="S502" s="17" t="n">
        <v>-110</v>
      </c>
      <c r="T502" s="17" t="n">
        <v>-220</v>
      </c>
      <c r="U502" s="17" t="n">
        <v>-0.0165816230394115</v>
      </c>
      <c r="V502" s="17" t="n">
        <v>0</v>
      </c>
      <c r="W502" s="17" t="n">
        <v>0</v>
      </c>
      <c r="X502" s="17" t="n">
        <v>0</v>
      </c>
      <c r="Y502" s="17" t="n">
        <v>14626</v>
      </c>
      <c r="Z502" s="17" t="n">
        <v>0.777361795851378</v>
      </c>
      <c r="AA502" s="17" t="n">
        <v>6.99</v>
      </c>
      <c r="AB502" s="17" t="n">
        <v>3.04141628372805</v>
      </c>
      <c r="AC502" s="17" t="n">
        <v>0.700689302550412</v>
      </c>
      <c r="AD502" s="17" t="n">
        <v>0.06</v>
      </c>
      <c r="AE502" s="17" t="n">
        <v>1</v>
      </c>
      <c r="AF502" s="17" t="s">
        <v>241</v>
      </c>
      <c r="AG502" s="17" t="s">
        <v>232</v>
      </c>
      <c r="AH502" s="17" t="n">
        <v>0</v>
      </c>
    </row>
    <row r="503" customFormat="false" ht="15" hidden="false" customHeight="false" outlineLevel="0" collapsed="false">
      <c r="A503" s="17" t="n">
        <v>17741</v>
      </c>
      <c r="B503" s="23" t="n">
        <v>45473</v>
      </c>
      <c r="C503" s="17" t="s">
        <v>161</v>
      </c>
      <c r="D503" s="17" t="s">
        <v>108</v>
      </c>
      <c r="E503" s="17" t="n">
        <v>1160635</v>
      </c>
      <c r="F503" s="17" t="n">
        <v>1117568.66666667</v>
      </c>
      <c r="G503" s="17" t="n">
        <v>863648</v>
      </c>
      <c r="H503" s="17" t="n">
        <v>141966</v>
      </c>
      <c r="I503" s="17" t="n">
        <v>12.2317524458594</v>
      </c>
      <c r="J503" s="17" t="n">
        <v>968304</v>
      </c>
      <c r="K503" s="17" t="n">
        <v>937606.333333333</v>
      </c>
      <c r="L503" s="17" t="n">
        <v>959108</v>
      </c>
      <c r="M503" s="17" t="n">
        <v>905457</v>
      </c>
      <c r="N503" s="17" t="n">
        <v>55240</v>
      </c>
      <c r="O503" s="17" t="n">
        <v>4399</v>
      </c>
      <c r="P503" s="17" t="n">
        <v>7132</v>
      </c>
      <c r="Q503" s="17" t="n">
        <v>3043</v>
      </c>
      <c r="R503" s="17" t="n">
        <v>0</v>
      </c>
      <c r="S503" s="17" t="n">
        <v>60</v>
      </c>
      <c r="T503" s="17" t="n">
        <v>120</v>
      </c>
      <c r="U503" s="17" t="n">
        <v>0.0127985483602038</v>
      </c>
      <c r="V503" s="17" t="n">
        <v>0</v>
      </c>
      <c r="W503" s="17" t="n">
        <v>0</v>
      </c>
      <c r="X503" s="17" t="n">
        <v>0</v>
      </c>
      <c r="Y503" s="17" t="n">
        <v>6446</v>
      </c>
      <c r="Z503" s="17" t="n">
        <v>0.576787824521446</v>
      </c>
      <c r="AA503" s="17" t="n">
        <v>4.59</v>
      </c>
      <c r="AB503" s="17" t="n">
        <v>2.9973145945325</v>
      </c>
      <c r="AC503" s="17" t="n">
        <v>0.949701746558932</v>
      </c>
      <c r="AD503" s="17" t="n">
        <v>0.06</v>
      </c>
      <c r="AE503" s="17" t="n">
        <v>1</v>
      </c>
      <c r="AF503" s="17" t="s">
        <v>241</v>
      </c>
      <c r="AG503" s="17" t="s">
        <v>232</v>
      </c>
      <c r="AH503" s="17" t="n">
        <v>0</v>
      </c>
    </row>
    <row r="504" customFormat="false" ht="15" hidden="false" customHeight="false" outlineLevel="0" collapsed="false">
      <c r="A504" s="17" t="n">
        <v>17743</v>
      </c>
      <c r="B504" s="23" t="n">
        <v>45473</v>
      </c>
      <c r="C504" s="17" t="s">
        <v>129</v>
      </c>
      <c r="D504" s="17" t="s">
        <v>108</v>
      </c>
      <c r="E504" s="17" t="n">
        <v>1404406</v>
      </c>
      <c r="F504" s="17" t="n">
        <v>1392981</v>
      </c>
      <c r="G504" s="17" t="n">
        <v>980636</v>
      </c>
      <c r="H504" s="17" t="n">
        <v>121628</v>
      </c>
      <c r="I504" s="17" t="n">
        <v>8.66045858533786</v>
      </c>
      <c r="J504" s="17" t="n">
        <v>1119255</v>
      </c>
      <c r="K504" s="17" t="n">
        <v>1103520.33333333</v>
      </c>
      <c r="L504" s="17" t="n">
        <v>1114569</v>
      </c>
      <c r="M504" s="17" t="n">
        <v>1079649</v>
      </c>
      <c r="N504" s="17" t="n">
        <v>18094</v>
      </c>
      <c r="O504" s="17" t="n">
        <v>10298</v>
      </c>
      <c r="P504" s="17" t="n">
        <v>3998</v>
      </c>
      <c r="Q504" s="17" t="n">
        <v>1402</v>
      </c>
      <c r="R504" s="17" t="n">
        <v>0</v>
      </c>
      <c r="S504" s="17" t="n">
        <v>-3</v>
      </c>
      <c r="T504" s="17" t="n">
        <v>-6</v>
      </c>
      <c r="U504" s="17" t="n">
        <v>-0.000543714494310783</v>
      </c>
      <c r="V504" s="17" t="n">
        <v>0</v>
      </c>
      <c r="W504" s="17" t="n">
        <v>0</v>
      </c>
      <c r="X504" s="17" t="n">
        <v>0</v>
      </c>
      <c r="Y504" s="17" t="n">
        <v>-436</v>
      </c>
      <c r="Z504" s="17" t="n">
        <v>-0.0312997808297457</v>
      </c>
      <c r="AA504" s="17" t="n">
        <v>-0.36</v>
      </c>
      <c r="AB504" s="17" t="n">
        <v>1.85173719140557</v>
      </c>
      <c r="AC504" s="17" t="n">
        <v>0.418671348352252</v>
      </c>
      <c r="AD504" s="17" t="n">
        <v>0</v>
      </c>
      <c r="AE504" s="17" t="n">
        <v>1</v>
      </c>
      <c r="AF504" s="17" t="s">
        <v>241</v>
      </c>
      <c r="AG504" s="17" t="s">
        <v>232</v>
      </c>
      <c r="AH504" s="17" t="n">
        <v>1</v>
      </c>
    </row>
    <row r="505" customFormat="false" ht="15" hidden="false" customHeight="false" outlineLevel="0" collapsed="false">
      <c r="A505" s="17" t="n">
        <v>17748</v>
      </c>
      <c r="B505" s="23" t="n">
        <v>45473</v>
      </c>
      <c r="C505" s="17" t="s">
        <v>196</v>
      </c>
      <c r="D505" s="17" t="s">
        <v>108</v>
      </c>
      <c r="E505" s="17" t="n">
        <v>1653584</v>
      </c>
      <c r="F505" s="17" t="n">
        <v>1655813.33333333</v>
      </c>
      <c r="G505" s="17" t="n">
        <v>1349536</v>
      </c>
      <c r="H505" s="17" t="n">
        <v>113727</v>
      </c>
      <c r="I505" s="17" t="n">
        <v>6.87760645966579</v>
      </c>
      <c r="J505" s="17" t="n">
        <v>1269678</v>
      </c>
      <c r="K505" s="17" t="n">
        <v>1271590</v>
      </c>
      <c r="L505" s="17" t="n">
        <v>1260522</v>
      </c>
      <c r="M505" s="17" t="n">
        <v>1060225</v>
      </c>
      <c r="N505" s="17" t="n">
        <v>171859</v>
      </c>
      <c r="O505" s="17" t="n">
        <v>3225</v>
      </c>
      <c r="P505" s="17" t="n">
        <v>7932</v>
      </c>
      <c r="Q505" s="17" t="n">
        <v>10728</v>
      </c>
      <c r="R505" s="17" t="n">
        <v>0</v>
      </c>
      <c r="S505" s="17" t="n">
        <v>-7</v>
      </c>
      <c r="T505" s="17" t="n">
        <v>-14</v>
      </c>
      <c r="U505" s="17" t="n">
        <v>-0.00110098380767386</v>
      </c>
      <c r="V505" s="17" t="n">
        <v>0</v>
      </c>
      <c r="W505" s="17" t="n">
        <v>0</v>
      </c>
      <c r="X505" s="17" t="n">
        <v>0</v>
      </c>
      <c r="Y505" s="17" t="n">
        <v>4636</v>
      </c>
      <c r="Z505" s="17" t="n">
        <v>0.279983250930057</v>
      </c>
      <c r="AA505" s="17" t="n">
        <v>4.09</v>
      </c>
      <c r="AB505" s="17" t="n">
        <v>2.36555254962579</v>
      </c>
      <c r="AC505" s="17" t="n">
        <v>0.72112771899647</v>
      </c>
      <c r="AD505" s="17" t="n">
        <v>-0.08</v>
      </c>
      <c r="AE505" s="17" t="n">
        <v>0</v>
      </c>
      <c r="AF505" s="17" t="s">
        <v>241</v>
      </c>
      <c r="AG505" s="17" t="s">
        <v>232</v>
      </c>
      <c r="AH505" s="17" t="n">
        <v>0</v>
      </c>
    </row>
    <row r="506" customFormat="false" ht="15" hidden="false" customHeight="false" outlineLevel="0" collapsed="false">
      <c r="A506" s="17" t="n">
        <v>17749</v>
      </c>
      <c r="B506" s="23" t="n">
        <v>45473</v>
      </c>
      <c r="C506" s="17" t="s">
        <v>156</v>
      </c>
      <c r="D506" s="17" t="s">
        <v>108</v>
      </c>
      <c r="E506" s="17" t="n">
        <v>1395226</v>
      </c>
      <c r="F506" s="17" t="n">
        <v>1366834</v>
      </c>
      <c r="G506" s="17" t="n">
        <v>1095901</v>
      </c>
      <c r="H506" s="17" t="n">
        <v>177800</v>
      </c>
      <c r="I506" s="17" t="n">
        <v>12.7434551821712</v>
      </c>
      <c r="J506" s="17" t="n">
        <v>822053</v>
      </c>
      <c r="K506" s="17" t="n">
        <v>810548.666666667</v>
      </c>
      <c r="L506" s="17" t="n">
        <v>810508</v>
      </c>
      <c r="M506" s="17" t="n">
        <v>744624</v>
      </c>
      <c r="N506" s="17" t="n">
        <v>53678</v>
      </c>
      <c r="O506" s="17" t="n">
        <v>11558</v>
      </c>
      <c r="P506" s="17" t="n">
        <v>243</v>
      </c>
      <c r="Q506" s="17" t="n">
        <v>1207</v>
      </c>
      <c r="R506" s="17" t="n">
        <v>0</v>
      </c>
      <c r="S506" s="17" t="n">
        <v>10</v>
      </c>
      <c r="T506" s="17" t="n">
        <v>20</v>
      </c>
      <c r="U506" s="17" t="n">
        <v>0.00246746442533165</v>
      </c>
      <c r="V506" s="17" t="n">
        <v>0</v>
      </c>
      <c r="W506" s="17" t="n">
        <v>0</v>
      </c>
      <c r="X506" s="17" t="n">
        <v>0</v>
      </c>
      <c r="Y506" s="17" t="n">
        <v>13396</v>
      </c>
      <c r="Z506" s="17" t="n">
        <v>0.98007512250939</v>
      </c>
      <c r="AA506" s="17" t="n">
        <v>7.68</v>
      </c>
      <c r="AB506" s="17" t="n">
        <v>2.4652286426857</v>
      </c>
      <c r="AC506" s="17" t="n">
        <v>1.4044106645192</v>
      </c>
      <c r="AD506" s="17" t="n">
        <v>0.07</v>
      </c>
      <c r="AE506" s="17" t="n">
        <v>1</v>
      </c>
      <c r="AF506" s="17" t="s">
        <v>241</v>
      </c>
      <c r="AG506" s="17" t="s">
        <v>232</v>
      </c>
      <c r="AH506" s="17" t="n">
        <v>1</v>
      </c>
    </row>
    <row r="507" customFormat="false" ht="15" hidden="false" customHeight="false" outlineLevel="0" collapsed="false">
      <c r="A507" s="17" t="n">
        <v>17751</v>
      </c>
      <c r="B507" s="23" t="n">
        <v>45473</v>
      </c>
      <c r="C507" s="17" t="s">
        <v>125</v>
      </c>
      <c r="D507" s="17" t="s">
        <v>108</v>
      </c>
      <c r="E507" s="17" t="n">
        <v>1628666</v>
      </c>
      <c r="F507" s="17" t="n">
        <v>1618264</v>
      </c>
      <c r="G507" s="17" t="n">
        <v>1314857</v>
      </c>
      <c r="H507" s="17" t="n">
        <v>140560</v>
      </c>
      <c r="I507" s="17" t="n">
        <v>8.63037602553255</v>
      </c>
      <c r="J507" s="17" t="n">
        <v>1345733</v>
      </c>
      <c r="K507" s="17" t="n">
        <v>1326422.33333333</v>
      </c>
      <c r="L507" s="17" t="n">
        <v>1333460</v>
      </c>
      <c r="M507" s="17" t="n">
        <v>1148666</v>
      </c>
      <c r="N507" s="17" t="n">
        <v>134212</v>
      </c>
      <c r="O507" s="17" t="n">
        <v>4482</v>
      </c>
      <c r="P507" s="17" t="n">
        <v>4863</v>
      </c>
      <c r="Q507" s="17" t="n">
        <v>4693</v>
      </c>
      <c r="R507" s="17" t="n">
        <v>0</v>
      </c>
      <c r="S507" s="17" t="n">
        <v>-34</v>
      </c>
      <c r="T507" s="17" t="n">
        <v>-68</v>
      </c>
      <c r="U507" s="17" t="n">
        <v>-0.00512657230590458</v>
      </c>
      <c r="V507" s="17" t="n">
        <v>166093</v>
      </c>
      <c r="W507" s="17" t="n">
        <v>1302057</v>
      </c>
      <c r="X507" s="17" t="n">
        <v>12.7562003813965</v>
      </c>
      <c r="Y507" s="17" t="n">
        <v>7174</v>
      </c>
      <c r="Z507" s="17" t="n">
        <v>0.443314564249097</v>
      </c>
      <c r="AA507" s="17" t="n">
        <v>5.16</v>
      </c>
      <c r="AB507" s="17" t="n">
        <v>2.67176233579369</v>
      </c>
      <c r="AC507" s="17" t="n">
        <v>0.911993686712</v>
      </c>
      <c r="AD507" s="17" t="n">
        <v>0.04</v>
      </c>
      <c r="AE507" s="17" t="n">
        <v>1</v>
      </c>
      <c r="AF507" s="17" t="s">
        <v>241</v>
      </c>
      <c r="AG507" s="17" t="s">
        <v>232</v>
      </c>
      <c r="AH507" s="17" t="n">
        <v>0</v>
      </c>
    </row>
    <row r="508" customFormat="false" ht="15" hidden="false" customHeight="false" outlineLevel="0" collapsed="false">
      <c r="A508" s="17" t="n">
        <v>17897</v>
      </c>
      <c r="B508" s="23" t="n">
        <v>45473</v>
      </c>
      <c r="C508" s="17" t="s">
        <v>149</v>
      </c>
      <c r="D508" s="17" t="s">
        <v>108</v>
      </c>
      <c r="E508" s="17" t="n">
        <v>1732333</v>
      </c>
      <c r="F508" s="17" t="n">
        <v>1720003.33333333</v>
      </c>
      <c r="G508" s="17" t="n">
        <v>1311255</v>
      </c>
      <c r="H508" s="17" t="n">
        <v>211953</v>
      </c>
      <c r="I508" s="17" t="n">
        <v>12.2351187675811</v>
      </c>
      <c r="J508" s="17" t="n">
        <v>1440034</v>
      </c>
      <c r="K508" s="17" t="n">
        <v>1438201.66666667</v>
      </c>
      <c r="L508" s="17" t="n">
        <v>1431201</v>
      </c>
      <c r="M508" s="17" t="n">
        <v>1352677</v>
      </c>
      <c r="N508" s="17" t="n">
        <v>74859</v>
      </c>
      <c r="O508" s="17" t="n">
        <v>3188</v>
      </c>
      <c r="P508" s="17" t="n">
        <v>4016</v>
      </c>
      <c r="Q508" s="17" t="n">
        <v>2867</v>
      </c>
      <c r="R508" s="17" t="n">
        <v>0</v>
      </c>
      <c r="S508" s="17" t="n">
        <v>-89</v>
      </c>
      <c r="T508" s="17" t="n">
        <v>-178</v>
      </c>
      <c r="U508" s="17" t="n">
        <v>-0.0123765674957499</v>
      </c>
      <c r="V508" s="17" t="n">
        <v>231111</v>
      </c>
      <c r="W508" s="17" t="n">
        <v>1279828</v>
      </c>
      <c r="X508" s="17" t="n">
        <v>18.0579734151777</v>
      </c>
      <c r="Y508" s="17" t="n">
        <v>12376</v>
      </c>
      <c r="Z508" s="17" t="n">
        <v>0.719533489276184</v>
      </c>
      <c r="AA508" s="17" t="n">
        <v>5.88</v>
      </c>
      <c r="AB508" s="17" t="n">
        <v>2.32674770453677</v>
      </c>
      <c r="AC508" s="17" t="n">
        <v>0.61338829499859</v>
      </c>
      <c r="AD508" s="17" t="n">
        <v>-0.03</v>
      </c>
      <c r="AE508" s="17" t="n">
        <v>1</v>
      </c>
      <c r="AF508" s="17" t="s">
        <v>241</v>
      </c>
      <c r="AG508" s="17" t="s">
        <v>232</v>
      </c>
      <c r="AH508" s="17" t="n">
        <v>0</v>
      </c>
    </row>
    <row r="509" customFormat="false" ht="15" hidden="false" customHeight="false" outlineLevel="0" collapsed="false">
      <c r="A509" s="17" t="n">
        <v>17951</v>
      </c>
      <c r="B509" s="23" t="n">
        <v>45473</v>
      </c>
      <c r="C509" s="17" t="s">
        <v>136</v>
      </c>
      <c r="D509" s="17" t="s">
        <v>116</v>
      </c>
      <c r="E509" s="17" t="n">
        <v>810464</v>
      </c>
      <c r="F509" s="17" t="n">
        <v>797048.666666667</v>
      </c>
      <c r="G509" s="17" t="n">
        <v>665540</v>
      </c>
      <c r="H509" s="17" t="n">
        <v>63303</v>
      </c>
      <c r="I509" s="17" t="n">
        <v>7.81071090140956</v>
      </c>
      <c r="J509" s="17" t="n">
        <v>596085</v>
      </c>
      <c r="K509" s="17" t="n">
        <v>587173</v>
      </c>
      <c r="L509" s="17" t="n">
        <v>591022</v>
      </c>
      <c r="M509" s="17" t="n">
        <v>552786</v>
      </c>
      <c r="N509" s="17" t="n">
        <v>28255</v>
      </c>
      <c r="O509" s="17" t="n">
        <v>1838</v>
      </c>
      <c r="P509" s="17" t="n">
        <v>62</v>
      </c>
      <c r="Q509" s="17" t="n">
        <v>1757</v>
      </c>
      <c r="R509" s="17" t="n">
        <v>0</v>
      </c>
      <c r="S509" s="17" t="n">
        <v>-144</v>
      </c>
      <c r="T509" s="17" t="n">
        <v>-288</v>
      </c>
      <c r="U509" s="17" t="n">
        <v>-0.0490485768248881</v>
      </c>
      <c r="V509" s="17" t="n">
        <v>82294</v>
      </c>
      <c r="W509" s="17" t="n">
        <v>562874</v>
      </c>
      <c r="X509" s="17" t="n">
        <v>14.6203235537616</v>
      </c>
      <c r="Y509" s="17" t="n">
        <v>3994</v>
      </c>
      <c r="Z509" s="17" t="n">
        <v>0.501098636386068</v>
      </c>
      <c r="AA509" s="17" t="n">
        <v>6.41</v>
      </c>
      <c r="AB509" s="17" t="n">
        <v>2.46499599476084</v>
      </c>
      <c r="AC509" s="17" t="n">
        <v>0.849375508526469</v>
      </c>
      <c r="AD509" s="17" t="n">
        <v>0</v>
      </c>
      <c r="AE509" s="17" t="n">
        <v>1</v>
      </c>
      <c r="AF509" s="17" t="s">
        <v>241</v>
      </c>
      <c r="AG509" s="17" t="s">
        <v>232</v>
      </c>
      <c r="AH509" s="17" t="n">
        <v>0</v>
      </c>
    </row>
    <row r="510" customFormat="false" ht="15" hidden="false" customHeight="false" outlineLevel="0" collapsed="false">
      <c r="A510" s="17" t="n">
        <v>17960</v>
      </c>
      <c r="B510" s="23" t="n">
        <v>45473</v>
      </c>
      <c r="C510" s="17" t="s">
        <v>115</v>
      </c>
      <c r="D510" s="17" t="s">
        <v>116</v>
      </c>
      <c r="E510" s="17" t="n">
        <v>1384318</v>
      </c>
      <c r="F510" s="17" t="n">
        <v>1370418.33333333</v>
      </c>
      <c r="G510" s="17" t="n">
        <v>1047199</v>
      </c>
      <c r="H510" s="17" t="n">
        <v>114741</v>
      </c>
      <c r="I510" s="17" t="n">
        <v>8.28863021357809</v>
      </c>
      <c r="J510" s="17" t="n">
        <v>1177826</v>
      </c>
      <c r="K510" s="17" t="n">
        <v>1170212.66666667</v>
      </c>
      <c r="L510" s="17" t="n">
        <v>1165755</v>
      </c>
      <c r="M510" s="17" t="n">
        <v>834712</v>
      </c>
      <c r="N510" s="17" t="n">
        <v>105881</v>
      </c>
      <c r="O510" s="17" t="n">
        <v>233313</v>
      </c>
      <c r="P510" s="17" t="n">
        <v>9254</v>
      </c>
      <c r="Q510" s="17" t="n">
        <v>2898</v>
      </c>
      <c r="R510" s="17" t="n">
        <v>0</v>
      </c>
      <c r="S510" s="17" t="n">
        <v>250</v>
      </c>
      <c r="T510" s="17" t="n">
        <v>500</v>
      </c>
      <c r="U510" s="17" t="n">
        <v>0.0427272763526174</v>
      </c>
      <c r="V510" s="17" t="n">
        <v>141802</v>
      </c>
      <c r="W510" s="17" t="n">
        <v>1066941</v>
      </c>
      <c r="X510" s="17" t="n">
        <v>13.2905193445561</v>
      </c>
      <c r="Y510" s="17" t="n">
        <v>4872</v>
      </c>
      <c r="Z510" s="17" t="n">
        <v>0.355511881408475</v>
      </c>
      <c r="AA510" s="17" t="n">
        <v>4.27</v>
      </c>
      <c r="AB510" s="17" t="n">
        <v>2.71137816235978</v>
      </c>
      <c r="AC510" s="17" t="n">
        <v>1.02485426540083</v>
      </c>
      <c r="AD510" s="17" t="n">
        <v>0.14</v>
      </c>
      <c r="AE510" s="17" t="n">
        <v>1</v>
      </c>
      <c r="AF510" s="17" t="s">
        <v>241</v>
      </c>
      <c r="AG510" s="17" t="s">
        <v>232</v>
      </c>
      <c r="AH510" s="17" t="n">
        <v>0</v>
      </c>
    </row>
    <row r="511" customFormat="false" ht="15" hidden="false" customHeight="false" outlineLevel="0" collapsed="false">
      <c r="A511" s="17" t="n">
        <v>18012</v>
      </c>
      <c r="B511" s="23" t="n">
        <v>45473</v>
      </c>
      <c r="C511" s="17" t="s">
        <v>148</v>
      </c>
      <c r="D511" s="17" t="s">
        <v>116</v>
      </c>
      <c r="E511" s="17" t="n">
        <v>2499818</v>
      </c>
      <c r="F511" s="17" t="n">
        <v>2497110</v>
      </c>
      <c r="G511" s="17" t="n">
        <v>2102355</v>
      </c>
      <c r="H511" s="17" t="n">
        <v>274634</v>
      </c>
      <c r="I511" s="17" t="n">
        <v>10.9861597924329</v>
      </c>
      <c r="J511" s="17" t="n">
        <v>2035131</v>
      </c>
      <c r="K511" s="17" t="n">
        <v>2008558</v>
      </c>
      <c r="L511" s="17" t="n">
        <v>2010844</v>
      </c>
      <c r="M511" s="17" t="n">
        <v>1928747</v>
      </c>
      <c r="N511" s="17" t="n">
        <v>51095</v>
      </c>
      <c r="O511" s="17" t="n">
        <v>30545</v>
      </c>
      <c r="P511" s="17" t="n">
        <v>990</v>
      </c>
      <c r="Q511" s="17" t="n">
        <v>2843</v>
      </c>
      <c r="R511" s="17" t="n">
        <v>0</v>
      </c>
      <c r="S511" s="17" t="n">
        <v>49</v>
      </c>
      <c r="T511" s="17" t="n">
        <v>98</v>
      </c>
      <c r="U511" s="17" t="n">
        <v>0.00487912223595236</v>
      </c>
      <c r="V511" s="17" t="n">
        <v>309576</v>
      </c>
      <c r="W511" s="17" t="n">
        <v>2119776</v>
      </c>
      <c r="X511" s="17" t="n">
        <v>14.6041845930891</v>
      </c>
      <c r="Y511" s="17" t="n">
        <v>16442</v>
      </c>
      <c r="Z511" s="17" t="n">
        <v>0.658441157978623</v>
      </c>
      <c r="AA511" s="17" t="n">
        <v>6.09</v>
      </c>
      <c r="AB511" s="17" t="n">
        <v>2.68205710330269</v>
      </c>
      <c r="AC511" s="17" t="n">
        <v>1.19338755097338</v>
      </c>
      <c r="AD511" s="17" t="n">
        <v>0.04</v>
      </c>
      <c r="AE511" s="17" t="n">
        <v>1</v>
      </c>
      <c r="AF511" s="17" t="s">
        <v>314</v>
      </c>
      <c r="AG511" s="17" t="s">
        <v>232</v>
      </c>
      <c r="AH511" s="17" t="n">
        <v>0</v>
      </c>
    </row>
    <row r="512" customFormat="false" ht="15" hidden="false" customHeight="false" outlineLevel="0" collapsed="false">
      <c r="A512" s="17" t="n">
        <v>18013</v>
      </c>
      <c r="B512" s="23" t="n">
        <v>45473</v>
      </c>
      <c r="C512" s="17" t="s">
        <v>131</v>
      </c>
      <c r="D512" s="17" t="s">
        <v>116</v>
      </c>
      <c r="E512" s="17" t="n">
        <v>2913389</v>
      </c>
      <c r="F512" s="17" t="n">
        <v>2929351.33333333</v>
      </c>
      <c r="G512" s="17" t="n">
        <v>2458436</v>
      </c>
      <c r="H512" s="17" t="n">
        <v>223415</v>
      </c>
      <c r="I512" s="17" t="n">
        <v>7.66856056640565</v>
      </c>
      <c r="J512" s="17" t="n">
        <v>2408662</v>
      </c>
      <c r="K512" s="17" t="n">
        <v>2390089</v>
      </c>
      <c r="L512" s="17" t="n">
        <v>2391651</v>
      </c>
      <c r="M512" s="17" t="n">
        <v>2192853</v>
      </c>
      <c r="N512" s="17" t="n">
        <v>108697</v>
      </c>
      <c r="O512" s="17" t="n">
        <v>24275</v>
      </c>
      <c r="P512" s="17" t="n">
        <v>1084</v>
      </c>
      <c r="Q512" s="17" t="n">
        <v>5903</v>
      </c>
      <c r="R512" s="17" t="n">
        <v>224</v>
      </c>
      <c r="S512" s="17" t="n">
        <v>107</v>
      </c>
      <c r="T512" s="17" t="n">
        <v>214</v>
      </c>
      <c r="U512" s="17" t="n">
        <v>0.00895364147527561</v>
      </c>
      <c r="V512" s="17" t="n">
        <v>269286</v>
      </c>
      <c r="W512" s="17" t="n">
        <v>2189848</v>
      </c>
      <c r="X512" s="17" t="n">
        <v>12.2970178752133</v>
      </c>
      <c r="Y512" s="17" t="n">
        <v>6526</v>
      </c>
      <c r="Z512" s="17" t="n">
        <v>0.222779696164817</v>
      </c>
      <c r="AA512" s="17" t="n">
        <v>2.95</v>
      </c>
      <c r="AB512" s="17" t="n">
        <v>2.42371924301835</v>
      </c>
      <c r="AC512" s="17" t="n">
        <v>0.706242718986724</v>
      </c>
      <c r="AD512" s="17" t="n">
        <v>0.01</v>
      </c>
      <c r="AE512" s="17" t="n">
        <v>1</v>
      </c>
      <c r="AF512" s="17" t="s">
        <v>314</v>
      </c>
      <c r="AG512" s="17" t="s">
        <v>232</v>
      </c>
      <c r="AH512" s="17" t="n">
        <v>0</v>
      </c>
    </row>
    <row r="513" customFormat="false" ht="15" hidden="false" customHeight="false" outlineLevel="0" collapsed="false">
      <c r="A513" s="17" t="n">
        <v>18028</v>
      </c>
      <c r="B513" s="23" t="n">
        <v>45473</v>
      </c>
      <c r="C513" s="17" t="s">
        <v>130</v>
      </c>
      <c r="D513" s="17" t="s">
        <v>116</v>
      </c>
      <c r="E513" s="17" t="n">
        <v>393662</v>
      </c>
      <c r="F513" s="17" t="n">
        <v>394597.666666667</v>
      </c>
      <c r="G513" s="17" t="n">
        <v>324859</v>
      </c>
      <c r="H513" s="17" t="n">
        <v>40845</v>
      </c>
      <c r="I513" s="17" t="n">
        <v>10.3756522092557</v>
      </c>
      <c r="J513" s="17" t="n">
        <v>270218</v>
      </c>
      <c r="K513" s="17" t="n">
        <v>267598</v>
      </c>
      <c r="L513" s="17" t="n">
        <v>268158</v>
      </c>
      <c r="M513" s="17" t="n">
        <v>243503</v>
      </c>
      <c r="N513" s="17" t="n">
        <v>14637</v>
      </c>
      <c r="O513" s="17" t="n">
        <v>6650</v>
      </c>
      <c r="P513" s="17" t="n">
        <v>548</v>
      </c>
      <c r="Q513" s="17" t="n">
        <v>1523</v>
      </c>
      <c r="R513" s="17" t="n">
        <v>68</v>
      </c>
      <c r="S513" s="17" t="n">
        <v>299</v>
      </c>
      <c r="T513" s="17" t="n">
        <v>598</v>
      </c>
      <c r="U513" s="17" t="n">
        <v>0.223469532657195</v>
      </c>
      <c r="V513" s="17" t="n">
        <v>0</v>
      </c>
      <c r="W513" s="17" t="n">
        <v>0</v>
      </c>
      <c r="X513" s="17" t="n">
        <v>0</v>
      </c>
      <c r="Y513" s="17" t="n">
        <v>1856</v>
      </c>
      <c r="Z513" s="17" t="n">
        <v>0.470352502506773</v>
      </c>
      <c r="AA513" s="17" t="n">
        <v>4.56</v>
      </c>
      <c r="AB513" s="17" t="n">
        <v>3.25736775755223</v>
      </c>
      <c r="AC513" s="17" t="n">
        <v>0.762347437994508</v>
      </c>
      <c r="AD513" s="17" t="n">
        <v>0.02</v>
      </c>
      <c r="AE513" s="17" t="n">
        <v>1</v>
      </c>
      <c r="AF513" s="17" t="s">
        <v>241</v>
      </c>
      <c r="AG513" s="17" t="s">
        <v>232</v>
      </c>
      <c r="AH513" s="17" t="n">
        <v>0</v>
      </c>
    </row>
    <row r="514" customFormat="false" ht="15" hidden="false" customHeight="false" outlineLevel="0" collapsed="false">
      <c r="A514" s="17" t="n">
        <v>18030</v>
      </c>
      <c r="B514" s="23" t="n">
        <v>45473</v>
      </c>
      <c r="C514" s="17" t="s">
        <v>157</v>
      </c>
      <c r="D514" s="17" t="s">
        <v>116</v>
      </c>
      <c r="E514" s="17" t="n">
        <v>764903</v>
      </c>
      <c r="F514" s="17" t="n">
        <v>751036</v>
      </c>
      <c r="G514" s="17" t="n">
        <v>682796</v>
      </c>
      <c r="H514" s="17" t="n">
        <v>50593</v>
      </c>
      <c r="I514" s="17" t="n">
        <v>6.61430272858127</v>
      </c>
      <c r="J514" s="17" t="n">
        <v>593081</v>
      </c>
      <c r="K514" s="17" t="n">
        <v>585649.333333333</v>
      </c>
      <c r="L514" s="17" t="n">
        <v>587194</v>
      </c>
      <c r="M514" s="17" t="n">
        <v>452116</v>
      </c>
      <c r="N514" s="17" t="n">
        <v>41777</v>
      </c>
      <c r="O514" s="17" t="n">
        <v>99073</v>
      </c>
      <c r="P514" s="17" t="n">
        <v>1934</v>
      </c>
      <c r="Q514" s="17" t="n">
        <v>1233</v>
      </c>
      <c r="R514" s="17" t="n">
        <v>0</v>
      </c>
      <c r="S514" s="17" t="n">
        <v>79</v>
      </c>
      <c r="T514" s="17" t="n">
        <v>158</v>
      </c>
      <c r="U514" s="17" t="n">
        <v>0.0269786015294704</v>
      </c>
      <c r="V514" s="17" t="n">
        <v>69479</v>
      </c>
      <c r="W514" s="17" t="n">
        <v>516815</v>
      </c>
      <c r="X514" s="17" t="n">
        <v>13.4436887474241</v>
      </c>
      <c r="Y514" s="17" t="n">
        <v>5062</v>
      </c>
      <c r="Z514" s="17" t="n">
        <v>0.674002311473751</v>
      </c>
      <c r="AA514" s="17" t="n">
        <v>10.19</v>
      </c>
      <c r="AB514" s="17" t="n">
        <v>3.4152717577477</v>
      </c>
      <c r="AC514" s="17" t="n">
        <v>0.9926131506489</v>
      </c>
      <c r="AD514" s="17" t="n">
        <v>0.02</v>
      </c>
      <c r="AE514" s="17" t="n">
        <v>1</v>
      </c>
      <c r="AF514" s="17" t="s">
        <v>241</v>
      </c>
      <c r="AG514" s="17" t="s">
        <v>232</v>
      </c>
      <c r="AH514" s="17" t="n">
        <v>0</v>
      </c>
    </row>
    <row r="515" customFormat="false" ht="15" hidden="false" customHeight="false" outlineLevel="0" collapsed="false">
      <c r="A515" s="17" t="n">
        <v>18031</v>
      </c>
      <c r="B515" s="23" t="n">
        <v>45473</v>
      </c>
      <c r="C515" s="17" t="s">
        <v>152</v>
      </c>
      <c r="D515" s="17" t="s">
        <v>116</v>
      </c>
      <c r="E515" s="17" t="n">
        <v>669965</v>
      </c>
      <c r="F515" s="17" t="n">
        <v>674733.666666667</v>
      </c>
      <c r="G515" s="17" t="n">
        <v>520982</v>
      </c>
      <c r="H515" s="17" t="n">
        <v>36939</v>
      </c>
      <c r="I515" s="17" t="n">
        <v>5.5135716044868</v>
      </c>
      <c r="J515" s="17" t="n">
        <v>472971</v>
      </c>
      <c r="K515" s="17" t="n">
        <v>476641.333333333</v>
      </c>
      <c r="L515" s="17" t="n">
        <v>469119</v>
      </c>
      <c r="M515" s="17" t="n">
        <v>433316</v>
      </c>
      <c r="N515" s="17" t="n">
        <v>24050</v>
      </c>
      <c r="O515" s="17" t="n">
        <v>9330</v>
      </c>
      <c r="P515" s="17" t="n">
        <v>900</v>
      </c>
      <c r="Q515" s="17" t="n">
        <v>286</v>
      </c>
      <c r="R515" s="17" t="n">
        <v>27</v>
      </c>
      <c r="S515" s="17" t="n">
        <v>13</v>
      </c>
      <c r="T515" s="17" t="n">
        <v>26</v>
      </c>
      <c r="U515" s="17" t="n">
        <v>0.00545483536187937</v>
      </c>
      <c r="V515" s="17" t="n">
        <v>61484</v>
      </c>
      <c r="W515" s="17" t="n">
        <v>371917</v>
      </c>
      <c r="X515" s="17" t="n">
        <v>16.5316455015501</v>
      </c>
      <c r="Y515" s="17" t="n">
        <v>2892</v>
      </c>
      <c r="Z515" s="17" t="n">
        <v>0.428613561597885</v>
      </c>
      <c r="AA515" s="17" t="n">
        <v>7.82</v>
      </c>
      <c r="AB515" s="17" t="n">
        <v>2.62341205153674</v>
      </c>
      <c r="AC515" s="17" t="n">
        <v>0.814426254463805</v>
      </c>
      <c r="AD515" s="17" t="n">
        <v>-0.05</v>
      </c>
      <c r="AE515" s="17" t="n">
        <v>0</v>
      </c>
      <c r="AF515" s="17" t="s">
        <v>241</v>
      </c>
      <c r="AG515" s="17" t="s">
        <v>232</v>
      </c>
      <c r="AH515" s="17" t="n">
        <v>0</v>
      </c>
    </row>
    <row r="516" customFormat="false" ht="15" hidden="false" customHeight="false" outlineLevel="0" collapsed="false">
      <c r="A516" s="17" t="n">
        <v>18038</v>
      </c>
      <c r="B516" s="23" t="n">
        <v>45473</v>
      </c>
      <c r="C516" s="17" t="s">
        <v>128</v>
      </c>
      <c r="D516" s="17" t="s">
        <v>116</v>
      </c>
      <c r="E516" s="17" t="n">
        <v>528195</v>
      </c>
      <c r="F516" s="17" t="n">
        <v>534211</v>
      </c>
      <c r="G516" s="17" t="n">
        <v>406919</v>
      </c>
      <c r="H516" s="17" t="n">
        <v>66574</v>
      </c>
      <c r="I516" s="17" t="n">
        <v>12.6040572137184</v>
      </c>
      <c r="J516" s="17" t="n">
        <v>417854</v>
      </c>
      <c r="K516" s="17" t="n">
        <v>417585.333333333</v>
      </c>
      <c r="L516" s="17" t="n">
        <v>413931</v>
      </c>
      <c r="M516" s="17" t="n">
        <v>385504</v>
      </c>
      <c r="N516" s="17" t="n">
        <v>27415</v>
      </c>
      <c r="O516" s="17" t="n">
        <v>4069</v>
      </c>
      <c r="P516" s="17" t="n">
        <v>2632</v>
      </c>
      <c r="Q516" s="17" t="n">
        <v>1085</v>
      </c>
      <c r="R516" s="17" t="n">
        <v>0</v>
      </c>
      <c r="S516" s="17" t="n">
        <v>-4</v>
      </c>
      <c r="T516" s="17" t="n">
        <v>-8</v>
      </c>
      <c r="U516" s="17" t="n">
        <v>-0.00191577609686164</v>
      </c>
      <c r="V516" s="17" t="n">
        <v>0</v>
      </c>
      <c r="W516" s="17" t="n">
        <v>0</v>
      </c>
      <c r="X516" s="17" t="n">
        <v>0</v>
      </c>
      <c r="Y516" s="17" t="n">
        <v>3500</v>
      </c>
      <c r="Z516" s="17" t="n">
        <v>0.655171832852562</v>
      </c>
      <c r="AA516" s="17" t="n">
        <v>5.28</v>
      </c>
      <c r="AB516" s="17" t="n">
        <v>2.45039463696265</v>
      </c>
      <c r="AC516" s="17" t="n">
        <v>0.938844668233402</v>
      </c>
      <c r="AD516" s="17" t="n">
        <v>0.03</v>
      </c>
      <c r="AE516" s="17" t="n">
        <v>1</v>
      </c>
      <c r="AF516" s="17" t="s">
        <v>241</v>
      </c>
      <c r="AG516" s="17" t="s">
        <v>232</v>
      </c>
      <c r="AH516" s="17" t="n">
        <v>1</v>
      </c>
    </row>
    <row r="517" customFormat="false" ht="15" hidden="false" customHeight="false" outlineLevel="0" collapsed="false">
      <c r="A517" s="17" t="n">
        <v>18408</v>
      </c>
      <c r="B517" s="23" t="n">
        <v>45473</v>
      </c>
      <c r="C517" s="17" t="s">
        <v>107</v>
      </c>
      <c r="D517" s="17" t="s">
        <v>108</v>
      </c>
      <c r="E517" s="17" t="n">
        <v>7222033</v>
      </c>
      <c r="F517" s="17" t="n">
        <v>7230570</v>
      </c>
      <c r="G517" s="17" t="n">
        <v>5353465</v>
      </c>
      <c r="H517" s="17" t="n">
        <v>408904</v>
      </c>
      <c r="I517" s="17" t="n">
        <v>5.66189603398378</v>
      </c>
      <c r="J517" s="17" t="n">
        <v>4887305</v>
      </c>
      <c r="K517" s="17" t="n">
        <v>4852512.33333333</v>
      </c>
      <c r="L517" s="17" t="n">
        <v>4854929</v>
      </c>
      <c r="M517" s="17" t="n">
        <v>4394120</v>
      </c>
      <c r="N517" s="17" t="n">
        <v>370343</v>
      </c>
      <c r="O517" s="17" t="n">
        <v>36119</v>
      </c>
      <c r="P517" s="17" t="n">
        <v>4032</v>
      </c>
      <c r="Q517" s="17" t="n">
        <v>4991</v>
      </c>
      <c r="R517" s="17" t="n">
        <v>0</v>
      </c>
      <c r="S517" s="17" t="n">
        <v>-491</v>
      </c>
      <c r="T517" s="17" t="n">
        <v>-982</v>
      </c>
      <c r="U517" s="17" t="n">
        <v>-0.0202369398065071</v>
      </c>
      <c r="V517" s="17" t="n">
        <v>581832</v>
      </c>
      <c r="W517" s="17" t="n">
        <v>5105717</v>
      </c>
      <c r="X517" s="17" t="n">
        <v>11.3956962361995</v>
      </c>
      <c r="Y517" s="17" t="n">
        <v>3650</v>
      </c>
      <c r="Z517" s="17" t="n">
        <v>0.0504801142925108</v>
      </c>
      <c r="AA517" s="17" t="n">
        <v>0.9</v>
      </c>
      <c r="AB517" s="17" t="n">
        <v>2.06214064657911</v>
      </c>
      <c r="AC517" s="17" t="n">
        <v>0.662450982699054</v>
      </c>
      <c r="AD517" s="17" t="n">
        <v>0.01</v>
      </c>
      <c r="AE517" s="17" t="n">
        <v>1</v>
      </c>
      <c r="AF517" s="17" t="s">
        <v>241</v>
      </c>
      <c r="AG517" s="17" t="s">
        <v>232</v>
      </c>
      <c r="AH517" s="17" t="n">
        <v>0</v>
      </c>
    </row>
    <row r="518" customFormat="false" ht="15" hidden="false" customHeight="false" outlineLevel="0" collapsed="false">
      <c r="A518" s="17" t="n">
        <v>19531</v>
      </c>
      <c r="B518" s="23" t="n">
        <v>45473</v>
      </c>
      <c r="C518" s="17" t="s">
        <v>146</v>
      </c>
      <c r="D518" s="17" t="s">
        <v>108</v>
      </c>
      <c r="E518" s="17" t="n">
        <v>2602801</v>
      </c>
      <c r="F518" s="17" t="n">
        <v>2540936.33333333</v>
      </c>
      <c r="G518" s="17" t="n">
        <v>2007423</v>
      </c>
      <c r="H518" s="17" t="n">
        <v>245672</v>
      </c>
      <c r="I518" s="17" t="n">
        <v>9.43875463395012</v>
      </c>
      <c r="J518" s="17" t="n">
        <v>2138891</v>
      </c>
      <c r="K518" s="17" t="n">
        <v>2057700</v>
      </c>
      <c r="L518" s="17" t="n">
        <v>2118435</v>
      </c>
      <c r="M518" s="17" t="n">
        <v>1752265</v>
      </c>
      <c r="N518" s="17" t="n">
        <v>263338</v>
      </c>
      <c r="O518" s="17" t="n">
        <v>10817</v>
      </c>
      <c r="P518" s="17" t="n">
        <v>8076</v>
      </c>
      <c r="Q518" s="17" t="n">
        <v>3260</v>
      </c>
      <c r="R518" s="17" t="n">
        <v>12</v>
      </c>
      <c r="S518" s="17" t="n">
        <v>452</v>
      </c>
      <c r="T518" s="17" t="n">
        <v>904</v>
      </c>
      <c r="U518" s="17" t="n">
        <v>0.0439325460465568</v>
      </c>
      <c r="V518" s="17" t="n">
        <v>300974</v>
      </c>
      <c r="W518" s="17" t="n">
        <v>2192949</v>
      </c>
      <c r="X518" s="17" t="n">
        <v>13.7246237828604</v>
      </c>
      <c r="Y518" s="17" t="n">
        <v>9236</v>
      </c>
      <c r="Z518" s="17" t="n">
        <v>0.363488052763752</v>
      </c>
      <c r="AA518" s="17" t="n">
        <v>3.79</v>
      </c>
      <c r="AB518" s="17" t="n">
        <v>2.59185271893759</v>
      </c>
      <c r="AC518" s="17" t="n">
        <v>0.956383471621509</v>
      </c>
      <c r="AD518" s="17" t="n">
        <v>0</v>
      </c>
      <c r="AE518" s="17" t="n">
        <v>1</v>
      </c>
      <c r="AF518" s="17" t="s">
        <v>241</v>
      </c>
      <c r="AG518" s="17" t="s">
        <v>232</v>
      </c>
      <c r="AH518" s="17" t="n">
        <v>0</v>
      </c>
    </row>
    <row r="519" customFormat="false" ht="15" hidden="false" customHeight="false" outlineLevel="0" collapsed="false">
      <c r="A519" s="17" t="n">
        <v>19532</v>
      </c>
      <c r="B519" s="23" t="n">
        <v>45473</v>
      </c>
      <c r="C519" s="17" t="s">
        <v>164</v>
      </c>
      <c r="D519" s="17" t="s">
        <v>108</v>
      </c>
      <c r="E519" s="17" t="n">
        <v>880879</v>
      </c>
      <c r="F519" s="17" t="n">
        <v>885269</v>
      </c>
      <c r="G519" s="17" t="n">
        <v>709469</v>
      </c>
      <c r="H519" s="17" t="n">
        <v>98709</v>
      </c>
      <c r="I519" s="17" t="n">
        <v>11.2057388131628</v>
      </c>
      <c r="J519" s="17" t="n">
        <v>596358</v>
      </c>
      <c r="K519" s="17" t="n">
        <v>591179.666666667</v>
      </c>
      <c r="L519" s="17" t="n">
        <v>590440</v>
      </c>
      <c r="M519" s="17" t="n">
        <v>490094</v>
      </c>
      <c r="N519" s="17" t="n">
        <v>49136</v>
      </c>
      <c r="O519" s="17" t="n">
        <v>51678</v>
      </c>
      <c r="P519" s="17" t="n">
        <v>1611</v>
      </c>
      <c r="Q519" s="17" t="n">
        <v>1413</v>
      </c>
      <c r="R519" s="17" t="n">
        <v>0</v>
      </c>
      <c r="S519" s="17" t="n">
        <v>40</v>
      </c>
      <c r="T519" s="17" t="n">
        <v>80</v>
      </c>
      <c r="U519" s="17" t="n">
        <v>0.013532265148948</v>
      </c>
      <c r="V519" s="17" t="n">
        <v>124670</v>
      </c>
      <c r="W519" s="17" t="n">
        <v>586397</v>
      </c>
      <c r="X519" s="17" t="n">
        <v>21.2603406906925</v>
      </c>
      <c r="Y519" s="17" t="n">
        <v>7600</v>
      </c>
      <c r="Z519" s="17" t="n">
        <v>0.858496118129066</v>
      </c>
      <c r="AA519" s="17" t="n">
        <v>7.8</v>
      </c>
      <c r="AB519" s="17" t="n">
        <v>3.02981359606164</v>
      </c>
      <c r="AC519" s="17" t="n">
        <v>0.992356939958884</v>
      </c>
      <c r="AD519" s="17" t="n">
        <v>0.01</v>
      </c>
      <c r="AE519" s="17" t="n">
        <v>1</v>
      </c>
      <c r="AF519" s="17" t="s">
        <v>241</v>
      </c>
      <c r="AG519" s="17" t="s">
        <v>232</v>
      </c>
      <c r="AH519" s="17" t="n">
        <v>1</v>
      </c>
    </row>
    <row r="520" customFormat="false" ht="15" hidden="false" customHeight="false" outlineLevel="0" collapsed="false">
      <c r="A520" s="17" t="n">
        <v>19690</v>
      </c>
      <c r="B520" s="23" t="n">
        <v>45473</v>
      </c>
      <c r="C520" s="17" t="s">
        <v>158</v>
      </c>
      <c r="D520" s="17" t="s">
        <v>108</v>
      </c>
      <c r="E520" s="17" t="n">
        <v>3132203</v>
      </c>
      <c r="F520" s="17" t="n">
        <v>3034064.66666667</v>
      </c>
      <c r="G520" s="17" t="n">
        <v>2362286</v>
      </c>
      <c r="H520" s="17" t="n">
        <v>376634</v>
      </c>
      <c r="I520" s="17" t="n">
        <v>12.024571842885</v>
      </c>
      <c r="J520" s="17" t="n">
        <v>2761157</v>
      </c>
      <c r="K520" s="17" t="n">
        <v>2676332</v>
      </c>
      <c r="L520" s="17" t="n">
        <v>2734448</v>
      </c>
      <c r="M520" s="17" t="n">
        <v>2127514</v>
      </c>
      <c r="N520" s="17" t="n">
        <v>66187</v>
      </c>
      <c r="O520" s="17" t="n">
        <v>285</v>
      </c>
      <c r="P520" s="17" t="n">
        <v>28260</v>
      </c>
      <c r="Q520" s="17" t="n">
        <v>3926</v>
      </c>
      <c r="R520" s="17" t="n">
        <v>0</v>
      </c>
      <c r="S520" s="17" t="n">
        <v>3594</v>
      </c>
      <c r="T520" s="17" t="n">
        <v>7188</v>
      </c>
      <c r="U520" s="17" t="n">
        <v>0.26857654431513</v>
      </c>
      <c r="V520" s="17" t="n">
        <v>403256</v>
      </c>
      <c r="W520" s="17" t="n">
        <v>2720493</v>
      </c>
      <c r="X520" s="17" t="n">
        <v>14.822901584382</v>
      </c>
      <c r="Y520" s="17" t="n">
        <v>58008</v>
      </c>
      <c r="Z520" s="17" t="n">
        <v>1.9118906936064</v>
      </c>
      <c r="AA520" s="17" t="n">
        <v>16.48</v>
      </c>
      <c r="AB520" s="17" t="n">
        <v>5.08970460803265</v>
      </c>
      <c r="AC520" s="17" t="n">
        <v>0.967311891355689</v>
      </c>
      <c r="AD520" s="17" t="n">
        <v>0.07</v>
      </c>
      <c r="AE520" s="17" t="n">
        <v>1</v>
      </c>
      <c r="AF520" s="17" t="s">
        <v>231</v>
      </c>
      <c r="AG520" s="17" t="s">
        <v>232</v>
      </c>
      <c r="AH520" s="17" t="n">
        <v>0</v>
      </c>
    </row>
    <row r="521" customFormat="false" ht="15" hidden="false" customHeight="false" outlineLevel="0" collapsed="false">
      <c r="A521" s="17" t="n">
        <v>19836</v>
      </c>
      <c r="B521" s="23" t="n">
        <v>45473</v>
      </c>
      <c r="C521" s="17" t="s">
        <v>136</v>
      </c>
      <c r="D521" s="17" t="s">
        <v>108</v>
      </c>
      <c r="E521" s="17" t="n">
        <v>693631</v>
      </c>
      <c r="F521" s="17" t="n">
        <v>676815.666666667</v>
      </c>
      <c r="G521" s="17" t="n">
        <v>494603</v>
      </c>
      <c r="H521" s="17" t="n">
        <v>122241</v>
      </c>
      <c r="I521" s="17" t="n">
        <v>17.6233472840747</v>
      </c>
      <c r="J521" s="17" t="n">
        <v>583028</v>
      </c>
      <c r="K521" s="17" t="n">
        <v>564714.666666667</v>
      </c>
      <c r="L521" s="17" t="n">
        <v>578565</v>
      </c>
      <c r="M521" s="17" t="n">
        <v>520353</v>
      </c>
      <c r="N521" s="17" t="n">
        <v>47016</v>
      </c>
      <c r="O521" s="17" t="n">
        <v>11688</v>
      </c>
      <c r="P521" s="17" t="n">
        <v>5114</v>
      </c>
      <c r="Q521" s="17" t="n">
        <v>2908</v>
      </c>
      <c r="R521" s="17" t="n">
        <v>539</v>
      </c>
      <c r="S521" s="17" t="n">
        <v>9</v>
      </c>
      <c r="T521" s="17" t="n">
        <v>18</v>
      </c>
      <c r="U521" s="17" t="n">
        <v>0.00318745041743795</v>
      </c>
      <c r="V521" s="17" t="n">
        <v>137027</v>
      </c>
      <c r="W521" s="17" t="n">
        <v>553539</v>
      </c>
      <c r="X521" s="17" t="n">
        <v>24.7547146632848</v>
      </c>
      <c r="Y521" s="17" t="n">
        <v>4462</v>
      </c>
      <c r="Z521" s="17" t="n">
        <v>0.6592636990771</v>
      </c>
      <c r="AA521" s="17" t="n">
        <v>3.68</v>
      </c>
      <c r="AB521" s="17" t="n">
        <v>3.57096502129516</v>
      </c>
      <c r="AC521" s="17" t="n">
        <v>0.765486391734188</v>
      </c>
      <c r="AD521" s="17" t="n">
        <v>0</v>
      </c>
      <c r="AE521" s="17" t="n">
        <v>1</v>
      </c>
      <c r="AF521" s="17" t="s">
        <v>314</v>
      </c>
      <c r="AG521" s="17" t="s">
        <v>232</v>
      </c>
      <c r="AH521" s="17" t="n">
        <v>0</v>
      </c>
    </row>
    <row r="522" customFormat="false" ht="15" hidden="false" customHeight="false" outlineLevel="0" collapsed="false">
      <c r="A522" s="17" t="n">
        <v>24540</v>
      </c>
      <c r="B522" s="23" t="n">
        <v>45473</v>
      </c>
      <c r="C522" s="17" t="s">
        <v>163</v>
      </c>
      <c r="D522" s="17" t="s">
        <v>116</v>
      </c>
      <c r="E522" s="17" t="n">
        <v>1450962</v>
      </c>
      <c r="F522" s="17" t="n">
        <v>1422110.66666667</v>
      </c>
      <c r="G522" s="17" t="n">
        <v>1167579</v>
      </c>
      <c r="H522" s="17" t="n">
        <v>259158</v>
      </c>
      <c r="I522" s="17" t="n">
        <v>17.8611155908976</v>
      </c>
      <c r="J522" s="17" t="n">
        <v>1284005</v>
      </c>
      <c r="K522" s="17" t="n">
        <v>1236174</v>
      </c>
      <c r="L522" s="17" t="n">
        <v>1271461</v>
      </c>
      <c r="M522" s="17" t="n">
        <v>1244382</v>
      </c>
      <c r="N522" s="17" t="n">
        <v>43419</v>
      </c>
      <c r="O522" s="17" t="n">
        <v>169</v>
      </c>
      <c r="P522" s="17" t="n">
        <v>30086</v>
      </c>
      <c r="Q522" s="17" t="n">
        <v>0</v>
      </c>
      <c r="R522" s="17" t="n">
        <v>0</v>
      </c>
      <c r="S522" s="17" t="n">
        <v>0</v>
      </c>
      <c r="T522" s="17" t="n">
        <v>0</v>
      </c>
      <c r="U522" s="17" t="n">
        <v>0</v>
      </c>
      <c r="V522" s="17" t="n">
        <v>276666</v>
      </c>
      <c r="W522" s="17" t="n">
        <v>1485495</v>
      </c>
      <c r="X522" s="17" t="n">
        <v>18.6244989044056</v>
      </c>
      <c r="Y522" s="17" t="n">
        <v>27484</v>
      </c>
      <c r="Z522" s="17" t="n">
        <v>1.93262033990791</v>
      </c>
      <c r="AA522" s="17" t="n">
        <v>10.87</v>
      </c>
      <c r="AB522" s="17" t="n">
        <v>4.20518977151503</v>
      </c>
      <c r="AC522" s="17" t="n">
        <v>0.976943236202351</v>
      </c>
      <c r="AD522" s="17" t="n">
        <v>0.15</v>
      </c>
      <c r="AE522" s="17" t="n">
        <v>1</v>
      </c>
      <c r="AF522" s="17" t="s">
        <v>231</v>
      </c>
      <c r="AG522" s="17" t="s">
        <v>232</v>
      </c>
      <c r="AH522" s="17" t="n">
        <v>0</v>
      </c>
    </row>
    <row r="523" customFormat="false" ht="15" hidden="false" customHeight="false" outlineLevel="0" collapsed="false">
      <c r="A523" s="17" t="n">
        <v>27824</v>
      </c>
      <c r="B523" s="23" t="n">
        <v>45473</v>
      </c>
      <c r="C523" s="17" t="s">
        <v>117</v>
      </c>
      <c r="D523" s="17" t="s">
        <v>116</v>
      </c>
      <c r="E523" s="17" t="n">
        <v>557168</v>
      </c>
      <c r="F523" s="17" t="n">
        <v>546490</v>
      </c>
      <c r="G523" s="17" t="n">
        <v>362991</v>
      </c>
      <c r="H523" s="17" t="n">
        <v>64563</v>
      </c>
      <c r="I523" s="17" t="n">
        <v>11.5877078367745</v>
      </c>
      <c r="J523" s="17" t="n">
        <v>460555</v>
      </c>
      <c r="K523" s="17" t="n">
        <v>455735.333333333</v>
      </c>
      <c r="L523" s="17" t="n">
        <v>457681</v>
      </c>
      <c r="M523" s="17" t="n">
        <v>398633</v>
      </c>
      <c r="N523" s="17" t="n">
        <v>18789</v>
      </c>
      <c r="O523" s="17" t="n">
        <v>43133</v>
      </c>
      <c r="P523" s="17" t="n">
        <v>1077</v>
      </c>
      <c r="Q523" s="17" t="n">
        <v>2739</v>
      </c>
      <c r="R523" s="17" t="n">
        <v>0</v>
      </c>
      <c r="S523" s="17" t="n">
        <v>118</v>
      </c>
      <c r="T523" s="17" t="n">
        <v>236</v>
      </c>
      <c r="U523" s="17" t="n">
        <v>0.0517844421396629</v>
      </c>
      <c r="V523" s="17" t="n">
        <v>72934</v>
      </c>
      <c r="W523" s="17" t="n">
        <v>358261</v>
      </c>
      <c r="X523" s="17" t="n">
        <v>20.3577838503214</v>
      </c>
      <c r="Y523" s="17" t="n">
        <v>-2044</v>
      </c>
      <c r="Z523" s="17" t="n">
        <v>-0.374023312411938</v>
      </c>
      <c r="AA523" s="17" t="n">
        <v>-3.15</v>
      </c>
      <c r="AB523" s="17" t="n">
        <v>1.62444979000168</v>
      </c>
      <c r="AC523" s="17" t="n">
        <v>0.624029703292766</v>
      </c>
      <c r="AD523" s="17" t="n">
        <v>0.05</v>
      </c>
      <c r="AE523" s="17" t="n">
        <v>1</v>
      </c>
      <c r="AF523" s="17" t="s">
        <v>354</v>
      </c>
      <c r="AG523" s="17" t="s">
        <v>232</v>
      </c>
      <c r="AH523" s="17" t="n">
        <v>1</v>
      </c>
    </row>
    <row r="524" customFormat="false" ht="15" hidden="false" customHeight="false" outlineLevel="0" collapsed="false">
      <c r="A524" s="17" t="n">
        <v>28155</v>
      </c>
      <c r="B524" s="23" t="n">
        <v>45473</v>
      </c>
      <c r="C524" s="17" t="s">
        <v>150</v>
      </c>
      <c r="D524" s="17" t="s">
        <v>116</v>
      </c>
      <c r="E524" s="17" t="n">
        <v>302055</v>
      </c>
      <c r="F524" s="17" t="n">
        <v>299806.333333333</v>
      </c>
      <c r="G524" s="17" t="n">
        <v>259692</v>
      </c>
      <c r="H524" s="17" t="n">
        <v>27301</v>
      </c>
      <c r="I524" s="17" t="n">
        <v>9.03842015526974</v>
      </c>
      <c r="J524" s="17" t="n">
        <v>173251</v>
      </c>
      <c r="K524" s="17" t="n">
        <v>169044</v>
      </c>
      <c r="L524" s="17" t="n">
        <v>172463</v>
      </c>
      <c r="M524" s="17" t="n">
        <v>155404</v>
      </c>
      <c r="N524" s="17" t="n">
        <v>11217</v>
      </c>
      <c r="O524" s="17" t="n">
        <v>6116</v>
      </c>
      <c r="P524" s="17" t="n">
        <v>0</v>
      </c>
      <c r="Q524" s="17" t="n">
        <v>1271</v>
      </c>
      <c r="R524" s="17" t="n">
        <v>0</v>
      </c>
      <c r="S524" s="17" t="n">
        <v>1</v>
      </c>
      <c r="T524" s="17" t="n">
        <v>2</v>
      </c>
      <c r="U524" s="17" t="n">
        <v>0.00118312392039942</v>
      </c>
      <c r="V524" s="17" t="n">
        <v>28786</v>
      </c>
      <c r="W524" s="17" t="n">
        <v>170067</v>
      </c>
      <c r="X524" s="17" t="n">
        <v>16.9262702346722</v>
      </c>
      <c r="Y524" s="17" t="n">
        <v>-164</v>
      </c>
      <c r="Z524" s="17" t="n">
        <v>-0.0547019798336482</v>
      </c>
      <c r="AA524" s="17" t="n">
        <v>-0.6</v>
      </c>
      <c r="AB524" s="17" t="n">
        <v>2.34100079031654</v>
      </c>
      <c r="AC524" s="17" t="n">
        <v>0.454831429544418</v>
      </c>
      <c r="AD524" s="17" t="n">
        <v>-0.01</v>
      </c>
      <c r="AE524" s="17" t="n">
        <v>1</v>
      </c>
      <c r="AF524" s="17" t="s">
        <v>314</v>
      </c>
      <c r="AG524" s="17" t="s">
        <v>232</v>
      </c>
      <c r="AH524" s="17" t="n">
        <v>0</v>
      </c>
    </row>
    <row r="525" customFormat="false" ht="15" hidden="false" customHeight="false" outlineLevel="0" collapsed="false">
      <c r="A525" s="17" t="n">
        <v>28288</v>
      </c>
      <c r="B525" s="23" t="n">
        <v>45473</v>
      </c>
      <c r="C525" s="17" t="s">
        <v>124</v>
      </c>
      <c r="D525" s="17" t="s">
        <v>108</v>
      </c>
      <c r="E525" s="17" t="n">
        <v>102466</v>
      </c>
      <c r="F525" s="17" t="n">
        <v>103779</v>
      </c>
      <c r="G525" s="17" t="n">
        <v>74553</v>
      </c>
      <c r="H525" s="17" t="n">
        <v>5947</v>
      </c>
      <c r="I525" s="17" t="n">
        <v>5.80387640778405</v>
      </c>
      <c r="J525" s="17" t="n">
        <v>82144</v>
      </c>
      <c r="K525" s="17" t="n">
        <v>83616.6666666667</v>
      </c>
      <c r="L525" s="17" t="n">
        <v>81276</v>
      </c>
      <c r="M525" s="17" t="n">
        <v>74830</v>
      </c>
      <c r="N525" s="17" t="n">
        <v>4600</v>
      </c>
      <c r="O525" s="17" t="n">
        <v>2714</v>
      </c>
      <c r="P525" s="17" t="n">
        <v>251</v>
      </c>
      <c r="Q525" s="17" t="n">
        <v>111</v>
      </c>
      <c r="R525" s="17" t="n">
        <v>0</v>
      </c>
      <c r="S525" s="17" t="n">
        <v>0</v>
      </c>
      <c r="T525" s="17" t="n">
        <v>0</v>
      </c>
      <c r="U525" s="17" t="n">
        <v>0</v>
      </c>
      <c r="V525" s="17" t="n">
        <v>8906</v>
      </c>
      <c r="W525" s="17" t="n">
        <v>67654</v>
      </c>
      <c r="X525" s="17" t="n">
        <v>13.1640405593165</v>
      </c>
      <c r="Y525" s="17" t="n">
        <v>108</v>
      </c>
      <c r="Z525" s="17" t="n">
        <v>0.104067296851964</v>
      </c>
      <c r="AA525" s="17" t="n">
        <v>1.82</v>
      </c>
      <c r="AB525" s="17" t="n">
        <v>2.67533222086354</v>
      </c>
      <c r="AC525" s="17" t="n">
        <v>1.05668095052591</v>
      </c>
      <c r="AD525" s="17" t="n">
        <v>-0.02</v>
      </c>
      <c r="AE525" s="17" t="n">
        <v>1</v>
      </c>
      <c r="AF525" s="17" t="s">
        <v>361</v>
      </c>
      <c r="AG525" s="17" t="s">
        <v>211</v>
      </c>
      <c r="AH525" s="17" t="n">
        <v>0</v>
      </c>
    </row>
    <row r="526" customFormat="false" ht="15" hidden="false" customHeight="false" outlineLevel="0" collapsed="false">
      <c r="A526" s="17" t="n">
        <v>28369</v>
      </c>
      <c r="B526" s="23" t="n">
        <v>45473</v>
      </c>
      <c r="C526" s="17" t="s">
        <v>145</v>
      </c>
      <c r="D526" s="17" t="s">
        <v>108</v>
      </c>
      <c r="E526" s="17" t="n">
        <v>95722</v>
      </c>
      <c r="F526" s="17" t="n">
        <v>94927.3333333333</v>
      </c>
      <c r="G526" s="17" t="n">
        <v>71038</v>
      </c>
      <c r="H526" s="17" t="n">
        <v>9198</v>
      </c>
      <c r="I526" s="17" t="n">
        <v>9.60907628340402</v>
      </c>
      <c r="J526" s="17" t="n">
        <v>81829</v>
      </c>
      <c r="K526" s="17" t="n">
        <v>80512</v>
      </c>
      <c r="L526" s="17" t="n">
        <v>81228</v>
      </c>
      <c r="M526" s="17" t="n">
        <v>68216</v>
      </c>
      <c r="N526" s="17" t="n">
        <v>12761</v>
      </c>
      <c r="O526" s="17" t="n">
        <v>852</v>
      </c>
      <c r="P526" s="17" t="n">
        <v>141</v>
      </c>
      <c r="Q526" s="17" t="n">
        <v>168</v>
      </c>
      <c r="R526" s="17" t="n">
        <v>0</v>
      </c>
      <c r="S526" s="17" t="n">
        <v>-2</v>
      </c>
      <c r="T526" s="17" t="n">
        <v>-4</v>
      </c>
      <c r="U526" s="17" t="n">
        <v>-0.00496820349761526</v>
      </c>
      <c r="V526" s="17" t="n">
        <v>9219</v>
      </c>
      <c r="W526" s="17" t="n">
        <v>67435</v>
      </c>
      <c r="X526" s="17" t="n">
        <v>13.6709423889672</v>
      </c>
      <c r="Y526" s="17" t="n">
        <v>-304</v>
      </c>
      <c r="Z526" s="17" t="n">
        <v>-0.320244959302203</v>
      </c>
      <c r="AA526" s="17" t="n">
        <v>-3.28</v>
      </c>
      <c r="AB526" s="17" t="n">
        <v>2.92722951770937</v>
      </c>
      <c r="AC526" s="17" t="n">
        <v>0.734458443827983</v>
      </c>
      <c r="AD526" s="17" t="n">
        <v>0.02</v>
      </c>
      <c r="AE526" s="17" t="n">
        <v>1</v>
      </c>
      <c r="AF526" s="17" t="s">
        <v>361</v>
      </c>
      <c r="AG526" s="17" t="s">
        <v>211</v>
      </c>
      <c r="AH526" s="17" t="n">
        <v>1</v>
      </c>
    </row>
    <row r="527" customFormat="false" ht="15" hidden="false" customHeight="false" outlineLevel="0" collapsed="false">
      <c r="A527" s="17" t="n">
        <v>28837</v>
      </c>
      <c r="B527" s="23" t="n">
        <v>45473</v>
      </c>
      <c r="C527" s="17" t="s">
        <v>142</v>
      </c>
      <c r="D527" s="17" t="s">
        <v>113</v>
      </c>
      <c r="E527" s="17" t="n">
        <v>285118</v>
      </c>
      <c r="F527" s="17" t="n">
        <v>283760</v>
      </c>
      <c r="G527" s="17" t="n">
        <v>254557</v>
      </c>
      <c r="H527" s="17" t="n">
        <v>27060</v>
      </c>
      <c r="I527" s="17" t="n">
        <v>9.49080731486613</v>
      </c>
      <c r="J527" s="17" t="n">
        <v>202274</v>
      </c>
      <c r="K527" s="17" t="n">
        <v>199298</v>
      </c>
      <c r="L527" s="17" t="n">
        <v>200039</v>
      </c>
      <c r="M527" s="17" t="n">
        <v>192922</v>
      </c>
      <c r="N527" s="17" t="n">
        <v>7061</v>
      </c>
      <c r="O527" s="17" t="n">
        <v>834</v>
      </c>
      <c r="P527" s="17" t="n">
        <v>155</v>
      </c>
      <c r="Q527" s="17" t="n">
        <v>105</v>
      </c>
      <c r="R527" s="17" t="n">
        <v>0</v>
      </c>
      <c r="S527" s="17" t="n">
        <v>0</v>
      </c>
      <c r="T527" s="17" t="n">
        <v>0</v>
      </c>
      <c r="U527" s="17" t="n">
        <v>0</v>
      </c>
      <c r="V527" s="17" t="n">
        <v>27489</v>
      </c>
      <c r="W527" s="17" t="n">
        <v>164216</v>
      </c>
      <c r="X527" s="17" t="n">
        <v>16.7395381692405</v>
      </c>
      <c r="Y527" s="17" t="n">
        <v>2032</v>
      </c>
      <c r="Z527" s="17" t="n">
        <v>0.716098111079786</v>
      </c>
      <c r="AA527" s="17" t="n">
        <v>7.65</v>
      </c>
      <c r="AB527" s="17" t="n">
        <v>3.68099996257625</v>
      </c>
      <c r="AC527" s="17" t="n">
        <v>1.10493686781297</v>
      </c>
      <c r="AD527" s="17" t="n">
        <v>-0.1</v>
      </c>
      <c r="AE527" s="17" t="n">
        <v>1</v>
      </c>
      <c r="AF527" s="17" t="s">
        <v>314</v>
      </c>
      <c r="AG527" s="17" t="s">
        <v>232</v>
      </c>
      <c r="AH527" s="17" t="n">
        <v>1</v>
      </c>
    </row>
    <row r="528" customFormat="false" ht="15" hidden="false" customHeight="false" outlineLevel="0" collapsed="false">
      <c r="A528" s="17" t="n">
        <v>29636</v>
      </c>
      <c r="B528" s="23" t="n">
        <v>45473</v>
      </c>
      <c r="C528" s="17" t="s">
        <v>123</v>
      </c>
      <c r="D528" s="17" t="s">
        <v>108</v>
      </c>
      <c r="E528" s="17" t="n">
        <v>180255</v>
      </c>
      <c r="F528" s="17" t="n">
        <v>179201.333333333</v>
      </c>
      <c r="G528" s="17" t="n">
        <v>137021</v>
      </c>
      <c r="H528" s="17" t="n">
        <v>26121</v>
      </c>
      <c r="I528" s="17" t="n">
        <v>14.4911375551302</v>
      </c>
      <c r="J528" s="17" t="n">
        <v>138577</v>
      </c>
      <c r="K528" s="17" t="n">
        <v>136365</v>
      </c>
      <c r="L528" s="17" t="n">
        <v>136650</v>
      </c>
      <c r="M528" s="17" t="n">
        <v>135371</v>
      </c>
      <c r="N528" s="17" t="n">
        <v>1433</v>
      </c>
      <c r="O528" s="17" t="n">
        <v>1772</v>
      </c>
      <c r="P528" s="17" t="n">
        <v>2731</v>
      </c>
      <c r="Q528" s="17" t="n">
        <v>3204</v>
      </c>
      <c r="R528" s="17" t="n">
        <v>0</v>
      </c>
      <c r="S528" s="17" t="n">
        <v>-1</v>
      </c>
      <c r="T528" s="17" t="n">
        <v>-2</v>
      </c>
      <c r="U528" s="17" t="n">
        <v>-0.00146665200014667</v>
      </c>
      <c r="V528" s="17" t="n">
        <v>27514</v>
      </c>
      <c r="W528" s="17" t="n">
        <v>102441</v>
      </c>
      <c r="X528" s="17" t="n">
        <v>26.8583867787312</v>
      </c>
      <c r="Y528" s="17" t="n">
        <v>444</v>
      </c>
      <c r="Z528" s="17" t="n">
        <v>0.247766013645732</v>
      </c>
      <c r="AA528" s="17" t="n">
        <v>1.71</v>
      </c>
      <c r="AB528" s="17" t="n">
        <v>3.44418295303387</v>
      </c>
      <c r="AC528" s="17" t="n">
        <v>1.39056264748118</v>
      </c>
      <c r="AD528" s="17" t="n">
        <v>0.02</v>
      </c>
      <c r="AE528" s="17" t="n">
        <v>1</v>
      </c>
      <c r="AF528" s="17" t="s">
        <v>361</v>
      </c>
      <c r="AG528" s="17" t="s">
        <v>211</v>
      </c>
      <c r="AH528" s="17" t="n">
        <v>1</v>
      </c>
    </row>
    <row r="529" customFormat="false" ht="15" hidden="false" customHeight="false" outlineLevel="0" collapsed="false">
      <c r="A529" s="17" t="n">
        <v>29743</v>
      </c>
      <c r="B529" s="23" t="n">
        <v>45473</v>
      </c>
      <c r="C529" s="17" t="s">
        <v>140</v>
      </c>
      <c r="D529" s="17" t="s">
        <v>108</v>
      </c>
      <c r="E529" s="17" t="n">
        <v>189887</v>
      </c>
      <c r="F529" s="17" t="n">
        <v>187592</v>
      </c>
      <c r="G529" s="17" t="n">
        <v>166017</v>
      </c>
      <c r="H529" s="17" t="n">
        <v>17099</v>
      </c>
      <c r="I529" s="17" t="n">
        <v>9.00482918788543</v>
      </c>
      <c r="J529" s="17" t="n">
        <v>133832</v>
      </c>
      <c r="K529" s="17" t="n">
        <v>133565</v>
      </c>
      <c r="L529" s="17" t="n">
        <v>132963</v>
      </c>
      <c r="M529" s="17" t="n">
        <v>86883</v>
      </c>
      <c r="N529" s="17" t="n">
        <v>25921</v>
      </c>
      <c r="O529" s="17" t="n">
        <v>20978</v>
      </c>
      <c r="P529" s="17" t="n">
        <v>167</v>
      </c>
      <c r="Q529" s="17" t="n">
        <v>907</v>
      </c>
      <c r="R529" s="17" t="n">
        <v>0</v>
      </c>
      <c r="S529" s="17" t="n">
        <v>-17</v>
      </c>
      <c r="T529" s="17" t="n">
        <v>-34</v>
      </c>
      <c r="U529" s="17" t="n">
        <v>-0.025455770598585</v>
      </c>
      <c r="V529" s="17" t="n">
        <v>20024</v>
      </c>
      <c r="W529" s="17" t="n">
        <v>109170</v>
      </c>
      <c r="X529" s="17" t="n">
        <v>18.342035357699</v>
      </c>
      <c r="Y529" s="17" t="n">
        <v>556</v>
      </c>
      <c r="Z529" s="17" t="n">
        <v>0.296387905667619</v>
      </c>
      <c r="AA529" s="17" t="n">
        <v>3.29</v>
      </c>
      <c r="AB529" s="17" t="n">
        <v>2.15546538885176</v>
      </c>
      <c r="AC529" s="17" t="n">
        <v>0.649321537449937</v>
      </c>
      <c r="AD529" s="17" t="n">
        <v>-0.04</v>
      </c>
      <c r="AE529" s="17" t="n">
        <v>1</v>
      </c>
      <c r="AF529" s="17" t="s">
        <v>354</v>
      </c>
      <c r="AG529" s="17" t="s">
        <v>211</v>
      </c>
      <c r="AH529" s="17" t="n">
        <v>0</v>
      </c>
    </row>
    <row r="530" customFormat="false" ht="15" hidden="false" customHeight="false" outlineLevel="0" collapsed="false">
      <c r="A530" s="17" t="n">
        <v>29744</v>
      </c>
      <c r="B530" s="23" t="n">
        <v>45473</v>
      </c>
      <c r="C530" s="17" t="s">
        <v>137</v>
      </c>
      <c r="D530" s="17" t="s">
        <v>116</v>
      </c>
      <c r="E530" s="17" t="n">
        <v>602018</v>
      </c>
      <c r="F530" s="17" t="n">
        <v>583286.333333333</v>
      </c>
      <c r="G530" s="17" t="n">
        <v>471240</v>
      </c>
      <c r="H530" s="17" t="n">
        <v>46233</v>
      </c>
      <c r="I530" s="17" t="n">
        <v>7.67967070752037</v>
      </c>
      <c r="J530" s="17" t="n">
        <v>434882</v>
      </c>
      <c r="K530" s="17" t="n">
        <v>432052.333333333</v>
      </c>
      <c r="L530" s="17" t="n">
        <v>431431</v>
      </c>
      <c r="M530" s="17" t="n">
        <v>400003</v>
      </c>
      <c r="N530" s="17" t="n">
        <v>23531</v>
      </c>
      <c r="O530" s="17" t="n">
        <v>11348</v>
      </c>
      <c r="P530" s="17" t="n">
        <v>141</v>
      </c>
      <c r="Q530" s="17" t="n">
        <v>0</v>
      </c>
      <c r="R530" s="17" t="n">
        <v>0</v>
      </c>
      <c r="S530" s="17" t="n">
        <v>-1</v>
      </c>
      <c r="T530" s="17" t="n">
        <v>-2</v>
      </c>
      <c r="U530" s="17" t="n">
        <v>-0.000462906885508469</v>
      </c>
      <c r="V530" s="17" t="n">
        <v>56900</v>
      </c>
      <c r="W530" s="17" t="n">
        <v>366450</v>
      </c>
      <c r="X530" s="17" t="n">
        <v>15.527357074635</v>
      </c>
      <c r="Y530" s="17" t="n">
        <v>1730</v>
      </c>
      <c r="Z530" s="17" t="n">
        <v>0.296595325680526</v>
      </c>
      <c r="AA530" s="17" t="n">
        <v>3.8</v>
      </c>
      <c r="AB530" s="17" t="n">
        <v>2.1079483156263</v>
      </c>
      <c r="AC530" s="17" t="n">
        <v>0.793548594791231</v>
      </c>
      <c r="AD530" s="17" t="n">
        <v>-0.01</v>
      </c>
      <c r="AE530" s="17" t="n">
        <v>1</v>
      </c>
      <c r="AF530" s="17" t="s">
        <v>361</v>
      </c>
      <c r="AG530" s="17" t="s">
        <v>211</v>
      </c>
      <c r="AH530" s="17" t="n">
        <v>0</v>
      </c>
    </row>
    <row r="531" customFormat="false" ht="15" hidden="false" customHeight="false" outlineLevel="0" collapsed="false">
      <c r="A531" s="17" t="n">
        <v>30350</v>
      </c>
      <c r="B531" s="23" t="n">
        <v>45473</v>
      </c>
      <c r="C531" s="17" t="s">
        <v>154</v>
      </c>
      <c r="D531" s="17" t="s">
        <v>113</v>
      </c>
      <c r="E531" s="17" t="n">
        <v>564787</v>
      </c>
      <c r="F531" s="17" t="n">
        <v>558547.333333333</v>
      </c>
      <c r="G531" s="17" t="n">
        <v>443952</v>
      </c>
      <c r="H531" s="17" t="n">
        <v>57863</v>
      </c>
      <c r="I531" s="17" t="n">
        <v>10.24510125056</v>
      </c>
      <c r="J531" s="17" t="n">
        <v>416045</v>
      </c>
      <c r="K531" s="17" t="n">
        <v>407828</v>
      </c>
      <c r="L531" s="17" t="n">
        <v>410747</v>
      </c>
      <c r="M531" s="17" t="n">
        <v>396859</v>
      </c>
      <c r="N531" s="17" t="n">
        <v>16189</v>
      </c>
      <c r="O531" s="17" t="n">
        <v>1741</v>
      </c>
      <c r="P531" s="17" t="n">
        <v>1683</v>
      </c>
      <c r="Q531" s="17" t="n">
        <v>1867</v>
      </c>
      <c r="R531" s="17" t="n">
        <v>0</v>
      </c>
      <c r="S531" s="17" t="n">
        <v>-210</v>
      </c>
      <c r="T531" s="17" t="n">
        <v>-420</v>
      </c>
      <c r="U531" s="17" t="n">
        <v>-0.102984591543494</v>
      </c>
      <c r="V531" s="17" t="n">
        <v>68334</v>
      </c>
      <c r="W531" s="17" t="n">
        <v>328685</v>
      </c>
      <c r="X531" s="17" t="n">
        <v>20.7901181982749</v>
      </c>
      <c r="Y531" s="17" t="n">
        <v>2992</v>
      </c>
      <c r="Z531" s="17" t="n">
        <v>0.535675281474205</v>
      </c>
      <c r="AA531" s="17" t="n">
        <v>5.25</v>
      </c>
      <c r="AB531" s="17" t="n">
        <v>2.61238644826905</v>
      </c>
      <c r="AC531" s="17" t="n">
        <v>1.27341994255429</v>
      </c>
      <c r="AD531" s="17" t="n">
        <v>0.02</v>
      </c>
      <c r="AE531" s="17" t="n">
        <v>1</v>
      </c>
      <c r="AF531" s="17" t="s">
        <v>361</v>
      </c>
      <c r="AG531" s="17" t="s">
        <v>211</v>
      </c>
      <c r="AH531" s="17" t="n">
        <v>0</v>
      </c>
    </row>
    <row r="532" customFormat="false" ht="15" hidden="false" customHeight="false" outlineLevel="0" collapsed="false">
      <c r="A532" s="17" t="n">
        <v>30878</v>
      </c>
      <c r="B532" s="23" t="n">
        <v>45473</v>
      </c>
      <c r="C532" s="17" t="s">
        <v>110</v>
      </c>
      <c r="D532" s="17" t="s">
        <v>108</v>
      </c>
      <c r="E532" s="17" t="n">
        <v>102920</v>
      </c>
      <c r="F532" s="17" t="n">
        <v>103638.333333333</v>
      </c>
      <c r="G532" s="17" t="n">
        <v>76575</v>
      </c>
      <c r="H532" s="17" t="n">
        <v>12189</v>
      </c>
      <c r="I532" s="17" t="n">
        <v>11.8431791682861</v>
      </c>
      <c r="J532" s="17" t="n">
        <v>88156</v>
      </c>
      <c r="K532" s="17" t="n">
        <v>87556</v>
      </c>
      <c r="L532" s="17" t="n">
        <v>87632</v>
      </c>
      <c r="M532" s="17" t="n">
        <v>87984</v>
      </c>
      <c r="N532" s="17" t="n">
        <v>0</v>
      </c>
      <c r="O532" s="17" t="n">
        <v>172</v>
      </c>
      <c r="P532" s="17" t="n">
        <v>1829</v>
      </c>
      <c r="Q532" s="17" t="n">
        <v>1197</v>
      </c>
      <c r="R532" s="17" t="n">
        <v>0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</v>
      </c>
      <c r="Y532" s="17" t="n">
        <v>-236</v>
      </c>
      <c r="Z532" s="17" t="n">
        <v>-0.227714970329511</v>
      </c>
      <c r="AA532" s="17" t="n">
        <v>-1.92</v>
      </c>
      <c r="AB532" s="17" t="n">
        <v>0.954583739989572</v>
      </c>
      <c r="AC532" s="17" t="n">
        <v>0.594400834883615</v>
      </c>
      <c r="AD532" s="17" t="n">
        <v>-0.41</v>
      </c>
      <c r="AE532" s="17" t="n">
        <v>1</v>
      </c>
      <c r="AF532" s="17" t="s">
        <v>354</v>
      </c>
      <c r="AG532" s="17" t="s">
        <v>232</v>
      </c>
      <c r="AH532" s="17" t="n">
        <v>1</v>
      </c>
    </row>
    <row r="533" customFormat="false" ht="15" hidden="false" customHeight="false" outlineLevel="0" collapsed="false">
      <c r="A533" s="17" t="n">
        <v>33418</v>
      </c>
      <c r="B533" s="23" t="n">
        <v>45473</v>
      </c>
      <c r="C533" s="17" t="s">
        <v>133</v>
      </c>
      <c r="D533" s="17" t="s">
        <v>113</v>
      </c>
      <c r="E533" s="17" t="n">
        <v>907185</v>
      </c>
      <c r="F533" s="17" t="n">
        <v>884974</v>
      </c>
      <c r="G533" s="17" t="n">
        <v>797623</v>
      </c>
      <c r="H533" s="17" t="n">
        <v>68495</v>
      </c>
      <c r="I533" s="17" t="n">
        <v>7.55027916025948</v>
      </c>
      <c r="J533" s="17" t="n">
        <v>496078</v>
      </c>
      <c r="K533" s="17" t="n">
        <v>457435.666666667</v>
      </c>
      <c r="L533" s="17" t="n">
        <v>492669</v>
      </c>
      <c r="M533" s="17" t="n">
        <v>409365</v>
      </c>
      <c r="N533" s="17" t="n">
        <v>70095</v>
      </c>
      <c r="O533" s="17" t="n">
        <v>17201</v>
      </c>
      <c r="P533" s="17" t="n">
        <v>964</v>
      </c>
      <c r="Q533" s="17" t="n">
        <v>641</v>
      </c>
      <c r="R533" s="17" t="n">
        <v>0</v>
      </c>
      <c r="S533" s="17" t="n">
        <v>-4</v>
      </c>
      <c r="T533" s="17" t="n">
        <v>-8</v>
      </c>
      <c r="U533" s="17" t="n">
        <v>-0.00174887980604923</v>
      </c>
      <c r="V533" s="17" t="n">
        <v>87737</v>
      </c>
      <c r="W533" s="17" t="n">
        <v>609385</v>
      </c>
      <c r="X533" s="17" t="n">
        <v>14.3976303978601</v>
      </c>
      <c r="Y533" s="17" t="n">
        <v>3316</v>
      </c>
      <c r="Z533" s="17" t="n">
        <v>0.374700273680357</v>
      </c>
      <c r="AA533" s="17" t="n">
        <v>4.84</v>
      </c>
      <c r="AB533" s="17" t="n">
        <v>2.21373217341351</v>
      </c>
      <c r="AC533" s="17" t="n">
        <v>0.687190320876959</v>
      </c>
      <c r="AD533" s="17" t="n">
        <v>0.14</v>
      </c>
      <c r="AE533" s="17" t="n">
        <v>1</v>
      </c>
      <c r="AF533" s="17" t="s">
        <v>210</v>
      </c>
      <c r="AG533" s="17" t="s">
        <v>211</v>
      </c>
      <c r="AH533" s="17" t="n">
        <v>0</v>
      </c>
    </row>
    <row r="534" customFormat="false" ht="15" hidden="false" customHeight="false" outlineLevel="0" collapsed="false">
      <c r="A534" s="17" t="n">
        <v>35206</v>
      </c>
      <c r="B534" s="23" t="n">
        <v>45473</v>
      </c>
      <c r="C534" s="17" t="s">
        <v>166</v>
      </c>
      <c r="D534" s="17" t="s">
        <v>116</v>
      </c>
      <c r="E534" s="17" t="n">
        <v>84424</v>
      </c>
      <c r="F534" s="17" t="n">
        <v>80758.6666666667</v>
      </c>
      <c r="G534" s="17" t="n">
        <v>500</v>
      </c>
      <c r="H534" s="17" t="n">
        <v>82008</v>
      </c>
      <c r="I534" s="17" t="n">
        <v>97.1382545247797</v>
      </c>
      <c r="J534" s="17" t="n">
        <v>0</v>
      </c>
      <c r="K534" s="17" t="n">
        <v>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7" t="n">
        <v>0</v>
      </c>
      <c r="R534" s="17" t="n">
        <v>0</v>
      </c>
      <c r="S534" s="17" t="n">
        <v>0</v>
      </c>
      <c r="T534" s="17" t="n">
        <v>0</v>
      </c>
      <c r="U534" s="17" t="n">
        <v>0</v>
      </c>
      <c r="V534" s="17" t="n">
        <v>0</v>
      </c>
      <c r="W534" s="17" t="n">
        <v>0</v>
      </c>
      <c r="X534" s="17" t="n">
        <v>0</v>
      </c>
      <c r="Y534" s="17" t="n">
        <v>15210</v>
      </c>
      <c r="Z534" s="17" t="n">
        <v>18.8338919249121</v>
      </c>
      <c r="AA534" s="17" t="n">
        <v>19.52</v>
      </c>
      <c r="AB534" s="17" t="n">
        <v>4.69597610771469</v>
      </c>
      <c r="AC534" s="17" t="n">
        <v>0</v>
      </c>
      <c r="AD534" s="17" t="n">
        <v>0</v>
      </c>
      <c r="AE534" s="17" t="n">
        <v>1</v>
      </c>
      <c r="AF534" s="17" t="s">
        <v>361</v>
      </c>
      <c r="AG534" s="17" t="s">
        <v>211</v>
      </c>
      <c r="AH534" s="17" t="n">
        <v>0</v>
      </c>
    </row>
    <row r="535" customFormat="false" ht="15" hidden="false" customHeight="false" outlineLevel="0" collapsed="false">
      <c r="A535" s="17" t="n">
        <v>59086</v>
      </c>
      <c r="B535" s="23" t="n">
        <v>45473</v>
      </c>
      <c r="C535" s="17" t="s">
        <v>141</v>
      </c>
      <c r="D535" s="17" t="s">
        <v>116</v>
      </c>
      <c r="E535" s="17" t="n">
        <v>706680</v>
      </c>
      <c r="F535" s="17" t="n">
        <v>699032.666666667</v>
      </c>
      <c r="G535" s="17" t="n">
        <v>602024</v>
      </c>
      <c r="H535" s="17" t="n">
        <v>93282</v>
      </c>
      <c r="I535" s="17" t="n">
        <v>13.2000339616234</v>
      </c>
      <c r="J535" s="17" t="n">
        <v>594567</v>
      </c>
      <c r="K535" s="17" t="n">
        <v>589571.666666667</v>
      </c>
      <c r="L535" s="17" t="n">
        <v>588781</v>
      </c>
      <c r="M535" s="17" t="n">
        <v>475386</v>
      </c>
      <c r="N535" s="17" t="n">
        <v>119550</v>
      </c>
      <c r="O535" s="17" t="n">
        <v>0</v>
      </c>
      <c r="P535" s="17" t="n">
        <v>4045</v>
      </c>
      <c r="Q535" s="17" t="n">
        <v>4573</v>
      </c>
      <c r="R535" s="17" t="n">
        <v>0</v>
      </c>
      <c r="S535" s="17" t="n">
        <v>326</v>
      </c>
      <c r="T535" s="17" t="n">
        <v>652</v>
      </c>
      <c r="U535" s="17" t="n">
        <v>0.110588760766998</v>
      </c>
      <c r="V535" s="17" t="n">
        <v>100105</v>
      </c>
      <c r="W535" s="17" t="n">
        <v>636563</v>
      </c>
      <c r="X535" s="17" t="n">
        <v>15.7258590273076</v>
      </c>
      <c r="Y535" s="17" t="n">
        <v>9896</v>
      </c>
      <c r="Z535" s="17" t="n">
        <v>1.41567060766831</v>
      </c>
      <c r="AA535" s="17" t="n">
        <v>10.9</v>
      </c>
      <c r="AB535" s="17" t="n">
        <v>3.75691693165666</v>
      </c>
      <c r="AC535" s="17" t="n">
        <v>0.973145162782327</v>
      </c>
      <c r="AD535" s="17" t="n">
        <v>0.13</v>
      </c>
      <c r="AE535" s="17" t="n">
        <v>1</v>
      </c>
      <c r="AF535" s="17" t="s">
        <v>231</v>
      </c>
      <c r="AG535" s="17" t="s">
        <v>232</v>
      </c>
      <c r="AH535" s="17" t="n">
        <v>0</v>
      </c>
    </row>
    <row r="536" customFormat="false" ht="15" hidden="false" customHeight="false" outlineLevel="0" collapsed="false">
      <c r="A536" s="17" t="n">
        <v>59176</v>
      </c>
      <c r="B536" s="23" t="n">
        <v>45473</v>
      </c>
      <c r="C536" s="17" t="s">
        <v>151</v>
      </c>
      <c r="D536" s="17" t="s">
        <v>116</v>
      </c>
      <c r="E536" s="17" t="n">
        <v>229589</v>
      </c>
      <c r="F536" s="17" t="n">
        <v>229894.666666667</v>
      </c>
      <c r="G536" s="17" t="n">
        <v>190049</v>
      </c>
      <c r="H536" s="17" t="n">
        <v>26811</v>
      </c>
      <c r="I536" s="17" t="n">
        <v>11.6778242860067</v>
      </c>
      <c r="J536" s="17" t="n">
        <v>167384</v>
      </c>
      <c r="K536" s="17" t="n">
        <v>158293.666666667</v>
      </c>
      <c r="L536" s="17" t="n">
        <v>165775</v>
      </c>
      <c r="M536" s="17" t="n">
        <v>145359</v>
      </c>
      <c r="N536" s="17" t="n">
        <v>21990</v>
      </c>
      <c r="O536" s="17" t="n">
        <v>1</v>
      </c>
      <c r="P536" s="17" t="n">
        <v>0</v>
      </c>
      <c r="Q536" s="17" t="n">
        <v>2371</v>
      </c>
      <c r="R536" s="17" t="n">
        <v>0</v>
      </c>
      <c r="S536" s="17" t="n">
        <v>-32</v>
      </c>
      <c r="T536" s="17" t="n">
        <v>-64</v>
      </c>
      <c r="U536" s="17" t="n">
        <v>-0.0404311817065749</v>
      </c>
      <c r="V536" s="17" t="n">
        <v>0</v>
      </c>
      <c r="W536" s="17" t="n">
        <v>0</v>
      </c>
      <c r="X536" s="17" t="n">
        <v>0</v>
      </c>
      <c r="Y536" s="17" t="n">
        <v>-132</v>
      </c>
      <c r="Z536" s="17" t="n">
        <v>-0.0574175999443223</v>
      </c>
      <c r="AA536" s="17" t="n">
        <v>-0.52</v>
      </c>
      <c r="AB536" s="17" t="n">
        <v>2.33544128301684</v>
      </c>
      <c r="AC536" s="17" t="n">
        <v>0.961262725230607</v>
      </c>
      <c r="AD536" s="17" t="n">
        <v>0.09</v>
      </c>
      <c r="AE536" s="17" t="n">
        <v>1</v>
      </c>
      <c r="AF536" s="17" t="s">
        <v>231</v>
      </c>
      <c r="AG536" s="17" t="s">
        <v>232</v>
      </c>
      <c r="AH536" s="17" t="n">
        <v>0</v>
      </c>
    </row>
    <row r="537" customFormat="false" ht="15" hidden="false" customHeight="false" outlineLevel="0" collapsed="false">
      <c r="A537" s="17" t="n">
        <v>59289</v>
      </c>
      <c r="B537" s="23" t="n">
        <v>45473</v>
      </c>
      <c r="C537" s="17" t="s">
        <v>121</v>
      </c>
      <c r="D537" s="17" t="s">
        <v>116</v>
      </c>
      <c r="E537" s="17" t="n">
        <v>105919</v>
      </c>
      <c r="F537" s="17" t="n">
        <v>91826.6666666667</v>
      </c>
      <c r="G537" s="17" t="n">
        <v>86145</v>
      </c>
      <c r="H537" s="17" t="n">
        <v>18695</v>
      </c>
      <c r="I537" s="17" t="n">
        <v>17.6502799308906</v>
      </c>
      <c r="J537" s="17" t="n">
        <v>51371</v>
      </c>
      <c r="K537" s="17" t="n">
        <v>43726.3333333333</v>
      </c>
      <c r="L537" s="17" t="n">
        <v>50775</v>
      </c>
      <c r="M537" s="17" t="n">
        <v>20661</v>
      </c>
      <c r="N537" s="17" t="n">
        <v>29253</v>
      </c>
      <c r="O537" s="17" t="n">
        <v>0</v>
      </c>
      <c r="P537" s="17" t="n">
        <v>326</v>
      </c>
      <c r="Q537" s="17" t="n">
        <v>4505</v>
      </c>
      <c r="R537" s="17" t="n">
        <v>0</v>
      </c>
      <c r="S537" s="17" t="n">
        <v>0</v>
      </c>
      <c r="T537" s="17" t="n">
        <v>0</v>
      </c>
      <c r="U537" s="17" t="n">
        <v>0</v>
      </c>
      <c r="V537" s="17" t="n">
        <v>0</v>
      </c>
      <c r="W537" s="17" t="n">
        <v>0</v>
      </c>
      <c r="X537" s="17" t="n">
        <v>0</v>
      </c>
      <c r="Y537" s="17" t="n">
        <v>-1038</v>
      </c>
      <c r="Z537" s="17" t="n">
        <v>-1.13039059096849</v>
      </c>
      <c r="AA537" s="17" t="n">
        <v>-5.49</v>
      </c>
      <c r="AB537" s="17" t="n">
        <v>4.06258129250437</v>
      </c>
      <c r="AC537" s="17" t="n">
        <v>1.16018765451325</v>
      </c>
      <c r="AD537" s="17" t="n">
        <v>0.29</v>
      </c>
      <c r="AE537" s="17" t="n">
        <v>1</v>
      </c>
      <c r="AF537" s="17" t="s">
        <v>241</v>
      </c>
      <c r="AG537" s="17" t="s">
        <v>232</v>
      </c>
      <c r="AH537" s="17" t="n">
        <v>0</v>
      </c>
    </row>
    <row r="538" customFormat="false" ht="15" hidden="false" customHeight="false" outlineLevel="0" collapsed="false">
      <c r="A538" s="17" t="n">
        <v>59298</v>
      </c>
      <c r="B538" s="23" t="n">
        <v>45473</v>
      </c>
      <c r="C538" s="17" t="s">
        <v>160</v>
      </c>
      <c r="D538" s="17" t="s">
        <v>113</v>
      </c>
      <c r="E538" s="17" t="n">
        <v>218470</v>
      </c>
      <c r="F538" s="17" t="n">
        <v>182484.666666667</v>
      </c>
      <c r="G538" s="17" t="n">
        <v>191471</v>
      </c>
      <c r="H538" s="17" t="n">
        <v>25754</v>
      </c>
      <c r="I538" s="17" t="n">
        <v>11.7883462260265</v>
      </c>
      <c r="J538" s="17" t="n">
        <v>98920</v>
      </c>
      <c r="K538" s="17" t="n">
        <v>87075.3333333333</v>
      </c>
      <c r="L538" s="17" t="n">
        <v>98140</v>
      </c>
      <c r="M538" s="17" t="n">
        <v>79488</v>
      </c>
      <c r="N538" s="17" t="n">
        <v>19454</v>
      </c>
      <c r="O538" s="17" t="n">
        <v>0</v>
      </c>
      <c r="P538" s="17" t="n">
        <v>0</v>
      </c>
      <c r="Q538" s="17" t="n">
        <v>0</v>
      </c>
      <c r="R538" s="17" t="n">
        <v>0</v>
      </c>
      <c r="S538" s="17" t="n">
        <v>0</v>
      </c>
      <c r="T538" s="17" t="n">
        <v>0</v>
      </c>
      <c r="U538" s="17" t="n">
        <v>0</v>
      </c>
      <c r="V538" s="17" t="n">
        <v>0</v>
      </c>
      <c r="W538" s="17" t="n">
        <v>0</v>
      </c>
      <c r="X538" s="17" t="n">
        <v>0</v>
      </c>
      <c r="Y538" s="17" t="n">
        <v>-2280</v>
      </c>
      <c r="Z538" s="17" t="n">
        <v>-1.24942004259719</v>
      </c>
      <c r="AA538" s="17" t="n">
        <v>-8.62</v>
      </c>
      <c r="AB538" s="17" t="n">
        <v>2.09333816771864</v>
      </c>
      <c r="AC538" s="17" t="n">
        <v>0.788515972503033</v>
      </c>
      <c r="AD538" s="17" t="n">
        <v>0.25</v>
      </c>
      <c r="AE538" s="17" t="n">
        <v>1</v>
      </c>
      <c r="AF538" s="17" t="s">
        <v>231</v>
      </c>
      <c r="AG538" s="17" t="s">
        <v>232</v>
      </c>
      <c r="AH538" s="17" t="n">
        <v>0</v>
      </c>
    </row>
    <row r="539" customFormat="false" ht="15" hidden="false" customHeight="false" outlineLevel="0" collapsed="false">
      <c r="A539" s="17" t="n">
        <v>4255</v>
      </c>
      <c r="B539" s="23" t="n">
        <v>45565</v>
      </c>
      <c r="C539" s="17" t="s">
        <v>126</v>
      </c>
      <c r="D539" s="17" t="s">
        <v>108</v>
      </c>
      <c r="E539" s="17" t="n">
        <v>5730254</v>
      </c>
      <c r="F539" s="17" t="n">
        <v>5731216.75</v>
      </c>
      <c r="G539" s="17" t="n">
        <v>4609875</v>
      </c>
      <c r="H539" s="17" t="n">
        <v>543598</v>
      </c>
      <c r="I539" s="17" t="n">
        <v>9.48645557422062</v>
      </c>
      <c r="J539" s="17" t="n">
        <v>4128435</v>
      </c>
      <c r="K539" s="17" t="n">
        <v>4130273.75</v>
      </c>
      <c r="L539" s="17" t="n">
        <v>4093021</v>
      </c>
      <c r="M539" s="17" t="n">
        <v>3753732</v>
      </c>
      <c r="N539" s="17" t="n">
        <v>319799</v>
      </c>
      <c r="O539" s="17" t="n">
        <v>16003</v>
      </c>
      <c r="P539" s="17" t="n">
        <v>5350</v>
      </c>
      <c r="Q539" s="17" t="n">
        <v>1391</v>
      </c>
      <c r="R539" s="17" t="n">
        <v>0</v>
      </c>
      <c r="S539" s="17" t="n">
        <v>828</v>
      </c>
      <c r="T539" s="17" t="n">
        <v>1103.9724</v>
      </c>
      <c r="U539" s="17" t="n">
        <v>0.0267287949134122</v>
      </c>
      <c r="V539" s="17" t="n">
        <v>569146</v>
      </c>
      <c r="W539" s="17" t="n">
        <v>4011821</v>
      </c>
      <c r="X539" s="17" t="n">
        <v>14.1867246818839</v>
      </c>
      <c r="Y539" s="17" t="n">
        <v>53517.3287</v>
      </c>
      <c r="Z539" s="17" t="n">
        <v>0.9337865070275</v>
      </c>
      <c r="AA539" s="17" t="n">
        <v>10.25</v>
      </c>
      <c r="AB539" s="17" t="n">
        <v>2.49933669790916</v>
      </c>
      <c r="AC539" s="17" t="n">
        <v>0.857806892926739</v>
      </c>
      <c r="AD539" s="17" t="n">
        <v>-0.01</v>
      </c>
      <c r="AE539" s="17" t="n">
        <v>1</v>
      </c>
      <c r="AF539" s="17" t="s">
        <v>210</v>
      </c>
      <c r="AG539" s="17" t="s">
        <v>211</v>
      </c>
      <c r="AH539" s="17" t="n">
        <v>0</v>
      </c>
    </row>
    <row r="540" customFormat="false" ht="15" hidden="false" customHeight="false" outlineLevel="0" collapsed="false">
      <c r="A540" s="17" t="n">
        <v>4256</v>
      </c>
      <c r="B540" s="23" t="n">
        <v>45565</v>
      </c>
      <c r="C540" s="17" t="s">
        <v>135</v>
      </c>
      <c r="D540" s="17" t="s">
        <v>108</v>
      </c>
      <c r="E540" s="17" t="n">
        <v>3107311</v>
      </c>
      <c r="F540" s="17" t="n">
        <v>3002562.75</v>
      </c>
      <c r="G540" s="17" t="n">
        <v>2703552</v>
      </c>
      <c r="H540" s="17" t="n">
        <v>227931</v>
      </c>
      <c r="I540" s="17" t="n">
        <v>7.3353133947648</v>
      </c>
      <c r="J540" s="17" t="n">
        <v>2307253</v>
      </c>
      <c r="K540" s="17" t="n">
        <v>2214530.75</v>
      </c>
      <c r="L540" s="17" t="n">
        <v>2283254</v>
      </c>
      <c r="M540" s="17" t="n">
        <v>1810714</v>
      </c>
      <c r="N540" s="17" t="n">
        <v>366701</v>
      </c>
      <c r="O540" s="17" t="n">
        <v>19784</v>
      </c>
      <c r="P540" s="17" t="n">
        <v>2497</v>
      </c>
      <c r="Q540" s="17" t="n">
        <v>2396</v>
      </c>
      <c r="R540" s="17" t="n">
        <v>405</v>
      </c>
      <c r="S540" s="17" t="n">
        <v>89</v>
      </c>
      <c r="T540" s="17" t="n">
        <v>118.6637</v>
      </c>
      <c r="U540" s="17" t="n">
        <v>0.00535841283757293</v>
      </c>
      <c r="V540" s="17" t="n">
        <v>283947</v>
      </c>
      <c r="W540" s="17" t="n">
        <v>2174933</v>
      </c>
      <c r="X540" s="17" t="n">
        <v>13.0554366502324</v>
      </c>
      <c r="Y540" s="17" t="n">
        <v>27396.6484</v>
      </c>
      <c r="Z540" s="17" t="n">
        <v>0.912442159618479</v>
      </c>
      <c r="AA540" s="17" t="n">
        <v>12.56</v>
      </c>
      <c r="AB540" s="17" t="n">
        <v>2.19455333352659</v>
      </c>
      <c r="AC540" s="17" t="n">
        <v>1.04015467744543</v>
      </c>
      <c r="AD540" s="17" t="n">
        <v>-0.03</v>
      </c>
      <c r="AE540" s="17" t="n">
        <v>1</v>
      </c>
      <c r="AF540" s="17" t="s">
        <v>210</v>
      </c>
      <c r="AG540" s="17" t="s">
        <v>211</v>
      </c>
      <c r="AH540" s="17" t="n">
        <v>0</v>
      </c>
    </row>
    <row r="541" customFormat="false" ht="15" hidden="false" customHeight="false" outlineLevel="0" collapsed="false">
      <c r="A541" s="17" t="n">
        <v>6271</v>
      </c>
      <c r="B541" s="23" t="n">
        <v>45565</v>
      </c>
      <c r="C541" s="17" t="s">
        <v>147</v>
      </c>
      <c r="D541" s="17" t="s">
        <v>113</v>
      </c>
      <c r="E541" s="17" t="n">
        <v>1176660</v>
      </c>
      <c r="F541" s="17" t="n">
        <v>1120461</v>
      </c>
      <c r="G541" s="17" t="n">
        <v>930724</v>
      </c>
      <c r="H541" s="17" t="n">
        <v>110390</v>
      </c>
      <c r="I541" s="17" t="n">
        <v>9.38163955603148</v>
      </c>
      <c r="J541" s="17" t="n">
        <v>913349</v>
      </c>
      <c r="K541" s="17" t="n">
        <v>872427.75</v>
      </c>
      <c r="L541" s="17" t="n">
        <v>903809</v>
      </c>
      <c r="M541" s="17" t="n">
        <v>709642</v>
      </c>
      <c r="N541" s="17" t="n">
        <v>123877</v>
      </c>
      <c r="O541" s="17" t="n">
        <v>7088</v>
      </c>
      <c r="P541" s="17" t="n">
        <v>4487</v>
      </c>
      <c r="Q541" s="17" t="n">
        <v>141</v>
      </c>
      <c r="R541" s="17" t="n">
        <v>873</v>
      </c>
      <c r="S541" s="17" t="n">
        <v>1380</v>
      </c>
      <c r="T541" s="17" t="n">
        <v>1839.954</v>
      </c>
      <c r="U541" s="17" t="n">
        <v>0.21090044419151</v>
      </c>
      <c r="V541" s="17" t="n">
        <v>121525</v>
      </c>
      <c r="W541" s="17" t="n">
        <v>822982</v>
      </c>
      <c r="X541" s="17" t="n">
        <v>14.7664225949049</v>
      </c>
      <c r="Y541" s="17" t="n">
        <v>12751.6812</v>
      </c>
      <c r="Z541" s="17" t="n">
        <v>1.13807452468225</v>
      </c>
      <c r="AA541" s="17" t="n">
        <v>12.25</v>
      </c>
      <c r="AB541" s="17" t="n">
        <v>3.28231818568023</v>
      </c>
      <c r="AC541" s="17" t="n">
        <v>1.04450763070852</v>
      </c>
      <c r="AD541" s="17" t="n">
        <v>0.13</v>
      </c>
      <c r="AE541" s="17" t="n">
        <v>1</v>
      </c>
      <c r="AF541" s="17" t="s">
        <v>210</v>
      </c>
      <c r="AG541" s="17" t="s">
        <v>211</v>
      </c>
      <c r="AH541" s="17" t="n">
        <v>0</v>
      </c>
    </row>
    <row r="542" customFormat="false" ht="15" hidden="false" customHeight="false" outlineLevel="0" collapsed="false">
      <c r="A542" s="17" t="n">
        <v>6275</v>
      </c>
      <c r="B542" s="23" t="n">
        <v>45565</v>
      </c>
      <c r="C542" s="17" t="s">
        <v>165</v>
      </c>
      <c r="D542" s="17" t="s">
        <v>113</v>
      </c>
      <c r="E542" s="17" t="n">
        <v>558754</v>
      </c>
      <c r="F542" s="17" t="n">
        <v>558858.75</v>
      </c>
      <c r="G542" s="17" t="n">
        <v>473501</v>
      </c>
      <c r="H542" s="17" t="n">
        <v>36242</v>
      </c>
      <c r="I542" s="17" t="n">
        <v>6.48621754833075</v>
      </c>
      <c r="J542" s="17" t="n">
        <v>346673</v>
      </c>
      <c r="K542" s="17" t="n">
        <v>342946</v>
      </c>
      <c r="L542" s="17" t="n">
        <v>345255</v>
      </c>
      <c r="M542" s="17" t="n">
        <v>288795</v>
      </c>
      <c r="N542" s="17" t="n">
        <v>38226</v>
      </c>
      <c r="O542" s="17" t="n">
        <v>9769</v>
      </c>
      <c r="P542" s="17" t="n">
        <v>745</v>
      </c>
      <c r="Q542" s="17" t="n">
        <v>41</v>
      </c>
      <c r="R542" s="17" t="n">
        <v>68</v>
      </c>
      <c r="S542" s="17" t="n">
        <v>-26</v>
      </c>
      <c r="T542" s="17" t="n">
        <v>-34.6658</v>
      </c>
      <c r="U542" s="17" t="n">
        <v>-0.0101082386148257</v>
      </c>
      <c r="V542" s="17" t="n">
        <v>49968</v>
      </c>
      <c r="W542" s="17" t="n">
        <v>328635</v>
      </c>
      <c r="X542" s="17" t="n">
        <v>15.2047103929892</v>
      </c>
      <c r="Y542" s="17" t="n">
        <v>3411.9147</v>
      </c>
      <c r="Z542" s="17" t="n">
        <v>0.610514678351193</v>
      </c>
      <c r="AA542" s="17" t="n">
        <v>10.67</v>
      </c>
      <c r="AB542" s="17" t="n">
        <v>2.90157241979757</v>
      </c>
      <c r="AC542" s="17" t="n">
        <v>0.409030988856934</v>
      </c>
      <c r="AD542" s="17" t="n">
        <v>0</v>
      </c>
      <c r="AE542" s="17" t="n">
        <v>1</v>
      </c>
      <c r="AF542" s="17" t="s">
        <v>210</v>
      </c>
      <c r="AG542" s="17" t="s">
        <v>211</v>
      </c>
      <c r="AH542" s="17" t="n">
        <v>0</v>
      </c>
    </row>
    <row r="543" customFormat="false" ht="15" hidden="false" customHeight="false" outlineLevel="0" collapsed="false">
      <c r="A543" s="17" t="n">
        <v>6280</v>
      </c>
      <c r="B543" s="23" t="n">
        <v>45565</v>
      </c>
      <c r="C543" s="17" t="s">
        <v>138</v>
      </c>
      <c r="D543" s="17" t="s">
        <v>113</v>
      </c>
      <c r="E543" s="17" t="n">
        <v>85714</v>
      </c>
      <c r="F543" s="17" t="n">
        <v>80956.75</v>
      </c>
      <c r="G543" s="17" t="n">
        <v>75614</v>
      </c>
      <c r="H543" s="17" t="n">
        <v>9836</v>
      </c>
      <c r="I543" s="17" t="n">
        <v>11.475371584572</v>
      </c>
      <c r="J543" s="17" t="n">
        <v>70650</v>
      </c>
      <c r="K543" s="17" t="n">
        <v>68630.25</v>
      </c>
      <c r="L543" s="17" t="n">
        <v>69714</v>
      </c>
      <c r="M543" s="17" t="n">
        <v>62411</v>
      </c>
      <c r="N543" s="17" t="n">
        <v>3992</v>
      </c>
      <c r="O543" s="17" t="n">
        <v>1471</v>
      </c>
      <c r="P543" s="17" t="n">
        <v>1121</v>
      </c>
      <c r="Q543" s="17" t="n">
        <v>644</v>
      </c>
      <c r="R543" s="17" t="n">
        <v>0</v>
      </c>
      <c r="S543" s="17" t="n">
        <v>12</v>
      </c>
      <c r="T543" s="17" t="n">
        <v>15.9996</v>
      </c>
      <c r="U543" s="17" t="n">
        <v>0.0233127520298994</v>
      </c>
      <c r="V543" s="17" t="n">
        <v>0</v>
      </c>
      <c r="W543" s="17" t="n">
        <v>0</v>
      </c>
      <c r="X543" s="17" t="n">
        <v>0</v>
      </c>
      <c r="Y543" s="17" t="n">
        <v>1115.9721</v>
      </c>
      <c r="Z543" s="17" t="n">
        <v>1.37847937324559</v>
      </c>
      <c r="AA543" s="17" t="n">
        <v>11.61</v>
      </c>
      <c r="AB543" s="17" t="n">
        <v>4.61800872747197</v>
      </c>
      <c r="AC543" s="17" t="n">
        <v>1.32484076433121</v>
      </c>
      <c r="AD543" s="17" t="n">
        <v>0.09</v>
      </c>
      <c r="AE543" s="17" t="n">
        <v>1</v>
      </c>
      <c r="AF543" s="17" t="s">
        <v>210</v>
      </c>
      <c r="AG543" s="17" t="s">
        <v>211</v>
      </c>
      <c r="AH543" s="17" t="n">
        <v>0</v>
      </c>
    </row>
    <row r="544" customFormat="false" ht="15" hidden="false" customHeight="false" outlineLevel="0" collapsed="false">
      <c r="A544" s="17" t="n">
        <v>11971</v>
      </c>
      <c r="B544" s="23" t="n">
        <v>45565</v>
      </c>
      <c r="C544" s="17" t="s">
        <v>134</v>
      </c>
      <c r="D544" s="17" t="s">
        <v>108</v>
      </c>
      <c r="E544" s="17" t="n">
        <v>4025992</v>
      </c>
      <c r="F544" s="17" t="n">
        <v>3994917.5</v>
      </c>
      <c r="G544" s="17" t="n">
        <v>3269616</v>
      </c>
      <c r="H544" s="17" t="n">
        <v>513464</v>
      </c>
      <c r="I544" s="17" t="n">
        <v>12.7537262865897</v>
      </c>
      <c r="J544" s="17" t="n">
        <v>3083007</v>
      </c>
      <c r="K544" s="17" t="n">
        <v>3041782.75</v>
      </c>
      <c r="L544" s="17" t="n">
        <v>3053984</v>
      </c>
      <c r="M544" s="17" t="n">
        <v>2726474</v>
      </c>
      <c r="N544" s="17" t="n">
        <v>208964</v>
      </c>
      <c r="O544" s="17" t="n">
        <v>7873</v>
      </c>
      <c r="P544" s="17" t="n">
        <v>7100</v>
      </c>
      <c r="Q544" s="17" t="n">
        <v>2038</v>
      </c>
      <c r="R544" s="17" t="n">
        <v>0</v>
      </c>
      <c r="S544" s="17" t="n">
        <v>221</v>
      </c>
      <c r="T544" s="17" t="n">
        <v>294.6593</v>
      </c>
      <c r="U544" s="17" t="n">
        <v>0.00968705934044764</v>
      </c>
      <c r="V544" s="17" t="n">
        <v>465418</v>
      </c>
      <c r="W544" s="17" t="n">
        <v>3284305</v>
      </c>
      <c r="X544" s="17" t="n">
        <v>14.1709737676617</v>
      </c>
      <c r="Y544" s="17" t="n">
        <v>50177.4122</v>
      </c>
      <c r="Z544" s="17" t="n">
        <v>1.25603124970666</v>
      </c>
      <c r="AA544" s="17" t="n">
        <v>10.14</v>
      </c>
      <c r="AB544" s="17" t="n">
        <v>3.2481714510262</v>
      </c>
      <c r="AC544" s="17" t="n">
        <v>0.941386120758078</v>
      </c>
      <c r="AD544" s="17" t="n">
        <v>0.03</v>
      </c>
      <c r="AE544" s="17" t="n">
        <v>1</v>
      </c>
      <c r="AF544" s="17" t="s">
        <v>231</v>
      </c>
      <c r="AG544" s="17" t="s">
        <v>232</v>
      </c>
      <c r="AH544" s="17" t="n">
        <v>0</v>
      </c>
    </row>
    <row r="545" customFormat="false" ht="15" hidden="false" customHeight="false" outlineLevel="0" collapsed="false">
      <c r="A545" s="17" t="n">
        <v>12874</v>
      </c>
      <c r="B545" s="23" t="n">
        <v>45565</v>
      </c>
      <c r="C545" s="17" t="s">
        <v>159</v>
      </c>
      <c r="D545" s="17" t="s">
        <v>108</v>
      </c>
      <c r="E545" s="17" t="n">
        <v>1048081</v>
      </c>
      <c r="F545" s="17" t="n">
        <v>1035513.25</v>
      </c>
      <c r="G545" s="17" t="n">
        <v>886959</v>
      </c>
      <c r="H545" s="17" t="n">
        <v>113573</v>
      </c>
      <c r="I545" s="17" t="n">
        <v>10.8362807836417</v>
      </c>
      <c r="J545" s="17" t="n">
        <v>818183</v>
      </c>
      <c r="K545" s="17" t="n">
        <v>807661.25</v>
      </c>
      <c r="L545" s="17" t="n">
        <v>810310</v>
      </c>
      <c r="M545" s="17" t="n">
        <v>635002</v>
      </c>
      <c r="N545" s="17" t="n">
        <v>162708</v>
      </c>
      <c r="O545" s="17" t="n">
        <v>4774</v>
      </c>
      <c r="P545" s="17" t="n">
        <v>1535</v>
      </c>
      <c r="Q545" s="17" t="n">
        <v>568</v>
      </c>
      <c r="R545" s="17" t="n">
        <v>27</v>
      </c>
      <c r="S545" s="17" t="n">
        <v>-18</v>
      </c>
      <c r="T545" s="17" t="n">
        <v>-23.9994</v>
      </c>
      <c r="U545" s="17" t="n">
        <v>-0.0029714685457548</v>
      </c>
      <c r="V545" s="17" t="n">
        <v>124280</v>
      </c>
      <c r="W545" s="17" t="n">
        <v>764052</v>
      </c>
      <c r="X545" s="17" t="n">
        <v>16.2659086030794</v>
      </c>
      <c r="Y545" s="17" t="n">
        <v>9331.7667</v>
      </c>
      <c r="Z545" s="17" t="n">
        <v>0.901173084941212</v>
      </c>
      <c r="AA545" s="17" t="n">
        <v>8.57</v>
      </c>
      <c r="AB545" s="17" t="n">
        <v>3.64517832397801</v>
      </c>
      <c r="AC545" s="17" t="n">
        <v>0.962254165632872</v>
      </c>
      <c r="AD545" s="17" t="n">
        <v>-0.01</v>
      </c>
      <c r="AE545" s="17" t="n">
        <v>1</v>
      </c>
      <c r="AF545" s="17" t="s">
        <v>231</v>
      </c>
      <c r="AG545" s="17" t="s">
        <v>232</v>
      </c>
      <c r="AH545" s="17" t="n">
        <v>0</v>
      </c>
    </row>
    <row r="546" customFormat="false" ht="15" hidden="false" customHeight="false" outlineLevel="0" collapsed="false">
      <c r="A546" s="17" t="n">
        <v>13063</v>
      </c>
      <c r="B546" s="23" t="n">
        <v>45565</v>
      </c>
      <c r="C546" s="17" t="s">
        <v>139</v>
      </c>
      <c r="D546" s="17" t="s">
        <v>108</v>
      </c>
      <c r="E546" s="17" t="n">
        <v>1856523</v>
      </c>
      <c r="F546" s="17" t="n">
        <v>1834438.5</v>
      </c>
      <c r="G546" s="17" t="n">
        <v>1649721</v>
      </c>
      <c r="H546" s="17" t="n">
        <v>158562</v>
      </c>
      <c r="I546" s="17" t="n">
        <v>8.54080450390326</v>
      </c>
      <c r="J546" s="17" t="n">
        <v>1476973</v>
      </c>
      <c r="K546" s="17" t="n">
        <v>1449341.5</v>
      </c>
      <c r="L546" s="17" t="n">
        <v>1460452</v>
      </c>
      <c r="M546" s="17" t="n">
        <v>1407554</v>
      </c>
      <c r="N546" s="17" t="n">
        <v>54955</v>
      </c>
      <c r="O546" s="17" t="n">
        <v>756</v>
      </c>
      <c r="P546" s="17" t="n">
        <v>503</v>
      </c>
      <c r="Q546" s="17" t="n">
        <v>5182</v>
      </c>
      <c r="R546" s="17" t="n">
        <v>0</v>
      </c>
      <c r="S546" s="17" t="n">
        <v>-33</v>
      </c>
      <c r="T546" s="17" t="n">
        <v>-43.9989</v>
      </c>
      <c r="U546" s="17" t="n">
        <v>-0.00303578556192588</v>
      </c>
      <c r="V546" s="17" t="n">
        <v>0</v>
      </c>
      <c r="W546" s="17" t="n">
        <v>0</v>
      </c>
      <c r="X546" s="17" t="n">
        <v>0</v>
      </c>
      <c r="Y546" s="17" t="n">
        <v>8431.7892</v>
      </c>
      <c r="Z546" s="17" t="n">
        <v>0.459638695982449</v>
      </c>
      <c r="AA546" s="17" t="n">
        <v>5.66</v>
      </c>
      <c r="AB546" s="17" t="n">
        <v>3.09312941385462</v>
      </c>
      <c r="AC546" s="17" t="n">
        <v>1.11857156495075</v>
      </c>
      <c r="AD546" s="17" t="n">
        <v>0</v>
      </c>
      <c r="AE546" s="17" t="n">
        <v>1</v>
      </c>
      <c r="AF546" s="17" t="s">
        <v>241</v>
      </c>
      <c r="AG546" s="17" t="s">
        <v>232</v>
      </c>
      <c r="AH546" s="17" t="n">
        <v>0</v>
      </c>
    </row>
    <row r="547" customFormat="false" ht="15" hidden="false" customHeight="false" outlineLevel="0" collapsed="false">
      <c r="A547" s="17" t="n">
        <v>14134</v>
      </c>
      <c r="B547" s="23" t="n">
        <v>45565</v>
      </c>
      <c r="C547" s="17" t="s">
        <v>155</v>
      </c>
      <c r="D547" s="17" t="s">
        <v>113</v>
      </c>
      <c r="E547" s="17" t="n">
        <v>881237</v>
      </c>
      <c r="F547" s="17" t="n">
        <v>855302.5</v>
      </c>
      <c r="G547" s="17" t="n">
        <v>697247</v>
      </c>
      <c r="H547" s="17" t="n">
        <v>113479</v>
      </c>
      <c r="I547" s="17" t="n">
        <v>12.8772396075063</v>
      </c>
      <c r="J547" s="17" t="n">
        <v>626162</v>
      </c>
      <c r="K547" s="17" t="n">
        <v>632356</v>
      </c>
      <c r="L547" s="17" t="n">
        <v>619022</v>
      </c>
      <c r="M547" s="17" t="n">
        <v>553522</v>
      </c>
      <c r="N547" s="17" t="n">
        <v>25355</v>
      </c>
      <c r="O547" s="17" t="n">
        <v>21380</v>
      </c>
      <c r="P547" s="17" t="n">
        <v>8606</v>
      </c>
      <c r="Q547" s="17" t="n">
        <v>4368</v>
      </c>
      <c r="R547" s="17" t="n">
        <v>0</v>
      </c>
      <c r="S547" s="17" t="n">
        <v>698</v>
      </c>
      <c r="T547" s="17" t="n">
        <v>930.6434</v>
      </c>
      <c r="U547" s="17" t="n">
        <v>0.14717080252263</v>
      </c>
      <c r="V547" s="17" t="n">
        <v>115186</v>
      </c>
      <c r="W547" s="17" t="n">
        <v>577530</v>
      </c>
      <c r="X547" s="17" t="n">
        <v>19.944591622946</v>
      </c>
      <c r="Y547" s="17" t="n">
        <v>8147.7963</v>
      </c>
      <c r="Z547" s="17" t="n">
        <v>0.952621592945186</v>
      </c>
      <c r="AA547" s="17" t="n">
        <v>7.47</v>
      </c>
      <c r="AB547" s="17" t="n">
        <v>2.99437200701752</v>
      </c>
      <c r="AC547" s="17" t="n">
        <v>1.14027999143992</v>
      </c>
      <c r="AD547" s="17" t="n">
        <v>0.09</v>
      </c>
      <c r="AE547" s="17" t="n">
        <v>1</v>
      </c>
      <c r="AF547" s="17" t="s">
        <v>241</v>
      </c>
      <c r="AG547" s="17" t="s">
        <v>232</v>
      </c>
      <c r="AH547" s="17" t="n">
        <v>0</v>
      </c>
    </row>
    <row r="548" customFormat="false" ht="15" hidden="false" customHeight="false" outlineLevel="0" collapsed="false">
      <c r="A548" s="17" t="n">
        <v>14136</v>
      </c>
      <c r="B548" s="23" t="n">
        <v>45565</v>
      </c>
      <c r="C548" s="17" t="s">
        <v>153</v>
      </c>
      <c r="D548" s="17" t="s">
        <v>113</v>
      </c>
      <c r="E548" s="17" t="n">
        <v>238286</v>
      </c>
      <c r="F548" s="17" t="n">
        <v>236495.75</v>
      </c>
      <c r="G548" s="17" t="n">
        <v>200050</v>
      </c>
      <c r="H548" s="17" t="n">
        <v>19934</v>
      </c>
      <c r="I548" s="17" t="n">
        <v>8.36557749930756</v>
      </c>
      <c r="J548" s="17" t="n">
        <v>158640</v>
      </c>
      <c r="K548" s="17" t="n">
        <v>155128</v>
      </c>
      <c r="L548" s="17" t="n">
        <v>157046</v>
      </c>
      <c r="M548" s="17" t="n">
        <v>128174</v>
      </c>
      <c r="N548" s="17" t="n">
        <v>14936</v>
      </c>
      <c r="O548" s="17" t="n">
        <v>15174</v>
      </c>
      <c r="P548" s="17" t="n">
        <v>517</v>
      </c>
      <c r="Q548" s="17" t="n">
        <v>735</v>
      </c>
      <c r="R548" s="17" t="n">
        <v>633</v>
      </c>
      <c r="S548" s="17" t="n">
        <v>263</v>
      </c>
      <c r="T548" s="17" t="n">
        <v>350.6579</v>
      </c>
      <c r="U548" s="17" t="n">
        <v>0.226044234438657</v>
      </c>
      <c r="V548" s="17" t="n">
        <v>27313</v>
      </c>
      <c r="W548" s="17" t="n">
        <v>151460</v>
      </c>
      <c r="X548" s="17" t="n">
        <v>18.0331440644395</v>
      </c>
      <c r="Y548" s="17" t="n">
        <v>1299.9675</v>
      </c>
      <c r="Z548" s="17" t="n">
        <v>0.549679011145021</v>
      </c>
      <c r="AA548" s="17" t="n">
        <v>7.18</v>
      </c>
      <c r="AB548" s="17" t="n">
        <v>3.7688092309468</v>
      </c>
      <c r="AC548" s="17" t="n">
        <v>1.0047907211296</v>
      </c>
      <c r="AD548" s="17" t="n">
        <v>-0.02</v>
      </c>
      <c r="AE548" s="17" t="n">
        <v>1</v>
      </c>
      <c r="AF548" s="17" t="s">
        <v>241</v>
      </c>
      <c r="AG548" s="17" t="s">
        <v>232</v>
      </c>
      <c r="AH548" s="17" t="n">
        <v>1</v>
      </c>
    </row>
    <row r="549" customFormat="false" ht="15" hidden="false" customHeight="false" outlineLevel="0" collapsed="false">
      <c r="A549" s="17" t="n">
        <v>14140</v>
      </c>
      <c r="B549" s="23" t="n">
        <v>45565</v>
      </c>
      <c r="C549" s="17" t="s">
        <v>120</v>
      </c>
      <c r="D549" s="17" t="s">
        <v>113</v>
      </c>
      <c r="E549" s="17" t="n">
        <v>1527182</v>
      </c>
      <c r="F549" s="17" t="n">
        <v>1508015</v>
      </c>
      <c r="G549" s="17" t="n">
        <v>1238363</v>
      </c>
      <c r="H549" s="17" t="n">
        <v>137226</v>
      </c>
      <c r="I549" s="17" t="n">
        <v>8.98556949990244</v>
      </c>
      <c r="J549" s="17" t="n">
        <v>1092353</v>
      </c>
      <c r="K549" s="17" t="n">
        <v>1066240.75</v>
      </c>
      <c r="L549" s="17" t="n">
        <v>1083798</v>
      </c>
      <c r="M549" s="17" t="n">
        <v>974171</v>
      </c>
      <c r="N549" s="17" t="n">
        <v>88796</v>
      </c>
      <c r="O549" s="17" t="n">
        <v>1620</v>
      </c>
      <c r="P549" s="17" t="n">
        <v>2124</v>
      </c>
      <c r="Q549" s="17" t="n">
        <v>25</v>
      </c>
      <c r="R549" s="17" t="n">
        <v>0</v>
      </c>
      <c r="S549" s="17" t="n">
        <v>48</v>
      </c>
      <c r="T549" s="17" t="n">
        <v>63.9984</v>
      </c>
      <c r="U549" s="17" t="n">
        <v>0.00600224667834164</v>
      </c>
      <c r="V549" s="17" t="n">
        <v>0</v>
      </c>
      <c r="W549" s="17" t="n">
        <v>0</v>
      </c>
      <c r="X549" s="17" t="n">
        <v>0</v>
      </c>
      <c r="Y549" s="17" t="n">
        <v>4358.5577</v>
      </c>
      <c r="Z549" s="17" t="n">
        <v>0.289026150270389</v>
      </c>
      <c r="AA549" s="17" t="n">
        <v>3.37</v>
      </c>
      <c r="AB549" s="17" t="n">
        <v>2.38536873804973</v>
      </c>
      <c r="AC549" s="17" t="n">
        <v>0.783171740270773</v>
      </c>
      <c r="AD549" s="17" t="n">
        <v>-0.04</v>
      </c>
      <c r="AE549" s="17" t="n">
        <v>1</v>
      </c>
      <c r="AF549" s="17" t="s">
        <v>241</v>
      </c>
      <c r="AG549" s="17" t="s">
        <v>232</v>
      </c>
      <c r="AH549" s="17" t="n">
        <v>0</v>
      </c>
    </row>
    <row r="550" customFormat="false" ht="15" hidden="false" customHeight="false" outlineLevel="0" collapsed="false">
      <c r="A550" s="17" t="n">
        <v>14158</v>
      </c>
      <c r="B550" s="23" t="n">
        <v>45565</v>
      </c>
      <c r="C550" s="17" t="s">
        <v>112</v>
      </c>
      <c r="D550" s="17" t="s">
        <v>113</v>
      </c>
      <c r="E550" s="17" t="n">
        <v>1518788</v>
      </c>
      <c r="F550" s="17" t="n">
        <v>1450517</v>
      </c>
      <c r="G550" s="17" t="n">
        <v>1176600</v>
      </c>
      <c r="H550" s="17" t="n">
        <v>88128</v>
      </c>
      <c r="I550" s="17" t="n">
        <v>5.80252148423612</v>
      </c>
      <c r="J550" s="17" t="n">
        <v>1127929</v>
      </c>
      <c r="K550" s="17" t="n">
        <v>1053639</v>
      </c>
      <c r="L550" s="17" t="n">
        <v>1120563</v>
      </c>
      <c r="M550" s="17" t="n">
        <v>979666</v>
      </c>
      <c r="N550" s="17" t="n">
        <v>38744</v>
      </c>
      <c r="O550" s="17" t="n">
        <v>2036</v>
      </c>
      <c r="P550" s="17" t="n">
        <v>1709</v>
      </c>
      <c r="Q550" s="17" t="n">
        <v>1116</v>
      </c>
      <c r="R550" s="17" t="n">
        <v>255</v>
      </c>
      <c r="S550" s="17" t="n">
        <v>-16</v>
      </c>
      <c r="T550" s="17" t="n">
        <v>-21.3328</v>
      </c>
      <c r="U550" s="17" t="n">
        <v>-0.00202467828165055</v>
      </c>
      <c r="V550" s="17" t="n">
        <v>121134</v>
      </c>
      <c r="W550" s="17" t="n">
        <v>951362</v>
      </c>
      <c r="X550" s="17" t="n">
        <v>12.7326927079282</v>
      </c>
      <c r="Y550" s="17" t="n">
        <v>8586.452</v>
      </c>
      <c r="Z550" s="17" t="n">
        <v>0.591958039788572</v>
      </c>
      <c r="AA550" s="17" t="n">
        <v>10.41</v>
      </c>
      <c r="AB550" s="17" t="n">
        <v>2.80849544548636</v>
      </c>
      <c r="AC550" s="17" t="n">
        <v>0.65305528982764</v>
      </c>
      <c r="AD550" s="17" t="n">
        <v>0.05</v>
      </c>
      <c r="AE550" s="17" t="n">
        <v>1</v>
      </c>
      <c r="AF550" s="17" t="s">
        <v>231</v>
      </c>
      <c r="AG550" s="17" t="s">
        <v>232</v>
      </c>
      <c r="AH550" s="17" t="n">
        <v>0</v>
      </c>
    </row>
    <row r="551" customFormat="false" ht="15" hidden="false" customHeight="false" outlineLevel="0" collapsed="false">
      <c r="A551" s="17" t="n">
        <v>14168</v>
      </c>
      <c r="B551" s="23" t="n">
        <v>45565</v>
      </c>
      <c r="C551" s="17" t="s">
        <v>162</v>
      </c>
      <c r="D551" s="17" t="s">
        <v>113</v>
      </c>
      <c r="E551" s="17" t="n">
        <v>371732</v>
      </c>
      <c r="F551" s="17" t="n">
        <v>366219.5</v>
      </c>
      <c r="G551" s="17" t="n">
        <v>328030</v>
      </c>
      <c r="H551" s="17" t="n">
        <v>38425</v>
      </c>
      <c r="I551" s="17" t="n">
        <v>10.3367479797273</v>
      </c>
      <c r="J551" s="17" t="n">
        <v>268497</v>
      </c>
      <c r="K551" s="17" t="n">
        <v>255198.75</v>
      </c>
      <c r="L551" s="17" t="n">
        <v>264395</v>
      </c>
      <c r="M551" s="17" t="n">
        <v>228801</v>
      </c>
      <c r="N551" s="17" t="n">
        <v>11832</v>
      </c>
      <c r="O551" s="17" t="n">
        <v>10190</v>
      </c>
      <c r="P551" s="17" t="n">
        <v>865</v>
      </c>
      <c r="Q551" s="17" t="n">
        <v>569</v>
      </c>
      <c r="R551" s="17" t="n">
        <v>2</v>
      </c>
      <c r="S551" s="17" t="n">
        <v>48</v>
      </c>
      <c r="T551" s="17" t="n">
        <v>63.9984</v>
      </c>
      <c r="U551" s="17" t="n">
        <v>0.0250778657810824</v>
      </c>
      <c r="V551" s="17" t="n">
        <v>44693</v>
      </c>
      <c r="W551" s="17" t="n">
        <v>271929</v>
      </c>
      <c r="X551" s="17" t="n">
        <v>16.4355401593798</v>
      </c>
      <c r="Y551" s="17" t="n">
        <v>3935.9016</v>
      </c>
      <c r="Z551" s="17" t="n">
        <v>1.07473840142319</v>
      </c>
      <c r="AA551" s="17" t="n">
        <v>10.88</v>
      </c>
      <c r="AB551" s="17" t="n">
        <v>4.10567266565625</v>
      </c>
      <c r="AC551" s="17" t="n">
        <v>1.52776381114128</v>
      </c>
      <c r="AD551" s="17" t="n">
        <v>0.05</v>
      </c>
      <c r="AE551" s="17" t="n">
        <v>1</v>
      </c>
      <c r="AF551" s="17" t="s">
        <v>231</v>
      </c>
      <c r="AG551" s="17" t="s">
        <v>232</v>
      </c>
      <c r="AH551" s="17" t="n">
        <v>0</v>
      </c>
    </row>
    <row r="552" customFormat="false" ht="15" hidden="false" customHeight="false" outlineLevel="0" collapsed="false">
      <c r="A552" s="17" t="n">
        <v>14240</v>
      </c>
      <c r="B552" s="23" t="n">
        <v>45565</v>
      </c>
      <c r="C552" s="17" t="s">
        <v>195</v>
      </c>
      <c r="D552" s="17" t="s">
        <v>116</v>
      </c>
      <c r="E552" s="17" t="n">
        <v>1215556</v>
      </c>
      <c r="F552" s="17" t="n">
        <v>1252374.5</v>
      </c>
      <c r="G552" s="17" t="n">
        <v>1013911</v>
      </c>
      <c r="H552" s="17" t="n">
        <v>96896</v>
      </c>
      <c r="I552" s="17" t="n">
        <v>7.97133163753871</v>
      </c>
      <c r="J552" s="17" t="n">
        <v>912838</v>
      </c>
      <c r="K552" s="17" t="n">
        <v>921091.25</v>
      </c>
      <c r="L552" s="17" t="n">
        <v>902128</v>
      </c>
      <c r="M552" s="17" t="n">
        <v>772079</v>
      </c>
      <c r="N552" s="17" t="n">
        <v>28907</v>
      </c>
      <c r="O552" s="17" t="n">
        <v>13307</v>
      </c>
      <c r="P552" s="17" t="n">
        <v>3698</v>
      </c>
      <c r="Q552" s="17" t="n">
        <v>516</v>
      </c>
      <c r="R552" s="17" t="n">
        <v>0</v>
      </c>
      <c r="S552" s="17" t="n">
        <v>-14</v>
      </c>
      <c r="T552" s="17" t="n">
        <v>-18.6662</v>
      </c>
      <c r="U552" s="17" t="n">
        <v>-0.00202653103044894</v>
      </c>
      <c r="V552" s="17" t="n">
        <v>125886</v>
      </c>
      <c r="W552" s="17" t="n">
        <v>762072</v>
      </c>
      <c r="X552" s="17" t="n">
        <v>16.518911598904</v>
      </c>
      <c r="Y552" s="17" t="n">
        <v>5753.1895</v>
      </c>
      <c r="Z552" s="17" t="n">
        <v>0.459382516970762</v>
      </c>
      <c r="AA552" s="17" t="n">
        <v>6.33</v>
      </c>
      <c r="AB552" s="17" t="n">
        <v>2.72606205313891</v>
      </c>
      <c r="AC552" s="17" t="n">
        <v>1.17326404027878</v>
      </c>
      <c r="AD552" s="17" t="n">
        <v>0</v>
      </c>
      <c r="AE552" s="17" t="n">
        <v>0</v>
      </c>
      <c r="AF552" s="17" t="s">
        <v>231</v>
      </c>
      <c r="AG552" s="17" t="s">
        <v>232</v>
      </c>
      <c r="AH552" s="17" t="n">
        <v>0</v>
      </c>
    </row>
    <row r="553" customFormat="false" ht="15" hidden="false" customHeight="false" outlineLevel="0" collapsed="false">
      <c r="A553" s="17" t="n">
        <v>17115</v>
      </c>
      <c r="B553" s="23" t="n">
        <v>45565</v>
      </c>
      <c r="C553" s="17" t="s">
        <v>143</v>
      </c>
      <c r="D553" s="17" t="s">
        <v>108</v>
      </c>
      <c r="E553" s="17" t="n">
        <v>1064825</v>
      </c>
      <c r="F553" s="17" t="n">
        <v>1076916.25</v>
      </c>
      <c r="G553" s="17" t="n">
        <v>811295</v>
      </c>
      <c r="H553" s="17" t="n">
        <v>93281</v>
      </c>
      <c r="I553" s="17" t="n">
        <v>8.76021881529829</v>
      </c>
      <c r="J553" s="17" t="n">
        <v>883708</v>
      </c>
      <c r="K553" s="17" t="n">
        <v>893253.75</v>
      </c>
      <c r="L553" s="17" t="n">
        <v>874809</v>
      </c>
      <c r="M553" s="17" t="n">
        <v>834346</v>
      </c>
      <c r="N553" s="17" t="n">
        <v>40658</v>
      </c>
      <c r="O553" s="17" t="n">
        <v>6674</v>
      </c>
      <c r="P553" s="17" t="n">
        <v>2417</v>
      </c>
      <c r="Q553" s="17" t="n">
        <v>395</v>
      </c>
      <c r="R553" s="17" t="n">
        <v>0</v>
      </c>
      <c r="S553" s="17" t="n">
        <v>74</v>
      </c>
      <c r="T553" s="17" t="n">
        <v>98.6642</v>
      </c>
      <c r="U553" s="17" t="n">
        <v>0.011045483996009</v>
      </c>
      <c r="V553" s="17" t="n">
        <v>112090</v>
      </c>
      <c r="W553" s="17" t="n">
        <v>791420</v>
      </c>
      <c r="X553" s="17" t="n">
        <v>14.1631497814056</v>
      </c>
      <c r="Y553" s="17" t="n">
        <v>3454.5803</v>
      </c>
      <c r="Z553" s="17" t="n">
        <v>0.320784489973106</v>
      </c>
      <c r="AA553" s="17" t="n">
        <v>3.86</v>
      </c>
      <c r="AB553" s="17" t="n">
        <v>2.5957196586103</v>
      </c>
      <c r="AC553" s="17" t="n">
        <v>1.00700683936323</v>
      </c>
      <c r="AD553" s="17" t="n">
        <v>0.01</v>
      </c>
      <c r="AE553" s="17" t="n">
        <v>1</v>
      </c>
      <c r="AF553" s="17" t="s">
        <v>241</v>
      </c>
      <c r="AG553" s="17" t="s">
        <v>232</v>
      </c>
      <c r="AH553" s="17" t="n">
        <v>0</v>
      </c>
    </row>
    <row r="554" customFormat="false" ht="15" hidden="false" customHeight="false" outlineLevel="0" collapsed="false">
      <c r="A554" s="17" t="n">
        <v>17180</v>
      </c>
      <c r="B554" s="23" t="n">
        <v>45565</v>
      </c>
      <c r="C554" s="17" t="s">
        <v>127</v>
      </c>
      <c r="D554" s="17" t="s">
        <v>116</v>
      </c>
      <c r="E554" s="17" t="n">
        <v>1621350</v>
      </c>
      <c r="F554" s="17" t="n">
        <v>1639313.5</v>
      </c>
      <c r="G554" s="17" t="n">
        <v>1203070</v>
      </c>
      <c r="H554" s="17" t="n">
        <v>143061</v>
      </c>
      <c r="I554" s="17" t="n">
        <v>8.82357294846887</v>
      </c>
      <c r="J554" s="17" t="n">
        <v>1443161</v>
      </c>
      <c r="K554" s="17" t="n">
        <v>1468084</v>
      </c>
      <c r="L554" s="17" t="n">
        <v>1428269</v>
      </c>
      <c r="M554" s="17" t="n">
        <v>1205697</v>
      </c>
      <c r="N554" s="17" t="n">
        <v>40098</v>
      </c>
      <c r="O554" s="17" t="n">
        <v>171858</v>
      </c>
      <c r="P554" s="17" t="n">
        <v>5975</v>
      </c>
      <c r="Q554" s="17" t="n">
        <v>1130</v>
      </c>
      <c r="R554" s="17" t="n">
        <v>0</v>
      </c>
      <c r="S554" s="17" t="n">
        <v>172</v>
      </c>
      <c r="T554" s="17" t="n">
        <v>229.3276</v>
      </c>
      <c r="U554" s="17" t="n">
        <v>0.0156208772795017</v>
      </c>
      <c r="V554" s="17" t="n">
        <v>166027</v>
      </c>
      <c r="W554" s="17" t="n">
        <v>1099707</v>
      </c>
      <c r="X554" s="17" t="n">
        <v>15.09738503074</v>
      </c>
      <c r="Y554" s="17" t="n">
        <v>6514.5038</v>
      </c>
      <c r="Z554" s="17" t="n">
        <v>0.397392188864424</v>
      </c>
      <c r="AA554" s="17" t="n">
        <v>4.68</v>
      </c>
      <c r="AB554" s="17" t="n">
        <v>2.64602130327719</v>
      </c>
      <c r="AC554" s="17" t="n">
        <v>1.03190149955549</v>
      </c>
      <c r="AD554" s="17" t="n">
        <v>0.08</v>
      </c>
      <c r="AE554" s="17" t="n">
        <v>1</v>
      </c>
      <c r="AF554" s="17" t="s">
        <v>241</v>
      </c>
      <c r="AG554" s="17" t="s">
        <v>232</v>
      </c>
      <c r="AH554" s="17" t="n">
        <v>0</v>
      </c>
    </row>
    <row r="555" customFormat="false" ht="15" hidden="false" customHeight="false" outlineLevel="0" collapsed="false">
      <c r="A555" s="17" t="n">
        <v>17443</v>
      </c>
      <c r="B555" s="23" t="n">
        <v>45565</v>
      </c>
      <c r="C555" s="17" t="s">
        <v>132</v>
      </c>
      <c r="D555" s="17" t="s">
        <v>116</v>
      </c>
      <c r="E555" s="17" t="n">
        <v>366752</v>
      </c>
      <c r="F555" s="17" t="n">
        <v>356662</v>
      </c>
      <c r="G555" s="17" t="n">
        <v>299271</v>
      </c>
      <c r="H555" s="17" t="n">
        <v>41324</v>
      </c>
      <c r="I555" s="17" t="n">
        <v>11.2675595497775</v>
      </c>
      <c r="J555" s="17" t="n">
        <v>197179</v>
      </c>
      <c r="K555" s="17" t="n">
        <v>200845.75</v>
      </c>
      <c r="L555" s="17" t="n">
        <v>195670</v>
      </c>
      <c r="M555" s="17" t="n">
        <v>195221</v>
      </c>
      <c r="N555" s="17" t="n">
        <v>0</v>
      </c>
      <c r="O555" s="17" t="n">
        <v>958</v>
      </c>
      <c r="P555" s="17" t="n">
        <v>1019</v>
      </c>
      <c r="Q555" s="17" t="n">
        <v>1323</v>
      </c>
      <c r="R555" s="17" t="n">
        <v>0</v>
      </c>
      <c r="S555" s="17" t="n">
        <v>0</v>
      </c>
      <c r="T555" s="17" t="n">
        <v>0</v>
      </c>
      <c r="U555" s="17" t="n">
        <v>0</v>
      </c>
      <c r="V555" s="17" t="n">
        <v>0</v>
      </c>
      <c r="W555" s="17" t="n">
        <v>0</v>
      </c>
      <c r="X555" s="17" t="n">
        <v>0</v>
      </c>
      <c r="Y555" s="17" t="n">
        <v>-650.6504</v>
      </c>
      <c r="Z555" s="17" t="n">
        <v>-0.182427732699306</v>
      </c>
      <c r="AA555" s="17" t="n">
        <v>-1.63</v>
      </c>
      <c r="AB555" s="17" t="n">
        <v>1.1639677406299</v>
      </c>
      <c r="AC555" s="17" t="n">
        <v>0.765294478620949</v>
      </c>
      <c r="AD555" s="17" t="n">
        <v>-0.08</v>
      </c>
      <c r="AE555" s="17" t="n">
        <v>1</v>
      </c>
      <c r="AF555" s="17" t="s">
        <v>241</v>
      </c>
      <c r="AG555" s="17" t="s">
        <v>232</v>
      </c>
      <c r="AH555" s="17" t="n">
        <v>1</v>
      </c>
    </row>
    <row r="556" customFormat="false" ht="15" hidden="false" customHeight="false" outlineLevel="0" collapsed="false">
      <c r="A556" s="17" t="n">
        <v>17658</v>
      </c>
      <c r="B556" s="23" t="n">
        <v>45565</v>
      </c>
      <c r="C556" s="17" t="s">
        <v>144</v>
      </c>
      <c r="D556" s="17" t="s">
        <v>108</v>
      </c>
      <c r="E556" s="17" t="n">
        <v>1980951</v>
      </c>
      <c r="F556" s="17" t="n">
        <v>1906356.75</v>
      </c>
      <c r="G556" s="17" t="n">
        <v>1559068</v>
      </c>
      <c r="H556" s="17" t="n">
        <v>230579</v>
      </c>
      <c r="I556" s="17" t="n">
        <v>11.6398134027545</v>
      </c>
      <c r="J556" s="17" t="n">
        <v>1397203</v>
      </c>
      <c r="K556" s="17" t="n">
        <v>1344378.25</v>
      </c>
      <c r="L556" s="17" t="n">
        <v>1387972</v>
      </c>
      <c r="M556" s="17" t="n">
        <v>1195334</v>
      </c>
      <c r="N556" s="17" t="n">
        <v>108891</v>
      </c>
      <c r="O556" s="17" t="n">
        <v>80000</v>
      </c>
      <c r="P556" s="17" t="n">
        <v>9425</v>
      </c>
      <c r="Q556" s="17" t="n">
        <v>2259</v>
      </c>
      <c r="R556" s="17" t="n">
        <v>0</v>
      </c>
      <c r="S556" s="17" t="n">
        <v>-16</v>
      </c>
      <c r="T556" s="17" t="n">
        <v>-21.3328</v>
      </c>
      <c r="U556" s="17" t="n">
        <v>-0.00158681531778724</v>
      </c>
      <c r="V556" s="17" t="n">
        <v>0</v>
      </c>
      <c r="W556" s="17" t="n">
        <v>0</v>
      </c>
      <c r="X556" s="17" t="n">
        <v>0</v>
      </c>
      <c r="Y556" s="17" t="n">
        <v>18308.8756</v>
      </c>
      <c r="Z556" s="17" t="n">
        <v>0.960411822183859</v>
      </c>
      <c r="AA556" s="17" t="n">
        <v>8.53</v>
      </c>
      <c r="AB556" s="17" t="n">
        <v>3.06913574640287</v>
      </c>
      <c r="AC556" s="17" t="n">
        <v>0.660677081283106</v>
      </c>
      <c r="AD556" s="17" t="n">
        <v>0.03</v>
      </c>
      <c r="AE556" s="17" t="n">
        <v>1</v>
      </c>
      <c r="AF556" s="17" t="s">
        <v>241</v>
      </c>
      <c r="AG556" s="17" t="s">
        <v>232</v>
      </c>
      <c r="AH556" s="17" t="n">
        <v>0</v>
      </c>
    </row>
    <row r="557" customFormat="false" ht="15" hidden="false" customHeight="false" outlineLevel="0" collapsed="false">
      <c r="A557" s="17" t="n">
        <v>17741</v>
      </c>
      <c r="B557" s="23" t="n">
        <v>45565</v>
      </c>
      <c r="C557" s="17" t="s">
        <v>161</v>
      </c>
      <c r="D557" s="17" t="s">
        <v>108</v>
      </c>
      <c r="E557" s="17" t="n">
        <v>1162261</v>
      </c>
      <c r="F557" s="17" t="n">
        <v>1128741.75</v>
      </c>
      <c r="G557" s="17" t="n">
        <v>905592</v>
      </c>
      <c r="H557" s="17" t="n">
        <v>146197</v>
      </c>
      <c r="I557" s="17" t="n">
        <v>12.5786720882831</v>
      </c>
      <c r="J557" s="17" t="n">
        <v>984780</v>
      </c>
      <c r="K557" s="17" t="n">
        <v>949399.75</v>
      </c>
      <c r="L557" s="17" t="n">
        <v>975474</v>
      </c>
      <c r="M557" s="17" t="n">
        <v>925810</v>
      </c>
      <c r="N557" s="17" t="n">
        <v>49845</v>
      </c>
      <c r="O557" s="17" t="n">
        <v>3969</v>
      </c>
      <c r="P557" s="17" t="n">
        <v>2723</v>
      </c>
      <c r="Q557" s="17" t="n">
        <v>2027</v>
      </c>
      <c r="R557" s="17" t="n">
        <v>0</v>
      </c>
      <c r="S557" s="17" t="n">
        <v>56</v>
      </c>
      <c r="T557" s="17" t="n">
        <v>74.6648</v>
      </c>
      <c r="U557" s="17" t="n">
        <v>0.0078644217043453</v>
      </c>
      <c r="V557" s="17" t="n">
        <v>0</v>
      </c>
      <c r="W557" s="17" t="n">
        <v>0</v>
      </c>
      <c r="X557" s="17" t="n">
        <v>0</v>
      </c>
      <c r="Y557" s="17" t="n">
        <v>7034.4908</v>
      </c>
      <c r="Z557" s="17" t="n">
        <v>0.623215257165778</v>
      </c>
      <c r="AA557" s="17" t="n">
        <v>4.96</v>
      </c>
      <c r="AB557" s="17" t="n">
        <v>3.04519795213915</v>
      </c>
      <c r="AC557" s="17" t="n">
        <v>0.944982635715591</v>
      </c>
      <c r="AD557" s="17" t="n">
        <v>0.05</v>
      </c>
      <c r="AE557" s="17" t="n">
        <v>1</v>
      </c>
      <c r="AF557" s="17" t="s">
        <v>241</v>
      </c>
      <c r="AG557" s="17" t="s">
        <v>232</v>
      </c>
      <c r="AH557" s="17" t="n">
        <v>0</v>
      </c>
    </row>
    <row r="558" customFormat="false" ht="15" hidden="false" customHeight="false" outlineLevel="0" collapsed="false">
      <c r="A558" s="17" t="n">
        <v>17743</v>
      </c>
      <c r="B558" s="23" t="n">
        <v>45565</v>
      </c>
      <c r="C558" s="17" t="s">
        <v>129</v>
      </c>
      <c r="D558" s="17" t="s">
        <v>108</v>
      </c>
      <c r="E558" s="17" t="n">
        <v>1427194</v>
      </c>
      <c r="F558" s="17" t="n">
        <v>1401534.25</v>
      </c>
      <c r="G558" s="17" t="n">
        <v>1006052</v>
      </c>
      <c r="H558" s="17" t="n">
        <v>126250</v>
      </c>
      <c r="I558" s="17" t="n">
        <v>8.84602934149107</v>
      </c>
      <c r="J558" s="17" t="n">
        <v>1138419</v>
      </c>
      <c r="K558" s="17" t="n">
        <v>1112245</v>
      </c>
      <c r="L558" s="17" t="n">
        <v>1133641</v>
      </c>
      <c r="M558" s="17" t="n">
        <v>1102493</v>
      </c>
      <c r="N558" s="17" t="n">
        <v>14864</v>
      </c>
      <c r="O558" s="17" t="n">
        <v>10164</v>
      </c>
      <c r="P558" s="17" t="n">
        <v>1621</v>
      </c>
      <c r="Q558" s="17" t="n">
        <v>779</v>
      </c>
      <c r="R558" s="17" t="n">
        <v>0</v>
      </c>
      <c r="S558" s="17" t="n">
        <v>-25</v>
      </c>
      <c r="T558" s="17" t="n">
        <v>-33.3325</v>
      </c>
      <c r="U558" s="17" t="n">
        <v>-0.00299686669753517</v>
      </c>
      <c r="V558" s="17" t="n">
        <v>0</v>
      </c>
      <c r="W558" s="17" t="n">
        <v>0</v>
      </c>
      <c r="X558" s="17" t="n">
        <v>0</v>
      </c>
      <c r="Y558" s="17" t="n">
        <v>821.3128</v>
      </c>
      <c r="Z558" s="17" t="n">
        <v>0.0586009796050293</v>
      </c>
      <c r="AA558" s="17" t="n">
        <v>0.67</v>
      </c>
      <c r="AB558" s="17" t="n">
        <v>1.89647843215573</v>
      </c>
      <c r="AC558" s="17" t="n">
        <v>0.419704871404992</v>
      </c>
      <c r="AD558" s="17" t="n">
        <v>0</v>
      </c>
      <c r="AE558" s="17" t="n">
        <v>1</v>
      </c>
      <c r="AF558" s="17" t="s">
        <v>241</v>
      </c>
      <c r="AG558" s="17" t="s">
        <v>232</v>
      </c>
      <c r="AH558" s="17" t="n">
        <v>1</v>
      </c>
    </row>
    <row r="559" customFormat="false" ht="15" hidden="false" customHeight="false" outlineLevel="0" collapsed="false">
      <c r="A559" s="17" t="n">
        <v>17748</v>
      </c>
      <c r="B559" s="23" t="n">
        <v>45565</v>
      </c>
      <c r="C559" s="17" t="s">
        <v>196</v>
      </c>
      <c r="D559" s="17" t="s">
        <v>108</v>
      </c>
      <c r="E559" s="17" t="n">
        <v>1623796</v>
      </c>
      <c r="F559" s="17" t="n">
        <v>1647809</v>
      </c>
      <c r="G559" s="17" t="n">
        <v>1375485</v>
      </c>
      <c r="H559" s="17" t="n">
        <v>122957</v>
      </c>
      <c r="I559" s="17" t="n">
        <v>7.57219502942488</v>
      </c>
      <c r="J559" s="17" t="n">
        <v>1252737</v>
      </c>
      <c r="K559" s="17" t="n">
        <v>1266876.75</v>
      </c>
      <c r="L559" s="17" t="n">
        <v>1243852</v>
      </c>
      <c r="M559" s="17" t="n">
        <v>1057786</v>
      </c>
      <c r="N559" s="17" t="n">
        <v>156031</v>
      </c>
      <c r="O559" s="17" t="n">
        <v>3252</v>
      </c>
      <c r="P559" s="17" t="n">
        <v>5501</v>
      </c>
      <c r="Q559" s="17" t="n">
        <v>1443</v>
      </c>
      <c r="R559" s="17" t="n">
        <v>0</v>
      </c>
      <c r="S559" s="17" t="n">
        <v>-239</v>
      </c>
      <c r="T559" s="17" t="n">
        <v>-318.6587</v>
      </c>
      <c r="U559" s="17" t="n">
        <v>-0.0251530940164464</v>
      </c>
      <c r="V559" s="17" t="n">
        <v>0</v>
      </c>
      <c r="W559" s="17" t="n">
        <v>0</v>
      </c>
      <c r="X559" s="17" t="n">
        <v>0</v>
      </c>
      <c r="Y559" s="17" t="n">
        <v>5878.5197</v>
      </c>
      <c r="Z559" s="17" t="n">
        <v>0.356747638834355</v>
      </c>
      <c r="AA559" s="17" t="n">
        <v>5.08</v>
      </c>
      <c r="AB559" s="17" t="n">
        <v>2.49460134726617</v>
      </c>
      <c r="AC559" s="17" t="n">
        <v>0.709247032697206</v>
      </c>
      <c r="AD559" s="17" t="n">
        <v>-0.1</v>
      </c>
      <c r="AE559" s="17" t="n">
        <v>0</v>
      </c>
      <c r="AF559" s="17" t="s">
        <v>241</v>
      </c>
      <c r="AG559" s="17" t="s">
        <v>232</v>
      </c>
      <c r="AH559" s="17" t="n">
        <v>0</v>
      </c>
    </row>
    <row r="560" customFormat="false" ht="15" hidden="false" customHeight="false" outlineLevel="0" collapsed="false">
      <c r="A560" s="17" t="n">
        <v>17749</v>
      </c>
      <c r="B560" s="23" t="n">
        <v>45565</v>
      </c>
      <c r="C560" s="17" t="s">
        <v>156</v>
      </c>
      <c r="D560" s="17" t="s">
        <v>108</v>
      </c>
      <c r="E560" s="17" t="n">
        <v>1372601</v>
      </c>
      <c r="F560" s="17" t="n">
        <v>1368275.75</v>
      </c>
      <c r="G560" s="17" t="n">
        <v>1059435</v>
      </c>
      <c r="H560" s="17" t="n">
        <v>190135</v>
      </c>
      <c r="I560" s="17" t="n">
        <v>13.8521682557422</v>
      </c>
      <c r="J560" s="17" t="n">
        <v>820744</v>
      </c>
      <c r="K560" s="17" t="n">
        <v>813097.5</v>
      </c>
      <c r="L560" s="17" t="n">
        <v>809018</v>
      </c>
      <c r="M560" s="17" t="n">
        <v>748076</v>
      </c>
      <c r="N560" s="17" t="n">
        <v>48457</v>
      </c>
      <c r="O560" s="17" t="n">
        <v>12482</v>
      </c>
      <c r="P560" s="17" t="n">
        <v>617</v>
      </c>
      <c r="Q560" s="17" t="n">
        <v>1026</v>
      </c>
      <c r="R560" s="17" t="n">
        <v>4</v>
      </c>
      <c r="S560" s="17" t="n">
        <v>6</v>
      </c>
      <c r="T560" s="17" t="n">
        <v>7.9998</v>
      </c>
      <c r="U560" s="17" t="n">
        <v>0.00098386724839272</v>
      </c>
      <c r="V560" s="17" t="n">
        <v>0</v>
      </c>
      <c r="W560" s="17" t="n">
        <v>0</v>
      </c>
      <c r="X560" s="17" t="n">
        <v>0</v>
      </c>
      <c r="Y560" s="17" t="n">
        <v>14920.9603</v>
      </c>
      <c r="Z560" s="17" t="n">
        <v>1.09049365962965</v>
      </c>
      <c r="AA560" s="17" t="n">
        <v>8.37</v>
      </c>
      <c r="AB560" s="17" t="n">
        <v>2.48516533343538</v>
      </c>
      <c r="AC560" s="17" t="n">
        <v>1.42870371272894</v>
      </c>
      <c r="AD560" s="17" t="n">
        <v>0.07</v>
      </c>
      <c r="AE560" s="17" t="n">
        <v>1</v>
      </c>
      <c r="AF560" s="17" t="s">
        <v>241</v>
      </c>
      <c r="AG560" s="17" t="s">
        <v>232</v>
      </c>
      <c r="AH560" s="17" t="n">
        <v>1</v>
      </c>
    </row>
    <row r="561" customFormat="false" ht="15" hidden="false" customHeight="false" outlineLevel="0" collapsed="false">
      <c r="A561" s="17" t="n">
        <v>17751</v>
      </c>
      <c r="B561" s="23" t="n">
        <v>45565</v>
      </c>
      <c r="C561" s="17" t="s">
        <v>125</v>
      </c>
      <c r="D561" s="17" t="s">
        <v>108</v>
      </c>
      <c r="E561" s="17" t="n">
        <v>1665363</v>
      </c>
      <c r="F561" s="17" t="n">
        <v>1630038.75</v>
      </c>
      <c r="G561" s="17" t="n">
        <v>1312346</v>
      </c>
      <c r="H561" s="17" t="n">
        <v>146041</v>
      </c>
      <c r="I561" s="17" t="n">
        <v>8.76931936160465</v>
      </c>
      <c r="J561" s="17" t="n">
        <v>1372411</v>
      </c>
      <c r="K561" s="17" t="n">
        <v>1337919.5</v>
      </c>
      <c r="L561" s="17" t="n">
        <v>1359998</v>
      </c>
      <c r="M561" s="17" t="n">
        <v>1170198</v>
      </c>
      <c r="N561" s="17" t="n">
        <v>136330</v>
      </c>
      <c r="O561" s="17" t="n">
        <v>2825</v>
      </c>
      <c r="P561" s="17" t="n">
        <v>5637</v>
      </c>
      <c r="Q561" s="17" t="n">
        <v>2877</v>
      </c>
      <c r="R561" s="17" t="n">
        <v>0</v>
      </c>
      <c r="S561" s="17" t="n">
        <v>-41</v>
      </c>
      <c r="T561" s="17" t="n">
        <v>-54.6653</v>
      </c>
      <c r="U561" s="17" t="n">
        <v>-0.00408584372976102</v>
      </c>
      <c r="V561" s="17" t="n">
        <v>167940</v>
      </c>
      <c r="W561" s="17" t="n">
        <v>1326365</v>
      </c>
      <c r="X561" s="17" t="n">
        <v>12.6616730688762</v>
      </c>
      <c r="Y561" s="17" t="n">
        <v>7057.1569</v>
      </c>
      <c r="Z561" s="17" t="n">
        <v>0.432944118659756</v>
      </c>
      <c r="AA561" s="17" t="n">
        <v>5.01</v>
      </c>
      <c r="AB561" s="17" t="n">
        <v>2.66147221338077</v>
      </c>
      <c r="AC561" s="17" t="n">
        <v>0.904466664869343</v>
      </c>
      <c r="AD561" s="17" t="n">
        <v>0.04</v>
      </c>
      <c r="AE561" s="17" t="n">
        <v>1</v>
      </c>
      <c r="AF561" s="17" t="s">
        <v>241</v>
      </c>
      <c r="AG561" s="17" t="s">
        <v>232</v>
      </c>
      <c r="AH561" s="17" t="n">
        <v>0</v>
      </c>
    </row>
    <row r="562" customFormat="false" ht="15" hidden="false" customHeight="false" outlineLevel="0" collapsed="false">
      <c r="A562" s="17" t="n">
        <v>17897</v>
      </c>
      <c r="B562" s="23" t="n">
        <v>45565</v>
      </c>
      <c r="C562" s="17" t="s">
        <v>149</v>
      </c>
      <c r="D562" s="17" t="s">
        <v>108</v>
      </c>
      <c r="E562" s="17" t="n">
        <v>1743721</v>
      </c>
      <c r="F562" s="17" t="n">
        <v>1725932.75</v>
      </c>
      <c r="G562" s="17" t="n">
        <v>1323557</v>
      </c>
      <c r="H562" s="17" t="n">
        <v>219695</v>
      </c>
      <c r="I562" s="17" t="n">
        <v>12.599205950952</v>
      </c>
      <c r="J562" s="17" t="n">
        <v>1443445</v>
      </c>
      <c r="K562" s="17" t="n">
        <v>1439512.5</v>
      </c>
      <c r="L562" s="17" t="n">
        <v>1434664</v>
      </c>
      <c r="M562" s="17" t="n">
        <v>1355336</v>
      </c>
      <c r="N562" s="17" t="n">
        <v>72858</v>
      </c>
      <c r="O562" s="17" t="n">
        <v>3119</v>
      </c>
      <c r="P562" s="17" t="n">
        <v>4826</v>
      </c>
      <c r="Q562" s="17" t="n">
        <v>1719</v>
      </c>
      <c r="R562" s="17" t="n">
        <v>0</v>
      </c>
      <c r="S562" s="17" t="n">
        <v>-47</v>
      </c>
      <c r="T562" s="17" t="n">
        <v>-62.6651</v>
      </c>
      <c r="U562" s="17" t="n">
        <v>-0.00435321680082667</v>
      </c>
      <c r="V562" s="17" t="n">
        <v>235655</v>
      </c>
      <c r="W562" s="17" t="n">
        <v>1308457</v>
      </c>
      <c r="X562" s="17" t="n">
        <v>18.0101447735768</v>
      </c>
      <c r="Y562" s="17" t="n">
        <v>14294.3093</v>
      </c>
      <c r="Z562" s="17" t="n">
        <v>0.828207779242847</v>
      </c>
      <c r="AA562" s="17" t="n">
        <v>6.72</v>
      </c>
      <c r="AB562" s="17" t="n">
        <v>2.3623944322489</v>
      </c>
      <c r="AC562" s="17" t="n">
        <v>0.608336306544413</v>
      </c>
      <c r="AD562" s="17" t="n">
        <v>-0.01</v>
      </c>
      <c r="AE562" s="17" t="n">
        <v>1</v>
      </c>
      <c r="AF562" s="17" t="s">
        <v>241</v>
      </c>
      <c r="AG562" s="17" t="s">
        <v>232</v>
      </c>
      <c r="AH562" s="17" t="n">
        <v>0</v>
      </c>
    </row>
    <row r="563" customFormat="false" ht="15" hidden="false" customHeight="false" outlineLevel="0" collapsed="false">
      <c r="A563" s="17" t="n">
        <v>17951</v>
      </c>
      <c r="B563" s="23" t="n">
        <v>45565</v>
      </c>
      <c r="C563" s="17" t="s">
        <v>136</v>
      </c>
      <c r="D563" s="17" t="s">
        <v>116</v>
      </c>
      <c r="E563" s="17" t="n">
        <v>819978</v>
      </c>
      <c r="F563" s="17" t="n">
        <v>802781</v>
      </c>
      <c r="G563" s="17" t="n">
        <v>688357</v>
      </c>
      <c r="H563" s="17" t="n">
        <v>67870</v>
      </c>
      <c r="I563" s="17" t="n">
        <v>8.27705133552364</v>
      </c>
      <c r="J563" s="17" t="n">
        <v>599913</v>
      </c>
      <c r="K563" s="17" t="n">
        <v>590358</v>
      </c>
      <c r="L563" s="17" t="n">
        <v>594815</v>
      </c>
      <c r="M563" s="17" t="n">
        <v>550875</v>
      </c>
      <c r="N563" s="17" t="n">
        <v>30902</v>
      </c>
      <c r="O563" s="17" t="n">
        <v>1766</v>
      </c>
      <c r="P563" s="17" t="n">
        <v>61</v>
      </c>
      <c r="Q563" s="17" t="n">
        <v>540</v>
      </c>
      <c r="R563" s="17" t="n">
        <v>0</v>
      </c>
      <c r="S563" s="17" t="n">
        <v>-141</v>
      </c>
      <c r="T563" s="17" t="n">
        <v>-187.9953</v>
      </c>
      <c r="U563" s="17" t="n">
        <v>-0.0318442877033935</v>
      </c>
      <c r="V563" s="17" t="n">
        <v>83103</v>
      </c>
      <c r="W563" s="17" t="n">
        <v>571308</v>
      </c>
      <c r="X563" s="17" t="n">
        <v>14.5460942258817</v>
      </c>
      <c r="Y563" s="17" t="n">
        <v>4102.5641</v>
      </c>
      <c r="Z563" s="17" t="n">
        <v>0.511043995809567</v>
      </c>
      <c r="AA563" s="17" t="n">
        <v>6.44</v>
      </c>
      <c r="AB563" s="17" t="n">
        <v>2.48058120647071</v>
      </c>
      <c r="AC563" s="17" t="n">
        <v>0.849789886200166</v>
      </c>
      <c r="AD563" s="17" t="n">
        <v>0.01</v>
      </c>
      <c r="AE563" s="17" t="n">
        <v>1</v>
      </c>
      <c r="AF563" s="17" t="s">
        <v>241</v>
      </c>
      <c r="AG563" s="17" t="s">
        <v>232</v>
      </c>
      <c r="AH563" s="17" t="n">
        <v>0</v>
      </c>
    </row>
    <row r="564" customFormat="false" ht="15" hidden="false" customHeight="false" outlineLevel="0" collapsed="false">
      <c r="A564" s="17" t="n">
        <v>17960</v>
      </c>
      <c r="B564" s="23" t="n">
        <v>45565</v>
      </c>
      <c r="C564" s="17" t="s">
        <v>115</v>
      </c>
      <c r="D564" s="17" t="s">
        <v>116</v>
      </c>
      <c r="E564" s="17" t="n">
        <v>1380640</v>
      </c>
      <c r="F564" s="17" t="n">
        <v>1372973.75</v>
      </c>
      <c r="G564" s="17" t="n">
        <v>1050589</v>
      </c>
      <c r="H564" s="17" t="n">
        <v>117711</v>
      </c>
      <c r="I564" s="17" t="n">
        <v>8.52582860122842</v>
      </c>
      <c r="J564" s="17" t="n">
        <v>1167764</v>
      </c>
      <c r="K564" s="17" t="n">
        <v>1169600.5</v>
      </c>
      <c r="L564" s="17" t="n">
        <v>1155934</v>
      </c>
      <c r="M564" s="17" t="n">
        <v>827763</v>
      </c>
      <c r="N564" s="17" t="n">
        <v>105315</v>
      </c>
      <c r="O564" s="17" t="n">
        <v>230816</v>
      </c>
      <c r="P564" s="17" t="n">
        <v>6798</v>
      </c>
      <c r="Q564" s="17" t="n">
        <v>5539</v>
      </c>
      <c r="R564" s="17" t="n">
        <v>44</v>
      </c>
      <c r="S564" s="17" t="n">
        <v>2883</v>
      </c>
      <c r="T564" s="17" t="n">
        <v>3843.9039</v>
      </c>
      <c r="U564" s="17" t="n">
        <v>0.328651013743582</v>
      </c>
      <c r="V564" s="17" t="n">
        <v>141147</v>
      </c>
      <c r="W564" s="17" t="n">
        <v>1049794</v>
      </c>
      <c r="X564" s="17" t="n">
        <v>13.4452092505768</v>
      </c>
      <c r="Y564" s="17" t="n">
        <v>2909.2606</v>
      </c>
      <c r="Z564" s="17" t="n">
        <v>0.211894845039827</v>
      </c>
      <c r="AA564" s="17" t="n">
        <v>2.53</v>
      </c>
      <c r="AB564" s="17" t="n">
        <v>2.71332263065168</v>
      </c>
      <c r="AC564" s="17" t="n">
        <v>1.01304715678853</v>
      </c>
      <c r="AD564" s="17" t="n">
        <v>0.32</v>
      </c>
      <c r="AE564" s="17" t="n">
        <v>1</v>
      </c>
      <c r="AF564" s="17" t="s">
        <v>241</v>
      </c>
      <c r="AG564" s="17" t="s">
        <v>232</v>
      </c>
      <c r="AH564" s="17" t="n">
        <v>0</v>
      </c>
    </row>
    <row r="565" customFormat="false" ht="15" hidden="false" customHeight="false" outlineLevel="0" collapsed="false">
      <c r="A565" s="17" t="n">
        <v>18012</v>
      </c>
      <c r="B565" s="23" t="n">
        <v>45565</v>
      </c>
      <c r="C565" s="17" t="s">
        <v>148</v>
      </c>
      <c r="D565" s="17" t="s">
        <v>116</v>
      </c>
      <c r="E565" s="17" t="n">
        <v>2583718</v>
      </c>
      <c r="F565" s="17" t="n">
        <v>2518762</v>
      </c>
      <c r="G565" s="17" t="n">
        <v>2179694</v>
      </c>
      <c r="H565" s="17" t="n">
        <v>287158</v>
      </c>
      <c r="I565" s="17" t="n">
        <v>11.1141386172949</v>
      </c>
      <c r="J565" s="17" t="n">
        <v>2078109</v>
      </c>
      <c r="K565" s="17" t="n">
        <v>2025945.75</v>
      </c>
      <c r="L565" s="17" t="n">
        <v>2053852</v>
      </c>
      <c r="M565" s="17" t="n">
        <v>1973661</v>
      </c>
      <c r="N565" s="17" t="n">
        <v>48301</v>
      </c>
      <c r="O565" s="17" t="n">
        <v>28594</v>
      </c>
      <c r="P565" s="17" t="n">
        <v>551</v>
      </c>
      <c r="Q565" s="17" t="n">
        <v>4359</v>
      </c>
      <c r="R565" s="17" t="n">
        <v>0</v>
      </c>
      <c r="S565" s="17" t="n">
        <v>81</v>
      </c>
      <c r="T565" s="17" t="n">
        <v>107.9973</v>
      </c>
      <c r="U565" s="17" t="n">
        <v>0.00533071036082778</v>
      </c>
      <c r="V565" s="17" t="n">
        <v>314728</v>
      </c>
      <c r="W565" s="17" t="n">
        <v>2182433</v>
      </c>
      <c r="X565" s="17" t="n">
        <v>14.420969624268</v>
      </c>
      <c r="Y565" s="17" t="n">
        <v>17835.5541</v>
      </c>
      <c r="Z565" s="17" t="n">
        <v>0.708107955416192</v>
      </c>
      <c r="AA565" s="17" t="n">
        <v>6.5</v>
      </c>
      <c r="AB565" s="17" t="n">
        <v>2.69914361948279</v>
      </c>
      <c r="AC565" s="17" t="n">
        <v>1.16726312238675</v>
      </c>
      <c r="AD565" s="17" t="n">
        <v>0.03</v>
      </c>
      <c r="AE565" s="17" t="n">
        <v>1</v>
      </c>
      <c r="AF565" s="17" t="s">
        <v>314</v>
      </c>
      <c r="AG565" s="17" t="s">
        <v>232</v>
      </c>
      <c r="AH565" s="17" t="n">
        <v>0</v>
      </c>
    </row>
    <row r="566" customFormat="false" ht="15" hidden="false" customHeight="false" outlineLevel="0" collapsed="false">
      <c r="A566" s="17" t="n">
        <v>18013</v>
      </c>
      <c r="B566" s="23" t="n">
        <v>45565</v>
      </c>
      <c r="C566" s="17" t="s">
        <v>131</v>
      </c>
      <c r="D566" s="17" t="s">
        <v>116</v>
      </c>
      <c r="E566" s="17" t="n">
        <v>2889853</v>
      </c>
      <c r="F566" s="17" t="n">
        <v>2919476.75</v>
      </c>
      <c r="G566" s="17" t="n">
        <v>2534229</v>
      </c>
      <c r="H566" s="17" t="n">
        <v>234630</v>
      </c>
      <c r="I566" s="17" t="n">
        <v>8.1190980994535</v>
      </c>
      <c r="J566" s="17" t="n">
        <v>2393581</v>
      </c>
      <c r="K566" s="17" t="n">
        <v>2390962</v>
      </c>
      <c r="L566" s="17" t="n">
        <v>2376792</v>
      </c>
      <c r="M566" s="17" t="n">
        <v>2183396</v>
      </c>
      <c r="N566" s="17" t="n">
        <v>105437</v>
      </c>
      <c r="O566" s="17" t="n">
        <v>23430</v>
      </c>
      <c r="P566" s="17" t="n">
        <v>1627</v>
      </c>
      <c r="Q566" s="17" t="n">
        <v>5926</v>
      </c>
      <c r="R566" s="17" t="n">
        <v>74</v>
      </c>
      <c r="S566" s="17" t="n">
        <v>296</v>
      </c>
      <c r="T566" s="17" t="n">
        <v>394.6568</v>
      </c>
      <c r="U566" s="17" t="n">
        <v>0.0165061929047806</v>
      </c>
      <c r="V566" s="17" t="n">
        <v>270892</v>
      </c>
      <c r="W566" s="17" t="n">
        <v>2147665</v>
      </c>
      <c r="X566" s="17" t="n">
        <v>12.6133265662941</v>
      </c>
      <c r="Y566" s="17" t="n">
        <v>7397.1484</v>
      </c>
      <c r="Z566" s="17" t="n">
        <v>0.25337240311984</v>
      </c>
      <c r="AA566" s="17" t="n">
        <v>3.29</v>
      </c>
      <c r="AB566" s="17" t="n">
        <v>2.452484291317</v>
      </c>
      <c r="AC566" s="17" t="n">
        <v>0.701417666667642</v>
      </c>
      <c r="AD566" s="17" t="n">
        <v>0</v>
      </c>
      <c r="AE566" s="17" t="n">
        <v>1</v>
      </c>
      <c r="AF566" s="17" t="s">
        <v>314</v>
      </c>
      <c r="AG566" s="17" t="s">
        <v>232</v>
      </c>
      <c r="AH566" s="17" t="n">
        <v>0</v>
      </c>
    </row>
    <row r="567" customFormat="false" ht="15" hidden="false" customHeight="false" outlineLevel="0" collapsed="false">
      <c r="A567" s="17" t="n">
        <v>18028</v>
      </c>
      <c r="B567" s="23" t="n">
        <v>45565</v>
      </c>
      <c r="C567" s="17" t="s">
        <v>130</v>
      </c>
      <c r="D567" s="17" t="s">
        <v>116</v>
      </c>
      <c r="E567" s="17" t="n">
        <v>407460</v>
      </c>
      <c r="F567" s="17" t="n">
        <v>397813.25</v>
      </c>
      <c r="G567" s="17" t="n">
        <v>337570</v>
      </c>
      <c r="H567" s="17" t="n">
        <v>43831</v>
      </c>
      <c r="I567" s="17" t="n">
        <v>10.7571295341874</v>
      </c>
      <c r="J567" s="17" t="n">
        <v>273990</v>
      </c>
      <c r="K567" s="17" t="n">
        <v>269196</v>
      </c>
      <c r="L567" s="17" t="n">
        <v>271740</v>
      </c>
      <c r="M567" s="17" t="n">
        <v>249806</v>
      </c>
      <c r="N567" s="17" t="n">
        <v>12374</v>
      </c>
      <c r="O567" s="17" t="n">
        <v>6660</v>
      </c>
      <c r="P567" s="17" t="n">
        <v>908</v>
      </c>
      <c r="Q567" s="17" t="n">
        <v>845</v>
      </c>
      <c r="R567" s="17" t="n">
        <v>358</v>
      </c>
      <c r="S567" s="17" t="n">
        <v>376</v>
      </c>
      <c r="T567" s="17" t="n">
        <v>501.3208</v>
      </c>
      <c r="U567" s="17" t="n">
        <v>0.186228918706073</v>
      </c>
      <c r="V567" s="17" t="n">
        <v>0</v>
      </c>
      <c r="W567" s="17" t="n">
        <v>0</v>
      </c>
      <c r="X567" s="17" t="n">
        <v>0</v>
      </c>
      <c r="Y567" s="17" t="n">
        <v>1787.9553</v>
      </c>
      <c r="Z567" s="17" t="n">
        <v>0.449445889497145</v>
      </c>
      <c r="AA567" s="17" t="n">
        <v>4.31</v>
      </c>
      <c r="AB567" s="17" t="n">
        <v>3.29966188951613</v>
      </c>
      <c r="AC567" s="17" t="n">
        <v>0.821197853936275</v>
      </c>
      <c r="AD567" s="17" t="n">
        <v>0.09</v>
      </c>
      <c r="AE567" s="17" t="n">
        <v>1</v>
      </c>
      <c r="AF567" s="17" t="s">
        <v>241</v>
      </c>
      <c r="AG567" s="17" t="s">
        <v>232</v>
      </c>
      <c r="AH567" s="17" t="n">
        <v>0</v>
      </c>
    </row>
    <row r="568" customFormat="false" ht="15" hidden="false" customHeight="false" outlineLevel="0" collapsed="false">
      <c r="A568" s="17" t="n">
        <v>18030</v>
      </c>
      <c r="B568" s="23" t="n">
        <v>45565</v>
      </c>
      <c r="C568" s="17" t="s">
        <v>157</v>
      </c>
      <c r="D568" s="17" t="s">
        <v>116</v>
      </c>
      <c r="E568" s="17" t="n">
        <v>794567</v>
      </c>
      <c r="F568" s="17" t="n">
        <v>761918.75</v>
      </c>
      <c r="G568" s="17" t="n">
        <v>707506</v>
      </c>
      <c r="H568" s="17" t="n">
        <v>54737</v>
      </c>
      <c r="I568" s="17" t="n">
        <v>6.88890930531975</v>
      </c>
      <c r="J568" s="17" t="n">
        <v>588776</v>
      </c>
      <c r="K568" s="17" t="n">
        <v>586431</v>
      </c>
      <c r="L568" s="17" t="n">
        <v>582921</v>
      </c>
      <c r="M568" s="17" t="n">
        <v>447654</v>
      </c>
      <c r="N568" s="17" t="n">
        <v>42189</v>
      </c>
      <c r="O568" s="17" t="n">
        <v>98640</v>
      </c>
      <c r="P568" s="17" t="n">
        <v>1967</v>
      </c>
      <c r="Q568" s="17" t="n">
        <v>1330</v>
      </c>
      <c r="R568" s="17" t="n">
        <v>0</v>
      </c>
      <c r="S568" s="17" t="n">
        <v>111</v>
      </c>
      <c r="T568" s="17" t="n">
        <v>147.9963</v>
      </c>
      <c r="U568" s="17" t="n">
        <v>0.0252367797746026</v>
      </c>
      <c r="V568" s="17" t="n">
        <v>70765</v>
      </c>
      <c r="W568" s="17" t="n">
        <v>517646</v>
      </c>
      <c r="X568" s="17" t="n">
        <v>13.6705393261032</v>
      </c>
      <c r="Y568" s="17" t="n">
        <v>5313.2005</v>
      </c>
      <c r="Z568" s="17" t="n">
        <v>0.697344762810995</v>
      </c>
      <c r="AA568" s="17" t="n">
        <v>10.43</v>
      </c>
      <c r="AB568" s="17" t="n">
        <v>3.41619145057046</v>
      </c>
      <c r="AC568" s="17" t="n">
        <v>0.994435914507385</v>
      </c>
      <c r="AD568" s="17" t="n">
        <v>0.01</v>
      </c>
      <c r="AE568" s="17" t="n">
        <v>1</v>
      </c>
      <c r="AF568" s="17" t="s">
        <v>241</v>
      </c>
      <c r="AG568" s="17" t="s">
        <v>232</v>
      </c>
      <c r="AH568" s="17" t="n">
        <v>0</v>
      </c>
    </row>
    <row r="569" customFormat="false" ht="15" hidden="false" customHeight="false" outlineLevel="0" collapsed="false">
      <c r="A569" s="17" t="n">
        <v>18031</v>
      </c>
      <c r="B569" s="23" t="n">
        <v>45565</v>
      </c>
      <c r="C569" s="17" t="s">
        <v>152</v>
      </c>
      <c r="D569" s="17" t="s">
        <v>116</v>
      </c>
      <c r="E569" s="17" t="n">
        <v>677501</v>
      </c>
      <c r="F569" s="17" t="n">
        <v>675425.5</v>
      </c>
      <c r="G569" s="17" t="n">
        <v>528633</v>
      </c>
      <c r="H569" s="17" t="n">
        <v>41575</v>
      </c>
      <c r="I569" s="17" t="n">
        <v>6.13652230771615</v>
      </c>
      <c r="J569" s="17" t="n">
        <v>468218</v>
      </c>
      <c r="K569" s="17" t="n">
        <v>474535.5</v>
      </c>
      <c r="L569" s="17" t="n">
        <v>464366</v>
      </c>
      <c r="M569" s="17" t="n">
        <v>431155</v>
      </c>
      <c r="N569" s="17" t="n">
        <v>22338</v>
      </c>
      <c r="O569" s="17" t="n">
        <v>8244</v>
      </c>
      <c r="P569" s="17" t="n">
        <v>973</v>
      </c>
      <c r="Q569" s="17" t="n">
        <v>243</v>
      </c>
      <c r="R569" s="17" t="n">
        <v>0</v>
      </c>
      <c r="S569" s="17" t="n">
        <v>34</v>
      </c>
      <c r="T569" s="17" t="n">
        <v>45.3322</v>
      </c>
      <c r="U569" s="17" t="n">
        <v>0.00955296284471868</v>
      </c>
      <c r="V569" s="17" t="n">
        <v>61818</v>
      </c>
      <c r="W569" s="17" t="n">
        <v>369091</v>
      </c>
      <c r="X569" s="17" t="n">
        <v>16.7487150865234</v>
      </c>
      <c r="Y569" s="17" t="n">
        <v>2878.5947</v>
      </c>
      <c r="Z569" s="17" t="n">
        <v>0.42618981664151</v>
      </c>
      <c r="AA569" s="17" t="n">
        <v>7.55</v>
      </c>
      <c r="AB569" s="17" t="n">
        <v>2.63046277328617</v>
      </c>
      <c r="AC569" s="17" t="n">
        <v>0.822693702506098</v>
      </c>
      <c r="AD569" s="17" t="n">
        <v>-0.03</v>
      </c>
      <c r="AE569" s="17" t="n">
        <v>0</v>
      </c>
      <c r="AF569" s="17" t="s">
        <v>241</v>
      </c>
      <c r="AG569" s="17" t="s">
        <v>232</v>
      </c>
      <c r="AH569" s="17" t="n">
        <v>0</v>
      </c>
    </row>
    <row r="570" customFormat="false" ht="15" hidden="false" customHeight="false" outlineLevel="0" collapsed="false">
      <c r="A570" s="17" t="n">
        <v>18038</v>
      </c>
      <c r="B570" s="23" t="n">
        <v>45565</v>
      </c>
      <c r="C570" s="17" t="s">
        <v>128</v>
      </c>
      <c r="D570" s="17" t="s">
        <v>116</v>
      </c>
      <c r="E570" s="17" t="n">
        <v>578941</v>
      </c>
      <c r="F570" s="17" t="n">
        <v>545393.5</v>
      </c>
      <c r="G570" s="17" t="n">
        <v>436224</v>
      </c>
      <c r="H570" s="17" t="n">
        <v>68568</v>
      </c>
      <c r="I570" s="17" t="n">
        <v>11.8436939169967</v>
      </c>
      <c r="J570" s="17" t="n">
        <v>419953</v>
      </c>
      <c r="K570" s="17" t="n">
        <v>418177.25</v>
      </c>
      <c r="L570" s="17" t="n">
        <v>416031</v>
      </c>
      <c r="M570" s="17" t="n">
        <v>385462</v>
      </c>
      <c r="N570" s="17" t="n">
        <v>28944</v>
      </c>
      <c r="O570" s="17" t="n">
        <v>4689</v>
      </c>
      <c r="P570" s="17" t="n">
        <v>2472</v>
      </c>
      <c r="Q570" s="17" t="n">
        <v>765</v>
      </c>
      <c r="R570" s="17" t="n">
        <v>0</v>
      </c>
      <c r="S570" s="17" t="n">
        <v>-9</v>
      </c>
      <c r="T570" s="17" t="n">
        <v>-11.9997</v>
      </c>
      <c r="U570" s="17" t="n">
        <v>-0.00286952482470053</v>
      </c>
      <c r="V570" s="17" t="n">
        <v>0</v>
      </c>
      <c r="W570" s="17" t="n">
        <v>0</v>
      </c>
      <c r="X570" s="17" t="n">
        <v>0</v>
      </c>
      <c r="Y570" s="17" t="n">
        <v>2618.6012</v>
      </c>
      <c r="Z570" s="17" t="n">
        <v>0.480130621285366</v>
      </c>
      <c r="AA570" s="17" t="n">
        <v>3.91</v>
      </c>
      <c r="AB570" s="17" t="n">
        <v>2.50311359932842</v>
      </c>
      <c r="AC570" s="17" t="n">
        <v>0.933914033237053</v>
      </c>
      <c r="AD570" s="17" t="n">
        <v>0.02</v>
      </c>
      <c r="AE570" s="17" t="n">
        <v>1</v>
      </c>
      <c r="AF570" s="17" t="s">
        <v>241</v>
      </c>
      <c r="AG570" s="17" t="s">
        <v>232</v>
      </c>
      <c r="AH570" s="17" t="n">
        <v>1</v>
      </c>
    </row>
    <row r="571" customFormat="false" ht="15" hidden="false" customHeight="false" outlineLevel="0" collapsed="false">
      <c r="A571" s="17" t="n">
        <v>18408</v>
      </c>
      <c r="B571" s="23" t="n">
        <v>45565</v>
      </c>
      <c r="C571" s="17" t="s">
        <v>107</v>
      </c>
      <c r="D571" s="17" t="s">
        <v>108</v>
      </c>
      <c r="E571" s="17" t="n">
        <v>7218777</v>
      </c>
      <c r="F571" s="17" t="n">
        <v>7227621.75</v>
      </c>
      <c r="G571" s="17" t="n">
        <v>5440947</v>
      </c>
      <c r="H571" s="17" t="n">
        <v>451617</v>
      </c>
      <c r="I571" s="17" t="n">
        <v>6.25614283416706</v>
      </c>
      <c r="J571" s="17" t="n">
        <v>4864322</v>
      </c>
      <c r="K571" s="17" t="n">
        <v>4855464.75</v>
      </c>
      <c r="L571" s="17" t="n">
        <v>4833234</v>
      </c>
      <c r="M571" s="17" t="n">
        <v>4390169</v>
      </c>
      <c r="N571" s="17" t="n">
        <v>361664</v>
      </c>
      <c r="O571" s="17" t="n">
        <v>37287</v>
      </c>
      <c r="P571" s="17" t="n">
        <v>3776</v>
      </c>
      <c r="Q571" s="17" t="n">
        <v>4839</v>
      </c>
      <c r="R571" s="17" t="n">
        <v>0</v>
      </c>
      <c r="S571" s="17" t="n">
        <v>-375</v>
      </c>
      <c r="T571" s="17" t="n">
        <v>-499.9875</v>
      </c>
      <c r="U571" s="17" t="n">
        <v>-0.0102974179763122</v>
      </c>
      <c r="V571" s="17" t="n">
        <v>586810</v>
      </c>
      <c r="W571" s="17" t="n">
        <v>5089378</v>
      </c>
      <c r="X571" s="17" t="n">
        <v>11.5300926753721</v>
      </c>
      <c r="Y571" s="17" t="n">
        <v>11215.7196</v>
      </c>
      <c r="Z571" s="17" t="n">
        <v>0.155178563405037</v>
      </c>
      <c r="AA571" s="17" t="n">
        <v>2.68</v>
      </c>
      <c r="AB571" s="17" t="n">
        <v>2.12612207544725</v>
      </c>
      <c r="AC571" s="17" t="n">
        <v>0.63910242784092</v>
      </c>
      <c r="AD571" s="17" t="n">
        <v>-0.02</v>
      </c>
      <c r="AE571" s="17" t="n">
        <v>1</v>
      </c>
      <c r="AF571" s="17" t="s">
        <v>241</v>
      </c>
      <c r="AG571" s="17" t="s">
        <v>232</v>
      </c>
      <c r="AH571" s="17" t="n">
        <v>0</v>
      </c>
    </row>
    <row r="572" customFormat="false" ht="15" hidden="false" customHeight="false" outlineLevel="0" collapsed="false">
      <c r="A572" s="17" t="n">
        <v>19531</v>
      </c>
      <c r="B572" s="23" t="n">
        <v>45565</v>
      </c>
      <c r="C572" s="17" t="s">
        <v>146</v>
      </c>
      <c r="D572" s="17" t="s">
        <v>108</v>
      </c>
      <c r="E572" s="17" t="n">
        <v>2632240</v>
      </c>
      <c r="F572" s="17" t="n">
        <v>2563762.25</v>
      </c>
      <c r="G572" s="17" t="n">
        <v>2115575</v>
      </c>
      <c r="H572" s="17" t="n">
        <v>257463</v>
      </c>
      <c r="I572" s="17" t="n">
        <v>9.78113697839103</v>
      </c>
      <c r="J572" s="17" t="n">
        <v>2161349</v>
      </c>
      <c r="K572" s="17" t="n">
        <v>2083612.25</v>
      </c>
      <c r="L572" s="17" t="n">
        <v>2141895</v>
      </c>
      <c r="M572" s="17" t="n">
        <v>1773165</v>
      </c>
      <c r="N572" s="17" t="n">
        <v>265218</v>
      </c>
      <c r="O572" s="17" t="n">
        <v>9142</v>
      </c>
      <c r="P572" s="17" t="n">
        <v>6917</v>
      </c>
      <c r="Q572" s="17" t="n">
        <v>3153</v>
      </c>
      <c r="R572" s="17" t="n">
        <v>8</v>
      </c>
      <c r="S572" s="17" t="n">
        <v>495</v>
      </c>
      <c r="T572" s="17" t="n">
        <v>659.9835</v>
      </c>
      <c r="U572" s="17" t="n">
        <v>0.0316749673553705</v>
      </c>
      <c r="V572" s="17" t="n">
        <v>304046</v>
      </c>
      <c r="W572" s="17" t="n">
        <v>2200791</v>
      </c>
      <c r="X572" s="17" t="n">
        <v>13.8153054969781</v>
      </c>
      <c r="Y572" s="17" t="n">
        <v>11643.7089</v>
      </c>
      <c r="Z572" s="17" t="n">
        <v>0.454164925004259</v>
      </c>
      <c r="AA572" s="17" t="n">
        <v>4.71</v>
      </c>
      <c r="AB572" s="17" t="n">
        <v>2.67251082299445</v>
      </c>
      <c r="AC572" s="17" t="n">
        <v>0.900086011097699</v>
      </c>
      <c r="AD572" s="17" t="n">
        <v>-0.05</v>
      </c>
      <c r="AE572" s="17" t="n">
        <v>1</v>
      </c>
      <c r="AF572" s="17" t="s">
        <v>241</v>
      </c>
      <c r="AG572" s="17" t="s">
        <v>232</v>
      </c>
      <c r="AH572" s="17" t="n">
        <v>0</v>
      </c>
    </row>
    <row r="573" customFormat="false" ht="15" hidden="false" customHeight="false" outlineLevel="0" collapsed="false">
      <c r="A573" s="17" t="n">
        <v>19532</v>
      </c>
      <c r="B573" s="23" t="n">
        <v>45565</v>
      </c>
      <c r="C573" s="17" t="s">
        <v>164</v>
      </c>
      <c r="D573" s="17" t="s">
        <v>108</v>
      </c>
      <c r="E573" s="17" t="n">
        <v>870742</v>
      </c>
      <c r="F573" s="17" t="n">
        <v>881637.25</v>
      </c>
      <c r="G573" s="17" t="n">
        <v>721893</v>
      </c>
      <c r="H573" s="17" t="n">
        <v>105663</v>
      </c>
      <c r="I573" s="17" t="n">
        <v>12.1348229441097</v>
      </c>
      <c r="J573" s="17" t="n">
        <v>605503</v>
      </c>
      <c r="K573" s="17" t="n">
        <v>594760.5</v>
      </c>
      <c r="L573" s="17" t="n">
        <v>599555</v>
      </c>
      <c r="M573" s="17" t="n">
        <v>500065</v>
      </c>
      <c r="N573" s="17" t="n">
        <v>49678</v>
      </c>
      <c r="O573" s="17" t="n">
        <v>50753</v>
      </c>
      <c r="P573" s="17" t="n">
        <v>1698</v>
      </c>
      <c r="Q573" s="17" t="n">
        <v>1374</v>
      </c>
      <c r="R573" s="17" t="n">
        <v>0</v>
      </c>
      <c r="S573" s="17" t="n">
        <v>57</v>
      </c>
      <c r="T573" s="17" t="n">
        <v>75.9981</v>
      </c>
      <c r="U573" s="17" t="n">
        <v>0.0127779333025647</v>
      </c>
      <c r="V573" s="17" t="n">
        <v>126783</v>
      </c>
      <c r="W573" s="17" t="n">
        <v>594841</v>
      </c>
      <c r="X573" s="17" t="n">
        <v>21.3137628374641</v>
      </c>
      <c r="Y573" s="17" t="n">
        <v>7877.1364</v>
      </c>
      <c r="Z573" s="17" t="n">
        <v>0.89346683117121</v>
      </c>
      <c r="AA573" s="17" t="n">
        <v>7.91</v>
      </c>
      <c r="AB573" s="17" t="n">
        <v>3.08744646214214</v>
      </c>
      <c r="AC573" s="17" t="n">
        <v>0.98232378700023</v>
      </c>
      <c r="AD573" s="17" t="n">
        <v>0.01</v>
      </c>
      <c r="AE573" s="17" t="n">
        <v>1</v>
      </c>
      <c r="AF573" s="17" t="s">
        <v>241</v>
      </c>
      <c r="AG573" s="17" t="s">
        <v>232</v>
      </c>
      <c r="AH573" s="17" t="n">
        <v>1</v>
      </c>
    </row>
    <row r="574" customFormat="false" ht="15" hidden="false" customHeight="false" outlineLevel="0" collapsed="false">
      <c r="A574" s="17" t="n">
        <v>19690</v>
      </c>
      <c r="B574" s="23" t="n">
        <v>45565</v>
      </c>
      <c r="C574" s="17" t="s">
        <v>158</v>
      </c>
      <c r="D574" s="17" t="s">
        <v>108</v>
      </c>
      <c r="E574" s="17" t="n">
        <v>3939898</v>
      </c>
      <c r="F574" s="17" t="n">
        <v>3260523</v>
      </c>
      <c r="G574" s="17" t="n">
        <v>3161567</v>
      </c>
      <c r="H574" s="17" t="n">
        <v>392557</v>
      </c>
      <c r="I574" s="17" t="n">
        <v>9.96363357630071</v>
      </c>
      <c r="J574" s="17" t="n">
        <v>3520602</v>
      </c>
      <c r="K574" s="17" t="n">
        <v>2887399.5</v>
      </c>
      <c r="L574" s="17" t="n">
        <v>3476962</v>
      </c>
      <c r="M574" s="17" t="n">
        <v>2821610</v>
      </c>
      <c r="N574" s="17" t="n">
        <v>90449</v>
      </c>
      <c r="O574" s="17" t="n">
        <v>223</v>
      </c>
      <c r="P574" s="17" t="n">
        <v>37172</v>
      </c>
      <c r="Q574" s="17" t="n">
        <v>1367</v>
      </c>
      <c r="R574" s="17" t="n">
        <v>0</v>
      </c>
      <c r="S574" s="17" t="n">
        <v>5198</v>
      </c>
      <c r="T574" s="17" t="n">
        <v>6930.4934</v>
      </c>
      <c r="U574" s="17" t="n">
        <v>0.24002544157814</v>
      </c>
      <c r="V574" s="17" t="n">
        <v>434963</v>
      </c>
      <c r="W574" s="17" t="n">
        <v>3425089</v>
      </c>
      <c r="X574" s="17" t="n">
        <v>12.6993196381174</v>
      </c>
      <c r="Y574" s="17" t="n">
        <v>61483.7962</v>
      </c>
      <c r="Z574" s="17" t="n">
        <v>1.88570349603423</v>
      </c>
      <c r="AA574" s="17" t="n">
        <v>16.98</v>
      </c>
      <c r="AB574" s="17" t="n">
        <v>4.79885538409899</v>
      </c>
      <c r="AC574" s="17" t="n">
        <v>1.23956073421534</v>
      </c>
      <c r="AD574" s="17" t="n">
        <v>0.06</v>
      </c>
      <c r="AE574" s="17" t="n">
        <v>1</v>
      </c>
      <c r="AF574" s="17" t="s">
        <v>231</v>
      </c>
      <c r="AG574" s="17" t="s">
        <v>232</v>
      </c>
      <c r="AH574" s="17" t="n">
        <v>0</v>
      </c>
    </row>
    <row r="575" customFormat="false" ht="15" hidden="false" customHeight="false" outlineLevel="0" collapsed="false">
      <c r="A575" s="17" t="n">
        <v>19836</v>
      </c>
      <c r="B575" s="23" t="n">
        <v>45565</v>
      </c>
      <c r="C575" s="17" t="s">
        <v>136</v>
      </c>
      <c r="D575" s="17" t="s">
        <v>108</v>
      </c>
      <c r="E575" s="17" t="n">
        <v>712547</v>
      </c>
      <c r="F575" s="17" t="n">
        <v>685748.5</v>
      </c>
      <c r="G575" s="17" t="n">
        <v>529260</v>
      </c>
      <c r="H575" s="17" t="n">
        <v>125592</v>
      </c>
      <c r="I575" s="17" t="n">
        <v>17.6257846850804</v>
      </c>
      <c r="J575" s="17" t="n">
        <v>608881</v>
      </c>
      <c r="K575" s="17" t="n">
        <v>575756.25</v>
      </c>
      <c r="L575" s="17" t="n">
        <v>604418</v>
      </c>
      <c r="M575" s="17" t="n">
        <v>548608</v>
      </c>
      <c r="N575" s="17" t="n">
        <v>45189</v>
      </c>
      <c r="O575" s="17" t="n">
        <v>11613</v>
      </c>
      <c r="P575" s="17" t="n">
        <v>5741</v>
      </c>
      <c r="Q575" s="17" t="n">
        <v>1912</v>
      </c>
      <c r="R575" s="17" t="n">
        <v>354</v>
      </c>
      <c r="S575" s="17" t="n">
        <v>33</v>
      </c>
      <c r="T575" s="17" t="n">
        <v>43.9989</v>
      </c>
      <c r="U575" s="17" t="n">
        <v>0.00764193180707982</v>
      </c>
      <c r="V575" s="17" t="n">
        <v>138545</v>
      </c>
      <c r="W575" s="17" t="n">
        <v>578826</v>
      </c>
      <c r="X575" s="17" t="n">
        <v>23.9355177549039</v>
      </c>
      <c r="Y575" s="17" t="n">
        <v>4999.875</v>
      </c>
      <c r="Z575" s="17" t="n">
        <v>0.72911205784628</v>
      </c>
      <c r="AA575" s="17" t="n">
        <v>4.08</v>
      </c>
      <c r="AB575" s="17" t="n">
        <v>3.61397468567174</v>
      </c>
      <c r="AC575" s="17" t="n">
        <v>0.732983949244598</v>
      </c>
      <c r="AD575" s="17" t="n">
        <v>0.01</v>
      </c>
      <c r="AE575" s="17" t="n">
        <v>1</v>
      </c>
      <c r="AF575" s="17" t="s">
        <v>314</v>
      </c>
      <c r="AG575" s="17" t="s">
        <v>232</v>
      </c>
      <c r="AH575" s="17" t="n">
        <v>0</v>
      </c>
    </row>
    <row r="576" customFormat="false" ht="15" hidden="false" customHeight="false" outlineLevel="0" collapsed="false">
      <c r="A576" s="17" t="n">
        <v>24540</v>
      </c>
      <c r="B576" s="23" t="n">
        <v>45565</v>
      </c>
      <c r="C576" s="17" t="s">
        <v>163</v>
      </c>
      <c r="D576" s="17" t="s">
        <v>116</v>
      </c>
      <c r="E576" s="17" t="n">
        <v>1490469</v>
      </c>
      <c r="F576" s="17" t="n">
        <v>1439200.25</v>
      </c>
      <c r="G576" s="17" t="n">
        <v>1197002</v>
      </c>
      <c r="H576" s="17" t="n">
        <v>267573</v>
      </c>
      <c r="I576" s="17" t="n">
        <v>17.9522687154178</v>
      </c>
      <c r="J576" s="17" t="n">
        <v>1298136</v>
      </c>
      <c r="K576" s="17" t="n">
        <v>1251664.5</v>
      </c>
      <c r="L576" s="17" t="n">
        <v>1285628</v>
      </c>
      <c r="M576" s="17" t="n">
        <v>1257005</v>
      </c>
      <c r="N576" s="17" t="n">
        <v>45011</v>
      </c>
      <c r="O576" s="17" t="n">
        <v>65</v>
      </c>
      <c r="P576" s="17" t="n">
        <v>22568</v>
      </c>
      <c r="Q576" s="17" t="n">
        <v>0</v>
      </c>
      <c r="R576" s="17" t="n">
        <v>0</v>
      </c>
      <c r="S576" s="17" t="n">
        <v>5</v>
      </c>
      <c r="T576" s="17" t="n">
        <v>6.6665</v>
      </c>
      <c r="U576" s="17" t="n">
        <v>0.000532610775491356</v>
      </c>
      <c r="V576" s="17" t="n">
        <v>284536</v>
      </c>
      <c r="W576" s="17" t="n">
        <v>1493792</v>
      </c>
      <c r="X576" s="17" t="n">
        <v>19.0478995737024</v>
      </c>
      <c r="Y576" s="17" t="n">
        <v>30188.5786</v>
      </c>
      <c r="Z576" s="17" t="n">
        <v>2.09759403529842</v>
      </c>
      <c r="AA576" s="17" t="n">
        <v>11.77</v>
      </c>
      <c r="AB576" s="17" t="n">
        <v>4.3092921578505</v>
      </c>
      <c r="AC576" s="17" t="n">
        <v>0.96353540769226</v>
      </c>
      <c r="AD576" s="17" t="n">
        <v>0.05</v>
      </c>
      <c r="AE576" s="17" t="n">
        <v>1</v>
      </c>
      <c r="AF576" s="17" t="s">
        <v>231</v>
      </c>
      <c r="AG576" s="17" t="s">
        <v>232</v>
      </c>
      <c r="AH576" s="17" t="n">
        <v>0</v>
      </c>
    </row>
    <row r="577" customFormat="false" ht="15" hidden="false" customHeight="false" outlineLevel="0" collapsed="false">
      <c r="A577" s="17" t="n">
        <v>27824</v>
      </c>
      <c r="B577" s="23" t="n">
        <v>45565</v>
      </c>
      <c r="C577" s="17" t="s">
        <v>117</v>
      </c>
      <c r="D577" s="17" t="s">
        <v>116</v>
      </c>
      <c r="E577" s="17" t="n">
        <v>565595</v>
      </c>
      <c r="F577" s="17" t="n">
        <v>551266.25</v>
      </c>
      <c r="G577" s="17" t="n">
        <v>371884</v>
      </c>
      <c r="H577" s="17" t="n">
        <v>63535</v>
      </c>
      <c r="I577" s="17" t="n">
        <v>11.2333029818156</v>
      </c>
      <c r="J577" s="17" t="n">
        <v>468047</v>
      </c>
      <c r="K577" s="17" t="n">
        <v>458813.25</v>
      </c>
      <c r="L577" s="17" t="n">
        <v>465220</v>
      </c>
      <c r="M577" s="17" t="n">
        <v>407195</v>
      </c>
      <c r="N577" s="17" t="n">
        <v>18226</v>
      </c>
      <c r="O577" s="17" t="n">
        <v>42626</v>
      </c>
      <c r="P577" s="17" t="n">
        <v>2900</v>
      </c>
      <c r="Q577" s="17" t="n">
        <v>3537</v>
      </c>
      <c r="R577" s="17" t="n">
        <v>0</v>
      </c>
      <c r="S577" s="17" t="n">
        <v>183</v>
      </c>
      <c r="T577" s="17" t="n">
        <v>243.9939</v>
      </c>
      <c r="U577" s="17" t="n">
        <v>0.0531793491142638</v>
      </c>
      <c r="V577" s="17" t="n">
        <v>71144</v>
      </c>
      <c r="W577" s="17" t="n">
        <v>366805</v>
      </c>
      <c r="X577" s="17" t="n">
        <v>19.3955916631453</v>
      </c>
      <c r="Y577" s="17" t="n">
        <v>-3621.2428</v>
      </c>
      <c r="Z577" s="17" t="n">
        <v>-0.656895429386435</v>
      </c>
      <c r="AA577" s="17" t="n">
        <v>-5.61</v>
      </c>
      <c r="AB577" s="17" t="n">
        <v>1.60859037600862</v>
      </c>
      <c r="AC577" s="17" t="n">
        <v>0.603999171023423</v>
      </c>
      <c r="AD577" s="17" t="n">
        <v>0.02</v>
      </c>
      <c r="AE577" s="17" t="n">
        <v>1</v>
      </c>
      <c r="AF577" s="17" t="s">
        <v>354</v>
      </c>
      <c r="AG577" s="17" t="s">
        <v>232</v>
      </c>
      <c r="AH577" s="17" t="n">
        <v>1</v>
      </c>
    </row>
    <row r="578" customFormat="false" ht="15" hidden="false" customHeight="false" outlineLevel="0" collapsed="false">
      <c r="A578" s="17" t="n">
        <v>28155</v>
      </c>
      <c r="B578" s="23" t="n">
        <v>45565</v>
      </c>
      <c r="C578" s="17" t="s">
        <v>150</v>
      </c>
      <c r="D578" s="17" t="s">
        <v>116</v>
      </c>
      <c r="E578" s="17" t="n">
        <v>298193</v>
      </c>
      <c r="F578" s="17" t="n">
        <v>299403</v>
      </c>
      <c r="G578" s="17" t="n">
        <v>259984</v>
      </c>
      <c r="H578" s="17" t="n">
        <v>27490</v>
      </c>
      <c r="I578" s="17" t="n">
        <v>9.2188616097628</v>
      </c>
      <c r="J578" s="17" t="n">
        <v>173650</v>
      </c>
      <c r="K578" s="17" t="n">
        <v>170195.5</v>
      </c>
      <c r="L578" s="17" t="n">
        <v>172862</v>
      </c>
      <c r="M578" s="17" t="n">
        <v>156786</v>
      </c>
      <c r="N578" s="17" t="n">
        <v>10105</v>
      </c>
      <c r="O578" s="17" t="n">
        <v>6248</v>
      </c>
      <c r="P578" s="17" t="n">
        <v>46</v>
      </c>
      <c r="Q578" s="17" t="n">
        <v>1482</v>
      </c>
      <c r="R578" s="17" t="n">
        <v>0</v>
      </c>
      <c r="S578" s="17" t="n">
        <v>1</v>
      </c>
      <c r="T578" s="17" t="n">
        <v>1.3333</v>
      </c>
      <c r="U578" s="17" t="n">
        <v>0.000783393215449292</v>
      </c>
      <c r="V578" s="17" t="n">
        <v>28869</v>
      </c>
      <c r="W578" s="17" t="n">
        <v>164323</v>
      </c>
      <c r="X578" s="17" t="n">
        <v>17.5684475088697</v>
      </c>
      <c r="Y578" s="17" t="n">
        <v>0</v>
      </c>
      <c r="Z578" s="17" t="n">
        <v>0</v>
      </c>
      <c r="AA578" s="17" t="n">
        <v>0</v>
      </c>
      <c r="AB578" s="17" t="n">
        <v>2.42072302479044</v>
      </c>
      <c r="AC578" s="17" t="n">
        <v>0.453786351857184</v>
      </c>
      <c r="AD578" s="17" t="n">
        <v>-0.01</v>
      </c>
      <c r="AE578" s="17" t="n">
        <v>1</v>
      </c>
      <c r="AF578" s="17" t="s">
        <v>314</v>
      </c>
      <c r="AG578" s="17" t="s">
        <v>232</v>
      </c>
      <c r="AH578" s="17" t="n">
        <v>0</v>
      </c>
    </row>
    <row r="579" customFormat="false" ht="15" hidden="false" customHeight="false" outlineLevel="0" collapsed="false">
      <c r="A579" s="17" t="n">
        <v>28288</v>
      </c>
      <c r="B579" s="23" t="n">
        <v>45565</v>
      </c>
      <c r="C579" s="17" t="s">
        <v>124</v>
      </c>
      <c r="D579" s="17" t="s">
        <v>108</v>
      </c>
      <c r="E579" s="17" t="n">
        <v>102402</v>
      </c>
      <c r="F579" s="17" t="n">
        <v>103434.75</v>
      </c>
      <c r="G579" s="17" t="n">
        <v>74874</v>
      </c>
      <c r="H579" s="17" t="n">
        <v>6447</v>
      </c>
      <c r="I579" s="17" t="n">
        <v>6.29577547313529</v>
      </c>
      <c r="J579" s="17" t="n">
        <v>81030</v>
      </c>
      <c r="K579" s="17" t="n">
        <v>82970</v>
      </c>
      <c r="L579" s="17" t="n">
        <v>80193</v>
      </c>
      <c r="M579" s="17" t="n">
        <v>74225</v>
      </c>
      <c r="N579" s="17" t="n">
        <v>4248</v>
      </c>
      <c r="O579" s="17" t="n">
        <v>2557</v>
      </c>
      <c r="P579" s="17" t="n">
        <v>140</v>
      </c>
      <c r="Q579" s="17" t="n">
        <v>6</v>
      </c>
      <c r="R579" s="17" t="n">
        <v>0</v>
      </c>
      <c r="S579" s="17" t="n">
        <v>0</v>
      </c>
      <c r="T579" s="17" t="n">
        <v>0</v>
      </c>
      <c r="U579" s="17" t="n">
        <v>0</v>
      </c>
      <c r="V579" s="17" t="n">
        <v>8904</v>
      </c>
      <c r="W579" s="17" t="n">
        <v>66544</v>
      </c>
      <c r="X579" s="17" t="n">
        <v>13.3806203414282</v>
      </c>
      <c r="Y579" s="17" t="n">
        <v>89.3311</v>
      </c>
      <c r="Z579" s="17" t="n">
        <v>0.0863646888497338</v>
      </c>
      <c r="AA579" s="17" t="n">
        <v>1.47</v>
      </c>
      <c r="AB579" s="17" t="n">
        <v>2.64944575444701</v>
      </c>
      <c r="AC579" s="17" t="n">
        <v>1.03295075897816</v>
      </c>
      <c r="AD579" s="17" t="n">
        <v>-0.05</v>
      </c>
      <c r="AE579" s="17" t="n">
        <v>1</v>
      </c>
      <c r="AF579" s="17" t="s">
        <v>361</v>
      </c>
      <c r="AG579" s="17" t="s">
        <v>211</v>
      </c>
      <c r="AH579" s="17" t="n">
        <v>0</v>
      </c>
    </row>
    <row r="580" customFormat="false" ht="15" hidden="false" customHeight="false" outlineLevel="0" collapsed="false">
      <c r="A580" s="17" t="n">
        <v>28369</v>
      </c>
      <c r="B580" s="23" t="n">
        <v>45565</v>
      </c>
      <c r="C580" s="17" t="s">
        <v>145</v>
      </c>
      <c r="D580" s="17" t="s">
        <v>108</v>
      </c>
      <c r="E580" s="17" t="n">
        <v>94545</v>
      </c>
      <c r="F580" s="17" t="n">
        <v>94831.75</v>
      </c>
      <c r="G580" s="17" t="n">
        <v>75881</v>
      </c>
      <c r="H580" s="17" t="n">
        <v>9202</v>
      </c>
      <c r="I580" s="17" t="n">
        <v>9.73293140832408</v>
      </c>
      <c r="J580" s="17" t="n">
        <v>81722</v>
      </c>
      <c r="K580" s="17" t="n">
        <v>80814.5</v>
      </c>
      <c r="L580" s="17" t="n">
        <v>81118</v>
      </c>
      <c r="M580" s="17" t="n">
        <v>68636</v>
      </c>
      <c r="N580" s="17" t="n">
        <v>12366</v>
      </c>
      <c r="O580" s="17" t="n">
        <v>720</v>
      </c>
      <c r="P580" s="17" t="n">
        <v>135</v>
      </c>
      <c r="Q580" s="17" t="n">
        <v>232</v>
      </c>
      <c r="R580" s="17" t="n">
        <v>0</v>
      </c>
      <c r="S580" s="17" t="n">
        <v>-3</v>
      </c>
      <c r="T580" s="17" t="n">
        <v>-3.9999</v>
      </c>
      <c r="U580" s="17" t="n">
        <v>-0.00494948307543819</v>
      </c>
      <c r="V580" s="17" t="n">
        <v>9228</v>
      </c>
      <c r="W580" s="17" t="n">
        <v>66435</v>
      </c>
      <c r="X580" s="17" t="n">
        <v>13.8902686836758</v>
      </c>
      <c r="Y580" s="17" t="n">
        <v>-197.3284</v>
      </c>
      <c r="Z580" s="17" t="n">
        <v>-0.208082630553586</v>
      </c>
      <c r="AA580" s="17" t="n">
        <v>-2.13</v>
      </c>
      <c r="AB580" s="17" t="n">
        <v>2.86311227272601</v>
      </c>
      <c r="AC580" s="17" t="n">
        <v>0.739091064829544</v>
      </c>
      <c r="AD580" s="17" t="n">
        <v>0.02</v>
      </c>
      <c r="AE580" s="17" t="n">
        <v>1</v>
      </c>
      <c r="AF580" s="17" t="s">
        <v>361</v>
      </c>
      <c r="AG580" s="17" t="s">
        <v>211</v>
      </c>
      <c r="AH580" s="17" t="n">
        <v>1</v>
      </c>
    </row>
    <row r="581" customFormat="false" ht="15" hidden="false" customHeight="false" outlineLevel="0" collapsed="false">
      <c r="A581" s="17" t="n">
        <v>28837</v>
      </c>
      <c r="B581" s="23" t="n">
        <v>45565</v>
      </c>
      <c r="C581" s="17" t="s">
        <v>142</v>
      </c>
      <c r="D581" s="17" t="s">
        <v>113</v>
      </c>
      <c r="E581" s="17" t="n">
        <v>283014</v>
      </c>
      <c r="F581" s="17" t="n">
        <v>283573.5</v>
      </c>
      <c r="G581" s="17" t="n">
        <v>251476</v>
      </c>
      <c r="H581" s="17" t="n">
        <v>28217</v>
      </c>
      <c r="I581" s="17" t="n">
        <v>9.97017815373091</v>
      </c>
      <c r="J581" s="17" t="n">
        <v>203765</v>
      </c>
      <c r="K581" s="17" t="n">
        <v>200414.75</v>
      </c>
      <c r="L581" s="17" t="n">
        <v>201469</v>
      </c>
      <c r="M581" s="17" t="n">
        <v>194609</v>
      </c>
      <c r="N581" s="17" t="n">
        <v>6862</v>
      </c>
      <c r="O581" s="17" t="n">
        <v>1628</v>
      </c>
      <c r="P581" s="17" t="n">
        <v>30</v>
      </c>
      <c r="Q581" s="17" t="n">
        <v>79</v>
      </c>
      <c r="R581" s="17" t="n">
        <v>0</v>
      </c>
      <c r="S581" s="17" t="n">
        <v>-56</v>
      </c>
      <c r="T581" s="17" t="n">
        <v>-74.6648</v>
      </c>
      <c r="U581" s="17" t="n">
        <v>-0.0372551421489686</v>
      </c>
      <c r="V581" s="17" t="n">
        <v>28308</v>
      </c>
      <c r="W581" s="17" t="n">
        <v>159655</v>
      </c>
      <c r="X581" s="17" t="n">
        <v>17.7307318906392</v>
      </c>
      <c r="Y581" s="17" t="n">
        <v>2510.6039</v>
      </c>
      <c r="Z581" s="17" t="n">
        <v>0.88534503400353</v>
      </c>
      <c r="AA581" s="17" t="n">
        <v>9.3</v>
      </c>
      <c r="AB581" s="17" t="n">
        <v>3.77863202834045</v>
      </c>
      <c r="AC581" s="17" t="n">
        <v>1.12678821191078</v>
      </c>
      <c r="AD581" s="17" t="n">
        <v>-0.07</v>
      </c>
      <c r="AE581" s="17" t="n">
        <v>1</v>
      </c>
      <c r="AF581" s="17" t="s">
        <v>314</v>
      </c>
      <c r="AG581" s="17" t="s">
        <v>232</v>
      </c>
      <c r="AH581" s="17" t="n">
        <v>1</v>
      </c>
    </row>
    <row r="582" customFormat="false" ht="15" hidden="false" customHeight="false" outlineLevel="0" collapsed="false">
      <c r="A582" s="17" t="n">
        <v>29636</v>
      </c>
      <c r="B582" s="23" t="n">
        <v>45565</v>
      </c>
      <c r="C582" s="17" t="s">
        <v>123</v>
      </c>
      <c r="D582" s="17" t="s">
        <v>108</v>
      </c>
      <c r="E582" s="17" t="n">
        <v>181616</v>
      </c>
      <c r="F582" s="17" t="n">
        <v>179805</v>
      </c>
      <c r="G582" s="17" t="n">
        <v>140789</v>
      </c>
      <c r="H582" s="17" t="n">
        <v>26607</v>
      </c>
      <c r="I582" s="17" t="n">
        <v>14.6501409567439</v>
      </c>
      <c r="J582" s="17" t="n">
        <v>139743</v>
      </c>
      <c r="K582" s="17" t="n">
        <v>137209.5</v>
      </c>
      <c r="L582" s="17" t="n">
        <v>137784</v>
      </c>
      <c r="M582" s="17" t="n">
        <v>136319</v>
      </c>
      <c r="N582" s="17" t="n">
        <v>1634</v>
      </c>
      <c r="O582" s="17" t="n">
        <v>1790</v>
      </c>
      <c r="P582" s="17" t="n">
        <v>2870</v>
      </c>
      <c r="Q582" s="17" t="n">
        <v>2593</v>
      </c>
      <c r="R582" s="17" t="n">
        <v>0</v>
      </c>
      <c r="S582" s="17" t="n">
        <v>-2</v>
      </c>
      <c r="T582" s="17" t="n">
        <v>-2.6666</v>
      </c>
      <c r="U582" s="17" t="n">
        <v>-0.00194345143740047</v>
      </c>
      <c r="V582" s="17" t="n">
        <v>27748</v>
      </c>
      <c r="W582" s="17" t="n">
        <v>102703</v>
      </c>
      <c r="X582" s="17" t="n">
        <v>27.01771126452</v>
      </c>
      <c r="Y582" s="17" t="n">
        <v>603.9849</v>
      </c>
      <c r="Z582" s="17" t="n">
        <v>0.335911070326187</v>
      </c>
      <c r="AA582" s="17" t="n">
        <v>2.31</v>
      </c>
      <c r="AB582" s="17" t="n">
        <v>3.53035431343076</v>
      </c>
      <c r="AC582" s="17" t="n">
        <v>1.40185912711191</v>
      </c>
      <c r="AD582" s="17" t="n">
        <v>0.04</v>
      </c>
      <c r="AE582" s="17" t="n">
        <v>1</v>
      </c>
      <c r="AF582" s="17" t="s">
        <v>361</v>
      </c>
      <c r="AG582" s="17" t="s">
        <v>211</v>
      </c>
      <c r="AH582" s="17" t="n">
        <v>1</v>
      </c>
    </row>
    <row r="583" customFormat="false" ht="15" hidden="false" customHeight="false" outlineLevel="0" collapsed="false">
      <c r="A583" s="17" t="n">
        <v>29743</v>
      </c>
      <c r="B583" s="23" t="n">
        <v>45565</v>
      </c>
      <c r="C583" s="17" t="s">
        <v>140</v>
      </c>
      <c r="D583" s="17" t="s">
        <v>108</v>
      </c>
      <c r="E583" s="17" t="n">
        <v>194865</v>
      </c>
      <c r="F583" s="17" t="n">
        <v>189410.25</v>
      </c>
      <c r="G583" s="17" t="n">
        <v>169632</v>
      </c>
      <c r="H583" s="17" t="n">
        <v>18304</v>
      </c>
      <c r="I583" s="17" t="n">
        <v>9.39316963025684</v>
      </c>
      <c r="J583" s="17" t="n">
        <v>135474</v>
      </c>
      <c r="K583" s="17" t="n">
        <v>134042.25</v>
      </c>
      <c r="L583" s="17" t="n">
        <v>134615</v>
      </c>
      <c r="M583" s="17" t="n">
        <v>88755</v>
      </c>
      <c r="N583" s="17" t="n">
        <v>25149</v>
      </c>
      <c r="O583" s="17" t="n">
        <v>21525</v>
      </c>
      <c r="P583" s="17" t="n">
        <v>713</v>
      </c>
      <c r="Q583" s="17" t="n">
        <v>555</v>
      </c>
      <c r="R583" s="17" t="n">
        <v>0</v>
      </c>
      <c r="S583" s="17" t="n">
        <v>-7</v>
      </c>
      <c r="T583" s="17" t="n">
        <v>-9.3331</v>
      </c>
      <c r="U583" s="17" t="n">
        <v>-0.00696280463808986</v>
      </c>
      <c r="V583" s="17" t="n">
        <v>20172</v>
      </c>
      <c r="W583" s="17" t="n">
        <v>110667</v>
      </c>
      <c r="X583" s="17" t="n">
        <v>18.2276559407954</v>
      </c>
      <c r="Y583" s="17" t="n">
        <v>582.6521</v>
      </c>
      <c r="Z583" s="17" t="n">
        <v>0.307613817098072</v>
      </c>
      <c r="AA583" s="17" t="n">
        <v>3.38</v>
      </c>
      <c r="AB583" s="17" t="n">
        <v>2.17302516204695</v>
      </c>
      <c r="AC583" s="17" t="n">
        <v>0.634070006052822</v>
      </c>
      <c r="AD583" s="17" t="n">
        <v>-0.03</v>
      </c>
      <c r="AE583" s="17" t="n">
        <v>1</v>
      </c>
      <c r="AF583" s="17" t="s">
        <v>354</v>
      </c>
      <c r="AG583" s="17" t="s">
        <v>211</v>
      </c>
      <c r="AH583" s="17" t="n">
        <v>0</v>
      </c>
    </row>
    <row r="584" customFormat="false" ht="15" hidden="false" customHeight="false" outlineLevel="0" collapsed="false">
      <c r="A584" s="17" t="n">
        <v>29744</v>
      </c>
      <c r="B584" s="23" t="n">
        <v>45565</v>
      </c>
      <c r="C584" s="17" t="s">
        <v>137</v>
      </c>
      <c r="D584" s="17" t="s">
        <v>116</v>
      </c>
      <c r="E584" s="17" t="n">
        <v>602075</v>
      </c>
      <c r="F584" s="17" t="n">
        <v>587983.5</v>
      </c>
      <c r="G584" s="17" t="n">
        <v>467670</v>
      </c>
      <c r="H584" s="17" t="n">
        <v>48662</v>
      </c>
      <c r="I584" s="17" t="n">
        <v>8.08238176306939</v>
      </c>
      <c r="J584" s="17" t="n">
        <v>436785</v>
      </c>
      <c r="K584" s="17" t="n">
        <v>433235.5</v>
      </c>
      <c r="L584" s="17" t="n">
        <v>433340</v>
      </c>
      <c r="M584" s="17" t="n">
        <v>400419</v>
      </c>
      <c r="N584" s="17" t="n">
        <v>24096</v>
      </c>
      <c r="O584" s="17" t="n">
        <v>12270</v>
      </c>
      <c r="P584" s="17" t="n">
        <v>0</v>
      </c>
      <c r="Q584" s="17" t="n">
        <v>0</v>
      </c>
      <c r="R584" s="17" t="n">
        <v>0</v>
      </c>
      <c r="S584" s="17" t="n">
        <v>25</v>
      </c>
      <c r="T584" s="17" t="n">
        <v>33.3325</v>
      </c>
      <c r="U584" s="17" t="n">
        <v>0.00769385241975784</v>
      </c>
      <c r="V584" s="17" t="n">
        <v>57150</v>
      </c>
      <c r="W584" s="17" t="n">
        <v>364897</v>
      </c>
      <c r="X584" s="17" t="n">
        <v>15.6619539212435</v>
      </c>
      <c r="Y584" s="17" t="n">
        <v>1222.6361</v>
      </c>
      <c r="Z584" s="17" t="n">
        <v>0.207937144494701</v>
      </c>
      <c r="AA584" s="17" t="n">
        <v>2.64</v>
      </c>
      <c r="AB584" s="17" t="n">
        <v>2.09710586176728</v>
      </c>
      <c r="AC584" s="17" t="n">
        <v>0.788717561271564</v>
      </c>
      <c r="AD584" s="17" t="n">
        <v>0</v>
      </c>
      <c r="AE584" s="17" t="n">
        <v>1</v>
      </c>
      <c r="AF584" s="17" t="s">
        <v>361</v>
      </c>
      <c r="AG584" s="17" t="s">
        <v>211</v>
      </c>
      <c r="AH584" s="17" t="n">
        <v>0</v>
      </c>
    </row>
    <row r="585" customFormat="false" ht="15" hidden="false" customHeight="false" outlineLevel="0" collapsed="false">
      <c r="A585" s="17" t="n">
        <v>30350</v>
      </c>
      <c r="B585" s="23" t="n">
        <v>45565</v>
      </c>
      <c r="C585" s="17" t="s">
        <v>154</v>
      </c>
      <c r="D585" s="17" t="s">
        <v>113</v>
      </c>
      <c r="E585" s="17" t="n">
        <v>583685</v>
      </c>
      <c r="F585" s="17" t="n">
        <v>564831.75</v>
      </c>
      <c r="G585" s="17" t="n">
        <v>462099</v>
      </c>
      <c r="H585" s="17" t="n">
        <v>60586</v>
      </c>
      <c r="I585" s="17" t="n">
        <v>10.3799138233808</v>
      </c>
      <c r="J585" s="17" t="n">
        <v>434699</v>
      </c>
      <c r="K585" s="17" t="n">
        <v>414545.75</v>
      </c>
      <c r="L585" s="17" t="n">
        <v>429399</v>
      </c>
      <c r="M585" s="17" t="n">
        <v>415141</v>
      </c>
      <c r="N585" s="17" t="n">
        <v>14987</v>
      </c>
      <c r="O585" s="17" t="n">
        <v>1823</v>
      </c>
      <c r="P585" s="17" t="n">
        <v>1774</v>
      </c>
      <c r="Q585" s="17" t="n">
        <v>639</v>
      </c>
      <c r="R585" s="17" t="n">
        <v>0</v>
      </c>
      <c r="S585" s="17" t="n">
        <v>-211</v>
      </c>
      <c r="T585" s="17" t="n">
        <v>-281.3263</v>
      </c>
      <c r="U585" s="17" t="n">
        <v>-0.0678637520707907</v>
      </c>
      <c r="V585" s="17" t="n">
        <v>69567</v>
      </c>
      <c r="W585" s="17" t="n">
        <v>336343</v>
      </c>
      <c r="X585" s="17" t="n">
        <v>20.6833500325561</v>
      </c>
      <c r="Y585" s="17" t="n">
        <v>3511.9122</v>
      </c>
      <c r="Z585" s="17" t="n">
        <v>0.62176253371026</v>
      </c>
      <c r="AA585" s="17" t="n">
        <v>6.06</v>
      </c>
      <c r="AB585" s="17" t="n">
        <v>2.61400574385989</v>
      </c>
      <c r="AC585" s="17" t="n">
        <v>1.21923445878643</v>
      </c>
      <c r="AD585" s="17" t="n">
        <v>-0.01</v>
      </c>
      <c r="AE585" s="17" t="n">
        <v>1</v>
      </c>
      <c r="AF585" s="17" t="s">
        <v>361</v>
      </c>
      <c r="AG585" s="17" t="s">
        <v>211</v>
      </c>
      <c r="AH585" s="17" t="n">
        <v>0</v>
      </c>
    </row>
    <row r="586" customFormat="false" ht="15" hidden="false" customHeight="false" outlineLevel="0" collapsed="false">
      <c r="A586" s="17" t="n">
        <v>30878</v>
      </c>
      <c r="B586" s="23" t="n">
        <v>45565</v>
      </c>
      <c r="C586" s="17" t="s">
        <v>110</v>
      </c>
      <c r="D586" s="17" t="s">
        <v>108</v>
      </c>
      <c r="E586" s="17" t="n">
        <v>101059</v>
      </c>
      <c r="F586" s="17" t="n">
        <v>102993.5</v>
      </c>
      <c r="G586" s="17" t="n">
        <v>76246</v>
      </c>
      <c r="H586" s="17" t="n">
        <v>11989</v>
      </c>
      <c r="I586" s="17" t="n">
        <v>11.8633669440624</v>
      </c>
      <c r="J586" s="17" t="n">
        <v>87769</v>
      </c>
      <c r="K586" s="17" t="n">
        <v>87609.25</v>
      </c>
      <c r="L586" s="17" t="n">
        <v>87073</v>
      </c>
      <c r="M586" s="17" t="n">
        <v>87603</v>
      </c>
      <c r="N586" s="17" t="n">
        <v>0</v>
      </c>
      <c r="O586" s="17" t="n">
        <v>166</v>
      </c>
      <c r="P586" s="17" t="n">
        <v>1674</v>
      </c>
      <c r="Q586" s="17" t="n">
        <v>365</v>
      </c>
      <c r="R586" s="17" t="n">
        <v>0</v>
      </c>
      <c r="S586" s="17" t="n">
        <v>0</v>
      </c>
      <c r="T586" s="17" t="n">
        <v>0</v>
      </c>
      <c r="U586" s="17" t="n">
        <v>0</v>
      </c>
      <c r="V586" s="17" t="n">
        <v>0</v>
      </c>
      <c r="W586" s="17" t="n">
        <v>0</v>
      </c>
      <c r="X586" s="17" t="n">
        <v>0</v>
      </c>
      <c r="Y586" s="17" t="n">
        <v>-549.3196</v>
      </c>
      <c r="Z586" s="17" t="n">
        <v>-0.533353658240569</v>
      </c>
      <c r="AA586" s="17" t="n">
        <v>-4.5</v>
      </c>
      <c r="AB586" s="17" t="n">
        <v>1.00204128984096</v>
      </c>
      <c r="AC586" s="17" t="n">
        <v>0.792990691474211</v>
      </c>
      <c r="AD586" s="17" t="n">
        <v>-0.04</v>
      </c>
      <c r="AE586" s="17" t="n">
        <v>1</v>
      </c>
      <c r="AF586" s="17" t="s">
        <v>354</v>
      </c>
      <c r="AG586" s="17" t="s">
        <v>232</v>
      </c>
      <c r="AH586" s="17" t="n">
        <v>1</v>
      </c>
    </row>
    <row r="587" customFormat="false" ht="15" hidden="false" customHeight="false" outlineLevel="0" collapsed="false">
      <c r="A587" s="17" t="n">
        <v>33418</v>
      </c>
      <c r="B587" s="23" t="n">
        <v>45565</v>
      </c>
      <c r="C587" s="17" t="s">
        <v>133</v>
      </c>
      <c r="D587" s="17" t="s">
        <v>113</v>
      </c>
      <c r="E587" s="17" t="n">
        <v>938865</v>
      </c>
      <c r="F587" s="17" t="n">
        <v>898446.75</v>
      </c>
      <c r="G587" s="17" t="n">
        <v>826469</v>
      </c>
      <c r="H587" s="17" t="n">
        <v>69813</v>
      </c>
      <c r="I587" s="17" t="n">
        <v>7.43589333929798</v>
      </c>
      <c r="J587" s="17" t="n">
        <v>532153</v>
      </c>
      <c r="K587" s="17" t="n">
        <v>476115</v>
      </c>
      <c r="L587" s="17" t="n">
        <v>528482</v>
      </c>
      <c r="M587" s="17" t="n">
        <v>442986</v>
      </c>
      <c r="N587" s="17" t="n">
        <v>72013</v>
      </c>
      <c r="O587" s="17" t="n">
        <v>16431</v>
      </c>
      <c r="P587" s="17" t="n">
        <v>1024</v>
      </c>
      <c r="Q587" s="17" t="n">
        <v>278</v>
      </c>
      <c r="R587" s="17" t="n">
        <v>0</v>
      </c>
      <c r="S587" s="17" t="n">
        <v>-5</v>
      </c>
      <c r="T587" s="17" t="n">
        <v>-6.6665</v>
      </c>
      <c r="U587" s="17" t="n">
        <v>-0.00140018692962835</v>
      </c>
      <c r="V587" s="17" t="n">
        <v>88161</v>
      </c>
      <c r="W587" s="17" t="n">
        <v>631846</v>
      </c>
      <c r="X587" s="17" t="n">
        <v>13.9529252381118</v>
      </c>
      <c r="Y587" s="17" t="n">
        <v>3555.9111</v>
      </c>
      <c r="Z587" s="17" t="n">
        <v>0.395784291055647</v>
      </c>
      <c r="AA587" s="17" t="n">
        <v>5.16</v>
      </c>
      <c r="AB587" s="17" t="n">
        <v>2.23329594620879</v>
      </c>
      <c r="AC587" s="17" t="n">
        <v>0.689839200380342</v>
      </c>
      <c r="AD587" s="17" t="n">
        <v>0.12</v>
      </c>
      <c r="AE587" s="17" t="n">
        <v>1</v>
      </c>
      <c r="AF587" s="17" t="s">
        <v>210</v>
      </c>
      <c r="AG587" s="17" t="s">
        <v>211</v>
      </c>
      <c r="AH587" s="17" t="n">
        <v>0</v>
      </c>
    </row>
    <row r="588" customFormat="false" ht="15" hidden="false" customHeight="false" outlineLevel="0" collapsed="false">
      <c r="A588" s="17" t="n">
        <v>35206</v>
      </c>
      <c r="B588" s="23" t="n">
        <v>45565</v>
      </c>
      <c r="C588" s="17" t="s">
        <v>166</v>
      </c>
      <c r="D588" s="17" t="s">
        <v>116</v>
      </c>
      <c r="E588" s="17" t="n">
        <v>90470</v>
      </c>
      <c r="F588" s="17" t="n">
        <v>83186.5</v>
      </c>
      <c r="G588" s="17" t="n">
        <v>500</v>
      </c>
      <c r="H588" s="17" t="n">
        <v>87835</v>
      </c>
      <c r="I588" s="17" t="n">
        <v>97.0874322979993</v>
      </c>
      <c r="J588" s="17" t="n">
        <v>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7" t="n">
        <v>0</v>
      </c>
      <c r="R588" s="17" t="n">
        <v>0</v>
      </c>
      <c r="S588" s="17" t="n">
        <v>0</v>
      </c>
      <c r="T588" s="17" t="n">
        <v>0</v>
      </c>
      <c r="U588" s="17" t="n">
        <v>0</v>
      </c>
      <c r="V588" s="17" t="n">
        <v>0</v>
      </c>
      <c r="W588" s="17" t="n">
        <v>0</v>
      </c>
      <c r="X588" s="17" t="n">
        <v>0</v>
      </c>
      <c r="Y588" s="17" t="n">
        <v>17908.8856</v>
      </c>
      <c r="Z588" s="17" t="n">
        <v>21.5285961063394</v>
      </c>
      <c r="AA588" s="17" t="n">
        <v>22.27</v>
      </c>
      <c r="AB588" s="17" t="n">
        <v>4.71607983660487</v>
      </c>
      <c r="AC588" s="17" t="n">
        <v>0</v>
      </c>
      <c r="AD588" s="17" t="n">
        <v>0</v>
      </c>
      <c r="AE588" s="17" t="n">
        <v>1</v>
      </c>
      <c r="AF588" s="17" t="s">
        <v>361</v>
      </c>
      <c r="AG588" s="17" t="s">
        <v>211</v>
      </c>
      <c r="AH588" s="17" t="n">
        <v>0</v>
      </c>
    </row>
    <row r="589" customFormat="false" ht="15" hidden="false" customHeight="false" outlineLevel="0" collapsed="false">
      <c r="A589" s="17" t="n">
        <v>59086</v>
      </c>
      <c r="B589" s="23" t="n">
        <v>45565</v>
      </c>
      <c r="C589" s="17" t="s">
        <v>141</v>
      </c>
      <c r="D589" s="17" t="s">
        <v>116</v>
      </c>
      <c r="E589" s="17" t="n">
        <v>716744</v>
      </c>
      <c r="F589" s="17" t="n">
        <v>703460.5</v>
      </c>
      <c r="G589" s="17" t="n">
        <v>614764</v>
      </c>
      <c r="H589" s="17" t="n">
        <v>96571</v>
      </c>
      <c r="I589" s="17" t="n">
        <v>13.473569363678</v>
      </c>
      <c r="J589" s="17" t="n">
        <v>599117</v>
      </c>
      <c r="K589" s="17" t="n">
        <v>591958</v>
      </c>
      <c r="L589" s="17" t="n">
        <v>593281</v>
      </c>
      <c r="M589" s="17" t="n">
        <v>474334</v>
      </c>
      <c r="N589" s="17" t="n">
        <v>125183</v>
      </c>
      <c r="O589" s="17" t="n">
        <v>0</v>
      </c>
      <c r="P589" s="17" t="n">
        <v>3521</v>
      </c>
      <c r="Q589" s="17" t="n">
        <v>2343</v>
      </c>
      <c r="R589" s="17" t="n">
        <v>6307</v>
      </c>
      <c r="S589" s="17" t="n">
        <v>325</v>
      </c>
      <c r="T589" s="17" t="n">
        <v>433.3225</v>
      </c>
      <c r="U589" s="17" t="n">
        <v>0.0732015615972755</v>
      </c>
      <c r="V589" s="17" t="n">
        <v>103485</v>
      </c>
      <c r="W589" s="17" t="n">
        <v>645008</v>
      </c>
      <c r="X589" s="17" t="n">
        <v>16.0439870513234</v>
      </c>
      <c r="Y589" s="17" t="n">
        <v>10159.746</v>
      </c>
      <c r="Z589" s="17" t="n">
        <v>1.44425252021969</v>
      </c>
      <c r="AA589" s="17" t="n">
        <v>11.01</v>
      </c>
      <c r="AB589" s="17" t="n">
        <v>3.76669432270729</v>
      </c>
      <c r="AC589" s="17" t="n">
        <v>0.974100217486735</v>
      </c>
      <c r="AD589" s="17" t="n">
        <v>0.1</v>
      </c>
      <c r="AE589" s="17" t="n">
        <v>1</v>
      </c>
      <c r="AF589" s="17" t="s">
        <v>231</v>
      </c>
      <c r="AG589" s="17" t="s">
        <v>232</v>
      </c>
      <c r="AH589" s="17" t="n">
        <v>0</v>
      </c>
    </row>
    <row r="590" customFormat="false" ht="15" hidden="false" customHeight="false" outlineLevel="0" collapsed="false">
      <c r="A590" s="17" t="n">
        <v>59176</v>
      </c>
      <c r="B590" s="23" t="n">
        <v>45565</v>
      </c>
      <c r="C590" s="17" t="s">
        <v>151</v>
      </c>
      <c r="D590" s="17" t="s">
        <v>116</v>
      </c>
      <c r="E590" s="17" t="n">
        <v>228046</v>
      </c>
      <c r="F590" s="17" t="n">
        <v>229432.5</v>
      </c>
      <c r="G590" s="17" t="n">
        <v>192544</v>
      </c>
      <c r="H590" s="17" t="n">
        <v>27016</v>
      </c>
      <c r="I590" s="17" t="n">
        <v>11.8467326767407</v>
      </c>
      <c r="J590" s="17" t="n">
        <v>169029</v>
      </c>
      <c r="K590" s="17" t="n">
        <v>160977.5</v>
      </c>
      <c r="L590" s="17" t="n">
        <v>167420</v>
      </c>
      <c r="M590" s="17" t="n">
        <v>146756</v>
      </c>
      <c r="N590" s="17" t="n">
        <v>22234</v>
      </c>
      <c r="O590" s="17" t="n">
        <v>0</v>
      </c>
      <c r="P590" s="17" t="n">
        <v>0</v>
      </c>
      <c r="Q590" s="17" t="n">
        <v>0</v>
      </c>
      <c r="R590" s="17" t="n">
        <v>0</v>
      </c>
      <c r="S590" s="17" t="n">
        <v>-32</v>
      </c>
      <c r="T590" s="17" t="n">
        <v>-42.6656</v>
      </c>
      <c r="U590" s="17" t="n">
        <v>-0.0265040766566756</v>
      </c>
      <c r="V590" s="17" t="n">
        <v>0</v>
      </c>
      <c r="W590" s="17" t="n">
        <v>0</v>
      </c>
      <c r="X590" s="17" t="n">
        <v>0</v>
      </c>
      <c r="Y590" s="17" t="n">
        <v>109.3306</v>
      </c>
      <c r="Z590" s="17" t="n">
        <v>0.0476526211412943</v>
      </c>
      <c r="AA590" s="17" t="n">
        <v>0.42</v>
      </c>
      <c r="AB590" s="17" t="n">
        <v>2.448461114472</v>
      </c>
      <c r="AC590" s="17" t="n">
        <v>0.9519076608156</v>
      </c>
      <c r="AD590" s="17" t="n">
        <v>0.06</v>
      </c>
      <c r="AE590" s="17" t="n">
        <v>1</v>
      </c>
      <c r="AF590" s="17" t="s">
        <v>231</v>
      </c>
      <c r="AG590" s="17" t="s">
        <v>232</v>
      </c>
      <c r="AH590" s="17" t="n">
        <v>0</v>
      </c>
    </row>
    <row r="591" customFormat="false" ht="15" hidden="false" customHeight="false" outlineLevel="0" collapsed="false">
      <c r="A591" s="17" t="n">
        <v>59289</v>
      </c>
      <c r="B591" s="23" t="n">
        <v>45565</v>
      </c>
      <c r="C591" s="17" t="s">
        <v>121</v>
      </c>
      <c r="D591" s="17" t="s">
        <v>116</v>
      </c>
      <c r="E591" s="17" t="n">
        <v>120497</v>
      </c>
      <c r="F591" s="17" t="n">
        <v>98994.25</v>
      </c>
      <c r="G591" s="17" t="n">
        <v>102833</v>
      </c>
      <c r="H591" s="17" t="n">
        <v>16578</v>
      </c>
      <c r="I591" s="17" t="n">
        <v>13.7580188718391</v>
      </c>
      <c r="J591" s="17" t="n">
        <v>73232</v>
      </c>
      <c r="K591" s="17" t="n">
        <v>51102.75</v>
      </c>
      <c r="L591" s="17" t="n">
        <v>70789</v>
      </c>
      <c r="M591" s="17" t="n">
        <v>31000</v>
      </c>
      <c r="N591" s="17" t="n">
        <v>37285</v>
      </c>
      <c r="O591" s="17" t="n">
        <v>0</v>
      </c>
      <c r="P591" s="17" t="n">
        <v>4832</v>
      </c>
      <c r="Q591" s="17" t="n">
        <v>0</v>
      </c>
      <c r="R591" s="17" t="n">
        <v>0</v>
      </c>
      <c r="S591" s="17" t="n">
        <v>0</v>
      </c>
      <c r="T591" s="17" t="n">
        <v>0</v>
      </c>
      <c r="U591" s="17" t="n">
        <v>0</v>
      </c>
      <c r="V591" s="17" t="n">
        <v>0</v>
      </c>
      <c r="W591" s="17" t="n">
        <v>0</v>
      </c>
      <c r="X591" s="17" t="n">
        <v>0</v>
      </c>
      <c r="Y591" s="17" t="n">
        <v>-3514.5788</v>
      </c>
      <c r="Z591" s="17" t="n">
        <v>-3.55028579942775</v>
      </c>
      <c r="AA591" s="17" t="n">
        <v>-19.17</v>
      </c>
      <c r="AB591" s="17" t="n">
        <v>3.76116711341111</v>
      </c>
      <c r="AC591" s="17" t="n">
        <v>3.3359733449858</v>
      </c>
      <c r="AD591" s="17" t="n">
        <v>2.66</v>
      </c>
      <c r="AE591" s="17" t="n">
        <v>1</v>
      </c>
      <c r="AF591" s="17" t="s">
        <v>241</v>
      </c>
      <c r="AG591" s="17" t="s">
        <v>232</v>
      </c>
      <c r="AH591" s="17" t="n">
        <v>0</v>
      </c>
    </row>
    <row r="592" customFormat="false" ht="15" hidden="false" customHeight="false" outlineLevel="0" collapsed="false">
      <c r="A592" s="17" t="n">
        <v>59298</v>
      </c>
      <c r="B592" s="23" t="n">
        <v>45565</v>
      </c>
      <c r="C592" s="17" t="s">
        <v>160</v>
      </c>
      <c r="D592" s="17" t="s">
        <v>113</v>
      </c>
      <c r="E592" s="17" t="n">
        <v>257839</v>
      </c>
      <c r="F592" s="17" t="n">
        <v>201323.25</v>
      </c>
      <c r="G592" s="17" t="n">
        <v>230108</v>
      </c>
      <c r="H592" s="17" t="n">
        <v>26808</v>
      </c>
      <c r="I592" s="17" t="n">
        <v>10.3971858407766</v>
      </c>
      <c r="J592" s="17" t="n">
        <v>111891</v>
      </c>
      <c r="K592" s="17" t="n">
        <v>93279.25</v>
      </c>
      <c r="L592" s="17" t="n">
        <v>111010</v>
      </c>
      <c r="M592" s="17" t="n">
        <v>88153</v>
      </c>
      <c r="N592" s="17" t="n">
        <v>23764</v>
      </c>
      <c r="O592" s="17" t="n">
        <v>0</v>
      </c>
      <c r="P592" s="17" t="n">
        <v>0</v>
      </c>
      <c r="Q592" s="17" t="n">
        <v>0</v>
      </c>
      <c r="R592" s="17" t="n">
        <v>0</v>
      </c>
      <c r="S592" s="17" t="n">
        <v>0</v>
      </c>
      <c r="T592" s="17" t="n">
        <v>0</v>
      </c>
      <c r="U592" s="17" t="n">
        <v>0</v>
      </c>
      <c r="V592" s="17" t="n">
        <v>0</v>
      </c>
      <c r="W592" s="17" t="n">
        <v>0</v>
      </c>
      <c r="X592" s="17" t="n">
        <v>0</v>
      </c>
      <c r="Y592" s="17" t="n">
        <v>-2107.9473</v>
      </c>
      <c r="Z592" s="17" t="n">
        <v>-1.04704613103554</v>
      </c>
      <c r="AA592" s="17" t="n">
        <v>-7.94</v>
      </c>
      <c r="AB592" s="17" t="n">
        <v>1.98479257946533</v>
      </c>
      <c r="AC592" s="17" t="n">
        <v>0.787373425923443</v>
      </c>
      <c r="AD592" s="17" t="n">
        <v>0.2</v>
      </c>
      <c r="AE592" s="17" t="n">
        <v>1</v>
      </c>
      <c r="AF592" s="17" t="s">
        <v>231</v>
      </c>
      <c r="AG592" s="17" t="s">
        <v>232</v>
      </c>
      <c r="AH592" s="17" t="n">
        <v>0</v>
      </c>
    </row>
    <row r="593" customFormat="false" ht="15" hidden="false" customHeight="false" outlineLevel="0" collapsed="false">
      <c r="A593" s="17" t="n">
        <v>4255</v>
      </c>
      <c r="B593" s="23" t="n">
        <v>45657</v>
      </c>
      <c r="C593" s="17" t="s">
        <v>126</v>
      </c>
      <c r="D593" s="17" t="s">
        <v>108</v>
      </c>
      <c r="E593" s="17" t="n">
        <v>5790238</v>
      </c>
      <c r="F593" s="17" t="n">
        <v>5743021</v>
      </c>
      <c r="G593" s="17" t="n">
        <v>4671726</v>
      </c>
      <c r="H593" s="17" t="n">
        <v>539279</v>
      </c>
      <c r="I593" s="17" t="n">
        <v>9.31358952775344</v>
      </c>
      <c r="J593" s="17" t="n">
        <v>4126308</v>
      </c>
      <c r="K593" s="17" t="n">
        <v>4129480.6</v>
      </c>
      <c r="L593" s="17" t="n">
        <v>4090580</v>
      </c>
      <c r="M593" s="17" t="n">
        <v>3755741</v>
      </c>
      <c r="N593" s="17" t="n">
        <v>317650</v>
      </c>
      <c r="O593" s="17" t="n">
        <v>15066</v>
      </c>
      <c r="P593" s="17" t="n">
        <v>4829</v>
      </c>
      <c r="Q593" s="17" t="n">
        <v>2261</v>
      </c>
      <c r="R593" s="17" t="n">
        <v>0</v>
      </c>
      <c r="S593" s="17" t="n">
        <v>1260</v>
      </c>
      <c r="T593" s="17" t="n">
        <v>1260</v>
      </c>
      <c r="U593" s="17" t="n">
        <v>0.0305123118873594</v>
      </c>
      <c r="V593" s="17" t="n">
        <v>575209</v>
      </c>
      <c r="W593" s="17" t="n">
        <v>4004753</v>
      </c>
      <c r="X593" s="17" t="n">
        <v>14.3631579775332</v>
      </c>
      <c r="Y593" s="17" t="n">
        <v>55486</v>
      </c>
      <c r="Z593" s="17" t="n">
        <v>0.966146562932645</v>
      </c>
      <c r="AA593" s="17" t="n">
        <v>10.56</v>
      </c>
      <c r="AB593" s="17" t="n">
        <v>2.55088080553464</v>
      </c>
      <c r="AC593" s="17" t="n">
        <v>0.865858777386467</v>
      </c>
      <c r="AD593" s="17" t="n">
        <v>0.01</v>
      </c>
      <c r="AE593" s="17" t="n">
        <v>1</v>
      </c>
      <c r="AF593" s="17" t="s">
        <v>210</v>
      </c>
      <c r="AG593" s="17" t="s">
        <v>211</v>
      </c>
      <c r="AH593" s="17" t="n">
        <v>0</v>
      </c>
    </row>
    <row r="594" customFormat="false" ht="15" hidden="false" customHeight="false" outlineLevel="0" collapsed="false">
      <c r="A594" s="17" t="n">
        <v>4256</v>
      </c>
      <c r="B594" s="23" t="n">
        <v>45657</v>
      </c>
      <c r="C594" s="17" t="s">
        <v>135</v>
      </c>
      <c r="D594" s="17" t="s">
        <v>108</v>
      </c>
      <c r="E594" s="17" t="n">
        <v>3121442</v>
      </c>
      <c r="F594" s="17" t="n">
        <v>3026338.6</v>
      </c>
      <c r="G594" s="17" t="n">
        <v>2726323</v>
      </c>
      <c r="H594" s="17" t="n">
        <v>223532</v>
      </c>
      <c r="I594" s="17" t="n">
        <v>7.1611774301749</v>
      </c>
      <c r="J594" s="17" t="n">
        <v>2340940</v>
      </c>
      <c r="K594" s="17" t="n">
        <v>2239812.6</v>
      </c>
      <c r="L594" s="17" t="n">
        <v>2316069</v>
      </c>
      <c r="M594" s="17" t="n">
        <v>1846128</v>
      </c>
      <c r="N594" s="17" t="n">
        <v>364018</v>
      </c>
      <c r="O594" s="17" t="n">
        <v>20790</v>
      </c>
      <c r="P594" s="17" t="n">
        <v>4248</v>
      </c>
      <c r="Q594" s="17" t="n">
        <v>6975</v>
      </c>
      <c r="R594" s="17" t="n">
        <v>1020</v>
      </c>
      <c r="S594" s="17" t="n">
        <v>463</v>
      </c>
      <c r="T594" s="17" t="n">
        <v>463</v>
      </c>
      <c r="U594" s="17" t="n">
        <v>0.0206713722389096</v>
      </c>
      <c r="V594" s="17" t="n">
        <v>288343</v>
      </c>
      <c r="W594" s="17" t="n">
        <v>2191499</v>
      </c>
      <c r="X594" s="17" t="n">
        <v>13.1573411623733</v>
      </c>
      <c r="Y594" s="17" t="n">
        <v>28047</v>
      </c>
      <c r="Z594" s="17" t="n">
        <v>0.926763449403844</v>
      </c>
      <c r="AA594" s="17" t="n">
        <v>12.79</v>
      </c>
      <c r="AB594" s="17" t="n">
        <v>2.24895844222402</v>
      </c>
      <c r="AC594" s="17" t="n">
        <v>1.06243645714969</v>
      </c>
      <c r="AD594" s="17" t="n">
        <v>0.02</v>
      </c>
      <c r="AE594" s="17" t="n">
        <v>1</v>
      </c>
      <c r="AF594" s="17" t="s">
        <v>210</v>
      </c>
      <c r="AG594" s="17" t="s">
        <v>211</v>
      </c>
      <c r="AH594" s="17" t="n">
        <v>0</v>
      </c>
    </row>
    <row r="595" customFormat="false" ht="15" hidden="false" customHeight="false" outlineLevel="0" collapsed="false">
      <c r="A595" s="17" t="n">
        <v>6271</v>
      </c>
      <c r="B595" s="23" t="n">
        <v>45657</v>
      </c>
      <c r="C595" s="17" t="s">
        <v>147</v>
      </c>
      <c r="D595" s="17" t="s">
        <v>113</v>
      </c>
      <c r="E595" s="17" t="n">
        <v>1248213</v>
      </c>
      <c r="F595" s="17" t="n">
        <v>1146011.4</v>
      </c>
      <c r="G595" s="17" t="n">
        <v>1002714</v>
      </c>
      <c r="H595" s="17" t="n">
        <v>110120</v>
      </c>
      <c r="I595" s="17" t="n">
        <v>8.8222122346106</v>
      </c>
      <c r="J595" s="17" t="n">
        <v>928589</v>
      </c>
      <c r="K595" s="17" t="n">
        <v>883660</v>
      </c>
      <c r="L595" s="17" t="n">
        <v>918779</v>
      </c>
      <c r="M595" s="17" t="n">
        <v>726591</v>
      </c>
      <c r="N595" s="17" t="n">
        <v>124383</v>
      </c>
      <c r="O595" s="17" t="n">
        <v>6728</v>
      </c>
      <c r="P595" s="17" t="n">
        <v>8338</v>
      </c>
      <c r="Q595" s="17" t="n">
        <v>3522</v>
      </c>
      <c r="R595" s="17" t="n">
        <v>806</v>
      </c>
      <c r="S595" s="17" t="n">
        <v>1268</v>
      </c>
      <c r="T595" s="17" t="n">
        <v>1268</v>
      </c>
      <c r="U595" s="17" t="n">
        <v>0.143494104067175</v>
      </c>
      <c r="V595" s="17" t="n">
        <v>124837</v>
      </c>
      <c r="W595" s="17" t="n">
        <v>845623</v>
      </c>
      <c r="X595" s="17" t="n">
        <v>14.7627252333487</v>
      </c>
      <c r="Y595" s="17" t="n">
        <v>14008</v>
      </c>
      <c r="Z595" s="17" t="n">
        <v>1.22232640966748</v>
      </c>
      <c r="AA595" s="17" t="n">
        <v>13.31</v>
      </c>
      <c r="AB595" s="17" t="n">
        <v>3.30963366885195</v>
      </c>
      <c r="AC595" s="17" t="n">
        <v>1.05644154733687</v>
      </c>
      <c r="AD595" s="17" t="n">
        <v>0.1</v>
      </c>
      <c r="AE595" s="17" t="n">
        <v>1</v>
      </c>
      <c r="AF595" s="17" t="s">
        <v>210</v>
      </c>
      <c r="AG595" s="17" t="s">
        <v>211</v>
      </c>
      <c r="AH595" s="17" t="n">
        <v>0</v>
      </c>
    </row>
    <row r="596" customFormat="false" ht="15" hidden="false" customHeight="false" outlineLevel="0" collapsed="false">
      <c r="A596" s="17" t="n">
        <v>6275</v>
      </c>
      <c r="B596" s="23" t="n">
        <v>45657</v>
      </c>
      <c r="C596" s="17" t="s">
        <v>165</v>
      </c>
      <c r="D596" s="17" t="s">
        <v>113</v>
      </c>
      <c r="E596" s="17" t="n">
        <v>547799</v>
      </c>
      <c r="F596" s="17" t="n">
        <v>556646.8</v>
      </c>
      <c r="G596" s="17" t="n">
        <v>491990</v>
      </c>
      <c r="H596" s="17" t="n">
        <v>33538</v>
      </c>
      <c r="I596" s="17" t="n">
        <v>6.12231858765715</v>
      </c>
      <c r="J596" s="17" t="n">
        <v>348836</v>
      </c>
      <c r="K596" s="17" t="n">
        <v>344124</v>
      </c>
      <c r="L596" s="17" t="n">
        <v>347486</v>
      </c>
      <c r="M596" s="17" t="n">
        <v>295604</v>
      </c>
      <c r="N596" s="17" t="n">
        <v>34535</v>
      </c>
      <c r="O596" s="17" t="n">
        <v>8857</v>
      </c>
      <c r="P596" s="17" t="n">
        <v>694</v>
      </c>
      <c r="Q596" s="17" t="n">
        <v>113</v>
      </c>
      <c r="R596" s="17" t="n">
        <v>135</v>
      </c>
      <c r="S596" s="17" t="n">
        <v>-22</v>
      </c>
      <c r="T596" s="17" t="n">
        <v>-22</v>
      </c>
      <c r="U596" s="17" t="n">
        <v>-0.00639304436772791</v>
      </c>
      <c r="V596" s="17" t="n">
        <v>50591</v>
      </c>
      <c r="W596" s="17" t="n">
        <v>327924</v>
      </c>
      <c r="X596" s="17" t="n">
        <v>15.4276600675766</v>
      </c>
      <c r="Y596" s="17" t="n">
        <v>3461</v>
      </c>
      <c r="Z596" s="17" t="n">
        <v>0.621758716658391</v>
      </c>
      <c r="AA596" s="17" t="n">
        <v>10.72</v>
      </c>
      <c r="AB596" s="17" t="n">
        <v>2.93570449521976</v>
      </c>
      <c r="AC596" s="17" t="n">
        <v>0.387001341604651</v>
      </c>
      <c r="AD596" s="17" t="n">
        <v>-0.01</v>
      </c>
      <c r="AE596" s="17" t="n">
        <v>1</v>
      </c>
      <c r="AF596" s="17" t="s">
        <v>210</v>
      </c>
      <c r="AG596" s="17" t="s">
        <v>211</v>
      </c>
      <c r="AH596" s="17" t="n">
        <v>0</v>
      </c>
    </row>
    <row r="597" customFormat="false" ht="15" hidden="false" customHeight="false" outlineLevel="0" collapsed="false">
      <c r="A597" s="17" t="n">
        <v>6280</v>
      </c>
      <c r="B597" s="23" t="n">
        <v>45657</v>
      </c>
      <c r="C597" s="17" t="s">
        <v>138</v>
      </c>
      <c r="D597" s="17" t="s">
        <v>113</v>
      </c>
      <c r="E597" s="17" t="n">
        <v>87669</v>
      </c>
      <c r="F597" s="17" t="n">
        <v>82299.2</v>
      </c>
      <c r="G597" s="17" t="n">
        <v>77381</v>
      </c>
      <c r="H597" s="17" t="n">
        <v>9723</v>
      </c>
      <c r="I597" s="17" t="n">
        <v>11.0905793381925</v>
      </c>
      <c r="J597" s="17" t="n">
        <v>70864</v>
      </c>
      <c r="K597" s="17" t="n">
        <v>69077</v>
      </c>
      <c r="L597" s="17" t="n">
        <v>69952</v>
      </c>
      <c r="M597" s="17" t="n">
        <v>63247</v>
      </c>
      <c r="N597" s="17" t="n">
        <v>3883</v>
      </c>
      <c r="O597" s="17" t="n">
        <v>1432</v>
      </c>
      <c r="P597" s="17" t="n">
        <v>1616</v>
      </c>
      <c r="Q597" s="17" t="n">
        <v>911</v>
      </c>
      <c r="R597" s="17" t="n">
        <v>0</v>
      </c>
      <c r="S597" s="17" t="n">
        <v>48</v>
      </c>
      <c r="T597" s="17" t="n">
        <v>48</v>
      </c>
      <c r="U597" s="17" t="n">
        <v>0.0694876731763105</v>
      </c>
      <c r="V597" s="17" t="n">
        <v>0</v>
      </c>
      <c r="W597" s="17" t="n">
        <v>0</v>
      </c>
      <c r="X597" s="17" t="n">
        <v>0</v>
      </c>
      <c r="Y597" s="17" t="n">
        <v>1099</v>
      </c>
      <c r="Z597" s="17" t="n">
        <v>1.33537142523864</v>
      </c>
      <c r="AA597" s="17" t="n">
        <v>11.41</v>
      </c>
      <c r="AB597" s="17" t="n">
        <v>4.60084938757925</v>
      </c>
      <c r="AC597" s="17" t="n">
        <v>1.28697222849402</v>
      </c>
      <c r="AD597" s="17" t="n">
        <v>0.08</v>
      </c>
      <c r="AE597" s="17" t="n">
        <v>1</v>
      </c>
      <c r="AF597" s="17" t="s">
        <v>210</v>
      </c>
      <c r="AG597" s="17" t="s">
        <v>211</v>
      </c>
      <c r="AH597" s="17" t="n">
        <v>0</v>
      </c>
    </row>
    <row r="598" customFormat="false" ht="15" hidden="false" customHeight="false" outlineLevel="0" collapsed="false">
      <c r="A598" s="17" t="n">
        <v>11971</v>
      </c>
      <c r="B598" s="23" t="n">
        <v>45657</v>
      </c>
      <c r="C598" s="17" t="s">
        <v>134</v>
      </c>
      <c r="D598" s="17" t="s">
        <v>108</v>
      </c>
      <c r="E598" s="17" t="n">
        <v>4077997</v>
      </c>
      <c r="F598" s="17" t="n">
        <v>4011533.4</v>
      </c>
      <c r="G598" s="17" t="n">
        <v>3274818</v>
      </c>
      <c r="H598" s="17" t="n">
        <v>493072</v>
      </c>
      <c r="I598" s="17" t="n">
        <v>12.0910339070872</v>
      </c>
      <c r="J598" s="17" t="n">
        <v>3148332</v>
      </c>
      <c r="K598" s="17" t="n">
        <v>3063092.6</v>
      </c>
      <c r="L598" s="17" t="n">
        <v>3119588</v>
      </c>
      <c r="M598" s="17" t="n">
        <v>2776221</v>
      </c>
      <c r="N598" s="17" t="n">
        <v>212814</v>
      </c>
      <c r="O598" s="17" t="n">
        <v>8070</v>
      </c>
      <c r="P598" s="17" t="n">
        <v>6995</v>
      </c>
      <c r="Q598" s="17" t="n">
        <v>17336</v>
      </c>
      <c r="R598" s="17" t="n">
        <v>3</v>
      </c>
      <c r="S598" s="17" t="n">
        <v>353</v>
      </c>
      <c r="T598" s="17" t="n">
        <v>353</v>
      </c>
      <c r="U598" s="17" t="n">
        <v>0.0115243006365527</v>
      </c>
      <c r="V598" s="17" t="n">
        <v>452823</v>
      </c>
      <c r="W598" s="17" t="n">
        <v>3368931</v>
      </c>
      <c r="X598" s="17" t="n">
        <v>13.4411479487113</v>
      </c>
      <c r="Y598" s="17" t="n">
        <v>50725</v>
      </c>
      <c r="Z598" s="17" t="n">
        <v>1.26447906428998</v>
      </c>
      <c r="AA598" s="17" t="n">
        <v>10.26</v>
      </c>
      <c r="AB598" s="17" t="n">
        <v>3.2547781259091</v>
      </c>
      <c r="AC598" s="17" t="n">
        <v>0.912991387185342</v>
      </c>
      <c r="AD598" s="17" t="n">
        <v>0.03</v>
      </c>
      <c r="AE598" s="17" t="n">
        <v>1</v>
      </c>
      <c r="AF598" s="17" t="s">
        <v>231</v>
      </c>
      <c r="AG598" s="17" t="s">
        <v>232</v>
      </c>
      <c r="AH598" s="17" t="n">
        <v>0</v>
      </c>
    </row>
    <row r="599" customFormat="false" ht="15" hidden="false" customHeight="false" outlineLevel="0" collapsed="false">
      <c r="A599" s="17" t="n">
        <v>12874</v>
      </c>
      <c r="B599" s="23" t="n">
        <v>45657</v>
      </c>
      <c r="C599" s="17" t="s">
        <v>159</v>
      </c>
      <c r="D599" s="17" t="s">
        <v>108</v>
      </c>
      <c r="E599" s="17" t="n">
        <v>1078599</v>
      </c>
      <c r="F599" s="17" t="n">
        <v>1044130.4</v>
      </c>
      <c r="G599" s="17" t="n">
        <v>931493</v>
      </c>
      <c r="H599" s="17" t="n">
        <v>96293</v>
      </c>
      <c r="I599" s="17" t="n">
        <v>8.92759959910959</v>
      </c>
      <c r="J599" s="17" t="n">
        <v>824752</v>
      </c>
      <c r="K599" s="17" t="n">
        <v>811079.4</v>
      </c>
      <c r="L599" s="17" t="n">
        <v>816453</v>
      </c>
      <c r="M599" s="17" t="n">
        <v>640478</v>
      </c>
      <c r="N599" s="17" t="n">
        <v>163025</v>
      </c>
      <c r="O599" s="17" t="n">
        <v>4566</v>
      </c>
      <c r="P599" s="17" t="n">
        <v>1392</v>
      </c>
      <c r="Q599" s="17" t="n">
        <v>568</v>
      </c>
      <c r="R599" s="17" t="n">
        <v>0</v>
      </c>
      <c r="S599" s="17" t="n">
        <v>-17</v>
      </c>
      <c r="T599" s="17" t="n">
        <v>-17</v>
      </c>
      <c r="U599" s="17" t="n">
        <v>-0.00209597235486439</v>
      </c>
      <c r="V599" s="17" t="n">
        <v>111547</v>
      </c>
      <c r="W599" s="17" t="n">
        <v>796377</v>
      </c>
      <c r="X599" s="17" t="n">
        <v>14.0068083332392</v>
      </c>
      <c r="Y599" s="17" t="n">
        <v>8983</v>
      </c>
      <c r="Z599" s="17" t="n">
        <v>0.860333153789986</v>
      </c>
      <c r="AA599" s="17" t="n">
        <v>8.44</v>
      </c>
      <c r="AB599" s="17" t="n">
        <v>3.69486040719359</v>
      </c>
      <c r="AC599" s="17" t="n">
        <v>1.00624187634586</v>
      </c>
      <c r="AD599" s="17" t="n">
        <v>0.05</v>
      </c>
      <c r="AE599" s="17" t="n">
        <v>1</v>
      </c>
      <c r="AF599" s="17" t="s">
        <v>231</v>
      </c>
      <c r="AG599" s="17" t="s">
        <v>232</v>
      </c>
      <c r="AH599" s="17" t="n">
        <v>0</v>
      </c>
    </row>
    <row r="600" customFormat="false" ht="15" hidden="false" customHeight="false" outlineLevel="0" collapsed="false">
      <c r="A600" s="17" t="n">
        <v>13063</v>
      </c>
      <c r="B600" s="23" t="n">
        <v>45657</v>
      </c>
      <c r="C600" s="17" t="s">
        <v>139</v>
      </c>
      <c r="D600" s="17" t="s">
        <v>108</v>
      </c>
      <c r="E600" s="17" t="n">
        <v>1867411</v>
      </c>
      <c r="F600" s="17" t="n">
        <v>1841033</v>
      </c>
      <c r="G600" s="17" t="n">
        <v>1626222</v>
      </c>
      <c r="H600" s="17" t="n">
        <v>153090</v>
      </c>
      <c r="I600" s="17" t="n">
        <v>8.1979810550543</v>
      </c>
      <c r="J600" s="17" t="n">
        <v>1503020</v>
      </c>
      <c r="K600" s="17" t="n">
        <v>1460077.2</v>
      </c>
      <c r="L600" s="17" t="n">
        <v>1486454</v>
      </c>
      <c r="M600" s="17" t="n">
        <v>1427918</v>
      </c>
      <c r="N600" s="17" t="n">
        <v>60157</v>
      </c>
      <c r="O600" s="17" t="n">
        <v>794</v>
      </c>
      <c r="P600" s="17" t="n">
        <v>471</v>
      </c>
      <c r="Q600" s="17" t="n">
        <v>4656</v>
      </c>
      <c r="R600" s="17" t="n">
        <v>0</v>
      </c>
      <c r="S600" s="17" t="n">
        <v>-27</v>
      </c>
      <c r="T600" s="17" t="n">
        <v>-27</v>
      </c>
      <c r="U600" s="17" t="n">
        <v>-0.00184921728796258</v>
      </c>
      <c r="V600" s="17" t="n">
        <v>0</v>
      </c>
      <c r="W600" s="17" t="n">
        <v>0</v>
      </c>
      <c r="X600" s="17" t="n">
        <v>0</v>
      </c>
      <c r="Y600" s="17" t="n">
        <v>9574</v>
      </c>
      <c r="Z600" s="17" t="n">
        <v>0.520034133011195</v>
      </c>
      <c r="AA600" s="17" t="n">
        <v>6.39</v>
      </c>
      <c r="AB600" s="17" t="n">
        <v>3.19713072652626</v>
      </c>
      <c r="AC600" s="17" t="n">
        <v>1.10218094236936</v>
      </c>
      <c r="AD600" s="17" t="n">
        <v>0</v>
      </c>
      <c r="AE600" s="17" t="n">
        <v>1</v>
      </c>
      <c r="AF600" s="17" t="s">
        <v>241</v>
      </c>
      <c r="AG600" s="17" t="s">
        <v>232</v>
      </c>
      <c r="AH600" s="17" t="n">
        <v>0</v>
      </c>
    </row>
    <row r="601" customFormat="false" ht="15" hidden="false" customHeight="false" outlineLevel="0" collapsed="false">
      <c r="A601" s="17" t="n">
        <v>14134</v>
      </c>
      <c r="B601" s="23" t="n">
        <v>45657</v>
      </c>
      <c r="C601" s="17" t="s">
        <v>155</v>
      </c>
      <c r="D601" s="17" t="s">
        <v>113</v>
      </c>
      <c r="E601" s="17" t="n">
        <v>894082</v>
      </c>
      <c r="F601" s="17" t="n">
        <v>863058.4</v>
      </c>
      <c r="G601" s="17" t="n">
        <v>716959</v>
      </c>
      <c r="H601" s="17" t="n">
        <v>111729</v>
      </c>
      <c r="I601" s="17" t="n">
        <v>12.4965047948622</v>
      </c>
      <c r="J601" s="17" t="n">
        <v>643373</v>
      </c>
      <c r="K601" s="17" t="n">
        <v>634559.4</v>
      </c>
      <c r="L601" s="17" t="n">
        <v>636430</v>
      </c>
      <c r="M601" s="17" t="n">
        <v>570625</v>
      </c>
      <c r="N601" s="17" t="n">
        <v>25357</v>
      </c>
      <c r="O601" s="17" t="n">
        <v>19431</v>
      </c>
      <c r="P601" s="17" t="n">
        <v>3603</v>
      </c>
      <c r="Q601" s="17" t="n">
        <v>4356</v>
      </c>
      <c r="R601" s="17" t="n">
        <v>0</v>
      </c>
      <c r="S601" s="17" t="n">
        <v>1082</v>
      </c>
      <c r="T601" s="17" t="n">
        <v>1082</v>
      </c>
      <c r="U601" s="17" t="n">
        <v>0.170512011956643</v>
      </c>
      <c r="V601" s="17" t="n">
        <v>115644</v>
      </c>
      <c r="W601" s="17" t="n">
        <v>569866</v>
      </c>
      <c r="X601" s="17" t="n">
        <v>20.2931917327933</v>
      </c>
      <c r="Y601" s="17" t="n">
        <v>6971</v>
      </c>
      <c r="Z601" s="17" t="n">
        <v>0.807708956890982</v>
      </c>
      <c r="AA601" s="17" t="n">
        <v>6.36</v>
      </c>
      <c r="AB601" s="17" t="n">
        <v>3.02248641444206</v>
      </c>
      <c r="AC601" s="17" t="n">
        <v>1.07915625927728</v>
      </c>
      <c r="AD601" s="17" t="n">
        <v>0.09</v>
      </c>
      <c r="AE601" s="17" t="n">
        <v>1</v>
      </c>
      <c r="AF601" s="17" t="s">
        <v>241</v>
      </c>
      <c r="AG601" s="17" t="s">
        <v>232</v>
      </c>
      <c r="AH601" s="17" t="n">
        <v>0</v>
      </c>
    </row>
    <row r="602" customFormat="false" ht="15" hidden="false" customHeight="false" outlineLevel="0" collapsed="false">
      <c r="A602" s="17" t="n">
        <v>14136</v>
      </c>
      <c r="B602" s="23" t="n">
        <v>45657</v>
      </c>
      <c r="C602" s="17" t="s">
        <v>153</v>
      </c>
      <c r="D602" s="17" t="s">
        <v>113</v>
      </c>
      <c r="E602" s="17" t="n">
        <v>237708</v>
      </c>
      <c r="F602" s="17" t="n">
        <v>236738.2</v>
      </c>
      <c r="G602" s="17" t="n">
        <v>204666</v>
      </c>
      <c r="H602" s="17" t="n">
        <v>18926</v>
      </c>
      <c r="I602" s="17" t="n">
        <v>7.96186918404093</v>
      </c>
      <c r="J602" s="17" t="n">
        <v>157799</v>
      </c>
      <c r="K602" s="17" t="n">
        <v>155662.2</v>
      </c>
      <c r="L602" s="17" t="n">
        <v>156165</v>
      </c>
      <c r="M602" s="17" t="n">
        <v>125909</v>
      </c>
      <c r="N602" s="17" t="n">
        <v>16696</v>
      </c>
      <c r="O602" s="17" t="n">
        <v>14895</v>
      </c>
      <c r="P602" s="17" t="n">
        <v>510</v>
      </c>
      <c r="Q602" s="17" t="n">
        <v>1061</v>
      </c>
      <c r="R602" s="17" t="n">
        <v>714</v>
      </c>
      <c r="S602" s="17" t="n">
        <v>271</v>
      </c>
      <c r="T602" s="17" t="n">
        <v>271</v>
      </c>
      <c r="U602" s="17" t="n">
        <v>0.174094931203593</v>
      </c>
      <c r="V602" s="17" t="n">
        <v>27841</v>
      </c>
      <c r="W602" s="17" t="n">
        <v>151448</v>
      </c>
      <c r="X602" s="17" t="n">
        <v>18.3832074375363</v>
      </c>
      <c r="Y602" s="17" t="n">
        <v>1402</v>
      </c>
      <c r="Z602" s="17" t="n">
        <v>0.592215367017237</v>
      </c>
      <c r="AA602" s="17" t="n">
        <v>7.67</v>
      </c>
      <c r="AB602" s="17" t="n">
        <v>3.83592993733623</v>
      </c>
      <c r="AC602" s="17" t="n">
        <v>1.03549452151154</v>
      </c>
      <c r="AD602" s="17" t="n">
        <v>0.01</v>
      </c>
      <c r="AE602" s="17" t="n">
        <v>1</v>
      </c>
      <c r="AF602" s="17" t="s">
        <v>241</v>
      </c>
      <c r="AG602" s="17" t="s">
        <v>232</v>
      </c>
      <c r="AH602" s="17" t="n">
        <v>1</v>
      </c>
    </row>
    <row r="603" customFormat="false" ht="15" hidden="false" customHeight="false" outlineLevel="0" collapsed="false">
      <c r="A603" s="17" t="n">
        <v>14140</v>
      </c>
      <c r="B603" s="23" t="n">
        <v>45657</v>
      </c>
      <c r="C603" s="17" t="s">
        <v>120</v>
      </c>
      <c r="D603" s="17" t="s">
        <v>113</v>
      </c>
      <c r="E603" s="17" t="n">
        <v>1558316</v>
      </c>
      <c r="F603" s="17" t="n">
        <v>1518075.2</v>
      </c>
      <c r="G603" s="17" t="n">
        <v>1234041</v>
      </c>
      <c r="H603" s="17" t="n">
        <v>133315</v>
      </c>
      <c r="I603" s="17" t="n">
        <v>8.55506842001237</v>
      </c>
      <c r="J603" s="17" t="n">
        <v>1100572</v>
      </c>
      <c r="K603" s="17" t="n">
        <v>1073107</v>
      </c>
      <c r="L603" s="17" t="n">
        <v>1091944</v>
      </c>
      <c r="M603" s="17" t="n">
        <v>975721</v>
      </c>
      <c r="N603" s="17" t="n">
        <v>95021</v>
      </c>
      <c r="O603" s="17" t="n">
        <v>1556</v>
      </c>
      <c r="P603" s="17" t="n">
        <v>5344</v>
      </c>
      <c r="Q603" s="17" t="n">
        <v>798</v>
      </c>
      <c r="R603" s="17" t="n">
        <v>0</v>
      </c>
      <c r="S603" s="17" t="n">
        <v>50</v>
      </c>
      <c r="T603" s="17" t="n">
        <v>50</v>
      </c>
      <c r="U603" s="17" t="n">
        <v>0.00465936761199023</v>
      </c>
      <c r="V603" s="17" t="n">
        <v>0</v>
      </c>
      <c r="W603" s="17" t="n">
        <v>0</v>
      </c>
      <c r="X603" s="17" t="n">
        <v>0</v>
      </c>
      <c r="Y603" s="17" t="n">
        <v>4679</v>
      </c>
      <c r="Z603" s="17" t="n">
        <v>0.30821925027166</v>
      </c>
      <c r="AA603" s="17" t="n">
        <v>3.6</v>
      </c>
      <c r="AB603" s="17" t="n">
        <v>2.41444487121519</v>
      </c>
      <c r="AC603" s="17" t="n">
        <v>0.783955979254424</v>
      </c>
      <c r="AD603" s="17" t="n">
        <v>-0.03</v>
      </c>
      <c r="AE603" s="17" t="n">
        <v>1</v>
      </c>
      <c r="AF603" s="17" t="s">
        <v>241</v>
      </c>
      <c r="AG603" s="17" t="s">
        <v>232</v>
      </c>
      <c r="AH603" s="17" t="n">
        <v>0</v>
      </c>
    </row>
    <row r="604" customFormat="false" ht="15" hidden="false" customHeight="false" outlineLevel="0" collapsed="false">
      <c r="A604" s="17" t="n">
        <v>14158</v>
      </c>
      <c r="B604" s="23" t="n">
        <v>45657</v>
      </c>
      <c r="C604" s="17" t="s">
        <v>112</v>
      </c>
      <c r="D604" s="17" t="s">
        <v>113</v>
      </c>
      <c r="E604" s="17" t="n">
        <v>1527590</v>
      </c>
      <c r="F604" s="17" t="n">
        <v>1465931.6</v>
      </c>
      <c r="G604" s="17" t="n">
        <v>1171399</v>
      </c>
      <c r="H604" s="17" t="n">
        <v>82437</v>
      </c>
      <c r="I604" s="17" t="n">
        <v>5.39653964741848</v>
      </c>
      <c r="J604" s="17" t="n">
        <v>1163102</v>
      </c>
      <c r="K604" s="17" t="n">
        <v>1075531.6</v>
      </c>
      <c r="L604" s="17" t="n">
        <v>1155422</v>
      </c>
      <c r="M604" s="17" t="n">
        <v>1010360</v>
      </c>
      <c r="N604" s="17" t="n">
        <v>35314</v>
      </c>
      <c r="O604" s="17" t="n">
        <v>2423</v>
      </c>
      <c r="P604" s="17" t="n">
        <v>1652</v>
      </c>
      <c r="Q604" s="17" t="n">
        <v>3122</v>
      </c>
      <c r="R604" s="17" t="n">
        <v>241</v>
      </c>
      <c r="S604" s="17" t="n">
        <v>-23</v>
      </c>
      <c r="T604" s="17" t="n">
        <v>-23</v>
      </c>
      <c r="U604" s="17" t="n">
        <v>-0.00213847738178962</v>
      </c>
      <c r="V604" s="17" t="n">
        <v>122962</v>
      </c>
      <c r="W604" s="17" t="n">
        <v>983059</v>
      </c>
      <c r="X604" s="17" t="n">
        <v>12.508099717311</v>
      </c>
      <c r="Y604" s="17" t="n">
        <v>9665</v>
      </c>
      <c r="Z604" s="17" t="n">
        <v>0.659307705761988</v>
      </c>
      <c r="AA604" s="17" t="n">
        <v>11.71</v>
      </c>
      <c r="AB604" s="17" t="n">
        <v>2.86003880673193</v>
      </c>
      <c r="AC604" s="17" t="n">
        <v>0.660303223620972</v>
      </c>
      <c r="AD604" s="17" t="n">
        <v>0.06</v>
      </c>
      <c r="AE604" s="17" t="n">
        <v>1</v>
      </c>
      <c r="AF604" s="17" t="s">
        <v>231</v>
      </c>
      <c r="AG604" s="17" t="s">
        <v>232</v>
      </c>
      <c r="AH604" s="17" t="n">
        <v>0</v>
      </c>
    </row>
    <row r="605" customFormat="false" ht="15" hidden="false" customHeight="false" outlineLevel="0" collapsed="false">
      <c r="A605" s="17" t="n">
        <v>14168</v>
      </c>
      <c r="B605" s="23" t="n">
        <v>45657</v>
      </c>
      <c r="C605" s="17" t="s">
        <v>162</v>
      </c>
      <c r="D605" s="17" t="s">
        <v>113</v>
      </c>
      <c r="E605" s="17" t="n">
        <v>369405</v>
      </c>
      <c r="F605" s="17" t="n">
        <v>366856.6</v>
      </c>
      <c r="G605" s="17" t="n">
        <v>325925</v>
      </c>
      <c r="H605" s="17" t="n">
        <v>37830</v>
      </c>
      <c r="I605" s="17" t="n">
        <v>10.2407926259796</v>
      </c>
      <c r="J605" s="17" t="n">
        <v>276382</v>
      </c>
      <c r="K605" s="17" t="n">
        <v>259435.4</v>
      </c>
      <c r="L605" s="17" t="n">
        <v>272596</v>
      </c>
      <c r="M605" s="17" t="n">
        <v>234027</v>
      </c>
      <c r="N605" s="17" t="n">
        <v>11946</v>
      </c>
      <c r="O605" s="17" t="n">
        <v>10751</v>
      </c>
      <c r="P605" s="17" t="n">
        <v>910</v>
      </c>
      <c r="Q605" s="17" t="n">
        <v>404</v>
      </c>
      <c r="R605" s="17" t="n">
        <v>0</v>
      </c>
      <c r="S605" s="17" t="n">
        <v>85</v>
      </c>
      <c r="T605" s="17" t="n">
        <v>85</v>
      </c>
      <c r="U605" s="17" t="n">
        <v>0.0327634547945269</v>
      </c>
      <c r="V605" s="17" t="n">
        <v>45235</v>
      </c>
      <c r="W605" s="17" t="n">
        <v>275496</v>
      </c>
      <c r="X605" s="17" t="n">
        <v>16.4194761448442</v>
      </c>
      <c r="Y605" s="17" t="n">
        <v>3617</v>
      </c>
      <c r="Z605" s="17" t="n">
        <v>0.985943826552391</v>
      </c>
      <c r="AA605" s="17" t="n">
        <v>9.9</v>
      </c>
      <c r="AB605" s="17" t="n">
        <v>4.15092219303544</v>
      </c>
      <c r="AC605" s="17" t="n">
        <v>1.36984318805132</v>
      </c>
      <c r="AD605" s="17" t="n">
        <v>0.05</v>
      </c>
      <c r="AE605" s="17" t="n">
        <v>1</v>
      </c>
      <c r="AF605" s="17" t="s">
        <v>231</v>
      </c>
      <c r="AG605" s="17" t="s">
        <v>232</v>
      </c>
      <c r="AH605" s="17" t="n">
        <v>0</v>
      </c>
    </row>
    <row r="606" customFormat="false" ht="15" hidden="false" customHeight="false" outlineLevel="0" collapsed="false">
      <c r="A606" s="17" t="n">
        <v>14240</v>
      </c>
      <c r="B606" s="23" t="n">
        <v>45657</v>
      </c>
      <c r="C606" s="17" t="s">
        <v>195</v>
      </c>
      <c r="D606" s="17" t="s">
        <v>116</v>
      </c>
      <c r="E606" s="17" t="n">
        <v>1188010</v>
      </c>
      <c r="F606" s="17" t="n">
        <v>1239501.6</v>
      </c>
      <c r="G606" s="17" t="n">
        <v>977466</v>
      </c>
      <c r="H606" s="17" t="n">
        <v>89624</v>
      </c>
      <c r="I606" s="17" t="n">
        <v>7.54404424205184</v>
      </c>
      <c r="J606" s="17" t="n">
        <v>874800</v>
      </c>
      <c r="K606" s="17" t="n">
        <v>911833</v>
      </c>
      <c r="L606" s="17" t="n">
        <v>864578</v>
      </c>
      <c r="M606" s="17" t="n">
        <v>760710</v>
      </c>
      <c r="N606" s="17" t="n">
        <v>27669</v>
      </c>
      <c r="O606" s="17" t="n">
        <v>12372</v>
      </c>
      <c r="P606" s="17" t="n">
        <v>2934</v>
      </c>
      <c r="Q606" s="17" t="n">
        <v>2297</v>
      </c>
      <c r="R606" s="17" t="n">
        <v>0</v>
      </c>
      <c r="S606" s="17" t="n">
        <v>-18</v>
      </c>
      <c r="T606" s="17" t="n">
        <v>-18</v>
      </c>
      <c r="U606" s="17" t="n">
        <v>-0.00197404568599733</v>
      </c>
      <c r="V606" s="17" t="n">
        <v>126031</v>
      </c>
      <c r="W606" s="17" t="n">
        <v>734904</v>
      </c>
      <c r="X606" s="17" t="n">
        <v>17.1493147404287</v>
      </c>
      <c r="Y606" s="17" t="n">
        <v>6251</v>
      </c>
      <c r="Z606" s="17" t="n">
        <v>0.504315605562752</v>
      </c>
      <c r="AA606" s="17" t="n">
        <v>6.9</v>
      </c>
      <c r="AB606" s="17" t="n">
        <v>2.74163164808035</v>
      </c>
      <c r="AC606" s="17" t="n">
        <v>1.16849565614998</v>
      </c>
      <c r="AD606" s="17" t="n">
        <v>-0.04</v>
      </c>
      <c r="AE606" s="17" t="n">
        <v>0</v>
      </c>
      <c r="AF606" s="17" t="s">
        <v>231</v>
      </c>
      <c r="AG606" s="17" t="s">
        <v>232</v>
      </c>
      <c r="AH606" s="17" t="n">
        <v>0</v>
      </c>
    </row>
    <row r="607" customFormat="false" ht="15" hidden="false" customHeight="false" outlineLevel="0" collapsed="false">
      <c r="A607" s="17" t="n">
        <v>17115</v>
      </c>
      <c r="B607" s="23" t="n">
        <v>45657</v>
      </c>
      <c r="C607" s="17" t="s">
        <v>143</v>
      </c>
      <c r="D607" s="17" t="s">
        <v>108</v>
      </c>
      <c r="E607" s="17" t="n">
        <v>1041970</v>
      </c>
      <c r="F607" s="17" t="n">
        <v>1069927</v>
      </c>
      <c r="G607" s="17" t="n">
        <v>827656</v>
      </c>
      <c r="H607" s="17" t="n">
        <v>91891</v>
      </c>
      <c r="I607" s="17" t="n">
        <v>8.8189679165427</v>
      </c>
      <c r="J607" s="17" t="n">
        <v>872561</v>
      </c>
      <c r="K607" s="17" t="n">
        <v>889115.2</v>
      </c>
      <c r="L607" s="17" t="n">
        <v>863959</v>
      </c>
      <c r="M607" s="17" t="n">
        <v>826165</v>
      </c>
      <c r="N607" s="17" t="n">
        <v>38988</v>
      </c>
      <c r="O607" s="17" t="n">
        <v>6624</v>
      </c>
      <c r="P607" s="17" t="n">
        <v>2571</v>
      </c>
      <c r="Q607" s="17" t="n">
        <v>2572</v>
      </c>
      <c r="R607" s="17" t="n">
        <v>0</v>
      </c>
      <c r="S607" s="17" t="n">
        <v>128</v>
      </c>
      <c r="T607" s="17" t="n">
        <v>128</v>
      </c>
      <c r="U607" s="17" t="n">
        <v>0.0143963346931871</v>
      </c>
      <c r="V607" s="17" t="n">
        <v>112365</v>
      </c>
      <c r="W607" s="17" t="n">
        <v>754219</v>
      </c>
      <c r="X607" s="17" t="n">
        <v>14.8981926999983</v>
      </c>
      <c r="Y607" s="17" t="n">
        <v>3181</v>
      </c>
      <c r="Z607" s="17" t="n">
        <v>0.297310003392755</v>
      </c>
      <c r="AA607" s="17" t="n">
        <v>3.53</v>
      </c>
      <c r="AB607" s="17" t="n">
        <v>2.65781382019634</v>
      </c>
      <c r="AC607" s="17" t="n">
        <v>0.985833655182847</v>
      </c>
      <c r="AD607" s="17" t="n">
        <v>-0.01</v>
      </c>
      <c r="AE607" s="17" t="n">
        <v>1</v>
      </c>
      <c r="AF607" s="17" t="s">
        <v>241</v>
      </c>
      <c r="AG607" s="17" t="s">
        <v>232</v>
      </c>
      <c r="AH607" s="17" t="n">
        <v>0</v>
      </c>
    </row>
    <row r="608" customFormat="false" ht="15" hidden="false" customHeight="false" outlineLevel="0" collapsed="false">
      <c r="A608" s="17" t="n">
        <v>17180</v>
      </c>
      <c r="B608" s="23" t="n">
        <v>45657</v>
      </c>
      <c r="C608" s="17" t="s">
        <v>127</v>
      </c>
      <c r="D608" s="17" t="s">
        <v>116</v>
      </c>
      <c r="E608" s="17" t="n">
        <v>1600157</v>
      </c>
      <c r="F608" s="17" t="n">
        <v>1631482.2</v>
      </c>
      <c r="G608" s="17" t="n">
        <v>1219406</v>
      </c>
      <c r="H608" s="17" t="n">
        <v>143344</v>
      </c>
      <c r="I608" s="17" t="n">
        <v>8.95812098437841</v>
      </c>
      <c r="J608" s="17" t="n">
        <v>1419052</v>
      </c>
      <c r="K608" s="17" t="n">
        <v>1458277.6</v>
      </c>
      <c r="L608" s="17" t="n">
        <v>1405137</v>
      </c>
      <c r="M608" s="17" t="n">
        <v>1189538</v>
      </c>
      <c r="N608" s="17" t="n">
        <v>38804</v>
      </c>
      <c r="O608" s="17" t="n">
        <v>164696</v>
      </c>
      <c r="P608" s="17" t="n">
        <v>6126</v>
      </c>
      <c r="Q608" s="17" t="n">
        <v>4396</v>
      </c>
      <c r="R608" s="17" t="n">
        <v>0</v>
      </c>
      <c r="S608" s="17" t="n">
        <v>157</v>
      </c>
      <c r="T608" s="17" t="n">
        <v>157</v>
      </c>
      <c r="U608" s="17" t="n">
        <v>0.0107661257362796</v>
      </c>
      <c r="V608" s="17" t="n">
        <v>168428</v>
      </c>
      <c r="W608" s="17" t="n">
        <v>1080442</v>
      </c>
      <c r="X608" s="17" t="n">
        <v>15.5888053222663</v>
      </c>
      <c r="Y608" s="17" t="n">
        <v>7573</v>
      </c>
      <c r="Z608" s="17" t="n">
        <v>0.464179137228712</v>
      </c>
      <c r="AA608" s="17" t="n">
        <v>5.41</v>
      </c>
      <c r="AB608" s="17" t="n">
        <v>2.68012500903709</v>
      </c>
      <c r="AC608" s="17" t="n">
        <v>0.980584221015157</v>
      </c>
      <c r="AD608" s="17" t="n">
        <v>0</v>
      </c>
      <c r="AE608" s="17" t="n">
        <v>1</v>
      </c>
      <c r="AF608" s="17" t="s">
        <v>241</v>
      </c>
      <c r="AG608" s="17" t="s">
        <v>232</v>
      </c>
      <c r="AH608" s="17" t="n">
        <v>0</v>
      </c>
    </row>
    <row r="609" customFormat="false" ht="15" hidden="false" customHeight="false" outlineLevel="0" collapsed="false">
      <c r="A609" s="17" t="n">
        <v>17443</v>
      </c>
      <c r="B609" s="23" t="n">
        <v>45657</v>
      </c>
      <c r="C609" s="17" t="s">
        <v>132</v>
      </c>
      <c r="D609" s="17" t="s">
        <v>116</v>
      </c>
      <c r="E609" s="17" t="n">
        <v>362004</v>
      </c>
      <c r="F609" s="17" t="n">
        <v>357730.4</v>
      </c>
      <c r="G609" s="17" t="n">
        <v>296951</v>
      </c>
      <c r="H609" s="17" t="n">
        <v>38929</v>
      </c>
      <c r="I609" s="17" t="n">
        <v>10.7537485773638</v>
      </c>
      <c r="J609" s="17" t="n">
        <v>198189</v>
      </c>
      <c r="K609" s="17" t="n">
        <v>200314.4</v>
      </c>
      <c r="L609" s="17" t="n">
        <v>196685</v>
      </c>
      <c r="M609" s="17" t="n">
        <v>196227</v>
      </c>
      <c r="N609" s="17" t="n">
        <v>0</v>
      </c>
      <c r="O609" s="17" t="n">
        <v>962</v>
      </c>
      <c r="P609" s="17" t="n">
        <v>1097</v>
      </c>
      <c r="Q609" s="17" t="n">
        <v>0</v>
      </c>
      <c r="R609" s="17" t="n">
        <v>0</v>
      </c>
      <c r="S609" s="17" t="n">
        <v>0</v>
      </c>
      <c r="T609" s="17" t="n">
        <v>0</v>
      </c>
      <c r="U609" s="17" t="n">
        <v>0</v>
      </c>
      <c r="V609" s="17" t="n">
        <v>0</v>
      </c>
      <c r="W609" s="17" t="n">
        <v>0</v>
      </c>
      <c r="X609" s="17" t="n">
        <v>0</v>
      </c>
      <c r="Y609" s="17" t="n">
        <v>-809</v>
      </c>
      <c r="Z609" s="17" t="n">
        <v>-0.226147959468919</v>
      </c>
      <c r="AA609" s="17" t="n">
        <v>-2.04</v>
      </c>
      <c r="AB609" s="17" t="n">
        <v>1.17054146452008</v>
      </c>
      <c r="AC609" s="17" t="n">
        <v>0.758871582176609</v>
      </c>
      <c r="AD609" s="17" t="n">
        <v>-0.06</v>
      </c>
      <c r="AE609" s="17" t="n">
        <v>1</v>
      </c>
      <c r="AF609" s="17" t="s">
        <v>241</v>
      </c>
      <c r="AG609" s="17" t="s">
        <v>232</v>
      </c>
      <c r="AH609" s="17" t="n">
        <v>1</v>
      </c>
    </row>
    <row r="610" customFormat="false" ht="15" hidden="false" customHeight="false" outlineLevel="0" collapsed="false">
      <c r="A610" s="17" t="n">
        <v>17658</v>
      </c>
      <c r="B610" s="23" t="n">
        <v>45657</v>
      </c>
      <c r="C610" s="17" t="s">
        <v>144</v>
      </c>
      <c r="D610" s="17" t="s">
        <v>108</v>
      </c>
      <c r="E610" s="17" t="n">
        <v>1989287</v>
      </c>
      <c r="F610" s="17" t="n">
        <v>1922942.8</v>
      </c>
      <c r="G610" s="17" t="n">
        <v>1532228</v>
      </c>
      <c r="H610" s="17" t="n">
        <v>221439</v>
      </c>
      <c r="I610" s="17" t="n">
        <v>11.1315762883888</v>
      </c>
      <c r="J610" s="17" t="n">
        <v>1433227</v>
      </c>
      <c r="K610" s="17" t="n">
        <v>1362148</v>
      </c>
      <c r="L610" s="17" t="n">
        <v>1423547</v>
      </c>
      <c r="M610" s="17" t="n">
        <v>1227698</v>
      </c>
      <c r="N610" s="17" t="n">
        <v>113712</v>
      </c>
      <c r="O610" s="17" t="n">
        <v>78309</v>
      </c>
      <c r="P610" s="17" t="n">
        <v>9730</v>
      </c>
      <c r="Q610" s="17" t="n">
        <v>3180</v>
      </c>
      <c r="R610" s="17" t="n">
        <v>0</v>
      </c>
      <c r="S610" s="17" t="n">
        <v>-60</v>
      </c>
      <c r="T610" s="17" t="n">
        <v>-60</v>
      </c>
      <c r="U610" s="17" t="n">
        <v>-0.00440480770077848</v>
      </c>
      <c r="V610" s="17" t="n">
        <v>0</v>
      </c>
      <c r="W610" s="17" t="n">
        <v>0</v>
      </c>
      <c r="X610" s="17" t="n">
        <v>0</v>
      </c>
      <c r="Y610" s="17" t="n">
        <v>17217</v>
      </c>
      <c r="Z610" s="17" t="n">
        <v>0.895346445042463</v>
      </c>
      <c r="AA610" s="17" t="n">
        <v>7.97</v>
      </c>
      <c r="AB610" s="17" t="n">
        <v>3.11192825873285</v>
      </c>
      <c r="AC610" s="17" t="n">
        <v>0.675398942386656</v>
      </c>
      <c r="AD610" s="17" t="n">
        <v>0.04</v>
      </c>
      <c r="AE610" s="17" t="n">
        <v>1</v>
      </c>
      <c r="AF610" s="17" t="s">
        <v>241</v>
      </c>
      <c r="AG610" s="17" t="s">
        <v>232</v>
      </c>
      <c r="AH610" s="17" t="n">
        <v>0</v>
      </c>
    </row>
    <row r="611" customFormat="false" ht="15" hidden="false" customHeight="false" outlineLevel="0" collapsed="false">
      <c r="A611" s="17" t="n">
        <v>17741</v>
      </c>
      <c r="B611" s="23" t="n">
        <v>45657</v>
      </c>
      <c r="C611" s="17" t="s">
        <v>161</v>
      </c>
      <c r="D611" s="17" t="s">
        <v>108</v>
      </c>
      <c r="E611" s="17" t="n">
        <v>1167995</v>
      </c>
      <c r="F611" s="17" t="n">
        <v>1136592.4</v>
      </c>
      <c r="G611" s="17" t="n">
        <v>895674</v>
      </c>
      <c r="H611" s="17" t="n">
        <v>147350</v>
      </c>
      <c r="I611" s="17" t="n">
        <v>12.6156361970728</v>
      </c>
      <c r="J611" s="17" t="n">
        <v>992991</v>
      </c>
      <c r="K611" s="17" t="n">
        <v>958118</v>
      </c>
      <c r="L611" s="17" t="n">
        <v>983817</v>
      </c>
      <c r="M611" s="17" t="n">
        <v>934014</v>
      </c>
      <c r="N611" s="17" t="n">
        <v>50628</v>
      </c>
      <c r="O611" s="17" t="n">
        <v>3758</v>
      </c>
      <c r="P611" s="17" t="n">
        <v>3480</v>
      </c>
      <c r="Q611" s="17" t="n">
        <v>2314</v>
      </c>
      <c r="R611" s="17" t="n">
        <v>0</v>
      </c>
      <c r="S611" s="17" t="n">
        <v>57</v>
      </c>
      <c r="T611" s="17" t="n">
        <v>57</v>
      </c>
      <c r="U611" s="17" t="n">
        <v>0.00594916283798029</v>
      </c>
      <c r="V611" s="17" t="n">
        <v>0</v>
      </c>
      <c r="W611" s="17" t="n">
        <v>0</v>
      </c>
      <c r="X611" s="17" t="n">
        <v>0</v>
      </c>
      <c r="Y611" s="17" t="n">
        <v>7339</v>
      </c>
      <c r="Z611" s="17" t="n">
        <v>0.645702012436472</v>
      </c>
      <c r="AA611" s="17" t="n">
        <v>5.13</v>
      </c>
      <c r="AB611" s="17" t="n">
        <v>3.08264284192033</v>
      </c>
      <c r="AC611" s="17" t="n">
        <v>0.923875442979846</v>
      </c>
      <c r="AD611" s="17" t="n">
        <v>0.03</v>
      </c>
      <c r="AE611" s="17" t="n">
        <v>1</v>
      </c>
      <c r="AF611" s="17" t="s">
        <v>241</v>
      </c>
      <c r="AG611" s="17" t="s">
        <v>232</v>
      </c>
      <c r="AH611" s="17" t="n">
        <v>0</v>
      </c>
    </row>
    <row r="612" customFormat="false" ht="15" hidden="false" customHeight="false" outlineLevel="0" collapsed="false">
      <c r="A612" s="17" t="n">
        <v>17743</v>
      </c>
      <c r="B612" s="23" t="n">
        <v>45657</v>
      </c>
      <c r="C612" s="17" t="s">
        <v>129</v>
      </c>
      <c r="D612" s="17" t="s">
        <v>108</v>
      </c>
      <c r="E612" s="17" t="n">
        <v>1411602</v>
      </c>
      <c r="F612" s="17" t="n">
        <v>1403547.8</v>
      </c>
      <c r="G612" s="17" t="n">
        <v>1011066</v>
      </c>
      <c r="H612" s="17" t="n">
        <v>125438</v>
      </c>
      <c r="I612" s="17" t="n">
        <v>8.88621580303797</v>
      </c>
      <c r="J612" s="17" t="n">
        <v>1136109</v>
      </c>
      <c r="K612" s="17" t="n">
        <v>1117017.8</v>
      </c>
      <c r="L612" s="17" t="n">
        <v>1131331</v>
      </c>
      <c r="M612" s="17" t="n">
        <v>1098486</v>
      </c>
      <c r="N612" s="17" t="n">
        <v>16652</v>
      </c>
      <c r="O612" s="17" t="n">
        <v>10324</v>
      </c>
      <c r="P612" s="17" t="n">
        <v>632</v>
      </c>
      <c r="Q612" s="17" t="n">
        <v>5686</v>
      </c>
      <c r="R612" s="17" t="n">
        <v>0</v>
      </c>
      <c r="S612" s="17" t="n">
        <v>-25</v>
      </c>
      <c r="T612" s="17" t="n">
        <v>-25</v>
      </c>
      <c r="U612" s="17" t="n">
        <v>-0.00223810220392191</v>
      </c>
      <c r="V612" s="17" t="n">
        <v>0</v>
      </c>
      <c r="W612" s="17" t="n">
        <v>0</v>
      </c>
      <c r="X612" s="17" t="n">
        <v>0</v>
      </c>
      <c r="Y612" s="17" t="n">
        <v>1513</v>
      </c>
      <c r="Z612" s="17" t="n">
        <v>0.107798252400096</v>
      </c>
      <c r="AA612" s="17" t="n">
        <v>1.22</v>
      </c>
      <c r="AB612" s="17" t="n">
        <v>1.92720178816881</v>
      </c>
      <c r="AC612" s="17" t="n">
        <v>0.420558238690126</v>
      </c>
      <c r="AD612" s="17" t="n">
        <v>0</v>
      </c>
      <c r="AE612" s="17" t="n">
        <v>1</v>
      </c>
      <c r="AF612" s="17" t="s">
        <v>241</v>
      </c>
      <c r="AG612" s="17" t="s">
        <v>232</v>
      </c>
      <c r="AH612" s="17" t="n">
        <v>1</v>
      </c>
    </row>
    <row r="613" customFormat="false" ht="15" hidden="false" customHeight="false" outlineLevel="0" collapsed="false">
      <c r="A613" s="17" t="n">
        <v>17748</v>
      </c>
      <c r="B613" s="23" t="n">
        <v>45657</v>
      </c>
      <c r="C613" s="17" t="s">
        <v>196</v>
      </c>
      <c r="D613" s="17" t="s">
        <v>108</v>
      </c>
      <c r="E613" s="17" t="n">
        <v>1608101</v>
      </c>
      <c r="F613" s="17" t="n">
        <v>1639867.4</v>
      </c>
      <c r="G613" s="17" t="n">
        <v>1393920</v>
      </c>
      <c r="H613" s="17" t="n">
        <v>116220</v>
      </c>
      <c r="I613" s="17" t="n">
        <v>7.22715799567316</v>
      </c>
      <c r="J613" s="17" t="n">
        <v>1278094</v>
      </c>
      <c r="K613" s="17" t="n">
        <v>1269120.2</v>
      </c>
      <c r="L613" s="17" t="n">
        <v>1268666</v>
      </c>
      <c r="M613" s="17" t="n">
        <v>1056120</v>
      </c>
      <c r="N613" s="17" t="n">
        <v>181997</v>
      </c>
      <c r="O613" s="17" t="n">
        <v>3204</v>
      </c>
      <c r="P613" s="17" t="n">
        <v>6153</v>
      </c>
      <c r="Q613" s="17" t="n">
        <v>5364</v>
      </c>
      <c r="R613" s="17" t="n">
        <v>0</v>
      </c>
      <c r="S613" s="17" t="n">
        <v>-206</v>
      </c>
      <c r="T613" s="17" t="n">
        <v>-206</v>
      </c>
      <c r="U613" s="17" t="n">
        <v>-0.016231717058794</v>
      </c>
      <c r="V613" s="17" t="n">
        <v>0</v>
      </c>
      <c r="W613" s="17" t="n">
        <v>0</v>
      </c>
      <c r="X613" s="17" t="n">
        <v>0</v>
      </c>
      <c r="Y613" s="17" t="n">
        <v>5407</v>
      </c>
      <c r="Z613" s="17" t="n">
        <v>0.329721781163526</v>
      </c>
      <c r="AA613" s="17" t="n">
        <v>4.67</v>
      </c>
      <c r="AB613" s="17" t="n">
        <v>2.48246240518063</v>
      </c>
      <c r="AC613" s="17" t="n">
        <v>0.73766092321848</v>
      </c>
      <c r="AD613" s="17" t="n">
        <v>-0.04</v>
      </c>
      <c r="AE613" s="17" t="n">
        <v>0</v>
      </c>
      <c r="AF613" s="17" t="s">
        <v>241</v>
      </c>
      <c r="AG613" s="17" t="s">
        <v>232</v>
      </c>
      <c r="AH613" s="17" t="n">
        <v>0</v>
      </c>
    </row>
    <row r="614" customFormat="false" ht="15" hidden="false" customHeight="false" outlineLevel="0" collapsed="false">
      <c r="A614" s="17" t="n">
        <v>17749</v>
      </c>
      <c r="B614" s="23" t="n">
        <v>45657</v>
      </c>
      <c r="C614" s="17" t="s">
        <v>156</v>
      </c>
      <c r="D614" s="17" t="s">
        <v>108</v>
      </c>
      <c r="E614" s="17" t="n">
        <v>1400586</v>
      </c>
      <c r="F614" s="17" t="n">
        <v>1374737.8</v>
      </c>
      <c r="G614" s="17" t="n">
        <v>1098984</v>
      </c>
      <c r="H614" s="17" t="n">
        <v>189574</v>
      </c>
      <c r="I614" s="17" t="n">
        <v>13.5353344957039</v>
      </c>
      <c r="J614" s="17" t="n">
        <v>826652</v>
      </c>
      <c r="K614" s="17" t="n">
        <v>815808.4</v>
      </c>
      <c r="L614" s="17" t="n">
        <v>814852</v>
      </c>
      <c r="M614" s="17" t="n">
        <v>755022</v>
      </c>
      <c r="N614" s="17" t="n">
        <v>49964</v>
      </c>
      <c r="O614" s="17" t="n">
        <v>11169</v>
      </c>
      <c r="P614" s="17" t="n">
        <v>610</v>
      </c>
      <c r="Q614" s="17" t="n">
        <v>895</v>
      </c>
      <c r="R614" s="17" t="n">
        <v>0</v>
      </c>
      <c r="S614" s="17" t="n">
        <v>4</v>
      </c>
      <c r="T614" s="17" t="n">
        <v>4</v>
      </c>
      <c r="U614" s="17" t="n">
        <v>0.000490311205425195</v>
      </c>
      <c r="V614" s="17" t="n">
        <v>0</v>
      </c>
      <c r="W614" s="17" t="n">
        <v>0</v>
      </c>
      <c r="X614" s="17" t="n">
        <v>0</v>
      </c>
      <c r="Y614" s="17" t="n">
        <v>15753</v>
      </c>
      <c r="Z614" s="17" t="n">
        <v>1.14589123831468</v>
      </c>
      <c r="AA614" s="17" t="n">
        <v>8.72</v>
      </c>
      <c r="AB614" s="17" t="n">
        <v>2.51176582834264</v>
      </c>
      <c r="AC614" s="17" t="n">
        <v>1.42744468047014</v>
      </c>
      <c r="AD614" s="17" t="n">
        <v>0.05</v>
      </c>
      <c r="AE614" s="17" t="n">
        <v>1</v>
      </c>
      <c r="AF614" s="17" t="s">
        <v>241</v>
      </c>
      <c r="AG614" s="17" t="s">
        <v>232</v>
      </c>
      <c r="AH614" s="17" t="n">
        <v>1</v>
      </c>
    </row>
    <row r="615" customFormat="false" ht="15" hidden="false" customHeight="false" outlineLevel="0" collapsed="false">
      <c r="A615" s="17" t="n">
        <v>17751</v>
      </c>
      <c r="B615" s="23" t="n">
        <v>45657</v>
      </c>
      <c r="C615" s="17" t="s">
        <v>125</v>
      </c>
      <c r="D615" s="17" t="s">
        <v>108</v>
      </c>
      <c r="E615" s="17" t="n">
        <v>1661812</v>
      </c>
      <c r="F615" s="17" t="n">
        <v>1636393.4</v>
      </c>
      <c r="G615" s="17" t="n">
        <v>1317297</v>
      </c>
      <c r="H615" s="17" t="n">
        <v>146032</v>
      </c>
      <c r="I615" s="17" t="n">
        <v>8.78751627741285</v>
      </c>
      <c r="J615" s="17" t="n">
        <v>1375193</v>
      </c>
      <c r="K615" s="17" t="n">
        <v>1345374.2</v>
      </c>
      <c r="L615" s="17" t="n">
        <v>1362180</v>
      </c>
      <c r="M615" s="17" t="n">
        <v>1175847</v>
      </c>
      <c r="N615" s="17" t="n">
        <v>137238</v>
      </c>
      <c r="O615" s="17" t="n">
        <v>4607</v>
      </c>
      <c r="P615" s="17" t="n">
        <v>2670</v>
      </c>
      <c r="Q615" s="17" t="n">
        <v>7110</v>
      </c>
      <c r="R615" s="17" t="n">
        <v>0</v>
      </c>
      <c r="S615" s="17" t="n">
        <v>-229</v>
      </c>
      <c r="T615" s="17" t="n">
        <v>-229</v>
      </c>
      <c r="U615" s="17" t="n">
        <v>-0.0170212867171082</v>
      </c>
      <c r="V615" s="17" t="n">
        <v>170160</v>
      </c>
      <c r="W615" s="17" t="n">
        <v>1350375</v>
      </c>
      <c r="X615" s="17" t="n">
        <v>12.6009441821716</v>
      </c>
      <c r="Y615" s="17" t="n">
        <v>6914</v>
      </c>
      <c r="Z615" s="17" t="n">
        <v>0.422514537152252</v>
      </c>
      <c r="AA615" s="17" t="n">
        <v>4.88</v>
      </c>
      <c r="AB615" s="17" t="n">
        <v>2.720130697408</v>
      </c>
      <c r="AC615" s="17" t="n">
        <v>0.946267178497855</v>
      </c>
      <c r="AD615" s="17" t="n">
        <v>0.05</v>
      </c>
      <c r="AE615" s="17" t="n">
        <v>1</v>
      </c>
      <c r="AF615" s="17" t="s">
        <v>241</v>
      </c>
      <c r="AG615" s="17" t="s">
        <v>232</v>
      </c>
      <c r="AH615" s="17" t="n">
        <v>0</v>
      </c>
    </row>
    <row r="616" customFormat="false" ht="15" hidden="false" customHeight="false" outlineLevel="0" collapsed="false">
      <c r="A616" s="17" t="n">
        <v>17897</v>
      </c>
      <c r="B616" s="23" t="n">
        <v>45657</v>
      </c>
      <c r="C616" s="17" t="s">
        <v>149</v>
      </c>
      <c r="D616" s="17" t="s">
        <v>108</v>
      </c>
      <c r="E616" s="17" t="n">
        <v>1764971</v>
      </c>
      <c r="F616" s="17" t="n">
        <v>1733740.4</v>
      </c>
      <c r="G616" s="17" t="n">
        <v>1348133</v>
      </c>
      <c r="H616" s="17" t="n">
        <v>215583</v>
      </c>
      <c r="I616" s="17" t="n">
        <v>12.2145349696964</v>
      </c>
      <c r="J616" s="17" t="n">
        <v>1469046</v>
      </c>
      <c r="K616" s="17" t="n">
        <v>1445419.2</v>
      </c>
      <c r="L616" s="17" t="n">
        <v>1460078</v>
      </c>
      <c r="M616" s="17" t="n">
        <v>1368497</v>
      </c>
      <c r="N616" s="17" t="n">
        <v>82767</v>
      </c>
      <c r="O616" s="17" t="n">
        <v>3225</v>
      </c>
      <c r="P616" s="17" t="n">
        <v>4603</v>
      </c>
      <c r="Q616" s="17" t="n">
        <v>2581</v>
      </c>
      <c r="R616" s="17" t="n">
        <v>0</v>
      </c>
      <c r="S616" s="17" t="n">
        <v>-47</v>
      </c>
      <c r="T616" s="17" t="n">
        <v>-47</v>
      </c>
      <c r="U616" s="17" t="n">
        <v>-0.00325165183913428</v>
      </c>
      <c r="V616" s="17" t="n">
        <v>235610</v>
      </c>
      <c r="W616" s="17" t="n">
        <v>1338582</v>
      </c>
      <c r="X616" s="17" t="n">
        <v>17.6014618454454</v>
      </c>
      <c r="Y616" s="17" t="n">
        <v>10490</v>
      </c>
      <c r="Z616" s="17" t="n">
        <v>0.605050213976672</v>
      </c>
      <c r="AA616" s="17" t="n">
        <v>4.92</v>
      </c>
      <c r="AB616" s="17" t="n">
        <v>2.4190357229694</v>
      </c>
      <c r="AC616" s="17" t="n">
        <v>0.61046420602214</v>
      </c>
      <c r="AD616" s="17" t="n">
        <v>0</v>
      </c>
      <c r="AE616" s="17" t="n">
        <v>1</v>
      </c>
      <c r="AF616" s="17" t="s">
        <v>241</v>
      </c>
      <c r="AG616" s="17" t="s">
        <v>232</v>
      </c>
      <c r="AH616" s="17" t="n">
        <v>0</v>
      </c>
    </row>
    <row r="617" customFormat="false" ht="15" hidden="false" customHeight="false" outlineLevel="0" collapsed="false">
      <c r="A617" s="17" t="n">
        <v>17951</v>
      </c>
      <c r="B617" s="23" t="n">
        <v>45657</v>
      </c>
      <c r="C617" s="17" t="s">
        <v>136</v>
      </c>
      <c r="D617" s="17" t="s">
        <v>116</v>
      </c>
      <c r="E617" s="17" t="n">
        <v>821983</v>
      </c>
      <c r="F617" s="17" t="n">
        <v>806621.4</v>
      </c>
      <c r="G617" s="17" t="n">
        <v>701106</v>
      </c>
      <c r="H617" s="17" t="n">
        <v>65761</v>
      </c>
      <c r="I617" s="17" t="n">
        <v>8.00028711056068</v>
      </c>
      <c r="J617" s="17" t="n">
        <v>617817</v>
      </c>
      <c r="K617" s="17" t="n">
        <v>595849.8</v>
      </c>
      <c r="L617" s="17" t="n">
        <v>612606</v>
      </c>
      <c r="M617" s="17" t="n">
        <v>567751</v>
      </c>
      <c r="N617" s="17" t="n">
        <v>30638</v>
      </c>
      <c r="O617" s="17" t="n">
        <v>1633</v>
      </c>
      <c r="P617" s="17" t="n">
        <v>60</v>
      </c>
      <c r="Q617" s="17" t="n">
        <v>75</v>
      </c>
      <c r="R617" s="17" t="n">
        <v>0</v>
      </c>
      <c r="S617" s="17" t="n">
        <v>-145</v>
      </c>
      <c r="T617" s="17" t="n">
        <v>-145</v>
      </c>
      <c r="U617" s="17" t="n">
        <v>-0.0243349918049817</v>
      </c>
      <c r="V617" s="17" t="n">
        <v>84290</v>
      </c>
      <c r="W617" s="17" t="n">
        <v>595840</v>
      </c>
      <c r="X617" s="17" t="n">
        <v>14.1464151450054</v>
      </c>
      <c r="Y617" s="17" t="n">
        <v>3924</v>
      </c>
      <c r="Z617" s="17" t="n">
        <v>0.486473579798404</v>
      </c>
      <c r="AA617" s="17" t="n">
        <v>6.12</v>
      </c>
      <c r="AB617" s="17" t="n">
        <v>2.52070855980255</v>
      </c>
      <c r="AC617" s="17" t="n">
        <v>0.843453644040226</v>
      </c>
      <c r="AD617" s="17" t="n">
        <v>0.05</v>
      </c>
      <c r="AE617" s="17" t="n">
        <v>1</v>
      </c>
      <c r="AF617" s="17" t="s">
        <v>241</v>
      </c>
      <c r="AG617" s="17" t="s">
        <v>232</v>
      </c>
      <c r="AH617" s="17" t="n">
        <v>0</v>
      </c>
    </row>
    <row r="618" customFormat="false" ht="15" hidden="false" customHeight="false" outlineLevel="0" collapsed="false">
      <c r="A618" s="17" t="n">
        <v>17960</v>
      </c>
      <c r="B618" s="23" t="n">
        <v>45657</v>
      </c>
      <c r="C618" s="17" t="s">
        <v>115</v>
      </c>
      <c r="D618" s="17" t="s">
        <v>116</v>
      </c>
      <c r="E618" s="17" t="n">
        <v>1353925</v>
      </c>
      <c r="F618" s="17" t="n">
        <v>1369164</v>
      </c>
      <c r="G618" s="17" t="n">
        <v>1120519</v>
      </c>
      <c r="H618" s="17" t="n">
        <v>115328</v>
      </c>
      <c r="I618" s="17" t="n">
        <v>8.51804937496538</v>
      </c>
      <c r="J618" s="17" t="n">
        <v>1150547</v>
      </c>
      <c r="K618" s="17" t="n">
        <v>1165789.8</v>
      </c>
      <c r="L618" s="17" t="n">
        <v>1138261</v>
      </c>
      <c r="M618" s="17" t="n">
        <v>823641</v>
      </c>
      <c r="N618" s="17" t="n">
        <v>100058</v>
      </c>
      <c r="O618" s="17" t="n">
        <v>223027</v>
      </c>
      <c r="P618" s="17" t="n">
        <v>7247</v>
      </c>
      <c r="Q618" s="17" t="n">
        <v>7584</v>
      </c>
      <c r="R618" s="17" t="n">
        <v>0</v>
      </c>
      <c r="S618" s="17" t="n">
        <v>3353</v>
      </c>
      <c r="T618" s="17" t="n">
        <v>3353</v>
      </c>
      <c r="U618" s="17" t="n">
        <v>0.287616172315112</v>
      </c>
      <c r="V618" s="17" t="n">
        <v>142367</v>
      </c>
      <c r="W618" s="17" t="n">
        <v>1039874</v>
      </c>
      <c r="X618" s="17" t="n">
        <v>13.6907933076507</v>
      </c>
      <c r="Y618" s="17" t="n">
        <v>3108</v>
      </c>
      <c r="Z618" s="17" t="n">
        <v>0.226999833475026</v>
      </c>
      <c r="AA618" s="17" t="n">
        <v>2.7</v>
      </c>
      <c r="AB618" s="17" t="n">
        <v>2.75862196308081</v>
      </c>
      <c r="AC618" s="17" t="n">
        <v>1.06783990571441</v>
      </c>
      <c r="AD618" s="17" t="n">
        <v>0.31</v>
      </c>
      <c r="AE618" s="17" t="n">
        <v>1</v>
      </c>
      <c r="AF618" s="17" t="s">
        <v>241</v>
      </c>
      <c r="AG618" s="17" t="s">
        <v>232</v>
      </c>
      <c r="AH618" s="17" t="n">
        <v>0</v>
      </c>
    </row>
    <row r="619" customFormat="false" ht="15" hidden="false" customHeight="false" outlineLevel="0" collapsed="false">
      <c r="A619" s="17" t="n">
        <v>18012</v>
      </c>
      <c r="B619" s="23" t="n">
        <v>45657</v>
      </c>
      <c r="C619" s="17" t="s">
        <v>148</v>
      </c>
      <c r="D619" s="17" t="s">
        <v>116</v>
      </c>
      <c r="E619" s="17" t="n">
        <v>2624175</v>
      </c>
      <c r="F619" s="17" t="n">
        <v>2539844.6</v>
      </c>
      <c r="G619" s="17" t="n">
        <v>2255597</v>
      </c>
      <c r="H619" s="17" t="n">
        <v>284572</v>
      </c>
      <c r="I619" s="17" t="n">
        <v>10.8442462869283</v>
      </c>
      <c r="J619" s="17" t="n">
        <v>2093747</v>
      </c>
      <c r="K619" s="17" t="n">
        <v>2039506</v>
      </c>
      <c r="L619" s="17" t="n">
        <v>2069142</v>
      </c>
      <c r="M619" s="17" t="n">
        <v>1993083</v>
      </c>
      <c r="N619" s="17" t="n">
        <v>49333</v>
      </c>
      <c r="O619" s="17" t="n">
        <v>27667</v>
      </c>
      <c r="P619" s="17" t="n">
        <v>1092</v>
      </c>
      <c r="Q619" s="17" t="n">
        <v>1990</v>
      </c>
      <c r="R619" s="17" t="n">
        <v>0</v>
      </c>
      <c r="S619" s="17" t="n">
        <v>111</v>
      </c>
      <c r="T619" s="17" t="n">
        <v>111</v>
      </c>
      <c r="U619" s="17" t="n">
        <v>0.00544249440795957</v>
      </c>
      <c r="V619" s="17" t="n">
        <v>318797</v>
      </c>
      <c r="W619" s="17" t="n">
        <v>2269858</v>
      </c>
      <c r="X619" s="17" t="n">
        <v>14.0447992781927</v>
      </c>
      <c r="Y619" s="17" t="n">
        <v>16872</v>
      </c>
      <c r="Z619" s="17" t="n">
        <v>0.664292610658148</v>
      </c>
      <c r="AA619" s="17" t="n">
        <v>6.1</v>
      </c>
      <c r="AB619" s="17" t="n">
        <v>2.72584646895489</v>
      </c>
      <c r="AC619" s="17" t="n">
        <v>1.17516586292422</v>
      </c>
      <c r="AD619" s="17" t="n">
        <v>0.04</v>
      </c>
      <c r="AE619" s="17" t="n">
        <v>1</v>
      </c>
      <c r="AF619" s="17" t="s">
        <v>314</v>
      </c>
      <c r="AG619" s="17" t="s">
        <v>232</v>
      </c>
      <c r="AH619" s="17" t="n">
        <v>0</v>
      </c>
    </row>
    <row r="620" customFormat="false" ht="15" hidden="false" customHeight="false" outlineLevel="0" collapsed="false">
      <c r="A620" s="17" t="n">
        <v>18013</v>
      </c>
      <c r="B620" s="23" t="n">
        <v>45657</v>
      </c>
      <c r="C620" s="17" t="s">
        <v>131</v>
      </c>
      <c r="D620" s="17" t="s">
        <v>116</v>
      </c>
      <c r="E620" s="17" t="n">
        <v>2917813</v>
      </c>
      <c r="F620" s="17" t="n">
        <v>2919144</v>
      </c>
      <c r="G620" s="17" t="n">
        <v>2614357</v>
      </c>
      <c r="H620" s="17" t="n">
        <v>228244</v>
      </c>
      <c r="I620" s="17" t="n">
        <v>7.82243413131685</v>
      </c>
      <c r="J620" s="17" t="n">
        <v>2432691</v>
      </c>
      <c r="K620" s="17" t="n">
        <v>2399307.8</v>
      </c>
      <c r="L620" s="17" t="n">
        <v>2415094</v>
      </c>
      <c r="M620" s="17" t="n">
        <v>2216800</v>
      </c>
      <c r="N620" s="17" t="n">
        <v>116248</v>
      </c>
      <c r="O620" s="17" t="n">
        <v>23931</v>
      </c>
      <c r="P620" s="17" t="n">
        <v>2327</v>
      </c>
      <c r="Q620" s="17" t="n">
        <v>5516</v>
      </c>
      <c r="R620" s="17" t="n">
        <v>128</v>
      </c>
      <c r="S620" s="17" t="n">
        <v>460</v>
      </c>
      <c r="T620" s="17" t="n">
        <v>460</v>
      </c>
      <c r="U620" s="17" t="n">
        <v>0.0191721962476011</v>
      </c>
      <c r="V620" s="17" t="n">
        <v>271830</v>
      </c>
      <c r="W620" s="17" t="n">
        <v>2175522</v>
      </c>
      <c r="X620" s="17" t="n">
        <v>12.4949322507426</v>
      </c>
      <c r="Y620" s="17" t="n">
        <v>6528</v>
      </c>
      <c r="Z620" s="17" t="n">
        <v>0.223627200302554</v>
      </c>
      <c r="AA620" s="17" t="n">
        <v>2.9</v>
      </c>
      <c r="AB620" s="17" t="n">
        <v>2.50092550283017</v>
      </c>
      <c r="AC620" s="17" t="n">
        <v>0.723355329550691</v>
      </c>
      <c r="AD620" s="17" t="n">
        <v>0.04</v>
      </c>
      <c r="AE620" s="17" t="n">
        <v>1</v>
      </c>
      <c r="AF620" s="17" t="s">
        <v>314</v>
      </c>
      <c r="AG620" s="17" t="s">
        <v>232</v>
      </c>
      <c r="AH620" s="17" t="n">
        <v>0</v>
      </c>
    </row>
    <row r="621" customFormat="false" ht="15" hidden="false" customHeight="false" outlineLevel="0" collapsed="false">
      <c r="A621" s="17" t="n">
        <v>18028</v>
      </c>
      <c r="B621" s="23" t="n">
        <v>45657</v>
      </c>
      <c r="C621" s="17" t="s">
        <v>130</v>
      </c>
      <c r="D621" s="17" t="s">
        <v>116</v>
      </c>
      <c r="E621" s="17" t="n">
        <v>402051</v>
      </c>
      <c r="F621" s="17" t="n">
        <v>398660.8</v>
      </c>
      <c r="G621" s="17" t="n">
        <v>341523</v>
      </c>
      <c r="H621" s="17" t="n">
        <v>42186</v>
      </c>
      <c r="I621" s="17" t="n">
        <v>10.49269868748</v>
      </c>
      <c r="J621" s="17" t="n">
        <v>279403</v>
      </c>
      <c r="K621" s="17" t="n">
        <v>271237.4</v>
      </c>
      <c r="L621" s="17" t="n">
        <v>277108</v>
      </c>
      <c r="M621" s="17" t="n">
        <v>254756</v>
      </c>
      <c r="N621" s="17" t="n">
        <v>13467</v>
      </c>
      <c r="O621" s="17" t="n">
        <v>5649</v>
      </c>
      <c r="P621" s="17" t="n">
        <v>888</v>
      </c>
      <c r="Q621" s="17" t="n">
        <v>2095</v>
      </c>
      <c r="R621" s="17" t="n">
        <v>183</v>
      </c>
      <c r="S621" s="17" t="n">
        <v>452</v>
      </c>
      <c r="T621" s="17" t="n">
        <v>452</v>
      </c>
      <c r="U621" s="17" t="n">
        <v>0.166643685568436</v>
      </c>
      <c r="V621" s="17" t="n">
        <v>0</v>
      </c>
      <c r="W621" s="17" t="n">
        <v>0</v>
      </c>
      <c r="X621" s="17" t="n">
        <v>0</v>
      </c>
      <c r="Y621" s="17" t="n">
        <v>1704</v>
      </c>
      <c r="Z621" s="17" t="n">
        <v>0.42743103911897</v>
      </c>
      <c r="AA621" s="17" t="n">
        <v>4.1</v>
      </c>
      <c r="AB621" s="17" t="n">
        <v>3.28972183764193</v>
      </c>
      <c r="AC621" s="17" t="n">
        <v>0.821394186891336</v>
      </c>
      <c r="AD621" s="17" t="n">
        <v>0.1</v>
      </c>
      <c r="AE621" s="17" t="n">
        <v>1</v>
      </c>
      <c r="AF621" s="17" t="s">
        <v>241</v>
      </c>
      <c r="AG621" s="17" t="s">
        <v>232</v>
      </c>
      <c r="AH621" s="17" t="n">
        <v>0</v>
      </c>
    </row>
    <row r="622" customFormat="false" ht="15" hidden="false" customHeight="false" outlineLevel="0" collapsed="false">
      <c r="A622" s="17" t="n">
        <v>18030</v>
      </c>
      <c r="B622" s="23" t="n">
        <v>45657</v>
      </c>
      <c r="C622" s="17" t="s">
        <v>157</v>
      </c>
      <c r="D622" s="17" t="s">
        <v>116</v>
      </c>
      <c r="E622" s="17" t="n">
        <v>777879</v>
      </c>
      <c r="F622" s="17" t="n">
        <v>765110.8</v>
      </c>
      <c r="G622" s="17" t="n">
        <v>716969</v>
      </c>
      <c r="H622" s="17" t="n">
        <v>53665</v>
      </c>
      <c r="I622" s="17" t="n">
        <v>6.89888787330677</v>
      </c>
      <c r="J622" s="17" t="n">
        <v>590868</v>
      </c>
      <c r="K622" s="17" t="n">
        <v>587318.4</v>
      </c>
      <c r="L622" s="17" t="n">
        <v>585037</v>
      </c>
      <c r="M622" s="17" t="n">
        <v>455091</v>
      </c>
      <c r="N622" s="17" t="n">
        <v>39526</v>
      </c>
      <c r="O622" s="17" t="n">
        <v>96186</v>
      </c>
      <c r="P622" s="17" t="n">
        <v>2023</v>
      </c>
      <c r="Q622" s="17" t="n">
        <v>1966</v>
      </c>
      <c r="R622" s="17" t="n">
        <v>0</v>
      </c>
      <c r="S622" s="17" t="n">
        <v>140</v>
      </c>
      <c r="T622" s="17" t="n">
        <v>140</v>
      </c>
      <c r="U622" s="17" t="n">
        <v>0.0238371554509445</v>
      </c>
      <c r="V622" s="17" t="n">
        <v>72034</v>
      </c>
      <c r="W622" s="17" t="n">
        <v>514576</v>
      </c>
      <c r="X622" s="17" t="n">
        <v>13.9987096172383</v>
      </c>
      <c r="Y622" s="17" t="n">
        <v>5416</v>
      </c>
      <c r="Z622" s="17" t="n">
        <v>0.707871330531473</v>
      </c>
      <c r="AA622" s="17" t="n">
        <v>10.52</v>
      </c>
      <c r="AB622" s="17" t="n">
        <v>3.45390929733845</v>
      </c>
      <c r="AC622" s="17" t="n">
        <v>0.986853239640664</v>
      </c>
      <c r="AD622" s="17" t="n">
        <v>0.01</v>
      </c>
      <c r="AE622" s="17" t="n">
        <v>1</v>
      </c>
      <c r="AF622" s="17" t="s">
        <v>241</v>
      </c>
      <c r="AG622" s="17" t="s">
        <v>232</v>
      </c>
      <c r="AH622" s="17" t="n">
        <v>0</v>
      </c>
    </row>
    <row r="623" customFormat="false" ht="15" hidden="false" customHeight="false" outlineLevel="0" collapsed="false">
      <c r="A623" s="17" t="n">
        <v>18031</v>
      </c>
      <c r="B623" s="23" t="n">
        <v>45657</v>
      </c>
      <c r="C623" s="17" t="s">
        <v>152</v>
      </c>
      <c r="D623" s="17" t="s">
        <v>116</v>
      </c>
      <c r="E623" s="17" t="n">
        <v>675378</v>
      </c>
      <c r="F623" s="17" t="n">
        <v>675416</v>
      </c>
      <c r="G623" s="17" t="n">
        <v>530034</v>
      </c>
      <c r="H623" s="17" t="n">
        <v>38022</v>
      </c>
      <c r="I623" s="17" t="n">
        <v>5.6297362365964</v>
      </c>
      <c r="J623" s="17" t="n">
        <v>459460</v>
      </c>
      <c r="K623" s="17" t="n">
        <v>471520.4</v>
      </c>
      <c r="L623" s="17" t="n">
        <v>455780</v>
      </c>
      <c r="M623" s="17" t="n">
        <v>420845</v>
      </c>
      <c r="N623" s="17" t="n">
        <v>21100</v>
      </c>
      <c r="O623" s="17" t="n">
        <v>8372</v>
      </c>
      <c r="P623" s="17" t="n">
        <v>884</v>
      </c>
      <c r="Q623" s="17" t="n">
        <v>1775</v>
      </c>
      <c r="R623" s="17" t="n">
        <v>0</v>
      </c>
      <c r="S623" s="17" t="n">
        <v>132</v>
      </c>
      <c r="T623" s="17" t="n">
        <v>132</v>
      </c>
      <c r="U623" s="17" t="n">
        <v>0.0279945470015719</v>
      </c>
      <c r="V623" s="17" t="n">
        <v>62030</v>
      </c>
      <c r="W623" s="17" t="n">
        <v>362873</v>
      </c>
      <c r="X623" s="17" t="n">
        <v>17.0941348626103</v>
      </c>
      <c r="Y623" s="17" t="n">
        <v>2885</v>
      </c>
      <c r="Z623" s="17" t="n">
        <v>0.427144160043588</v>
      </c>
      <c r="AA623" s="17" t="n">
        <v>7.57</v>
      </c>
      <c r="AB623" s="17" t="n">
        <v>2.64504242347564</v>
      </c>
      <c r="AC623" s="17" t="n">
        <v>0.80094023418796</v>
      </c>
      <c r="AD623" s="17" t="n">
        <v>-0.03</v>
      </c>
      <c r="AE623" s="17" t="n">
        <v>0</v>
      </c>
      <c r="AF623" s="17" t="s">
        <v>241</v>
      </c>
      <c r="AG623" s="17" t="s">
        <v>232</v>
      </c>
      <c r="AH623" s="17" t="n">
        <v>0</v>
      </c>
    </row>
    <row r="624" customFormat="false" ht="15" hidden="false" customHeight="false" outlineLevel="0" collapsed="false">
      <c r="A624" s="17" t="n">
        <v>18038</v>
      </c>
      <c r="B624" s="23" t="n">
        <v>45657</v>
      </c>
      <c r="C624" s="17" t="s">
        <v>128</v>
      </c>
      <c r="D624" s="17" t="s">
        <v>116</v>
      </c>
      <c r="E624" s="17" t="n">
        <v>559057</v>
      </c>
      <c r="F624" s="17" t="n">
        <v>548126.2</v>
      </c>
      <c r="G624" s="17" t="n">
        <v>417615</v>
      </c>
      <c r="H624" s="17" t="n">
        <v>67734</v>
      </c>
      <c r="I624" s="17" t="n">
        <v>12.1157592159655</v>
      </c>
      <c r="J624" s="17" t="n">
        <v>433853</v>
      </c>
      <c r="K624" s="17" t="n">
        <v>421312.4</v>
      </c>
      <c r="L624" s="17" t="n">
        <v>429922</v>
      </c>
      <c r="M624" s="17" t="n">
        <v>399538</v>
      </c>
      <c r="N624" s="17" t="n">
        <v>27975</v>
      </c>
      <c r="O624" s="17" t="n">
        <v>4139</v>
      </c>
      <c r="P624" s="17" t="n">
        <v>2689</v>
      </c>
      <c r="Q624" s="17" t="n">
        <v>2946</v>
      </c>
      <c r="R624" s="17" t="n">
        <v>0</v>
      </c>
      <c r="S624" s="17" t="n">
        <v>-13</v>
      </c>
      <c r="T624" s="17" t="n">
        <v>-13</v>
      </c>
      <c r="U624" s="17" t="n">
        <v>-0.00308559634133721</v>
      </c>
      <c r="V624" s="17" t="n">
        <v>0</v>
      </c>
      <c r="W624" s="17" t="n">
        <v>0</v>
      </c>
      <c r="X624" s="17" t="n">
        <v>0</v>
      </c>
      <c r="Y624" s="17" t="n">
        <v>2511</v>
      </c>
      <c r="Z624" s="17" t="n">
        <v>0.458106180656936</v>
      </c>
      <c r="AA624" s="17" t="n">
        <v>3.74</v>
      </c>
      <c r="AB624" s="17" t="n">
        <v>2.56009626632644</v>
      </c>
      <c r="AC624" s="17" t="n">
        <v>0.906067262413767</v>
      </c>
      <c r="AD624" s="17" t="n">
        <v>0.02</v>
      </c>
      <c r="AE624" s="17" t="n">
        <v>1</v>
      </c>
      <c r="AF624" s="17" t="s">
        <v>241</v>
      </c>
      <c r="AG624" s="17" t="s">
        <v>232</v>
      </c>
      <c r="AH624" s="17" t="n">
        <v>1</v>
      </c>
    </row>
    <row r="625" customFormat="false" ht="15" hidden="false" customHeight="false" outlineLevel="0" collapsed="false">
      <c r="A625" s="17" t="n">
        <v>18408</v>
      </c>
      <c r="B625" s="23" t="n">
        <v>45657</v>
      </c>
      <c r="C625" s="17" t="s">
        <v>107</v>
      </c>
      <c r="D625" s="17" t="s">
        <v>108</v>
      </c>
      <c r="E625" s="17" t="n">
        <v>7237664</v>
      </c>
      <c r="F625" s="17" t="n">
        <v>7229630.2</v>
      </c>
      <c r="G625" s="17" t="n">
        <v>5962875</v>
      </c>
      <c r="H625" s="17" t="n">
        <v>430159</v>
      </c>
      <c r="I625" s="17" t="n">
        <v>5.94334028216839</v>
      </c>
      <c r="J625" s="17" t="n">
        <v>4937169</v>
      </c>
      <c r="K625" s="17" t="n">
        <v>4871805.6</v>
      </c>
      <c r="L625" s="17" t="n">
        <v>4905696</v>
      </c>
      <c r="M625" s="17" t="n">
        <v>4424778</v>
      </c>
      <c r="N625" s="17" t="n">
        <v>371808</v>
      </c>
      <c r="O625" s="17" t="n">
        <v>61663</v>
      </c>
      <c r="P625" s="17" t="n">
        <v>6486</v>
      </c>
      <c r="Q625" s="17" t="n">
        <v>11654</v>
      </c>
      <c r="R625" s="17" t="n">
        <v>0</v>
      </c>
      <c r="S625" s="17" t="n">
        <v>-193</v>
      </c>
      <c r="T625" s="17" t="n">
        <v>-193</v>
      </c>
      <c r="U625" s="17" t="n">
        <v>-0.00396157022357378</v>
      </c>
      <c r="V625" s="17" t="n">
        <v>589834</v>
      </c>
      <c r="W625" s="17" t="n">
        <v>5303293</v>
      </c>
      <c r="X625" s="17" t="n">
        <v>11.1220330462601</v>
      </c>
      <c r="Y625" s="17" t="n">
        <v>12332</v>
      </c>
      <c r="Z625" s="17" t="n">
        <v>0.170575806214819</v>
      </c>
      <c r="AA625" s="17" t="n">
        <v>2.93</v>
      </c>
      <c r="AB625" s="17" t="n">
        <v>2.17113867598282</v>
      </c>
      <c r="AC625" s="17" t="n">
        <v>0.63747058283806</v>
      </c>
      <c r="AD625" s="17" t="n">
        <v>-0.01</v>
      </c>
      <c r="AE625" s="17" t="n">
        <v>1</v>
      </c>
      <c r="AF625" s="17" t="s">
        <v>241</v>
      </c>
      <c r="AG625" s="17" t="s">
        <v>232</v>
      </c>
      <c r="AH625" s="17" t="n">
        <v>0</v>
      </c>
    </row>
    <row r="626" customFormat="false" ht="15" hidden="false" customHeight="false" outlineLevel="0" collapsed="false">
      <c r="A626" s="17" t="n">
        <v>19531</v>
      </c>
      <c r="B626" s="23" t="n">
        <v>45657</v>
      </c>
      <c r="C626" s="17" t="s">
        <v>146</v>
      </c>
      <c r="D626" s="17" t="s">
        <v>108</v>
      </c>
      <c r="E626" s="17" t="n">
        <v>2607826</v>
      </c>
      <c r="F626" s="17" t="n">
        <v>2572575</v>
      </c>
      <c r="G626" s="17" t="n">
        <v>2305045</v>
      </c>
      <c r="H626" s="17" t="n">
        <v>258848</v>
      </c>
      <c r="I626" s="17" t="n">
        <v>9.9258156027281</v>
      </c>
      <c r="J626" s="17" t="n">
        <v>2155933</v>
      </c>
      <c r="K626" s="17" t="n">
        <v>2098076.4</v>
      </c>
      <c r="L626" s="17" t="n">
        <v>2136837</v>
      </c>
      <c r="M626" s="17" t="n">
        <v>1794381</v>
      </c>
      <c r="N626" s="17" t="n">
        <v>255345</v>
      </c>
      <c r="O626" s="17" t="n">
        <v>8027</v>
      </c>
      <c r="P626" s="17" t="n">
        <v>6433</v>
      </c>
      <c r="Q626" s="17" t="n">
        <v>11164</v>
      </c>
      <c r="R626" s="17" t="n">
        <v>47</v>
      </c>
      <c r="S626" s="17" t="n">
        <v>853</v>
      </c>
      <c r="T626" s="17" t="n">
        <v>853</v>
      </c>
      <c r="U626" s="17" t="n">
        <v>0.0406562887795697</v>
      </c>
      <c r="V626" s="17" t="n">
        <v>309576</v>
      </c>
      <c r="W626" s="17" t="n">
        <v>2194493</v>
      </c>
      <c r="X626" s="17" t="n">
        <v>14.1069486209343</v>
      </c>
      <c r="Y626" s="17" t="n">
        <v>14621</v>
      </c>
      <c r="Z626" s="17" t="n">
        <v>0.568341059055616</v>
      </c>
      <c r="AA626" s="17" t="n">
        <v>5.86</v>
      </c>
      <c r="AB626" s="17" t="n">
        <v>2.78753272638901</v>
      </c>
      <c r="AC626" s="17" t="n">
        <v>0.885741811085966</v>
      </c>
      <c r="AD626" s="17" t="n">
        <v>-0.04</v>
      </c>
      <c r="AE626" s="17" t="n">
        <v>1</v>
      </c>
      <c r="AF626" s="17" t="s">
        <v>241</v>
      </c>
      <c r="AG626" s="17" t="s">
        <v>232</v>
      </c>
      <c r="AH626" s="17" t="n">
        <v>0</v>
      </c>
    </row>
    <row r="627" customFormat="false" ht="15" hidden="false" customHeight="false" outlineLevel="0" collapsed="false">
      <c r="A627" s="17" t="n">
        <v>19532</v>
      </c>
      <c r="B627" s="23" t="n">
        <v>45657</v>
      </c>
      <c r="C627" s="17" t="s">
        <v>164</v>
      </c>
      <c r="D627" s="17" t="s">
        <v>108</v>
      </c>
      <c r="E627" s="17" t="n">
        <v>841355</v>
      </c>
      <c r="F627" s="17" t="n">
        <v>873580.8</v>
      </c>
      <c r="G627" s="17" t="n">
        <v>726139</v>
      </c>
      <c r="H627" s="17" t="n">
        <v>102611</v>
      </c>
      <c r="I627" s="17" t="n">
        <v>12.1959220543053</v>
      </c>
      <c r="J627" s="17" t="n">
        <v>610614</v>
      </c>
      <c r="K627" s="17" t="n">
        <v>597931.2</v>
      </c>
      <c r="L627" s="17" t="n">
        <v>604580</v>
      </c>
      <c r="M627" s="17" t="n">
        <v>502892</v>
      </c>
      <c r="N627" s="17" t="n">
        <v>51731</v>
      </c>
      <c r="O627" s="17" t="n">
        <v>51267</v>
      </c>
      <c r="P627" s="17" t="n">
        <v>1747</v>
      </c>
      <c r="Q627" s="17" t="n">
        <v>1403</v>
      </c>
      <c r="R627" s="17" t="n">
        <v>0</v>
      </c>
      <c r="S627" s="17" t="n">
        <v>95</v>
      </c>
      <c r="T627" s="17" t="n">
        <v>95</v>
      </c>
      <c r="U627" s="17" t="n">
        <v>0.0158881155557696</v>
      </c>
      <c r="V627" s="17" t="n">
        <v>128632</v>
      </c>
      <c r="W627" s="17" t="n">
        <v>600010</v>
      </c>
      <c r="X627" s="17" t="n">
        <v>21.4383093615106</v>
      </c>
      <c r="Y627" s="17" t="n">
        <v>7521</v>
      </c>
      <c r="Z627" s="17" t="n">
        <v>0.860939251412119</v>
      </c>
      <c r="AA627" s="17" t="n">
        <v>7.51</v>
      </c>
      <c r="AB627" s="17" t="n">
        <v>3.19260167511545</v>
      </c>
      <c r="AC627" s="17" t="n">
        <v>0.98818566230057</v>
      </c>
      <c r="AD627" s="17" t="n">
        <v>0.04</v>
      </c>
      <c r="AE627" s="17" t="n">
        <v>1</v>
      </c>
      <c r="AF627" s="17" t="s">
        <v>241</v>
      </c>
      <c r="AG627" s="17" t="s">
        <v>232</v>
      </c>
      <c r="AH627" s="17" t="n">
        <v>1</v>
      </c>
    </row>
    <row r="628" customFormat="false" ht="15" hidden="false" customHeight="false" outlineLevel="0" collapsed="false">
      <c r="A628" s="17" t="n">
        <v>19690</v>
      </c>
      <c r="B628" s="23" t="n">
        <v>45657</v>
      </c>
      <c r="C628" s="17" t="s">
        <v>158</v>
      </c>
      <c r="D628" s="17" t="s">
        <v>108</v>
      </c>
      <c r="E628" s="17" t="n">
        <v>4083054</v>
      </c>
      <c r="F628" s="17" t="n">
        <v>3425029.2</v>
      </c>
      <c r="G628" s="17" t="n">
        <v>3178140</v>
      </c>
      <c r="H628" s="17" t="n">
        <v>444101</v>
      </c>
      <c r="I628" s="17" t="n">
        <v>10.8766869113169</v>
      </c>
      <c r="J628" s="17" t="n">
        <v>3626020</v>
      </c>
      <c r="K628" s="17" t="n">
        <v>3035123.6</v>
      </c>
      <c r="L628" s="17" t="n">
        <v>3581247</v>
      </c>
      <c r="M628" s="17" t="n">
        <v>2812366</v>
      </c>
      <c r="N628" s="17" t="n">
        <v>125867</v>
      </c>
      <c r="O628" s="17" t="n">
        <v>200</v>
      </c>
      <c r="P628" s="17" t="n">
        <v>30066</v>
      </c>
      <c r="Q628" s="17" t="n">
        <v>3018</v>
      </c>
      <c r="R628" s="17" t="n">
        <v>0</v>
      </c>
      <c r="S628" s="17" t="n">
        <v>6066</v>
      </c>
      <c r="T628" s="17" t="n">
        <v>6066</v>
      </c>
      <c r="U628" s="17" t="n">
        <v>0.199860065006908</v>
      </c>
      <c r="V628" s="17" t="n">
        <v>487584</v>
      </c>
      <c r="W628" s="17" t="n">
        <v>3504651</v>
      </c>
      <c r="X628" s="17" t="n">
        <v>13.9124837251983</v>
      </c>
      <c r="Y628" s="17" t="n">
        <v>68554</v>
      </c>
      <c r="Z628" s="17" t="n">
        <v>2.00155957794462</v>
      </c>
      <c r="AA628" s="17" t="n">
        <v>18.11</v>
      </c>
      <c r="AB628" s="17" t="n">
        <v>4.88319431994812</v>
      </c>
      <c r="AC628" s="17" t="n">
        <v>1.23476980270379</v>
      </c>
      <c r="AD628" s="17" t="n">
        <v>0.1</v>
      </c>
      <c r="AE628" s="17" t="n">
        <v>1</v>
      </c>
      <c r="AF628" s="17" t="s">
        <v>231</v>
      </c>
      <c r="AG628" s="17" t="s">
        <v>232</v>
      </c>
      <c r="AH628" s="17" t="n">
        <v>0</v>
      </c>
    </row>
    <row r="629" customFormat="false" ht="15" hidden="false" customHeight="false" outlineLevel="0" collapsed="false">
      <c r="A629" s="17" t="n">
        <v>19836</v>
      </c>
      <c r="B629" s="23" t="n">
        <v>45657</v>
      </c>
      <c r="C629" s="17" t="s">
        <v>136</v>
      </c>
      <c r="D629" s="17" t="s">
        <v>108</v>
      </c>
      <c r="E629" s="17" t="n">
        <v>725956</v>
      </c>
      <c r="F629" s="17" t="n">
        <v>693790</v>
      </c>
      <c r="G629" s="17" t="n">
        <v>546072</v>
      </c>
      <c r="H629" s="17" t="n">
        <v>126418</v>
      </c>
      <c r="I629" s="17" t="n">
        <v>17.4140030525266</v>
      </c>
      <c r="J629" s="17" t="n">
        <v>621275</v>
      </c>
      <c r="K629" s="17" t="n">
        <v>584860</v>
      </c>
      <c r="L629" s="17" t="n">
        <v>616812</v>
      </c>
      <c r="M629" s="17" t="n">
        <v>565995</v>
      </c>
      <c r="N629" s="17" t="n">
        <v>41567</v>
      </c>
      <c r="O629" s="17" t="n">
        <v>10758</v>
      </c>
      <c r="P629" s="17" t="n">
        <v>5575</v>
      </c>
      <c r="Q629" s="17" t="n">
        <v>5473</v>
      </c>
      <c r="R629" s="17" t="n">
        <v>115</v>
      </c>
      <c r="S629" s="17" t="n">
        <v>393</v>
      </c>
      <c r="T629" s="17" t="n">
        <v>393</v>
      </c>
      <c r="U629" s="17" t="n">
        <v>0.0671955681701604</v>
      </c>
      <c r="V629" s="17" t="n">
        <v>139206</v>
      </c>
      <c r="W629" s="17" t="n">
        <v>594828</v>
      </c>
      <c r="X629" s="17" t="n">
        <v>23.4027315459259</v>
      </c>
      <c r="Y629" s="17" t="n">
        <v>4411</v>
      </c>
      <c r="Z629" s="17" t="n">
        <v>0.635783162051918</v>
      </c>
      <c r="AA629" s="17" t="n">
        <v>3.58</v>
      </c>
      <c r="AB629" s="17" t="n">
        <v>3.66814462063966</v>
      </c>
      <c r="AC629" s="17" t="n">
        <v>0.718361434147519</v>
      </c>
      <c r="AD629" s="17" t="n">
        <v>0.06</v>
      </c>
      <c r="AE629" s="17" t="n">
        <v>1</v>
      </c>
      <c r="AF629" s="17" t="s">
        <v>314</v>
      </c>
      <c r="AG629" s="17" t="s">
        <v>232</v>
      </c>
      <c r="AH629" s="17" t="n">
        <v>0</v>
      </c>
    </row>
    <row r="630" customFormat="false" ht="15" hidden="false" customHeight="false" outlineLevel="0" collapsed="false">
      <c r="A630" s="17" t="n">
        <v>24540</v>
      </c>
      <c r="B630" s="23" t="n">
        <v>45657</v>
      </c>
      <c r="C630" s="17" t="s">
        <v>163</v>
      </c>
      <c r="D630" s="17" t="s">
        <v>116</v>
      </c>
      <c r="E630" s="17" t="n">
        <v>1527088</v>
      </c>
      <c r="F630" s="17" t="n">
        <v>1456777.8</v>
      </c>
      <c r="G630" s="17" t="n">
        <v>1227168</v>
      </c>
      <c r="H630" s="17" t="n">
        <v>276022</v>
      </c>
      <c r="I630" s="17" t="n">
        <v>18.0750552685896</v>
      </c>
      <c r="J630" s="17" t="n">
        <v>1371569</v>
      </c>
      <c r="K630" s="17" t="n">
        <v>1275645.4</v>
      </c>
      <c r="L630" s="17" t="n">
        <v>1358292</v>
      </c>
      <c r="M630" s="17" t="n">
        <v>1331608</v>
      </c>
      <c r="N630" s="17" t="n">
        <v>43779</v>
      </c>
      <c r="O630" s="17" t="n">
        <v>170</v>
      </c>
      <c r="P630" s="17" t="n">
        <v>28862</v>
      </c>
      <c r="Q630" s="17" t="n">
        <v>0</v>
      </c>
      <c r="R630" s="17" t="n">
        <v>0</v>
      </c>
      <c r="S630" s="17" t="n">
        <v>5</v>
      </c>
      <c r="T630" s="17" t="n">
        <v>5</v>
      </c>
      <c r="U630" s="17" t="n">
        <v>0.000391958454912313</v>
      </c>
      <c r="V630" s="17" t="n">
        <v>293571</v>
      </c>
      <c r="W630" s="17" t="n">
        <v>1570800</v>
      </c>
      <c r="X630" s="17" t="n">
        <v>18.6892666157372</v>
      </c>
      <c r="Y630" s="17" t="n">
        <v>31578</v>
      </c>
      <c r="Z630" s="17" t="n">
        <v>2.16766070982136</v>
      </c>
      <c r="AA630" s="17" t="n">
        <v>12.13</v>
      </c>
      <c r="AB630" s="17" t="n">
        <v>4.31804434798762</v>
      </c>
      <c r="AC630" s="17" t="n">
        <v>0.968015462583363</v>
      </c>
      <c r="AD630" s="17" t="n">
        <v>0.08</v>
      </c>
      <c r="AE630" s="17" t="n">
        <v>1</v>
      </c>
      <c r="AF630" s="17" t="s">
        <v>231</v>
      </c>
      <c r="AG630" s="17" t="s">
        <v>232</v>
      </c>
      <c r="AH630" s="17" t="n">
        <v>0</v>
      </c>
    </row>
    <row r="631" customFormat="false" ht="15" hidden="false" customHeight="false" outlineLevel="0" collapsed="false">
      <c r="A631" s="17" t="n">
        <v>27824</v>
      </c>
      <c r="B631" s="23" t="n">
        <v>45657</v>
      </c>
      <c r="C631" s="17" t="s">
        <v>117</v>
      </c>
      <c r="D631" s="17" t="s">
        <v>116</v>
      </c>
      <c r="E631" s="17" t="n">
        <v>567213</v>
      </c>
      <c r="F631" s="17" t="n">
        <v>554455.6</v>
      </c>
      <c r="G631" s="17" t="n">
        <v>364594</v>
      </c>
      <c r="H631" s="17" t="n">
        <v>62425</v>
      </c>
      <c r="I631" s="17" t="n">
        <v>11.0055658103746</v>
      </c>
      <c r="J631" s="17" t="n">
        <v>477239</v>
      </c>
      <c r="K631" s="17" t="n">
        <v>462498.4</v>
      </c>
      <c r="L631" s="17" t="n">
        <v>474451</v>
      </c>
      <c r="M631" s="17" t="n">
        <v>418833</v>
      </c>
      <c r="N631" s="17" t="n">
        <v>18705</v>
      </c>
      <c r="O631" s="17" t="n">
        <v>39701</v>
      </c>
      <c r="P631" s="17" t="n">
        <v>1549</v>
      </c>
      <c r="Q631" s="17" t="n">
        <v>1070</v>
      </c>
      <c r="R631" s="17" t="n">
        <v>0</v>
      </c>
      <c r="S631" s="17" t="n">
        <v>239</v>
      </c>
      <c r="T631" s="17" t="n">
        <v>239</v>
      </c>
      <c r="U631" s="17" t="n">
        <v>0.0516758544461992</v>
      </c>
      <c r="V631" s="17" t="n">
        <v>70913</v>
      </c>
      <c r="W631" s="17" t="n">
        <v>372548</v>
      </c>
      <c r="X631" s="17" t="n">
        <v>19.034594199942</v>
      </c>
      <c r="Y631" s="17" t="n">
        <v>-2914</v>
      </c>
      <c r="Z631" s="17" t="n">
        <v>-0.525560567879556</v>
      </c>
      <c r="AA631" s="17" t="n">
        <v>-4.55</v>
      </c>
      <c r="AB631" s="17" t="n">
        <v>1.66620323995382</v>
      </c>
      <c r="AC631" s="17" t="n">
        <v>0.584193663971302</v>
      </c>
      <c r="AD631" s="17" t="n">
        <v>0.02</v>
      </c>
      <c r="AE631" s="17" t="n">
        <v>1</v>
      </c>
      <c r="AF631" s="17" t="s">
        <v>354</v>
      </c>
      <c r="AG631" s="17" t="s">
        <v>232</v>
      </c>
      <c r="AH631" s="17" t="n">
        <v>1</v>
      </c>
    </row>
    <row r="632" customFormat="false" ht="15" hidden="false" customHeight="false" outlineLevel="0" collapsed="false">
      <c r="A632" s="17" t="n">
        <v>28155</v>
      </c>
      <c r="B632" s="23" t="n">
        <v>45657</v>
      </c>
      <c r="C632" s="17" t="s">
        <v>150</v>
      </c>
      <c r="D632" s="17" t="s">
        <v>116</v>
      </c>
      <c r="E632" s="17" t="n">
        <v>295833</v>
      </c>
      <c r="F632" s="17" t="n">
        <v>298689</v>
      </c>
      <c r="G632" s="17" t="n">
        <v>257082</v>
      </c>
      <c r="H632" s="17" t="n">
        <v>27363</v>
      </c>
      <c r="I632" s="17" t="n">
        <v>9.24947521067629</v>
      </c>
      <c r="J632" s="17" t="n">
        <v>174792</v>
      </c>
      <c r="K632" s="17" t="n">
        <v>171114.8</v>
      </c>
      <c r="L632" s="17" t="n">
        <v>174004</v>
      </c>
      <c r="M632" s="17" t="n">
        <v>157930</v>
      </c>
      <c r="N632" s="17" t="n">
        <v>9970</v>
      </c>
      <c r="O632" s="17" t="n">
        <v>6380</v>
      </c>
      <c r="P632" s="17" t="n">
        <v>0</v>
      </c>
      <c r="Q632" s="17" t="n">
        <v>1275</v>
      </c>
      <c r="R632" s="17" t="n">
        <v>0</v>
      </c>
      <c r="S632" s="17" t="n">
        <v>1</v>
      </c>
      <c r="T632" s="17" t="n">
        <v>1</v>
      </c>
      <c r="U632" s="17" t="n">
        <v>0.000584402985597973</v>
      </c>
      <c r="V632" s="17" t="n">
        <v>28799</v>
      </c>
      <c r="W632" s="17" t="n">
        <v>163529</v>
      </c>
      <c r="X632" s="17" t="n">
        <v>17.6109436246782</v>
      </c>
      <c r="Y632" s="17" t="n">
        <v>-69</v>
      </c>
      <c r="Z632" s="17" t="n">
        <v>-0.0231009511565541</v>
      </c>
      <c r="AA632" s="17" t="n">
        <v>-0.25</v>
      </c>
      <c r="AB632" s="17" t="n">
        <v>2.46130120647392</v>
      </c>
      <c r="AC632" s="17" t="n">
        <v>0.450821547896929</v>
      </c>
      <c r="AD632" s="17" t="n">
        <v>-0.01</v>
      </c>
      <c r="AE632" s="17" t="n">
        <v>1</v>
      </c>
      <c r="AF632" s="17" t="s">
        <v>314</v>
      </c>
      <c r="AG632" s="17" t="s">
        <v>232</v>
      </c>
      <c r="AH632" s="17" t="n">
        <v>0</v>
      </c>
    </row>
    <row r="633" customFormat="false" ht="15" hidden="false" customHeight="false" outlineLevel="0" collapsed="false">
      <c r="A633" s="17" t="n">
        <v>28288</v>
      </c>
      <c r="B633" s="23" t="n">
        <v>45657</v>
      </c>
      <c r="C633" s="17" t="s">
        <v>124</v>
      </c>
      <c r="D633" s="17" t="s">
        <v>108</v>
      </c>
      <c r="E633" s="17" t="n">
        <v>102307</v>
      </c>
      <c r="F633" s="17" t="n">
        <v>103209.2</v>
      </c>
      <c r="G633" s="17" t="n">
        <v>74614</v>
      </c>
      <c r="H633" s="17" t="n">
        <v>5875</v>
      </c>
      <c r="I633" s="17" t="n">
        <v>5.74252006216583</v>
      </c>
      <c r="J633" s="17" t="n">
        <v>83156</v>
      </c>
      <c r="K633" s="17" t="n">
        <v>83007.2</v>
      </c>
      <c r="L633" s="17" t="n">
        <v>82351</v>
      </c>
      <c r="M633" s="17" t="n">
        <v>75140</v>
      </c>
      <c r="N633" s="17" t="n">
        <v>4448</v>
      </c>
      <c r="O633" s="17" t="n">
        <v>3568</v>
      </c>
      <c r="P633" s="17" t="n">
        <v>137</v>
      </c>
      <c r="Q633" s="17" t="n">
        <v>493</v>
      </c>
      <c r="R633" s="17" t="n">
        <v>0</v>
      </c>
      <c r="S633" s="17" t="n">
        <v>0</v>
      </c>
      <c r="T633" s="17" t="n">
        <v>0</v>
      </c>
      <c r="U633" s="17" t="n">
        <v>0</v>
      </c>
      <c r="V633" s="17" t="n">
        <v>8851</v>
      </c>
      <c r="W633" s="17" t="n">
        <v>67950</v>
      </c>
      <c r="X633" s="17" t="n">
        <v>13.0257542310522</v>
      </c>
      <c r="Y633" s="17" t="n">
        <v>32</v>
      </c>
      <c r="Z633" s="17" t="n">
        <v>0.0310049879274328</v>
      </c>
      <c r="AA633" s="17" t="n">
        <v>0.53</v>
      </c>
      <c r="AB633" s="17" t="n">
        <v>2.59413030837813</v>
      </c>
      <c r="AC633" s="17" t="n">
        <v>0.968060031747559</v>
      </c>
      <c r="AD633" s="17" t="n">
        <v>-0.07</v>
      </c>
      <c r="AE633" s="17" t="n">
        <v>1</v>
      </c>
      <c r="AF633" s="17" t="s">
        <v>361</v>
      </c>
      <c r="AG633" s="17" t="s">
        <v>211</v>
      </c>
      <c r="AH633" s="17" t="n">
        <v>0</v>
      </c>
    </row>
    <row r="634" customFormat="false" ht="15" hidden="false" customHeight="false" outlineLevel="0" collapsed="false">
      <c r="A634" s="17" t="n">
        <v>28369</v>
      </c>
      <c r="B634" s="23" t="n">
        <v>45657</v>
      </c>
      <c r="C634" s="17" t="s">
        <v>145</v>
      </c>
      <c r="D634" s="17" t="s">
        <v>108</v>
      </c>
      <c r="E634" s="17" t="n">
        <v>93759</v>
      </c>
      <c r="F634" s="17" t="n">
        <v>94617.2</v>
      </c>
      <c r="G634" s="17" t="n">
        <v>74708</v>
      </c>
      <c r="H634" s="17" t="n">
        <v>9043</v>
      </c>
      <c r="I634" s="17" t="n">
        <v>9.64494075235444</v>
      </c>
      <c r="J634" s="17" t="n">
        <v>81371</v>
      </c>
      <c r="K634" s="17" t="n">
        <v>80925.8</v>
      </c>
      <c r="L634" s="17" t="n">
        <v>80745</v>
      </c>
      <c r="M634" s="17" t="n">
        <v>68320</v>
      </c>
      <c r="N634" s="17" t="n">
        <v>12423</v>
      </c>
      <c r="O634" s="17" t="n">
        <v>628</v>
      </c>
      <c r="P634" s="17" t="n">
        <v>208</v>
      </c>
      <c r="Q634" s="17" t="n">
        <v>150</v>
      </c>
      <c r="R634" s="17" t="n">
        <v>0</v>
      </c>
      <c r="S634" s="17" t="n">
        <v>-4</v>
      </c>
      <c r="T634" s="17" t="n">
        <v>-4</v>
      </c>
      <c r="U634" s="17" t="n">
        <v>-0.00494279945332638</v>
      </c>
      <c r="V634" s="17" t="n">
        <v>9135</v>
      </c>
      <c r="W634" s="17" t="n">
        <v>66077</v>
      </c>
      <c r="X634" s="17" t="n">
        <v>13.8247801806983</v>
      </c>
      <c r="Y634" s="17" t="n">
        <v>-307</v>
      </c>
      <c r="Z634" s="17" t="n">
        <v>-0.324465319202006</v>
      </c>
      <c r="AA634" s="17" t="n">
        <v>-3.33</v>
      </c>
      <c r="AB634" s="17" t="n">
        <v>2.91091148746691</v>
      </c>
      <c r="AC634" s="17" t="n">
        <v>0.769315849627017</v>
      </c>
      <c r="AD634" s="17" t="n">
        <v>0.04</v>
      </c>
      <c r="AE634" s="17" t="n">
        <v>1</v>
      </c>
      <c r="AF634" s="17" t="s">
        <v>361</v>
      </c>
      <c r="AG634" s="17" t="s">
        <v>211</v>
      </c>
      <c r="AH634" s="17" t="n">
        <v>1</v>
      </c>
    </row>
    <row r="635" customFormat="false" ht="15" hidden="false" customHeight="false" outlineLevel="0" collapsed="false">
      <c r="A635" s="17" t="n">
        <v>28837</v>
      </c>
      <c r="B635" s="23" t="n">
        <v>45657</v>
      </c>
      <c r="C635" s="17" t="s">
        <v>142</v>
      </c>
      <c r="D635" s="17" t="s">
        <v>113</v>
      </c>
      <c r="E635" s="17" t="n">
        <v>287826</v>
      </c>
      <c r="F635" s="17" t="n">
        <v>284424</v>
      </c>
      <c r="G635" s="17" t="n">
        <v>255992</v>
      </c>
      <c r="H635" s="17" t="n">
        <v>28739</v>
      </c>
      <c r="I635" s="17" t="n">
        <v>9.98485195916978</v>
      </c>
      <c r="J635" s="17" t="n">
        <v>205742</v>
      </c>
      <c r="K635" s="17" t="n">
        <v>201480.2</v>
      </c>
      <c r="L635" s="17" t="n">
        <v>203503</v>
      </c>
      <c r="M635" s="17" t="n">
        <v>197027</v>
      </c>
      <c r="N635" s="17" t="n">
        <v>7327</v>
      </c>
      <c r="O635" s="17" t="n">
        <v>776</v>
      </c>
      <c r="P635" s="17" t="n">
        <v>0</v>
      </c>
      <c r="Q635" s="17" t="n">
        <v>688</v>
      </c>
      <c r="R635" s="17" t="n">
        <v>0</v>
      </c>
      <c r="S635" s="17" t="n">
        <v>-56</v>
      </c>
      <c r="T635" s="17" t="n">
        <v>-56</v>
      </c>
      <c r="U635" s="17" t="n">
        <v>-0.0277942944269462</v>
      </c>
      <c r="V635" s="17" t="n">
        <v>29017</v>
      </c>
      <c r="W635" s="17" t="n">
        <v>162532</v>
      </c>
      <c r="X635" s="17" t="n">
        <v>17.8530996972904</v>
      </c>
      <c r="Y635" s="17" t="n">
        <v>2552</v>
      </c>
      <c r="Z635" s="17" t="n">
        <v>0.89725198998678</v>
      </c>
      <c r="AA635" s="17" t="n">
        <v>9.33</v>
      </c>
      <c r="AB635" s="17" t="n">
        <v>3.81936249099964</v>
      </c>
      <c r="AC635" s="17" t="n">
        <v>1.08825616548882</v>
      </c>
      <c r="AD635" s="17" t="n">
        <v>-0.07</v>
      </c>
      <c r="AE635" s="17" t="n">
        <v>1</v>
      </c>
      <c r="AF635" s="17" t="s">
        <v>314</v>
      </c>
      <c r="AG635" s="17" t="s">
        <v>232</v>
      </c>
      <c r="AH635" s="17" t="n">
        <v>1</v>
      </c>
    </row>
    <row r="636" customFormat="false" ht="15" hidden="false" customHeight="false" outlineLevel="0" collapsed="false">
      <c r="A636" s="17" t="n">
        <v>29636</v>
      </c>
      <c r="B636" s="23" t="n">
        <v>45657</v>
      </c>
      <c r="C636" s="17" t="s">
        <v>123</v>
      </c>
      <c r="D636" s="17" t="s">
        <v>108</v>
      </c>
      <c r="E636" s="17" t="n">
        <v>182860</v>
      </c>
      <c r="F636" s="17" t="n">
        <v>180416</v>
      </c>
      <c r="G636" s="17" t="n">
        <v>141498</v>
      </c>
      <c r="H636" s="17" t="n">
        <v>27319</v>
      </c>
      <c r="I636" s="17" t="n">
        <v>14.9398446899267</v>
      </c>
      <c r="J636" s="17" t="n">
        <v>143339</v>
      </c>
      <c r="K636" s="17" t="n">
        <v>138435.4</v>
      </c>
      <c r="L636" s="17" t="n">
        <v>141371</v>
      </c>
      <c r="M636" s="17" t="n">
        <v>139835</v>
      </c>
      <c r="N636" s="17" t="n">
        <v>1557</v>
      </c>
      <c r="O636" s="17" t="n">
        <v>1947</v>
      </c>
      <c r="P636" s="17" t="n">
        <v>2868</v>
      </c>
      <c r="Q636" s="17" t="n">
        <v>4173</v>
      </c>
      <c r="R636" s="17" t="n">
        <v>0</v>
      </c>
      <c r="S636" s="17" t="n">
        <v>1</v>
      </c>
      <c r="T636" s="17" t="n">
        <v>1</v>
      </c>
      <c r="U636" s="17" t="n">
        <v>0.000722358587471124</v>
      </c>
      <c r="V636" s="17" t="n">
        <v>28092</v>
      </c>
      <c r="W636" s="17" t="n">
        <v>105012</v>
      </c>
      <c r="X636" s="17" t="n">
        <v>26.7512284310365</v>
      </c>
      <c r="Y636" s="17" t="n">
        <v>678</v>
      </c>
      <c r="Z636" s="17" t="n">
        <v>0.375798155374246</v>
      </c>
      <c r="AA636" s="17" t="n">
        <v>2.57</v>
      </c>
      <c r="AB636" s="17" t="n">
        <v>3.5143306118266</v>
      </c>
      <c r="AC636" s="17" t="n">
        <v>1.37296897564515</v>
      </c>
      <c r="AD636" s="17" t="n">
        <v>0.04</v>
      </c>
      <c r="AE636" s="17" t="n">
        <v>1</v>
      </c>
      <c r="AF636" s="17" t="s">
        <v>361</v>
      </c>
      <c r="AG636" s="17" t="s">
        <v>211</v>
      </c>
      <c r="AH636" s="17" t="n">
        <v>1</v>
      </c>
    </row>
    <row r="637" customFormat="false" ht="15" hidden="false" customHeight="false" outlineLevel="0" collapsed="false">
      <c r="A637" s="17" t="n">
        <v>29743</v>
      </c>
      <c r="B637" s="23" t="n">
        <v>45657</v>
      </c>
      <c r="C637" s="17" t="s">
        <v>140</v>
      </c>
      <c r="D637" s="17" t="s">
        <v>108</v>
      </c>
      <c r="E637" s="17" t="n">
        <v>202964</v>
      </c>
      <c r="F637" s="17" t="n">
        <v>192121</v>
      </c>
      <c r="G637" s="17" t="n">
        <v>178152</v>
      </c>
      <c r="H637" s="17" t="n">
        <v>18066</v>
      </c>
      <c r="I637" s="17" t="n">
        <v>8.90108590686033</v>
      </c>
      <c r="J637" s="17" t="n">
        <v>135025</v>
      </c>
      <c r="K637" s="17" t="n">
        <v>134238.8</v>
      </c>
      <c r="L637" s="17" t="n">
        <v>134161</v>
      </c>
      <c r="M637" s="17" t="n">
        <v>88138</v>
      </c>
      <c r="N637" s="17" t="n">
        <v>25569</v>
      </c>
      <c r="O637" s="17" t="n">
        <v>21278</v>
      </c>
      <c r="P637" s="17" t="n">
        <v>647</v>
      </c>
      <c r="Q637" s="17" t="n">
        <v>1156</v>
      </c>
      <c r="R637" s="17" t="n">
        <v>0</v>
      </c>
      <c r="S637" s="17" t="n">
        <v>-7</v>
      </c>
      <c r="T637" s="17" t="n">
        <v>-7</v>
      </c>
      <c r="U637" s="17" t="n">
        <v>-0.0052145877346937</v>
      </c>
      <c r="V637" s="17" t="n">
        <v>20439</v>
      </c>
      <c r="W637" s="17" t="n">
        <v>110991</v>
      </c>
      <c r="X637" s="17" t="n">
        <v>18.4150066221586</v>
      </c>
      <c r="Y637" s="17" t="n">
        <v>697</v>
      </c>
      <c r="Z637" s="17" t="n">
        <v>0.362792198666465</v>
      </c>
      <c r="AA637" s="17" t="n">
        <v>4</v>
      </c>
      <c r="AB637" s="17" t="n">
        <v>2.2949156982309</v>
      </c>
      <c r="AC637" s="17" t="n">
        <v>0.639881503425292</v>
      </c>
      <c r="AD637" s="17" t="n">
        <v>-0.02</v>
      </c>
      <c r="AE637" s="17" t="n">
        <v>1</v>
      </c>
      <c r="AF637" s="17" t="s">
        <v>354</v>
      </c>
      <c r="AG637" s="17" t="s">
        <v>211</v>
      </c>
      <c r="AH637" s="17" t="n">
        <v>0</v>
      </c>
    </row>
    <row r="638" customFormat="false" ht="15" hidden="false" customHeight="false" outlineLevel="0" collapsed="false">
      <c r="A638" s="17" t="n">
        <v>29744</v>
      </c>
      <c r="B638" s="23" t="n">
        <v>45657</v>
      </c>
      <c r="C638" s="17" t="s">
        <v>137</v>
      </c>
      <c r="D638" s="17" t="s">
        <v>116</v>
      </c>
      <c r="E638" s="17" t="n">
        <v>581057</v>
      </c>
      <c r="F638" s="17" t="n">
        <v>586598.2</v>
      </c>
      <c r="G638" s="17" t="n">
        <v>472402</v>
      </c>
      <c r="H638" s="17" t="n">
        <v>44991</v>
      </c>
      <c r="I638" s="17" t="n">
        <v>7.74295809189116</v>
      </c>
      <c r="J638" s="17" t="n">
        <v>437679</v>
      </c>
      <c r="K638" s="17" t="n">
        <v>434124.2</v>
      </c>
      <c r="L638" s="17" t="n">
        <v>434193</v>
      </c>
      <c r="M638" s="17" t="n">
        <v>401559</v>
      </c>
      <c r="N638" s="17" t="n">
        <v>23711</v>
      </c>
      <c r="O638" s="17" t="n">
        <v>12409</v>
      </c>
      <c r="P638" s="17" t="n">
        <v>0</v>
      </c>
      <c r="Q638" s="17" t="n">
        <v>0</v>
      </c>
      <c r="R638" s="17" t="n">
        <v>0</v>
      </c>
      <c r="S638" s="17" t="n">
        <v>24</v>
      </c>
      <c r="T638" s="17" t="n">
        <v>24</v>
      </c>
      <c r="U638" s="17" t="n">
        <v>0.00552837183460401</v>
      </c>
      <c r="V638" s="17" t="n">
        <v>55506</v>
      </c>
      <c r="W638" s="17" t="n">
        <v>356942</v>
      </c>
      <c r="X638" s="17" t="n">
        <v>15.5504255593346</v>
      </c>
      <c r="Y638" s="17" t="n">
        <v>-489</v>
      </c>
      <c r="Z638" s="17" t="n">
        <v>-0.0833620014517603</v>
      </c>
      <c r="AA638" s="17" t="n">
        <v>-1.06</v>
      </c>
      <c r="AB638" s="17" t="n">
        <v>2.10953348286959</v>
      </c>
      <c r="AC638" s="17" t="n">
        <v>0.796474128299507</v>
      </c>
      <c r="AD638" s="17" t="n">
        <v>-0.01</v>
      </c>
      <c r="AE638" s="17" t="n">
        <v>1</v>
      </c>
      <c r="AF638" s="17" t="s">
        <v>361</v>
      </c>
      <c r="AG638" s="17" t="s">
        <v>211</v>
      </c>
      <c r="AH638" s="17" t="n">
        <v>0</v>
      </c>
    </row>
    <row r="639" customFormat="false" ht="15" hidden="false" customHeight="false" outlineLevel="0" collapsed="false">
      <c r="A639" s="17" t="n">
        <v>30350</v>
      </c>
      <c r="B639" s="23" t="n">
        <v>45657</v>
      </c>
      <c r="C639" s="17" t="s">
        <v>154</v>
      </c>
      <c r="D639" s="17" t="s">
        <v>113</v>
      </c>
      <c r="E639" s="17" t="n">
        <v>593799</v>
      </c>
      <c r="F639" s="17" t="n">
        <v>570625.2</v>
      </c>
      <c r="G639" s="17" t="n">
        <v>466175</v>
      </c>
      <c r="H639" s="17" t="n">
        <v>60826</v>
      </c>
      <c r="I639" s="17" t="n">
        <v>10.2435335862809</v>
      </c>
      <c r="J639" s="17" t="n">
        <v>456385</v>
      </c>
      <c r="K639" s="17" t="n">
        <v>422913.6</v>
      </c>
      <c r="L639" s="17" t="n">
        <v>451089</v>
      </c>
      <c r="M639" s="17" t="n">
        <v>438311</v>
      </c>
      <c r="N639" s="17" t="n">
        <v>15211</v>
      </c>
      <c r="O639" s="17" t="n">
        <v>1706</v>
      </c>
      <c r="P639" s="17" t="n">
        <v>1585</v>
      </c>
      <c r="Q639" s="17" t="n">
        <v>5535</v>
      </c>
      <c r="R639" s="17" t="n">
        <v>0</v>
      </c>
      <c r="S639" s="17" t="n">
        <v>-208</v>
      </c>
      <c r="T639" s="17" t="n">
        <v>-208</v>
      </c>
      <c r="U639" s="17" t="n">
        <v>-0.0491826226444361</v>
      </c>
      <c r="V639" s="17" t="n">
        <v>70876</v>
      </c>
      <c r="W639" s="17" t="n">
        <v>350670</v>
      </c>
      <c r="X639" s="17" t="n">
        <v>20.2115949468161</v>
      </c>
      <c r="Y639" s="17" t="n">
        <v>3766</v>
      </c>
      <c r="Z639" s="17" t="n">
        <v>0.659977862877419</v>
      </c>
      <c r="AA639" s="17" t="n">
        <v>6.44</v>
      </c>
      <c r="AB639" s="17" t="n">
        <v>2.64702965497799</v>
      </c>
      <c r="AC639" s="17" t="n">
        <v>1.16042376502295</v>
      </c>
      <c r="AD639" s="17" t="n">
        <v>0</v>
      </c>
      <c r="AE639" s="17" t="n">
        <v>1</v>
      </c>
      <c r="AF639" s="17" t="s">
        <v>361</v>
      </c>
      <c r="AG639" s="17" t="s">
        <v>211</v>
      </c>
      <c r="AH639" s="17" t="n">
        <v>0</v>
      </c>
    </row>
    <row r="640" customFormat="false" ht="15" hidden="false" customHeight="false" outlineLevel="0" collapsed="false">
      <c r="A640" s="17" t="n">
        <v>30878</v>
      </c>
      <c r="B640" s="23" t="n">
        <v>45657</v>
      </c>
      <c r="C640" s="17" t="s">
        <v>110</v>
      </c>
      <c r="D640" s="17" t="s">
        <v>108</v>
      </c>
      <c r="E640" s="17" t="n">
        <v>99802</v>
      </c>
      <c r="F640" s="17" t="n">
        <v>102355.2</v>
      </c>
      <c r="G640" s="17" t="n">
        <v>75762</v>
      </c>
      <c r="H640" s="17" t="n">
        <v>11821</v>
      </c>
      <c r="I640" s="17" t="n">
        <v>11.8444520149897</v>
      </c>
      <c r="J640" s="17" t="n">
        <v>86046</v>
      </c>
      <c r="K640" s="17" t="n">
        <v>87296.6</v>
      </c>
      <c r="L640" s="17" t="n">
        <v>85338</v>
      </c>
      <c r="M640" s="17" t="n">
        <v>85877</v>
      </c>
      <c r="N640" s="17" t="n">
        <v>0</v>
      </c>
      <c r="O640" s="17" t="n">
        <v>168</v>
      </c>
      <c r="P640" s="17" t="n">
        <v>1428</v>
      </c>
      <c r="Q640" s="17" t="n">
        <v>720</v>
      </c>
      <c r="R640" s="17" t="n">
        <v>0</v>
      </c>
      <c r="S640" s="17" t="n">
        <v>0</v>
      </c>
      <c r="T640" s="17" t="n">
        <v>0</v>
      </c>
      <c r="U640" s="17" t="n">
        <v>0</v>
      </c>
      <c r="V640" s="17" t="n">
        <v>0</v>
      </c>
      <c r="W640" s="17" t="n">
        <v>0</v>
      </c>
      <c r="X640" s="17" t="n">
        <v>0</v>
      </c>
      <c r="Y640" s="17" t="n">
        <v>-532</v>
      </c>
      <c r="Z640" s="17" t="n">
        <v>-0.519758644406928</v>
      </c>
      <c r="AA640" s="17" t="n">
        <v>-4.39</v>
      </c>
      <c r="AB640" s="17" t="n">
        <v>1.05272775262421</v>
      </c>
      <c r="AC640" s="17" t="n">
        <v>0.822815703228506</v>
      </c>
      <c r="AD640" s="17" t="n">
        <v>0</v>
      </c>
      <c r="AE640" s="17" t="n">
        <v>1</v>
      </c>
      <c r="AF640" s="17" t="s">
        <v>354</v>
      </c>
      <c r="AG640" s="17" t="s">
        <v>232</v>
      </c>
      <c r="AH640" s="17" t="n">
        <v>1</v>
      </c>
    </row>
    <row r="641" customFormat="false" ht="15" hidden="false" customHeight="false" outlineLevel="0" collapsed="false">
      <c r="A641" s="17" t="n">
        <v>33418</v>
      </c>
      <c r="B641" s="23" t="n">
        <v>45657</v>
      </c>
      <c r="C641" s="17" t="s">
        <v>133</v>
      </c>
      <c r="D641" s="17" t="s">
        <v>113</v>
      </c>
      <c r="E641" s="17" t="n">
        <v>950082</v>
      </c>
      <c r="F641" s="17" t="n">
        <v>908773.8</v>
      </c>
      <c r="G641" s="17" t="n">
        <v>811387</v>
      </c>
      <c r="H641" s="17" t="n">
        <v>69717</v>
      </c>
      <c r="I641" s="17" t="n">
        <v>7.33799819384011</v>
      </c>
      <c r="J641" s="17" t="n">
        <v>579725</v>
      </c>
      <c r="K641" s="17" t="n">
        <v>496837</v>
      </c>
      <c r="L641" s="17" t="n">
        <v>575966</v>
      </c>
      <c r="M641" s="17" t="n">
        <v>490295</v>
      </c>
      <c r="N641" s="17" t="n">
        <v>72559</v>
      </c>
      <c r="O641" s="17" t="n">
        <v>17090</v>
      </c>
      <c r="P641" s="17" t="n">
        <v>1277</v>
      </c>
      <c r="Q641" s="17" t="n">
        <v>451</v>
      </c>
      <c r="R641" s="17" t="n">
        <v>0</v>
      </c>
      <c r="S641" s="17" t="n">
        <v>-53</v>
      </c>
      <c r="T641" s="17" t="n">
        <v>-53</v>
      </c>
      <c r="U641" s="17" t="n">
        <v>-0.0106674824942587</v>
      </c>
      <c r="V641" s="17" t="n">
        <v>83777</v>
      </c>
      <c r="W641" s="17" t="n">
        <v>658393</v>
      </c>
      <c r="X641" s="17" t="n">
        <v>12.7244669976746</v>
      </c>
      <c r="Y641" s="17" t="n">
        <v>4238</v>
      </c>
      <c r="Z641" s="17" t="n">
        <v>0.466342669650027</v>
      </c>
      <c r="AA641" s="17" t="n">
        <v>6.14</v>
      </c>
      <c r="AB641" s="17" t="n">
        <v>2.29282626037659</v>
      </c>
      <c r="AC641" s="17" t="n">
        <v>0.648410884471085</v>
      </c>
      <c r="AD641" s="17" t="n">
        <v>0.07</v>
      </c>
      <c r="AE641" s="17" t="n">
        <v>1</v>
      </c>
      <c r="AF641" s="17" t="s">
        <v>210</v>
      </c>
      <c r="AG641" s="17" t="s">
        <v>211</v>
      </c>
      <c r="AH641" s="17" t="n">
        <v>0</v>
      </c>
    </row>
    <row r="642" customFormat="false" ht="15" hidden="false" customHeight="false" outlineLevel="0" collapsed="false">
      <c r="A642" s="17" t="n">
        <v>35206</v>
      </c>
      <c r="B642" s="23" t="n">
        <v>45657</v>
      </c>
      <c r="C642" s="17" t="s">
        <v>166</v>
      </c>
      <c r="D642" s="17" t="s">
        <v>116</v>
      </c>
      <c r="E642" s="17" t="n">
        <v>63348</v>
      </c>
      <c r="F642" s="17" t="n">
        <v>79218.8</v>
      </c>
      <c r="G642" s="17" t="n">
        <v>500</v>
      </c>
      <c r="H642" s="17" t="n">
        <v>60476</v>
      </c>
      <c r="I642" s="17" t="n">
        <v>95.466313064343</v>
      </c>
      <c r="J642" s="17" t="n">
        <v>0</v>
      </c>
      <c r="K642" s="17" t="n">
        <v>0</v>
      </c>
      <c r="L642" s="17" t="n">
        <v>0</v>
      </c>
      <c r="M642" s="17" t="n">
        <v>0</v>
      </c>
      <c r="N642" s="17" t="n">
        <v>0</v>
      </c>
      <c r="O642" s="17" t="n">
        <v>0</v>
      </c>
      <c r="P642" s="17" t="n">
        <v>0</v>
      </c>
      <c r="Q642" s="17" t="n">
        <v>0</v>
      </c>
      <c r="R642" s="17" t="n">
        <v>0</v>
      </c>
      <c r="S642" s="17" t="n">
        <v>0</v>
      </c>
      <c r="T642" s="17" t="n">
        <v>0</v>
      </c>
      <c r="U642" s="17" t="n">
        <v>0</v>
      </c>
      <c r="V642" s="17" t="n">
        <v>0</v>
      </c>
      <c r="W642" s="17" t="n">
        <v>0</v>
      </c>
      <c r="X642" s="17" t="n">
        <v>0</v>
      </c>
      <c r="Y642" s="17" t="n">
        <v>16073</v>
      </c>
      <c r="Z642" s="17" t="n">
        <v>20.2893757542402</v>
      </c>
      <c r="AA642" s="17" t="n">
        <v>21.03</v>
      </c>
      <c r="AB642" s="17" t="n">
        <v>5.0749624978779</v>
      </c>
      <c r="AC642" s="17" t="n">
        <v>0</v>
      </c>
      <c r="AD642" s="17" t="n">
        <v>0</v>
      </c>
      <c r="AE642" s="17" t="n">
        <v>1</v>
      </c>
      <c r="AF642" s="17" t="s">
        <v>361</v>
      </c>
      <c r="AG642" s="17" t="s">
        <v>211</v>
      </c>
      <c r="AH642" s="17" t="n">
        <v>0</v>
      </c>
    </row>
    <row r="643" customFormat="false" ht="15" hidden="false" customHeight="false" outlineLevel="0" collapsed="false">
      <c r="A643" s="17" t="n">
        <v>59086</v>
      </c>
      <c r="B643" s="23" t="n">
        <v>45657</v>
      </c>
      <c r="C643" s="17" t="s">
        <v>141</v>
      </c>
      <c r="D643" s="17" t="s">
        <v>116</v>
      </c>
      <c r="E643" s="17" t="n">
        <v>708844</v>
      </c>
      <c r="F643" s="17" t="n">
        <v>704537.2</v>
      </c>
      <c r="G643" s="17" t="n">
        <v>603651</v>
      </c>
      <c r="H643" s="17" t="n">
        <v>99876</v>
      </c>
      <c r="I643" s="17" t="n">
        <v>14.0899831274582</v>
      </c>
      <c r="J643" s="17" t="n">
        <v>599071</v>
      </c>
      <c r="K643" s="17" t="n">
        <v>593380.6</v>
      </c>
      <c r="L643" s="17" t="n">
        <v>593209</v>
      </c>
      <c r="M643" s="17" t="n">
        <v>477361</v>
      </c>
      <c r="N643" s="17" t="n">
        <v>122091</v>
      </c>
      <c r="O643" s="17" t="n">
        <v>0</v>
      </c>
      <c r="P643" s="17" t="n">
        <v>4078</v>
      </c>
      <c r="Q643" s="17" t="n">
        <v>513</v>
      </c>
      <c r="R643" s="17" t="n">
        <v>486</v>
      </c>
      <c r="S643" s="17" t="n">
        <v>405</v>
      </c>
      <c r="T643" s="17" t="n">
        <v>405</v>
      </c>
      <c r="U643" s="17" t="n">
        <v>0.0682529897337392</v>
      </c>
      <c r="V643" s="17" t="n">
        <v>106816</v>
      </c>
      <c r="W643" s="17" t="n">
        <v>649150</v>
      </c>
      <c r="X643" s="17" t="n">
        <v>16.4547485172918</v>
      </c>
      <c r="Y643" s="17" t="n">
        <v>10672</v>
      </c>
      <c r="Z643" s="17" t="n">
        <v>1.51475323091527</v>
      </c>
      <c r="AA643" s="17" t="n">
        <v>11.38</v>
      </c>
      <c r="AB643" s="17" t="n">
        <v>3.84189620368562</v>
      </c>
      <c r="AC643" s="17" t="n">
        <v>0.978515067496173</v>
      </c>
      <c r="AD643" s="17" t="n">
        <v>0.09</v>
      </c>
      <c r="AE643" s="17" t="n">
        <v>1</v>
      </c>
      <c r="AF643" s="17" t="s">
        <v>231</v>
      </c>
      <c r="AG643" s="17" t="s">
        <v>232</v>
      </c>
      <c r="AH643" s="17" t="n">
        <v>0</v>
      </c>
    </row>
    <row r="644" customFormat="false" ht="15" hidden="false" customHeight="false" outlineLevel="0" collapsed="false">
      <c r="A644" s="17" t="n">
        <v>59176</v>
      </c>
      <c r="B644" s="23" t="n">
        <v>45657</v>
      </c>
      <c r="C644" s="17" t="s">
        <v>151</v>
      </c>
      <c r="D644" s="17" t="s">
        <v>116</v>
      </c>
      <c r="E644" s="17" t="n">
        <v>237381</v>
      </c>
      <c r="F644" s="17" t="n">
        <v>231022.2</v>
      </c>
      <c r="G644" s="17" t="n">
        <v>196927</v>
      </c>
      <c r="H644" s="17" t="n">
        <v>27230</v>
      </c>
      <c r="I644" s="17" t="n">
        <v>11.4710107380119</v>
      </c>
      <c r="J644" s="17" t="n">
        <v>180752</v>
      </c>
      <c r="K644" s="17" t="n">
        <v>164932.4</v>
      </c>
      <c r="L644" s="17" t="n">
        <v>179056</v>
      </c>
      <c r="M644" s="17" t="n">
        <v>156611</v>
      </c>
      <c r="N644" s="17" t="n">
        <v>24140</v>
      </c>
      <c r="O644" s="17" t="n">
        <v>0</v>
      </c>
      <c r="P644" s="17" t="n">
        <v>0</v>
      </c>
      <c r="Q644" s="17" t="n">
        <v>0</v>
      </c>
      <c r="R644" s="17" t="n">
        <v>0</v>
      </c>
      <c r="S644" s="17" t="n">
        <v>-32</v>
      </c>
      <c r="T644" s="17" t="n">
        <v>-32</v>
      </c>
      <c r="U644" s="17" t="n">
        <v>-0.0194018882887777</v>
      </c>
      <c r="V644" s="17" t="n">
        <v>0</v>
      </c>
      <c r="W644" s="17" t="n">
        <v>0</v>
      </c>
      <c r="X644" s="17" t="n">
        <v>0</v>
      </c>
      <c r="Y644" s="17" t="n">
        <v>262</v>
      </c>
      <c r="Z644" s="17" t="n">
        <v>0.113409014371779</v>
      </c>
      <c r="AA644" s="17" t="n">
        <v>1</v>
      </c>
      <c r="AB644" s="17" t="n">
        <v>2.52736720420682</v>
      </c>
      <c r="AC644" s="17" t="n">
        <v>0.938302204124989</v>
      </c>
      <c r="AD644" s="17" t="n">
        <v>0.09</v>
      </c>
      <c r="AE644" s="17" t="n">
        <v>1</v>
      </c>
      <c r="AF644" s="17" t="s">
        <v>231</v>
      </c>
      <c r="AG644" s="17" t="s">
        <v>232</v>
      </c>
      <c r="AH644" s="17" t="n">
        <v>0</v>
      </c>
    </row>
    <row r="645" customFormat="false" ht="15" hidden="false" customHeight="false" outlineLevel="0" collapsed="false">
      <c r="A645" s="17" t="n">
        <v>59289</v>
      </c>
      <c r="B645" s="23" t="n">
        <v>45657</v>
      </c>
      <c r="C645" s="17" t="s">
        <v>121</v>
      </c>
      <c r="D645" s="17" t="s">
        <v>116</v>
      </c>
      <c r="E645" s="17" t="n">
        <v>123766</v>
      </c>
      <c r="F645" s="17" t="n">
        <v>103948.6</v>
      </c>
      <c r="G645" s="17" t="n">
        <v>107030</v>
      </c>
      <c r="H645" s="17" t="n">
        <v>15858</v>
      </c>
      <c r="I645" s="17" t="n">
        <v>12.8128888386148</v>
      </c>
      <c r="J645" s="17" t="n">
        <v>86219</v>
      </c>
      <c r="K645" s="17" t="n">
        <v>58126</v>
      </c>
      <c r="L645" s="17" t="n">
        <v>85644</v>
      </c>
      <c r="M645" s="17" t="n">
        <v>35426</v>
      </c>
      <c r="N645" s="17" t="n">
        <v>38749</v>
      </c>
      <c r="O645" s="17" t="n">
        <v>0</v>
      </c>
      <c r="P645" s="17" t="n">
        <v>2234</v>
      </c>
      <c r="Q645" s="17" t="n">
        <v>2590</v>
      </c>
      <c r="R645" s="17" t="n">
        <v>0</v>
      </c>
      <c r="S645" s="17" t="n">
        <v>2553</v>
      </c>
      <c r="T645" s="17" t="n">
        <v>2553</v>
      </c>
      <c r="U645" s="17" t="n">
        <v>4.39218250008602</v>
      </c>
      <c r="V645" s="17" t="n">
        <v>0</v>
      </c>
      <c r="W645" s="17" t="n">
        <v>0</v>
      </c>
      <c r="X645" s="17" t="n">
        <v>0</v>
      </c>
      <c r="Y645" s="17" t="n">
        <v>-3355</v>
      </c>
      <c r="Z645" s="17" t="n">
        <v>-3.22755669629028</v>
      </c>
      <c r="AA645" s="17" t="n">
        <v>-18.8</v>
      </c>
      <c r="AB645" s="17" t="n">
        <v>3.81997554271963</v>
      </c>
      <c r="AC645" s="17" t="n">
        <v>0.666906366346165</v>
      </c>
      <c r="AD645" s="17" t="n">
        <v>2.56</v>
      </c>
      <c r="AE645" s="17" t="n">
        <v>1</v>
      </c>
      <c r="AF645" s="17" t="s">
        <v>241</v>
      </c>
      <c r="AG645" s="17" t="s">
        <v>232</v>
      </c>
      <c r="AH645" s="17" t="n">
        <v>0</v>
      </c>
    </row>
    <row r="646" customFormat="false" ht="15" hidden="false" customHeight="false" outlineLevel="0" collapsed="false">
      <c r="A646" s="17" t="n">
        <v>59298</v>
      </c>
      <c r="B646" s="23" t="n">
        <v>45657</v>
      </c>
      <c r="C646" s="17" t="s">
        <v>160</v>
      </c>
      <c r="D646" s="17" t="s">
        <v>113</v>
      </c>
      <c r="E646" s="17" t="n">
        <v>261157</v>
      </c>
      <c r="F646" s="17" t="n">
        <v>213290</v>
      </c>
      <c r="G646" s="17" t="n">
        <v>236473</v>
      </c>
      <c r="H646" s="17" t="n">
        <v>23720</v>
      </c>
      <c r="I646" s="17" t="n">
        <v>9.08265909012586</v>
      </c>
      <c r="J646" s="17" t="n">
        <v>137574</v>
      </c>
      <c r="K646" s="17" t="n">
        <v>102138.2</v>
      </c>
      <c r="L646" s="17" t="n">
        <v>136473</v>
      </c>
      <c r="M646" s="17" t="n">
        <v>105764</v>
      </c>
      <c r="N646" s="17" t="n">
        <v>31832</v>
      </c>
      <c r="O646" s="17" t="n">
        <v>0</v>
      </c>
      <c r="P646" s="17" t="n">
        <v>0</v>
      </c>
      <c r="Q646" s="17" t="n">
        <v>0</v>
      </c>
      <c r="R646" s="17" t="n">
        <v>0</v>
      </c>
      <c r="S646" s="17" t="n">
        <v>0</v>
      </c>
      <c r="T646" s="17" t="n">
        <v>0</v>
      </c>
      <c r="U646" s="17" t="n">
        <v>0</v>
      </c>
      <c r="V646" s="17" t="n">
        <v>26378</v>
      </c>
      <c r="W646" s="17" t="n">
        <v>150069</v>
      </c>
      <c r="X646" s="17" t="n">
        <v>17.5772477993456</v>
      </c>
      <c r="Y646" s="17" t="n">
        <v>-2006</v>
      </c>
      <c r="Z646" s="17" t="n">
        <v>-0.940503539781518</v>
      </c>
      <c r="AA646" s="17" t="n">
        <v>-7.72</v>
      </c>
      <c r="AB646" s="17" t="n">
        <v>2.05742766499991</v>
      </c>
      <c r="AC646" s="17" t="n">
        <v>0.800296567665402</v>
      </c>
      <c r="AD646" s="17" t="n">
        <v>0.27</v>
      </c>
      <c r="AE646" s="17" t="n">
        <v>1</v>
      </c>
      <c r="AF646" s="17" t="s">
        <v>231</v>
      </c>
      <c r="AG646" s="17" t="s">
        <v>232</v>
      </c>
      <c r="AH646" s="17" t="n">
        <v>0</v>
      </c>
    </row>
    <row r="647" customFormat="false" ht="15" hidden="false" customHeight="false" outlineLevel="0" collapsed="false">
      <c r="A647" s="17" t="n">
        <v>4255</v>
      </c>
      <c r="B647" s="23" t="n">
        <v>45747</v>
      </c>
      <c r="C647" s="17" t="s">
        <v>126</v>
      </c>
      <c r="D647" s="17" t="s">
        <v>108</v>
      </c>
      <c r="E647" s="17" t="n">
        <v>6948167</v>
      </c>
      <c r="F647" s="17" t="n">
        <v>6369202.5</v>
      </c>
      <c r="G647" s="17" t="n">
        <v>5632856</v>
      </c>
      <c r="H647" s="17" t="n">
        <v>671520</v>
      </c>
      <c r="I647" s="17" t="n">
        <v>9.66470725300644</v>
      </c>
      <c r="J647" s="17" t="n">
        <v>4896145</v>
      </c>
      <c r="K647" s="17" t="n">
        <v>4511226.5</v>
      </c>
      <c r="L647" s="17" t="n">
        <v>4849422</v>
      </c>
      <c r="M647" s="17" t="n">
        <v>4419349</v>
      </c>
      <c r="N647" s="17" t="n">
        <v>341292</v>
      </c>
      <c r="O647" s="17" t="n">
        <v>24145</v>
      </c>
      <c r="P647" s="17" t="n">
        <v>7251</v>
      </c>
      <c r="Q647" s="17" t="n">
        <v>3341</v>
      </c>
      <c r="R647" s="17" t="n">
        <v>0</v>
      </c>
      <c r="S647" s="17" t="n">
        <v>949</v>
      </c>
      <c r="T647" s="17" t="n">
        <v>3796</v>
      </c>
      <c r="U647" s="17" t="n">
        <v>0.0841456309054755</v>
      </c>
      <c r="V647" s="17" t="n">
        <v>602259</v>
      </c>
      <c r="W647" s="17" t="n">
        <v>4797535</v>
      </c>
      <c r="X647" s="17" t="n">
        <v>12.5535092500628</v>
      </c>
      <c r="Y647" s="17" t="n">
        <v>33456</v>
      </c>
      <c r="Z647" s="17" t="n">
        <v>0.525277693714401</v>
      </c>
      <c r="AA647" s="17" t="n">
        <v>5.53</v>
      </c>
      <c r="AB647" s="17" t="n">
        <v>3.41551381015869</v>
      </c>
      <c r="AC647" s="17" t="n">
        <v>0.954281378513096</v>
      </c>
      <c r="AD647" s="17" t="n">
        <v>0.59</v>
      </c>
      <c r="AE647" s="17" t="n">
        <v>1</v>
      </c>
      <c r="AF647" s="17" t="s">
        <v>210</v>
      </c>
      <c r="AG647" s="17" t="s">
        <v>211</v>
      </c>
      <c r="AH647" s="17" t="n">
        <v>0</v>
      </c>
    </row>
    <row r="648" customFormat="false" ht="15" hidden="false" customHeight="false" outlineLevel="0" collapsed="false">
      <c r="A648" s="17" t="n">
        <v>4256</v>
      </c>
      <c r="B648" s="23" t="n">
        <v>45747</v>
      </c>
      <c r="C648" s="17" t="s">
        <v>135</v>
      </c>
      <c r="D648" s="17" t="s">
        <v>108</v>
      </c>
      <c r="E648" s="17" t="n">
        <v>3151780</v>
      </c>
      <c r="F648" s="17" t="n">
        <v>3136611</v>
      </c>
      <c r="G648" s="17" t="n">
        <v>2712084</v>
      </c>
      <c r="H648" s="17" t="n">
        <v>230970</v>
      </c>
      <c r="I648" s="17" t="n">
        <v>7.32823991522251</v>
      </c>
      <c r="J648" s="17" t="n">
        <v>2383150</v>
      </c>
      <c r="K648" s="17" t="n">
        <v>2362045</v>
      </c>
      <c r="L648" s="17" t="n">
        <v>2358036</v>
      </c>
      <c r="M648" s="17" t="n">
        <v>1883405</v>
      </c>
      <c r="N648" s="17" t="n">
        <v>377866</v>
      </c>
      <c r="O648" s="17" t="n">
        <v>21844</v>
      </c>
      <c r="P648" s="17" t="n">
        <v>6053</v>
      </c>
      <c r="Q648" s="17" t="n">
        <v>2649</v>
      </c>
      <c r="R648" s="17" t="n">
        <v>695</v>
      </c>
      <c r="S648" s="17" t="n">
        <v>153</v>
      </c>
      <c r="T648" s="17" t="n">
        <v>612</v>
      </c>
      <c r="U648" s="17" t="n">
        <v>0.0259097519310597</v>
      </c>
      <c r="V648" s="17" t="n">
        <v>292130</v>
      </c>
      <c r="W648" s="17" t="n">
        <v>2234711</v>
      </c>
      <c r="X648" s="17" t="n">
        <v>13.0723838563465</v>
      </c>
      <c r="Y648" s="17" t="n">
        <v>29768</v>
      </c>
      <c r="Z648" s="17" t="n">
        <v>0.949049786537126</v>
      </c>
      <c r="AA648" s="17" t="n">
        <v>13.1</v>
      </c>
      <c r="AB648" s="17" t="n">
        <v>2.40579582940435</v>
      </c>
      <c r="AC648" s="17" t="n">
        <v>1.05381532845184</v>
      </c>
      <c r="AD648" s="17" t="n">
        <v>0.05</v>
      </c>
      <c r="AE648" s="17" t="n">
        <v>1</v>
      </c>
      <c r="AF648" s="17" t="s">
        <v>210</v>
      </c>
      <c r="AG648" s="17" t="s">
        <v>211</v>
      </c>
      <c r="AH648" s="17" t="n">
        <v>0</v>
      </c>
    </row>
    <row r="649" customFormat="false" ht="15" hidden="false" customHeight="false" outlineLevel="0" collapsed="false">
      <c r="A649" s="17" t="n">
        <v>6271</v>
      </c>
      <c r="B649" s="23" t="n">
        <v>45747</v>
      </c>
      <c r="C649" s="17" t="s">
        <v>147</v>
      </c>
      <c r="D649" s="17" t="s">
        <v>113</v>
      </c>
      <c r="E649" s="17" t="n">
        <v>1187395</v>
      </c>
      <c r="F649" s="17" t="n">
        <v>1217804</v>
      </c>
      <c r="G649" s="17" t="n">
        <v>980794</v>
      </c>
      <c r="H649" s="17" t="n">
        <v>115170</v>
      </c>
      <c r="I649" s="17" t="n">
        <v>9.69938394552782</v>
      </c>
      <c r="J649" s="17" t="n">
        <v>941445</v>
      </c>
      <c r="K649" s="17" t="n">
        <v>935017</v>
      </c>
      <c r="L649" s="17" t="n">
        <v>931271</v>
      </c>
      <c r="M649" s="17" t="n">
        <v>739251</v>
      </c>
      <c r="N649" s="17" t="n">
        <v>120099</v>
      </c>
      <c r="O649" s="17" t="n">
        <v>6417</v>
      </c>
      <c r="P649" s="17" t="n">
        <v>8907</v>
      </c>
      <c r="Q649" s="17" t="n">
        <v>2556</v>
      </c>
      <c r="R649" s="17" t="n">
        <v>494</v>
      </c>
      <c r="S649" s="17" t="n">
        <v>56</v>
      </c>
      <c r="T649" s="17" t="n">
        <v>224</v>
      </c>
      <c r="U649" s="17" t="n">
        <v>0.0239567836734519</v>
      </c>
      <c r="V649" s="17" t="n">
        <v>127684</v>
      </c>
      <c r="W649" s="17" t="n">
        <v>854765</v>
      </c>
      <c r="X649" s="17" t="n">
        <v>14.9379069100864</v>
      </c>
      <c r="Y649" s="17" t="n">
        <v>15240</v>
      </c>
      <c r="Z649" s="17" t="n">
        <v>1.25143290710164</v>
      </c>
      <c r="AA649" s="17" t="n">
        <v>13.53</v>
      </c>
      <c r="AB649" s="17" t="n">
        <v>3.37324130573203</v>
      </c>
      <c r="AC649" s="17" t="n">
        <v>1.08067916872467</v>
      </c>
      <c r="AD649" s="17" t="n">
        <v>0.11</v>
      </c>
      <c r="AE649" s="17" t="n">
        <v>1</v>
      </c>
      <c r="AF649" s="17" t="s">
        <v>210</v>
      </c>
      <c r="AG649" s="17" t="s">
        <v>211</v>
      </c>
      <c r="AH649" s="17" t="n">
        <v>0</v>
      </c>
    </row>
    <row r="650" customFormat="false" ht="15" hidden="false" customHeight="false" outlineLevel="0" collapsed="false">
      <c r="A650" s="17" t="n">
        <v>6275</v>
      </c>
      <c r="B650" s="23" t="n">
        <v>45747</v>
      </c>
      <c r="C650" s="17" t="s">
        <v>165</v>
      </c>
      <c r="D650" s="17" t="s">
        <v>113</v>
      </c>
      <c r="E650" s="17" t="n">
        <v>547001</v>
      </c>
      <c r="F650" s="17" t="n">
        <v>547400</v>
      </c>
      <c r="G650" s="17" t="n">
        <v>502984</v>
      </c>
      <c r="H650" s="17" t="n">
        <v>36237</v>
      </c>
      <c r="I650" s="17" t="n">
        <v>6.62466796221579</v>
      </c>
      <c r="J650" s="17" t="n">
        <v>348655</v>
      </c>
      <c r="K650" s="17" t="n">
        <v>348745.5</v>
      </c>
      <c r="L650" s="17" t="n">
        <v>347315</v>
      </c>
      <c r="M650" s="17" t="n">
        <v>298585</v>
      </c>
      <c r="N650" s="17" t="n">
        <v>33302</v>
      </c>
      <c r="O650" s="17" t="n">
        <v>7846</v>
      </c>
      <c r="P650" s="17" t="n">
        <v>660</v>
      </c>
      <c r="Q650" s="17" t="n">
        <v>744</v>
      </c>
      <c r="R650" s="17" t="n">
        <v>338</v>
      </c>
      <c r="S650" s="17" t="n">
        <v>8</v>
      </c>
      <c r="T650" s="17" t="n">
        <v>32</v>
      </c>
      <c r="U650" s="17" t="n">
        <v>0.00917574563686126</v>
      </c>
      <c r="V650" s="17" t="n">
        <v>51383</v>
      </c>
      <c r="W650" s="17" t="n">
        <v>326596</v>
      </c>
      <c r="X650" s="17" t="n">
        <v>15.7328932381291</v>
      </c>
      <c r="Y650" s="17" t="n">
        <v>4068</v>
      </c>
      <c r="Z650" s="17" t="n">
        <v>0.743149433686518</v>
      </c>
      <c r="AA650" s="17" t="n">
        <v>11.66</v>
      </c>
      <c r="AB650" s="17" t="n">
        <v>3.20221630836216</v>
      </c>
      <c r="AC650" s="17" t="n">
        <v>0.384334083836457</v>
      </c>
      <c r="AD650" s="17" t="n">
        <v>0</v>
      </c>
      <c r="AE650" s="17" t="n">
        <v>1</v>
      </c>
      <c r="AF650" s="17" t="s">
        <v>210</v>
      </c>
      <c r="AG650" s="17" t="s">
        <v>211</v>
      </c>
      <c r="AH650" s="17" t="n">
        <v>0</v>
      </c>
    </row>
    <row r="651" customFormat="false" ht="15" hidden="false" customHeight="false" outlineLevel="0" collapsed="false">
      <c r="A651" s="17" t="n">
        <v>6280</v>
      </c>
      <c r="B651" s="23" t="n">
        <v>45747</v>
      </c>
      <c r="C651" s="17" t="s">
        <v>138</v>
      </c>
      <c r="D651" s="17" t="s">
        <v>113</v>
      </c>
      <c r="E651" s="17" t="n">
        <v>88000</v>
      </c>
      <c r="F651" s="17" t="n">
        <v>87834.5</v>
      </c>
      <c r="G651" s="17" t="n">
        <v>77788</v>
      </c>
      <c r="H651" s="17" t="n">
        <v>10007</v>
      </c>
      <c r="I651" s="17" t="n">
        <v>11.3715909090909</v>
      </c>
      <c r="J651" s="17" t="n">
        <v>71713</v>
      </c>
      <c r="K651" s="17" t="n">
        <v>71288.5</v>
      </c>
      <c r="L651" s="17" t="n">
        <v>70787</v>
      </c>
      <c r="M651" s="17" t="n">
        <v>64224</v>
      </c>
      <c r="N651" s="17" t="n">
        <v>3679</v>
      </c>
      <c r="O651" s="17" t="n">
        <v>1399</v>
      </c>
      <c r="P651" s="17" t="n">
        <v>1420</v>
      </c>
      <c r="Q651" s="17" t="n">
        <v>493</v>
      </c>
      <c r="R651" s="17" t="n">
        <v>0</v>
      </c>
      <c r="S651" s="17" t="n">
        <v>-1</v>
      </c>
      <c r="T651" s="17" t="n">
        <v>-4</v>
      </c>
      <c r="U651" s="17" t="n">
        <v>-0.00561100317723055</v>
      </c>
      <c r="V651" s="17" t="n">
        <v>0</v>
      </c>
      <c r="W651" s="17" t="n">
        <v>0</v>
      </c>
      <c r="X651" s="17" t="n">
        <v>0</v>
      </c>
      <c r="Y651" s="17" t="n">
        <v>1132</v>
      </c>
      <c r="Z651" s="17" t="n">
        <v>1.28878743546101</v>
      </c>
      <c r="AA651" s="17" t="n">
        <v>11.47</v>
      </c>
      <c r="AB651" s="17" t="n">
        <v>4.42972145901846</v>
      </c>
      <c r="AC651" s="17" t="n">
        <v>1.29125820980854</v>
      </c>
      <c r="AD651" s="17" t="n">
        <v>0.06</v>
      </c>
      <c r="AE651" s="17" t="n">
        <v>1</v>
      </c>
      <c r="AF651" s="17" t="s">
        <v>210</v>
      </c>
      <c r="AG651" s="17" t="s">
        <v>211</v>
      </c>
      <c r="AH651" s="17" t="n">
        <v>0</v>
      </c>
    </row>
    <row r="652" customFormat="false" ht="15" hidden="false" customHeight="false" outlineLevel="0" collapsed="false">
      <c r="A652" s="17" t="n">
        <v>11971</v>
      </c>
      <c r="B652" s="23" t="n">
        <v>45747</v>
      </c>
      <c r="C652" s="17" t="s">
        <v>134</v>
      </c>
      <c r="D652" s="17" t="s">
        <v>108</v>
      </c>
      <c r="E652" s="17" t="n">
        <v>4058800</v>
      </c>
      <c r="F652" s="17" t="n">
        <v>4068398.5</v>
      </c>
      <c r="G652" s="17" t="n">
        <v>3305747</v>
      </c>
      <c r="H652" s="17" t="n">
        <v>500720</v>
      </c>
      <c r="I652" s="17" t="n">
        <v>12.3366512269636</v>
      </c>
      <c r="J652" s="17" t="n">
        <v>3125754</v>
      </c>
      <c r="K652" s="17" t="n">
        <v>3137043</v>
      </c>
      <c r="L652" s="17" t="n">
        <v>3097140</v>
      </c>
      <c r="M652" s="17" t="n">
        <v>2780638</v>
      </c>
      <c r="N652" s="17" t="n">
        <v>208556</v>
      </c>
      <c r="O652" s="17" t="n">
        <v>7696</v>
      </c>
      <c r="P652" s="17" t="n">
        <v>8085</v>
      </c>
      <c r="Q652" s="17" t="n">
        <v>12615</v>
      </c>
      <c r="R652" s="17" t="n">
        <v>2</v>
      </c>
      <c r="S652" s="17" t="n">
        <v>74</v>
      </c>
      <c r="T652" s="17" t="n">
        <v>296</v>
      </c>
      <c r="U652" s="17" t="n">
        <v>0.00943563731832812</v>
      </c>
      <c r="V652" s="17" t="n">
        <v>457937</v>
      </c>
      <c r="W652" s="17" t="n">
        <v>3363564</v>
      </c>
      <c r="X652" s="17" t="n">
        <v>13.6146361419019</v>
      </c>
      <c r="Y652" s="17" t="n">
        <v>46972</v>
      </c>
      <c r="Z652" s="17" t="n">
        <v>1.15455749971395</v>
      </c>
      <c r="AA652" s="17" t="n">
        <v>9.45</v>
      </c>
      <c r="AB652" s="17" t="n">
        <v>3.24242457260534</v>
      </c>
      <c r="AC652" s="17" t="n">
        <v>0.915427125743101</v>
      </c>
      <c r="AD652" s="17" t="n">
        <v>0.06</v>
      </c>
      <c r="AE652" s="17" t="n">
        <v>1</v>
      </c>
      <c r="AF652" s="17" t="s">
        <v>231</v>
      </c>
      <c r="AG652" s="17" t="s">
        <v>232</v>
      </c>
      <c r="AH652" s="17" t="n">
        <v>0</v>
      </c>
    </row>
    <row r="653" customFormat="false" ht="15" hidden="false" customHeight="false" outlineLevel="0" collapsed="false">
      <c r="A653" s="17" t="n">
        <v>12874</v>
      </c>
      <c r="B653" s="23" t="n">
        <v>45747</v>
      </c>
      <c r="C653" s="17" t="s">
        <v>159</v>
      </c>
      <c r="D653" s="17" t="s">
        <v>108</v>
      </c>
      <c r="E653" s="17" t="n">
        <v>1079094</v>
      </c>
      <c r="F653" s="17" t="n">
        <v>1078846.5</v>
      </c>
      <c r="G653" s="17" t="n">
        <v>929947</v>
      </c>
      <c r="H653" s="17" t="n">
        <v>99521</v>
      </c>
      <c r="I653" s="17" t="n">
        <v>9.22264418113714</v>
      </c>
      <c r="J653" s="17" t="n">
        <v>853286</v>
      </c>
      <c r="K653" s="17" t="n">
        <v>839019</v>
      </c>
      <c r="L653" s="17" t="n">
        <v>844763</v>
      </c>
      <c r="M653" s="17" t="n">
        <v>668513</v>
      </c>
      <c r="N653" s="17" t="n">
        <v>165192</v>
      </c>
      <c r="O653" s="17" t="n">
        <v>4366</v>
      </c>
      <c r="P653" s="17" t="n">
        <v>1396</v>
      </c>
      <c r="Q653" s="17" t="n">
        <v>6414</v>
      </c>
      <c r="R653" s="17" t="n">
        <v>11</v>
      </c>
      <c r="S653" s="17" t="n">
        <v>-2</v>
      </c>
      <c r="T653" s="17" t="n">
        <v>-8</v>
      </c>
      <c r="U653" s="17" t="n">
        <v>-0.000953494497740814</v>
      </c>
      <c r="V653" s="17" t="n">
        <v>113221</v>
      </c>
      <c r="W653" s="17" t="n">
        <v>727538</v>
      </c>
      <c r="X653" s="17" t="n">
        <v>15.5622111834708</v>
      </c>
      <c r="Y653" s="17" t="n">
        <v>9860</v>
      </c>
      <c r="Z653" s="17" t="n">
        <v>0.913939100696902</v>
      </c>
      <c r="AA653" s="17" t="n">
        <v>10.07</v>
      </c>
      <c r="AB653" s="17" t="n">
        <v>3.76276007753566</v>
      </c>
      <c r="AC653" s="17" t="n">
        <v>0.998844467154037</v>
      </c>
      <c r="AD653" s="17" t="n">
        <v>-0.01</v>
      </c>
      <c r="AE653" s="17" t="n">
        <v>1</v>
      </c>
      <c r="AF653" s="17" t="s">
        <v>231</v>
      </c>
      <c r="AG653" s="17" t="s">
        <v>232</v>
      </c>
      <c r="AH653" s="17" t="n">
        <v>0</v>
      </c>
    </row>
    <row r="654" customFormat="false" ht="15" hidden="false" customHeight="false" outlineLevel="0" collapsed="false">
      <c r="A654" s="17" t="n">
        <v>13063</v>
      </c>
      <c r="B654" s="23" t="n">
        <v>45747</v>
      </c>
      <c r="C654" s="17" t="s">
        <v>139</v>
      </c>
      <c r="D654" s="17" t="s">
        <v>108</v>
      </c>
      <c r="E654" s="17" t="n">
        <v>1900245</v>
      </c>
      <c r="F654" s="17" t="n">
        <v>1883828</v>
      </c>
      <c r="G654" s="17" t="n">
        <v>1610029</v>
      </c>
      <c r="H654" s="17" t="n">
        <v>160439</v>
      </c>
      <c r="I654" s="17" t="n">
        <v>8.44306918318427</v>
      </c>
      <c r="J654" s="17" t="n">
        <v>1529827</v>
      </c>
      <c r="K654" s="17" t="n">
        <v>1516423.5</v>
      </c>
      <c r="L654" s="17" t="n">
        <v>1513008</v>
      </c>
      <c r="M654" s="17" t="n">
        <v>1448578</v>
      </c>
      <c r="N654" s="17" t="n">
        <v>66985</v>
      </c>
      <c r="O654" s="17" t="n">
        <v>833</v>
      </c>
      <c r="P654" s="17" t="n">
        <v>1033</v>
      </c>
      <c r="Q654" s="17" t="n">
        <v>6776</v>
      </c>
      <c r="R654" s="17" t="n">
        <v>0</v>
      </c>
      <c r="S654" s="17" t="n">
        <v>46</v>
      </c>
      <c r="T654" s="17" t="n">
        <v>184</v>
      </c>
      <c r="U654" s="17" t="n">
        <v>0.0121338135421932</v>
      </c>
      <c r="V654" s="17" t="n">
        <v>0</v>
      </c>
      <c r="W654" s="17" t="n">
        <v>0</v>
      </c>
      <c r="X654" s="17" t="n">
        <v>0</v>
      </c>
      <c r="Y654" s="17" t="n">
        <v>10800</v>
      </c>
      <c r="Z654" s="17" t="n">
        <v>0.573300747201974</v>
      </c>
      <c r="AA654" s="17" t="n">
        <v>6.89</v>
      </c>
      <c r="AB654" s="17" t="n">
        <v>3.3623212139201</v>
      </c>
      <c r="AC654" s="17" t="n">
        <v>1.09940535759926</v>
      </c>
      <c r="AD654" s="17" t="n">
        <v>0.06</v>
      </c>
      <c r="AE654" s="17" t="n">
        <v>1</v>
      </c>
      <c r="AF654" s="17" t="s">
        <v>241</v>
      </c>
      <c r="AG654" s="17" t="s">
        <v>232</v>
      </c>
      <c r="AH654" s="17" t="n">
        <v>0</v>
      </c>
    </row>
    <row r="655" customFormat="false" ht="15" hidden="false" customHeight="false" outlineLevel="0" collapsed="false">
      <c r="A655" s="17" t="n">
        <v>14134</v>
      </c>
      <c r="B655" s="23" t="n">
        <v>45747</v>
      </c>
      <c r="C655" s="17" t="s">
        <v>155</v>
      </c>
      <c r="D655" s="17" t="s">
        <v>113</v>
      </c>
      <c r="E655" s="17" t="n">
        <v>879312</v>
      </c>
      <c r="F655" s="17" t="n">
        <v>886697</v>
      </c>
      <c r="G655" s="17" t="n">
        <v>701672</v>
      </c>
      <c r="H655" s="17" t="n">
        <v>113111</v>
      </c>
      <c r="I655" s="17" t="n">
        <v>12.8635797077715</v>
      </c>
      <c r="J655" s="17" t="n">
        <v>628000</v>
      </c>
      <c r="K655" s="17" t="n">
        <v>635686.5</v>
      </c>
      <c r="L655" s="17" t="n">
        <v>620968</v>
      </c>
      <c r="M655" s="17" t="n">
        <v>556523</v>
      </c>
      <c r="N655" s="17" t="n">
        <v>25662</v>
      </c>
      <c r="O655" s="17" t="n">
        <v>17648</v>
      </c>
      <c r="P655" s="17" t="n">
        <v>2972</v>
      </c>
      <c r="Q655" s="17" t="n">
        <v>4065</v>
      </c>
      <c r="R655" s="17" t="n">
        <v>0</v>
      </c>
      <c r="S655" s="17" t="n">
        <v>99</v>
      </c>
      <c r="T655" s="17" t="n">
        <v>396</v>
      </c>
      <c r="U655" s="17" t="n">
        <v>0.0622948576066976</v>
      </c>
      <c r="V655" s="17" t="n">
        <v>115680</v>
      </c>
      <c r="W655" s="17" t="n">
        <v>564622</v>
      </c>
      <c r="X655" s="17" t="n">
        <v>20.4880433281027</v>
      </c>
      <c r="Y655" s="17" t="n">
        <v>384</v>
      </c>
      <c r="Z655" s="17" t="n">
        <v>0.0433067891286426</v>
      </c>
      <c r="AA655" s="17" t="n">
        <v>0.34</v>
      </c>
      <c r="AB655" s="17" t="n">
        <v>3.08550914447303</v>
      </c>
      <c r="AC655" s="17" t="n">
        <v>1.11974522292994</v>
      </c>
      <c r="AD655" s="17" t="n">
        <v>0.08</v>
      </c>
      <c r="AE655" s="17" t="n">
        <v>1</v>
      </c>
      <c r="AF655" s="17" t="s">
        <v>241</v>
      </c>
      <c r="AG655" s="17" t="s">
        <v>232</v>
      </c>
      <c r="AH655" s="17" t="n">
        <v>0</v>
      </c>
    </row>
    <row r="656" customFormat="false" ht="15" hidden="false" customHeight="false" outlineLevel="0" collapsed="false">
      <c r="A656" s="17" t="n">
        <v>14136</v>
      </c>
      <c r="B656" s="23" t="n">
        <v>45747</v>
      </c>
      <c r="C656" s="17" t="s">
        <v>153</v>
      </c>
      <c r="D656" s="17" t="s">
        <v>113</v>
      </c>
      <c r="E656" s="17" t="n">
        <v>238304</v>
      </c>
      <c r="F656" s="17" t="n">
        <v>238006</v>
      </c>
      <c r="G656" s="17" t="n">
        <v>203853</v>
      </c>
      <c r="H656" s="17" t="n">
        <v>20010</v>
      </c>
      <c r="I656" s="17" t="n">
        <v>8.39683765274607</v>
      </c>
      <c r="J656" s="17" t="n">
        <v>159676</v>
      </c>
      <c r="K656" s="17" t="n">
        <v>158737.5</v>
      </c>
      <c r="L656" s="17" t="n">
        <v>158054</v>
      </c>
      <c r="M656" s="17" t="n">
        <v>129094</v>
      </c>
      <c r="N656" s="17" t="n">
        <v>15533</v>
      </c>
      <c r="O656" s="17" t="n">
        <v>14735</v>
      </c>
      <c r="P656" s="17" t="n">
        <v>519</v>
      </c>
      <c r="Q656" s="17" t="n">
        <v>923</v>
      </c>
      <c r="R656" s="17" t="n">
        <v>457</v>
      </c>
      <c r="S656" s="17" t="n">
        <v>19</v>
      </c>
      <c r="T656" s="17" t="n">
        <v>76</v>
      </c>
      <c r="U656" s="17" t="n">
        <v>0.0478777856524136</v>
      </c>
      <c r="V656" s="17" t="n">
        <v>28282</v>
      </c>
      <c r="W656" s="17" t="n">
        <v>152289</v>
      </c>
      <c r="X656" s="17" t="n">
        <v>18.5712691001977</v>
      </c>
      <c r="Y656" s="17" t="n">
        <v>1548</v>
      </c>
      <c r="Z656" s="17" t="n">
        <v>0.650403771333496</v>
      </c>
      <c r="AA656" s="17" t="n">
        <v>7.95</v>
      </c>
      <c r="AB656" s="17" t="n">
        <v>4.02615024053287</v>
      </c>
      <c r="AC656" s="17" t="n">
        <v>1.01580700919362</v>
      </c>
      <c r="AD656" s="17" t="n">
        <v>0.01</v>
      </c>
      <c r="AE656" s="17" t="n">
        <v>1</v>
      </c>
      <c r="AF656" s="17" t="s">
        <v>241</v>
      </c>
      <c r="AG656" s="17" t="s">
        <v>232</v>
      </c>
      <c r="AH656" s="17" t="n">
        <v>1</v>
      </c>
    </row>
    <row r="657" customFormat="false" ht="15" hidden="false" customHeight="false" outlineLevel="0" collapsed="false">
      <c r="A657" s="17" t="n">
        <v>14140</v>
      </c>
      <c r="B657" s="23" t="n">
        <v>45747</v>
      </c>
      <c r="C657" s="17" t="s">
        <v>120</v>
      </c>
      <c r="D657" s="17" t="s">
        <v>113</v>
      </c>
      <c r="E657" s="17" t="n">
        <v>1555515</v>
      </c>
      <c r="F657" s="17" t="n">
        <v>1556915.5</v>
      </c>
      <c r="G657" s="17" t="n">
        <v>1282177</v>
      </c>
      <c r="H657" s="17" t="n">
        <v>138738</v>
      </c>
      <c r="I657" s="17" t="n">
        <v>8.9191039623533</v>
      </c>
      <c r="J657" s="17" t="n">
        <v>1097749</v>
      </c>
      <c r="K657" s="17" t="n">
        <v>1099160.5</v>
      </c>
      <c r="L657" s="17" t="n">
        <v>1088936</v>
      </c>
      <c r="M657" s="17" t="n">
        <v>973336</v>
      </c>
      <c r="N657" s="17" t="n">
        <v>92164</v>
      </c>
      <c r="O657" s="17" t="n">
        <v>1649</v>
      </c>
      <c r="P657" s="17" t="n">
        <v>6970</v>
      </c>
      <c r="Q657" s="17" t="n">
        <v>643</v>
      </c>
      <c r="R657" s="17" t="n">
        <v>0</v>
      </c>
      <c r="S657" s="17" t="n">
        <v>5</v>
      </c>
      <c r="T657" s="17" t="n">
        <v>20</v>
      </c>
      <c r="U657" s="17" t="n">
        <v>0.00181957048129004</v>
      </c>
      <c r="V657" s="17" t="n">
        <v>0</v>
      </c>
      <c r="W657" s="17" t="n">
        <v>0</v>
      </c>
      <c r="X657" s="17" t="n">
        <v>0</v>
      </c>
      <c r="Y657" s="17" t="n">
        <v>3504</v>
      </c>
      <c r="Z657" s="17" t="n">
        <v>0.225060383816591</v>
      </c>
      <c r="AA657" s="17" t="n">
        <v>2.58</v>
      </c>
      <c r="AB657" s="17" t="n">
        <v>2.54652856281624</v>
      </c>
      <c r="AC657" s="17" t="n">
        <v>0.802824689432648</v>
      </c>
      <c r="AD657" s="17" t="n">
        <v>0.06</v>
      </c>
      <c r="AE657" s="17" t="n">
        <v>1</v>
      </c>
      <c r="AF657" s="17" t="s">
        <v>241</v>
      </c>
      <c r="AG657" s="17" t="s">
        <v>232</v>
      </c>
      <c r="AH657" s="17" t="n">
        <v>0</v>
      </c>
    </row>
    <row r="658" customFormat="false" ht="15" hidden="false" customHeight="false" outlineLevel="0" collapsed="false">
      <c r="A658" s="17" t="n">
        <v>14158</v>
      </c>
      <c r="B658" s="23" t="n">
        <v>45747</v>
      </c>
      <c r="C658" s="17" t="s">
        <v>112</v>
      </c>
      <c r="D658" s="17" t="s">
        <v>113</v>
      </c>
      <c r="E658" s="17" t="n">
        <v>1524011</v>
      </c>
      <c r="F658" s="17" t="n">
        <v>1525800.5</v>
      </c>
      <c r="G658" s="17" t="n">
        <v>1185295</v>
      </c>
      <c r="H658" s="17" t="n">
        <v>85660</v>
      </c>
      <c r="I658" s="17" t="n">
        <v>5.62069433882039</v>
      </c>
      <c r="J658" s="17" t="n">
        <v>1167376</v>
      </c>
      <c r="K658" s="17" t="n">
        <v>1165239</v>
      </c>
      <c r="L658" s="17" t="n">
        <v>1159266</v>
      </c>
      <c r="M658" s="17" t="n">
        <v>1013094</v>
      </c>
      <c r="N658" s="17" t="n">
        <v>34450</v>
      </c>
      <c r="O658" s="17" t="n">
        <v>2738</v>
      </c>
      <c r="P658" s="17" t="n">
        <v>14964</v>
      </c>
      <c r="Q658" s="17" t="n">
        <v>2204</v>
      </c>
      <c r="R658" s="17" t="n">
        <v>25</v>
      </c>
      <c r="S658" s="17" t="n">
        <v>-1</v>
      </c>
      <c r="T658" s="17" t="n">
        <v>-4</v>
      </c>
      <c r="U658" s="17" t="n">
        <v>-0.000343277216090433</v>
      </c>
      <c r="V658" s="17" t="n">
        <v>123859</v>
      </c>
      <c r="W658" s="17" t="n">
        <v>985300</v>
      </c>
      <c r="X658" s="17" t="n">
        <v>12.5706891302142</v>
      </c>
      <c r="Y658" s="17" t="n">
        <v>10856</v>
      </c>
      <c r="Z658" s="17" t="n">
        <v>0.711495375706064</v>
      </c>
      <c r="AA658" s="17" t="n">
        <v>12.92</v>
      </c>
      <c r="AB658" s="17" t="n">
        <v>2.93127630720553</v>
      </c>
      <c r="AC658" s="17" t="n">
        <v>0.694720467098861</v>
      </c>
      <c r="AD658" s="17" t="n">
        <v>0.06</v>
      </c>
      <c r="AE658" s="17" t="n">
        <v>1</v>
      </c>
      <c r="AF658" s="17" t="s">
        <v>231</v>
      </c>
      <c r="AG658" s="17" t="s">
        <v>232</v>
      </c>
      <c r="AH658" s="17" t="n">
        <v>0</v>
      </c>
    </row>
    <row r="659" customFormat="false" ht="15" hidden="false" customHeight="false" outlineLevel="0" collapsed="false">
      <c r="A659" s="17" t="n">
        <v>14168</v>
      </c>
      <c r="B659" s="23" t="n">
        <v>45747</v>
      </c>
      <c r="C659" s="17" t="s">
        <v>162</v>
      </c>
      <c r="D659" s="17" t="s">
        <v>113</v>
      </c>
      <c r="E659" s="17" t="n">
        <v>374654</v>
      </c>
      <c r="F659" s="17" t="n">
        <v>372029.5</v>
      </c>
      <c r="G659" s="17" t="n">
        <v>330872</v>
      </c>
      <c r="H659" s="17" t="n">
        <v>38318</v>
      </c>
      <c r="I659" s="17" t="n">
        <v>10.2275699712268</v>
      </c>
      <c r="J659" s="17" t="n">
        <v>273066</v>
      </c>
      <c r="K659" s="17" t="n">
        <v>274724</v>
      </c>
      <c r="L659" s="17" t="n">
        <v>269444</v>
      </c>
      <c r="M659" s="17" t="n">
        <v>233845</v>
      </c>
      <c r="N659" s="17" t="n">
        <v>12139</v>
      </c>
      <c r="O659" s="17" t="n">
        <v>10316</v>
      </c>
      <c r="P659" s="17" t="n">
        <v>890</v>
      </c>
      <c r="Q659" s="17" t="n">
        <v>367</v>
      </c>
      <c r="R659" s="17" t="n">
        <v>0</v>
      </c>
      <c r="S659" s="17" t="n">
        <v>9</v>
      </c>
      <c r="T659" s="17" t="n">
        <v>36</v>
      </c>
      <c r="U659" s="17" t="n">
        <v>0.0131040608028421</v>
      </c>
      <c r="V659" s="17" t="n">
        <v>45768</v>
      </c>
      <c r="W659" s="17" t="n">
        <v>273861</v>
      </c>
      <c r="X659" s="17" t="n">
        <v>16.7121276852126</v>
      </c>
      <c r="Y659" s="17" t="n">
        <v>3492</v>
      </c>
      <c r="Z659" s="17" t="n">
        <v>0.938635242635329</v>
      </c>
      <c r="AA659" s="17" t="n">
        <v>9.17</v>
      </c>
      <c r="AB659" s="17" t="n">
        <v>4.15331323479868</v>
      </c>
      <c r="AC659" s="17" t="n">
        <v>1.32641925395326</v>
      </c>
      <c r="AD659" s="17" t="n">
        <v>0.09</v>
      </c>
      <c r="AE659" s="17" t="n">
        <v>1</v>
      </c>
      <c r="AF659" s="17" t="s">
        <v>231</v>
      </c>
      <c r="AG659" s="17" t="s">
        <v>232</v>
      </c>
      <c r="AH659" s="17" t="n">
        <v>0</v>
      </c>
    </row>
    <row r="660" customFormat="false" ht="15" hidden="false" customHeight="false" outlineLevel="0" collapsed="false">
      <c r="A660" s="17" t="n">
        <v>17115</v>
      </c>
      <c r="B660" s="23" t="n">
        <v>45747</v>
      </c>
      <c r="C660" s="17" t="s">
        <v>143</v>
      </c>
      <c r="D660" s="17" t="s">
        <v>108</v>
      </c>
      <c r="E660" s="17" t="n">
        <v>1063675</v>
      </c>
      <c r="F660" s="17" t="n">
        <v>1052822.5</v>
      </c>
      <c r="G660" s="17" t="n">
        <v>802777</v>
      </c>
      <c r="H660" s="17" t="n">
        <v>95052</v>
      </c>
      <c r="I660" s="17" t="n">
        <v>8.93618821538534</v>
      </c>
      <c r="J660" s="17" t="n">
        <v>878855</v>
      </c>
      <c r="K660" s="17" t="n">
        <v>875708</v>
      </c>
      <c r="L660" s="17" t="n">
        <v>870591</v>
      </c>
      <c r="M660" s="17" t="n">
        <v>833023</v>
      </c>
      <c r="N660" s="17" t="n">
        <v>38646</v>
      </c>
      <c r="O660" s="17" t="n">
        <v>6322</v>
      </c>
      <c r="P660" s="17" t="n">
        <v>2554</v>
      </c>
      <c r="Q660" s="17" t="n">
        <v>381</v>
      </c>
      <c r="R660" s="17" t="n">
        <v>0</v>
      </c>
      <c r="S660" s="17" t="n">
        <v>413</v>
      </c>
      <c r="T660" s="17" t="n">
        <v>1652</v>
      </c>
      <c r="U660" s="17" t="n">
        <v>0.188647357338291</v>
      </c>
      <c r="V660" s="17" t="n">
        <v>113512</v>
      </c>
      <c r="W660" s="17" t="n">
        <v>768232</v>
      </c>
      <c r="X660" s="17" t="n">
        <v>14.7757448270835</v>
      </c>
      <c r="Y660" s="17" t="n">
        <v>5752</v>
      </c>
      <c r="Z660" s="17" t="n">
        <v>0.546340907417917</v>
      </c>
      <c r="AA660" s="17" t="n">
        <v>6.15</v>
      </c>
      <c r="AB660" s="17" t="n">
        <v>2.91572855437526</v>
      </c>
      <c r="AC660" s="17" t="n">
        <v>0.940314386332216</v>
      </c>
      <c r="AD660" s="17" t="n">
        <v>0.05</v>
      </c>
      <c r="AE660" s="17" t="n">
        <v>1</v>
      </c>
      <c r="AF660" s="17" t="s">
        <v>241</v>
      </c>
      <c r="AG660" s="17" t="s">
        <v>232</v>
      </c>
      <c r="AH660" s="17" t="n">
        <v>0</v>
      </c>
    </row>
    <row r="661" customFormat="false" ht="15" hidden="false" customHeight="false" outlineLevel="0" collapsed="false">
      <c r="A661" s="17" t="n">
        <v>17180</v>
      </c>
      <c r="B661" s="23" t="n">
        <v>45747</v>
      </c>
      <c r="C661" s="17" t="s">
        <v>127</v>
      </c>
      <c r="D661" s="17" t="s">
        <v>116</v>
      </c>
      <c r="E661" s="17" t="n">
        <v>1590319</v>
      </c>
      <c r="F661" s="17" t="n">
        <v>1595238</v>
      </c>
      <c r="G661" s="17" t="n">
        <v>1298331</v>
      </c>
      <c r="H661" s="17" t="n">
        <v>145819</v>
      </c>
      <c r="I661" s="17" t="n">
        <v>9.16916668919883</v>
      </c>
      <c r="J661" s="17" t="n">
        <v>1397284</v>
      </c>
      <c r="K661" s="17" t="n">
        <v>1408168</v>
      </c>
      <c r="L661" s="17" t="n">
        <v>1383427</v>
      </c>
      <c r="M661" s="17" t="n">
        <v>1173253</v>
      </c>
      <c r="N661" s="17" t="n">
        <v>39933</v>
      </c>
      <c r="O661" s="17" t="n">
        <v>158298</v>
      </c>
      <c r="P661" s="17" t="n">
        <v>5853</v>
      </c>
      <c r="Q661" s="17" t="n">
        <v>9150</v>
      </c>
      <c r="R661" s="17" t="n">
        <v>20</v>
      </c>
      <c r="S661" s="17" t="n">
        <v>66</v>
      </c>
      <c r="T661" s="17" t="n">
        <v>264</v>
      </c>
      <c r="U661" s="17" t="n">
        <v>0.0187477630509996</v>
      </c>
      <c r="V661" s="17" t="n">
        <v>169341</v>
      </c>
      <c r="W661" s="17" t="n">
        <v>1059220</v>
      </c>
      <c r="X661" s="17" t="n">
        <v>15.9873302996545</v>
      </c>
      <c r="Y661" s="17" t="n">
        <v>4836</v>
      </c>
      <c r="Z661" s="17" t="n">
        <v>0.303152256904612</v>
      </c>
      <c r="AA661" s="17" t="n">
        <v>3.34</v>
      </c>
      <c r="AB661" s="17" t="n">
        <v>2.76765129492949</v>
      </c>
      <c r="AC661" s="17" t="n">
        <v>0.991709630969796</v>
      </c>
      <c r="AD661" s="17" t="n">
        <v>0.01</v>
      </c>
      <c r="AE661" s="17" t="n">
        <v>1</v>
      </c>
      <c r="AF661" s="17" t="s">
        <v>241</v>
      </c>
      <c r="AG661" s="17" t="s">
        <v>232</v>
      </c>
      <c r="AH661" s="17" t="n">
        <v>0</v>
      </c>
    </row>
    <row r="662" customFormat="false" ht="15" hidden="false" customHeight="false" outlineLevel="0" collapsed="false">
      <c r="A662" s="17" t="n">
        <v>17443</v>
      </c>
      <c r="B662" s="23" t="n">
        <v>45747</v>
      </c>
      <c r="C662" s="17" t="s">
        <v>132</v>
      </c>
      <c r="D662" s="17" t="s">
        <v>116</v>
      </c>
      <c r="E662" s="17" t="n">
        <v>363289</v>
      </c>
      <c r="F662" s="17" t="n">
        <v>362646.5</v>
      </c>
      <c r="G662" s="17" t="n">
        <v>297631</v>
      </c>
      <c r="H662" s="17" t="n">
        <v>39494</v>
      </c>
      <c r="I662" s="17" t="n">
        <v>10.8712347469921</v>
      </c>
      <c r="J662" s="17" t="n">
        <v>198505</v>
      </c>
      <c r="K662" s="17" t="n">
        <v>198347</v>
      </c>
      <c r="L662" s="17" t="n">
        <v>196931</v>
      </c>
      <c r="M662" s="17" t="n">
        <v>196634</v>
      </c>
      <c r="N662" s="17" t="n">
        <v>0</v>
      </c>
      <c r="O662" s="17" t="n">
        <v>871</v>
      </c>
      <c r="P662" s="17" t="n">
        <v>931</v>
      </c>
      <c r="Q662" s="17" t="n">
        <v>1910</v>
      </c>
      <c r="R662" s="17" t="n">
        <v>0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-1956</v>
      </c>
      <c r="Z662" s="17" t="n">
        <v>-0.539368227736928</v>
      </c>
      <c r="AA662" s="17" t="n">
        <v>-4.99</v>
      </c>
      <c r="AB662" s="17" t="n">
        <v>1.22253760700585</v>
      </c>
      <c r="AC662" s="17" t="n">
        <v>0.792927130298985</v>
      </c>
      <c r="AD662" s="17" t="n">
        <v>0.07</v>
      </c>
      <c r="AE662" s="17" t="n">
        <v>1</v>
      </c>
      <c r="AF662" s="17" t="s">
        <v>241</v>
      </c>
      <c r="AG662" s="17" t="s">
        <v>232</v>
      </c>
      <c r="AH662" s="17" t="n">
        <v>1</v>
      </c>
    </row>
    <row r="663" customFormat="false" ht="15" hidden="false" customHeight="false" outlineLevel="0" collapsed="false">
      <c r="A663" s="17" t="n">
        <v>17658</v>
      </c>
      <c r="B663" s="23" t="n">
        <v>45747</v>
      </c>
      <c r="C663" s="17" t="s">
        <v>144</v>
      </c>
      <c r="D663" s="17" t="s">
        <v>108</v>
      </c>
      <c r="E663" s="17" t="n">
        <v>2028519</v>
      </c>
      <c r="F663" s="17" t="n">
        <v>2008903</v>
      </c>
      <c r="G663" s="17" t="n">
        <v>1589312</v>
      </c>
      <c r="H663" s="17" t="n">
        <v>229958</v>
      </c>
      <c r="I663" s="17" t="n">
        <v>11.3362507326774</v>
      </c>
      <c r="J663" s="17" t="n">
        <v>1450096</v>
      </c>
      <c r="K663" s="17" t="n">
        <v>1441661.5</v>
      </c>
      <c r="L663" s="17" t="n">
        <v>1440031</v>
      </c>
      <c r="M663" s="17" t="n">
        <v>1246975</v>
      </c>
      <c r="N663" s="17" t="n">
        <v>107150</v>
      </c>
      <c r="O663" s="17" t="n">
        <v>79935</v>
      </c>
      <c r="P663" s="17" t="n">
        <v>10604</v>
      </c>
      <c r="Q663" s="17" t="n">
        <v>8257</v>
      </c>
      <c r="R663" s="17" t="n">
        <v>43</v>
      </c>
      <c r="S663" s="17" t="n">
        <v>102</v>
      </c>
      <c r="T663" s="17" t="n">
        <v>408</v>
      </c>
      <c r="U663" s="17" t="n">
        <v>0.0283006794590825</v>
      </c>
      <c r="V663" s="17" t="n">
        <v>0</v>
      </c>
      <c r="W663" s="17" t="n">
        <v>0</v>
      </c>
      <c r="X663" s="17" t="n">
        <v>0</v>
      </c>
      <c r="Y663" s="17" t="n">
        <v>6768</v>
      </c>
      <c r="Z663" s="17" t="n">
        <v>0.336900288366337</v>
      </c>
      <c r="AA663" s="17" t="n">
        <v>3</v>
      </c>
      <c r="AB663" s="17" t="n">
        <v>3.17195294561779</v>
      </c>
      <c r="AC663" s="17" t="n">
        <v>0.69409197735874</v>
      </c>
      <c r="AD663" s="17" t="n">
        <v>0.12</v>
      </c>
      <c r="AE663" s="17" t="n">
        <v>1</v>
      </c>
      <c r="AF663" s="17" t="s">
        <v>241</v>
      </c>
      <c r="AG663" s="17" t="s">
        <v>232</v>
      </c>
      <c r="AH663" s="17" t="n">
        <v>0</v>
      </c>
    </row>
    <row r="664" customFormat="false" ht="15" hidden="false" customHeight="false" outlineLevel="0" collapsed="false">
      <c r="A664" s="17" t="n">
        <v>17741</v>
      </c>
      <c r="B664" s="23" t="n">
        <v>45747</v>
      </c>
      <c r="C664" s="17" t="s">
        <v>161</v>
      </c>
      <c r="D664" s="17" t="s">
        <v>108</v>
      </c>
      <c r="E664" s="17" t="n">
        <v>2702374</v>
      </c>
      <c r="F664" s="17" t="n">
        <v>1935184.5</v>
      </c>
      <c r="G664" s="17" t="n">
        <v>2270619</v>
      </c>
      <c r="H664" s="17" t="n">
        <v>244064</v>
      </c>
      <c r="I664" s="17" t="n">
        <v>9.03146640694441</v>
      </c>
      <c r="J664" s="17" t="n">
        <v>2221970</v>
      </c>
      <c r="K664" s="17" t="n">
        <v>1607480.5</v>
      </c>
      <c r="L664" s="17" t="n">
        <v>2206049</v>
      </c>
      <c r="M664" s="17" t="n">
        <v>1950768</v>
      </c>
      <c r="N664" s="17" t="n">
        <v>226181</v>
      </c>
      <c r="O664" s="17" t="n">
        <v>6255</v>
      </c>
      <c r="P664" s="17" t="n">
        <v>9808</v>
      </c>
      <c r="Q664" s="17" t="n">
        <v>5724</v>
      </c>
      <c r="R664" s="17" t="n">
        <v>0</v>
      </c>
      <c r="S664" s="17" t="n">
        <v>32</v>
      </c>
      <c r="T664" s="17" t="n">
        <v>128</v>
      </c>
      <c r="U664" s="17" t="n">
        <v>0.00796277155461606</v>
      </c>
      <c r="V664" s="17" t="n">
        <v>0</v>
      </c>
      <c r="W664" s="17" t="n">
        <v>0</v>
      </c>
      <c r="X664" s="17" t="n">
        <v>0</v>
      </c>
      <c r="Y664" s="17" t="n">
        <v>12340</v>
      </c>
      <c r="Z664" s="17" t="n">
        <v>0.637665297546565</v>
      </c>
      <c r="AA664" s="17" t="n">
        <v>6.31</v>
      </c>
      <c r="AB664" s="17" t="n">
        <v>4.89910008789424</v>
      </c>
      <c r="AC664" s="17" t="n">
        <v>0.716526325737971</v>
      </c>
      <c r="AD664" s="17" t="n">
        <v>-0.16</v>
      </c>
      <c r="AE664" s="17" t="n">
        <v>1</v>
      </c>
      <c r="AF664" s="17" t="s">
        <v>241</v>
      </c>
      <c r="AG664" s="17" t="s">
        <v>232</v>
      </c>
      <c r="AH664" s="17" t="n">
        <v>0</v>
      </c>
    </row>
    <row r="665" customFormat="false" ht="15" hidden="false" customHeight="false" outlineLevel="0" collapsed="false">
      <c r="A665" s="17" t="n">
        <v>17743</v>
      </c>
      <c r="B665" s="23" t="n">
        <v>45747</v>
      </c>
      <c r="C665" s="17" t="s">
        <v>129</v>
      </c>
      <c r="D665" s="17" t="s">
        <v>108</v>
      </c>
      <c r="E665" s="17" t="n">
        <v>1421036</v>
      </c>
      <c r="F665" s="17" t="n">
        <v>1416319</v>
      </c>
      <c r="G665" s="17" t="n">
        <v>1011028</v>
      </c>
      <c r="H665" s="17" t="n">
        <v>126472</v>
      </c>
      <c r="I665" s="17" t="n">
        <v>8.89998564427643</v>
      </c>
      <c r="J665" s="17" t="n">
        <v>1133534</v>
      </c>
      <c r="K665" s="17" t="n">
        <v>1134821.5</v>
      </c>
      <c r="L665" s="17" t="n">
        <v>1128756</v>
      </c>
      <c r="M665" s="17" t="n">
        <v>1096181</v>
      </c>
      <c r="N665" s="17" t="n">
        <v>16286</v>
      </c>
      <c r="O665" s="17" t="n">
        <v>10447</v>
      </c>
      <c r="P665" s="17" t="n">
        <v>757</v>
      </c>
      <c r="Q665" s="17" t="n">
        <v>6382</v>
      </c>
      <c r="R665" s="17" t="n">
        <v>0</v>
      </c>
      <c r="S665" s="17" t="n">
        <v>0</v>
      </c>
      <c r="T665" s="17" t="n">
        <v>0</v>
      </c>
      <c r="U665" s="17" t="n">
        <v>0</v>
      </c>
      <c r="V665" s="17" t="n">
        <v>0</v>
      </c>
      <c r="W665" s="17" t="n">
        <v>0</v>
      </c>
      <c r="X665" s="17" t="n">
        <v>0</v>
      </c>
      <c r="Y665" s="17" t="n">
        <v>-188</v>
      </c>
      <c r="Z665" s="17" t="n">
        <v>-0.0132738457932147</v>
      </c>
      <c r="AA665" s="17" t="n">
        <v>-0.15</v>
      </c>
      <c r="AB665" s="17" t="n">
        <v>2.04173672753816</v>
      </c>
      <c r="AC665" s="17" t="n">
        <v>0.421513602591541</v>
      </c>
      <c r="AD665" s="17" t="n">
        <v>0</v>
      </c>
      <c r="AE665" s="17" t="n">
        <v>1</v>
      </c>
      <c r="AF665" s="17" t="s">
        <v>241</v>
      </c>
      <c r="AG665" s="17" t="s">
        <v>232</v>
      </c>
      <c r="AH665" s="17" t="n">
        <v>1</v>
      </c>
    </row>
    <row r="666" customFormat="false" ht="15" hidden="false" customHeight="false" outlineLevel="0" collapsed="false">
      <c r="A666" s="17" t="n">
        <v>17749</v>
      </c>
      <c r="B666" s="23" t="n">
        <v>45747</v>
      </c>
      <c r="C666" s="17" t="s">
        <v>156</v>
      </c>
      <c r="D666" s="17" t="s">
        <v>108</v>
      </c>
      <c r="E666" s="17" t="n">
        <v>1415126</v>
      </c>
      <c r="F666" s="17" t="n">
        <v>1407856</v>
      </c>
      <c r="G666" s="17" t="n">
        <v>1106043</v>
      </c>
      <c r="H666" s="17" t="n">
        <v>197514</v>
      </c>
      <c r="I666" s="17" t="n">
        <v>13.9573437276963</v>
      </c>
      <c r="J666" s="17" t="n">
        <v>833371</v>
      </c>
      <c r="K666" s="17" t="n">
        <v>830011.5</v>
      </c>
      <c r="L666" s="17" t="n">
        <v>821393</v>
      </c>
      <c r="M666" s="17" t="n">
        <v>756331</v>
      </c>
      <c r="N666" s="17" t="n">
        <v>55321</v>
      </c>
      <c r="O666" s="17" t="n">
        <v>11040</v>
      </c>
      <c r="P666" s="17" t="n">
        <v>953</v>
      </c>
      <c r="Q666" s="17" t="n">
        <v>750</v>
      </c>
      <c r="R666" s="17" t="n">
        <v>90</v>
      </c>
      <c r="S666" s="17" t="n">
        <v>1</v>
      </c>
      <c r="T666" s="17" t="n">
        <v>4</v>
      </c>
      <c r="U666" s="17" t="n">
        <v>0.000481921033624233</v>
      </c>
      <c r="V666" s="17" t="n">
        <v>0</v>
      </c>
      <c r="W666" s="17" t="n">
        <v>0</v>
      </c>
      <c r="X666" s="17" t="n">
        <v>0</v>
      </c>
      <c r="Y666" s="17" t="n">
        <v>6240</v>
      </c>
      <c r="Z666" s="17" t="n">
        <v>0.443227148231069</v>
      </c>
      <c r="AA666" s="17" t="n">
        <v>3.22</v>
      </c>
      <c r="AB666" s="17" t="n">
        <v>2.66400103962503</v>
      </c>
      <c r="AC666" s="17" t="n">
        <v>1.43729503426445</v>
      </c>
      <c r="AD666" s="17" t="n">
        <v>0.07</v>
      </c>
      <c r="AE666" s="17" t="n">
        <v>1</v>
      </c>
      <c r="AF666" s="17" t="s">
        <v>241</v>
      </c>
      <c r="AG666" s="17" t="s">
        <v>232</v>
      </c>
      <c r="AH666" s="17" t="n">
        <v>1</v>
      </c>
    </row>
    <row r="667" customFormat="false" ht="15" hidden="false" customHeight="false" outlineLevel="0" collapsed="false">
      <c r="A667" s="17" t="n">
        <v>17751</v>
      </c>
      <c r="B667" s="23" t="n">
        <v>45747</v>
      </c>
      <c r="C667" s="17" t="s">
        <v>125</v>
      </c>
      <c r="D667" s="17" t="s">
        <v>108</v>
      </c>
      <c r="E667" s="17" t="n">
        <v>1694530</v>
      </c>
      <c r="F667" s="17" t="n">
        <v>1678171</v>
      </c>
      <c r="G667" s="17" t="n">
        <v>1333884</v>
      </c>
      <c r="H667" s="17" t="n">
        <v>150042</v>
      </c>
      <c r="I667" s="17" t="n">
        <v>8.85449062571923</v>
      </c>
      <c r="J667" s="17" t="n">
        <v>1410815</v>
      </c>
      <c r="K667" s="17" t="n">
        <v>1393004</v>
      </c>
      <c r="L667" s="17" t="n">
        <v>1397577</v>
      </c>
      <c r="M667" s="17" t="n">
        <v>1197971</v>
      </c>
      <c r="N667" s="17" t="n">
        <v>138929</v>
      </c>
      <c r="O667" s="17" t="n">
        <v>2198</v>
      </c>
      <c r="P667" s="17" t="n">
        <v>2675</v>
      </c>
      <c r="Q667" s="17" t="n">
        <v>7685</v>
      </c>
      <c r="R667" s="17" t="n">
        <v>0</v>
      </c>
      <c r="S667" s="17" t="n">
        <v>-25</v>
      </c>
      <c r="T667" s="17" t="n">
        <v>-100</v>
      </c>
      <c r="U667" s="17" t="n">
        <v>-0.00717873028361728</v>
      </c>
      <c r="V667" s="17" t="n">
        <v>171902</v>
      </c>
      <c r="W667" s="17" t="n">
        <v>1387491</v>
      </c>
      <c r="X667" s="17" t="n">
        <v>12.3894136970979</v>
      </c>
      <c r="Y667" s="17" t="n">
        <v>6068</v>
      </c>
      <c r="Z667" s="17" t="n">
        <v>0.361584129388483</v>
      </c>
      <c r="AA667" s="17" t="n">
        <v>4.1</v>
      </c>
      <c r="AB667" s="17" t="n">
        <v>2.79025458624727</v>
      </c>
      <c r="AC667" s="17" t="n">
        <v>0.938322884290286</v>
      </c>
      <c r="AD667" s="17" t="n">
        <v>0.05</v>
      </c>
      <c r="AE667" s="17" t="n">
        <v>1</v>
      </c>
      <c r="AF667" s="17" t="s">
        <v>241</v>
      </c>
      <c r="AG667" s="17" t="s">
        <v>232</v>
      </c>
      <c r="AH667" s="17" t="n">
        <v>0</v>
      </c>
    </row>
    <row r="668" customFormat="false" ht="15" hidden="false" customHeight="false" outlineLevel="0" collapsed="false">
      <c r="A668" s="17" t="n">
        <v>17897</v>
      </c>
      <c r="B668" s="23" t="n">
        <v>45747</v>
      </c>
      <c r="C668" s="17" t="s">
        <v>149</v>
      </c>
      <c r="D668" s="17" t="s">
        <v>108</v>
      </c>
      <c r="E668" s="17" t="n">
        <v>1759715</v>
      </c>
      <c r="F668" s="17" t="n">
        <v>1762343</v>
      </c>
      <c r="G668" s="17" t="n">
        <v>1345096</v>
      </c>
      <c r="H668" s="17" t="n">
        <v>219109</v>
      </c>
      <c r="I668" s="17" t="n">
        <v>12.4513912764283</v>
      </c>
      <c r="J668" s="17" t="n">
        <v>1470647</v>
      </c>
      <c r="K668" s="17" t="n">
        <v>1469846.5</v>
      </c>
      <c r="L668" s="17" t="n">
        <v>1461583</v>
      </c>
      <c r="M668" s="17" t="n">
        <v>1370211</v>
      </c>
      <c r="N668" s="17" t="n">
        <v>82917</v>
      </c>
      <c r="O668" s="17" t="n">
        <v>3414</v>
      </c>
      <c r="P668" s="17" t="n">
        <v>4816</v>
      </c>
      <c r="Q668" s="17" t="n">
        <v>8545</v>
      </c>
      <c r="R668" s="17" t="n">
        <v>20</v>
      </c>
      <c r="S668" s="17" t="n">
        <v>43</v>
      </c>
      <c r="T668" s="17" t="n">
        <v>172</v>
      </c>
      <c r="U668" s="17" t="n">
        <v>0.0117019022054344</v>
      </c>
      <c r="V668" s="17" t="n">
        <v>237673</v>
      </c>
      <c r="W668" s="17" t="n">
        <v>1350825</v>
      </c>
      <c r="X668" s="17" t="n">
        <v>17.5946551181685</v>
      </c>
      <c r="Y668" s="17" t="n">
        <v>7708</v>
      </c>
      <c r="Z668" s="17" t="n">
        <v>0.437372293588705</v>
      </c>
      <c r="AA668" s="17" t="n">
        <v>3.55</v>
      </c>
      <c r="AB668" s="17" t="n">
        <v>2.67229101981083</v>
      </c>
      <c r="AC668" s="17" t="n">
        <v>0.616327371558233</v>
      </c>
      <c r="AD668" s="17" t="n">
        <v>0.04</v>
      </c>
      <c r="AE668" s="17" t="n">
        <v>1</v>
      </c>
      <c r="AF668" s="17" t="s">
        <v>241</v>
      </c>
      <c r="AG668" s="17" t="s">
        <v>232</v>
      </c>
      <c r="AH668" s="17" t="n">
        <v>0</v>
      </c>
    </row>
    <row r="669" customFormat="false" ht="15" hidden="false" customHeight="false" outlineLevel="0" collapsed="false">
      <c r="A669" s="17" t="n">
        <v>17951</v>
      </c>
      <c r="B669" s="23" t="n">
        <v>45747</v>
      </c>
      <c r="C669" s="17" t="s">
        <v>136</v>
      </c>
      <c r="D669" s="17" t="s">
        <v>116</v>
      </c>
      <c r="E669" s="17" t="n">
        <v>856737</v>
      </c>
      <c r="F669" s="17" t="n">
        <v>839360</v>
      </c>
      <c r="G669" s="17" t="n">
        <v>714191</v>
      </c>
      <c r="H669" s="17" t="n">
        <v>68926</v>
      </c>
      <c r="I669" s="17" t="n">
        <v>8.04517605752991</v>
      </c>
      <c r="J669" s="17" t="n">
        <v>656065</v>
      </c>
      <c r="K669" s="17" t="n">
        <v>636941</v>
      </c>
      <c r="L669" s="17" t="n">
        <v>650587</v>
      </c>
      <c r="M669" s="17" t="n">
        <v>602633</v>
      </c>
      <c r="N669" s="17" t="n">
        <v>35790</v>
      </c>
      <c r="O669" s="17" t="n">
        <v>1548</v>
      </c>
      <c r="P669" s="17" t="n">
        <v>152</v>
      </c>
      <c r="Q669" s="17" t="n">
        <v>25</v>
      </c>
      <c r="R669" s="17" t="n">
        <v>0</v>
      </c>
      <c r="S669" s="17" t="n">
        <v>2</v>
      </c>
      <c r="T669" s="17" t="n">
        <v>8</v>
      </c>
      <c r="U669" s="17" t="n">
        <v>0.00125600330328869</v>
      </c>
      <c r="V669" s="17" t="n">
        <v>85580</v>
      </c>
      <c r="W669" s="17" t="n">
        <v>632847</v>
      </c>
      <c r="X669" s="17" t="n">
        <v>13.5230158316307</v>
      </c>
      <c r="Y669" s="17" t="n">
        <v>4784</v>
      </c>
      <c r="Z669" s="17" t="n">
        <v>0.569958063286313</v>
      </c>
      <c r="AA669" s="17" t="n">
        <v>7.1</v>
      </c>
      <c r="AB669" s="17" t="n">
        <v>2.69304314129075</v>
      </c>
      <c r="AC669" s="17" t="n">
        <v>0.834978241485219</v>
      </c>
      <c r="AD669" s="17" t="n">
        <v>0.09</v>
      </c>
      <c r="AE669" s="17" t="n">
        <v>1</v>
      </c>
      <c r="AF669" s="17" t="s">
        <v>241</v>
      </c>
      <c r="AG669" s="17" t="s">
        <v>232</v>
      </c>
      <c r="AH669" s="17" t="n">
        <v>0</v>
      </c>
    </row>
    <row r="670" customFormat="false" ht="15" hidden="false" customHeight="false" outlineLevel="0" collapsed="false">
      <c r="A670" s="17" t="n">
        <v>17960</v>
      </c>
      <c r="B670" s="23" t="n">
        <v>45747</v>
      </c>
      <c r="C670" s="17" t="s">
        <v>115</v>
      </c>
      <c r="D670" s="17" t="s">
        <v>116</v>
      </c>
      <c r="E670" s="17" t="n">
        <v>1354203</v>
      </c>
      <c r="F670" s="17" t="n">
        <v>1354064</v>
      </c>
      <c r="G670" s="17" t="n">
        <v>1112041</v>
      </c>
      <c r="H670" s="17" t="n">
        <v>118120</v>
      </c>
      <c r="I670" s="17" t="n">
        <v>8.72247366162975</v>
      </c>
      <c r="J670" s="17" t="n">
        <v>1150070</v>
      </c>
      <c r="K670" s="17" t="n">
        <v>1150308.5</v>
      </c>
      <c r="L670" s="17" t="n">
        <v>1137484</v>
      </c>
      <c r="M670" s="17" t="n">
        <v>811642</v>
      </c>
      <c r="N670" s="17" t="n">
        <v>115321</v>
      </c>
      <c r="O670" s="17" t="n">
        <v>219320</v>
      </c>
      <c r="P670" s="17" t="n">
        <v>7626</v>
      </c>
      <c r="Q670" s="17" t="n">
        <v>4491</v>
      </c>
      <c r="R670" s="17" t="n">
        <v>0</v>
      </c>
      <c r="S670" s="17" t="n">
        <v>202</v>
      </c>
      <c r="T670" s="17" t="n">
        <v>808</v>
      </c>
      <c r="U670" s="17" t="n">
        <v>0.0702420263781412</v>
      </c>
      <c r="V670" s="17" t="n">
        <v>143410</v>
      </c>
      <c r="W670" s="17" t="n">
        <v>1042821</v>
      </c>
      <c r="X670" s="17" t="n">
        <v>13.7521204502019</v>
      </c>
      <c r="Y670" s="17" t="n">
        <v>3972</v>
      </c>
      <c r="Z670" s="17" t="n">
        <v>0.293339162698366</v>
      </c>
      <c r="AA670" s="17" t="n">
        <v>3.4</v>
      </c>
      <c r="AB670" s="17" t="n">
        <v>2.93424816317374</v>
      </c>
      <c r="AC670" s="17" t="n">
        <v>1.09436816889407</v>
      </c>
      <c r="AD670" s="17" t="n">
        <v>0.19</v>
      </c>
      <c r="AE670" s="17" t="n">
        <v>1</v>
      </c>
      <c r="AF670" s="17" t="s">
        <v>241</v>
      </c>
      <c r="AG670" s="17" t="s">
        <v>232</v>
      </c>
      <c r="AH670" s="17" t="n">
        <v>0</v>
      </c>
    </row>
    <row r="671" customFormat="false" ht="15" hidden="false" customHeight="false" outlineLevel="0" collapsed="false">
      <c r="A671" s="17" t="n">
        <v>18012</v>
      </c>
      <c r="B671" s="23" t="n">
        <v>45747</v>
      </c>
      <c r="C671" s="17" t="s">
        <v>148</v>
      </c>
      <c r="D671" s="17" t="s">
        <v>116</v>
      </c>
      <c r="E671" s="17" t="n">
        <v>2654603</v>
      </c>
      <c r="F671" s="17" t="n">
        <v>2639389</v>
      </c>
      <c r="G671" s="17" t="n">
        <v>2299127</v>
      </c>
      <c r="H671" s="17" t="n">
        <v>293951</v>
      </c>
      <c r="I671" s="17" t="n">
        <v>11.0732565283773</v>
      </c>
      <c r="J671" s="17" t="n">
        <v>2121041</v>
      </c>
      <c r="K671" s="17" t="n">
        <v>2107394</v>
      </c>
      <c r="L671" s="17" t="n">
        <v>2096206</v>
      </c>
      <c r="M671" s="17" t="n">
        <v>2023412</v>
      </c>
      <c r="N671" s="17" t="n">
        <v>49493</v>
      </c>
      <c r="O671" s="17" t="n">
        <v>26074</v>
      </c>
      <c r="P671" s="17" t="n">
        <v>1089</v>
      </c>
      <c r="Q671" s="17" t="n">
        <v>3239</v>
      </c>
      <c r="R671" s="17" t="n">
        <v>0</v>
      </c>
      <c r="S671" s="17" t="n">
        <v>19</v>
      </c>
      <c r="T671" s="17" t="n">
        <v>76</v>
      </c>
      <c r="U671" s="17" t="n">
        <v>0.00360634983301651</v>
      </c>
      <c r="V671" s="17" t="n">
        <v>323649</v>
      </c>
      <c r="W671" s="17" t="n">
        <v>2301197</v>
      </c>
      <c r="X671" s="17" t="n">
        <v>14.0643760616757</v>
      </c>
      <c r="Y671" s="17" t="n">
        <v>19688</v>
      </c>
      <c r="Z671" s="17" t="n">
        <v>0.745930213394085</v>
      </c>
      <c r="AA671" s="17" t="n">
        <v>6.81</v>
      </c>
      <c r="AB671" s="17" t="n">
        <v>2.79975953134989</v>
      </c>
      <c r="AC671" s="17" t="n">
        <v>1.1708873142952</v>
      </c>
      <c r="AD671" s="17" t="n">
        <v>0.04</v>
      </c>
      <c r="AE671" s="17" t="n">
        <v>1</v>
      </c>
      <c r="AF671" s="17" t="s">
        <v>314</v>
      </c>
      <c r="AG671" s="17" t="s">
        <v>232</v>
      </c>
      <c r="AH671" s="17" t="n">
        <v>0</v>
      </c>
    </row>
    <row r="672" customFormat="false" ht="15" hidden="false" customHeight="false" outlineLevel="0" collapsed="false">
      <c r="A672" s="17" t="n">
        <v>18013</v>
      </c>
      <c r="B672" s="23" t="n">
        <v>45747</v>
      </c>
      <c r="C672" s="17" t="s">
        <v>131</v>
      </c>
      <c r="D672" s="17" t="s">
        <v>116</v>
      </c>
      <c r="E672" s="17" t="n">
        <v>2886966</v>
      </c>
      <c r="F672" s="17" t="n">
        <v>2902389.5</v>
      </c>
      <c r="G672" s="17" t="n">
        <v>2567945</v>
      </c>
      <c r="H672" s="17" t="n">
        <v>233883</v>
      </c>
      <c r="I672" s="17" t="n">
        <v>8.10134237812292</v>
      </c>
      <c r="J672" s="17" t="n">
        <v>2412223</v>
      </c>
      <c r="K672" s="17" t="n">
        <v>2422457</v>
      </c>
      <c r="L672" s="17" t="n">
        <v>2394181</v>
      </c>
      <c r="M672" s="17" t="n">
        <v>2202612</v>
      </c>
      <c r="N672" s="17" t="n">
        <v>115671</v>
      </c>
      <c r="O672" s="17" t="n">
        <v>21720</v>
      </c>
      <c r="P672" s="17" t="n">
        <v>2219</v>
      </c>
      <c r="Q672" s="17" t="n">
        <v>5622</v>
      </c>
      <c r="R672" s="17" t="n">
        <v>52</v>
      </c>
      <c r="S672" s="17" t="n">
        <v>-199</v>
      </c>
      <c r="T672" s="17" t="n">
        <v>-796</v>
      </c>
      <c r="U672" s="17" t="n">
        <v>-0.0328592003903475</v>
      </c>
      <c r="V672" s="17" t="n">
        <v>274878</v>
      </c>
      <c r="W672" s="17" t="n">
        <v>2165320</v>
      </c>
      <c r="X672" s="17" t="n">
        <v>12.6945670847727</v>
      </c>
      <c r="Y672" s="17" t="n">
        <v>10244</v>
      </c>
      <c r="Z672" s="17" t="n">
        <v>0.352950560219433</v>
      </c>
      <c r="AA672" s="17" t="n">
        <v>4.43</v>
      </c>
      <c r="AB672" s="17" t="n">
        <v>2.79406900216728</v>
      </c>
      <c r="AC672" s="17" t="n">
        <v>0.747940799834841</v>
      </c>
      <c r="AD672" s="17" t="n">
        <v>0.06</v>
      </c>
      <c r="AE672" s="17" t="n">
        <v>1</v>
      </c>
      <c r="AF672" s="17" t="s">
        <v>314</v>
      </c>
      <c r="AG672" s="17" t="s">
        <v>232</v>
      </c>
      <c r="AH672" s="17" t="n">
        <v>0</v>
      </c>
    </row>
    <row r="673" customFormat="false" ht="15" hidden="false" customHeight="false" outlineLevel="0" collapsed="false">
      <c r="A673" s="17" t="n">
        <v>18028</v>
      </c>
      <c r="B673" s="23" t="n">
        <v>45747</v>
      </c>
      <c r="C673" s="17" t="s">
        <v>130</v>
      </c>
      <c r="D673" s="17" t="s">
        <v>116</v>
      </c>
      <c r="E673" s="17" t="n">
        <v>400477</v>
      </c>
      <c r="F673" s="17" t="n">
        <v>401264</v>
      </c>
      <c r="G673" s="17" t="n">
        <v>340672</v>
      </c>
      <c r="H673" s="17" t="n">
        <v>43552</v>
      </c>
      <c r="I673" s="17" t="n">
        <v>10.8750315249066</v>
      </c>
      <c r="J673" s="17" t="n">
        <v>276711</v>
      </c>
      <c r="K673" s="17" t="n">
        <v>278057</v>
      </c>
      <c r="L673" s="17" t="n">
        <v>274397</v>
      </c>
      <c r="M673" s="17" t="n">
        <v>254230</v>
      </c>
      <c r="N673" s="17" t="n">
        <v>12296</v>
      </c>
      <c r="O673" s="17" t="n">
        <v>5085</v>
      </c>
      <c r="P673" s="17" t="n">
        <v>1021</v>
      </c>
      <c r="Q673" s="17" t="n">
        <v>1383</v>
      </c>
      <c r="R673" s="17" t="n">
        <v>62</v>
      </c>
      <c r="S673" s="17" t="n">
        <v>70</v>
      </c>
      <c r="T673" s="17" t="n">
        <v>280</v>
      </c>
      <c r="U673" s="17" t="n">
        <v>0.100698777588768</v>
      </c>
      <c r="V673" s="17" t="n">
        <v>0</v>
      </c>
      <c r="W673" s="17" t="n">
        <v>0</v>
      </c>
      <c r="X673" s="17" t="n">
        <v>0</v>
      </c>
      <c r="Y673" s="17" t="n">
        <v>2152</v>
      </c>
      <c r="Z673" s="17" t="n">
        <v>0.536305275329957</v>
      </c>
      <c r="AA673" s="17" t="n">
        <v>5.02</v>
      </c>
      <c r="AB673" s="17" t="n">
        <v>3.46717489851515</v>
      </c>
      <c r="AC673" s="17" t="n">
        <v>0.836251540415813</v>
      </c>
      <c r="AD673" s="17" t="n">
        <v>0.09</v>
      </c>
      <c r="AE673" s="17" t="n">
        <v>1</v>
      </c>
      <c r="AF673" s="17" t="s">
        <v>241</v>
      </c>
      <c r="AG673" s="17" t="s">
        <v>232</v>
      </c>
      <c r="AH673" s="17" t="n">
        <v>0</v>
      </c>
    </row>
    <row r="674" customFormat="false" ht="15" hidden="false" customHeight="false" outlineLevel="0" collapsed="false">
      <c r="A674" s="17" t="n">
        <v>18030</v>
      </c>
      <c r="B674" s="23" t="n">
        <v>45747</v>
      </c>
      <c r="C674" s="17" t="s">
        <v>157</v>
      </c>
      <c r="D674" s="17" t="s">
        <v>116</v>
      </c>
      <c r="E674" s="17" t="n">
        <v>800795</v>
      </c>
      <c r="F674" s="17" t="n">
        <v>789337</v>
      </c>
      <c r="G674" s="17" t="n">
        <v>736585</v>
      </c>
      <c r="H674" s="17" t="n">
        <v>56520</v>
      </c>
      <c r="I674" s="17" t="n">
        <v>7.057986126287</v>
      </c>
      <c r="J674" s="17" t="n">
        <v>593259</v>
      </c>
      <c r="K674" s="17" t="n">
        <v>592063.5</v>
      </c>
      <c r="L674" s="17" t="n">
        <v>587341</v>
      </c>
      <c r="M674" s="17" t="n">
        <v>457374</v>
      </c>
      <c r="N674" s="17" t="n">
        <v>40723</v>
      </c>
      <c r="O674" s="17" t="n">
        <v>95064</v>
      </c>
      <c r="P674" s="17" t="n">
        <v>1821</v>
      </c>
      <c r="Q674" s="17" t="n">
        <v>2217</v>
      </c>
      <c r="R674" s="17" t="n">
        <v>0</v>
      </c>
      <c r="S674" s="17" t="n">
        <v>78</v>
      </c>
      <c r="T674" s="17" t="n">
        <v>312</v>
      </c>
      <c r="U674" s="17" t="n">
        <v>0.052697050231943</v>
      </c>
      <c r="V674" s="17" t="n">
        <v>73260</v>
      </c>
      <c r="W674" s="17" t="n">
        <v>517068</v>
      </c>
      <c r="X674" s="17" t="n">
        <v>14.1683492306621</v>
      </c>
      <c r="Y674" s="17" t="n">
        <v>5100</v>
      </c>
      <c r="Z674" s="17" t="n">
        <v>0.646111863500634</v>
      </c>
      <c r="AA674" s="17" t="n">
        <v>9.26</v>
      </c>
      <c r="AB674" s="17" t="n">
        <v>3.62784293997723</v>
      </c>
      <c r="AC674" s="17" t="n">
        <v>0.997540703133033</v>
      </c>
      <c r="AD674" s="17" t="n">
        <v>0.08</v>
      </c>
      <c r="AE674" s="17" t="n">
        <v>1</v>
      </c>
      <c r="AF674" s="17" t="s">
        <v>241</v>
      </c>
      <c r="AG674" s="17" t="s">
        <v>232</v>
      </c>
      <c r="AH674" s="17" t="n">
        <v>0</v>
      </c>
    </row>
    <row r="675" customFormat="false" ht="15" hidden="false" customHeight="false" outlineLevel="0" collapsed="false">
      <c r="A675" s="17" t="n">
        <v>18031</v>
      </c>
      <c r="B675" s="23" t="n">
        <v>45747</v>
      </c>
      <c r="C675" s="17" t="s">
        <v>152</v>
      </c>
      <c r="D675" s="17" t="s">
        <v>116</v>
      </c>
      <c r="E675" s="17" t="n">
        <v>669787</v>
      </c>
      <c r="F675" s="17" t="n">
        <v>672582.5</v>
      </c>
      <c r="G675" s="17" t="n">
        <v>527059</v>
      </c>
      <c r="H675" s="17" t="n">
        <v>40246</v>
      </c>
      <c r="I675" s="17" t="n">
        <v>6.00877592428638</v>
      </c>
      <c r="J675" s="17" t="n">
        <v>450783</v>
      </c>
      <c r="K675" s="17" t="n">
        <v>455121.5</v>
      </c>
      <c r="L675" s="17" t="n">
        <v>447072</v>
      </c>
      <c r="M675" s="17" t="n">
        <v>414125</v>
      </c>
      <c r="N675" s="17" t="n">
        <v>22344</v>
      </c>
      <c r="O675" s="17" t="n">
        <v>7590</v>
      </c>
      <c r="P675" s="17" t="n">
        <v>848</v>
      </c>
      <c r="Q675" s="17" t="n">
        <v>1454</v>
      </c>
      <c r="R675" s="17" t="n">
        <v>0</v>
      </c>
      <c r="S675" s="17" t="n">
        <v>10</v>
      </c>
      <c r="T675" s="17" t="n">
        <v>40</v>
      </c>
      <c r="U675" s="17" t="n">
        <v>0.00878886187534538</v>
      </c>
      <c r="V675" s="17" t="n">
        <v>62203</v>
      </c>
      <c r="W675" s="17" t="n">
        <v>357809</v>
      </c>
      <c r="X675" s="17" t="n">
        <v>17.3844145899069</v>
      </c>
      <c r="Y675" s="17" t="n">
        <v>2020</v>
      </c>
      <c r="Z675" s="17" t="n">
        <v>0.300334903153145</v>
      </c>
      <c r="AA675" s="17" t="n">
        <v>5.16</v>
      </c>
      <c r="AB675" s="17" t="n">
        <v>2.71912769520121</v>
      </c>
      <c r="AC675" s="17" t="n">
        <v>0.823234239090649</v>
      </c>
      <c r="AD675" s="17" t="n">
        <v>0.03</v>
      </c>
      <c r="AE675" s="17" t="n">
        <v>0</v>
      </c>
      <c r="AF675" s="17" t="s">
        <v>241</v>
      </c>
      <c r="AG675" s="17" t="s">
        <v>232</v>
      </c>
      <c r="AH675" s="17" t="n">
        <v>0</v>
      </c>
    </row>
    <row r="676" customFormat="false" ht="15" hidden="false" customHeight="false" outlineLevel="0" collapsed="false">
      <c r="A676" s="17" t="n">
        <v>18038</v>
      </c>
      <c r="B676" s="23" t="n">
        <v>45747</v>
      </c>
      <c r="C676" s="17" t="s">
        <v>128</v>
      </c>
      <c r="D676" s="17" t="s">
        <v>116</v>
      </c>
      <c r="E676" s="17" t="n">
        <v>575681</v>
      </c>
      <c r="F676" s="17" t="n">
        <v>567369</v>
      </c>
      <c r="G676" s="17" t="n">
        <v>443411</v>
      </c>
      <c r="H676" s="17" t="n">
        <v>68850</v>
      </c>
      <c r="I676" s="17" t="n">
        <v>11.9597485412928</v>
      </c>
      <c r="J676" s="17" t="n">
        <v>454723</v>
      </c>
      <c r="K676" s="17" t="n">
        <v>444288</v>
      </c>
      <c r="L676" s="17" t="n">
        <v>450662</v>
      </c>
      <c r="M676" s="17" t="n">
        <v>417170</v>
      </c>
      <c r="N676" s="17" t="n">
        <v>31307</v>
      </c>
      <c r="O676" s="17" t="n">
        <v>4078</v>
      </c>
      <c r="P676" s="17" t="n">
        <v>2863</v>
      </c>
      <c r="Q676" s="17" t="n">
        <v>2982</v>
      </c>
      <c r="R676" s="17" t="n">
        <v>0</v>
      </c>
      <c r="S676" s="17" t="n">
        <v>-51</v>
      </c>
      <c r="T676" s="17" t="n">
        <v>-204</v>
      </c>
      <c r="U676" s="17" t="n">
        <v>-0.0459161624891962</v>
      </c>
      <c r="V676" s="17" t="n">
        <v>0</v>
      </c>
      <c r="W676" s="17" t="n">
        <v>0</v>
      </c>
      <c r="X676" s="17" t="n">
        <v>0</v>
      </c>
      <c r="Y676" s="17" t="n">
        <v>1376</v>
      </c>
      <c r="Z676" s="17" t="n">
        <v>0.242522943622228</v>
      </c>
      <c r="AA676" s="17" t="n">
        <v>2.01</v>
      </c>
      <c r="AB676" s="17" t="n">
        <v>2.82748541050406</v>
      </c>
      <c r="AC676" s="17" t="n">
        <v>0.893071166402403</v>
      </c>
      <c r="AD676" s="17" t="n">
        <v>0</v>
      </c>
      <c r="AE676" s="17" t="n">
        <v>1</v>
      </c>
      <c r="AF676" s="17" t="s">
        <v>241</v>
      </c>
      <c r="AG676" s="17" t="s">
        <v>232</v>
      </c>
      <c r="AH676" s="17" t="n">
        <v>1</v>
      </c>
    </row>
    <row r="677" customFormat="false" ht="15" hidden="false" customHeight="false" outlineLevel="0" collapsed="false">
      <c r="A677" s="17" t="n">
        <v>18408</v>
      </c>
      <c r="B677" s="23" t="n">
        <v>45747</v>
      </c>
      <c r="C677" s="17" t="s">
        <v>107</v>
      </c>
      <c r="D677" s="17" t="s">
        <v>108</v>
      </c>
      <c r="E677" s="17" t="n">
        <v>7235355</v>
      </c>
      <c r="F677" s="17" t="n">
        <v>7236509.5</v>
      </c>
      <c r="G677" s="17" t="n">
        <v>6181793</v>
      </c>
      <c r="H677" s="17" t="n">
        <v>455151</v>
      </c>
      <c r="I677" s="17" t="n">
        <v>6.29065194451413</v>
      </c>
      <c r="J677" s="17" t="n">
        <v>4976949</v>
      </c>
      <c r="K677" s="17" t="n">
        <v>4957059</v>
      </c>
      <c r="L677" s="17" t="n">
        <v>4943904</v>
      </c>
      <c r="M677" s="17" t="n">
        <v>4459056</v>
      </c>
      <c r="N677" s="17" t="n">
        <v>395278</v>
      </c>
      <c r="O677" s="17" t="n">
        <v>58940</v>
      </c>
      <c r="P677" s="17" t="n">
        <v>8109</v>
      </c>
      <c r="Q677" s="17" t="n">
        <v>10783</v>
      </c>
      <c r="R677" s="17" t="n">
        <v>0</v>
      </c>
      <c r="S677" s="17" t="n">
        <v>158</v>
      </c>
      <c r="T677" s="17" t="n">
        <v>632</v>
      </c>
      <c r="U677" s="17" t="n">
        <v>0.0127494952148038</v>
      </c>
      <c r="V677" s="17" t="n">
        <v>593868</v>
      </c>
      <c r="W677" s="17" t="n">
        <v>5229542</v>
      </c>
      <c r="X677" s="17" t="n">
        <v>11.3560231469601</v>
      </c>
      <c r="Y677" s="17" t="n">
        <v>9060</v>
      </c>
      <c r="Z677" s="17" t="n">
        <v>0.125198481394932</v>
      </c>
      <c r="AA677" s="17" t="n">
        <v>2.05</v>
      </c>
      <c r="AB677" s="17" t="n">
        <v>2.37111335634403</v>
      </c>
      <c r="AC677" s="17" t="n">
        <v>0.663960992969789</v>
      </c>
      <c r="AD677" s="17" t="n">
        <v>0.1</v>
      </c>
      <c r="AE677" s="17" t="n">
        <v>1</v>
      </c>
      <c r="AF677" s="17" t="s">
        <v>241</v>
      </c>
      <c r="AG677" s="17" t="s">
        <v>232</v>
      </c>
      <c r="AH677" s="17" t="n">
        <v>0</v>
      </c>
    </row>
    <row r="678" customFormat="false" ht="15" hidden="false" customHeight="false" outlineLevel="0" collapsed="false">
      <c r="A678" s="17" t="n">
        <v>19531</v>
      </c>
      <c r="B678" s="23" t="n">
        <v>45747</v>
      </c>
      <c r="C678" s="17" t="s">
        <v>146</v>
      </c>
      <c r="D678" s="17" t="s">
        <v>108</v>
      </c>
      <c r="E678" s="17" t="n">
        <v>2567242</v>
      </c>
      <c r="F678" s="17" t="n">
        <v>2587534</v>
      </c>
      <c r="G678" s="17" t="n">
        <v>2162803</v>
      </c>
      <c r="H678" s="17" t="n">
        <v>266786</v>
      </c>
      <c r="I678" s="17" t="n">
        <v>10.3919303283446</v>
      </c>
      <c r="J678" s="17" t="n">
        <v>2179021</v>
      </c>
      <c r="K678" s="17" t="n">
        <v>2167477</v>
      </c>
      <c r="L678" s="17" t="n">
        <v>2159699</v>
      </c>
      <c r="M678" s="17" t="n">
        <v>1814549</v>
      </c>
      <c r="N678" s="17" t="n">
        <v>257734</v>
      </c>
      <c r="O678" s="17" t="n">
        <v>6994</v>
      </c>
      <c r="P678" s="17" t="n">
        <v>7253</v>
      </c>
      <c r="Q678" s="17" t="n">
        <v>22725</v>
      </c>
      <c r="R678" s="17" t="n">
        <v>46</v>
      </c>
      <c r="S678" s="17" t="n">
        <v>-334</v>
      </c>
      <c r="T678" s="17" t="n">
        <v>-1336</v>
      </c>
      <c r="U678" s="17" t="n">
        <v>-0.0616384856678987</v>
      </c>
      <c r="V678" s="17" t="n">
        <v>314027</v>
      </c>
      <c r="W678" s="17" t="n">
        <v>2103625</v>
      </c>
      <c r="X678" s="17" t="n">
        <v>14.927898270842</v>
      </c>
      <c r="Y678" s="17" t="n">
        <v>16472</v>
      </c>
      <c r="Z678" s="17" t="n">
        <v>0.636590668953529</v>
      </c>
      <c r="AA678" s="17" t="n">
        <v>6.27</v>
      </c>
      <c r="AB678" s="17" t="n">
        <v>3.12555213929317</v>
      </c>
      <c r="AC678" s="17" t="n">
        <v>0.886728489537274</v>
      </c>
      <c r="AD678" s="17" t="n">
        <v>0</v>
      </c>
      <c r="AE678" s="17" t="n">
        <v>1</v>
      </c>
      <c r="AF678" s="17" t="s">
        <v>241</v>
      </c>
      <c r="AG678" s="17" t="s">
        <v>232</v>
      </c>
      <c r="AH678" s="17" t="n">
        <v>0</v>
      </c>
    </row>
    <row r="679" customFormat="false" ht="15" hidden="false" customHeight="false" outlineLevel="0" collapsed="false">
      <c r="A679" s="17" t="n">
        <v>19532</v>
      </c>
      <c r="B679" s="23" t="n">
        <v>45747</v>
      </c>
      <c r="C679" s="17" t="s">
        <v>164</v>
      </c>
      <c r="D679" s="17" t="s">
        <v>108</v>
      </c>
      <c r="E679" s="17" t="n">
        <v>842808</v>
      </c>
      <c r="F679" s="17" t="n">
        <v>842081.5</v>
      </c>
      <c r="G679" s="17" t="n">
        <v>725198</v>
      </c>
      <c r="H679" s="17" t="n">
        <v>106845</v>
      </c>
      <c r="I679" s="17" t="n">
        <v>12.6772645727141</v>
      </c>
      <c r="J679" s="17" t="n">
        <v>621805</v>
      </c>
      <c r="K679" s="17" t="n">
        <v>616209.5</v>
      </c>
      <c r="L679" s="17" t="n">
        <v>615665</v>
      </c>
      <c r="M679" s="17" t="n">
        <v>513632</v>
      </c>
      <c r="N679" s="17" t="n">
        <v>52325</v>
      </c>
      <c r="O679" s="17" t="n">
        <v>50922</v>
      </c>
      <c r="P679" s="17" t="n">
        <v>1797</v>
      </c>
      <c r="Q679" s="17" t="n">
        <v>1058</v>
      </c>
      <c r="R679" s="17" t="n">
        <v>0</v>
      </c>
      <c r="S679" s="17" t="n">
        <v>17</v>
      </c>
      <c r="T679" s="17" t="n">
        <v>68</v>
      </c>
      <c r="U679" s="17" t="n">
        <v>0.0110352079933854</v>
      </c>
      <c r="V679" s="17" t="n">
        <v>130371</v>
      </c>
      <c r="W679" s="17" t="n">
        <v>607930</v>
      </c>
      <c r="X679" s="17" t="n">
        <v>21.4450676887142</v>
      </c>
      <c r="Y679" s="17" t="n">
        <v>6400</v>
      </c>
      <c r="Z679" s="17" t="n">
        <v>0.760021446855204</v>
      </c>
      <c r="AA679" s="17" t="n">
        <v>6.11</v>
      </c>
      <c r="AB679" s="17" t="n">
        <v>3.55241458743948</v>
      </c>
      <c r="AC679" s="17" t="n">
        <v>0.987447833323952</v>
      </c>
      <c r="AD679" s="17" t="n">
        <v>0.08</v>
      </c>
      <c r="AE679" s="17" t="n">
        <v>1</v>
      </c>
      <c r="AF679" s="17" t="s">
        <v>241</v>
      </c>
      <c r="AG679" s="17" t="s">
        <v>232</v>
      </c>
      <c r="AH679" s="17" t="n">
        <v>1</v>
      </c>
    </row>
    <row r="680" customFormat="false" ht="15" hidden="false" customHeight="false" outlineLevel="0" collapsed="false">
      <c r="A680" s="17" t="n">
        <v>19690</v>
      </c>
      <c r="B680" s="23" t="n">
        <v>45747</v>
      </c>
      <c r="C680" s="17" t="s">
        <v>158</v>
      </c>
      <c r="D680" s="17" t="s">
        <v>108</v>
      </c>
      <c r="E680" s="17" t="n">
        <v>4228502</v>
      </c>
      <c r="F680" s="17" t="n">
        <v>4155778</v>
      </c>
      <c r="G680" s="17" t="n">
        <v>3328164</v>
      </c>
      <c r="H680" s="17" t="n">
        <v>467516</v>
      </c>
      <c r="I680" s="17" t="n">
        <v>11.0563031541667</v>
      </c>
      <c r="J680" s="17" t="n">
        <v>3800789</v>
      </c>
      <c r="K680" s="17" t="n">
        <v>3713404.5</v>
      </c>
      <c r="L680" s="17" t="n">
        <v>3754765</v>
      </c>
      <c r="M680" s="17" t="n">
        <v>2887276</v>
      </c>
      <c r="N680" s="17" t="n">
        <v>172540</v>
      </c>
      <c r="O680" s="17" t="n">
        <v>172</v>
      </c>
      <c r="P680" s="17" t="n">
        <v>32232</v>
      </c>
      <c r="Q680" s="17" t="n">
        <v>4376</v>
      </c>
      <c r="R680" s="17" t="n">
        <v>0</v>
      </c>
      <c r="S680" s="17" t="n">
        <v>2081</v>
      </c>
      <c r="T680" s="17" t="n">
        <v>8324</v>
      </c>
      <c r="U680" s="17" t="n">
        <v>0.224160874475162</v>
      </c>
      <c r="V680" s="17" t="n">
        <v>513161</v>
      </c>
      <c r="W680" s="17" t="n">
        <v>3670234</v>
      </c>
      <c r="X680" s="17" t="n">
        <v>13.9816970798047</v>
      </c>
      <c r="Y680" s="17" t="n">
        <v>74724</v>
      </c>
      <c r="Z680" s="17" t="n">
        <v>1.79807487310439</v>
      </c>
      <c r="AA680" s="17" t="n">
        <v>16.39</v>
      </c>
      <c r="AB680" s="17" t="n">
        <v>4.54258494208518</v>
      </c>
      <c r="AC680" s="17" t="n">
        <v>1.21090647231404</v>
      </c>
      <c r="AD680" s="17" t="n">
        <v>0.29</v>
      </c>
      <c r="AE680" s="17" t="n">
        <v>1</v>
      </c>
      <c r="AF680" s="17" t="s">
        <v>231</v>
      </c>
      <c r="AG680" s="17" t="s">
        <v>232</v>
      </c>
      <c r="AH680" s="17" t="n">
        <v>0</v>
      </c>
    </row>
    <row r="681" customFormat="false" ht="15" hidden="false" customHeight="false" outlineLevel="0" collapsed="false">
      <c r="A681" s="17" t="n">
        <v>19836</v>
      </c>
      <c r="B681" s="23" t="n">
        <v>45747</v>
      </c>
      <c r="C681" s="17" t="s">
        <v>136</v>
      </c>
      <c r="D681" s="17" t="s">
        <v>108</v>
      </c>
      <c r="E681" s="17" t="n">
        <v>733639</v>
      </c>
      <c r="F681" s="17" t="n">
        <v>729797.5</v>
      </c>
      <c r="G681" s="17" t="n">
        <v>586835</v>
      </c>
      <c r="H681" s="17" t="n">
        <v>128641</v>
      </c>
      <c r="I681" s="17" t="n">
        <v>17.5346457862791</v>
      </c>
      <c r="J681" s="17" t="n">
        <v>627367</v>
      </c>
      <c r="K681" s="17" t="n">
        <v>624321</v>
      </c>
      <c r="L681" s="17" t="n">
        <v>622904</v>
      </c>
      <c r="M681" s="17" t="n">
        <v>573366</v>
      </c>
      <c r="N681" s="17" t="n">
        <v>42016</v>
      </c>
      <c r="O681" s="17" t="n">
        <v>10284</v>
      </c>
      <c r="P681" s="17" t="n">
        <v>6387</v>
      </c>
      <c r="Q681" s="17" t="n">
        <v>7070</v>
      </c>
      <c r="R681" s="17" t="n">
        <v>194</v>
      </c>
      <c r="S681" s="17" t="n">
        <v>34</v>
      </c>
      <c r="T681" s="17" t="n">
        <v>136</v>
      </c>
      <c r="U681" s="17" t="n">
        <v>0.0217836657744974</v>
      </c>
      <c r="V681" s="17" t="n">
        <v>140587</v>
      </c>
      <c r="W681" s="17" t="n">
        <v>595553</v>
      </c>
      <c r="X681" s="17" t="n">
        <v>23.6061274143527</v>
      </c>
      <c r="Y681" s="17" t="n">
        <v>5520</v>
      </c>
      <c r="Z681" s="17" t="n">
        <v>0.75637419969238</v>
      </c>
      <c r="AA681" s="17" t="n">
        <v>4.33</v>
      </c>
      <c r="AB681" s="17" t="n">
        <v>3.88739749739618</v>
      </c>
      <c r="AC681" s="17" t="n">
        <v>0.711385839548462</v>
      </c>
      <c r="AD681" s="17" t="n">
        <v>0.02</v>
      </c>
      <c r="AE681" s="17" t="n">
        <v>1</v>
      </c>
      <c r="AF681" s="17" t="s">
        <v>314</v>
      </c>
      <c r="AG681" s="17" t="s">
        <v>232</v>
      </c>
      <c r="AH681" s="17" t="n">
        <v>0</v>
      </c>
    </row>
    <row r="682" customFormat="false" ht="15" hidden="false" customHeight="false" outlineLevel="0" collapsed="false">
      <c r="A682" s="17" t="n">
        <v>24540</v>
      </c>
      <c r="B682" s="23" t="n">
        <v>45747</v>
      </c>
      <c r="C682" s="17" t="s">
        <v>163</v>
      </c>
      <c r="D682" s="17" t="s">
        <v>116</v>
      </c>
      <c r="E682" s="17" t="n">
        <v>1688107</v>
      </c>
      <c r="F682" s="17" t="n">
        <v>1607597.5</v>
      </c>
      <c r="G682" s="17" t="n">
        <v>1385459</v>
      </c>
      <c r="H682" s="17" t="n">
        <v>273377</v>
      </c>
      <c r="I682" s="17" t="n">
        <v>16.194293371214</v>
      </c>
      <c r="J682" s="17" t="n">
        <v>1460291</v>
      </c>
      <c r="K682" s="17" t="n">
        <v>1415930</v>
      </c>
      <c r="L682" s="17" t="n">
        <v>1445759</v>
      </c>
      <c r="M682" s="17" t="n">
        <v>1421528</v>
      </c>
      <c r="N682" s="17" t="n">
        <v>42943</v>
      </c>
      <c r="O682" s="17" t="n">
        <v>38</v>
      </c>
      <c r="P682" s="17" t="n">
        <v>11794</v>
      </c>
      <c r="Q682" s="17" t="n">
        <v>0</v>
      </c>
      <c r="R682" s="17" t="n">
        <v>0</v>
      </c>
      <c r="S682" s="17" t="n">
        <v>0</v>
      </c>
      <c r="T682" s="17" t="n">
        <v>0</v>
      </c>
      <c r="U682" s="17" t="n">
        <v>0</v>
      </c>
      <c r="V682" s="17" t="n">
        <v>0</v>
      </c>
      <c r="W682" s="17" t="n">
        <v>0</v>
      </c>
      <c r="X682" s="17" t="n">
        <v>0</v>
      </c>
      <c r="Y682" s="17" t="n">
        <v>31300</v>
      </c>
      <c r="Z682" s="17" t="n">
        <v>1.94700476953964</v>
      </c>
      <c r="AA682" s="17" t="n">
        <v>11.39</v>
      </c>
      <c r="AB682" s="17" t="n">
        <v>4.21829211286827</v>
      </c>
      <c r="AC682" s="17" t="n">
        <v>0.995144118535278</v>
      </c>
      <c r="AD682" s="17" t="n">
        <v>0.15</v>
      </c>
      <c r="AE682" s="17" t="n">
        <v>1</v>
      </c>
      <c r="AF682" s="17" t="s">
        <v>231</v>
      </c>
      <c r="AG682" s="17" t="s">
        <v>232</v>
      </c>
      <c r="AH682" s="17" t="n">
        <v>0</v>
      </c>
    </row>
    <row r="683" customFormat="false" ht="15" hidden="false" customHeight="false" outlineLevel="0" collapsed="false">
      <c r="A683" s="17" t="n">
        <v>27824</v>
      </c>
      <c r="B683" s="23" t="n">
        <v>45747</v>
      </c>
      <c r="C683" s="17" t="s">
        <v>117</v>
      </c>
      <c r="D683" s="17" t="s">
        <v>116</v>
      </c>
      <c r="E683" s="17" t="n">
        <v>575397</v>
      </c>
      <c r="F683" s="17" t="n">
        <v>571305</v>
      </c>
      <c r="G683" s="17" t="n">
        <v>382749</v>
      </c>
      <c r="H683" s="17" t="n">
        <v>62093</v>
      </c>
      <c r="I683" s="17" t="n">
        <v>10.7913318978027</v>
      </c>
      <c r="J683" s="17" t="n">
        <v>473217</v>
      </c>
      <c r="K683" s="17" t="n">
        <v>475228</v>
      </c>
      <c r="L683" s="17" t="n">
        <v>470321</v>
      </c>
      <c r="M683" s="17" t="n">
        <v>420218</v>
      </c>
      <c r="N683" s="17" t="n">
        <v>17729</v>
      </c>
      <c r="O683" s="17" t="n">
        <v>35270</v>
      </c>
      <c r="P683" s="17" t="n">
        <v>2067</v>
      </c>
      <c r="Q683" s="17" t="n">
        <v>844</v>
      </c>
      <c r="R683" s="17" t="n">
        <v>0</v>
      </c>
      <c r="S683" s="17" t="n">
        <v>44</v>
      </c>
      <c r="T683" s="17" t="n">
        <v>176</v>
      </c>
      <c r="U683" s="17" t="n">
        <v>0.03703485484862</v>
      </c>
      <c r="V683" s="17" t="n">
        <v>70087</v>
      </c>
      <c r="W683" s="17" t="n">
        <v>374145</v>
      </c>
      <c r="X683" s="17" t="n">
        <v>18.7325769420946</v>
      </c>
      <c r="Y683" s="17" t="n">
        <v>-3620</v>
      </c>
      <c r="Z683" s="17" t="n">
        <v>-0.633637024006441</v>
      </c>
      <c r="AA683" s="17" t="n">
        <v>-5.81</v>
      </c>
      <c r="AB683" s="17" t="n">
        <v>1.82604182072874</v>
      </c>
      <c r="AC683" s="17" t="n">
        <v>0.611981395427468</v>
      </c>
      <c r="AD683" s="17" t="n">
        <v>0.09</v>
      </c>
      <c r="AE683" s="17" t="n">
        <v>1</v>
      </c>
      <c r="AF683" s="17" t="s">
        <v>354</v>
      </c>
      <c r="AG683" s="17" t="s">
        <v>232</v>
      </c>
      <c r="AH683" s="17" t="n">
        <v>1</v>
      </c>
    </row>
    <row r="684" customFormat="false" ht="15" hidden="false" customHeight="false" outlineLevel="0" collapsed="false">
      <c r="A684" s="17" t="n">
        <v>28155</v>
      </c>
      <c r="B684" s="23" t="n">
        <v>45747</v>
      </c>
      <c r="C684" s="17" t="s">
        <v>150</v>
      </c>
      <c r="D684" s="17" t="s">
        <v>116</v>
      </c>
      <c r="E684" s="17" t="n">
        <v>299190</v>
      </c>
      <c r="F684" s="17" t="n">
        <v>297511.5</v>
      </c>
      <c r="G684" s="17" t="n">
        <v>270079</v>
      </c>
      <c r="H684" s="17" t="n">
        <v>27411</v>
      </c>
      <c r="I684" s="17" t="n">
        <v>9.16173668906046</v>
      </c>
      <c r="J684" s="17" t="n">
        <v>176105</v>
      </c>
      <c r="K684" s="17" t="n">
        <v>175448.5</v>
      </c>
      <c r="L684" s="17" t="n">
        <v>175317</v>
      </c>
      <c r="M684" s="17" t="n">
        <v>159503</v>
      </c>
      <c r="N684" s="17" t="n">
        <v>9840</v>
      </c>
      <c r="O684" s="17" t="n">
        <v>6251</v>
      </c>
      <c r="P684" s="17" t="n">
        <v>304</v>
      </c>
      <c r="Q684" s="17" t="n">
        <v>1504</v>
      </c>
      <c r="R684" s="17" t="n">
        <v>0</v>
      </c>
      <c r="S684" s="17" t="n">
        <v>0</v>
      </c>
      <c r="T684" s="17" t="n">
        <v>0</v>
      </c>
      <c r="U684" s="17" t="n">
        <v>0</v>
      </c>
      <c r="V684" s="17" t="n">
        <v>28723</v>
      </c>
      <c r="W684" s="17" t="n">
        <v>164353</v>
      </c>
      <c r="X684" s="17" t="n">
        <v>17.476407488759</v>
      </c>
      <c r="Y684" s="17" t="n">
        <v>-308</v>
      </c>
      <c r="Z684" s="17" t="n">
        <v>-0.103525409942137</v>
      </c>
      <c r="AA684" s="17" t="n">
        <v>-1.12</v>
      </c>
      <c r="AB684" s="17" t="n">
        <v>2.61875903430567</v>
      </c>
      <c r="AC684" s="17" t="n">
        <v>0.447460321967008</v>
      </c>
      <c r="AD684" s="17" t="n">
        <v>0</v>
      </c>
      <c r="AE684" s="17" t="n">
        <v>1</v>
      </c>
      <c r="AF684" s="17" t="s">
        <v>314</v>
      </c>
      <c r="AG684" s="17" t="s">
        <v>232</v>
      </c>
      <c r="AH684" s="17" t="n">
        <v>0</v>
      </c>
    </row>
    <row r="685" customFormat="false" ht="15" hidden="false" customHeight="false" outlineLevel="0" collapsed="false">
      <c r="A685" s="17" t="n">
        <v>28288</v>
      </c>
      <c r="B685" s="23" t="n">
        <v>45747</v>
      </c>
      <c r="C685" s="17" t="s">
        <v>124</v>
      </c>
      <c r="D685" s="17" t="s">
        <v>108</v>
      </c>
      <c r="E685" s="17" t="n">
        <v>101149</v>
      </c>
      <c r="F685" s="17" t="n">
        <v>101728</v>
      </c>
      <c r="G685" s="17" t="n">
        <v>72293</v>
      </c>
      <c r="H685" s="17" t="n">
        <v>6164</v>
      </c>
      <c r="I685" s="17" t="n">
        <v>6.09398016787116</v>
      </c>
      <c r="J685" s="17" t="n">
        <v>81722</v>
      </c>
      <c r="K685" s="17" t="n">
        <v>82439</v>
      </c>
      <c r="L685" s="17" t="n">
        <v>80917</v>
      </c>
      <c r="M685" s="17" t="n">
        <v>73892</v>
      </c>
      <c r="N685" s="17" t="n">
        <v>4355</v>
      </c>
      <c r="O685" s="17" t="n">
        <v>3475</v>
      </c>
      <c r="P685" s="17" t="n">
        <v>1</v>
      </c>
      <c r="Q685" s="17" t="n">
        <v>668</v>
      </c>
      <c r="R685" s="17" t="n">
        <v>0</v>
      </c>
      <c r="S685" s="17" t="n">
        <v>0</v>
      </c>
      <c r="T685" s="17" t="n">
        <v>0</v>
      </c>
      <c r="U685" s="17" t="n">
        <v>0</v>
      </c>
      <c r="V685" s="17" t="n">
        <v>8906</v>
      </c>
      <c r="W685" s="17" t="n">
        <v>66481</v>
      </c>
      <c r="X685" s="17" t="n">
        <v>13.3963087197846</v>
      </c>
      <c r="Y685" s="17" t="n">
        <v>220</v>
      </c>
      <c r="Z685" s="17" t="n">
        <v>0.216262975778547</v>
      </c>
      <c r="AA685" s="17" t="n">
        <v>3.65</v>
      </c>
      <c r="AB685" s="17" t="n">
        <v>2.70885511462336</v>
      </c>
      <c r="AC685" s="17" t="n">
        <v>0.985046866204939</v>
      </c>
      <c r="AD685" s="17" t="n">
        <v>0</v>
      </c>
      <c r="AE685" s="17" t="n">
        <v>1</v>
      </c>
      <c r="AF685" s="17" t="s">
        <v>361</v>
      </c>
      <c r="AG685" s="17" t="s">
        <v>211</v>
      </c>
      <c r="AH685" s="17" t="n">
        <v>0</v>
      </c>
    </row>
    <row r="686" customFormat="false" ht="15" hidden="false" customHeight="false" outlineLevel="0" collapsed="false">
      <c r="A686" s="17" t="n">
        <v>28369</v>
      </c>
      <c r="B686" s="23" t="n">
        <v>45747</v>
      </c>
      <c r="C686" s="17" t="s">
        <v>145</v>
      </c>
      <c r="D686" s="17" t="s">
        <v>108</v>
      </c>
      <c r="E686" s="17" t="n">
        <v>93473</v>
      </c>
      <c r="F686" s="17" t="n">
        <v>93616</v>
      </c>
      <c r="G686" s="17" t="n">
        <v>72638</v>
      </c>
      <c r="H686" s="17" t="n">
        <v>9063</v>
      </c>
      <c r="I686" s="17" t="n">
        <v>9.69584799888738</v>
      </c>
      <c r="J686" s="17" t="n">
        <v>80877</v>
      </c>
      <c r="K686" s="17" t="n">
        <v>81124</v>
      </c>
      <c r="L686" s="17" t="n">
        <v>80247</v>
      </c>
      <c r="M686" s="17" t="n">
        <v>67131</v>
      </c>
      <c r="N686" s="17" t="n">
        <v>13089</v>
      </c>
      <c r="O686" s="17" t="n">
        <v>657</v>
      </c>
      <c r="P686" s="17" t="n">
        <v>88</v>
      </c>
      <c r="Q686" s="17" t="n">
        <v>299</v>
      </c>
      <c r="R686" s="17" t="n">
        <v>0</v>
      </c>
      <c r="S686" s="17" t="n">
        <v>-1</v>
      </c>
      <c r="T686" s="17" t="n">
        <v>-4</v>
      </c>
      <c r="U686" s="17" t="n">
        <v>-0.00493072333711356</v>
      </c>
      <c r="V686" s="17" t="n">
        <v>9171</v>
      </c>
      <c r="W686" s="17" t="n">
        <v>65496</v>
      </c>
      <c r="X686" s="17" t="n">
        <v>14.0023818248443</v>
      </c>
      <c r="Y686" s="17" t="n">
        <v>80</v>
      </c>
      <c r="Z686" s="17" t="n">
        <v>0.0854554776961203</v>
      </c>
      <c r="AA686" s="17" t="n">
        <v>0.88</v>
      </c>
      <c r="AB686" s="17" t="n">
        <v>3.50547869888538</v>
      </c>
      <c r="AC686" s="17" t="n">
        <v>0.778960643940799</v>
      </c>
      <c r="AD686" s="17" t="n">
        <v>0.01</v>
      </c>
      <c r="AE686" s="17" t="n">
        <v>1</v>
      </c>
      <c r="AF686" s="17" t="s">
        <v>361</v>
      </c>
      <c r="AG686" s="17" t="s">
        <v>211</v>
      </c>
      <c r="AH686" s="17" t="n">
        <v>1</v>
      </c>
    </row>
    <row r="687" customFormat="false" ht="15" hidden="false" customHeight="false" outlineLevel="0" collapsed="false">
      <c r="A687" s="17" t="n">
        <v>28837</v>
      </c>
      <c r="B687" s="23" t="n">
        <v>45747</v>
      </c>
      <c r="C687" s="17" t="s">
        <v>142</v>
      </c>
      <c r="D687" s="17" t="s">
        <v>113</v>
      </c>
      <c r="E687" s="17" t="n">
        <v>289565</v>
      </c>
      <c r="F687" s="17" t="n">
        <v>288695.5</v>
      </c>
      <c r="G687" s="17" t="n">
        <v>257144</v>
      </c>
      <c r="H687" s="17" t="n">
        <v>29273</v>
      </c>
      <c r="I687" s="17" t="n">
        <v>10.1093018838603</v>
      </c>
      <c r="J687" s="17" t="n">
        <v>204142</v>
      </c>
      <c r="K687" s="17" t="n">
        <v>204942</v>
      </c>
      <c r="L687" s="17" t="n">
        <v>201936</v>
      </c>
      <c r="M687" s="17" t="n">
        <v>195050</v>
      </c>
      <c r="N687" s="17" t="n">
        <v>7281</v>
      </c>
      <c r="O687" s="17" t="n">
        <v>1412</v>
      </c>
      <c r="P687" s="17" t="n">
        <v>0</v>
      </c>
      <c r="Q687" s="17" t="n">
        <v>1378</v>
      </c>
      <c r="R687" s="17" t="n">
        <v>0</v>
      </c>
      <c r="S687" s="17" t="n">
        <v>0</v>
      </c>
      <c r="T687" s="17" t="n">
        <v>0</v>
      </c>
      <c r="U687" s="17" t="n">
        <v>0</v>
      </c>
      <c r="V687" s="17" t="n">
        <v>29527</v>
      </c>
      <c r="W687" s="17" t="n">
        <v>162449</v>
      </c>
      <c r="X687" s="17" t="n">
        <v>18.1761660582706</v>
      </c>
      <c r="Y687" s="17" t="n">
        <v>2016</v>
      </c>
      <c r="Z687" s="17" t="n">
        <v>0.698313621099047</v>
      </c>
      <c r="AA687" s="17" t="n">
        <v>6.95</v>
      </c>
      <c r="AB687" s="17" t="n">
        <v>3.95504030292047</v>
      </c>
      <c r="AC687" s="17" t="n">
        <v>1.08062035249973</v>
      </c>
      <c r="AD687" s="17" t="n">
        <v>0.05</v>
      </c>
      <c r="AE687" s="17" t="n">
        <v>1</v>
      </c>
      <c r="AF687" s="17" t="s">
        <v>314</v>
      </c>
      <c r="AG687" s="17" t="s">
        <v>232</v>
      </c>
      <c r="AH687" s="17" t="n">
        <v>1</v>
      </c>
    </row>
    <row r="688" customFormat="false" ht="15" hidden="false" customHeight="false" outlineLevel="0" collapsed="false">
      <c r="A688" s="17" t="n">
        <v>29636</v>
      </c>
      <c r="B688" s="23" t="n">
        <v>45747</v>
      </c>
      <c r="C688" s="17" t="s">
        <v>123</v>
      </c>
      <c r="D688" s="17" t="s">
        <v>108</v>
      </c>
      <c r="E688" s="17" t="n">
        <v>186509</v>
      </c>
      <c r="F688" s="17" t="n">
        <v>184684.5</v>
      </c>
      <c r="G688" s="17" t="n">
        <v>143798</v>
      </c>
      <c r="H688" s="17" t="n">
        <v>27465</v>
      </c>
      <c r="I688" s="17" t="n">
        <v>14.7258309250492</v>
      </c>
      <c r="J688" s="17" t="n">
        <v>144596</v>
      </c>
      <c r="K688" s="17" t="n">
        <v>143967.5</v>
      </c>
      <c r="L688" s="17" t="n">
        <v>142637</v>
      </c>
      <c r="M688" s="17" t="n">
        <v>141230</v>
      </c>
      <c r="N688" s="17" t="n">
        <v>1641</v>
      </c>
      <c r="O688" s="17" t="n">
        <v>1725</v>
      </c>
      <c r="P688" s="17" t="n">
        <v>3216</v>
      </c>
      <c r="Q688" s="17" t="n">
        <v>3952</v>
      </c>
      <c r="R688" s="17" t="n">
        <v>0</v>
      </c>
      <c r="S688" s="17" t="n">
        <v>10</v>
      </c>
      <c r="T688" s="17" t="n">
        <v>40</v>
      </c>
      <c r="U688" s="17" t="n">
        <v>0.0277840484831646</v>
      </c>
      <c r="V688" s="17" t="n">
        <v>28140</v>
      </c>
      <c r="W688" s="17" t="n">
        <v>103681</v>
      </c>
      <c r="X688" s="17" t="n">
        <v>27.1409419276435</v>
      </c>
      <c r="Y688" s="17" t="n">
        <v>256</v>
      </c>
      <c r="Z688" s="17" t="n">
        <v>0.138614772761114</v>
      </c>
      <c r="AA688" s="17" t="n">
        <v>0.93</v>
      </c>
      <c r="AB688" s="17" t="n">
        <v>3.42549547345241</v>
      </c>
      <c r="AC688" s="17" t="n">
        <v>1.35480926166699</v>
      </c>
      <c r="AD688" s="17" t="n">
        <v>0</v>
      </c>
      <c r="AE688" s="17" t="n">
        <v>1</v>
      </c>
      <c r="AF688" s="17" t="s">
        <v>361</v>
      </c>
      <c r="AG688" s="17" t="s">
        <v>211</v>
      </c>
      <c r="AH688" s="17" t="n">
        <v>1</v>
      </c>
    </row>
    <row r="689" customFormat="false" ht="15" hidden="false" customHeight="false" outlineLevel="0" collapsed="false">
      <c r="A689" s="17" t="n">
        <v>29743</v>
      </c>
      <c r="B689" s="23" t="n">
        <v>45747</v>
      </c>
      <c r="C689" s="17" t="s">
        <v>140</v>
      </c>
      <c r="D689" s="17" t="s">
        <v>108</v>
      </c>
      <c r="E689" s="17" t="n">
        <v>199014</v>
      </c>
      <c r="F689" s="17" t="n">
        <v>200989</v>
      </c>
      <c r="G689" s="17" t="n">
        <v>176536</v>
      </c>
      <c r="H689" s="17" t="n">
        <v>18836</v>
      </c>
      <c r="I689" s="17" t="n">
        <v>9.46466077763374</v>
      </c>
      <c r="J689" s="17" t="n">
        <v>136324</v>
      </c>
      <c r="K689" s="17" t="n">
        <v>135674.5</v>
      </c>
      <c r="L689" s="17" t="n">
        <v>135496</v>
      </c>
      <c r="M689" s="17" t="n">
        <v>87895</v>
      </c>
      <c r="N689" s="17" t="n">
        <v>26500</v>
      </c>
      <c r="O689" s="17" t="n">
        <v>21890</v>
      </c>
      <c r="P689" s="17" t="n">
        <v>448</v>
      </c>
      <c r="Q689" s="17" t="n">
        <v>816</v>
      </c>
      <c r="R689" s="17" t="n">
        <v>0</v>
      </c>
      <c r="S689" s="17" t="n">
        <v>36</v>
      </c>
      <c r="T689" s="17" t="n">
        <v>144</v>
      </c>
      <c r="U689" s="17" t="n">
        <v>0.106136377874988</v>
      </c>
      <c r="V689" s="17" t="n">
        <v>20708</v>
      </c>
      <c r="W689" s="17" t="n">
        <v>112494</v>
      </c>
      <c r="X689" s="17" t="n">
        <v>18.4080928760645</v>
      </c>
      <c r="Y689" s="17" t="n">
        <v>1224</v>
      </c>
      <c r="Z689" s="17" t="n">
        <v>0.608988551612277</v>
      </c>
      <c r="AA689" s="17" t="n">
        <v>6.63</v>
      </c>
      <c r="AB689" s="17" t="n">
        <v>2.66721502501885</v>
      </c>
      <c r="AC689" s="17" t="n">
        <v>0.60737654411549</v>
      </c>
      <c r="AD689" s="17" t="n">
        <v>0</v>
      </c>
      <c r="AE689" s="17" t="n">
        <v>1</v>
      </c>
      <c r="AF689" s="17" t="s">
        <v>354</v>
      </c>
      <c r="AG689" s="17" t="s">
        <v>211</v>
      </c>
      <c r="AH689" s="17" t="n">
        <v>0</v>
      </c>
    </row>
    <row r="690" customFormat="false" ht="15" hidden="false" customHeight="false" outlineLevel="0" collapsed="false">
      <c r="A690" s="17" t="n">
        <v>29744</v>
      </c>
      <c r="B690" s="23" t="n">
        <v>45747</v>
      </c>
      <c r="C690" s="17" t="s">
        <v>137</v>
      </c>
      <c r="D690" s="17" t="s">
        <v>116</v>
      </c>
      <c r="E690" s="17" t="n">
        <v>592720</v>
      </c>
      <c r="F690" s="17" t="n">
        <v>586888.5</v>
      </c>
      <c r="G690" s="17" t="n">
        <v>473305</v>
      </c>
      <c r="H690" s="17" t="n">
        <v>44713</v>
      </c>
      <c r="I690" s="17" t="n">
        <v>7.54369685517614</v>
      </c>
      <c r="J690" s="17" t="n">
        <v>448262</v>
      </c>
      <c r="K690" s="17" t="n">
        <v>442970.5</v>
      </c>
      <c r="L690" s="17" t="n">
        <v>444745</v>
      </c>
      <c r="M690" s="17" t="n">
        <v>411212</v>
      </c>
      <c r="N690" s="17" t="n">
        <v>24565</v>
      </c>
      <c r="O690" s="17" t="n">
        <v>12485</v>
      </c>
      <c r="P690" s="17" t="n">
        <v>0</v>
      </c>
      <c r="Q690" s="17" t="n">
        <v>0</v>
      </c>
      <c r="R690" s="17" t="n">
        <v>0</v>
      </c>
      <c r="S690" s="17" t="n">
        <v>-1</v>
      </c>
      <c r="T690" s="17" t="n">
        <v>-4</v>
      </c>
      <c r="U690" s="17" t="n">
        <v>-0.000902994668945223</v>
      </c>
      <c r="V690" s="17" t="n">
        <v>55162</v>
      </c>
      <c r="W690" s="17" t="n">
        <v>363763</v>
      </c>
      <c r="X690" s="17" t="n">
        <v>15.1642690433057</v>
      </c>
      <c r="Y690" s="17" t="n">
        <v>-2396</v>
      </c>
      <c r="Z690" s="17" t="n">
        <v>-0.408254719593245</v>
      </c>
      <c r="AA690" s="17" t="n">
        <v>-5.34</v>
      </c>
      <c r="AB690" s="17" t="n">
        <v>2.2587388531661</v>
      </c>
      <c r="AC690" s="17" t="n">
        <v>0.784585800268593</v>
      </c>
      <c r="AD690" s="17" t="n">
        <v>0</v>
      </c>
      <c r="AE690" s="17" t="n">
        <v>1</v>
      </c>
      <c r="AF690" s="17" t="s">
        <v>361</v>
      </c>
      <c r="AG690" s="17" t="s">
        <v>211</v>
      </c>
      <c r="AH690" s="17" t="n">
        <v>0</v>
      </c>
    </row>
    <row r="691" customFormat="false" ht="15" hidden="false" customHeight="false" outlineLevel="0" collapsed="false">
      <c r="A691" s="17" t="n">
        <v>30350</v>
      </c>
      <c r="B691" s="23" t="n">
        <v>45747</v>
      </c>
      <c r="C691" s="17" t="s">
        <v>154</v>
      </c>
      <c r="D691" s="17" t="s">
        <v>113</v>
      </c>
      <c r="E691" s="17" t="n">
        <v>609028</v>
      </c>
      <c r="F691" s="17" t="n">
        <v>601413.5</v>
      </c>
      <c r="G691" s="17" t="n">
        <v>474831</v>
      </c>
      <c r="H691" s="17" t="n">
        <v>62866</v>
      </c>
      <c r="I691" s="17" t="n">
        <v>10.3223497113433</v>
      </c>
      <c r="J691" s="17" t="n">
        <v>464716</v>
      </c>
      <c r="K691" s="17" t="n">
        <v>460550.5</v>
      </c>
      <c r="L691" s="17" t="n">
        <v>459408</v>
      </c>
      <c r="M691" s="17" t="n">
        <v>446528</v>
      </c>
      <c r="N691" s="17" t="n">
        <v>15504</v>
      </c>
      <c r="O691" s="17" t="n">
        <v>1535</v>
      </c>
      <c r="P691" s="17" t="n">
        <v>1587</v>
      </c>
      <c r="Q691" s="17" t="n">
        <v>4067</v>
      </c>
      <c r="R691" s="17" t="n">
        <v>0</v>
      </c>
      <c r="S691" s="17" t="n">
        <v>40</v>
      </c>
      <c r="T691" s="17" t="n">
        <v>160</v>
      </c>
      <c r="U691" s="17" t="n">
        <v>0.0347410327423377</v>
      </c>
      <c r="V691" s="17" t="n">
        <v>72125</v>
      </c>
      <c r="W691" s="17" t="n">
        <v>357298</v>
      </c>
      <c r="X691" s="17" t="n">
        <v>20.1862311012096</v>
      </c>
      <c r="Y691" s="17" t="n">
        <v>4672</v>
      </c>
      <c r="Z691" s="17" t="n">
        <v>0.776836569182434</v>
      </c>
      <c r="AA691" s="17" t="n">
        <v>7.55</v>
      </c>
      <c r="AB691" s="17" t="n">
        <v>2.7130241139161</v>
      </c>
      <c r="AC691" s="17" t="n">
        <v>1.14220297988449</v>
      </c>
      <c r="AD691" s="17" t="n">
        <v>0.03</v>
      </c>
      <c r="AE691" s="17" t="n">
        <v>1</v>
      </c>
      <c r="AF691" s="17" t="s">
        <v>361</v>
      </c>
      <c r="AG691" s="17" t="s">
        <v>211</v>
      </c>
      <c r="AH691" s="17" t="n">
        <v>0</v>
      </c>
    </row>
    <row r="692" customFormat="false" ht="15" hidden="false" customHeight="false" outlineLevel="0" collapsed="false">
      <c r="A692" s="17" t="n">
        <v>30878</v>
      </c>
      <c r="B692" s="23" t="n">
        <v>45747</v>
      </c>
      <c r="C692" s="17" t="s">
        <v>110</v>
      </c>
      <c r="D692" s="17" t="s">
        <v>108</v>
      </c>
      <c r="E692" s="17" t="n">
        <v>98994</v>
      </c>
      <c r="F692" s="17" t="n">
        <v>99398</v>
      </c>
      <c r="G692" s="17" t="n">
        <v>72918</v>
      </c>
      <c r="H692" s="17" t="n">
        <v>11849</v>
      </c>
      <c r="I692" s="17" t="n">
        <v>11.9694122876134</v>
      </c>
      <c r="J692" s="17" t="n">
        <v>85658</v>
      </c>
      <c r="K692" s="17" t="n">
        <v>85852</v>
      </c>
      <c r="L692" s="17" t="n">
        <v>84960</v>
      </c>
      <c r="M692" s="17" t="n">
        <v>85506</v>
      </c>
      <c r="N692" s="17" t="n">
        <v>0</v>
      </c>
      <c r="O692" s="17" t="n">
        <v>153</v>
      </c>
      <c r="P692" s="17" t="n">
        <v>1420</v>
      </c>
      <c r="Q692" s="17" t="n">
        <v>405</v>
      </c>
      <c r="R692" s="17" t="n">
        <v>0</v>
      </c>
      <c r="S692" s="17" t="n">
        <v>0</v>
      </c>
      <c r="T692" s="17" t="n">
        <v>0</v>
      </c>
      <c r="U692" s="17" t="n">
        <v>0</v>
      </c>
      <c r="V692" s="17" t="n">
        <v>0</v>
      </c>
      <c r="W692" s="17" t="n">
        <v>0</v>
      </c>
      <c r="X692" s="17" t="n">
        <v>0</v>
      </c>
      <c r="Y692" s="17" t="n">
        <v>-68</v>
      </c>
      <c r="Z692" s="17" t="n">
        <v>-0.06841183927242</v>
      </c>
      <c r="AA692" s="17" t="n">
        <v>-0.57</v>
      </c>
      <c r="AB692" s="17" t="n">
        <v>1.43458371454712</v>
      </c>
      <c r="AC692" s="17" t="n">
        <v>0.81486843026921</v>
      </c>
      <c r="AD692" s="17" t="n">
        <v>-0.09</v>
      </c>
      <c r="AE692" s="17" t="n">
        <v>1</v>
      </c>
      <c r="AF692" s="17" t="s">
        <v>354</v>
      </c>
      <c r="AG692" s="17" t="s">
        <v>232</v>
      </c>
      <c r="AH692" s="17" t="n">
        <v>1</v>
      </c>
    </row>
    <row r="693" customFormat="false" ht="15" hidden="false" customHeight="false" outlineLevel="0" collapsed="false">
      <c r="A693" s="17" t="n">
        <v>33418</v>
      </c>
      <c r="B693" s="23" t="n">
        <v>45747</v>
      </c>
      <c r="C693" s="17" t="s">
        <v>133</v>
      </c>
      <c r="D693" s="17" t="s">
        <v>113</v>
      </c>
      <c r="E693" s="17" t="n">
        <v>974770</v>
      </c>
      <c r="F693" s="17" t="n">
        <v>962426</v>
      </c>
      <c r="G693" s="17" t="n">
        <v>799352</v>
      </c>
      <c r="H693" s="17" t="n">
        <v>70425</v>
      </c>
      <c r="I693" s="17" t="n">
        <v>7.22478123044411</v>
      </c>
      <c r="J693" s="17" t="n">
        <v>608662</v>
      </c>
      <c r="K693" s="17" t="n">
        <v>594193.5</v>
      </c>
      <c r="L693" s="17" t="n">
        <v>604485</v>
      </c>
      <c r="M693" s="17" t="n">
        <v>511573</v>
      </c>
      <c r="N693" s="17" t="n">
        <v>78920</v>
      </c>
      <c r="O693" s="17" t="n">
        <v>18037</v>
      </c>
      <c r="P693" s="17" t="n">
        <v>1231</v>
      </c>
      <c r="Q693" s="17" t="n">
        <v>526</v>
      </c>
      <c r="R693" s="17" t="n">
        <v>0</v>
      </c>
      <c r="S693" s="17" t="n">
        <v>18</v>
      </c>
      <c r="T693" s="17" t="n">
        <v>72</v>
      </c>
      <c r="U693" s="17" t="n">
        <v>0.0121172648303962</v>
      </c>
      <c r="V693" s="17" t="n">
        <v>84940</v>
      </c>
      <c r="W693" s="17" t="n">
        <v>682160</v>
      </c>
      <c r="X693" s="17" t="n">
        <v>12.4516242523748</v>
      </c>
      <c r="Y693" s="17" t="n">
        <v>5772</v>
      </c>
      <c r="Z693" s="17" t="n">
        <v>0.599734421139911</v>
      </c>
      <c r="AA693" s="17" t="n">
        <v>8.24</v>
      </c>
      <c r="AB693" s="17" t="n">
        <v>2.57488790792595</v>
      </c>
      <c r="AC693" s="17" t="n">
        <v>0.686259368910824</v>
      </c>
      <c r="AD693" s="17" t="n">
        <v>0.2</v>
      </c>
      <c r="AE693" s="17" t="n">
        <v>1</v>
      </c>
      <c r="AF693" s="17" t="s">
        <v>210</v>
      </c>
      <c r="AG693" s="17" t="s">
        <v>211</v>
      </c>
      <c r="AH693" s="17" t="n">
        <v>0</v>
      </c>
    </row>
    <row r="694" customFormat="false" ht="15" hidden="false" customHeight="false" outlineLevel="0" collapsed="false">
      <c r="A694" s="17" t="n">
        <v>35206</v>
      </c>
      <c r="B694" s="23" t="n">
        <v>45747</v>
      </c>
      <c r="C694" s="17" t="s">
        <v>166</v>
      </c>
      <c r="D694" s="17" t="s">
        <v>116</v>
      </c>
      <c r="E694" s="17" t="n">
        <v>67144</v>
      </c>
      <c r="F694" s="17" t="n">
        <v>65246</v>
      </c>
      <c r="G694" s="17" t="n">
        <v>500</v>
      </c>
      <c r="H694" s="17" t="n">
        <v>65181</v>
      </c>
      <c r="I694" s="17" t="n">
        <v>97.0764327415704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0</v>
      </c>
      <c r="O694" s="17" t="n">
        <v>0</v>
      </c>
      <c r="P694" s="17" t="n">
        <v>0</v>
      </c>
      <c r="Q694" s="17" t="n">
        <v>0</v>
      </c>
      <c r="R694" s="17" t="n">
        <v>0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18820</v>
      </c>
      <c r="Z694" s="17" t="n">
        <v>28.844680133648</v>
      </c>
      <c r="AA694" s="17" t="n">
        <v>29.95</v>
      </c>
      <c r="AB694" s="17" t="n">
        <v>4.23196683239003</v>
      </c>
      <c r="AC694" s="17" t="n">
        <v>0</v>
      </c>
      <c r="AD694" s="17" t="n">
        <v>0</v>
      </c>
      <c r="AE694" s="17" t="n">
        <v>1</v>
      </c>
      <c r="AF694" s="17" t="s">
        <v>361</v>
      </c>
      <c r="AG694" s="17" t="s">
        <v>211</v>
      </c>
      <c r="AH694" s="17" t="n">
        <v>0</v>
      </c>
    </row>
    <row r="695" customFormat="false" ht="15" hidden="false" customHeight="false" outlineLevel="0" collapsed="false">
      <c r="A695" s="17" t="n">
        <v>59086</v>
      </c>
      <c r="B695" s="23" t="n">
        <v>45747</v>
      </c>
      <c r="C695" s="17" t="s">
        <v>141</v>
      </c>
      <c r="D695" s="17" t="s">
        <v>116</v>
      </c>
      <c r="E695" s="17" t="n">
        <v>699078</v>
      </c>
      <c r="F695" s="17" t="n">
        <v>703961</v>
      </c>
      <c r="G695" s="17" t="n">
        <v>590147</v>
      </c>
      <c r="H695" s="17" t="n">
        <v>102573</v>
      </c>
      <c r="I695" s="17" t="n">
        <v>14.6726116399028</v>
      </c>
      <c r="J695" s="17" t="n">
        <v>604662</v>
      </c>
      <c r="K695" s="17" t="n">
        <v>601866.5</v>
      </c>
      <c r="L695" s="17" t="n">
        <v>598779</v>
      </c>
      <c r="M695" s="17" t="n">
        <v>482306</v>
      </c>
      <c r="N695" s="17" t="n">
        <v>122650</v>
      </c>
      <c r="O695" s="17" t="n">
        <v>0</v>
      </c>
      <c r="P695" s="17" t="n">
        <v>4011</v>
      </c>
      <c r="Q695" s="17" t="n">
        <v>5858</v>
      </c>
      <c r="R695" s="17" t="n">
        <v>100</v>
      </c>
      <c r="S695" s="17" t="n">
        <v>-1</v>
      </c>
      <c r="T695" s="17" t="n">
        <v>-4</v>
      </c>
      <c r="U695" s="17" t="n">
        <v>-0.000664599209293091</v>
      </c>
      <c r="V695" s="17" t="n">
        <v>109603</v>
      </c>
      <c r="W695" s="17" t="n">
        <v>649331</v>
      </c>
      <c r="X695" s="17" t="n">
        <v>16.87937276982</v>
      </c>
      <c r="Y695" s="17" t="n">
        <v>9660</v>
      </c>
      <c r="Z695" s="17" t="n">
        <v>1.37223510961545</v>
      </c>
      <c r="AA695" s="17" t="n">
        <v>9.54</v>
      </c>
      <c r="AB695" s="17" t="n">
        <v>3.7878842642324</v>
      </c>
      <c r="AC695" s="17" t="n">
        <v>0.972940254224674</v>
      </c>
      <c r="AD695" s="17" t="n">
        <v>0.05</v>
      </c>
      <c r="AE695" s="17" t="n">
        <v>1</v>
      </c>
      <c r="AF695" s="17" t="s">
        <v>231</v>
      </c>
      <c r="AG695" s="17" t="s">
        <v>232</v>
      </c>
      <c r="AH695" s="17" t="n">
        <v>0</v>
      </c>
    </row>
    <row r="696" customFormat="false" ht="15" hidden="false" customHeight="false" outlineLevel="0" collapsed="false">
      <c r="A696" s="17" t="n">
        <v>59176</v>
      </c>
      <c r="B696" s="23" t="n">
        <v>45747</v>
      </c>
      <c r="C696" s="17" t="s">
        <v>151</v>
      </c>
      <c r="D696" s="17" t="s">
        <v>116</v>
      </c>
      <c r="E696" s="17" t="n">
        <v>253661</v>
      </c>
      <c r="F696" s="17" t="n">
        <v>245521</v>
      </c>
      <c r="G696" s="17" t="n">
        <v>203852</v>
      </c>
      <c r="H696" s="17" t="n">
        <v>27423</v>
      </c>
      <c r="I696" s="17" t="n">
        <v>10.8108853942861</v>
      </c>
      <c r="J696" s="17" t="n">
        <v>193343</v>
      </c>
      <c r="K696" s="17" t="n">
        <v>187047.5</v>
      </c>
      <c r="L696" s="17" t="n">
        <v>191538</v>
      </c>
      <c r="M696" s="17" t="n">
        <v>166487</v>
      </c>
      <c r="N696" s="17" t="n">
        <v>25658</v>
      </c>
      <c r="O696" s="17" t="n">
        <v>0</v>
      </c>
      <c r="P696" s="17" t="n">
        <v>0</v>
      </c>
      <c r="Q696" s="17" t="n">
        <v>0</v>
      </c>
      <c r="R696" s="17" t="n">
        <v>0</v>
      </c>
      <c r="S696" s="17" t="n">
        <v>0</v>
      </c>
      <c r="T696" s="17" t="n">
        <v>0</v>
      </c>
      <c r="U696" s="17" t="n">
        <v>0</v>
      </c>
      <c r="V696" s="17" t="n">
        <v>0</v>
      </c>
      <c r="W696" s="17" t="n">
        <v>0</v>
      </c>
      <c r="X696" s="17" t="n">
        <v>0</v>
      </c>
      <c r="Y696" s="17" t="n">
        <v>484</v>
      </c>
      <c r="Z696" s="17" t="n">
        <v>0.197131813571955</v>
      </c>
      <c r="AA696" s="17" t="n">
        <v>1.77</v>
      </c>
      <c r="AB696" s="17" t="n">
        <v>2.8022107639942</v>
      </c>
      <c r="AC696" s="17" t="n">
        <v>0.933574010954625</v>
      </c>
      <c r="AD696" s="17" t="n">
        <v>0.16</v>
      </c>
      <c r="AE696" s="17" t="n">
        <v>1</v>
      </c>
      <c r="AF696" s="17" t="s">
        <v>231</v>
      </c>
      <c r="AG696" s="17" t="s">
        <v>232</v>
      </c>
      <c r="AH696" s="17" t="n">
        <v>0</v>
      </c>
    </row>
    <row r="697" customFormat="false" ht="15" hidden="false" customHeight="false" outlineLevel="0" collapsed="false">
      <c r="A697" s="17" t="n">
        <v>59289</v>
      </c>
      <c r="B697" s="23" t="n">
        <v>45747</v>
      </c>
      <c r="C697" s="17" t="s">
        <v>121</v>
      </c>
      <c r="D697" s="17" t="s">
        <v>116</v>
      </c>
      <c r="E697" s="17" t="n">
        <v>130262</v>
      </c>
      <c r="F697" s="17" t="n">
        <v>127014</v>
      </c>
      <c r="G697" s="17" t="n">
        <v>113554</v>
      </c>
      <c r="H697" s="17" t="n">
        <v>15654</v>
      </c>
      <c r="I697" s="17" t="n">
        <v>12.0173189418249</v>
      </c>
      <c r="J697" s="17" t="n">
        <v>97607</v>
      </c>
      <c r="K697" s="17" t="n">
        <v>91913</v>
      </c>
      <c r="L697" s="17" t="n">
        <v>96952</v>
      </c>
      <c r="M697" s="17" t="n">
        <v>38027</v>
      </c>
      <c r="N697" s="17" t="n">
        <v>47651</v>
      </c>
      <c r="O697" s="17" t="n">
        <v>0</v>
      </c>
      <c r="P697" s="17" t="n">
        <v>4568</v>
      </c>
      <c r="Q697" s="17" t="n">
        <v>174</v>
      </c>
      <c r="R697" s="17" t="n">
        <v>0</v>
      </c>
      <c r="S697" s="17" t="n">
        <v>33</v>
      </c>
      <c r="T697" s="17" t="n">
        <v>132</v>
      </c>
      <c r="U697" s="17" t="n">
        <v>0.143614069826902</v>
      </c>
      <c r="V697" s="17" t="n">
        <v>0</v>
      </c>
      <c r="W697" s="17" t="n">
        <v>0</v>
      </c>
      <c r="X697" s="17" t="n">
        <v>0</v>
      </c>
      <c r="Y697" s="17" t="n">
        <v>-816</v>
      </c>
      <c r="Z697" s="17" t="n">
        <v>-0.642448863904766</v>
      </c>
      <c r="AA697" s="17" t="n">
        <v>-5.18</v>
      </c>
      <c r="AB697" s="17" t="n">
        <v>3.91613321903266</v>
      </c>
      <c r="AC697" s="17" t="n">
        <v>0.671058428186503</v>
      </c>
      <c r="AD697" s="17" t="n">
        <v>0.36</v>
      </c>
      <c r="AE697" s="17" t="n">
        <v>1</v>
      </c>
      <c r="AF697" s="17" t="s">
        <v>241</v>
      </c>
      <c r="AG697" s="17" t="s">
        <v>232</v>
      </c>
      <c r="AH697" s="17" t="n">
        <v>0</v>
      </c>
    </row>
    <row r="698" customFormat="false" ht="15" hidden="false" customHeight="false" outlineLevel="0" collapsed="false">
      <c r="A698" s="17" t="n">
        <v>59298</v>
      </c>
      <c r="B698" s="23" t="n">
        <v>45747</v>
      </c>
      <c r="C698" s="17" t="s">
        <v>160</v>
      </c>
      <c r="D698" s="17" t="s">
        <v>113</v>
      </c>
      <c r="E698" s="17" t="n">
        <v>273586</v>
      </c>
      <c r="F698" s="17" t="n">
        <v>267371.5</v>
      </c>
      <c r="G698" s="17" t="n">
        <v>247768</v>
      </c>
      <c r="H698" s="17" t="n">
        <v>24927</v>
      </c>
      <c r="I698" s="17" t="n">
        <v>9.11121183101475</v>
      </c>
      <c r="J698" s="17" t="n">
        <v>143380</v>
      </c>
      <c r="K698" s="17" t="n">
        <v>140477</v>
      </c>
      <c r="L698" s="17" t="n">
        <v>142208</v>
      </c>
      <c r="M698" s="17" t="n">
        <v>109081</v>
      </c>
      <c r="N698" s="17" t="n">
        <v>34338</v>
      </c>
      <c r="O698" s="17" t="n">
        <v>0</v>
      </c>
      <c r="P698" s="17" t="n">
        <v>0</v>
      </c>
      <c r="Q698" s="17" t="n">
        <v>0</v>
      </c>
      <c r="R698" s="17" t="n">
        <v>0</v>
      </c>
      <c r="S698" s="17" t="n">
        <v>0</v>
      </c>
      <c r="T698" s="17" t="n">
        <v>0</v>
      </c>
      <c r="U698" s="17" t="n">
        <v>0</v>
      </c>
      <c r="V698" s="17" t="n">
        <v>26336</v>
      </c>
      <c r="W698" s="17" t="n">
        <v>147716</v>
      </c>
      <c r="X698" s="17" t="n">
        <v>17.8288066289366</v>
      </c>
      <c r="Y698" s="17" t="n">
        <v>56</v>
      </c>
      <c r="Z698" s="17" t="n">
        <v>0.0209446406965589</v>
      </c>
      <c r="AA698" s="17" t="n">
        <v>0.23</v>
      </c>
      <c r="AB698" s="17" t="n">
        <v>2.31554886483537</v>
      </c>
      <c r="AC698" s="17" t="n">
        <v>0.817408285674432</v>
      </c>
      <c r="AD698" s="17" t="n">
        <v>0.08</v>
      </c>
      <c r="AE698" s="17" t="n">
        <v>1</v>
      </c>
      <c r="AF698" s="17" t="s">
        <v>231</v>
      </c>
      <c r="AG698" s="17" t="s">
        <v>232</v>
      </c>
      <c r="AH698" s="17" t="n">
        <v>0</v>
      </c>
    </row>
    <row r="699" customFormat="false" ht="15" hidden="false" customHeight="false" outlineLevel="0" collapsed="false">
      <c r="A699" s="17" t="n">
        <v>4255</v>
      </c>
      <c r="B699" s="23" t="n">
        <v>45838</v>
      </c>
      <c r="C699" s="17" t="s">
        <v>126</v>
      </c>
      <c r="D699" s="17" t="s">
        <v>108</v>
      </c>
      <c r="E699" s="17" t="n">
        <v>6902692</v>
      </c>
      <c r="F699" s="17" t="n">
        <v>6547032.33333333</v>
      </c>
      <c r="G699" s="17" t="n">
        <v>5545916</v>
      </c>
      <c r="H699" s="17" t="n">
        <v>687541</v>
      </c>
      <c r="I699" s="17" t="n">
        <v>9.96047628954037</v>
      </c>
      <c r="J699" s="17" t="n">
        <v>4953936</v>
      </c>
      <c r="K699" s="17" t="n">
        <v>4658796.33333333</v>
      </c>
      <c r="L699" s="17" t="n">
        <v>4900914</v>
      </c>
      <c r="M699" s="17" t="n">
        <v>4456325</v>
      </c>
      <c r="N699" s="17" t="n">
        <v>341829</v>
      </c>
      <c r="O699" s="17" t="n">
        <v>23213</v>
      </c>
      <c r="P699" s="17" t="n">
        <v>18177</v>
      </c>
      <c r="Q699" s="17" t="n">
        <v>4114</v>
      </c>
      <c r="R699" s="17" t="n">
        <v>0</v>
      </c>
      <c r="S699" s="17" t="n">
        <v>1246</v>
      </c>
      <c r="T699" s="17" t="n">
        <v>2492</v>
      </c>
      <c r="U699" s="17" t="n">
        <v>0.0534902112412584</v>
      </c>
      <c r="V699" s="17" t="n">
        <v>620620</v>
      </c>
      <c r="W699" s="17" t="n">
        <v>4828252</v>
      </c>
      <c r="X699" s="17" t="n">
        <v>12.8539272598033</v>
      </c>
      <c r="Y699" s="17" t="n">
        <v>47078</v>
      </c>
      <c r="Z699" s="17" t="n">
        <v>0.719073888795519</v>
      </c>
      <c r="AA699" s="17" t="n">
        <v>7.44</v>
      </c>
      <c r="AB699" s="17" t="n">
        <v>3.34318547116715</v>
      </c>
      <c r="AC699" s="17" t="n">
        <v>1.07030046411581</v>
      </c>
      <c r="AD699" s="17" t="n">
        <v>0.5</v>
      </c>
      <c r="AE699" s="17" t="n">
        <v>1</v>
      </c>
      <c r="AF699" s="17" t="s">
        <v>210</v>
      </c>
      <c r="AG699" s="17" t="s">
        <v>211</v>
      </c>
      <c r="AH699" s="17" t="n">
        <v>0</v>
      </c>
    </row>
    <row r="700" customFormat="false" ht="15" hidden="false" customHeight="false" outlineLevel="0" collapsed="false">
      <c r="A700" s="17" t="n">
        <v>4256</v>
      </c>
      <c r="B700" s="23" t="n">
        <v>45838</v>
      </c>
      <c r="C700" s="17" t="s">
        <v>135</v>
      </c>
      <c r="D700" s="17" t="s">
        <v>108</v>
      </c>
      <c r="E700" s="17" t="n">
        <v>3164056</v>
      </c>
      <c r="F700" s="17" t="n">
        <v>3145759.33333333</v>
      </c>
      <c r="G700" s="17" t="n">
        <v>2706351</v>
      </c>
      <c r="H700" s="17" t="n">
        <v>236733</v>
      </c>
      <c r="I700" s="17" t="n">
        <v>7.48194722217306</v>
      </c>
      <c r="J700" s="17" t="n">
        <v>2394007</v>
      </c>
      <c r="K700" s="17" t="n">
        <v>2372699</v>
      </c>
      <c r="L700" s="17" t="n">
        <v>2369178</v>
      </c>
      <c r="M700" s="17" t="n">
        <v>1881786</v>
      </c>
      <c r="N700" s="17" t="n">
        <v>379671</v>
      </c>
      <c r="O700" s="17" t="n">
        <v>20559</v>
      </c>
      <c r="P700" s="17" t="n">
        <v>6039</v>
      </c>
      <c r="Q700" s="17" t="n">
        <v>3028</v>
      </c>
      <c r="R700" s="17" t="n">
        <v>457</v>
      </c>
      <c r="S700" s="17" t="n">
        <v>786</v>
      </c>
      <c r="T700" s="17" t="n">
        <v>1572</v>
      </c>
      <c r="U700" s="17" t="n">
        <v>0.0662536630225747</v>
      </c>
      <c r="V700" s="17" t="n">
        <v>296301</v>
      </c>
      <c r="W700" s="17" t="n">
        <v>2235181</v>
      </c>
      <c r="X700" s="17" t="n">
        <v>13.2562418882408</v>
      </c>
      <c r="Y700" s="17" t="n">
        <v>31504</v>
      </c>
      <c r="Z700" s="17" t="n">
        <v>1.00147521350966</v>
      </c>
      <c r="AA700" s="17" t="n">
        <v>13.67</v>
      </c>
      <c r="AB700" s="17" t="n">
        <v>2.44163706624033</v>
      </c>
      <c r="AC700" s="17" t="n">
        <v>1.03713147037582</v>
      </c>
      <c r="AD700" s="17" t="n">
        <v>0.06</v>
      </c>
      <c r="AE700" s="17" t="n">
        <v>1</v>
      </c>
      <c r="AF700" s="17" t="s">
        <v>210</v>
      </c>
      <c r="AG700" s="17" t="s">
        <v>211</v>
      </c>
      <c r="AH700" s="17" t="n">
        <v>0</v>
      </c>
    </row>
    <row r="701" customFormat="false" ht="15" hidden="false" customHeight="false" outlineLevel="0" collapsed="false">
      <c r="A701" s="17" t="n">
        <v>6271</v>
      </c>
      <c r="B701" s="23" t="n">
        <v>45838</v>
      </c>
      <c r="C701" s="17" t="s">
        <v>147</v>
      </c>
      <c r="D701" s="17" t="s">
        <v>113</v>
      </c>
      <c r="E701" s="17" t="n">
        <v>1166044</v>
      </c>
      <c r="F701" s="17" t="n">
        <v>1200550.66666667</v>
      </c>
      <c r="G701" s="17" t="n">
        <v>934460</v>
      </c>
      <c r="H701" s="17" t="n">
        <v>118181</v>
      </c>
      <c r="I701" s="17" t="n">
        <v>10.1352093059953</v>
      </c>
      <c r="J701" s="17" t="n">
        <v>943328</v>
      </c>
      <c r="K701" s="17" t="n">
        <v>937787.333333333</v>
      </c>
      <c r="L701" s="17" t="n">
        <v>932778</v>
      </c>
      <c r="M701" s="17" t="n">
        <v>758237</v>
      </c>
      <c r="N701" s="17" t="n">
        <v>126312</v>
      </c>
      <c r="O701" s="17" t="n">
        <v>10804</v>
      </c>
      <c r="P701" s="17" t="n">
        <v>8674</v>
      </c>
      <c r="Q701" s="17" t="n">
        <v>759</v>
      </c>
      <c r="R701" s="17" t="n">
        <v>557</v>
      </c>
      <c r="S701" s="17" t="n">
        <v>74</v>
      </c>
      <c r="T701" s="17" t="n">
        <v>148</v>
      </c>
      <c r="U701" s="17" t="n">
        <v>0.0157818297112138</v>
      </c>
      <c r="V701" s="17" t="n">
        <v>130047</v>
      </c>
      <c r="W701" s="17" t="n">
        <v>875964</v>
      </c>
      <c r="X701" s="17" t="n">
        <v>14.8461580612902</v>
      </c>
      <c r="Y701" s="17" t="n">
        <v>16332</v>
      </c>
      <c r="Z701" s="17" t="n">
        <v>1.3603757386888</v>
      </c>
      <c r="AA701" s="17" t="n">
        <v>14.26</v>
      </c>
      <c r="AB701" s="17" t="n">
        <v>3.50631044981212</v>
      </c>
      <c r="AC701" s="17" t="n">
        <v>1.11838088130534</v>
      </c>
      <c r="AD701" s="17" t="n">
        <v>0.12</v>
      </c>
      <c r="AE701" s="17" t="n">
        <v>1</v>
      </c>
      <c r="AF701" s="17" t="s">
        <v>210</v>
      </c>
      <c r="AG701" s="17" t="s">
        <v>211</v>
      </c>
      <c r="AH701" s="17" t="n">
        <v>0</v>
      </c>
    </row>
    <row r="702" customFormat="false" ht="15" hidden="false" customHeight="false" outlineLevel="0" collapsed="false">
      <c r="A702" s="17" t="n">
        <v>6275</v>
      </c>
      <c r="B702" s="23" t="n">
        <v>45838</v>
      </c>
      <c r="C702" s="17" t="s">
        <v>165</v>
      </c>
      <c r="D702" s="17" t="s">
        <v>113</v>
      </c>
      <c r="E702" s="17" t="n">
        <v>552605</v>
      </c>
      <c r="F702" s="17" t="n">
        <v>549135</v>
      </c>
      <c r="G702" s="17" t="n">
        <v>506456</v>
      </c>
      <c r="H702" s="17" t="n">
        <v>38291</v>
      </c>
      <c r="I702" s="17" t="n">
        <v>6.92918087965183</v>
      </c>
      <c r="J702" s="17" t="n">
        <v>349565</v>
      </c>
      <c r="K702" s="17" t="n">
        <v>349018.666666667</v>
      </c>
      <c r="L702" s="17" t="n">
        <v>348242</v>
      </c>
      <c r="M702" s="17" t="n">
        <v>299164</v>
      </c>
      <c r="N702" s="17" t="n">
        <v>32839</v>
      </c>
      <c r="O702" s="17" t="n">
        <v>7076</v>
      </c>
      <c r="P702" s="17" t="n">
        <v>652</v>
      </c>
      <c r="Q702" s="17" t="n">
        <v>488</v>
      </c>
      <c r="R702" s="17" t="n">
        <v>0</v>
      </c>
      <c r="S702" s="17" t="n">
        <v>8</v>
      </c>
      <c r="T702" s="17" t="n">
        <v>16</v>
      </c>
      <c r="U702" s="17" t="n">
        <v>0.00458428202503018</v>
      </c>
      <c r="V702" s="17" t="n">
        <v>52345</v>
      </c>
      <c r="W702" s="17" t="n">
        <v>327551</v>
      </c>
      <c r="X702" s="17" t="n">
        <v>15.9807175065868</v>
      </c>
      <c r="Y702" s="17" t="n">
        <v>4444</v>
      </c>
      <c r="Z702" s="17" t="n">
        <v>0.80927276534914</v>
      </c>
      <c r="AA702" s="17" t="n">
        <v>12.34</v>
      </c>
      <c r="AB702" s="17" t="n">
        <v>3.25032492027984</v>
      </c>
      <c r="AC702" s="17" t="n">
        <v>0.378470384620886</v>
      </c>
      <c r="AD702" s="17" t="n">
        <v>-0.01</v>
      </c>
      <c r="AE702" s="17" t="n">
        <v>1</v>
      </c>
      <c r="AF702" s="17" t="s">
        <v>210</v>
      </c>
      <c r="AG702" s="17" t="s">
        <v>211</v>
      </c>
      <c r="AH702" s="17" t="n">
        <v>0</v>
      </c>
    </row>
    <row r="703" customFormat="false" ht="15" hidden="false" customHeight="false" outlineLevel="0" collapsed="false">
      <c r="A703" s="17" t="n">
        <v>6280</v>
      </c>
      <c r="B703" s="23" t="n">
        <v>45838</v>
      </c>
      <c r="C703" s="17" t="s">
        <v>138</v>
      </c>
      <c r="D703" s="17" t="s">
        <v>113</v>
      </c>
      <c r="E703" s="17" t="n">
        <v>87770</v>
      </c>
      <c r="F703" s="17" t="n">
        <v>87813</v>
      </c>
      <c r="G703" s="17" t="n">
        <v>77256</v>
      </c>
      <c r="H703" s="17" t="n">
        <v>9949</v>
      </c>
      <c r="I703" s="17" t="n">
        <v>11.3353081918651</v>
      </c>
      <c r="J703" s="17" t="n">
        <v>73100</v>
      </c>
      <c r="K703" s="17" t="n">
        <v>71892.3333333333</v>
      </c>
      <c r="L703" s="17" t="n">
        <v>72150</v>
      </c>
      <c r="M703" s="17" t="n">
        <v>64947</v>
      </c>
      <c r="N703" s="17" t="n">
        <v>3899</v>
      </c>
      <c r="O703" s="17" t="n">
        <v>1311</v>
      </c>
      <c r="P703" s="17" t="n">
        <v>1455</v>
      </c>
      <c r="Q703" s="17" t="n">
        <v>592</v>
      </c>
      <c r="R703" s="17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1200</v>
      </c>
      <c r="Z703" s="17" t="n">
        <v>1.36654026169246</v>
      </c>
      <c r="AA703" s="17" t="n">
        <v>12.13</v>
      </c>
      <c r="AB703" s="17" t="n">
        <v>4.53943407585792</v>
      </c>
      <c r="AC703" s="17" t="n">
        <v>1.29958960328317</v>
      </c>
      <c r="AD703" s="17" t="n">
        <v>0.09</v>
      </c>
      <c r="AE703" s="17" t="n">
        <v>1</v>
      </c>
      <c r="AF703" s="17" t="s">
        <v>210</v>
      </c>
      <c r="AG703" s="17" t="s">
        <v>211</v>
      </c>
      <c r="AH703" s="17" t="n">
        <v>0</v>
      </c>
    </row>
    <row r="704" customFormat="false" ht="15" hidden="false" customHeight="false" outlineLevel="0" collapsed="false">
      <c r="A704" s="17" t="n">
        <v>11971</v>
      </c>
      <c r="B704" s="23" t="n">
        <v>45838</v>
      </c>
      <c r="C704" s="17" t="s">
        <v>134</v>
      </c>
      <c r="D704" s="17" t="s">
        <v>108</v>
      </c>
      <c r="E704" s="17" t="n">
        <v>4106441</v>
      </c>
      <c r="F704" s="17" t="n">
        <v>4081079.33333333</v>
      </c>
      <c r="G704" s="17" t="n">
        <v>3299177</v>
      </c>
      <c r="H704" s="17" t="n">
        <v>503270</v>
      </c>
      <c r="I704" s="17" t="n">
        <v>12.2556247611983</v>
      </c>
      <c r="J704" s="17" t="n">
        <v>3155492</v>
      </c>
      <c r="K704" s="17" t="n">
        <v>3143192.66666667</v>
      </c>
      <c r="L704" s="17" t="n">
        <v>3126607</v>
      </c>
      <c r="M704" s="17" t="n">
        <v>2795776</v>
      </c>
      <c r="N704" s="17" t="n">
        <v>220343</v>
      </c>
      <c r="O704" s="17" t="n">
        <v>8096</v>
      </c>
      <c r="P704" s="17" t="n">
        <v>9732</v>
      </c>
      <c r="Q704" s="17" t="n">
        <v>2331</v>
      </c>
      <c r="R704" s="17" t="n">
        <v>429</v>
      </c>
      <c r="S704" s="17" t="n">
        <v>330</v>
      </c>
      <c r="T704" s="17" t="n">
        <v>660</v>
      </c>
      <c r="U704" s="17" t="n">
        <v>0.0209977583302243</v>
      </c>
      <c r="V704" s="17" t="n">
        <v>460827</v>
      </c>
      <c r="W704" s="17" t="n">
        <v>3357921</v>
      </c>
      <c r="X704" s="17" t="n">
        <v>13.7235807513042</v>
      </c>
      <c r="Y704" s="17" t="n">
        <v>39154</v>
      </c>
      <c r="Z704" s="17" t="n">
        <v>0.959403059876807</v>
      </c>
      <c r="AA704" s="17" t="n">
        <v>7.85</v>
      </c>
      <c r="AB704" s="17" t="n">
        <v>3.28061409824441</v>
      </c>
      <c r="AC704" s="17" t="n">
        <v>0.915388155000868</v>
      </c>
      <c r="AD704" s="17" t="n">
        <v>0.06</v>
      </c>
      <c r="AE704" s="17" t="n">
        <v>1</v>
      </c>
      <c r="AF704" s="17" t="s">
        <v>231</v>
      </c>
      <c r="AG704" s="17" t="s">
        <v>232</v>
      </c>
      <c r="AH704" s="17" t="n">
        <v>0</v>
      </c>
    </row>
    <row r="705" customFormat="false" ht="15" hidden="false" customHeight="false" outlineLevel="0" collapsed="false">
      <c r="A705" s="17" t="n">
        <v>12874</v>
      </c>
      <c r="B705" s="23" t="n">
        <v>45838</v>
      </c>
      <c r="C705" s="17" t="s">
        <v>159</v>
      </c>
      <c r="D705" s="17" t="s">
        <v>108</v>
      </c>
      <c r="E705" s="17" t="n">
        <v>1085692</v>
      </c>
      <c r="F705" s="17" t="n">
        <v>1081128.33333333</v>
      </c>
      <c r="G705" s="17" t="n">
        <v>934861</v>
      </c>
      <c r="H705" s="17" t="n">
        <v>100553</v>
      </c>
      <c r="I705" s="17" t="n">
        <v>9.26165063388143</v>
      </c>
      <c r="J705" s="17" t="n">
        <v>846746</v>
      </c>
      <c r="K705" s="17" t="n">
        <v>841594.666666667</v>
      </c>
      <c r="L705" s="17" t="n">
        <v>838439</v>
      </c>
      <c r="M705" s="17" t="n">
        <v>669261</v>
      </c>
      <c r="N705" s="17" t="n">
        <v>156764</v>
      </c>
      <c r="O705" s="17" t="n">
        <v>4179</v>
      </c>
      <c r="P705" s="17" t="n">
        <v>1392</v>
      </c>
      <c r="Q705" s="17" t="n">
        <v>2891</v>
      </c>
      <c r="R705" s="17" t="n">
        <v>0</v>
      </c>
      <c r="S705" s="17" t="n">
        <v>18</v>
      </c>
      <c r="T705" s="17" t="n">
        <v>36</v>
      </c>
      <c r="U705" s="17" t="n">
        <v>0.004277593647615</v>
      </c>
      <c r="V705" s="17" t="n">
        <v>114896</v>
      </c>
      <c r="W705" s="17" t="n">
        <v>802927</v>
      </c>
      <c r="X705" s="17" t="n">
        <v>14.3096445878642</v>
      </c>
      <c r="Y705" s="17" t="n">
        <v>10148</v>
      </c>
      <c r="Z705" s="17" t="n">
        <v>0.938648973217796</v>
      </c>
      <c r="AA705" s="17" t="n">
        <v>10.27</v>
      </c>
      <c r="AB705" s="17" t="n">
        <v>3.8021088052053</v>
      </c>
      <c r="AC705" s="17" t="n">
        <v>0.981049807144055</v>
      </c>
      <c r="AD705" s="17" t="n">
        <v>-0.03</v>
      </c>
      <c r="AE705" s="17" t="n">
        <v>1</v>
      </c>
      <c r="AF705" s="17" t="s">
        <v>231</v>
      </c>
      <c r="AG705" s="17" t="s">
        <v>232</v>
      </c>
      <c r="AH705" s="17" t="n">
        <v>0</v>
      </c>
    </row>
    <row r="706" customFormat="false" ht="15" hidden="false" customHeight="false" outlineLevel="0" collapsed="false">
      <c r="A706" s="17" t="n">
        <v>13063</v>
      </c>
      <c r="B706" s="23" t="n">
        <v>45838</v>
      </c>
      <c r="C706" s="17" t="s">
        <v>139</v>
      </c>
      <c r="D706" s="17" t="s">
        <v>108</v>
      </c>
      <c r="E706" s="17" t="n">
        <v>1933479</v>
      </c>
      <c r="F706" s="17" t="n">
        <v>1900378.33333333</v>
      </c>
      <c r="G706" s="17" t="n">
        <v>1642187</v>
      </c>
      <c r="H706" s="17" t="n">
        <v>165281</v>
      </c>
      <c r="I706" s="17" t="n">
        <v>8.548373165677</v>
      </c>
      <c r="J706" s="17" t="n">
        <v>1559292</v>
      </c>
      <c r="K706" s="17" t="n">
        <v>1530713</v>
      </c>
      <c r="L706" s="17" t="n">
        <v>1542396</v>
      </c>
      <c r="M706" s="17" t="n">
        <v>1474935</v>
      </c>
      <c r="N706" s="17" t="n">
        <v>74647</v>
      </c>
      <c r="O706" s="17" t="n">
        <v>870</v>
      </c>
      <c r="P706" s="17" t="n">
        <v>2263</v>
      </c>
      <c r="Q706" s="17" t="n">
        <v>10952</v>
      </c>
      <c r="R706" s="17" t="n">
        <v>183</v>
      </c>
      <c r="S706" s="17" t="n">
        <v>45</v>
      </c>
      <c r="T706" s="17" t="n">
        <v>90</v>
      </c>
      <c r="U706" s="17" t="n">
        <v>0.00587961296467725</v>
      </c>
      <c r="V706" s="17" t="n">
        <v>0</v>
      </c>
      <c r="W706" s="17" t="n">
        <v>0</v>
      </c>
      <c r="X706" s="17" t="n">
        <v>0</v>
      </c>
      <c r="Y706" s="17" t="n">
        <v>11802</v>
      </c>
      <c r="Z706" s="17" t="n">
        <v>0.621034232657182</v>
      </c>
      <c r="AA706" s="17" t="n">
        <v>7.39</v>
      </c>
      <c r="AB706" s="17" t="n">
        <v>3.40567672960564</v>
      </c>
      <c r="AC706" s="17" t="n">
        <v>1.08356869656229</v>
      </c>
      <c r="AD706" s="17" t="n">
        <v>0.04</v>
      </c>
      <c r="AE706" s="17" t="n">
        <v>1</v>
      </c>
      <c r="AF706" s="17" t="s">
        <v>241</v>
      </c>
      <c r="AG706" s="17" t="s">
        <v>232</v>
      </c>
      <c r="AH706" s="17" t="n">
        <v>0</v>
      </c>
    </row>
    <row r="707" customFormat="false" ht="15" hidden="false" customHeight="false" outlineLevel="0" collapsed="false">
      <c r="A707" s="17" t="n">
        <v>14134</v>
      </c>
      <c r="B707" s="23" t="n">
        <v>45838</v>
      </c>
      <c r="C707" s="17" t="s">
        <v>155</v>
      </c>
      <c r="D707" s="17" t="s">
        <v>113</v>
      </c>
      <c r="E707" s="17" t="n">
        <v>882477</v>
      </c>
      <c r="F707" s="17" t="n">
        <v>885290.333333333</v>
      </c>
      <c r="G707" s="17" t="n">
        <v>701612</v>
      </c>
      <c r="H707" s="17" t="n">
        <v>116115</v>
      </c>
      <c r="I707" s="17" t="n">
        <v>13.1578500062891</v>
      </c>
      <c r="J707" s="17" t="n">
        <v>634955</v>
      </c>
      <c r="K707" s="17" t="n">
        <v>635442.666666667</v>
      </c>
      <c r="L707" s="17" t="n">
        <v>627833</v>
      </c>
      <c r="M707" s="17" t="n">
        <v>566443</v>
      </c>
      <c r="N707" s="17" t="n">
        <v>27002</v>
      </c>
      <c r="O707" s="17" t="n">
        <v>21129</v>
      </c>
      <c r="P707" s="17" t="n">
        <v>2713</v>
      </c>
      <c r="Q707" s="17" t="n">
        <v>5310</v>
      </c>
      <c r="R707" s="17" t="n">
        <v>0</v>
      </c>
      <c r="S707" s="17" t="n">
        <v>196</v>
      </c>
      <c r="T707" s="17" t="n">
        <v>392</v>
      </c>
      <c r="U707" s="17" t="n">
        <v>0.0616892790747448</v>
      </c>
      <c r="V707" s="17" t="n">
        <v>118413</v>
      </c>
      <c r="W707" s="17" t="n">
        <v>574772</v>
      </c>
      <c r="X707" s="17" t="n">
        <v>20.6017342528864</v>
      </c>
      <c r="Y707" s="17" t="n">
        <v>5402</v>
      </c>
      <c r="Z707" s="17" t="n">
        <v>0.610195299395189</v>
      </c>
      <c r="AA707" s="17" t="n">
        <v>4.75</v>
      </c>
      <c r="AB707" s="17" t="n">
        <v>3.10929848158763</v>
      </c>
      <c r="AC707" s="17" t="n">
        <v>1.12165429046153</v>
      </c>
      <c r="AD707" s="17" t="n">
        <v>0.08</v>
      </c>
      <c r="AE707" s="17" t="n">
        <v>1</v>
      </c>
      <c r="AF707" s="17" t="s">
        <v>241</v>
      </c>
      <c r="AG707" s="17" t="s">
        <v>232</v>
      </c>
      <c r="AH707" s="17" t="n">
        <v>0</v>
      </c>
    </row>
    <row r="708" customFormat="false" ht="15" hidden="false" customHeight="false" outlineLevel="0" collapsed="false">
      <c r="A708" s="17" t="n">
        <v>14136</v>
      </c>
      <c r="B708" s="23" t="n">
        <v>45838</v>
      </c>
      <c r="C708" s="17" t="s">
        <v>153</v>
      </c>
      <c r="D708" s="17" t="s">
        <v>113</v>
      </c>
      <c r="E708" s="17" t="n">
        <v>247991</v>
      </c>
      <c r="F708" s="17" t="n">
        <v>241334.333333333</v>
      </c>
      <c r="G708" s="17" t="n">
        <v>212734</v>
      </c>
      <c r="H708" s="17" t="n">
        <v>20696</v>
      </c>
      <c r="I708" s="17" t="n">
        <v>8.34546414990867</v>
      </c>
      <c r="J708" s="17" t="n">
        <v>165788</v>
      </c>
      <c r="K708" s="17" t="n">
        <v>161087.666666667</v>
      </c>
      <c r="L708" s="17" t="n">
        <v>164078</v>
      </c>
      <c r="M708" s="17" t="n">
        <v>133756</v>
      </c>
      <c r="N708" s="17" t="n">
        <v>16458</v>
      </c>
      <c r="O708" s="17" t="n">
        <v>15166</v>
      </c>
      <c r="P708" s="17" t="n">
        <v>543</v>
      </c>
      <c r="Q708" s="17" t="n">
        <v>1414</v>
      </c>
      <c r="R708" s="17" t="n">
        <v>534</v>
      </c>
      <c r="S708" s="17" t="n">
        <v>33</v>
      </c>
      <c r="T708" s="17" t="n">
        <v>66</v>
      </c>
      <c r="U708" s="17" t="n">
        <v>0.040971479298022</v>
      </c>
      <c r="V708" s="17" t="n">
        <v>28721</v>
      </c>
      <c r="W708" s="17" t="n">
        <v>162657</v>
      </c>
      <c r="X708" s="17" t="n">
        <v>17.6574017718266</v>
      </c>
      <c r="Y708" s="17" t="n">
        <v>1452</v>
      </c>
      <c r="Z708" s="17" t="n">
        <v>0.601654965518099</v>
      </c>
      <c r="AA708" s="17" t="n">
        <v>7.3</v>
      </c>
      <c r="AB708" s="17" t="n">
        <v>3.86995285179615</v>
      </c>
      <c r="AC708" s="17" t="n">
        <v>1.03143773976404</v>
      </c>
      <c r="AD708" s="17" t="n">
        <v>0.1</v>
      </c>
      <c r="AE708" s="17" t="n">
        <v>1</v>
      </c>
      <c r="AF708" s="17" t="s">
        <v>241</v>
      </c>
      <c r="AG708" s="17" t="s">
        <v>232</v>
      </c>
      <c r="AH708" s="17" t="n">
        <v>1</v>
      </c>
    </row>
    <row r="709" customFormat="false" ht="15" hidden="false" customHeight="false" outlineLevel="0" collapsed="false">
      <c r="A709" s="17" t="n">
        <v>14140</v>
      </c>
      <c r="B709" s="23" t="n">
        <v>45838</v>
      </c>
      <c r="C709" s="17" t="s">
        <v>120</v>
      </c>
      <c r="D709" s="17" t="s">
        <v>113</v>
      </c>
      <c r="E709" s="17" t="n">
        <v>1560737</v>
      </c>
      <c r="F709" s="17" t="n">
        <v>1558189.33333333</v>
      </c>
      <c r="G709" s="17" t="n">
        <v>1280949</v>
      </c>
      <c r="H709" s="17" t="n">
        <v>142689</v>
      </c>
      <c r="I709" s="17" t="n">
        <v>9.14241156581795</v>
      </c>
      <c r="J709" s="17" t="n">
        <v>1105150</v>
      </c>
      <c r="K709" s="17" t="n">
        <v>1101157</v>
      </c>
      <c r="L709" s="17" t="n">
        <v>1096220</v>
      </c>
      <c r="M709" s="17" t="n">
        <v>976988</v>
      </c>
      <c r="N709" s="17" t="n">
        <v>95042</v>
      </c>
      <c r="O709" s="17" t="n">
        <v>1711</v>
      </c>
      <c r="P709" s="17" t="n">
        <v>7436</v>
      </c>
      <c r="Q709" s="17" t="n">
        <v>4583</v>
      </c>
      <c r="R709" s="17" t="n">
        <v>0</v>
      </c>
      <c r="S709" s="17" t="n">
        <v>28</v>
      </c>
      <c r="T709" s="17" t="n">
        <v>56</v>
      </c>
      <c r="U709" s="17" t="n">
        <v>0.0050855600064296</v>
      </c>
      <c r="V709" s="17" t="n">
        <v>0</v>
      </c>
      <c r="W709" s="17" t="n">
        <v>0</v>
      </c>
      <c r="X709" s="17" t="n">
        <v>0</v>
      </c>
      <c r="Y709" s="17" t="n">
        <v>4974</v>
      </c>
      <c r="Z709" s="17" t="n">
        <v>0.319216663443552</v>
      </c>
      <c r="AA709" s="17" t="n">
        <v>3.6</v>
      </c>
      <c r="AB709" s="17" t="n">
        <v>2.58054568551282</v>
      </c>
      <c r="AC709" s="17" t="n">
        <v>0.808035108356332</v>
      </c>
      <c r="AD709" s="17" t="n">
        <v>0.06</v>
      </c>
      <c r="AE709" s="17" t="n">
        <v>1</v>
      </c>
      <c r="AF709" s="17" t="s">
        <v>241</v>
      </c>
      <c r="AG709" s="17" t="s">
        <v>232</v>
      </c>
      <c r="AH709" s="17" t="n">
        <v>0</v>
      </c>
    </row>
    <row r="710" customFormat="false" ht="15" hidden="false" customHeight="false" outlineLevel="0" collapsed="false">
      <c r="A710" s="17" t="n">
        <v>14158</v>
      </c>
      <c r="B710" s="23" t="n">
        <v>45838</v>
      </c>
      <c r="C710" s="17" t="s">
        <v>112</v>
      </c>
      <c r="D710" s="17" t="s">
        <v>113</v>
      </c>
      <c r="E710" s="17" t="n">
        <v>1479452</v>
      </c>
      <c r="F710" s="17" t="n">
        <v>1510351</v>
      </c>
      <c r="G710" s="17" t="n">
        <v>1107517</v>
      </c>
      <c r="H710" s="17" t="n">
        <v>86521</v>
      </c>
      <c r="I710" s="17" t="n">
        <v>5.84817892030292</v>
      </c>
      <c r="J710" s="17" t="n">
        <v>1113914</v>
      </c>
      <c r="K710" s="17" t="n">
        <v>1148130.66666667</v>
      </c>
      <c r="L710" s="17" t="n">
        <v>1105607</v>
      </c>
      <c r="M710" s="17" t="n">
        <v>1031319</v>
      </c>
      <c r="N710" s="17" t="n">
        <v>34247</v>
      </c>
      <c r="O710" s="17" t="n">
        <v>2362</v>
      </c>
      <c r="P710" s="17" t="n">
        <v>15189</v>
      </c>
      <c r="Q710" s="17" t="n">
        <v>1302</v>
      </c>
      <c r="R710" s="17" t="n">
        <v>72</v>
      </c>
      <c r="S710" s="17" t="n">
        <v>-6</v>
      </c>
      <c r="T710" s="17" t="n">
        <v>-12</v>
      </c>
      <c r="U710" s="17" t="n">
        <v>-0.0010451772039884</v>
      </c>
      <c r="V710" s="17" t="n">
        <v>124743</v>
      </c>
      <c r="W710" s="17" t="n">
        <v>988186</v>
      </c>
      <c r="X710" s="17" t="n">
        <v>12.6234332403009</v>
      </c>
      <c r="Y710" s="17" t="n">
        <v>10646</v>
      </c>
      <c r="Z710" s="17" t="n">
        <v>0.704869265488618</v>
      </c>
      <c r="AA710" s="17" t="n">
        <v>12.54</v>
      </c>
      <c r="AB710" s="17" t="n">
        <v>2.99867350712437</v>
      </c>
      <c r="AC710" s="17" t="n">
        <v>0.745748774142349</v>
      </c>
      <c r="AD710" s="17" t="n">
        <v>0.06</v>
      </c>
      <c r="AE710" s="17" t="n">
        <v>1</v>
      </c>
      <c r="AF710" s="17" t="s">
        <v>231</v>
      </c>
      <c r="AG710" s="17" t="s">
        <v>232</v>
      </c>
      <c r="AH710" s="17" t="n">
        <v>0</v>
      </c>
    </row>
    <row r="711" customFormat="false" ht="15" hidden="false" customHeight="false" outlineLevel="0" collapsed="false">
      <c r="A711" s="17" t="n">
        <v>14168</v>
      </c>
      <c r="B711" s="23" t="n">
        <v>45838</v>
      </c>
      <c r="C711" s="17" t="s">
        <v>162</v>
      </c>
      <c r="D711" s="17" t="s">
        <v>113</v>
      </c>
      <c r="E711" s="17" t="n">
        <v>376849</v>
      </c>
      <c r="F711" s="17" t="n">
        <v>373636</v>
      </c>
      <c r="G711" s="17" t="n">
        <v>332557</v>
      </c>
      <c r="H711" s="17" t="n">
        <v>38788</v>
      </c>
      <c r="I711" s="17" t="n">
        <v>10.292716711468</v>
      </c>
      <c r="J711" s="17" t="n">
        <v>288218</v>
      </c>
      <c r="K711" s="17" t="n">
        <v>279222</v>
      </c>
      <c r="L711" s="17" t="n">
        <v>284549</v>
      </c>
      <c r="M711" s="17" t="n">
        <v>247587</v>
      </c>
      <c r="N711" s="17" t="n">
        <v>11385</v>
      </c>
      <c r="O711" s="17" t="n">
        <v>10856</v>
      </c>
      <c r="P711" s="17" t="n">
        <v>1012</v>
      </c>
      <c r="Q711" s="17" t="n">
        <v>93</v>
      </c>
      <c r="R711" s="17" t="n">
        <v>0</v>
      </c>
      <c r="S711" s="17" t="n">
        <v>32</v>
      </c>
      <c r="T711" s="17" t="n">
        <v>64</v>
      </c>
      <c r="U711" s="17" t="n">
        <v>0.0229208300205571</v>
      </c>
      <c r="V711" s="17" t="n">
        <v>46351</v>
      </c>
      <c r="W711" s="17" t="n">
        <v>279492</v>
      </c>
      <c r="X711" s="17" t="n">
        <v>16.584016716042</v>
      </c>
      <c r="Y711" s="17" t="n">
        <v>3612</v>
      </c>
      <c r="Z711" s="17" t="n">
        <v>0.966716269310238</v>
      </c>
      <c r="AA711" s="17" t="n">
        <v>9.43</v>
      </c>
      <c r="AB711" s="17" t="n">
        <v>4.22224321701265</v>
      </c>
      <c r="AC711" s="17" t="n">
        <v>1.27299474703176</v>
      </c>
      <c r="AD711" s="17" t="n">
        <v>0.08</v>
      </c>
      <c r="AE711" s="17" t="n">
        <v>1</v>
      </c>
      <c r="AF711" s="17" t="s">
        <v>231</v>
      </c>
      <c r="AG711" s="17" t="s">
        <v>232</v>
      </c>
      <c r="AH711" s="17" t="n">
        <v>0</v>
      </c>
    </row>
    <row r="712" customFormat="false" ht="15" hidden="false" customHeight="false" outlineLevel="0" collapsed="false">
      <c r="A712" s="17" t="n">
        <v>17115</v>
      </c>
      <c r="B712" s="23" t="n">
        <v>45838</v>
      </c>
      <c r="C712" s="17" t="s">
        <v>143</v>
      </c>
      <c r="D712" s="17" t="s">
        <v>108</v>
      </c>
      <c r="E712" s="17" t="n">
        <v>1078591</v>
      </c>
      <c r="F712" s="17" t="n">
        <v>1061412</v>
      </c>
      <c r="G712" s="17" t="n">
        <v>819065</v>
      </c>
      <c r="H712" s="17" t="n">
        <v>97021</v>
      </c>
      <c r="I712" s="17" t="n">
        <v>8.99516127985492</v>
      </c>
      <c r="J712" s="17" t="n">
        <v>882995</v>
      </c>
      <c r="K712" s="17" t="n">
        <v>878137</v>
      </c>
      <c r="L712" s="17" t="n">
        <v>874623</v>
      </c>
      <c r="M712" s="17" t="n">
        <v>837308</v>
      </c>
      <c r="N712" s="17" t="n">
        <v>38793</v>
      </c>
      <c r="O712" s="17" t="n">
        <v>6038</v>
      </c>
      <c r="P712" s="17" t="n">
        <v>2491</v>
      </c>
      <c r="Q712" s="17" t="n">
        <v>1134</v>
      </c>
      <c r="R712" s="17" t="n">
        <v>83</v>
      </c>
      <c r="S712" s="17" t="n">
        <v>438</v>
      </c>
      <c r="T712" s="17" t="n">
        <v>876</v>
      </c>
      <c r="U712" s="17" t="n">
        <v>0.0997566438949731</v>
      </c>
      <c r="V712" s="17" t="n">
        <v>115967</v>
      </c>
      <c r="W712" s="17" t="n">
        <v>782666</v>
      </c>
      <c r="X712" s="17" t="n">
        <v>14.8169206277007</v>
      </c>
      <c r="Y712" s="17" t="n">
        <v>7572</v>
      </c>
      <c r="Z712" s="17" t="n">
        <v>0.71338933420764</v>
      </c>
      <c r="AA712" s="17" t="n">
        <v>8</v>
      </c>
      <c r="AB712" s="17" t="n">
        <v>2.96659137731555</v>
      </c>
      <c r="AC712" s="17" t="n">
        <v>0.948136739166134</v>
      </c>
      <c r="AD712" s="17" t="n">
        <v>0.05</v>
      </c>
      <c r="AE712" s="17" t="n">
        <v>1</v>
      </c>
      <c r="AF712" s="17" t="s">
        <v>241</v>
      </c>
      <c r="AG712" s="17" t="s">
        <v>232</v>
      </c>
      <c r="AH712" s="17" t="n">
        <v>0</v>
      </c>
    </row>
    <row r="713" customFormat="false" ht="15" hidden="false" customHeight="false" outlineLevel="0" collapsed="false">
      <c r="A713" s="17" t="n">
        <v>17180</v>
      </c>
      <c r="B713" s="23" t="n">
        <v>45838</v>
      </c>
      <c r="C713" s="17" t="s">
        <v>127</v>
      </c>
      <c r="D713" s="17" t="s">
        <v>116</v>
      </c>
      <c r="E713" s="17" t="n">
        <v>1609518</v>
      </c>
      <c r="F713" s="17" t="n">
        <v>1599998</v>
      </c>
      <c r="G713" s="17" t="n">
        <v>1323945</v>
      </c>
      <c r="H713" s="17" t="n">
        <v>147515</v>
      </c>
      <c r="I713" s="17" t="n">
        <v>9.16516621746386</v>
      </c>
      <c r="J713" s="17" t="n">
        <v>1394163</v>
      </c>
      <c r="K713" s="17" t="n">
        <v>1403499.66666667</v>
      </c>
      <c r="L713" s="17" t="n">
        <v>1380383</v>
      </c>
      <c r="M713" s="17" t="n">
        <v>1170848</v>
      </c>
      <c r="N713" s="17" t="n">
        <v>41482</v>
      </c>
      <c r="O713" s="17" t="n">
        <v>155925</v>
      </c>
      <c r="P713" s="17" t="n">
        <v>5006</v>
      </c>
      <c r="Q713" s="17" t="n">
        <v>3969</v>
      </c>
      <c r="R713" s="17" t="n">
        <v>10</v>
      </c>
      <c r="S713" s="17" t="n">
        <v>157</v>
      </c>
      <c r="T713" s="17" t="n">
        <v>314</v>
      </c>
      <c r="U713" s="17" t="n">
        <v>0.0223726451425354</v>
      </c>
      <c r="V713" s="17" t="n">
        <v>170695</v>
      </c>
      <c r="W713" s="17" t="n">
        <v>1059093</v>
      </c>
      <c r="X713" s="17" t="n">
        <v>16.1170926443665</v>
      </c>
      <c r="Y713" s="17" t="n">
        <v>5154</v>
      </c>
      <c r="Z713" s="17" t="n">
        <v>0.322125402656753</v>
      </c>
      <c r="AA713" s="17" t="n">
        <v>3.54</v>
      </c>
      <c r="AB713" s="17" t="n">
        <v>2.82301178340663</v>
      </c>
      <c r="AC713" s="17" t="n">
        <v>0.988406664070127</v>
      </c>
      <c r="AD713" s="17" t="n">
        <v>0</v>
      </c>
      <c r="AE713" s="17" t="n">
        <v>1</v>
      </c>
      <c r="AF713" s="17" t="s">
        <v>241</v>
      </c>
      <c r="AG713" s="17" t="s">
        <v>232</v>
      </c>
      <c r="AH713" s="17" t="n">
        <v>0</v>
      </c>
    </row>
    <row r="714" customFormat="false" ht="15" hidden="false" customHeight="false" outlineLevel="0" collapsed="false">
      <c r="A714" s="17" t="n">
        <v>17443</v>
      </c>
      <c r="B714" s="23" t="n">
        <v>45838</v>
      </c>
      <c r="C714" s="17" t="s">
        <v>132</v>
      </c>
      <c r="D714" s="17" t="s">
        <v>116</v>
      </c>
      <c r="E714" s="17" t="n">
        <v>366584</v>
      </c>
      <c r="F714" s="17" t="n">
        <v>363959</v>
      </c>
      <c r="G714" s="17" t="n">
        <v>285374</v>
      </c>
      <c r="H714" s="17" t="n">
        <v>40125</v>
      </c>
      <c r="I714" s="17" t="n">
        <v>10.9456495646291</v>
      </c>
      <c r="J714" s="17" t="n">
        <v>203227</v>
      </c>
      <c r="K714" s="17" t="n">
        <v>199973.666666667</v>
      </c>
      <c r="L714" s="17" t="n">
        <v>201778</v>
      </c>
      <c r="M714" s="17" t="n">
        <v>201428</v>
      </c>
      <c r="N714" s="17" t="n">
        <v>0</v>
      </c>
      <c r="O714" s="17" t="n">
        <v>799</v>
      </c>
      <c r="P714" s="17" t="n">
        <v>22</v>
      </c>
      <c r="Q714" s="17" t="n">
        <v>769</v>
      </c>
      <c r="R714" s="17" t="n">
        <v>0</v>
      </c>
      <c r="S714" s="17" t="n">
        <v>0</v>
      </c>
      <c r="T714" s="17" t="n">
        <v>0</v>
      </c>
      <c r="U714" s="17" t="n">
        <v>0</v>
      </c>
      <c r="V714" s="17" t="n">
        <v>0</v>
      </c>
      <c r="W714" s="17" t="n">
        <v>0</v>
      </c>
      <c r="X714" s="17" t="n">
        <v>0</v>
      </c>
      <c r="Y714" s="17" t="n">
        <v>-1096</v>
      </c>
      <c r="Z714" s="17" t="n">
        <v>-0.301132819905539</v>
      </c>
      <c r="AA714" s="17" t="n">
        <v>-2.77</v>
      </c>
      <c r="AB714" s="17" t="n">
        <v>1.29920976724489</v>
      </c>
      <c r="AC714" s="17" t="n">
        <v>0.712995812564276</v>
      </c>
      <c r="AD714" s="17" t="n">
        <v>-0.03</v>
      </c>
      <c r="AE714" s="17" t="n">
        <v>1</v>
      </c>
      <c r="AF714" s="17" t="s">
        <v>241</v>
      </c>
      <c r="AG714" s="17" t="s">
        <v>232</v>
      </c>
      <c r="AH714" s="17" t="n">
        <v>1</v>
      </c>
    </row>
    <row r="715" customFormat="false" ht="15" hidden="false" customHeight="false" outlineLevel="0" collapsed="false">
      <c r="A715" s="17" t="n">
        <v>17658</v>
      </c>
      <c r="B715" s="23" t="n">
        <v>45838</v>
      </c>
      <c r="C715" s="17" t="s">
        <v>144</v>
      </c>
      <c r="D715" s="17" t="s">
        <v>108</v>
      </c>
      <c r="E715" s="17" t="n">
        <v>2059300</v>
      </c>
      <c r="F715" s="17" t="n">
        <v>2025702</v>
      </c>
      <c r="G715" s="17" t="n">
        <v>1592193</v>
      </c>
      <c r="H715" s="17" t="n">
        <v>238741</v>
      </c>
      <c r="I715" s="17" t="n">
        <v>11.593308405769</v>
      </c>
      <c r="J715" s="17" t="n">
        <v>1472870</v>
      </c>
      <c r="K715" s="17" t="n">
        <v>1452064.33333333</v>
      </c>
      <c r="L715" s="17" t="n">
        <v>1462787</v>
      </c>
      <c r="M715" s="17" t="n">
        <v>1263229</v>
      </c>
      <c r="N715" s="17" t="n">
        <v>107836</v>
      </c>
      <c r="O715" s="17" t="n">
        <v>85638</v>
      </c>
      <c r="P715" s="17" t="n">
        <v>10168</v>
      </c>
      <c r="Q715" s="17" t="n">
        <v>2622</v>
      </c>
      <c r="R715" s="17" t="n">
        <v>0</v>
      </c>
      <c r="S715" s="17" t="n">
        <v>146</v>
      </c>
      <c r="T715" s="17" t="n">
        <v>292</v>
      </c>
      <c r="U715" s="17" t="n">
        <v>0.0201093018605925</v>
      </c>
      <c r="V715" s="17" t="n">
        <v>0</v>
      </c>
      <c r="W715" s="17" t="n">
        <v>0</v>
      </c>
      <c r="X715" s="17" t="n">
        <v>0</v>
      </c>
      <c r="Y715" s="17" t="n">
        <v>17406</v>
      </c>
      <c r="Z715" s="17" t="n">
        <v>0.859257679559975</v>
      </c>
      <c r="AA715" s="17" t="n">
        <v>7.57</v>
      </c>
      <c r="AB715" s="17" t="n">
        <v>3.24068034825347</v>
      </c>
      <c r="AC715" s="17" t="n">
        <v>0.68458180287466</v>
      </c>
      <c r="AD715" s="17" t="n">
        <v>0.07</v>
      </c>
      <c r="AE715" s="17" t="n">
        <v>1</v>
      </c>
      <c r="AF715" s="17" t="s">
        <v>241</v>
      </c>
      <c r="AG715" s="17" t="s">
        <v>232</v>
      </c>
      <c r="AH715" s="17" t="n">
        <v>0</v>
      </c>
    </row>
    <row r="716" customFormat="false" ht="15" hidden="false" customHeight="false" outlineLevel="0" collapsed="false">
      <c r="A716" s="17" t="n">
        <v>17741</v>
      </c>
      <c r="B716" s="23" t="n">
        <v>45838</v>
      </c>
      <c r="C716" s="17" t="s">
        <v>161</v>
      </c>
      <c r="D716" s="17" t="s">
        <v>108</v>
      </c>
      <c r="E716" s="17" t="n">
        <v>2758302</v>
      </c>
      <c r="F716" s="17" t="n">
        <v>2209557</v>
      </c>
      <c r="G716" s="17" t="n">
        <v>2253432</v>
      </c>
      <c r="H716" s="17" t="n">
        <v>250972</v>
      </c>
      <c r="I716" s="17" t="n">
        <v>9.09878613726851</v>
      </c>
      <c r="J716" s="17" t="n">
        <v>2277439</v>
      </c>
      <c r="K716" s="17" t="n">
        <v>1830800</v>
      </c>
      <c r="L716" s="17" t="n">
        <v>2261429</v>
      </c>
      <c r="M716" s="17" t="n">
        <v>2016043</v>
      </c>
      <c r="N716" s="17" t="n">
        <v>210200</v>
      </c>
      <c r="O716" s="17" t="n">
        <v>6792</v>
      </c>
      <c r="P716" s="17" t="n">
        <v>14212</v>
      </c>
      <c r="Q716" s="17" t="n">
        <v>5485</v>
      </c>
      <c r="R716" s="17" t="n">
        <v>0</v>
      </c>
      <c r="S716" s="17" t="n">
        <v>-16</v>
      </c>
      <c r="T716" s="17" t="n">
        <v>-32</v>
      </c>
      <c r="U716" s="17" t="n">
        <v>-0.00174786978370111</v>
      </c>
      <c r="V716" s="17" t="n">
        <v>0</v>
      </c>
      <c r="W716" s="17" t="n">
        <v>0</v>
      </c>
      <c r="X716" s="17" t="n">
        <v>0</v>
      </c>
      <c r="Y716" s="17" t="n">
        <v>17806</v>
      </c>
      <c r="Z716" s="17" t="n">
        <v>0.805862894688845</v>
      </c>
      <c r="AA716" s="17" t="n">
        <v>8.32</v>
      </c>
      <c r="AB716" s="17" t="n">
        <v>4.42459457596169</v>
      </c>
      <c r="AC716" s="17" t="n">
        <v>0.702982604583482</v>
      </c>
      <c r="AD716" s="17" t="n">
        <v>-0.05</v>
      </c>
      <c r="AE716" s="17" t="n">
        <v>1</v>
      </c>
      <c r="AF716" s="17" t="s">
        <v>241</v>
      </c>
      <c r="AG716" s="17" t="s">
        <v>232</v>
      </c>
      <c r="AH716" s="17" t="n">
        <v>0</v>
      </c>
    </row>
    <row r="717" customFormat="false" ht="15" hidden="false" customHeight="false" outlineLevel="0" collapsed="false">
      <c r="A717" s="17" t="n">
        <v>17743</v>
      </c>
      <c r="B717" s="23" t="n">
        <v>45838</v>
      </c>
      <c r="C717" s="17" t="s">
        <v>129</v>
      </c>
      <c r="D717" s="17" t="s">
        <v>108</v>
      </c>
      <c r="E717" s="17" t="n">
        <v>1439697</v>
      </c>
      <c r="F717" s="17" t="n">
        <v>1424111.66666667</v>
      </c>
      <c r="G717" s="17" t="n">
        <v>1017963</v>
      </c>
      <c r="H717" s="17" t="n">
        <v>126615</v>
      </c>
      <c r="I717" s="17" t="n">
        <v>8.79455885509243</v>
      </c>
      <c r="J717" s="17" t="n">
        <v>1153900</v>
      </c>
      <c r="K717" s="17" t="n">
        <v>1141181</v>
      </c>
      <c r="L717" s="17" t="n">
        <v>1149086</v>
      </c>
      <c r="M717" s="17" t="n">
        <v>1110982</v>
      </c>
      <c r="N717" s="17" t="n">
        <v>22427</v>
      </c>
      <c r="O717" s="17" t="n">
        <v>10475</v>
      </c>
      <c r="P717" s="17" t="n">
        <v>407</v>
      </c>
      <c r="Q717" s="17" t="n">
        <v>1517</v>
      </c>
      <c r="R717" s="17" t="n">
        <v>0</v>
      </c>
      <c r="S717" s="17" t="n">
        <v>94</v>
      </c>
      <c r="T717" s="17" t="n">
        <v>188</v>
      </c>
      <c r="U717" s="17" t="n">
        <v>0.0164741614169882</v>
      </c>
      <c r="V717" s="17" t="n">
        <v>0</v>
      </c>
      <c r="W717" s="17" t="n">
        <v>0</v>
      </c>
      <c r="X717" s="17" t="n">
        <v>0</v>
      </c>
      <c r="Y717" s="17" t="n">
        <v>960</v>
      </c>
      <c r="Z717" s="17" t="n">
        <v>0.0674104441716298</v>
      </c>
      <c r="AA717" s="17" t="n">
        <v>0.76</v>
      </c>
      <c r="AB717" s="17" t="n">
        <v>2.0701108760452</v>
      </c>
      <c r="AC717" s="17" t="n">
        <v>0.417193864286333</v>
      </c>
      <c r="AD717" s="17" t="n">
        <v>0.03</v>
      </c>
      <c r="AE717" s="17" t="n">
        <v>1</v>
      </c>
      <c r="AF717" s="17" t="s">
        <v>241</v>
      </c>
      <c r="AG717" s="17" t="s">
        <v>232</v>
      </c>
      <c r="AH717" s="17" t="n">
        <v>1</v>
      </c>
    </row>
    <row r="718" customFormat="false" ht="15" hidden="false" customHeight="false" outlineLevel="0" collapsed="false">
      <c r="A718" s="17" t="n">
        <v>17749</v>
      </c>
      <c r="B718" s="23" t="n">
        <v>45838</v>
      </c>
      <c r="C718" s="17" t="s">
        <v>156</v>
      </c>
      <c r="D718" s="17" t="s">
        <v>108</v>
      </c>
      <c r="E718" s="17" t="n">
        <v>1447972</v>
      </c>
      <c r="F718" s="17" t="n">
        <v>1421228</v>
      </c>
      <c r="G718" s="17" t="n">
        <v>1125192</v>
      </c>
      <c r="H718" s="17" t="n">
        <v>203598</v>
      </c>
      <c r="I718" s="17" t="n">
        <v>14.0609072551127</v>
      </c>
      <c r="J718" s="17" t="n">
        <v>837251</v>
      </c>
      <c r="K718" s="17" t="n">
        <v>832424.666666667</v>
      </c>
      <c r="L718" s="17" t="n">
        <v>825064</v>
      </c>
      <c r="M718" s="17" t="n">
        <v>759223</v>
      </c>
      <c r="N718" s="17" t="n">
        <v>57319</v>
      </c>
      <c r="O718" s="17" t="n">
        <v>10778</v>
      </c>
      <c r="P718" s="17" t="n">
        <v>1306</v>
      </c>
      <c r="Q718" s="17" t="n">
        <v>2108</v>
      </c>
      <c r="R718" s="17" t="n">
        <v>66</v>
      </c>
      <c r="S718" s="17" t="n">
        <v>-18</v>
      </c>
      <c r="T718" s="17" t="n">
        <v>-36</v>
      </c>
      <c r="U718" s="17" t="n">
        <v>-0.00432471566996653</v>
      </c>
      <c r="V718" s="17" t="n">
        <v>0</v>
      </c>
      <c r="W718" s="17" t="n">
        <v>0</v>
      </c>
      <c r="X718" s="17" t="n">
        <v>0</v>
      </c>
      <c r="Y718" s="17" t="n">
        <v>12584</v>
      </c>
      <c r="Z718" s="17" t="n">
        <v>0.885431471938352</v>
      </c>
      <c r="AA718" s="17" t="n">
        <v>6.39</v>
      </c>
      <c r="AB718" s="17" t="n">
        <v>2.6965287741223</v>
      </c>
      <c r="AC718" s="17" t="n">
        <v>1.4555969476298</v>
      </c>
      <c r="AD718" s="17" t="n">
        <v>0.07</v>
      </c>
      <c r="AE718" s="17" t="n">
        <v>1</v>
      </c>
      <c r="AF718" s="17" t="s">
        <v>241</v>
      </c>
      <c r="AG718" s="17" t="s">
        <v>232</v>
      </c>
      <c r="AH718" s="17" t="n">
        <v>1</v>
      </c>
    </row>
    <row r="719" customFormat="false" ht="15" hidden="false" customHeight="false" outlineLevel="0" collapsed="false">
      <c r="A719" s="17" t="n">
        <v>17751</v>
      </c>
      <c r="B719" s="23" t="n">
        <v>45838</v>
      </c>
      <c r="C719" s="17" t="s">
        <v>125</v>
      </c>
      <c r="D719" s="17" t="s">
        <v>108</v>
      </c>
      <c r="E719" s="17" t="n">
        <v>1763462</v>
      </c>
      <c r="F719" s="17" t="n">
        <v>1706601.33333333</v>
      </c>
      <c r="G719" s="17" t="n">
        <v>1373195</v>
      </c>
      <c r="H719" s="17" t="n">
        <v>175467</v>
      </c>
      <c r="I719" s="17" t="n">
        <v>9.95014352449897</v>
      </c>
      <c r="J719" s="17" t="n">
        <v>1456858</v>
      </c>
      <c r="K719" s="17" t="n">
        <v>1414288.66666667</v>
      </c>
      <c r="L719" s="17" t="n">
        <v>1443221</v>
      </c>
      <c r="M719" s="17" t="n">
        <v>1232944</v>
      </c>
      <c r="N719" s="17" t="n">
        <v>149887</v>
      </c>
      <c r="O719" s="17" t="n">
        <v>2254</v>
      </c>
      <c r="P719" s="17" t="n">
        <v>2425</v>
      </c>
      <c r="Q719" s="17" t="n">
        <v>6455</v>
      </c>
      <c r="R719" s="17" t="n">
        <v>0</v>
      </c>
      <c r="S719" s="17" t="n">
        <v>-45</v>
      </c>
      <c r="T719" s="17" t="n">
        <v>-90</v>
      </c>
      <c r="U719" s="17" t="n">
        <v>-0.00636362307930536</v>
      </c>
      <c r="V719" s="17" t="n">
        <v>196928</v>
      </c>
      <c r="W719" s="17" t="n">
        <v>1414493</v>
      </c>
      <c r="X719" s="17" t="n">
        <v>13.9221615094596</v>
      </c>
      <c r="Y719" s="17" t="n">
        <v>7788</v>
      </c>
      <c r="Z719" s="17" t="n">
        <v>0.456345594479789</v>
      </c>
      <c r="AA719" s="17" t="n">
        <v>4.95</v>
      </c>
      <c r="AB719" s="17" t="n">
        <v>2.87157524616151</v>
      </c>
      <c r="AC719" s="17" t="n">
        <v>0.936055538700409</v>
      </c>
      <c r="AD719" s="17" t="n">
        <v>0.07</v>
      </c>
      <c r="AE719" s="17" t="n">
        <v>1</v>
      </c>
      <c r="AF719" s="17" t="s">
        <v>241</v>
      </c>
      <c r="AG719" s="17" t="s">
        <v>232</v>
      </c>
      <c r="AH719" s="17" t="n">
        <v>0</v>
      </c>
    </row>
    <row r="720" customFormat="false" ht="15" hidden="false" customHeight="false" outlineLevel="0" collapsed="false">
      <c r="A720" s="17" t="n">
        <v>17897</v>
      </c>
      <c r="B720" s="23" t="n">
        <v>45838</v>
      </c>
      <c r="C720" s="17" t="s">
        <v>149</v>
      </c>
      <c r="D720" s="17" t="s">
        <v>108</v>
      </c>
      <c r="E720" s="17" t="n">
        <v>1790373</v>
      </c>
      <c r="F720" s="17" t="n">
        <v>1771686.33333333</v>
      </c>
      <c r="G720" s="17" t="n">
        <v>1352989</v>
      </c>
      <c r="H720" s="17" t="n">
        <v>226000</v>
      </c>
      <c r="I720" s="17" t="n">
        <v>12.6230679305374</v>
      </c>
      <c r="J720" s="17" t="n">
        <v>1493755</v>
      </c>
      <c r="K720" s="17" t="n">
        <v>1477816</v>
      </c>
      <c r="L720" s="17" t="n">
        <v>1484578</v>
      </c>
      <c r="M720" s="17" t="n">
        <v>1393686</v>
      </c>
      <c r="N720" s="17" t="n">
        <v>82889</v>
      </c>
      <c r="O720" s="17" t="n">
        <v>2700</v>
      </c>
      <c r="P720" s="17" t="n">
        <v>5391</v>
      </c>
      <c r="Q720" s="17" t="n">
        <v>8456</v>
      </c>
      <c r="R720" s="17" t="n">
        <v>0</v>
      </c>
      <c r="S720" s="17" t="n">
        <v>6</v>
      </c>
      <c r="T720" s="17" t="n">
        <v>12</v>
      </c>
      <c r="U720" s="17" t="n">
        <v>0.000812009072848041</v>
      </c>
      <c r="V720" s="17" t="n">
        <v>244542</v>
      </c>
      <c r="W720" s="17" t="n">
        <v>1383008</v>
      </c>
      <c r="X720" s="17" t="n">
        <v>17.6818933802263</v>
      </c>
      <c r="Y720" s="17" t="n">
        <v>17256</v>
      </c>
      <c r="Z720" s="17" t="n">
        <v>0.973987306631968</v>
      </c>
      <c r="AA720" s="17" t="n">
        <v>7.84</v>
      </c>
      <c r="AB720" s="17" t="n">
        <v>2.75154108647398</v>
      </c>
      <c r="AC720" s="17" t="n">
        <v>0.614357776208281</v>
      </c>
      <c r="AD720" s="17" t="n">
        <v>0.03</v>
      </c>
      <c r="AE720" s="17" t="n">
        <v>1</v>
      </c>
      <c r="AF720" s="17" t="s">
        <v>241</v>
      </c>
      <c r="AG720" s="17" t="s">
        <v>232</v>
      </c>
      <c r="AH720" s="17" t="n">
        <v>0</v>
      </c>
    </row>
    <row r="721" customFormat="false" ht="15" hidden="false" customHeight="false" outlineLevel="0" collapsed="false">
      <c r="A721" s="17" t="n">
        <v>17951</v>
      </c>
      <c r="B721" s="23" t="n">
        <v>45838</v>
      </c>
      <c r="C721" s="17" t="s">
        <v>136</v>
      </c>
      <c r="D721" s="17" t="s">
        <v>116</v>
      </c>
      <c r="E721" s="17" t="n">
        <v>905293</v>
      </c>
      <c r="F721" s="17" t="n">
        <v>861337.666666667</v>
      </c>
      <c r="G721" s="17" t="n">
        <v>747263</v>
      </c>
      <c r="H721" s="17" t="n">
        <v>70680</v>
      </c>
      <c r="I721" s="17" t="n">
        <v>7.80741704619388</v>
      </c>
      <c r="J721" s="17" t="n">
        <v>694645</v>
      </c>
      <c r="K721" s="17" t="n">
        <v>656175.666666667</v>
      </c>
      <c r="L721" s="17" t="n">
        <v>688892</v>
      </c>
      <c r="M721" s="17" t="n">
        <v>636895</v>
      </c>
      <c r="N721" s="17" t="n">
        <v>39465</v>
      </c>
      <c r="O721" s="17" t="n">
        <v>1480</v>
      </c>
      <c r="P721" s="17" t="n">
        <v>150</v>
      </c>
      <c r="Q721" s="17" t="n">
        <v>1481</v>
      </c>
      <c r="R721" s="17" t="n">
        <v>0</v>
      </c>
      <c r="S721" s="17" t="n">
        <v>-2</v>
      </c>
      <c r="T721" s="17" t="n">
        <v>-4</v>
      </c>
      <c r="U721" s="17" t="n">
        <v>-0.000609592858010076</v>
      </c>
      <c r="V721" s="17" t="n">
        <v>87411</v>
      </c>
      <c r="W721" s="17" t="n">
        <v>667552</v>
      </c>
      <c r="X721" s="17" t="n">
        <v>13.0942608216289</v>
      </c>
      <c r="Y721" s="17" t="n">
        <v>5576</v>
      </c>
      <c r="Z721" s="17" t="n">
        <v>0.647365164184546</v>
      </c>
      <c r="AA721" s="17" t="n">
        <v>8.15</v>
      </c>
      <c r="AB721" s="17" t="n">
        <v>2.79825775230603</v>
      </c>
      <c r="AC721" s="17" t="n">
        <v>0.828192817914186</v>
      </c>
      <c r="AD721" s="17" t="n">
        <v>0.1</v>
      </c>
      <c r="AE721" s="17" t="n">
        <v>1</v>
      </c>
      <c r="AF721" s="17" t="s">
        <v>241</v>
      </c>
      <c r="AG721" s="17" t="s">
        <v>232</v>
      </c>
      <c r="AH721" s="17" t="n">
        <v>0</v>
      </c>
    </row>
    <row r="722" customFormat="false" ht="15" hidden="false" customHeight="false" outlineLevel="0" collapsed="false">
      <c r="A722" s="17" t="n">
        <v>17960</v>
      </c>
      <c r="B722" s="23" t="n">
        <v>45838</v>
      </c>
      <c r="C722" s="17" t="s">
        <v>115</v>
      </c>
      <c r="D722" s="17" t="s">
        <v>116</v>
      </c>
      <c r="E722" s="17" t="n">
        <v>1351508</v>
      </c>
      <c r="F722" s="17" t="n">
        <v>1353212</v>
      </c>
      <c r="G722" s="17" t="n">
        <v>1099933</v>
      </c>
      <c r="H722" s="17" t="n">
        <v>119316</v>
      </c>
      <c r="I722" s="17" t="n">
        <v>8.82836061643734</v>
      </c>
      <c r="J722" s="17" t="n">
        <v>1146687</v>
      </c>
      <c r="K722" s="17" t="n">
        <v>1149101.33333333</v>
      </c>
      <c r="L722" s="17" t="n">
        <v>1133880</v>
      </c>
      <c r="M722" s="17" t="n">
        <v>807602</v>
      </c>
      <c r="N722" s="17" t="n">
        <v>119286</v>
      </c>
      <c r="O722" s="17" t="n">
        <v>216067</v>
      </c>
      <c r="P722" s="17" t="n">
        <v>7677</v>
      </c>
      <c r="Q722" s="17" t="n">
        <v>5189</v>
      </c>
      <c r="R722" s="17" t="n">
        <v>0</v>
      </c>
      <c r="S722" s="17" t="n">
        <v>430</v>
      </c>
      <c r="T722" s="17" t="n">
        <v>860</v>
      </c>
      <c r="U722" s="17" t="n">
        <v>0.0748410932137114</v>
      </c>
      <c r="V722" s="17" t="n">
        <v>144092</v>
      </c>
      <c r="W722" s="17" t="n">
        <v>1044318</v>
      </c>
      <c r="X722" s="17" t="n">
        <v>13.7977129571644</v>
      </c>
      <c r="Y722" s="17" t="n">
        <v>3556</v>
      </c>
      <c r="Z722" s="17" t="n">
        <v>0.262782180471353</v>
      </c>
      <c r="AA722" s="17" t="n">
        <v>3.02</v>
      </c>
      <c r="AB722" s="17" t="n">
        <v>2.95418789912176</v>
      </c>
      <c r="AC722" s="17" t="n">
        <v>1.1168697299263</v>
      </c>
      <c r="AD722" s="17" t="n">
        <v>0.16</v>
      </c>
      <c r="AE722" s="17" t="n">
        <v>1</v>
      </c>
      <c r="AF722" s="17" t="s">
        <v>241</v>
      </c>
      <c r="AG722" s="17" t="s">
        <v>232</v>
      </c>
      <c r="AH722" s="17" t="n">
        <v>0</v>
      </c>
    </row>
    <row r="723" customFormat="false" ht="15" hidden="false" customHeight="false" outlineLevel="0" collapsed="false">
      <c r="A723" s="17" t="n">
        <v>18012</v>
      </c>
      <c r="B723" s="23" t="n">
        <v>45838</v>
      </c>
      <c r="C723" s="17" t="s">
        <v>148</v>
      </c>
      <c r="D723" s="17" t="s">
        <v>116</v>
      </c>
      <c r="E723" s="17" t="n">
        <v>2642289</v>
      </c>
      <c r="F723" s="17" t="n">
        <v>2640355.66666667</v>
      </c>
      <c r="G723" s="17" t="n">
        <v>2262357</v>
      </c>
      <c r="H723" s="17" t="n">
        <v>301653</v>
      </c>
      <c r="I723" s="17" t="n">
        <v>11.4163515043207</v>
      </c>
      <c r="J723" s="17" t="n">
        <v>2150865</v>
      </c>
      <c r="K723" s="17" t="n">
        <v>2121884.33333333</v>
      </c>
      <c r="L723" s="17" t="n">
        <v>2125751</v>
      </c>
      <c r="M723" s="17" t="n">
        <v>2050812</v>
      </c>
      <c r="N723" s="17" t="n">
        <v>52326</v>
      </c>
      <c r="O723" s="17" t="n">
        <v>25170</v>
      </c>
      <c r="P723" s="17" t="n">
        <v>1020</v>
      </c>
      <c r="Q723" s="17" t="n">
        <v>4968</v>
      </c>
      <c r="R723" s="17" t="n">
        <v>0</v>
      </c>
      <c r="S723" s="17" t="n">
        <v>115</v>
      </c>
      <c r="T723" s="17" t="n">
        <v>230</v>
      </c>
      <c r="U723" s="17" t="n">
        <v>0.0108394221299842</v>
      </c>
      <c r="V723" s="17" t="n">
        <v>329272</v>
      </c>
      <c r="W723" s="17" t="n">
        <v>2360657</v>
      </c>
      <c r="X723" s="17" t="n">
        <v>13.9483203193009</v>
      </c>
      <c r="Y723" s="17" t="n">
        <v>20880</v>
      </c>
      <c r="Z723" s="17" t="n">
        <v>0.790802552231915</v>
      </c>
      <c r="AA723" s="17" t="n">
        <v>7.12</v>
      </c>
      <c r="AB723" s="17" t="n">
        <v>2.89560003912315</v>
      </c>
      <c r="AC723" s="17" t="n">
        <v>1.16762325854947</v>
      </c>
      <c r="AD723" s="17" t="n">
        <v>0.05</v>
      </c>
      <c r="AE723" s="17" t="n">
        <v>1</v>
      </c>
      <c r="AF723" s="17" t="s">
        <v>314</v>
      </c>
      <c r="AG723" s="17" t="s">
        <v>232</v>
      </c>
      <c r="AH723" s="17" t="n">
        <v>0</v>
      </c>
    </row>
    <row r="724" customFormat="false" ht="15" hidden="false" customHeight="false" outlineLevel="0" collapsed="false">
      <c r="A724" s="17" t="n">
        <v>18013</v>
      </c>
      <c r="B724" s="23" t="n">
        <v>45838</v>
      </c>
      <c r="C724" s="17" t="s">
        <v>131</v>
      </c>
      <c r="D724" s="17" t="s">
        <v>116</v>
      </c>
      <c r="E724" s="17" t="n">
        <v>2896306</v>
      </c>
      <c r="F724" s="17" t="n">
        <v>2900361.66666667</v>
      </c>
      <c r="G724" s="17" t="n">
        <v>2573471</v>
      </c>
      <c r="H724" s="17" t="n">
        <v>235044</v>
      </c>
      <c r="I724" s="17" t="n">
        <v>8.11530273389621</v>
      </c>
      <c r="J724" s="17" t="n">
        <v>2423167</v>
      </c>
      <c r="K724" s="17" t="n">
        <v>2422693.66666667</v>
      </c>
      <c r="L724" s="17" t="n">
        <v>2405533</v>
      </c>
      <c r="M724" s="17" t="n">
        <v>2224117</v>
      </c>
      <c r="N724" s="17" t="n">
        <v>112059</v>
      </c>
      <c r="O724" s="17" t="n">
        <v>20548</v>
      </c>
      <c r="P724" s="17" t="n">
        <v>1401</v>
      </c>
      <c r="Q724" s="17" t="n">
        <v>4609</v>
      </c>
      <c r="R724" s="17" t="n">
        <v>153</v>
      </c>
      <c r="S724" s="17" t="n">
        <v>-48</v>
      </c>
      <c r="T724" s="17" t="n">
        <v>-96</v>
      </c>
      <c r="U724" s="17" t="n">
        <v>-0.00396253151278859</v>
      </c>
      <c r="V724" s="17" t="n">
        <v>276374</v>
      </c>
      <c r="W724" s="17" t="n">
        <v>2187218</v>
      </c>
      <c r="X724" s="17" t="n">
        <v>12.6358689440193</v>
      </c>
      <c r="Y724" s="17" t="n">
        <v>9750</v>
      </c>
      <c r="Z724" s="17" t="n">
        <v>0.336164972529288</v>
      </c>
      <c r="AA724" s="17" t="n">
        <v>4.2</v>
      </c>
      <c r="AB724" s="17" t="n">
        <v>2.8369626762913</v>
      </c>
      <c r="AC724" s="17" t="n">
        <v>0.727725328052091</v>
      </c>
      <c r="AD724" s="17" t="n">
        <v>0.04</v>
      </c>
      <c r="AE724" s="17" t="n">
        <v>1</v>
      </c>
      <c r="AF724" s="17" t="s">
        <v>314</v>
      </c>
      <c r="AG724" s="17" t="s">
        <v>232</v>
      </c>
      <c r="AH724" s="17" t="n">
        <v>0</v>
      </c>
    </row>
    <row r="725" customFormat="false" ht="15" hidden="false" customHeight="false" outlineLevel="0" collapsed="false">
      <c r="A725" s="17" t="n">
        <v>18028</v>
      </c>
      <c r="B725" s="23" t="n">
        <v>45838</v>
      </c>
      <c r="C725" s="17" t="s">
        <v>130</v>
      </c>
      <c r="D725" s="17" t="s">
        <v>116</v>
      </c>
      <c r="E725" s="17" t="n">
        <v>404550</v>
      </c>
      <c r="F725" s="17" t="n">
        <v>402359.333333333</v>
      </c>
      <c r="G725" s="17" t="n">
        <v>343782</v>
      </c>
      <c r="H725" s="17" t="n">
        <v>44056</v>
      </c>
      <c r="I725" s="17" t="n">
        <v>10.8901248300581</v>
      </c>
      <c r="J725" s="17" t="n">
        <v>278902</v>
      </c>
      <c r="K725" s="17" t="n">
        <v>278338.666666667</v>
      </c>
      <c r="L725" s="17" t="n">
        <v>276472</v>
      </c>
      <c r="M725" s="17" t="n">
        <v>256176</v>
      </c>
      <c r="N725" s="17" t="n">
        <v>13239</v>
      </c>
      <c r="O725" s="17" t="n">
        <v>4410</v>
      </c>
      <c r="P725" s="17" t="n">
        <v>1323</v>
      </c>
      <c r="Q725" s="17" t="n">
        <v>1104</v>
      </c>
      <c r="R725" s="17" t="n">
        <v>65</v>
      </c>
      <c r="S725" s="17" t="n">
        <v>214</v>
      </c>
      <c r="T725" s="17" t="n">
        <v>428</v>
      </c>
      <c r="U725" s="17" t="n">
        <v>0.153769508608218</v>
      </c>
      <c r="V725" s="17" t="n">
        <v>0</v>
      </c>
      <c r="W725" s="17" t="n">
        <v>0</v>
      </c>
      <c r="X725" s="17" t="n">
        <v>0</v>
      </c>
      <c r="Y725" s="17" t="n">
        <v>2072</v>
      </c>
      <c r="Z725" s="17" t="n">
        <v>0.514962579054543</v>
      </c>
      <c r="AA725" s="17" t="n">
        <v>4.79</v>
      </c>
      <c r="AB725" s="17" t="n">
        <v>3.48454058231308</v>
      </c>
      <c r="AC725" s="17" t="n">
        <v>0.87127378075453</v>
      </c>
      <c r="AD725" s="17" t="n">
        <v>0.17</v>
      </c>
      <c r="AE725" s="17" t="n">
        <v>1</v>
      </c>
      <c r="AF725" s="17" t="s">
        <v>241</v>
      </c>
      <c r="AG725" s="17" t="s">
        <v>232</v>
      </c>
      <c r="AH725" s="17" t="n">
        <v>0</v>
      </c>
    </row>
    <row r="726" customFormat="false" ht="15" hidden="false" customHeight="false" outlineLevel="0" collapsed="false">
      <c r="A726" s="17" t="n">
        <v>18030</v>
      </c>
      <c r="B726" s="23" t="n">
        <v>45838</v>
      </c>
      <c r="C726" s="17" t="s">
        <v>157</v>
      </c>
      <c r="D726" s="17" t="s">
        <v>116</v>
      </c>
      <c r="E726" s="17" t="n">
        <v>805858</v>
      </c>
      <c r="F726" s="17" t="n">
        <v>794844</v>
      </c>
      <c r="G726" s="17" t="n">
        <v>738321</v>
      </c>
      <c r="H726" s="17" t="n">
        <v>58470</v>
      </c>
      <c r="I726" s="17" t="n">
        <v>7.25562071729759</v>
      </c>
      <c r="J726" s="17" t="n">
        <v>601715</v>
      </c>
      <c r="K726" s="17" t="n">
        <v>595280.666666667</v>
      </c>
      <c r="L726" s="17" t="n">
        <v>595703</v>
      </c>
      <c r="M726" s="17" t="n">
        <v>463695</v>
      </c>
      <c r="N726" s="17" t="n">
        <v>41693</v>
      </c>
      <c r="O726" s="17" t="n">
        <v>96046</v>
      </c>
      <c r="P726" s="17" t="n">
        <v>1404</v>
      </c>
      <c r="Q726" s="17" t="n">
        <v>1148</v>
      </c>
      <c r="R726" s="17" t="n">
        <v>0</v>
      </c>
      <c r="S726" s="17" t="n">
        <v>94</v>
      </c>
      <c r="T726" s="17" t="n">
        <v>188</v>
      </c>
      <c r="U726" s="17" t="n">
        <v>0.0315817412738641</v>
      </c>
      <c r="V726" s="17" t="n">
        <v>74795</v>
      </c>
      <c r="W726" s="17" t="n">
        <v>528898</v>
      </c>
      <c r="X726" s="17" t="n">
        <v>14.1416681477336</v>
      </c>
      <c r="Y726" s="17" t="n">
        <v>5710</v>
      </c>
      <c r="Z726" s="17" t="n">
        <v>0.71837995883469</v>
      </c>
      <c r="AA726" s="17" t="n">
        <v>10.16</v>
      </c>
      <c r="AB726" s="17" t="n">
        <v>3.70938416602505</v>
      </c>
      <c r="AC726" s="17" t="n">
        <v>0.999144113076789</v>
      </c>
      <c r="AD726" s="17" t="n">
        <v>0.07</v>
      </c>
      <c r="AE726" s="17" t="n">
        <v>1</v>
      </c>
      <c r="AF726" s="17" t="s">
        <v>241</v>
      </c>
      <c r="AG726" s="17" t="s">
        <v>232</v>
      </c>
      <c r="AH726" s="17" t="n">
        <v>0</v>
      </c>
    </row>
    <row r="727" customFormat="false" ht="15" hidden="false" customHeight="false" outlineLevel="0" collapsed="false">
      <c r="A727" s="17" t="n">
        <v>18031</v>
      </c>
      <c r="B727" s="23" t="n">
        <v>45838</v>
      </c>
      <c r="C727" s="17" t="s">
        <v>152</v>
      </c>
      <c r="D727" s="17" t="s">
        <v>116</v>
      </c>
      <c r="E727" s="17" t="n">
        <v>669249</v>
      </c>
      <c r="F727" s="17" t="n">
        <v>671471.333333333</v>
      </c>
      <c r="G727" s="17" t="n">
        <v>526372</v>
      </c>
      <c r="H727" s="17" t="n">
        <v>40753</v>
      </c>
      <c r="I727" s="17" t="n">
        <v>6.08936285298895</v>
      </c>
      <c r="J727" s="17" t="n">
        <v>452465</v>
      </c>
      <c r="K727" s="17" t="n">
        <v>454236</v>
      </c>
      <c r="L727" s="17" t="n">
        <v>448706</v>
      </c>
      <c r="M727" s="17" t="n">
        <v>416232</v>
      </c>
      <c r="N727" s="17" t="n">
        <v>22546</v>
      </c>
      <c r="O727" s="17" t="n">
        <v>7202</v>
      </c>
      <c r="P727" s="17" t="n">
        <v>562</v>
      </c>
      <c r="Q727" s="17" t="n">
        <v>654</v>
      </c>
      <c r="R727" s="17" t="n">
        <v>4</v>
      </c>
      <c r="S727" s="17" t="n">
        <v>172</v>
      </c>
      <c r="T727" s="17" t="n">
        <v>344</v>
      </c>
      <c r="U727" s="17" t="n">
        <v>0.0757315580447169</v>
      </c>
      <c r="V727" s="17" t="n">
        <v>62023</v>
      </c>
      <c r="W727" s="17" t="n">
        <v>365813</v>
      </c>
      <c r="X727" s="17" t="n">
        <v>16.9548375809498</v>
      </c>
      <c r="Y727" s="17" t="n">
        <v>1296</v>
      </c>
      <c r="Z727" s="17" t="n">
        <v>0.193008984250507</v>
      </c>
      <c r="AA727" s="17" t="n">
        <v>3.27</v>
      </c>
      <c r="AB727" s="17" t="n">
        <v>2.76573202974124</v>
      </c>
      <c r="AC727" s="17" t="n">
        <v>0.830782491463428</v>
      </c>
      <c r="AD727" s="17" t="n">
        <v>0.08</v>
      </c>
      <c r="AE727" s="17" t="n">
        <v>0</v>
      </c>
      <c r="AF727" s="17" t="s">
        <v>241</v>
      </c>
      <c r="AG727" s="17" t="s">
        <v>232</v>
      </c>
      <c r="AH727" s="17" t="n">
        <v>0</v>
      </c>
    </row>
    <row r="728" customFormat="false" ht="15" hidden="false" customHeight="false" outlineLevel="0" collapsed="false">
      <c r="A728" s="17" t="n">
        <v>18038</v>
      </c>
      <c r="B728" s="23" t="n">
        <v>45838</v>
      </c>
      <c r="C728" s="17" t="s">
        <v>128</v>
      </c>
      <c r="D728" s="17" t="s">
        <v>116</v>
      </c>
      <c r="E728" s="17" t="n">
        <v>597834</v>
      </c>
      <c r="F728" s="17" t="n">
        <v>577524</v>
      </c>
      <c r="G728" s="17" t="n">
        <v>447963</v>
      </c>
      <c r="H728" s="17" t="n">
        <v>69475</v>
      </c>
      <c r="I728" s="17" t="n">
        <v>11.621118905917</v>
      </c>
      <c r="J728" s="17" t="n">
        <v>458530</v>
      </c>
      <c r="K728" s="17" t="n">
        <v>449035.333333333</v>
      </c>
      <c r="L728" s="17" t="n">
        <v>454589</v>
      </c>
      <c r="M728" s="17" t="n">
        <v>420497</v>
      </c>
      <c r="N728" s="17" t="n">
        <v>30598</v>
      </c>
      <c r="O728" s="17" t="n">
        <v>4861</v>
      </c>
      <c r="P728" s="17" t="n">
        <v>2194</v>
      </c>
      <c r="Q728" s="17" t="n">
        <v>950</v>
      </c>
      <c r="R728" s="17" t="n">
        <v>0</v>
      </c>
      <c r="S728" s="17" t="n">
        <v>-54</v>
      </c>
      <c r="T728" s="17" t="n">
        <v>-108</v>
      </c>
      <c r="U728" s="17" t="n">
        <v>-0.0240515594170021</v>
      </c>
      <c r="V728" s="17" t="n">
        <v>0</v>
      </c>
      <c r="W728" s="17" t="n">
        <v>0</v>
      </c>
      <c r="X728" s="17" t="n">
        <v>0</v>
      </c>
      <c r="Y728" s="17" t="n">
        <v>2460</v>
      </c>
      <c r="Z728" s="17" t="n">
        <v>0.425956323893033</v>
      </c>
      <c r="AA728" s="17" t="n">
        <v>3.58</v>
      </c>
      <c r="AB728" s="17" t="n">
        <v>2.89442109724558</v>
      </c>
      <c r="AC728" s="17" t="n">
        <v>0.859485747933614</v>
      </c>
      <c r="AD728" s="17" t="n">
        <v>0</v>
      </c>
      <c r="AE728" s="17" t="n">
        <v>1</v>
      </c>
      <c r="AF728" s="17" t="s">
        <v>241</v>
      </c>
      <c r="AG728" s="17" t="s">
        <v>232</v>
      </c>
      <c r="AH728" s="17" t="n">
        <v>1</v>
      </c>
    </row>
    <row r="729" customFormat="false" ht="15" hidden="false" customHeight="false" outlineLevel="0" collapsed="false">
      <c r="A729" s="17" t="n">
        <v>18408</v>
      </c>
      <c r="B729" s="23" t="n">
        <v>45838</v>
      </c>
      <c r="C729" s="17" t="s">
        <v>107</v>
      </c>
      <c r="D729" s="17" t="s">
        <v>108</v>
      </c>
      <c r="E729" s="17" t="n">
        <v>7335916</v>
      </c>
      <c r="F729" s="17" t="n">
        <v>7269645</v>
      </c>
      <c r="G729" s="17" t="n">
        <v>5915806</v>
      </c>
      <c r="H729" s="17" t="n">
        <v>467639</v>
      </c>
      <c r="I729" s="17" t="n">
        <v>6.37465041857077</v>
      </c>
      <c r="J729" s="17" t="n">
        <v>5070574</v>
      </c>
      <c r="K729" s="17" t="n">
        <v>4994897.33333333</v>
      </c>
      <c r="L729" s="17" t="n">
        <v>5032756</v>
      </c>
      <c r="M729" s="17" t="n">
        <v>4566132</v>
      </c>
      <c r="N729" s="17" t="n">
        <v>368953</v>
      </c>
      <c r="O729" s="17" t="n">
        <v>57245</v>
      </c>
      <c r="P729" s="17" t="n">
        <v>33535</v>
      </c>
      <c r="Q729" s="17" t="n">
        <v>11898</v>
      </c>
      <c r="R729" s="17" t="n">
        <v>0</v>
      </c>
      <c r="S729" s="17" t="n">
        <v>458</v>
      </c>
      <c r="T729" s="17" t="n">
        <v>916</v>
      </c>
      <c r="U729" s="17" t="n">
        <v>0.0183387152702238</v>
      </c>
      <c r="V729" s="17" t="n">
        <v>600450</v>
      </c>
      <c r="W729" s="17" t="n">
        <v>5385733</v>
      </c>
      <c r="X729" s="17" t="n">
        <v>11.148900251832</v>
      </c>
      <c r="Y729" s="17" t="n">
        <v>7726</v>
      </c>
      <c r="Z729" s="17" t="n">
        <v>0.106277541750663</v>
      </c>
      <c r="AA729" s="17" t="n">
        <v>1.71</v>
      </c>
      <c r="AB729" s="17" t="n">
        <v>2.4185246455811</v>
      </c>
      <c r="AC729" s="17" t="n">
        <v>0.745832720319238</v>
      </c>
      <c r="AD729" s="17" t="n">
        <v>0.2</v>
      </c>
      <c r="AE729" s="17" t="n">
        <v>1</v>
      </c>
      <c r="AF729" s="17" t="s">
        <v>241</v>
      </c>
      <c r="AG729" s="17" t="s">
        <v>232</v>
      </c>
      <c r="AH729" s="17" t="n">
        <v>0</v>
      </c>
    </row>
    <row r="730" customFormat="false" ht="15" hidden="false" customHeight="false" outlineLevel="0" collapsed="false">
      <c r="A730" s="17" t="n">
        <v>19531</v>
      </c>
      <c r="B730" s="23" t="n">
        <v>45838</v>
      </c>
      <c r="C730" s="17" t="s">
        <v>146</v>
      </c>
      <c r="D730" s="17" t="s">
        <v>108</v>
      </c>
      <c r="E730" s="17" t="n">
        <v>2611219</v>
      </c>
      <c r="F730" s="17" t="n">
        <v>2595429</v>
      </c>
      <c r="G730" s="17" t="n">
        <v>2294497</v>
      </c>
      <c r="H730" s="17" t="n">
        <v>275708</v>
      </c>
      <c r="I730" s="17" t="n">
        <v>10.558593515136</v>
      </c>
      <c r="J730" s="17" t="n">
        <v>2215644</v>
      </c>
      <c r="K730" s="17" t="n">
        <v>2183532.66666667</v>
      </c>
      <c r="L730" s="17" t="n">
        <v>2196251</v>
      </c>
      <c r="M730" s="17" t="n">
        <v>1826881</v>
      </c>
      <c r="N730" s="17" t="n">
        <v>266423</v>
      </c>
      <c r="O730" s="17" t="n">
        <v>6284</v>
      </c>
      <c r="P730" s="17" t="n">
        <v>9735</v>
      </c>
      <c r="Q730" s="17" t="n">
        <v>29206</v>
      </c>
      <c r="R730" s="17" t="n">
        <v>5</v>
      </c>
      <c r="S730" s="17" t="n">
        <v>-418</v>
      </c>
      <c r="T730" s="17" t="n">
        <v>-836</v>
      </c>
      <c r="U730" s="17" t="n">
        <v>-0.0382865808587247</v>
      </c>
      <c r="V730" s="17" t="n">
        <v>320959</v>
      </c>
      <c r="W730" s="17" t="n">
        <v>2267733</v>
      </c>
      <c r="X730" s="17" t="n">
        <v>14.1532975883845</v>
      </c>
      <c r="Y730" s="17" t="n">
        <v>21930</v>
      </c>
      <c r="Z730" s="17" t="n">
        <v>0.844947020319184</v>
      </c>
      <c r="AA730" s="17" t="n">
        <v>8.21</v>
      </c>
      <c r="AB730" s="17" t="n">
        <v>3.21090869460597</v>
      </c>
      <c r="AC730" s="17" t="n">
        <v>0.875275991991493</v>
      </c>
      <c r="AD730" s="17" t="n">
        <v>0</v>
      </c>
      <c r="AE730" s="17" t="n">
        <v>1</v>
      </c>
      <c r="AF730" s="17" t="s">
        <v>241</v>
      </c>
      <c r="AG730" s="17" t="s">
        <v>232</v>
      </c>
      <c r="AH730" s="17" t="n">
        <v>0</v>
      </c>
    </row>
    <row r="731" customFormat="false" ht="15" hidden="false" customHeight="false" outlineLevel="0" collapsed="false">
      <c r="A731" s="17" t="n">
        <v>19532</v>
      </c>
      <c r="B731" s="23" t="n">
        <v>45838</v>
      </c>
      <c r="C731" s="17" t="s">
        <v>164</v>
      </c>
      <c r="D731" s="17" t="s">
        <v>108</v>
      </c>
      <c r="E731" s="17" t="n">
        <v>843145</v>
      </c>
      <c r="F731" s="17" t="n">
        <v>842436</v>
      </c>
      <c r="G731" s="17" t="n">
        <v>706708</v>
      </c>
      <c r="H731" s="17" t="n">
        <v>110106</v>
      </c>
      <c r="I731" s="17" t="n">
        <v>13.0589637606817</v>
      </c>
      <c r="J731" s="17" t="n">
        <v>617669</v>
      </c>
      <c r="K731" s="17" t="n">
        <v>616696</v>
      </c>
      <c r="L731" s="17" t="n">
        <v>611568</v>
      </c>
      <c r="M731" s="17" t="n">
        <v>511357</v>
      </c>
      <c r="N731" s="17" t="n">
        <v>52195</v>
      </c>
      <c r="O731" s="17" t="n">
        <v>49375</v>
      </c>
      <c r="P731" s="17" t="n">
        <v>1705</v>
      </c>
      <c r="Q731" s="17" t="n">
        <v>817</v>
      </c>
      <c r="R731" s="17" t="n">
        <v>189</v>
      </c>
      <c r="S731" s="17" t="n">
        <v>46</v>
      </c>
      <c r="T731" s="17" t="n">
        <v>92</v>
      </c>
      <c r="U731" s="17" t="n">
        <v>0.0149182092959902</v>
      </c>
      <c r="V731" s="17" t="n">
        <v>132688</v>
      </c>
      <c r="W731" s="17" t="n">
        <v>606697</v>
      </c>
      <c r="X731" s="17" t="n">
        <v>21.8705548239072</v>
      </c>
      <c r="Y731" s="17" t="n">
        <v>8288</v>
      </c>
      <c r="Z731" s="17" t="n">
        <v>0.98381360720577</v>
      </c>
      <c r="AA731" s="17" t="n">
        <v>7.78</v>
      </c>
      <c r="AB731" s="17" t="n">
        <v>3.61555610853524</v>
      </c>
      <c r="AC731" s="17" t="n">
        <v>0.987745863885026</v>
      </c>
      <c r="AD731" s="17" t="n">
        <v>-0.01</v>
      </c>
      <c r="AE731" s="17" t="n">
        <v>1</v>
      </c>
      <c r="AF731" s="17" t="s">
        <v>241</v>
      </c>
      <c r="AG731" s="17" t="s">
        <v>232</v>
      </c>
      <c r="AH731" s="17" t="n">
        <v>1</v>
      </c>
    </row>
    <row r="732" customFormat="false" ht="15" hidden="false" customHeight="false" outlineLevel="0" collapsed="false">
      <c r="A732" s="17" t="n">
        <v>19690</v>
      </c>
      <c r="B732" s="23" t="n">
        <v>45838</v>
      </c>
      <c r="C732" s="17" t="s">
        <v>158</v>
      </c>
      <c r="D732" s="17" t="s">
        <v>108</v>
      </c>
      <c r="E732" s="17" t="n">
        <v>4279069</v>
      </c>
      <c r="F732" s="17" t="n">
        <v>4196875</v>
      </c>
      <c r="G732" s="17" t="n">
        <v>3405883</v>
      </c>
      <c r="H732" s="17" t="n">
        <v>494286</v>
      </c>
      <c r="I732" s="17" t="n">
        <v>11.5512509847352</v>
      </c>
      <c r="J732" s="17" t="n">
        <v>3790157</v>
      </c>
      <c r="K732" s="17" t="n">
        <v>3738988.66666667</v>
      </c>
      <c r="L732" s="17" t="n">
        <v>3742227</v>
      </c>
      <c r="M732" s="17" t="n">
        <v>2852951</v>
      </c>
      <c r="N732" s="17" t="n">
        <v>157469</v>
      </c>
      <c r="O732" s="17" t="n">
        <v>145</v>
      </c>
      <c r="P732" s="17" t="n">
        <v>35011</v>
      </c>
      <c r="Q732" s="17" t="n">
        <v>1334</v>
      </c>
      <c r="R732" s="17" t="n">
        <v>0</v>
      </c>
      <c r="S732" s="17" t="n">
        <v>2575</v>
      </c>
      <c r="T732" s="17" t="n">
        <v>5150</v>
      </c>
      <c r="U732" s="17" t="n">
        <v>0.137737780430109</v>
      </c>
      <c r="V732" s="17" t="n">
        <v>539964</v>
      </c>
      <c r="W732" s="17" t="n">
        <v>3674079</v>
      </c>
      <c r="X732" s="17" t="n">
        <v>14.6965811023661</v>
      </c>
      <c r="Y732" s="17" t="n">
        <v>87792</v>
      </c>
      <c r="Z732" s="17" t="n">
        <v>2.09184214445272</v>
      </c>
      <c r="AA732" s="17" t="n">
        <v>18.73</v>
      </c>
      <c r="AB732" s="17" t="n">
        <v>4.88660948292711</v>
      </c>
      <c r="AC732" s="17" t="n">
        <v>1.26459141402322</v>
      </c>
      <c r="AD732" s="17" t="n">
        <v>0.3</v>
      </c>
      <c r="AE732" s="17" t="n">
        <v>1</v>
      </c>
      <c r="AF732" s="17" t="s">
        <v>231</v>
      </c>
      <c r="AG732" s="17" t="s">
        <v>232</v>
      </c>
      <c r="AH732" s="17" t="n">
        <v>0</v>
      </c>
    </row>
    <row r="733" customFormat="false" ht="15" hidden="false" customHeight="false" outlineLevel="0" collapsed="false">
      <c r="A733" s="17" t="n">
        <v>19836</v>
      </c>
      <c r="B733" s="23" t="n">
        <v>45838</v>
      </c>
      <c r="C733" s="17" t="s">
        <v>136</v>
      </c>
      <c r="D733" s="17" t="s">
        <v>108</v>
      </c>
      <c r="E733" s="17" t="n">
        <v>755186</v>
      </c>
      <c r="F733" s="17" t="n">
        <v>738260.333333333</v>
      </c>
      <c r="G733" s="17" t="n">
        <v>587526</v>
      </c>
      <c r="H733" s="17" t="n">
        <v>130465</v>
      </c>
      <c r="I733" s="17" t="n">
        <v>17.2758764066071</v>
      </c>
      <c r="J733" s="17" t="n">
        <v>643156</v>
      </c>
      <c r="K733" s="17" t="n">
        <v>630599.333333333</v>
      </c>
      <c r="L733" s="17" t="n">
        <v>638618</v>
      </c>
      <c r="M733" s="17" t="n">
        <v>587491</v>
      </c>
      <c r="N733" s="17" t="n">
        <v>43608</v>
      </c>
      <c r="O733" s="17" t="n">
        <v>10432</v>
      </c>
      <c r="P733" s="17" t="n">
        <v>8281</v>
      </c>
      <c r="Q733" s="17" t="n">
        <v>5102</v>
      </c>
      <c r="R733" s="17" t="n">
        <v>141</v>
      </c>
      <c r="S733" s="17" t="n">
        <v>31</v>
      </c>
      <c r="T733" s="17" t="n">
        <v>62</v>
      </c>
      <c r="U733" s="17" t="n">
        <v>0.00983191651539963</v>
      </c>
      <c r="V733" s="17" t="n">
        <v>142381</v>
      </c>
      <c r="W733" s="17" t="n">
        <v>617575</v>
      </c>
      <c r="X733" s="17" t="n">
        <v>23.0548516374529</v>
      </c>
      <c r="Y733" s="17" t="n">
        <v>6198</v>
      </c>
      <c r="Z733" s="17" t="n">
        <v>0.839541245838753</v>
      </c>
      <c r="AA733" s="17" t="n">
        <v>4.82</v>
      </c>
      <c r="AB733" s="17" t="n">
        <v>3.96457803239998</v>
      </c>
      <c r="AC733" s="17" t="n">
        <v>0.705583093370815</v>
      </c>
      <c r="AD733" s="17" t="n">
        <v>0.03</v>
      </c>
      <c r="AE733" s="17" t="n">
        <v>1</v>
      </c>
      <c r="AF733" s="17" t="s">
        <v>314</v>
      </c>
      <c r="AG733" s="17" t="s">
        <v>232</v>
      </c>
      <c r="AH733" s="17" t="n">
        <v>0</v>
      </c>
    </row>
    <row r="734" customFormat="false" ht="15" hidden="false" customHeight="false" outlineLevel="0" collapsed="false">
      <c r="A734" s="17" t="n">
        <v>24540</v>
      </c>
      <c r="B734" s="23" t="n">
        <v>45838</v>
      </c>
      <c r="C734" s="17" t="s">
        <v>163</v>
      </c>
      <c r="D734" s="17" t="s">
        <v>116</v>
      </c>
      <c r="E734" s="17" t="n">
        <v>1748522</v>
      </c>
      <c r="F734" s="17" t="n">
        <v>1654572.33333333</v>
      </c>
      <c r="G734" s="17" t="n">
        <v>1440031</v>
      </c>
      <c r="H734" s="17" t="n">
        <v>282051</v>
      </c>
      <c r="I734" s="17" t="n">
        <v>16.1308236327596</v>
      </c>
      <c r="J734" s="17" t="n">
        <v>1549557</v>
      </c>
      <c r="K734" s="17" t="n">
        <v>1460472.33333333</v>
      </c>
      <c r="L734" s="17" t="n">
        <v>1533999</v>
      </c>
      <c r="M734" s="17" t="n">
        <v>1506054</v>
      </c>
      <c r="N734" s="17" t="n">
        <v>47445</v>
      </c>
      <c r="O734" s="17" t="n">
        <v>126</v>
      </c>
      <c r="P734" s="17" t="n">
        <v>11424</v>
      </c>
      <c r="Q734" s="17" t="n">
        <v>0</v>
      </c>
      <c r="R734" s="17" t="n">
        <v>0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33948</v>
      </c>
      <c r="Z734" s="17" t="n">
        <v>2.05176886595267</v>
      </c>
      <c r="AA734" s="17" t="n">
        <v>12.25</v>
      </c>
      <c r="AB734" s="17" t="n">
        <v>4.28649738721819</v>
      </c>
      <c r="AC734" s="17" t="n">
        <v>1.00402889341922</v>
      </c>
      <c r="AD734" s="17" t="n">
        <v>0.14</v>
      </c>
      <c r="AE734" s="17" t="n">
        <v>1</v>
      </c>
      <c r="AF734" s="17" t="s">
        <v>231</v>
      </c>
      <c r="AG734" s="17" t="s">
        <v>232</v>
      </c>
      <c r="AH734" s="17" t="n">
        <v>0</v>
      </c>
    </row>
    <row r="735" customFormat="false" ht="15" hidden="false" customHeight="false" outlineLevel="0" collapsed="false">
      <c r="A735" s="17" t="n">
        <v>27824</v>
      </c>
      <c r="B735" s="23" t="n">
        <v>45838</v>
      </c>
      <c r="C735" s="17" t="s">
        <v>117</v>
      </c>
      <c r="D735" s="17" t="s">
        <v>116</v>
      </c>
      <c r="E735" s="17" t="n">
        <v>571650</v>
      </c>
      <c r="F735" s="17" t="n">
        <v>571420</v>
      </c>
      <c r="G735" s="17" t="n">
        <v>388196</v>
      </c>
      <c r="H735" s="17" t="n">
        <v>62136</v>
      </c>
      <c r="I735" s="17" t="n">
        <v>10.8695880346366</v>
      </c>
      <c r="J735" s="17" t="n">
        <v>471430</v>
      </c>
      <c r="K735" s="17" t="n">
        <v>473962</v>
      </c>
      <c r="L735" s="17" t="n">
        <v>468470</v>
      </c>
      <c r="M735" s="17" t="n">
        <v>421364</v>
      </c>
      <c r="N735" s="17" t="n">
        <v>18433</v>
      </c>
      <c r="O735" s="17" t="n">
        <v>31632</v>
      </c>
      <c r="P735" s="17" t="n">
        <v>2044</v>
      </c>
      <c r="Q735" s="17" t="n">
        <v>1687</v>
      </c>
      <c r="R735" s="17" t="n">
        <v>0</v>
      </c>
      <c r="S735" s="17" t="n">
        <v>42</v>
      </c>
      <c r="T735" s="17" t="n">
        <v>84</v>
      </c>
      <c r="U735" s="17" t="n">
        <v>0.0177229398137403</v>
      </c>
      <c r="V735" s="17" t="n">
        <v>70173</v>
      </c>
      <c r="W735" s="17" t="n">
        <v>370130</v>
      </c>
      <c r="X735" s="17" t="n">
        <v>18.9590144003458</v>
      </c>
      <c r="Y735" s="17" t="n">
        <v>-1748</v>
      </c>
      <c r="Z735" s="17" t="n">
        <v>-0.305904588568829</v>
      </c>
      <c r="AA735" s="17" t="n">
        <v>-2.81</v>
      </c>
      <c r="AB735" s="17" t="n">
        <v>1.91505644013124</v>
      </c>
      <c r="AC735" s="17" t="n">
        <v>0.62787688522156</v>
      </c>
      <c r="AD735" s="17" t="n">
        <v>0.06</v>
      </c>
      <c r="AE735" s="17" t="n">
        <v>1</v>
      </c>
      <c r="AF735" s="17" t="s">
        <v>354</v>
      </c>
      <c r="AG735" s="17" t="s">
        <v>232</v>
      </c>
      <c r="AH735" s="17" t="n">
        <v>1</v>
      </c>
    </row>
    <row r="736" customFormat="false" ht="15" hidden="false" customHeight="false" outlineLevel="0" collapsed="false">
      <c r="A736" s="17" t="n">
        <v>28155</v>
      </c>
      <c r="B736" s="23" t="n">
        <v>45838</v>
      </c>
      <c r="C736" s="17" t="s">
        <v>150</v>
      </c>
      <c r="D736" s="17" t="s">
        <v>116</v>
      </c>
      <c r="E736" s="17" t="n">
        <v>317001</v>
      </c>
      <c r="F736" s="17" t="n">
        <v>304008</v>
      </c>
      <c r="G736" s="17" t="n">
        <v>287929</v>
      </c>
      <c r="H736" s="17" t="n">
        <v>27470</v>
      </c>
      <c r="I736" s="17" t="n">
        <v>8.6655878057167</v>
      </c>
      <c r="J736" s="17" t="n">
        <v>180807</v>
      </c>
      <c r="K736" s="17" t="n">
        <v>177234.666666667</v>
      </c>
      <c r="L736" s="17" t="n">
        <v>180041</v>
      </c>
      <c r="M736" s="17" t="n">
        <v>165552</v>
      </c>
      <c r="N736" s="17" t="n">
        <v>8456</v>
      </c>
      <c r="O736" s="17" t="n">
        <v>6285</v>
      </c>
      <c r="P736" s="17" t="n">
        <v>0</v>
      </c>
      <c r="Q736" s="17" t="n">
        <v>1753</v>
      </c>
      <c r="R736" s="17" t="n">
        <v>0</v>
      </c>
      <c r="S736" s="17" t="n">
        <v>22</v>
      </c>
      <c r="T736" s="17" t="n">
        <v>44</v>
      </c>
      <c r="U736" s="17" t="n">
        <v>0.0248258429502129</v>
      </c>
      <c r="V736" s="17" t="n">
        <v>28730</v>
      </c>
      <c r="W736" s="17" t="n">
        <v>167218</v>
      </c>
      <c r="X736" s="17" t="n">
        <v>17.1811647071488</v>
      </c>
      <c r="Y736" s="17" t="n">
        <v>-94</v>
      </c>
      <c r="Z736" s="17" t="n">
        <v>-0.0309202389410805</v>
      </c>
      <c r="AA736" s="17" t="n">
        <v>-0.34</v>
      </c>
      <c r="AB736" s="17" t="n">
        <v>2.66189945807321</v>
      </c>
      <c r="AC736" s="17" t="n">
        <v>0.423656163754722</v>
      </c>
      <c r="AD736" s="17" t="n">
        <v>0</v>
      </c>
      <c r="AE736" s="17" t="n">
        <v>1</v>
      </c>
      <c r="AF736" s="17" t="s">
        <v>314</v>
      </c>
      <c r="AG736" s="17" t="s">
        <v>232</v>
      </c>
      <c r="AH736" s="17" t="n">
        <v>0</v>
      </c>
    </row>
    <row r="737" customFormat="false" ht="15" hidden="false" customHeight="false" outlineLevel="0" collapsed="false">
      <c r="A737" s="17" t="n">
        <v>28288</v>
      </c>
      <c r="B737" s="23" t="n">
        <v>45838</v>
      </c>
      <c r="C737" s="17" t="s">
        <v>124</v>
      </c>
      <c r="D737" s="17" t="s">
        <v>108</v>
      </c>
      <c r="E737" s="17" t="n">
        <v>102731</v>
      </c>
      <c r="F737" s="17" t="n">
        <v>102062.333333333</v>
      </c>
      <c r="G737" s="17" t="n">
        <v>76453</v>
      </c>
      <c r="H737" s="17" t="n">
        <v>6269</v>
      </c>
      <c r="I737" s="17" t="n">
        <v>6.1023449591652</v>
      </c>
      <c r="J737" s="17" t="n">
        <v>82436</v>
      </c>
      <c r="K737" s="17" t="n">
        <v>82438</v>
      </c>
      <c r="L737" s="17" t="n">
        <v>81637</v>
      </c>
      <c r="M737" s="17" t="n">
        <v>74872</v>
      </c>
      <c r="N737" s="17" t="n">
        <v>4189</v>
      </c>
      <c r="O737" s="17" t="n">
        <v>3375</v>
      </c>
      <c r="P737" s="17" t="n">
        <v>99</v>
      </c>
      <c r="Q737" s="17" t="n">
        <v>160</v>
      </c>
      <c r="R737" s="17" t="n">
        <v>0</v>
      </c>
      <c r="S737" s="17" t="n">
        <v>1</v>
      </c>
      <c r="T737" s="17" t="n">
        <v>2</v>
      </c>
      <c r="U737" s="17" t="n">
        <v>0.00242606564933647</v>
      </c>
      <c r="V737" s="17" t="n">
        <v>8977</v>
      </c>
      <c r="W737" s="17" t="n">
        <v>68094</v>
      </c>
      <c r="X737" s="17" t="n">
        <v>13.1832466884013</v>
      </c>
      <c r="Y737" s="17" t="n">
        <v>252</v>
      </c>
      <c r="Z737" s="17" t="n">
        <v>0.2469079353467</v>
      </c>
      <c r="AA737" s="17" t="n">
        <v>4.13</v>
      </c>
      <c r="AB737" s="17" t="n">
        <v>2.73418663286535</v>
      </c>
      <c r="AC737" s="17" t="n">
        <v>0.96923674122956</v>
      </c>
      <c r="AD737" s="17" t="n">
        <v>0</v>
      </c>
      <c r="AE737" s="17" t="n">
        <v>1</v>
      </c>
      <c r="AF737" s="17" t="s">
        <v>361</v>
      </c>
      <c r="AG737" s="17" t="s">
        <v>211</v>
      </c>
      <c r="AH737" s="17" t="n">
        <v>0</v>
      </c>
    </row>
    <row r="738" customFormat="false" ht="15" hidden="false" customHeight="false" outlineLevel="0" collapsed="false">
      <c r="A738" s="17" t="n">
        <v>28369</v>
      </c>
      <c r="B738" s="23" t="n">
        <v>45838</v>
      </c>
      <c r="C738" s="17" t="s">
        <v>145</v>
      </c>
      <c r="D738" s="17" t="s">
        <v>108</v>
      </c>
      <c r="E738" s="17" t="n">
        <v>93177</v>
      </c>
      <c r="F738" s="17" t="n">
        <v>93469.6666666667</v>
      </c>
      <c r="G738" s="17" t="n">
        <v>73160</v>
      </c>
      <c r="H738" s="17" t="n">
        <v>9091</v>
      </c>
      <c r="I738" s="17" t="n">
        <v>9.75669961471179</v>
      </c>
      <c r="J738" s="17" t="n">
        <v>79992</v>
      </c>
      <c r="K738" s="17" t="n">
        <v>80746.6666666667</v>
      </c>
      <c r="L738" s="17" t="n">
        <v>79361</v>
      </c>
      <c r="M738" s="17" t="n">
        <v>66764</v>
      </c>
      <c r="N738" s="17" t="n">
        <v>12550</v>
      </c>
      <c r="O738" s="17" t="n">
        <v>678</v>
      </c>
      <c r="P738" s="17" t="n">
        <v>86</v>
      </c>
      <c r="Q738" s="17" t="n">
        <v>180</v>
      </c>
      <c r="R738" s="17" t="n">
        <v>0</v>
      </c>
      <c r="S738" s="17" t="n">
        <v>-59</v>
      </c>
      <c r="T738" s="17" t="n">
        <v>-118</v>
      </c>
      <c r="U738" s="17" t="n">
        <v>-0.14613606340819</v>
      </c>
      <c r="V738" s="17" t="n">
        <v>9221</v>
      </c>
      <c r="W738" s="17" t="n">
        <v>65221</v>
      </c>
      <c r="X738" s="17" t="n">
        <v>14.1380843593321</v>
      </c>
      <c r="Y738" s="17" t="n">
        <v>96</v>
      </c>
      <c r="Z738" s="17" t="n">
        <v>0.102707117103945</v>
      </c>
      <c r="AA738" s="17" t="n">
        <v>1.06</v>
      </c>
      <c r="AB738" s="17" t="n">
        <v>3.43158918975128</v>
      </c>
      <c r="AC738" s="17" t="n">
        <v>0.788828882888289</v>
      </c>
      <c r="AD738" s="17" t="n">
        <v>-0.1</v>
      </c>
      <c r="AE738" s="17" t="n">
        <v>1</v>
      </c>
      <c r="AF738" s="17" t="s">
        <v>361</v>
      </c>
      <c r="AG738" s="17" t="s">
        <v>211</v>
      </c>
      <c r="AH738" s="17" t="n">
        <v>1</v>
      </c>
    </row>
    <row r="739" customFormat="false" ht="15" hidden="false" customHeight="false" outlineLevel="0" collapsed="false">
      <c r="A739" s="17" t="n">
        <v>28837</v>
      </c>
      <c r="B739" s="23" t="n">
        <v>45838</v>
      </c>
      <c r="C739" s="17" t="s">
        <v>142</v>
      </c>
      <c r="D739" s="17" t="s">
        <v>113</v>
      </c>
      <c r="E739" s="17" t="n">
        <v>279103</v>
      </c>
      <c r="F739" s="17" t="n">
        <v>285498</v>
      </c>
      <c r="G739" s="17" t="n">
        <v>248250</v>
      </c>
      <c r="H739" s="17" t="n">
        <v>28295</v>
      </c>
      <c r="I739" s="17" t="n">
        <v>10.1378344195512</v>
      </c>
      <c r="J739" s="17" t="n">
        <v>208887</v>
      </c>
      <c r="K739" s="17" t="n">
        <v>206257</v>
      </c>
      <c r="L739" s="17" t="n">
        <v>206715</v>
      </c>
      <c r="M739" s="17" t="n">
        <v>199905</v>
      </c>
      <c r="N739" s="17" t="n">
        <v>7567</v>
      </c>
      <c r="O739" s="17" t="n">
        <v>1028</v>
      </c>
      <c r="P739" s="17" t="n">
        <v>253</v>
      </c>
      <c r="Q739" s="17" t="n">
        <v>1246</v>
      </c>
      <c r="R739" s="17" t="n">
        <v>71</v>
      </c>
      <c r="S739" s="17" t="n">
        <v>-2</v>
      </c>
      <c r="T739" s="17" t="n">
        <v>-4</v>
      </c>
      <c r="U739" s="17" t="n">
        <v>-0.00193932811977291</v>
      </c>
      <c r="V739" s="17" t="n">
        <v>30326</v>
      </c>
      <c r="W739" s="17" t="n">
        <v>168576</v>
      </c>
      <c r="X739" s="17" t="n">
        <v>17.9895121488231</v>
      </c>
      <c r="Y739" s="17" t="n">
        <v>-932</v>
      </c>
      <c r="Z739" s="17" t="n">
        <v>-0.326447120470196</v>
      </c>
      <c r="AA739" s="17" t="n">
        <v>-3.24</v>
      </c>
      <c r="AB739" s="17" t="n">
        <v>4.00864887356595</v>
      </c>
      <c r="AC739" s="17" t="n">
        <v>1.03979663645895</v>
      </c>
      <c r="AD739" s="17" t="n">
        <v>-0.05</v>
      </c>
      <c r="AE739" s="17" t="n">
        <v>1</v>
      </c>
      <c r="AF739" s="17" t="s">
        <v>314</v>
      </c>
      <c r="AG739" s="17" t="s">
        <v>232</v>
      </c>
      <c r="AH739" s="17" t="n">
        <v>1</v>
      </c>
    </row>
    <row r="740" customFormat="false" ht="15" hidden="false" customHeight="false" outlineLevel="0" collapsed="false">
      <c r="A740" s="17" t="n">
        <v>29636</v>
      </c>
      <c r="B740" s="23" t="n">
        <v>45838</v>
      </c>
      <c r="C740" s="17" t="s">
        <v>123</v>
      </c>
      <c r="D740" s="17" t="s">
        <v>108</v>
      </c>
      <c r="E740" s="17" t="n">
        <v>185573</v>
      </c>
      <c r="F740" s="17" t="n">
        <v>184980.666666667</v>
      </c>
      <c r="G740" s="17" t="n">
        <v>139676</v>
      </c>
      <c r="H740" s="17" t="n">
        <v>27646</v>
      </c>
      <c r="I740" s="17" t="n">
        <v>14.897641359465</v>
      </c>
      <c r="J740" s="17" t="n">
        <v>146916</v>
      </c>
      <c r="K740" s="17" t="n">
        <v>144950.333333333</v>
      </c>
      <c r="L740" s="17" t="n">
        <v>144969</v>
      </c>
      <c r="M740" s="17" t="n">
        <v>143630</v>
      </c>
      <c r="N740" s="17" t="n">
        <v>1667</v>
      </c>
      <c r="O740" s="17" t="n">
        <v>1619</v>
      </c>
      <c r="P740" s="17" t="n">
        <v>3102</v>
      </c>
      <c r="Q740" s="17" t="n">
        <v>4225</v>
      </c>
      <c r="R740" s="17" t="n">
        <v>0</v>
      </c>
      <c r="S740" s="17" t="n">
        <v>23</v>
      </c>
      <c r="T740" s="17" t="n">
        <v>46</v>
      </c>
      <c r="U740" s="17" t="n">
        <v>0.0317350080832285</v>
      </c>
      <c r="V740" s="17" t="n">
        <v>28299</v>
      </c>
      <c r="W740" s="17" t="n">
        <v>104166</v>
      </c>
      <c r="X740" s="17" t="n">
        <v>27.1672138701688</v>
      </c>
      <c r="Y740" s="17" t="n">
        <v>434</v>
      </c>
      <c r="Z740" s="17" t="n">
        <v>0.234619113348782</v>
      </c>
      <c r="AA740" s="17" t="n">
        <v>1.58</v>
      </c>
      <c r="AB740" s="17" t="n">
        <v>3.50724516740479</v>
      </c>
      <c r="AC740" s="17" t="n">
        <v>1.32524707996406</v>
      </c>
      <c r="AD740" s="17" t="n">
        <v>0</v>
      </c>
      <c r="AE740" s="17" t="n">
        <v>1</v>
      </c>
      <c r="AF740" s="17" t="s">
        <v>361</v>
      </c>
      <c r="AG740" s="17" t="s">
        <v>211</v>
      </c>
      <c r="AH740" s="17" t="n">
        <v>1</v>
      </c>
    </row>
    <row r="741" customFormat="false" ht="15" hidden="false" customHeight="false" outlineLevel="0" collapsed="false">
      <c r="A741" s="17" t="n">
        <v>29743</v>
      </c>
      <c r="B741" s="23" t="n">
        <v>45838</v>
      </c>
      <c r="C741" s="17" t="s">
        <v>140</v>
      </c>
      <c r="D741" s="17" t="s">
        <v>108</v>
      </c>
      <c r="E741" s="17" t="n">
        <v>200783</v>
      </c>
      <c r="F741" s="17" t="n">
        <v>200920.333333333</v>
      </c>
      <c r="G741" s="17" t="n">
        <v>176912</v>
      </c>
      <c r="H741" s="17" t="n">
        <v>19214</v>
      </c>
      <c r="I741" s="17" t="n">
        <v>9.56953526942022</v>
      </c>
      <c r="J741" s="17" t="n">
        <v>140338</v>
      </c>
      <c r="K741" s="17" t="n">
        <v>137229</v>
      </c>
      <c r="L741" s="17" t="n">
        <v>139458</v>
      </c>
      <c r="M741" s="17" t="n">
        <v>89612</v>
      </c>
      <c r="N741" s="17" t="n">
        <v>26522</v>
      </c>
      <c r="O741" s="17" t="n">
        <v>23119</v>
      </c>
      <c r="P741" s="17" t="n">
        <v>662</v>
      </c>
      <c r="Q741" s="17" t="n">
        <v>763</v>
      </c>
      <c r="R741" s="17" t="n">
        <v>0</v>
      </c>
      <c r="S741" s="17" t="n">
        <v>36</v>
      </c>
      <c r="T741" s="17" t="n">
        <v>72</v>
      </c>
      <c r="U741" s="17" t="n">
        <v>0.0524670441379009</v>
      </c>
      <c r="V741" s="17" t="n">
        <v>20995</v>
      </c>
      <c r="W741" s="17" t="n">
        <v>115811</v>
      </c>
      <c r="X741" s="17" t="n">
        <v>18.1286751690254</v>
      </c>
      <c r="Y741" s="17" t="n">
        <v>1082</v>
      </c>
      <c r="Z741" s="17" t="n">
        <v>0.538521901715605</v>
      </c>
      <c r="AA741" s="17" t="n">
        <v>5.78</v>
      </c>
      <c r="AB741" s="17" t="n">
        <v>2.75663046959155</v>
      </c>
      <c r="AC741" s="17" t="n">
        <v>0.62705753252861</v>
      </c>
      <c r="AD741" s="17" t="n">
        <v>0.05</v>
      </c>
      <c r="AE741" s="17" t="n">
        <v>1</v>
      </c>
      <c r="AF741" s="17" t="s">
        <v>354</v>
      </c>
      <c r="AG741" s="17" t="s">
        <v>211</v>
      </c>
      <c r="AH741" s="17" t="n">
        <v>0</v>
      </c>
    </row>
    <row r="742" customFormat="false" ht="15" hidden="false" customHeight="false" outlineLevel="0" collapsed="false">
      <c r="A742" s="17" t="n">
        <v>29744</v>
      </c>
      <c r="B742" s="23" t="n">
        <v>45838</v>
      </c>
      <c r="C742" s="17" t="s">
        <v>137</v>
      </c>
      <c r="D742" s="17" t="s">
        <v>116</v>
      </c>
      <c r="E742" s="17" t="n">
        <v>605109</v>
      </c>
      <c r="F742" s="17" t="n">
        <v>592962</v>
      </c>
      <c r="G742" s="17" t="n">
        <v>489906</v>
      </c>
      <c r="H742" s="17" t="n">
        <v>44554</v>
      </c>
      <c r="I742" s="17" t="n">
        <v>7.36297096886677</v>
      </c>
      <c r="J742" s="17" t="n">
        <v>439729</v>
      </c>
      <c r="K742" s="17" t="n">
        <v>441890</v>
      </c>
      <c r="L742" s="17" t="n">
        <v>436212</v>
      </c>
      <c r="M742" s="17" t="n">
        <v>402053</v>
      </c>
      <c r="N742" s="17" t="n">
        <v>24902</v>
      </c>
      <c r="O742" s="17" t="n">
        <v>12774</v>
      </c>
      <c r="P742" s="17" t="n">
        <v>14</v>
      </c>
      <c r="Q742" s="17" t="n">
        <v>200</v>
      </c>
      <c r="R742" s="17" t="n">
        <v>0</v>
      </c>
      <c r="S742" s="17" t="n">
        <v>-1</v>
      </c>
      <c r="T742" s="17" t="n">
        <v>-2</v>
      </c>
      <c r="U742" s="17" t="n">
        <v>-0.000452601326121886</v>
      </c>
      <c r="V742" s="17" t="n">
        <v>54954</v>
      </c>
      <c r="W742" s="17" t="n">
        <v>360814</v>
      </c>
      <c r="X742" s="17" t="n">
        <v>15.2305620070175</v>
      </c>
      <c r="Y742" s="17" t="n">
        <v>-2286</v>
      </c>
      <c r="Z742" s="17" t="n">
        <v>-0.385522175114088</v>
      </c>
      <c r="AA742" s="17" t="n">
        <v>-5.11</v>
      </c>
      <c r="AB742" s="17" t="n">
        <v>2.32561114451281</v>
      </c>
      <c r="AC742" s="17" t="n">
        <v>0.799810792556325</v>
      </c>
      <c r="AD742" s="17" t="n">
        <v>0.02</v>
      </c>
      <c r="AE742" s="17" t="n">
        <v>1</v>
      </c>
      <c r="AF742" s="17" t="s">
        <v>361</v>
      </c>
      <c r="AG742" s="17" t="s">
        <v>211</v>
      </c>
      <c r="AH742" s="17" t="n">
        <v>0</v>
      </c>
    </row>
    <row r="743" customFormat="false" ht="15" hidden="false" customHeight="false" outlineLevel="0" collapsed="false">
      <c r="A743" s="17" t="n">
        <v>30350</v>
      </c>
      <c r="B743" s="23" t="n">
        <v>45838</v>
      </c>
      <c r="C743" s="17" t="s">
        <v>154</v>
      </c>
      <c r="D743" s="17" t="s">
        <v>113</v>
      </c>
      <c r="E743" s="17" t="n">
        <v>621434</v>
      </c>
      <c r="F743" s="17" t="n">
        <v>608087</v>
      </c>
      <c r="G743" s="17" t="n">
        <v>477487</v>
      </c>
      <c r="H743" s="17" t="n">
        <v>64425</v>
      </c>
      <c r="I743" s="17" t="n">
        <v>10.367150815694</v>
      </c>
      <c r="J743" s="17" t="n">
        <v>479059</v>
      </c>
      <c r="K743" s="17" t="n">
        <v>466720</v>
      </c>
      <c r="L743" s="17" t="n">
        <v>473746</v>
      </c>
      <c r="M743" s="17" t="n">
        <v>461052</v>
      </c>
      <c r="N743" s="17" t="n">
        <v>15301</v>
      </c>
      <c r="O743" s="17" t="n">
        <v>1564</v>
      </c>
      <c r="P743" s="17" t="n">
        <v>1787</v>
      </c>
      <c r="Q743" s="17" t="n">
        <v>1554</v>
      </c>
      <c r="R743" s="17" t="n">
        <v>0</v>
      </c>
      <c r="S743" s="17" t="n">
        <v>35</v>
      </c>
      <c r="T743" s="17" t="n">
        <v>70</v>
      </c>
      <c r="U743" s="17" t="n">
        <v>0.0149982859101817</v>
      </c>
      <c r="V743" s="17" t="n">
        <v>73317</v>
      </c>
      <c r="W743" s="17" t="n">
        <v>366328</v>
      </c>
      <c r="X743" s="17" t="n">
        <v>20.0140311414907</v>
      </c>
      <c r="Y743" s="17" t="n">
        <v>4576</v>
      </c>
      <c r="Z743" s="17" t="n">
        <v>0.75252389871844</v>
      </c>
      <c r="AA743" s="17" t="n">
        <v>7.3</v>
      </c>
      <c r="AB743" s="17" t="n">
        <v>2.7562664518235</v>
      </c>
      <c r="AC743" s="17" t="n">
        <v>1.10904919853296</v>
      </c>
      <c r="AD743" s="17" t="n">
        <v>0.03</v>
      </c>
      <c r="AE743" s="17" t="n">
        <v>1</v>
      </c>
      <c r="AF743" s="17" t="s">
        <v>361</v>
      </c>
      <c r="AG743" s="17" t="s">
        <v>211</v>
      </c>
      <c r="AH743" s="17" t="n">
        <v>0</v>
      </c>
    </row>
    <row r="744" customFormat="false" ht="15" hidden="false" customHeight="false" outlineLevel="0" collapsed="false">
      <c r="A744" s="17" t="n">
        <v>30878</v>
      </c>
      <c r="B744" s="23" t="n">
        <v>45838</v>
      </c>
      <c r="C744" s="17" t="s">
        <v>110</v>
      </c>
      <c r="D744" s="17" t="s">
        <v>108</v>
      </c>
      <c r="E744" s="17" t="n">
        <v>98909</v>
      </c>
      <c r="F744" s="17" t="n">
        <v>99235</v>
      </c>
      <c r="G744" s="17" t="n">
        <v>72725</v>
      </c>
      <c r="H744" s="17" t="n">
        <v>11891</v>
      </c>
      <c r="I744" s="17" t="n">
        <v>12.0221617850752</v>
      </c>
      <c r="J744" s="17" t="n">
        <v>86036</v>
      </c>
      <c r="K744" s="17" t="n">
        <v>85913.3333333333</v>
      </c>
      <c r="L744" s="17" t="n">
        <v>85358</v>
      </c>
      <c r="M744" s="17" t="n">
        <v>85860</v>
      </c>
      <c r="N744" s="17" t="n">
        <v>0</v>
      </c>
      <c r="O744" s="17" t="n">
        <v>176</v>
      </c>
      <c r="P744" s="17" t="n">
        <v>1353</v>
      </c>
      <c r="Q744" s="17" t="n">
        <v>771</v>
      </c>
      <c r="R744" s="17" t="n">
        <v>0</v>
      </c>
      <c r="S744" s="17" t="n">
        <v>0</v>
      </c>
      <c r="T744" s="17" t="n">
        <v>0</v>
      </c>
      <c r="U744" s="17" t="n">
        <v>0</v>
      </c>
      <c r="V744" s="17" t="n">
        <v>0</v>
      </c>
      <c r="W744" s="17" t="n">
        <v>0</v>
      </c>
      <c r="X744" s="17" t="n">
        <v>0</v>
      </c>
      <c r="Y744" s="17" t="n">
        <v>2</v>
      </c>
      <c r="Z744" s="17" t="n">
        <v>0.00201541794729682</v>
      </c>
      <c r="AA744" s="17" t="n">
        <v>0.02</v>
      </c>
      <c r="AB744" s="17" t="n">
        <v>1.49226620464168</v>
      </c>
      <c r="AC744" s="17" t="n">
        <v>0.788042214886792</v>
      </c>
      <c r="AD744" s="17" t="n">
        <v>-0.11</v>
      </c>
      <c r="AE744" s="17" t="n">
        <v>1</v>
      </c>
      <c r="AF744" s="17" t="s">
        <v>354</v>
      </c>
      <c r="AG744" s="17" t="s">
        <v>232</v>
      </c>
      <c r="AH744" s="17" t="n">
        <v>1</v>
      </c>
    </row>
    <row r="745" customFormat="false" ht="15" hidden="false" customHeight="false" outlineLevel="0" collapsed="false">
      <c r="A745" s="17" t="n">
        <v>33418</v>
      </c>
      <c r="B745" s="23" t="n">
        <v>45838</v>
      </c>
      <c r="C745" s="17" t="s">
        <v>133</v>
      </c>
      <c r="D745" s="17" t="s">
        <v>113</v>
      </c>
      <c r="E745" s="17" t="n">
        <v>993609</v>
      </c>
      <c r="F745" s="17" t="n">
        <v>972820.333333333</v>
      </c>
      <c r="G745" s="17" t="n">
        <v>817518</v>
      </c>
      <c r="H745" s="17" t="n">
        <v>69945</v>
      </c>
      <c r="I745" s="17" t="n">
        <v>7.03948937660589</v>
      </c>
      <c r="J745" s="17" t="n">
        <v>629355</v>
      </c>
      <c r="K745" s="17" t="n">
        <v>605914</v>
      </c>
      <c r="L745" s="17" t="n">
        <v>624935</v>
      </c>
      <c r="M745" s="17" t="n">
        <v>528008</v>
      </c>
      <c r="N745" s="17" t="n">
        <v>83984</v>
      </c>
      <c r="O745" s="17" t="n">
        <v>17087</v>
      </c>
      <c r="P745" s="17" t="n">
        <v>1191</v>
      </c>
      <c r="Q745" s="17" t="n">
        <v>580</v>
      </c>
      <c r="R745" s="17" t="n">
        <v>0</v>
      </c>
      <c r="S745" s="17" t="n">
        <v>-3</v>
      </c>
      <c r="T745" s="17" t="n">
        <v>-6</v>
      </c>
      <c r="U745" s="17" t="n">
        <v>-0.000990239538944471</v>
      </c>
      <c r="V745" s="17" t="n">
        <v>85991</v>
      </c>
      <c r="W745" s="17" t="n">
        <v>692019</v>
      </c>
      <c r="X745" s="17" t="n">
        <v>12.4261039075517</v>
      </c>
      <c r="Y745" s="17" t="n">
        <v>6020</v>
      </c>
      <c r="Z745" s="17" t="n">
        <v>0.618819302365185</v>
      </c>
      <c r="AA745" s="17" t="n">
        <v>8.6</v>
      </c>
      <c r="AB745" s="17" t="n">
        <v>2.58498658033812</v>
      </c>
      <c r="AC745" s="17" t="n">
        <v>0.702306329496071</v>
      </c>
      <c r="AD745" s="17" t="n">
        <v>0.14</v>
      </c>
      <c r="AE745" s="17" t="n">
        <v>1</v>
      </c>
      <c r="AF745" s="17" t="s">
        <v>210</v>
      </c>
      <c r="AG745" s="17" t="s">
        <v>211</v>
      </c>
      <c r="AH745" s="17" t="n">
        <v>0</v>
      </c>
    </row>
    <row r="746" customFormat="false" ht="15" hidden="false" customHeight="false" outlineLevel="0" collapsed="false">
      <c r="A746" s="17" t="n">
        <v>35206</v>
      </c>
      <c r="B746" s="23" t="n">
        <v>45838</v>
      </c>
      <c r="C746" s="17" t="s">
        <v>166</v>
      </c>
      <c r="D746" s="17" t="s">
        <v>116</v>
      </c>
      <c r="E746" s="17" t="n">
        <v>72604</v>
      </c>
      <c r="F746" s="17" t="n">
        <v>67698.6666666667</v>
      </c>
      <c r="G746" s="17" t="n">
        <v>500</v>
      </c>
      <c r="H746" s="17" t="n">
        <v>70119</v>
      </c>
      <c r="I746" s="17" t="n">
        <v>96.57732356344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0</v>
      </c>
      <c r="O746" s="17" t="n">
        <v>0</v>
      </c>
      <c r="P746" s="17" t="n">
        <v>0</v>
      </c>
      <c r="Q746" s="17" t="n">
        <v>0</v>
      </c>
      <c r="R746" s="17" t="n">
        <v>0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19286</v>
      </c>
      <c r="Z746" s="17" t="n">
        <v>28.4880056721944</v>
      </c>
      <c r="AA746" s="17" t="n">
        <v>29.55</v>
      </c>
      <c r="AB746" s="17" t="n">
        <v>4.14720593593693</v>
      </c>
      <c r="AC746" s="17" t="n">
        <v>0</v>
      </c>
      <c r="AD746" s="17" t="n">
        <v>0</v>
      </c>
      <c r="AE746" s="17" t="n">
        <v>1</v>
      </c>
      <c r="AF746" s="17" t="s">
        <v>361</v>
      </c>
      <c r="AG746" s="17" t="s">
        <v>211</v>
      </c>
      <c r="AH746" s="17" t="n">
        <v>0</v>
      </c>
    </row>
    <row r="747" customFormat="false" ht="15" hidden="false" customHeight="false" outlineLevel="0" collapsed="false">
      <c r="A747" s="17" t="n">
        <v>59086</v>
      </c>
      <c r="B747" s="23" t="n">
        <v>45838</v>
      </c>
      <c r="C747" s="17" t="s">
        <v>141</v>
      </c>
      <c r="D747" s="17" t="s">
        <v>116</v>
      </c>
      <c r="E747" s="17" t="n">
        <v>724753</v>
      </c>
      <c r="F747" s="17" t="n">
        <v>710891.666666667</v>
      </c>
      <c r="G747" s="17" t="n">
        <v>612986</v>
      </c>
      <c r="H747" s="17" t="n">
        <v>105815</v>
      </c>
      <c r="I747" s="17" t="n">
        <v>14.6001465326808</v>
      </c>
      <c r="J747" s="17" t="n">
        <v>619103</v>
      </c>
      <c r="K747" s="17" t="n">
        <v>607612</v>
      </c>
      <c r="L747" s="17" t="n">
        <v>613079</v>
      </c>
      <c r="M747" s="17" t="n">
        <v>495338</v>
      </c>
      <c r="N747" s="17" t="n">
        <v>124137</v>
      </c>
      <c r="O747" s="17" t="n">
        <v>0</v>
      </c>
      <c r="P747" s="17" t="n">
        <v>5998</v>
      </c>
      <c r="Q747" s="17" t="n">
        <v>2944</v>
      </c>
      <c r="R747" s="17" t="n">
        <v>7830</v>
      </c>
      <c r="S747" s="17" t="n">
        <v>-2</v>
      </c>
      <c r="T747" s="17" t="n">
        <v>-4</v>
      </c>
      <c r="U747" s="17" t="n">
        <v>-0.000658314845658085</v>
      </c>
      <c r="V747" s="17" t="n">
        <v>113026</v>
      </c>
      <c r="W747" s="17" t="n">
        <v>673552</v>
      </c>
      <c r="X747" s="17" t="n">
        <v>16.7805900658004</v>
      </c>
      <c r="Y747" s="17" t="n">
        <v>11068</v>
      </c>
      <c r="Z747" s="17" t="n">
        <v>1.55691795515022</v>
      </c>
      <c r="AA747" s="17" t="n">
        <v>10.77</v>
      </c>
      <c r="AB747" s="17" t="n">
        <v>3.90746208360731</v>
      </c>
      <c r="AC747" s="17" t="n">
        <v>0.973020644383891</v>
      </c>
      <c r="AD747" s="17" t="n">
        <v>0.08</v>
      </c>
      <c r="AE747" s="17" t="n">
        <v>1</v>
      </c>
      <c r="AF747" s="17" t="s">
        <v>231</v>
      </c>
      <c r="AG747" s="17" t="s">
        <v>232</v>
      </c>
      <c r="AH747" s="17" t="n">
        <v>0</v>
      </c>
    </row>
    <row r="748" customFormat="false" ht="15" hidden="false" customHeight="false" outlineLevel="0" collapsed="false">
      <c r="A748" s="17" t="n">
        <v>59176</v>
      </c>
      <c r="B748" s="23" t="n">
        <v>45838</v>
      </c>
      <c r="C748" s="17" t="s">
        <v>151</v>
      </c>
      <c r="D748" s="17" t="s">
        <v>116</v>
      </c>
      <c r="E748" s="17" t="n">
        <v>279006</v>
      </c>
      <c r="F748" s="17" t="n">
        <v>256682.666666667</v>
      </c>
      <c r="G748" s="17" t="n">
        <v>229104</v>
      </c>
      <c r="H748" s="17" t="n">
        <v>28607</v>
      </c>
      <c r="I748" s="17" t="n">
        <v>10.2531845193293</v>
      </c>
      <c r="J748" s="17" t="n">
        <v>209550</v>
      </c>
      <c r="K748" s="17" t="n">
        <v>194548.333333333</v>
      </c>
      <c r="L748" s="17" t="n">
        <v>207565</v>
      </c>
      <c r="M748" s="17" t="n">
        <v>180172</v>
      </c>
      <c r="N748" s="17" t="n">
        <v>28021</v>
      </c>
      <c r="O748" s="17" t="n">
        <v>0</v>
      </c>
      <c r="P748" s="17" t="n">
        <v>0</v>
      </c>
      <c r="Q748" s="17" t="n">
        <v>0</v>
      </c>
      <c r="R748" s="17" t="n">
        <v>0</v>
      </c>
      <c r="S748" s="17" t="n">
        <v>0</v>
      </c>
      <c r="T748" s="17" t="n">
        <v>0</v>
      </c>
      <c r="U748" s="17" t="n">
        <v>0</v>
      </c>
      <c r="V748" s="17" t="n">
        <v>0</v>
      </c>
      <c r="W748" s="17" t="n">
        <v>0</v>
      </c>
      <c r="X748" s="17" t="n">
        <v>0</v>
      </c>
      <c r="Y748" s="17" t="n">
        <v>432</v>
      </c>
      <c r="Z748" s="17" t="n">
        <v>0.168301196808511</v>
      </c>
      <c r="AA748" s="17" t="n">
        <v>1.56</v>
      </c>
      <c r="AB748" s="17" t="n">
        <v>2.74321019851507</v>
      </c>
      <c r="AC748" s="17" t="n">
        <v>0.947267955141971</v>
      </c>
      <c r="AD748" s="17" t="n">
        <v>0.27</v>
      </c>
      <c r="AE748" s="17" t="n">
        <v>1</v>
      </c>
      <c r="AF748" s="17" t="s">
        <v>231</v>
      </c>
      <c r="AG748" s="17" t="s">
        <v>232</v>
      </c>
      <c r="AH748" s="17" t="n">
        <v>0</v>
      </c>
    </row>
    <row r="749" customFormat="false" ht="15" hidden="false" customHeight="false" outlineLevel="0" collapsed="false">
      <c r="A749" s="17" t="n">
        <v>59289</v>
      </c>
      <c r="B749" s="23" t="n">
        <v>45838</v>
      </c>
      <c r="C749" s="17" t="s">
        <v>121</v>
      </c>
      <c r="D749" s="17" t="s">
        <v>116</v>
      </c>
      <c r="E749" s="17" t="n">
        <v>145991</v>
      </c>
      <c r="F749" s="17" t="n">
        <v>133339.666666667</v>
      </c>
      <c r="G749" s="17" t="n">
        <v>129078</v>
      </c>
      <c r="H749" s="17" t="n">
        <v>15698</v>
      </c>
      <c r="I749" s="17" t="n">
        <v>10.7527176332788</v>
      </c>
      <c r="J749" s="17" t="n">
        <v>106204</v>
      </c>
      <c r="K749" s="17" t="n">
        <v>96676.6666666667</v>
      </c>
      <c r="L749" s="17" t="n">
        <v>105482</v>
      </c>
      <c r="M749" s="17" t="n">
        <v>38420</v>
      </c>
      <c r="N749" s="17" t="n">
        <v>52242</v>
      </c>
      <c r="O749" s="17" t="n">
        <v>0</v>
      </c>
      <c r="P749" s="17" t="n">
        <v>2835</v>
      </c>
      <c r="Q749" s="17" t="n">
        <v>3478</v>
      </c>
      <c r="R749" s="17" t="n">
        <v>0</v>
      </c>
      <c r="S749" s="17" t="n">
        <v>-98</v>
      </c>
      <c r="T749" s="17" t="n">
        <v>-196</v>
      </c>
      <c r="U749" s="17" t="n">
        <v>-0.202737647829535</v>
      </c>
      <c r="V749" s="17" t="n">
        <v>0</v>
      </c>
      <c r="W749" s="17" t="n">
        <v>0</v>
      </c>
      <c r="X749" s="17" t="n">
        <v>0</v>
      </c>
      <c r="Y749" s="17" t="n">
        <v>-320</v>
      </c>
      <c r="Z749" s="17" t="n">
        <v>-0.239988600541474</v>
      </c>
      <c r="AA749" s="17" t="n">
        <v>-2.03</v>
      </c>
      <c r="AB749" s="17" t="n">
        <v>3.99218654620925</v>
      </c>
      <c r="AC749" s="17" t="n">
        <v>0.679823735452525</v>
      </c>
      <c r="AD749" s="17" t="n">
        <v>0.07</v>
      </c>
      <c r="AE749" s="17" t="n">
        <v>1</v>
      </c>
      <c r="AF749" s="17" t="s">
        <v>241</v>
      </c>
      <c r="AG749" s="17" t="s">
        <v>232</v>
      </c>
      <c r="AH749" s="17" t="n">
        <v>0</v>
      </c>
    </row>
    <row r="750" customFormat="false" ht="15" hidden="false" customHeight="false" outlineLevel="0" collapsed="false">
      <c r="A750" s="17" t="n">
        <v>59298</v>
      </c>
      <c r="B750" s="23" t="n">
        <v>45838</v>
      </c>
      <c r="C750" s="17" t="s">
        <v>160</v>
      </c>
      <c r="D750" s="17" t="s">
        <v>113</v>
      </c>
      <c r="E750" s="17" t="n">
        <v>269483</v>
      </c>
      <c r="F750" s="17" t="n">
        <v>268075.333333333</v>
      </c>
      <c r="G750" s="17" t="n">
        <v>242655</v>
      </c>
      <c r="H750" s="17" t="n">
        <v>25838</v>
      </c>
      <c r="I750" s="17" t="n">
        <v>9.58798885272912</v>
      </c>
      <c r="J750" s="17" t="n">
        <v>150271</v>
      </c>
      <c r="K750" s="17" t="n">
        <v>143741.666666667</v>
      </c>
      <c r="L750" s="17" t="n">
        <v>148986</v>
      </c>
      <c r="M750" s="17" t="n">
        <v>114258</v>
      </c>
      <c r="N750" s="17" t="n">
        <v>35490</v>
      </c>
      <c r="O750" s="17" t="n">
        <v>0</v>
      </c>
      <c r="P750" s="17" t="n">
        <v>0</v>
      </c>
      <c r="Q750" s="17" t="n">
        <v>0</v>
      </c>
      <c r="R750" s="17" t="n">
        <v>0</v>
      </c>
      <c r="S750" s="17" t="n">
        <v>0</v>
      </c>
      <c r="T750" s="17" t="n">
        <v>0</v>
      </c>
      <c r="U750" s="17" t="n">
        <v>0</v>
      </c>
      <c r="V750" s="17" t="n">
        <v>27786</v>
      </c>
      <c r="W750" s="17" t="n">
        <v>164629</v>
      </c>
      <c r="X750" s="17" t="n">
        <v>16.8779498144312</v>
      </c>
      <c r="Y750" s="17" t="n">
        <v>164</v>
      </c>
      <c r="Z750" s="17" t="n">
        <v>0.0611768333776824</v>
      </c>
      <c r="AA750" s="17" t="n">
        <v>0.66</v>
      </c>
      <c r="AB750" s="17" t="n">
        <v>2.35397816467433</v>
      </c>
      <c r="AC750" s="17" t="n">
        <v>0.855121746710942</v>
      </c>
      <c r="AD750" s="17" t="n">
        <v>0.14</v>
      </c>
      <c r="AE750" s="17" t="n">
        <v>1</v>
      </c>
      <c r="AF750" s="17" t="s">
        <v>231</v>
      </c>
      <c r="AG750" s="17" t="s">
        <v>232</v>
      </c>
      <c r="AH750" s="17" t="n">
        <v>0</v>
      </c>
    </row>
  </sheetData>
  <autoFilter ref="A1:AH750"/>
  <mergeCells count="2">
    <mergeCell ref="A1:AH1"/>
    <mergeCell ref="A2:A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2026-10-22T20:42:46Z</dcterms:created>
  <dc:creator>openpyxl</dc:creator>
  <dc:description/>
  <dc:language>en-US</dc:language>
  <cp:lastModifiedBy/>
  <dcterms:modified xsi:type="dcterms:W3CDTF">2026-10-22T20:42:53Z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