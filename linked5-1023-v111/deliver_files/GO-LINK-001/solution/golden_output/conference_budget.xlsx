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rameters" sheetId="1" state="visible" r:id="rId3"/>
    <sheet name="CityData" sheetId="2" state="visible" r:id="rId4"/>
    <sheet name="Daily" sheetId="3" state="visible" r:id="rId5"/>
    <sheet name="Options" sheetId="4" state="visible" r:id="rId6"/>
    <sheet name="Historical" sheetId="5" state="visible" r:id="rId7"/>
    <sheet name="Thresholds" sheetId="6" state="visible" r:id="rId8"/>
    <sheet name="Itinerary" sheetId="7" state="visible" r:id="rId9"/>
    <sheet name="Sources" sheetId="8" state="visible" r:id="rId10"/>
    <sheet name="Rates" sheetId="9" state="visible" r:id="rId11"/>
    <sheet name="MIE_Components" sheetId="10" state="visible" r:id="rId12"/>
    <sheet name="Unknowns" sheetId="11" state="visible" r:id="rId13"/>
    <sheet name="MIE_Daily" sheetId="12" state="visible" r:id="rId14"/>
    <sheet name="Decision" sheetId="13" state="visible" r:id="rId15"/>
    <sheet name="Historical_Impact" sheetId="14" state="visible" r:id="rId16"/>
    <sheet name="Boundary_Checks" sheetId="15" state="visible" r:id="rId17"/>
    <sheet name="Airports" sheetId="16" state="visible" r:id="rId18"/>
    <sheet name="HotelQuality" sheetId="17" state="visible" r:id="rId19"/>
    <sheet name="Checks" sheetId="18" state="visible" r:id="rId20"/>
    <sheet name="Joint_Alternatives" sheetId="19" state="visible" r:id="rId21"/>
    <sheet name="Candidate_Model" sheetId="20" state="visible" r:id="rId22"/>
    <sheet name="Boundary_All" sheetId="21" state="visible" r:id="rId23"/>
  </sheets>
  <definedNames>
    <definedName function="false" hidden="true" localSheetId="15" name="_xlnm._FilterDatabase" vbProcedure="false">Airports!$A$1:$E$5</definedName>
    <definedName function="false" hidden="true" localSheetId="14" name="_xlnm._FilterDatabase" vbProcedure="false">Boundary_Checks!$A$1:$L$11</definedName>
    <definedName function="false" hidden="true" localSheetId="19" name="_xlnm._FilterDatabase" vbProcedure="false">Candidate_Model!$A$1:$W$45</definedName>
    <definedName function="false" hidden="true" localSheetId="17" name="_xlnm._FilterDatabase" vbProcedure="false">Checks!$A$1:$C$12</definedName>
    <definedName function="false" hidden="true" localSheetId="12" name="_xlnm._FilterDatabase" vbProcedure="false">Decision!$A$1:$C$10</definedName>
    <definedName function="false" hidden="true" localSheetId="13" name="_xlnm._FilterDatabase" vbProcedure="false">Historical_Impact!$A$1:$N$21</definedName>
    <definedName function="false" hidden="true" localSheetId="16" name="_xlnm._FilterDatabase" vbProcedure="false">HotelQuality!$A$1:$B$207</definedName>
    <definedName function="false" hidden="true" localSheetId="18" name="_xlnm._FilterDatabase" vbProcedure="false">Joint_Alternatives!$A$1:$K$31</definedName>
    <definedName function="false" hidden="true" localSheetId="9" name="_xlnm._FilterDatabase" vbProcedure="false">MIE_Components!$A$1:$F$6</definedName>
    <definedName function="false" hidden="true" localSheetId="8" name="_xlnm._FilterDatabase" vbProcedure="false">Rates!$A$1:$I$181</definedName>
    <definedName function="false" hidden="true" localSheetId="10" name="_xlnm._FilterDatabase" vbProcedure="false">Unknowns!$A$1:$J$6</definedName>
    <definedName function="false" hidden="false" name="CEILING" vbProcedure="false">Parameters!$B$5</definedName>
    <definedName function="false" hidden="false" name="FFAC" vbProcedure="false">Parameters!$B$6</definedName>
    <definedName function="false" hidden="false" name="HEADCOUNT" vbProcedure="false">Parameters!$B$9</definedName>
    <definedName function="false" hidden="false" name="NIGHTS" vbProcedure="false">Parameters!$B$10</definedName>
    <definedName function="false" hidden="false" name="NOV29BF" vbProcedure="false">Parameters!$B$8</definedName>
    <definedName function="false" hidden="false" name="REFRDAYS" vbProcedure="false">CityData!$B$29</definedName>
    <definedName function="false" hidden="false" name="REFRPP" vbProcedure="false">CityData!$B$28</definedName>
    <definedName function="false" hidden="false" name="REGFEE" vbProcedure="false">Parameters!$B$12</definedName>
    <definedName function="false" hidden="false" name="RESRATE" vbProcedure="false">Parameters!$B$7</definedName>
    <definedName function="false" hidden="false" name="TAXRATE" vbProcedure="false">Parameters!$B$11</definedName>
    <definedName function="false" hidden="false" name="VENUEDAY" vbProcedure="false">CityData!$B$26</definedName>
    <definedName function="false" hidden="false" name="VENUEDAYS" vbProcedure="false">CityData!$B$27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<sst xmlns="http://schemas.openxmlformats.org/spreadsheetml/2006/main" count="2744" uniqueCount="1212">
  <si>
    <t xml:space="preserve">USDA RURAL DEVELOPMENT — CENTRALIZED TRAINING BUDGET (Nov 29 – Dec 1, 2026)</t>
  </si>
  <si>
    <t xml:space="preserve">Adjust the yellow cells. Daily, Options, Historical and Thresholds sheets recompute automatically. No internet pricing is pulled; quotes are a 2026-10-24 snapshot.</t>
  </si>
  <si>
    <t xml:space="preserve">Parameter</t>
  </si>
  <si>
    <t xml:space="preserve">Value</t>
  </si>
  <si>
    <t xml:space="preserve">Allowed range / note</t>
  </si>
  <si>
    <t xml:space="preserve">Unit</t>
  </si>
  <si>
    <t xml:space="preserve">Approved budget ceiling (incl. reserve)</t>
  </si>
  <si>
    <t xml:space="preserve">0 – 100,000 (incl. reserve)</t>
  </si>
  <si>
    <t xml:space="preserve">USD</t>
  </si>
  <si>
    <t xml:space="preserve">Airfare adjustment factor</t>
  </si>
  <si>
    <t xml:space="preserve">0.5 – 2.0; stress scenario = factor × 1.20</t>
  </si>
  <si>
    <t xml:space="preserve">Contingency reserve rate</t>
  </si>
  <si>
    <t xml:space="preserve">0 – 20% of base subtotal</t>
  </si>
  <si>
    <t xml:space="preserve">Nov 29 breakfast provided by government?</t>
  </si>
  <si>
    <t xml:space="preserve">No</t>
  </si>
  <si>
    <t xml:space="preserve">Yes/No — 'Yes' adds NO new purchase</t>
  </si>
  <si>
    <t xml:space="preserve">Attendee count (headcount)</t>
  </si>
  <si>
    <t xml:space="preserve">Automatically selected conditional headcount; no claim of business necessity.</t>
  </si>
  <si>
    <t xml:space="preserve">Lodging nights</t>
  </si>
  <si>
    <t xml:space="preserve">Automatically recalculated from arrival / departure; no fixed 4-night assumption</t>
  </si>
  <si>
    <t xml:space="preserve">nights</t>
  </si>
  <si>
    <t xml:space="preserve">Internal lodging-tax rate (budget est.)</t>
  </si>
  <si>
    <t xml:space="preserve">12% of reimbursable lodging — planning only</t>
  </si>
  <si>
    <t xml:space="preserve">Registration fee per person</t>
  </si>
  <si>
    <t xml:space="preserve">Incl. lunches Nov 29/30 &amp; Dec 1</t>
  </si>
  <si>
    <t xml:space="preserve">Arrival date</t>
  </si>
  <si>
    <t xml:space="preserve">Day before training; must fully attend</t>
  </si>
  <si>
    <t xml:space="preserve">Departure date</t>
  </si>
  <si>
    <t xml:space="preserve">Day after training</t>
  </si>
  <si>
    <t xml:space="preserve">Training dates (fixed)</t>
  </si>
  <si>
    <t xml:space="preserve">2026-11-29 → 2026-12-01</t>
  </si>
  <si>
    <t xml:space="preserve">Catered dates unchanged</t>
  </si>
  <si>
    <t xml:space="preserve">Key regulatory basis:</t>
  </si>
  <si>
    <t xml:space="preserve">Use actual room quote, never truncate over-cap quote to reimbursement cap. Internal 12% tax is a task assumption.</t>
  </si>
  <si>
    <t xml:space="preserve">FTR301-11.17/.18/.101: hotel complimentary meals do not reduce M&amp;IE; government meals do; travel days 75%, then full meal deductions, minimum incidentals.</t>
  </si>
  <si>
    <t xml:space="preserve">Tea/coffee/fruit refreshments do not reduce M&amp;IE. Registration already purchases the three training lunches: no second procurement charge.</t>
  </si>
  <si>
    <t xml:space="preserve">Government meals reduce traveler M&amp;IE; net traveler M&amp;IE AND agency catering estimates are both included in this budget.</t>
  </si>
  <si>
    <t xml:space="preserve">RD2036-A, 07/19/2024, sec2036.74: compare sites and verify approval requirements; see Sources and approval_register.csv.</t>
  </si>
  <si>
    <t xml:space="preserve">• Over-cap hotels are NOT compliant recommendations without written actual-expense authorization (301-11.300/.301); none is held.</t>
  </si>
  <si>
    <t xml:space="preserve">SNAPSHOT: Word, CSV, PPT and approval PDF are static. Change parameters -&gt; recalculate, recheck quote validity and re-export all four. Blank unknowns are NOT zero-cost quotes.</t>
  </si>
  <si>
    <t xml:space="preserve">Quote applicability</t>
  </si>
  <si>
    <t xml:space="preserve">Priority city for Daily detail</t>
  </si>
  <si>
    <t xml:space="preserve">Full attendance / period coverage</t>
  </si>
  <si>
    <t xml:space="preserve">EXISTING QUOTE ANCHORS, corrected against real screenshots; single-seat/room planning only, not approved or held</t>
  </si>
  <si>
    <t xml:space="preserve">City</t>
  </si>
  <si>
    <t xml:space="preserve">Dest airport</t>
  </si>
  <si>
    <t xml:space="preserve">Flight RT /person, origin in airline/source field</t>
  </si>
  <si>
    <t xml:space="preserve">Flight airline</t>
  </si>
  <si>
    <t xml:space="preserve">Hotel (budgeted)</t>
  </si>
  <si>
    <t xml:space="preserve">Hotel nightly (excl tax)</t>
  </si>
  <si>
    <t xml:space="preserve">Displayed score normalized /10 (source scale in HotelQuality)</t>
  </si>
  <si>
    <t xml:space="preserve">Review count visible in retained capture</t>
  </si>
  <si>
    <t xml:space="preserve">Breakfast incl?</t>
  </si>
  <si>
    <t xml:space="preserve">FY27 cap Nov night</t>
  </si>
  <si>
    <t xml:space="preserve">FY27 cap Dec1 night</t>
  </si>
  <si>
    <t xml:space="preserve">MIE (FY27)</t>
  </si>
  <si>
    <t xml:space="preserve">Boston</t>
  </si>
  <si>
    <t xml:space="preserve">BOS</t>
  </si>
  <si>
    <t xml:space="preserve">See Google Flights screenshot, DCA</t>
  </si>
  <si>
    <t xml:space="preserve">DoubleTree by Hilton Boston Bayside</t>
  </si>
  <si>
    <t xml:space="preserve">Unknown</t>
  </si>
  <si>
    <t xml:space="preserve">Chicago</t>
  </si>
  <si>
    <t xml:space="preserve">ORD</t>
  </si>
  <si>
    <t xml:space="preserve">Embassy Suites by Hilton Chicago O’Hare Rosemont</t>
  </si>
  <si>
    <t xml:space="preserve">Agoda158: free breakfast shown; single occupancy UNVERIFIED</t>
  </si>
  <si>
    <t xml:space="preserve">Denver</t>
  </si>
  <si>
    <t xml:space="preserve">DEN</t>
  </si>
  <si>
    <t xml:space="preserve">See Google Flights screenshot, IAD</t>
  </si>
  <si>
    <t xml:space="preserve">Home2 Suites by Hilton Denver Downtown Convention Center</t>
  </si>
  <si>
    <t xml:space="preserve">Yes</t>
  </si>
  <si>
    <t xml:space="preserve">Phoenix</t>
  </si>
  <si>
    <t xml:space="preserve">PHX</t>
  </si>
  <si>
    <t xml:space="preserve">Hampton Inn &amp; Suites Phoenix North/Happy Valley</t>
  </si>
  <si>
    <t xml:space="preserve">Seattle</t>
  </si>
  <si>
    <t xml:space="preserve">SEA</t>
  </si>
  <si>
    <t xml:space="preserve">Country Inn &amp; Suites by Radisson Seattle-Tacoma International Airport</t>
  </si>
  <si>
    <t xml:space="preserve">Booking101: free breakfast shown; 2 guests, single occupancy UNVERIFIED</t>
  </si>
  <si>
    <t xml:space="preserve">Meal planning rates (GSA FY2027 M&amp;IE components, internal catering estimate):</t>
  </si>
  <si>
    <t xml:space="preserve">Breakfast $</t>
  </si>
  <si>
    <t xml:space="preserve">Lunch $</t>
  </si>
  <si>
    <t xml:space="preserve">Dinner $</t>
  </si>
  <si>
    <t xml:space="preserve">Personal ground planning allowances: HQ comparison base, road travel for early flights; not claimed home addresses/receipts. Venue transfer still unquoted.</t>
  </si>
  <si>
    <t xml:space="preserve">Airport↔hotel RT $</t>
  </si>
  <si>
    <t xml:space="preserve">Home↔DCA RT $</t>
  </si>
  <si>
    <t xml:space="preserve">Shared/fixed &amp; light-refreshment planning inputs (to be quoted — see Sources):</t>
  </si>
  <si>
    <t xml:space="preserve">Venue quote not provided: use independent Unknowns inputs, never a shared fictitious supplier price.</t>
  </si>
  <si>
    <t xml:space="preserve">Venue days</t>
  </si>
  <si>
    <t xml:space="preserve">Light refreshments per person/day (301-74.7)</t>
  </si>
  <si>
    <t xml:space="preserve">Refreshment days</t>
  </si>
  <si>
    <t xml:space="preserve">DAILY PARTIAL COST DETAIL — priority for evidence completion, not approved recommendation</t>
  </si>
  <si>
    <t xml:space="preserve">Recommended city:</t>
  </si>
  <si>
    <t xml:space="preserve">(change to Boston/Chicago/Denver/Phoenix/Seattle — pulls that city's anchor data)</t>
  </si>
  <si>
    <t xml:space="preserve">Per-person building blocks</t>
  </si>
  <si>
    <t xml:space="preserve">Round-trip airfare (× airfare factor)</t>
  </si>
  <si>
    <t xml:space="preserve">Lodging — room only (nightly × nights)</t>
  </si>
  <si>
    <t xml:space="preserve">Lodging tax (internal est.)</t>
  </si>
  <si>
    <t xml:space="preserve">Registration fee (incl. 3 lunches)</t>
  </si>
  <si>
    <t xml:space="preserve">Agency dinners (Nov 28 &amp; Dec 1)</t>
  </si>
  <si>
    <t xml:space="preserve">Agency lunch (Dec 2 travel-home day)</t>
  </si>
  <si>
    <t xml:space="preserve">Extra hotel breakfast: NOT a verified rate; enter Unknowns if required</t>
  </si>
  <si>
    <t xml:space="preserve">Government-breakfast toggle changes net MIE below, not new procurement</t>
  </si>
  <si>
    <t xml:space="preserve">Light refreshments (coffee/fruit/water)</t>
  </si>
  <si>
    <t xml:space="preserve">Ground transport (airport↔hotel + home↔DCA)</t>
  </si>
  <si>
    <t xml:space="preserve">PER-PERSON SUBTOTAL</t>
  </si>
  <si>
    <t xml:space="preserve">Shared / fixed costs (per event)</t>
  </si>
  <si>
    <t xml:space="preserve">Additional unknown cost scenario for selected city/headcount</t>
  </si>
  <si>
    <t xml:space="preserve">FIXED SUBTOTAL</t>
  </si>
  <si>
    <t xml:space="preserve">EVENT TOTALS (at chosen headcount)</t>
  </si>
  <si>
    <t xml:space="preserve">Headcount (param)</t>
  </si>
  <si>
    <t xml:space="preserve">Variable total (per-person × headcount)</t>
  </si>
  <si>
    <t xml:space="preserve">Base subtotal (variable + fixed)</t>
  </si>
  <si>
    <t xml:space="preserve">Contingency reserve</t>
  </si>
  <si>
    <t xml:space="preserve">GRAND TOTAL (base + reserve)</t>
  </si>
  <si>
    <t xml:space="preserve">Budget ceiling</t>
  </si>
  <si>
    <t xml:space="preserve">Within budget?</t>
  </si>
  <si>
    <t xml:space="preserve">Headroom for unquoted/TBD base costs</t>
  </si>
  <si>
    <t xml:space="preserve">Net traveler MIE /person (included in B15 and event budget)</t>
  </si>
  <si>
    <t xml:space="preserve">All displayed totals are partial estimates with unresolved U, not complete approved costs.</t>
  </si>
  <si>
    <t xml:space="preserve">Selected combination ID (qualified first, otherwise evidence priority)</t>
  </si>
  <si>
    <t xml:space="preserve">Date</t>
  </si>
  <si>
    <t xml:space="preserve">Net traveler MIE/person</t>
  </si>
  <si>
    <t xml:space="preserve">Lodging+tax/person</t>
  </si>
  <si>
    <t xml:space="preserve">Headcount</t>
  </si>
  <si>
    <t xml:space="preserve">MIE group</t>
  </si>
  <si>
    <t xml:space="preserve">Lodging group</t>
  </si>
  <si>
    <t xml:space="preserve">Note</t>
  </si>
  <si>
    <t xml:space="preserve">Government meals on fixed calendar dates; hotel breakfast/refreshments not deducted.</t>
  </si>
  <si>
    <t xml:space="preserve">OPTIONS COMPARISON — 5 candidate cities × 18/24 attendees (base &amp; +20% airfare stress)</t>
  </si>
  <si>
    <t xml:space="preserve">Per-person &amp; event totals built from the same formulas as Daily. 'Stress' applies airfare ×1.20 on top of the airfare factor. Decision rule: fit ceiling → more people → lower total-with-reserve → alphabetical.</t>
  </si>
  <si>
    <t xml:space="preserve">Head-count</t>
  </si>
  <si>
    <t xml:space="preserve">Airfare RT×fac</t>
  </si>
  <si>
    <t xml:space="preserve">Lodging+tax / person (dynamic nights)</t>
  </si>
  <si>
    <t xml:space="preserve">Reg</t>
  </si>
  <si>
    <t xml:space="preserve">Agency meals+bkfst</t>
  </si>
  <si>
    <t xml:space="preserve">Refresh.</t>
  </si>
  <si>
    <t xml:space="preserve">Ground</t>
  </si>
  <si>
    <t xml:space="preserve">Per-person</t>
  </si>
  <si>
    <t xml:space="preserve">Variable ×N</t>
  </si>
  <si>
    <t xml:space="preserve">Entered additional unquoted base U</t>
  </si>
  <si>
    <t xml:space="preserve">Partial/scenario base K+entered U</t>
  </si>
  <si>
    <t xml:space="preserve">Reserve</t>
  </si>
  <si>
    <t xml:space="preserve">Partial/scenario total incl reserve</t>
  </si>
  <si>
    <t xml:space="preserve">Net traveler MIE /person</t>
  </si>
  <si>
    <t xml:space="preserve">Known/estimated K excluding U</t>
  </si>
  <si>
    <t xml:space="preserve">Entered U scenario</t>
  </si>
  <si>
    <t xml:space="preserve">Lodging compliant</t>
  </si>
  <si>
    <t xml:space="preserve">Dated quote applies</t>
  </si>
  <si>
    <t xml:space="preserve">Qualified feasible</t>
  </si>
  <si>
    <t xml:space="preserve">Conditional cost feasible</t>
  </si>
  <si>
    <t xml:space="preserve">Qualified rank</t>
  </si>
  <si>
    <t xml:space="preserve">Conditional rank</t>
  </si>
  <si>
    <t xml:space="preserve">Airfare total A</t>
  </si>
  <si>
    <t xml:space="preserve">Max additional U @base</t>
  </si>
  <si>
    <t xml:space="preserve">Max additional U @+20%</t>
  </si>
  <si>
    <t xml:space="preserve">Stress total</t>
  </si>
  <si>
    <t xml:space="preserve">Cost scope / unresolved</t>
  </si>
  <si>
    <t xml:space="preserve">Partial at entered U only; U_Boston,24 remains independently unknown; no qualified recommendation. Group inventory, occupancy, breakfast, fees, venue/local transfers pending as applicable.</t>
  </si>
  <si>
    <t xml:space="preserve">Partial at entered U only; U_Boston,18 remains independently unknown; no qualified recommendation. Group inventory, occupancy, breakfast, fees, venue/local transfers pending as applicable.</t>
  </si>
  <si>
    <t xml:space="preserve">Partial at entered U only; U_Chicago,24 remains independently unknown; no qualified recommendation. Group inventory, occupancy, breakfast, fees, venue/local transfers pending as applicable.</t>
  </si>
  <si>
    <t xml:space="preserve">Partial at entered U only; U_Chicago,18 remains independently unknown; no qualified recommendation. Group inventory, occupancy, breakfast, fees, venue/local transfers pending as applicable.</t>
  </si>
  <si>
    <t xml:space="preserve">Partial at entered U only; U_Denver,24 remains independently unknown; no qualified recommendation. Group inventory, occupancy, breakfast, fees, venue/local transfers pending as applicable.</t>
  </si>
  <si>
    <t xml:space="preserve">Partial at entered U only; U_Denver,18 remains independently unknown; no qualified recommendation. Group inventory, occupancy, breakfast, fees, venue/local transfers pending as applicable.</t>
  </si>
  <si>
    <t xml:space="preserve">Partial at entered U only; U_Phoenix,24 remains independently unknown; no qualified recommendation. Group inventory, occupancy, breakfast, fees, venue/local transfers pending as applicable.</t>
  </si>
  <si>
    <t xml:space="preserve">Partial at entered U only; U_Phoenix,18 remains independently unknown; no qualified recommendation. Group inventory, occupancy, breakfast, fees, venue/local transfers pending as applicable.</t>
  </si>
  <si>
    <t xml:space="preserve">Partial at entered U only; U_Seattle,24 remains independently unknown; no qualified recommendation. Group inventory, occupancy, breakfast, fees, venue/local transfers pending as applicable.</t>
  </si>
  <si>
    <t xml:space="preserve">Partial at entered U only; U_Seattle,18 remains independently unknown; no qualified recommendation. Group inventory, occupancy, breakfast, fees, venue/local transfers pending as applicable.</t>
  </si>
  <si>
    <t xml:space="preserve">STRESS: airfare × 1.20 (on top of airfare factor)</t>
  </si>
  <si>
    <t xml:space="preserve">Per-person (stress)</t>
  </si>
  <si>
    <t xml:space="preserve">Base (stress)</t>
  </si>
  <si>
    <t xml:space="preserve">TOTAL (stress)</t>
  </si>
  <si>
    <t xml:space="preserve">Within ceiling?</t>
  </si>
  <si>
    <t xml:space="preserve">HISTORICAL PER-DIEM CROSS-CHECK — FY2025 / FY2026 / FY2027 (same month/day, same market rates)</t>
  </si>
  <si>
    <t xml:space="preserve">Historical reference only (not actual past quotes, not for this reimbursement). Shows how each FY's lodging cap and M&amp;IE would affect lodging compliance and the per-diem comparison, holding headcount, dates and market quotes constant.</t>
  </si>
  <si>
    <t xml:space="preserve">Market room/night (held)</t>
  </si>
  <si>
    <t xml:space="preserve">FY</t>
  </si>
  <si>
    <t xml:space="preserve">Lodging cap — Nov night</t>
  </si>
  <si>
    <t xml:space="preserve">Lodging cap — Dec 1 night</t>
  </si>
  <si>
    <t xml:space="preserve">M&amp;IE</t>
  </si>
  <si>
    <t xml:space="preserve">4-night cap sum</t>
  </si>
  <si>
    <t xml:space="preserve">Compliant each night?</t>
  </si>
  <si>
    <t xml:space="preserve">Room 4n vs cap sum</t>
  </si>
  <si>
    <t xml:space="preserve">Notes</t>
  </si>
  <si>
    <t xml:space="preserve">FY2025</t>
  </si>
  <si>
    <t xml:space="preserve">FY2026</t>
  </si>
  <si>
    <t xml:space="preserve">FY2027</t>
  </si>
  <si>
    <t xml:space="preserve">Dec-1 cap &lt; $145 → NON-compliant this FY (FY27 only compliant)</t>
  </si>
  <si>
    <t xml:space="preserve">Rate $150 ≤ cap but little headroom</t>
  </si>
  <si>
    <t xml:space="preserve">Impact summary:</t>
  </si>
  <si>
    <t xml:space="preserve">• Lodging caps rose modestly FY25→FY27 (Boston +4, Chicago +9/+6, Denver +5, Phoenix +5, Seattle flat). M&amp;IE unchanged.</t>
  </si>
  <si>
    <t xml:space="preserve">Chicago158 exceeds Dec1 FY27 cap148 and historical cap142; it cannot be used as a compliant recommendation.</t>
  </si>
  <si>
    <t xml:space="preserve">Billabook101 is archived without breakfast binding. Agoda158 and Booking159 explicitly show breakfast but exceed cap.</t>
  </si>
  <si>
    <t xml:space="preserve">Historical_Impact quantifies both previous FYs × both headcounts × all5cities. Same observed market quotes, not actual historical offers.</t>
  </si>
  <si>
    <t xml:space="preserve">• FY2027 is the applicable year (travel Nov 29–Dec 1 2026 = FY27, eff. Oct 1 2026). FY25/26 shown for historical contrast only.</t>
  </si>
  <si>
    <t xml:space="preserve">THRESHOLDS, STRESS &amp; SEGMENTED ACTIONS</t>
  </si>
  <si>
    <t xml:space="preserve">Decision metrics for airfare increases (0–20%) and unquoted-cost movements. Recomputes from Options/Daily.</t>
  </si>
  <si>
    <t xml:space="preserve">Metric</t>
  </si>
  <si>
    <t xml:space="preserve">Basis / condition</t>
  </si>
  <si>
    <t xml:space="preserve">Qualified recommendation</t>
  </si>
  <si>
    <t xml:space="preserve">No qualified recommendation until admission and exact quote conditions verified.</t>
  </si>
  <si>
    <t xml:space="preserve">Priority estimate (not approval)</t>
  </si>
  <si>
    <t xml:space="preserve">Conditional ranking at entered U; U values not confirmed zero.</t>
  </si>
  <si>
    <t xml:space="preserve">Priority partial total</t>
  </si>
  <si>
    <t xml:space="preserve">All5cities and both headcounts in Options.</t>
  </si>
  <si>
    <t xml:space="preserve">Priority candidate maximum additional base U</t>
  </si>
  <si>
    <t xml:space="preserve">Budget/(1+reserve)-known/estimated K, not reserve-inclusive budget remainder.</t>
  </si>
  <si>
    <t xml:space="preserve">Priority Umax +20%</t>
  </si>
  <si>
    <t xml:space="preserve">Pressure on currently adjusted airfare.</t>
  </si>
  <si>
    <t xml:space="preserve">Next candidate maximum additional base U</t>
  </si>
  <si>
    <t xml:space="preserve">Most competitive conditional backup among primary anchors.</t>
  </si>
  <si>
    <t xml:space="preserve">Next candidate Umax +20%</t>
  </si>
  <si>
    <t xml:space="preserve">Same basis.</t>
  </si>
  <si>
    <t xml:space="preserve">Chicago-Boston equal-U intersection p</t>
  </si>
  <si>
    <t xml:space="preserve">Diagnostic arithmetic for the EXCLUDED Chicago158 quote only; not an eligible switch. Current selection and bounds: Candidate_Model / Boundary_All. No authorized above-cap exception.</t>
  </si>
  <si>
    <t xml:space="preserve">General optimum region</t>
  </si>
  <si>
    <t xml:space="preserve">See Boundary_Checks all10 candidates</t>
  </si>
  <si>
    <t xml:space="preserve">Cost_i=(1+reserve)*(K_i+p*A_i+U_i). Region for selected same-size i: U_i-U_j &lt;= K_j-K_i+p*(A_j-A_i) for EVERY eligible j; strict inequality if j alphabetically earlier.</t>
  </si>
  <si>
    <t xml:space="preserve">Keep Chicago24</t>
  </si>
  <si>
    <t xml:space="preserve">Uchi&lt;=Umaxchi(p), all same-size inequalities hold</t>
  </si>
  <si>
    <t xml:space="preserve">All dates, price compliance and quality/quote admission must also hold. Any unresolved cheaper combination remains a competitor, not removed.</t>
  </si>
  <si>
    <t xml:space="preserve">Keep current evidence priority</t>
  </si>
  <si>
    <t xml:space="preserve">Apply ALL eligible competitor inequalities in Boundary_All; never include archived101 or over-cap158/159.</t>
  </si>
  <si>
    <t xml:space="preserve">Boston remains breakfast/quality/occupancy pending; this is partial-cost evidence priority, not a qualified recommendation.</t>
  </si>
  <si>
    <t xml:space="preserve">Drop to18</t>
  </si>
  <si>
    <t xml:space="preserve">ALL admitted24 totals&gt;budget or unavailable; at least one admitted18 total&lt;=budget</t>
  </si>
  <si>
    <t xml:space="preserve">Recalculate per-person and fixed/unknown components separately; no proportional scaling of event total.</t>
  </si>
  <si>
    <t xml:space="preserve">Neither size executable</t>
  </si>
  <si>
    <t xml:space="preserve">No admitted budget-feasible18 or24, or admission evidence absent</t>
  </si>
  <si>
    <t xml:space="preserve">Currently admission evidence absent: no qualified recommendation. Evidence priority may still be given without claiming approval.</t>
  </si>
  <si>
    <t xml:space="preserve">Negative Umax test @budget30000</t>
  </si>
  <si>
    <t xml:space="preserve">Negative means known/estimated K already exceeds budget; never truncate to zero.</t>
  </si>
  <si>
    <t xml:space="preserve">Negative Umax stress @30000</t>
  </si>
  <si>
    <t xml:space="preserve">Recompute after any parameter change.</t>
  </si>
  <si>
    <t xml:space="preserve">Historical effect</t>
  </si>
  <si>
    <t xml:space="preserve">See Historical_Impact 20 units</t>
  </si>
  <si>
    <t xml:space="preserve">Same quotes and MIE tiers -&gt; numerical zero delta; caps and candidate eligibility evaluated separately.</t>
  </si>
  <si>
    <t xml:space="preserve">Old-price recalculation on changed dates is not a new quote.</t>
  </si>
  <si>
    <t xml:space="preserve">Unknown-difference switch p* (Chicago24 vs Boston24)</t>
  </si>
  <si>
    <t xml:space="preserve">18-person switching condition</t>
  </si>
  <si>
    <t xml:space="preserve">Direction of crossing</t>
  </si>
  <si>
    <t xml:space="preserve">Chicago airfare slope6480 &lt; Boston7464</t>
  </si>
  <si>
    <t xml:space="preserve">Additional captured joint alternatives</t>
  </si>
  <si>
    <t xml:space="preserve">Joint_Alternatives: 15 component alternatives ×2headcounts</t>
  </si>
  <si>
    <t xml:space="preserve">All40 combinations now enter Candidate_Model and Decision. Alternative K/A, caps, stress and competitor bounds recompute from the same budget, date, airfare, breakfast and reserve parameters.</t>
  </si>
  <si>
    <t xml:space="preserve">Conditional no-crossing proof with all recorded alternatives</t>
  </si>
  <si>
    <t xml:space="preserve">For EVERY same-headcount primary/alternative j require Uchi-Uj &lt;= (Kj-Kchi)+p*(Aj-Achi)</t>
  </si>
  <si>
    <t xml:space="preserve">Use Boundary_All recomputed from current44 combinations. Boundaries are conditional on independent unknowns; excluded quotes do not enter the feasible minimum.</t>
  </si>
  <si>
    <t xml:space="preserve">RETAINED ITINERARY STRUCTURE — primary priority Chicago, all-city alternatives in Sources / Evidence / Boundary_Checks</t>
  </si>
  <si>
    <t xml:space="preserve">Primary evidence-priority Chicago itinerary: Nov28 arrival, Nov29–Dec1 full training, Dec2 return, four nights. Google Flights screenshots contain the dated DCA-ORD flight evidence. Boston is conditional backup. Neither is admitted pending specific quote and quality evidence.</t>
  </si>
  <si>
    <t xml:space="preserve">Item</t>
  </si>
  <si>
    <t xml:space="preserve">Detail</t>
  </si>
  <si>
    <t xml:space="preserve">Connects to</t>
  </si>
  <si>
    <t xml:space="preserve">Outbound flight</t>
  </si>
  <si>
    <t xml:space="preserve">DCA→ORD, dated Google Flights capture (see PPT); verify actual carrier times before ticketing</t>
  </si>
  <si>
    <t xml:space="preserve">2026-11-28</t>
  </si>
  <si>
    <t xml:space="preserve">Arrive BOS afternoon → hotel check-in same day</t>
  </si>
  <si>
    <t xml:space="preserve">Hotel check-in</t>
  </si>
  <si>
    <t xml:space="preserve">Airport-hotel ground allowance included; check actual shuttle and venue address</t>
  </si>
  <si>
    <t xml:space="preserve">Training Day 1</t>
  </si>
  <si>
    <t xml:space="preserve">Full day (lunch via registration)</t>
  </si>
  <si>
    <t xml:space="preserve">2026-11-29</t>
  </si>
  <si>
    <t xml:space="preserve">On-site; breakfast at hotel</t>
  </si>
  <si>
    <t xml:space="preserve">Training Day 2</t>
  </si>
  <si>
    <t xml:space="preserve">2026-11-30</t>
  </si>
  <si>
    <t xml:space="preserve">On-site</t>
  </si>
  <si>
    <t xml:space="preserve">Training Day 3</t>
  </si>
  <si>
    <t xml:space="preserve">2026-12-01</t>
  </si>
  <si>
    <t xml:space="preserve">Agency dinner Dec 1 evening</t>
  </si>
  <si>
    <t xml:space="preserve">Return flight</t>
  </si>
  <si>
    <t xml:space="preserve">ORD→DCA, Dec2; see real screenshot, not a booked ticket</t>
  </si>
  <si>
    <t xml:space="preserve">2026-12-02</t>
  </si>
  <si>
    <t xml:space="preserve">Checkout Dec 2 → BOS airport → DCA</t>
  </si>
  <si>
    <t xml:space="preserve">Agency catered</t>
  </si>
  <si>
    <t xml:space="preserve">Dinner Nov 28, Dinner Dec 1, Lunch Dec 2</t>
  </si>
  <si>
    <t xml:space="preserve">various</t>
  </si>
  <si>
    <t xml:space="preserve">Budgeted in Daily/Options</t>
  </si>
  <si>
    <t xml:space="preserve">Execution conditions (venue/date/capacity not yet verified):</t>
  </si>
  <si>
    <t xml:space="preserve">• Meeting venue address &amp; 24-seat capacity for Nov 29–Dec 1 NOT yet confirmed — list as execution condition (see Register).</t>
  </si>
  <si>
    <t xml:space="preserve">• Hotel room block of 24 single rooms at quoted rate NOT confirmed; single-occupancy quote used as whole-group estimate only.</t>
  </si>
  <si>
    <t xml:space="preserve">• Flight fares are per-person public quotes (single seat); group inventory at same fare not guaranteed.</t>
  </si>
  <si>
    <t xml:space="preserve">Fare class, baggage, refund terms, group seats and room inventory are unheld and must be rechecked.</t>
  </si>
  <si>
    <t xml:space="preserve">SOURCES, QUERY TIMES &amp; APPLICABILITY</t>
  </si>
  <si>
    <t xml:space="preserve">#</t>
  </si>
  <si>
    <t xml:space="preserve">Source / platform</t>
  </si>
  <si>
    <t xml:space="preserve">URL</t>
  </si>
  <si>
    <t xml:space="preserve">Queried (UTC)</t>
  </si>
  <si>
    <t xml:space="preserve">Applicable dates / notes</t>
  </si>
  <si>
    <t xml:space="preserve">Flights DCA↔ORD (Chicago) $270 AA nonstop</t>
  </si>
  <si>
    <t xml:space="preserve">ITA Matrix (Google)</t>
  </si>
  <si>
    <t xml:space="preserve">https://matrix.itasoftware.com</t>
  </si>
  <si>
    <t xml:space="preserve">2026-10-24</t>
  </si>
  <si>
    <t xml:space="preserve">RT Nov 28–Dec 2 2026, 1 adult; public fare, basic econ possible</t>
  </si>
  <si>
    <t xml:space="preserve">Flights DCA↔BOS (Boston) $358 AA nonstop</t>
  </si>
  <si>
    <t xml:space="preserve">RT Nov 28–Dec 2 2026, 1 adult</t>
  </si>
  <si>
    <t xml:space="preserve">Flights DCA↔PHX (Phoenix) $581 AA nonstop</t>
  </si>
  <si>
    <t xml:space="preserve">Flights DCA↔DEN (Denver) $741 Frontier / $940 United</t>
  </si>
  <si>
    <t xml:space="preserve">RT; Frontier basic; United more flexible</t>
  </si>
  <si>
    <t xml:space="preserve">Flights DCA↔SEA (Seattle) $977 nonstop / $982 1-stop</t>
  </si>
  <si>
    <t xml:space="preserve">Boston hotel — DoubleTree Hilton Boston Bayside $108/n, 8.6/10 (449 rev), breakfast</t>
  </si>
  <si>
    <t xml:space="preserve">Trip.com (US)</t>
  </si>
  <si>
    <t xml:space="preserve">https://us.trip.com/hotels/list?cityId=26848</t>
  </si>
  <si>
    <t xml:space="preserve">4 nights, 1 room/1 adult; total $501 incl taxes&amp;fees</t>
  </si>
  <si>
    <t xml:space="preserve">Boston alt — Hilton Boston Park Plaza $205/n, 8.8 (170), breakfast</t>
  </si>
  <si>
    <t xml:space="preserve">Central; ≤$213 FY27 cap</t>
  </si>
  <si>
    <t xml:space="preserve">Chicago hotel — Warwick Allerton $145/n, 8.6 (399)</t>
  </si>
  <si>
    <t xml:space="preserve">https://us.trip.com/hotels/list?cityId=549</t>
  </si>
  <si>
    <t xml:space="preserve">≤ $148 Dec-1 FY27 cap; total $668 incl tax</t>
  </si>
  <si>
    <t xml:space="preserve">Denver hotel — Home2 Suites Hilton Downtown $109/n, 9.0 (94), breakfast</t>
  </si>
  <si>
    <t xml:space="preserve">https://us.trip.com/hotels/list?cityId=20099</t>
  </si>
  <si>
    <t xml:space="preserve">≤$170 cap</t>
  </si>
  <si>
    <t xml:space="preserve">Phoenix hotel — Hampton Inn &amp; Suites $150/n, 9.4 (116), breakfast</t>
  </si>
  <si>
    <t xml:space="preserve">https://us.trip.com/hotels/list?cityId=25938</t>
  </si>
  <si>
    <t xml:space="preserve">≤$165 cap (thin margin)</t>
  </si>
  <si>
    <t xml:space="preserve">DISCARDED: Seattle103 hotel identity not supported by original screenshot</t>
  </si>
  <si>
    <t xml:space="preserve">https://us.trip.com/hotels/list?cityId=511</t>
  </si>
  <si>
    <t xml:space="preserve">Not used; replaced by Country Inn101 dated Google Hotels evidence. Breakfast/occupancy conditions still pending.</t>
  </si>
  <si>
    <t xml:space="preserve">FY2027 per-diem (lodging &amp; M&amp;IE)</t>
  </si>
  <si>
    <t xml:space="preserve">GSA / input file</t>
  </si>
  <si>
    <t xml:space="preserve">FY2027_PerDiemRates_Validated090126.xlsx</t>
  </si>
  <si>
    <t xml:space="preserve">file (read)</t>
  </si>
  <si>
    <t xml:space="preserve">Eff. Oct 1 2026 — APPLICABLE year</t>
  </si>
  <si>
    <t xml:space="preserve">FY2025 / FY2026 per-diem (historical contrast)</t>
  </si>
  <si>
    <t xml:space="preserve">GSA / input files</t>
  </si>
  <si>
    <t xml:space="preserve">FY2025/FY2026_PerDiemMasterRatesFile.xlsx</t>
  </si>
  <si>
    <t xml:space="preserve">Historical only — not for reimbursement</t>
  </si>
  <si>
    <t xml:space="preserve">M&amp;IE meal breakdown (deduction components)</t>
  </si>
  <si>
    <t xml:space="preserve">GSA FY2025 M&amp;IE Breakdown</t>
  </si>
  <si>
    <t xml:space="preserve">GSA_FY2025_MIE_Breakdown.docx</t>
  </si>
  <si>
    <t xml:space="preserve">$92 MIE: B23/L26/D38; $86: B22/L23/D36</t>
  </si>
  <si>
    <t xml:space="preserve">Conference planning rules</t>
  </si>
  <si>
    <t xml:space="preserve">41 CFR 301-74 (eCFR, frozen 2025-01-01)</t>
  </si>
  <si>
    <t xml:space="preserve">eCFR_41_CFR_301-74.xml</t>
  </si>
  <si>
    <t xml:space="preserve">301-74.1/.3/.4/.5/.6/.7/.21</t>
  </si>
  <si>
    <t xml:space="preserve">Travel reimbursement rules</t>
  </si>
  <si>
    <t xml:space="preserve">41 CFR 301-11 (eCFR, frozen 2025-01-01)</t>
  </si>
  <si>
    <t xml:space="preserve">eCFR_41_CFR_301-11.xml</t>
  </si>
  <si>
    <t xml:space="preserve">301-11.100/.300 actual-expense</t>
  </si>
  <si>
    <t xml:space="preserve">RD Instruction 2036-A (Travel Regs &amp; Policies)</t>
  </si>
  <si>
    <t xml:space="preserve">USDA Rural Development</t>
  </si>
  <si>
    <t xml:space="preserve">https://www.rd.usda.gov/resources/directives/instructions (RD Instr 2036-A, eff. 2024-07-19)</t>
  </si>
  <si>
    <t xml:space="preserve">Confirm current clause text before approval</t>
  </si>
  <si>
    <t xml:space="preserve">FX note</t>
  </si>
  <si>
    <t xml:space="preserve">N/A — all prices captured in USD</t>
  </si>
  <si>
    <t xml:space="preserve">ITA Matrix &amp; us.trip.com default USD</t>
  </si>
  <si>
    <t xml:space="preserve">No currency conversion applied</t>
  </si>
  <si>
    <t xml:space="preserve">Price scope: original market quotes kept as snapshots. Internal12% lodging tax replaces tax planning basis; other mandatory fees not disclosed remain unresolved. No full verified recommendation.</t>
  </si>
  <si>
    <t xml:space="preserve">SRC-EXPERT</t>
  </si>
  <si>
    <t xml:space="preserve">Corrected flight/room anchors</t>
  </si>
  <si>
    <t xml:space="preserve">Original dated model captures, not new quotes</t>
  </si>
  <si>
    <t xml:space="preserve">See PPT flight and hotel pages</t>
  </si>
  <si>
    <t xml:space="preserve">Qwen real flight captures supplement Claude. Old Seattle103 identity abandoned. Single-room2guests quotes not verified single occupancy.</t>
  </si>
  <si>
    <t xml:space="preserve">RD-2036A</t>
  </si>
  <si>
    <t xml:space="preserve">Applicable agency instruction</t>
  </si>
  <si>
    <t xml:space="preserve">USDA RD official</t>
  </si>
  <si>
    <t xml:space="preserve">https://www.rd.usda.gov/media/file/download/2036a.pdf</t>
  </si>
  <si>
    <t xml:space="preserve">Effective07/19/24 sec2036.74(a,b): sites/mission/necessity/remote/procurement. Agency cost&gt;20k OCFO advance approval. Old templateOCFO7k/OIG20k/HR933 not automatically current.</t>
  </si>
  <si>
    <t xml:space="preserve">MIE-CURRENT</t>
  </si>
  <si>
    <t xml:space="preserve">Current CONUS breakdown applicability</t>
  </si>
  <si>
    <t xml:space="preserve">GSA official</t>
  </si>
  <si>
    <t xml:space="preserve">https://www.gsa.gov/travel/plan-a-trip/per-diem-rates/mie-breakdowns</t>
  </si>
  <si>
    <t xml:space="preserve">92=23/26/38/5;86=22/23/36/5, matches supplied categories; hotel complimentary meals do not reduce MIE.</t>
  </si>
  <si>
    <t xml:space="preserve">AIRPORT</t>
  </si>
  <si>
    <t xml:space="preserve">Connection routes and published fare range</t>
  </si>
  <si>
    <t xml:space="preserve">WMATA official</t>
  </si>
  <si>
    <t xml:space="preserve">https://www.wmata.com/rider-guide/airport-and-rail/</t>
  </si>
  <si>
    <t xml:space="preserve">Metro2.25–6.75 one-way published; our early-flight ROAD allowances80/160/200RT are internal assumptions, not this page taxi tariffs.</t>
  </si>
  <si>
    <t xml:space="preserve">SCOPE</t>
  </si>
  <si>
    <t xml:space="preserve">Unquoted costs and qualifications</t>
  </si>
  <si>
    <t xml:space="preserve">Unknowns sheet</t>
  </si>
  <si>
    <t xml:space="preserve">Internal estimation, not supplier quote</t>
  </si>
  <si>
    <t xml:space="preserve">Independent Ucity,n; default blanks not zero facts. Catering and refresh already estimated, delta inputs adjust them; no registration-lunch double charge.</t>
  </si>
  <si>
    <t xml:space="preserve">GROUND-ROAD</t>
  </si>
  <si>
    <t xml:space="preserve">Official road taxi information vs internal allowance</t>
  </si>
  <si>
    <t xml:space="preserve">MWAA / WMATC / BWI</t>
  </si>
  <si>
    <t xml:space="preserve">https://www.flyreagan.com/parking-transportation/taxi-service ; https://www.wmatc.gov/order/new/taxicabfares/WashingtonFlyerTaxi.pdf ; https://bwiairport.com/to-from-bwi/transportation/taxis/</t>
  </si>
  <si>
    <t xml:space="preserve">Published metered/airport fare basis checked.80/160/200RT are disclosed internal planning allowances; traffic, waiting, fuel and personal route details remain unknown.</t>
  </si>
  <si>
    <t xml:space="preserve">QUOTE-CORRECTION</t>
  </si>
  <si>
    <t xml:space="preserve">Chicago/Seattle offer conditions</t>
  </si>
  <si>
    <t xml:space="preserve">Original unmodified Google Hotels screenshots</t>
  </si>
  <si>
    <t xml:space="preserve">PPT original image11 and image21</t>
  </si>
  <si>
    <t xml:space="preserve">CHI Billabook101 unbound breakfast archived; Agoda158/Booking159 breakfast shown over cap. SEA Booking101 breakfast shown but2guests; single occupancy unresolved.</t>
  </si>
  <si>
    <t xml:space="preserve">Key</t>
  </si>
  <si>
    <t xml:space="preserve">Month</t>
  </si>
  <si>
    <t xml:space="preserve">Lodging cap</t>
  </si>
  <si>
    <t xml:space="preserve">MIE</t>
  </si>
  <si>
    <t xml:space="preserve">Original file</t>
  </si>
  <si>
    <t xml:space="preserve">Sheet</t>
  </si>
  <si>
    <t xml:space="preserve">Row/location</t>
  </si>
  <si>
    <t xml:space="preserve">2025|Phoenix|1</t>
  </si>
  <si>
    <t xml:space="preserve">FY2025_PerDiemMasterRatesFile.xlsx</t>
  </si>
  <si>
    <t xml:space="preserve">Master</t>
  </si>
  <si>
    <t xml:space="preserve">18 / Phoenix / Scottsdale</t>
  </si>
  <si>
    <t xml:space="preserve">2025|Phoenix|2</t>
  </si>
  <si>
    <t xml:space="preserve">19 / Phoenix / Scottsdale</t>
  </si>
  <si>
    <t xml:space="preserve">2025|Phoenix|3</t>
  </si>
  <si>
    <t xml:space="preserve">2025|Phoenix|4</t>
  </si>
  <si>
    <t xml:space="preserve">20 / Phoenix / Scottsdale</t>
  </si>
  <si>
    <t xml:space="preserve">2025|Phoenix|5</t>
  </si>
  <si>
    <t xml:space="preserve">2025|Phoenix|6</t>
  </si>
  <si>
    <t xml:space="preserve">21 / Phoenix / Scottsdale</t>
  </si>
  <si>
    <t xml:space="preserve">2025|Phoenix|7</t>
  </si>
  <si>
    <t xml:space="preserve">2025|Phoenix|8</t>
  </si>
  <si>
    <t xml:space="preserve">2025|Phoenix|9</t>
  </si>
  <si>
    <t xml:space="preserve">22 / Phoenix / Scottsdale</t>
  </si>
  <si>
    <t xml:space="preserve">2025|Phoenix|10</t>
  </si>
  <si>
    <t xml:space="preserve">2025|Phoenix|11</t>
  </si>
  <si>
    <t xml:space="preserve">2025|Phoenix|12</t>
  </si>
  <si>
    <t xml:space="preserve">2025|Denver|1</t>
  </si>
  <si>
    <t xml:space="preserve">108 / Denver / Aurora</t>
  </si>
  <si>
    <t xml:space="preserve">2025|Denver|2</t>
  </si>
  <si>
    <t xml:space="preserve">2025|Denver|3</t>
  </si>
  <si>
    <t xml:space="preserve">2025|Denver|4</t>
  </si>
  <si>
    <t xml:space="preserve">109 / Denver / Aurora</t>
  </si>
  <si>
    <t xml:space="preserve">2025|Denver|5</t>
  </si>
  <si>
    <t xml:space="preserve">2025|Denver|6</t>
  </si>
  <si>
    <t xml:space="preserve">2025|Denver|7</t>
  </si>
  <si>
    <t xml:space="preserve">2025|Denver|8</t>
  </si>
  <si>
    <t xml:space="preserve">2025|Denver|9</t>
  </si>
  <si>
    <t xml:space="preserve">2025|Denver|10</t>
  </si>
  <si>
    <t xml:space="preserve">107 / Denver / Aurora</t>
  </si>
  <si>
    <t xml:space="preserve">2025|Denver|11</t>
  </si>
  <si>
    <t xml:space="preserve">2025|Denver|12</t>
  </si>
  <si>
    <t xml:space="preserve">2025|Chicago|1</t>
  </si>
  <si>
    <t xml:space="preserve">255 / Chicago</t>
  </si>
  <si>
    <t xml:space="preserve">2025|Chicago|2</t>
  </si>
  <si>
    <t xml:space="preserve">2025|Chicago|3</t>
  </si>
  <si>
    <t xml:space="preserve">2025|Chicago|4</t>
  </si>
  <si>
    <t xml:space="preserve">256 / Chicago</t>
  </si>
  <si>
    <t xml:space="preserve">2025|Chicago|5</t>
  </si>
  <si>
    <t xml:space="preserve">2025|Chicago|6</t>
  </si>
  <si>
    <t xml:space="preserve">2025|Chicago|7</t>
  </si>
  <si>
    <t xml:space="preserve">257 / Chicago</t>
  </si>
  <si>
    <t xml:space="preserve">2025|Chicago|8</t>
  </si>
  <si>
    <t xml:space="preserve">2025|Chicago|9</t>
  </si>
  <si>
    <t xml:space="preserve">258 / Chicago</t>
  </si>
  <si>
    <t xml:space="preserve">2025|Chicago|10</t>
  </si>
  <si>
    <t xml:space="preserve">254 / Chicago</t>
  </si>
  <si>
    <t xml:space="preserve">2025|Chicago|11</t>
  </si>
  <si>
    <t xml:space="preserve">2025|Chicago|12</t>
  </si>
  <si>
    <t xml:space="preserve">2025|Boston|1</t>
  </si>
  <si>
    <t xml:space="preserve">283 / Boston / Cambridge</t>
  </si>
  <si>
    <t xml:space="preserve">2025|Boston|2</t>
  </si>
  <si>
    <t xml:space="preserve">2025|Boston|3</t>
  </si>
  <si>
    <t xml:space="preserve">284 / Boston / Cambridge</t>
  </si>
  <si>
    <t xml:space="preserve">2025|Boston|4</t>
  </si>
  <si>
    <t xml:space="preserve">2025|Boston|5</t>
  </si>
  <si>
    <t xml:space="preserve">2025|Boston|6</t>
  </si>
  <si>
    <t xml:space="preserve">2025|Boston|7</t>
  </si>
  <si>
    <t xml:space="preserve">2025|Boston|8</t>
  </si>
  <si>
    <t xml:space="preserve">2025|Boston|9</t>
  </si>
  <si>
    <t xml:space="preserve">285 / Boston / Cambridge</t>
  </si>
  <si>
    <t xml:space="preserve">2025|Boston|10</t>
  </si>
  <si>
    <t xml:space="preserve">282 / Boston / Cambridge</t>
  </si>
  <si>
    <t xml:space="preserve">2025|Boston|11</t>
  </si>
  <si>
    <t xml:space="preserve">2025|Boston|12</t>
  </si>
  <si>
    <t xml:space="preserve">2025|Seattle|1</t>
  </si>
  <si>
    <t xml:space="preserve">635 / Seattle</t>
  </si>
  <si>
    <t xml:space="preserve">2025|Seattle|2</t>
  </si>
  <si>
    <t xml:space="preserve">2025|Seattle|3</t>
  </si>
  <si>
    <t xml:space="preserve">2025|Seattle|4</t>
  </si>
  <si>
    <t xml:space="preserve">2025|Seattle|5</t>
  </si>
  <si>
    <t xml:space="preserve">2025|Seattle|6</t>
  </si>
  <si>
    <t xml:space="preserve">636 / Seattle</t>
  </si>
  <si>
    <t xml:space="preserve">2025|Seattle|7</t>
  </si>
  <si>
    <t xml:space="preserve">2025|Seattle|8</t>
  </si>
  <si>
    <t xml:space="preserve">2025|Seattle|9</t>
  </si>
  <si>
    <t xml:space="preserve">2025|Seattle|10</t>
  </si>
  <si>
    <t xml:space="preserve">2025|Seattle|11</t>
  </si>
  <si>
    <t xml:space="preserve">2025|Seattle|12</t>
  </si>
  <si>
    <t xml:space="preserve">2026|Phoenix|1</t>
  </si>
  <si>
    <t xml:space="preserve">FY2026_PerDiemMasterRatesFile.xlsx</t>
  </si>
  <si>
    <t xml:space="preserve">2026|Phoenix|2</t>
  </si>
  <si>
    <t xml:space="preserve">2026|Phoenix|3</t>
  </si>
  <si>
    <t xml:space="preserve">2026|Phoenix|4</t>
  </si>
  <si>
    <t xml:space="preserve">2026|Phoenix|5</t>
  </si>
  <si>
    <t xml:space="preserve">2026|Phoenix|6</t>
  </si>
  <si>
    <t xml:space="preserve">2026|Phoenix|7</t>
  </si>
  <si>
    <t xml:space="preserve">2026|Phoenix|8</t>
  </si>
  <si>
    <t xml:space="preserve">2026|Phoenix|9</t>
  </si>
  <si>
    <t xml:space="preserve">2026|Phoenix|10</t>
  </si>
  <si>
    <t xml:space="preserve">2026|Phoenix|11</t>
  </si>
  <si>
    <t xml:space="preserve">2026|Phoenix|12</t>
  </si>
  <si>
    <t xml:space="preserve">2026|Denver|1</t>
  </si>
  <si>
    <t xml:space="preserve">2026|Denver|2</t>
  </si>
  <si>
    <t xml:space="preserve">2026|Denver|3</t>
  </si>
  <si>
    <t xml:space="preserve">2026|Denver|4</t>
  </si>
  <si>
    <t xml:space="preserve">2026|Denver|5</t>
  </si>
  <si>
    <t xml:space="preserve">2026|Denver|6</t>
  </si>
  <si>
    <t xml:space="preserve">2026|Denver|7</t>
  </si>
  <si>
    <t xml:space="preserve">2026|Denver|8</t>
  </si>
  <si>
    <t xml:space="preserve">2026|Denver|9</t>
  </si>
  <si>
    <t xml:space="preserve">2026|Denver|10</t>
  </si>
  <si>
    <t xml:space="preserve">2026|Denver|11</t>
  </si>
  <si>
    <t xml:space="preserve">2026|Denver|12</t>
  </si>
  <si>
    <t xml:space="preserve">2026|Chicago|1</t>
  </si>
  <si>
    <t xml:space="preserve">2026|Chicago|2</t>
  </si>
  <si>
    <t xml:space="preserve">2026|Chicago|3</t>
  </si>
  <si>
    <t xml:space="preserve">2026|Chicago|4</t>
  </si>
  <si>
    <t xml:space="preserve">2026|Chicago|5</t>
  </si>
  <si>
    <t xml:space="preserve">2026|Chicago|6</t>
  </si>
  <si>
    <t xml:space="preserve">2026|Chicago|7</t>
  </si>
  <si>
    <t xml:space="preserve">2026|Chicago|8</t>
  </si>
  <si>
    <t xml:space="preserve">2026|Chicago|9</t>
  </si>
  <si>
    <t xml:space="preserve">2026|Chicago|10</t>
  </si>
  <si>
    <t xml:space="preserve">2026|Chicago|11</t>
  </si>
  <si>
    <t xml:space="preserve">2026|Chicago|12</t>
  </si>
  <si>
    <t xml:space="preserve">2026|Boston|1</t>
  </si>
  <si>
    <t xml:space="preserve">2026|Boston|2</t>
  </si>
  <si>
    <t xml:space="preserve">2026|Boston|3</t>
  </si>
  <si>
    <t xml:space="preserve">2026|Boston|4</t>
  </si>
  <si>
    <t xml:space="preserve">2026|Boston|5</t>
  </si>
  <si>
    <t xml:space="preserve">2026|Boston|6</t>
  </si>
  <si>
    <t xml:space="preserve">2026|Boston|7</t>
  </si>
  <si>
    <t xml:space="preserve">2026|Boston|8</t>
  </si>
  <si>
    <t xml:space="preserve">2026|Boston|9</t>
  </si>
  <si>
    <t xml:space="preserve">2026|Boston|10</t>
  </si>
  <si>
    <t xml:space="preserve">2026|Boston|11</t>
  </si>
  <si>
    <t xml:space="preserve">2026|Boston|12</t>
  </si>
  <si>
    <t xml:space="preserve">2026|Seattle|1</t>
  </si>
  <si>
    <t xml:space="preserve">2026|Seattle|2</t>
  </si>
  <si>
    <t xml:space="preserve">2026|Seattle|3</t>
  </si>
  <si>
    <t xml:space="preserve">2026|Seattle|4</t>
  </si>
  <si>
    <t xml:space="preserve">2026|Seattle|5</t>
  </si>
  <si>
    <t xml:space="preserve">2026|Seattle|6</t>
  </si>
  <si>
    <t xml:space="preserve">2026|Seattle|7</t>
  </si>
  <si>
    <t xml:space="preserve">2026|Seattle|8</t>
  </si>
  <si>
    <t xml:space="preserve">2026|Seattle|9</t>
  </si>
  <si>
    <t xml:space="preserve">2026|Seattle|10</t>
  </si>
  <si>
    <t xml:space="preserve">2026|Seattle|11</t>
  </si>
  <si>
    <t xml:space="preserve">2026|Seattle|12</t>
  </si>
  <si>
    <t xml:space="preserve">2027|Phoenix|1</t>
  </si>
  <si>
    <t xml:space="preserve">Sheet1</t>
  </si>
  <si>
    <t xml:space="preserve">16 / Phoenix / Scottsdale</t>
  </si>
  <si>
    <t xml:space="preserve">2027|Phoenix|2</t>
  </si>
  <si>
    <t xml:space="preserve">17 / Phoenix / Scottsdale</t>
  </si>
  <si>
    <t xml:space="preserve">2027|Phoenix|3</t>
  </si>
  <si>
    <t xml:space="preserve">2027|Phoenix|4</t>
  </si>
  <si>
    <t xml:space="preserve">2027|Phoenix|5</t>
  </si>
  <si>
    <t xml:space="preserve">2027|Phoenix|6</t>
  </si>
  <si>
    <t xml:space="preserve">2027|Phoenix|7</t>
  </si>
  <si>
    <t xml:space="preserve">2027|Phoenix|8</t>
  </si>
  <si>
    <t xml:space="preserve">2027|Phoenix|9</t>
  </si>
  <si>
    <t xml:space="preserve">2027|Phoenix|10</t>
  </si>
  <si>
    <t xml:space="preserve">2027|Phoenix|11</t>
  </si>
  <si>
    <t xml:space="preserve">2027|Phoenix|12</t>
  </si>
  <si>
    <t xml:space="preserve">2027|Denver|1</t>
  </si>
  <si>
    <t xml:space="preserve">110 / Denver / Aurora</t>
  </si>
  <si>
    <t xml:space="preserve">2027|Denver|2</t>
  </si>
  <si>
    <t xml:space="preserve">2027|Denver|3</t>
  </si>
  <si>
    <t xml:space="preserve">2027|Denver|4</t>
  </si>
  <si>
    <t xml:space="preserve">111 / Denver / Aurora</t>
  </si>
  <si>
    <t xml:space="preserve">2027|Denver|5</t>
  </si>
  <si>
    <t xml:space="preserve">2027|Denver|6</t>
  </si>
  <si>
    <t xml:space="preserve">2027|Denver|7</t>
  </si>
  <si>
    <t xml:space="preserve">2027|Denver|8</t>
  </si>
  <si>
    <t xml:space="preserve">2027|Denver|9</t>
  </si>
  <si>
    <t xml:space="preserve">2027|Denver|10</t>
  </si>
  <si>
    <t xml:space="preserve">2027|Denver|11</t>
  </si>
  <si>
    <t xml:space="preserve">2027|Denver|12</t>
  </si>
  <si>
    <t xml:space="preserve">2027|Chicago|1</t>
  </si>
  <si>
    <t xml:space="preserve">2027|Chicago|2</t>
  </si>
  <si>
    <t xml:space="preserve">2027|Chicago|3</t>
  </si>
  <si>
    <t xml:space="preserve">2027|Chicago|4</t>
  </si>
  <si>
    <t xml:space="preserve">2027|Chicago|5</t>
  </si>
  <si>
    <t xml:space="preserve">2027|Chicago|6</t>
  </si>
  <si>
    <t xml:space="preserve">2027|Chicago|7</t>
  </si>
  <si>
    <t xml:space="preserve">259 / Chicago</t>
  </si>
  <si>
    <t xml:space="preserve">2027|Chicago|8</t>
  </si>
  <si>
    <t xml:space="preserve">2027|Chicago|9</t>
  </si>
  <si>
    <t xml:space="preserve">260 / Chicago</t>
  </si>
  <si>
    <t xml:space="preserve">2027|Chicago|10</t>
  </si>
  <si>
    <t xml:space="preserve">2027|Chicago|11</t>
  </si>
  <si>
    <t xml:space="preserve">2027|Chicago|12</t>
  </si>
  <si>
    <t xml:space="preserve">2027|Boston|1</t>
  </si>
  <si>
    <t xml:space="preserve">2027|Boston|2</t>
  </si>
  <si>
    <t xml:space="preserve">2027|Boston|3</t>
  </si>
  <si>
    <t xml:space="preserve">2027|Boston|4</t>
  </si>
  <si>
    <t xml:space="preserve">2027|Boston|5</t>
  </si>
  <si>
    <t xml:space="preserve">2027|Boston|6</t>
  </si>
  <si>
    <t xml:space="preserve">2027|Boston|7</t>
  </si>
  <si>
    <t xml:space="preserve">2027|Boston|8</t>
  </si>
  <si>
    <t xml:space="preserve">2027|Boston|9</t>
  </si>
  <si>
    <t xml:space="preserve">286 / Boston / Cambridge</t>
  </si>
  <si>
    <t xml:space="preserve">2027|Boston|10</t>
  </si>
  <si>
    <t xml:space="preserve">2027|Boston|11</t>
  </si>
  <si>
    <t xml:space="preserve">2027|Boston|12</t>
  </si>
  <si>
    <t xml:space="preserve">2027|Seattle|1</t>
  </si>
  <si>
    <t xml:space="preserve">627 / Seattle</t>
  </si>
  <si>
    <t xml:space="preserve">2027|Seattle|2</t>
  </si>
  <si>
    <t xml:space="preserve">2027|Seattle|3</t>
  </si>
  <si>
    <t xml:space="preserve">2027|Seattle|4</t>
  </si>
  <si>
    <t xml:space="preserve">2027|Seattle|5</t>
  </si>
  <si>
    <t xml:space="preserve">2027|Seattle|6</t>
  </si>
  <si>
    <t xml:space="preserve">628 / Seattle</t>
  </si>
  <si>
    <t xml:space="preserve">2027|Seattle|7</t>
  </si>
  <si>
    <t xml:space="preserve">2027|Seattle|8</t>
  </si>
  <si>
    <t xml:space="preserve">2027|Seattle|9</t>
  </si>
  <si>
    <t xml:space="preserve">2027|Seattle|10</t>
  </si>
  <si>
    <t xml:space="preserve">626 / Seattle</t>
  </si>
  <si>
    <t xml:space="preserve">2027|Seattle|11</t>
  </si>
  <si>
    <t xml:space="preserve">2027|Seattle|12</t>
  </si>
  <si>
    <t xml:space="preserve">MIE total</t>
  </si>
  <si>
    <t xml:space="preserve">Breakfast</t>
  </si>
  <si>
    <t xml:space="preserve">Lunch</t>
  </si>
  <si>
    <t xml:space="preserve">Dinner</t>
  </si>
  <si>
    <t xml:space="preserve">Incidental</t>
  </si>
  <si>
    <t xml:space="preserve">Basis</t>
  </si>
  <si>
    <t xml:space="preserve">Supplied FY2025 breakdown, checked against GSA current CONUS breakdown; not OCONUS</t>
  </si>
  <si>
    <t xml:space="preserve">Venue fixed/event USD</t>
  </si>
  <si>
    <t xml:space="preserve">Breakfast extra USD/person/night</t>
  </si>
  <si>
    <t xml:space="preserve">Venue ground USD/person/trip</t>
  </si>
  <si>
    <t xml:space="preserve">Catering adjustment USD/person</t>
  </si>
  <si>
    <t xml:space="preserve">Refreshment adjustment USD/person</t>
  </si>
  <si>
    <t xml:space="preserve">Other fixed USD</t>
  </si>
  <si>
    <t xml:space="preserve">Quality admission (0/1)</t>
  </si>
  <si>
    <t xml:space="preserve">Quote/conditions complete (0/1)</t>
  </si>
  <si>
    <t xml:space="preserve">Status / billing basis</t>
  </si>
  <si>
    <t xml:space="preserve">Blank=unquoted. Independent city inputs; catering/refresh entries adjust existing planning allowances, not duplicate purchases. 1 flags only after evidence, not current facts.</t>
  </si>
  <si>
    <t xml:space="preserve">Boston MIE rate</t>
  </si>
  <si>
    <t xml:space="preserve">Boston Breakfast</t>
  </si>
  <si>
    <t xml:space="preserve">Boston Lunch</t>
  </si>
  <si>
    <t xml:space="preserve">Boston Dinner</t>
  </si>
  <si>
    <t xml:space="preserve">Boston Net MIE</t>
  </si>
  <si>
    <t xml:space="preserve">Boston Room+12% tax</t>
  </si>
  <si>
    <t xml:space="preserve">Boston Room cap</t>
  </si>
  <si>
    <t xml:space="preserve">Boston Night compliant</t>
  </si>
  <si>
    <t xml:space="preserve">Chicago MIE rate</t>
  </si>
  <si>
    <t xml:space="preserve">Chicago Breakfast</t>
  </si>
  <si>
    <t xml:space="preserve">Chicago Lunch</t>
  </si>
  <si>
    <t xml:space="preserve">Chicago Dinner</t>
  </si>
  <si>
    <t xml:space="preserve">Chicago Net MIE</t>
  </si>
  <si>
    <t xml:space="preserve">Chicago Room+12% tax</t>
  </si>
  <si>
    <t xml:space="preserve">Chicago Room cap</t>
  </si>
  <si>
    <t xml:space="preserve">Chicago Night compliant</t>
  </si>
  <si>
    <t xml:space="preserve">Denver MIE rate</t>
  </si>
  <si>
    <t xml:space="preserve">Denver Breakfast</t>
  </si>
  <si>
    <t xml:space="preserve">Denver Lunch</t>
  </si>
  <si>
    <t xml:space="preserve">Denver Dinner</t>
  </si>
  <si>
    <t xml:space="preserve">Denver Net MIE</t>
  </si>
  <si>
    <t xml:space="preserve">Denver Room+12% tax</t>
  </si>
  <si>
    <t xml:space="preserve">Denver Room cap</t>
  </si>
  <si>
    <t xml:space="preserve">Denver Night compliant</t>
  </si>
  <si>
    <t xml:space="preserve">Phoenix MIE rate</t>
  </si>
  <si>
    <t xml:space="preserve">Phoenix Breakfast</t>
  </si>
  <si>
    <t xml:space="preserve">Phoenix Lunch</t>
  </si>
  <si>
    <t xml:space="preserve">Phoenix Dinner</t>
  </si>
  <si>
    <t xml:space="preserve">Phoenix Net MIE</t>
  </si>
  <si>
    <t xml:space="preserve">Phoenix Room+12% tax</t>
  </si>
  <si>
    <t xml:space="preserve">Phoenix Room cap</t>
  </si>
  <si>
    <t xml:space="preserve">Phoenix Night compliant</t>
  </si>
  <si>
    <t xml:space="preserve">Seattle MIE rate</t>
  </si>
  <si>
    <t xml:space="preserve">Seattle Breakfast</t>
  </si>
  <si>
    <t xml:space="preserve">Seattle Lunch</t>
  </si>
  <si>
    <t xml:space="preserve">Seattle Dinner</t>
  </si>
  <si>
    <t xml:space="preserve">Seattle Net MIE</t>
  </si>
  <si>
    <t xml:space="preserve">Seattle Room+12% tax</t>
  </si>
  <si>
    <t xml:space="preserve">Seattle Room cap</t>
  </si>
  <si>
    <t xml:space="preserve">Seattle Night compliant</t>
  </si>
  <si>
    <t xml:space="preserve">Decision field</t>
  </si>
  <si>
    <t xml:space="preserve">Calculated value</t>
  </si>
  <si>
    <t xml:space="preserve">Meaning</t>
  </si>
  <si>
    <t xml:space="preserve">Admission requires verified quality AND complete quote conditions, dated applicability, lodging compliance and budget. All actual flags currently 0.</t>
  </si>
  <si>
    <t xml:space="preserve">Priority city for evidence completion</t>
  </si>
  <si>
    <t xml:space="preserve">Conditional partial-estimate ordering, not a claim of qualification, funding or optimality under arbitrary U.</t>
  </si>
  <si>
    <t xml:space="preserve">Priority headcount</t>
  </si>
  <si>
    <t xml:space="preserve">24 first among feasible entered-U scenarios; otherwise18; city alphabet breaks exact ties.</t>
  </si>
  <si>
    <t xml:space="preserve">Priority scenario base</t>
  </si>
  <si>
    <t xml:space="preserve">Known/estimated K + entered U only. Blank U not a supplier zero.</t>
  </si>
  <si>
    <t xml:space="preserve">Priority scenario total</t>
  </si>
  <si>
    <t xml:space="preserve">Static files must be re-exported after parameters change.</t>
  </si>
  <si>
    <t xml:space="preserve">Next conditional city</t>
  </si>
  <si>
    <t xml:space="preserve">Budget and evidence status can change backup.</t>
  </si>
  <si>
    <t xml:space="preserve">Next conditional headcount</t>
  </si>
  <si>
    <t xml:space="preserve">Not an admitted executable backup while quality pending.</t>
  </si>
  <si>
    <t xml:space="preserve">Next partial total</t>
  </si>
  <si>
    <t xml:space="preserve">All cities retained as unresolved competitors with independent U.</t>
  </si>
  <si>
    <t xml:space="preserve">Quote status</t>
  </si>
  <si>
    <t xml:space="preserve">Changed dates trigger re-quote. Old prices still drive clearly labelled estimates.</t>
  </si>
  <si>
    <t xml:space="preserve">Priority candidate ID</t>
  </si>
  <si>
    <t xml:space="preserve">Daily selected candidate row (qualified first, else priority)</t>
  </si>
  <si>
    <t xml:space="preserve">Qualified candidate ID</t>
  </si>
  <si>
    <t xml:space="preserve">Full selector coverage</t>
  </si>
  <si>
    <t xml:space="preserve">44 combinations: includes Agoda158 and Booking159; archived unbound101 excluded from every selection</t>
  </si>
  <si>
    <t xml:space="preserve">Historical FY</t>
  </si>
  <si>
    <t xml:space="preserve">Market lodging unchanged</t>
  </si>
  <si>
    <t xml:space="preserve">FY27 net MIE/person</t>
  </si>
  <si>
    <t xml:space="preserve">Historical net MIE/person</t>
  </si>
  <si>
    <t xml:space="preserve">MIE group base difference</t>
  </si>
  <si>
    <t xml:space="preserve">Room cash delta</t>
  </si>
  <si>
    <t xml:space="preserve">Tax cash delta</t>
  </si>
  <si>
    <t xml:space="preserve">Total delta incl reserve</t>
  </si>
  <si>
    <t xml:space="preserve">Historical cap Nov</t>
  </si>
  <si>
    <t xml:space="preserve">Historical cap Dec</t>
  </si>
  <si>
    <t xml:space="preserve">Compliance</t>
  </si>
  <si>
    <t xml:space="preserve">Selection consequence</t>
  </si>
  <si>
    <t xml:space="preserve">Controlled default-trip comparison. Chicago158 breaches December cap in all3FYs; no authority. Other quotes retain their own unresolved breakfast/occupancy/quality conditions.</t>
  </si>
  <si>
    <t xml:space="preserve">Candidate city</t>
  </si>
  <si>
    <t xml:space="preserve">K partial base</t>
  </si>
  <si>
    <t xml:space="preserve">A airfare total</t>
  </si>
  <si>
    <t xml:space="preserve">Umax base</t>
  </si>
  <si>
    <t xml:space="preserve">Umax +20%</t>
  </si>
  <si>
    <t xml:space="preserve">Kj-Kchi same size</t>
  </si>
  <si>
    <t xml:space="preserve">Aj-Achi same size</t>
  </si>
  <si>
    <t xml:space="preserve">Uchi-Uj max @p0</t>
  </si>
  <si>
    <t xml:space="preserve">Uchi-Uj max @p.2</t>
  </si>
  <si>
    <t xml:space="preserve">Tie rule</t>
  </si>
  <si>
    <t xml:space="preserve">Conditional inequality</t>
  </si>
  <si>
    <t xml:space="preserve">Boston wins exact tie vs Chicago; Chicago wins ties vs Denver/Phoenix/Seattle</t>
  </si>
  <si>
    <t xml:space="preserve">For Chicago 24 to beat this candidate: U_Chicago,24-U_city,24 &lt;= G+p*H, with strict &lt; for Boston (alphabetical). Also all applicable budget/admission/date constraints must hold.</t>
  </si>
  <si>
    <t xml:space="preserve">For Chicago 18 to beat this candidate: U_Chicago,18-U_city,18 &lt;= G+p*H, with strict &lt; for Boston (alphabetical). Also all applicable budget/admission/date constraints must hold.</t>
  </si>
  <si>
    <t xml:space="preserve">Origin</t>
  </si>
  <si>
    <t xml:space="preserve">HQ RT allowance USD/person</t>
  </si>
  <si>
    <t xml:space="preserve">One-way planning time/min</t>
  </si>
  <si>
    <t xml:space="preserve">Mode and conditions</t>
  </si>
  <si>
    <t xml:space="preserve">Decision</t>
  </si>
  <si>
    <t xml:space="preserve">DCA</t>
  </si>
  <si>
    <t xml:space="preserve">25–40</t>
  </si>
  <si>
    <t xml:space="preserve">Road allowance, NOT taxi quote. HQ1400IndependenceSW; early departure check-in may require pre-Metro travel.</t>
  </si>
  <si>
    <t xml:space="preserve">Primary BOS/CHI; closer airport; exact home fares unknown.</t>
  </si>
  <si>
    <t xml:space="preserve">IAD</t>
  </si>
  <si>
    <t xml:space="preserve">75–100</t>
  </si>
  <si>
    <t xml:space="preserve">Road travel incl contingency allowance, not measured driving time. Metro alternative only if opening and security timing allow.</t>
  </si>
  <si>
    <t xml:space="preserve">Recorded DEN/PHX/SEA flights are cheaper; include extra ground cost rather than comparing airfare alone.</t>
  </si>
  <si>
    <t xml:space="preserve">BWI</t>
  </si>
  <si>
    <t xml:space="preserve">90–130</t>
  </si>
  <si>
    <t xml:space="preserve">Road allowance; MARC/Amtrak+shuttle alternative depends timetable, separately price before selecting.</t>
  </si>
  <si>
    <t xml:space="preserve">No matched airfare capture in retained evidence; unresolved alternative, not proved globally dominated.</t>
  </si>
  <si>
    <t xml:space="preserve">Scope</t>
  </si>
  <si>
    <t xml:space="preserve">Allowances are internally chosen comparison estimates, not personal reimbursement entitlements. Real addresses/commuting offsets/receipts and schedules remain R-ground.</t>
  </si>
  <si>
    <t xml:space="preserve">Flight+ground differences conditional; extra80 for IAD: Denver578+160 vs DCA741+80 saves83pp; Phoenix499+160 vs581+80 saves2pp (fragile); Seattle590+160 vs977+80 saves307pp.</t>
  </si>
  <si>
    <t xml:space="preserve">Published grounding</t>
  </si>
  <si>
    <t xml:space="preserve">DCA meters/rate estimates: https://www.flyreagan.com/parking-transportation/taxi-service ; IAD tariff: https://www.wmatc.gov/order/new/taxicabfares/WashingtonFlyerTaxi.pdf (5USD airport surcharge); BWI: https://bwiairport.com/to-from-bwi/transportation/taxis/</t>
  </si>
  <si>
    <t xml:space="preserve">Internal80/160/200RT allowances intentionally include contingency for road travel, are not a tariff quote to a known residence. Reprice exact routes/traffic and use actual authority before reimbursement.</t>
  </si>
  <si>
    <t xml:space="preserve">Evidence audit JSON</t>
  </si>
  <si>
    <t xml:space="preserve">Admission / limitations</t>
  </si>
  <si>
    <t xml:space="preserve">All current properties</t>
  </si>
  <si>
    <t xml:space="preserve">PENDING: score/review count alone insufficient; exact occupancy/breakfast conditions and recent maintenance/cleanliness/noise must be checked.</t>
  </si>
  <si>
    <t xml:space="preserve">reviewed_by</t>
  </si>
  <si>
    <t xml:space="preserve">direct visual inspection of unchanged embedded screenshots</t>
  </si>
  <si>
    <t xml:space="preserve">query_date</t>
  </si>
  <si>
    <t xml:space="preserve">unified_quality_rule</t>
  </si>
  <si>
    <t xml:space="preserve">Require platform-specific satisfactory score (Trip.com &gt;=8/10 or Google &gt;=4/5), &gt;=50 reviews, and evidenced recent cleanliness/noise/maintenance review; do not compare raw scores across platforms. Absence of evidence is PENDING, not proof of good quality. A single adverse review triggers follow-up, not unsupported proof of a persistent pattern.</t>
  </si>
  <si>
    <t xml:space="preserve">current_qualified_recommendation</t>
  </si>
  <si>
    <t xml:space="preserve">None</t>
  </si>
  <si>
    <t xml:space="preserve">hotel_records.1.city</t>
  </si>
  <si>
    <t xml:space="preserve">hotel_records.1.hotel</t>
  </si>
  <si>
    <t xml:space="preserve">DoubleTree by Hilton Hotel Boston Bayside</t>
  </si>
  <si>
    <t xml:space="preserve">hotel_records.1.nightly_price_usd</t>
  </si>
  <si>
    <t xml:space="preserve">108</t>
  </si>
  <si>
    <t xml:space="preserve">hotel_records.1.platform</t>
  </si>
  <si>
    <t xml:space="preserve">Trip.com</t>
  </si>
  <si>
    <t xml:space="preserve">hotel_records.1.rating</t>
  </si>
  <si>
    <t xml:space="preserve">8.6</t>
  </si>
  <si>
    <t xml:space="preserve">hotel_records.1.rating_max</t>
  </si>
  <si>
    <t xml:space="preserve">10</t>
  </si>
  <si>
    <t xml:space="preserve">hotel_records.1.reviews</t>
  </si>
  <si>
    <t xml:space="preserve">449</t>
  </si>
  <si>
    <t xml:space="preserve">hotel_records.1.image</t>
  </si>
  <si>
    <t xml:space="preserve">claude/image2.png</t>
  </si>
  <si>
    <t xml:space="preserve">hotel_records.1.breakfast_evidence</t>
  </si>
  <si>
    <t xml:space="preserve">Not displayed in adopted card; do not claim included. Free airport shuttle is displayed.</t>
  </si>
  <si>
    <t xml:space="preserve">hotel_records.1.room_evidence</t>
  </si>
  <si>
    <t xml:space="preserve">King Room; search 1 room/1 adult; displayed room capacity 2.</t>
  </si>
  <si>
    <t xml:space="preserve">hotel_records.1.recent_feedback</t>
  </si>
  <si>
    <t xml:space="preserve">No dated guest narratives visible. Recent cleanliness, noise, maintenance review remains open.</t>
  </si>
  <si>
    <t xml:space="preserve">hotel_records.1.quality_admission</t>
  </si>
  <si>
    <t xml:space="preserve">PENDING</t>
  </si>
  <si>
    <t xml:space="preserve">hotel_records.1.travel_dates</t>
  </si>
  <si>
    <t xml:space="preserve">2026-11-28 / 2026-12-02</t>
  </si>
  <si>
    <t xml:space="preserve">hotel_records.1.query_date</t>
  </si>
  <si>
    <t xml:space="preserve">hotel_records.1.group_inventory_confirmed</t>
  </si>
  <si>
    <t xml:space="preserve">False</t>
  </si>
  <si>
    <t xml:space="preserve">hotel_records.2.city</t>
  </si>
  <si>
    <t xml:space="preserve">hotel_records.2.hotel</t>
  </si>
  <si>
    <t xml:space="preserve">Cambria Hotels Boston Downtown - Seaport</t>
  </si>
  <si>
    <t xml:space="preserve">hotel_records.2.nightly_price_usd</t>
  </si>
  <si>
    <t xml:space="preserve">120</t>
  </si>
  <si>
    <t xml:space="preserve">hotel_records.2.platform</t>
  </si>
  <si>
    <t xml:space="preserve">hotel_records.2.rating</t>
  </si>
  <si>
    <t xml:space="preserve">hotel_records.2.rating_max</t>
  </si>
  <si>
    <t xml:space="preserve">hotel_records.2.reviews</t>
  </si>
  <si>
    <t xml:space="preserve">105</t>
  </si>
  <si>
    <t xml:space="preserve">hotel_records.2.image</t>
  </si>
  <si>
    <t xml:space="preserve">hotel_records.2.breakfast_evidence</t>
  </si>
  <si>
    <t xml:space="preserve">Not displayed.</t>
  </si>
  <si>
    <t xml:space="preserve">hotel_records.2.room_evidence</t>
  </si>
  <si>
    <t xml:space="preserve">1 King Bed; search 1 room/1 adult; free cancellation shown without deadline.</t>
  </si>
  <si>
    <t xml:space="preserve">hotel_records.2.recent_feedback</t>
  </si>
  <si>
    <t xml:space="preserve">No dated guest narratives visible. Competing $120 card can be compared but not quality-admitted.</t>
  </si>
  <si>
    <t xml:space="preserve">hotel_records.2.quality_admission</t>
  </si>
  <si>
    <t xml:space="preserve">hotel_records.2.travel_dates</t>
  </si>
  <si>
    <t xml:space="preserve">hotel_records.2.query_date</t>
  </si>
  <si>
    <t xml:space="preserve">hotel_records.2.group_inventory_confirmed</t>
  </si>
  <si>
    <t xml:space="preserve">hotel_records.3.city</t>
  </si>
  <si>
    <t xml:space="preserve">hotel_records.3.hotel</t>
  </si>
  <si>
    <t xml:space="preserve">hotel_records.3.nightly_price_usd</t>
  </si>
  <si>
    <t xml:space="preserve">101</t>
  </si>
  <si>
    <t xml:space="preserve">hotel_records.3.platform</t>
  </si>
  <si>
    <t xml:space="preserve">Google Hotels</t>
  </si>
  <si>
    <t xml:space="preserve">hotel_records.3.rating</t>
  </si>
  <si>
    <t xml:space="preserve">4.1</t>
  </si>
  <si>
    <t xml:space="preserve">hotel_records.3.rating_max</t>
  </si>
  <si>
    <t xml:space="preserve">5</t>
  </si>
  <si>
    <t xml:space="preserve">hotel_records.3.reviews</t>
  </si>
  <si>
    <t xml:space="preserve">3418</t>
  </si>
  <si>
    <t xml:space="preserve">hotel_records.3.image</t>
  </si>
  <si>
    <t xml:space="preserve">qwen/image11.png + qwen/image12.png</t>
  </si>
  <si>
    <t xml:space="preserve">hotel_records.3.breakfast_evidence</t>
  </si>
  <si>
    <t xml:space="preserve">Sidebar says free breakfast, but adopted Billabook $101 row does not tie breakfast to the room-specific offer.</t>
  </si>
  <si>
    <t xml:space="preserve">hotel_records.3.room_evidence</t>
  </si>
  <si>
    <t xml:space="preserve">Billabook $101 row says 2 guests, free cancellation until Nov22; single occupancy and exact room type unverified. Booking suite rows $159–179 differ.</t>
  </si>
  <si>
    <t xml:space="preserve">hotel_records.3.recent_feedback</t>
  </si>
  <si>
    <t xml:space="preserve">One month-old 3/5 report: hot water disruption and sunken couch/sofa. Owner acknowledges problems and says maintenance notified; repair completion not evidenced. Do not claim no maintenance issue.</t>
  </si>
  <si>
    <t xml:space="preserve">hotel_records.3.quality_admission</t>
  </si>
  <si>
    <t xml:space="preserve">hotel_records.3.travel_dates</t>
  </si>
  <si>
    <t xml:space="preserve">hotel_records.3.query_date</t>
  </si>
  <si>
    <t xml:space="preserve">hotel_records.3.group_inventory_confirmed</t>
  </si>
  <si>
    <t xml:space="preserve">hotel_records.4.city</t>
  </si>
  <si>
    <t xml:space="preserve">hotel_records.4.hotel</t>
  </si>
  <si>
    <t xml:space="preserve">Warwick Allerton Chicago</t>
  </si>
  <si>
    <t xml:space="preserve">hotel_records.4.nightly_price_usd</t>
  </si>
  <si>
    <t xml:space="preserve">145</t>
  </si>
  <si>
    <t xml:space="preserve">hotel_records.4.platform</t>
  </si>
  <si>
    <t xml:space="preserve">hotel_records.4.rating</t>
  </si>
  <si>
    <t xml:space="preserve">hotel_records.4.rating_max</t>
  </si>
  <si>
    <t xml:space="preserve">hotel_records.4.reviews</t>
  </si>
  <si>
    <t xml:space="preserve">399</t>
  </si>
  <si>
    <t xml:space="preserve">hotel_records.4.image</t>
  </si>
  <si>
    <t xml:space="preserve">claude/image4.png</t>
  </si>
  <si>
    <t xml:space="preserve">hotel_records.4.breakfast_evidence</t>
  </si>
  <si>
    <t xml:space="preserve">Not displayed in adopted card.</t>
  </si>
  <si>
    <t xml:space="preserve">hotel_records.4.room_evidence</t>
  </si>
  <si>
    <t xml:space="preserve">Standard Room / 1 queen bed; 1 room/1 adult search; only 1 left at this price.</t>
  </si>
  <si>
    <t xml:space="preserve">hotel_records.4.recent_feedback</t>
  </si>
  <si>
    <t xml:space="preserve">No recent narratives visible; group stock and breakfast unresolved.</t>
  </si>
  <si>
    <t xml:space="preserve">hotel_records.4.quality_admission</t>
  </si>
  <si>
    <t xml:space="preserve">hotel_records.4.travel_dates</t>
  </si>
  <si>
    <t xml:space="preserve">hotel_records.4.query_date</t>
  </si>
  <si>
    <t xml:space="preserve">hotel_records.4.group_inventory_confirmed</t>
  </si>
  <si>
    <t xml:space="preserve">hotel_records.5.city</t>
  </si>
  <si>
    <t xml:space="preserve">hotel_records.5.hotel</t>
  </si>
  <si>
    <t xml:space="preserve">hotel_records.5.nightly_price_usd</t>
  </si>
  <si>
    <t xml:space="preserve">109</t>
  </si>
  <si>
    <t xml:space="preserve">hotel_records.5.platform</t>
  </si>
  <si>
    <t xml:space="preserve">hotel_records.5.rating</t>
  </si>
  <si>
    <t xml:space="preserve">9.0</t>
  </si>
  <si>
    <t xml:space="preserve">hotel_records.5.rating_max</t>
  </si>
  <si>
    <t xml:space="preserve">hotel_records.5.reviews</t>
  </si>
  <si>
    <t xml:space="preserve">94</t>
  </si>
  <si>
    <t xml:space="preserve">hotel_records.5.image</t>
  </si>
  <si>
    <t xml:space="preserve">claude/image6.png</t>
  </si>
  <si>
    <t xml:space="preserve">hotel_records.5.breakfast_evidence</t>
  </si>
  <si>
    <t xml:space="preserve">Breakfast included displayed.</t>
  </si>
  <si>
    <t xml:space="preserve">hotel_records.5.room_evidence</t>
  </si>
  <si>
    <t xml:space="preserve">King Studio Suite / king bed + sofa bed; 1 room/1 adult search.</t>
  </si>
  <si>
    <t xml:space="preserve">hotel_records.5.recent_feedback</t>
  </si>
  <si>
    <t xml:space="preserve">No recent dated narratives; Quiet room tag is not a recent review audit.</t>
  </si>
  <si>
    <t xml:space="preserve">hotel_records.5.quality_admission</t>
  </si>
  <si>
    <t xml:space="preserve">hotel_records.5.travel_dates</t>
  </si>
  <si>
    <t xml:space="preserve">hotel_records.5.query_date</t>
  </si>
  <si>
    <t xml:space="preserve">hotel_records.5.group_inventory_confirmed</t>
  </si>
  <si>
    <t xml:space="preserve">hotel_records.6.city</t>
  </si>
  <si>
    <t xml:space="preserve">hotel_records.6.hotel</t>
  </si>
  <si>
    <t xml:space="preserve">Holiday Inn Express Denver Downtown by IHG</t>
  </si>
  <si>
    <t xml:space="preserve">hotel_records.6.nightly_price_usd</t>
  </si>
  <si>
    <t xml:space="preserve">79</t>
  </si>
  <si>
    <t xml:space="preserve">hotel_records.6.platform</t>
  </si>
  <si>
    <t xml:space="preserve">hotel_records.6.rating</t>
  </si>
  <si>
    <t xml:space="preserve">8.5</t>
  </si>
  <si>
    <t xml:space="preserve">hotel_records.6.rating_max</t>
  </si>
  <si>
    <t xml:space="preserve">hotel_records.6.reviews</t>
  </si>
  <si>
    <t xml:space="preserve">89</t>
  </si>
  <si>
    <t xml:space="preserve">hotel_records.6.image</t>
  </si>
  <si>
    <t xml:space="preserve">hotel_records.6.breakfast_evidence</t>
  </si>
  <si>
    <t xml:space="preserve">hotel_records.6.room_evidence</t>
  </si>
  <si>
    <t xml:space="preserve">Standard King Room with Sofa Bed; 1 room/1 adult search.</t>
  </si>
  <si>
    <t xml:space="preserve">hotel_records.6.recent_feedback</t>
  </si>
  <si>
    <t xml:space="preserve">No recent narratives; lower-cost alternative must remain in comparisons until screening is completed.</t>
  </si>
  <si>
    <t xml:space="preserve">hotel_records.6.quality_admission</t>
  </si>
  <si>
    <t xml:space="preserve">hotel_records.6.travel_dates</t>
  </si>
  <si>
    <t xml:space="preserve">hotel_records.6.query_date</t>
  </si>
  <si>
    <t xml:space="preserve">hotel_records.6.group_inventory_confirmed</t>
  </si>
  <si>
    <t xml:space="preserve">hotel_records.7.city</t>
  </si>
  <si>
    <t xml:space="preserve">hotel_records.7.hotel</t>
  </si>
  <si>
    <t xml:space="preserve">Holiday Inn Express &amp; Suites Denver Airport by IHG</t>
  </si>
  <si>
    <t xml:space="preserve">hotel_records.7.nightly_price_usd</t>
  </si>
  <si>
    <t xml:space="preserve">113</t>
  </si>
  <si>
    <t xml:space="preserve">hotel_records.7.platform</t>
  </si>
  <si>
    <t xml:space="preserve">hotel_records.7.rating</t>
  </si>
  <si>
    <t xml:space="preserve">4.0</t>
  </si>
  <si>
    <t xml:space="preserve">hotel_records.7.rating_max</t>
  </si>
  <si>
    <t xml:space="preserve">hotel_records.7.reviews</t>
  </si>
  <si>
    <t xml:space="preserve">1394</t>
  </si>
  <si>
    <t xml:space="preserve">hotel_records.7.image</t>
  </si>
  <si>
    <t xml:space="preserve">qwen/image14.png + qwen/image15.png</t>
  </si>
  <si>
    <t xml:space="preserve">hotel_records.7.breakfast_evidence</t>
  </si>
  <si>
    <t xml:space="preserve">Breakfast included shown on offer; single occupancy still unverified.</t>
  </si>
  <si>
    <t xml:space="preserve">hotel_records.7.room_evidence</t>
  </si>
  <si>
    <t xml:space="preserve">Price panel shows 2 guests; exact 1-adult terms not established.</t>
  </si>
  <si>
    <t xml:space="preserve">hotel_records.7.recent_feedback</t>
  </si>
  <si>
    <t xml:space="preserve">Visible month-old 5/5 guest report praises compassionate service during bereavement; it does not establish recent cleanliness/noise/maintenance coverage.</t>
  </si>
  <si>
    <t xml:space="preserve">hotel_records.7.quality_admission</t>
  </si>
  <si>
    <t xml:space="preserve">hotel_records.7.travel_dates</t>
  </si>
  <si>
    <t xml:space="preserve">hotel_records.7.query_date</t>
  </si>
  <si>
    <t xml:space="preserve">hotel_records.7.group_inventory_confirmed</t>
  </si>
  <si>
    <t xml:space="preserve">hotel_records.8.city</t>
  </si>
  <si>
    <t xml:space="preserve">hotel_records.8.hotel</t>
  </si>
  <si>
    <t xml:space="preserve">hotel_records.8.nightly_price_usd</t>
  </si>
  <si>
    <t xml:space="preserve">150</t>
  </si>
  <si>
    <t xml:space="preserve">hotel_records.8.platform</t>
  </si>
  <si>
    <t xml:space="preserve">hotel_records.8.rating</t>
  </si>
  <si>
    <t xml:space="preserve">9.4</t>
  </si>
  <si>
    <t xml:space="preserve">hotel_records.8.rating_max</t>
  </si>
  <si>
    <t xml:space="preserve">hotel_records.8.reviews</t>
  </si>
  <si>
    <t xml:space="preserve">116</t>
  </si>
  <si>
    <t xml:space="preserve">hotel_records.8.image</t>
  </si>
  <si>
    <t xml:space="preserve">claude/image8.png</t>
  </si>
  <si>
    <t xml:space="preserve">hotel_records.8.breakfast_evidence</t>
  </si>
  <si>
    <t xml:space="preserve">hotel_records.8.room_evidence</t>
  </si>
  <si>
    <t xml:space="preserve">Room with 1 King Bed and Tub - Mobility Access...; 1 room/1 adult search. Located Deer Valley, not downtown/airport.</t>
  </si>
  <si>
    <t xml:space="preserve">hotel_records.8.recent_feedback</t>
  </si>
  <si>
    <t xml:space="preserve">No recent guest narratives visible; airport-to-Deer-Valley and unknown venue travel require separate allowance.</t>
  </si>
  <si>
    <t xml:space="preserve">hotel_records.8.quality_admission</t>
  </si>
  <si>
    <t xml:space="preserve">hotel_records.8.travel_dates</t>
  </si>
  <si>
    <t xml:space="preserve">hotel_records.8.query_date</t>
  </si>
  <si>
    <t xml:space="preserve">hotel_records.8.group_inventory_confirmed</t>
  </si>
  <si>
    <t xml:space="preserve">hotel_records.9.city</t>
  </si>
  <si>
    <t xml:space="preserve">hotel_records.9.hotel</t>
  </si>
  <si>
    <t xml:space="preserve">Hyatt Place Phoenix/Downtown</t>
  </si>
  <si>
    <t xml:space="preserve">hotel_records.9.nightly_price_usd</t>
  </si>
  <si>
    <t xml:space="preserve">164</t>
  </si>
  <si>
    <t xml:space="preserve">hotel_records.9.platform</t>
  </si>
  <si>
    <t xml:space="preserve">hotel_records.9.rating</t>
  </si>
  <si>
    <t xml:space="preserve">8.7</t>
  </si>
  <si>
    <t xml:space="preserve">hotel_records.9.rating_max</t>
  </si>
  <si>
    <t xml:space="preserve">hotel_records.9.reviews</t>
  </si>
  <si>
    <t xml:space="preserve">119</t>
  </si>
  <si>
    <t xml:space="preserve">hotel_records.9.image</t>
  </si>
  <si>
    <t xml:space="preserve">hotel_records.9.breakfast_evidence</t>
  </si>
  <si>
    <t xml:space="preserve">hotel_records.9.room_evidence</t>
  </si>
  <si>
    <t xml:space="preserve">King Bed (Plus Sofa Bed); 1 room/1 adult search; free cancellation no deadline.</t>
  </si>
  <si>
    <t xml:space="preserve">hotel_records.9.recent_feedback</t>
  </si>
  <si>
    <t xml:space="preserve">No recent narratives; location differs from Hampton, so venue travel cost may reverse ordering.</t>
  </si>
  <si>
    <t xml:space="preserve">hotel_records.9.quality_admission</t>
  </si>
  <si>
    <t xml:space="preserve">hotel_records.9.travel_dates</t>
  </si>
  <si>
    <t xml:space="preserve">hotel_records.9.query_date</t>
  </si>
  <si>
    <t xml:space="preserve">hotel_records.9.group_inventory_confirmed</t>
  </si>
  <si>
    <t xml:space="preserve">hotel_records.10.city</t>
  </si>
  <si>
    <t xml:space="preserve">hotel_records.10.hotel</t>
  </si>
  <si>
    <t xml:space="preserve">Holiday Inn &amp; Suites Phoenix Airport North by IHG</t>
  </si>
  <si>
    <t xml:space="preserve">hotel_records.10.nightly_price_usd</t>
  </si>
  <si>
    <t xml:space="preserve">126</t>
  </si>
  <si>
    <t xml:space="preserve">hotel_records.10.platform</t>
  </si>
  <si>
    <t xml:space="preserve">hotel_records.10.rating</t>
  </si>
  <si>
    <t xml:space="preserve">hotel_records.10.rating_max</t>
  </si>
  <si>
    <t xml:space="preserve">hotel_records.10.reviews</t>
  </si>
  <si>
    <t xml:space="preserve">1783</t>
  </si>
  <si>
    <t xml:space="preserve">hotel_records.10.image</t>
  </si>
  <si>
    <t xml:space="preserve">qwen/image17.png + qwen/image18.png</t>
  </si>
  <si>
    <t xml:space="preserve">hotel_records.10.breakfast_evidence</t>
  </si>
  <si>
    <t xml:space="preserve">Breakfast is a paid amenity; $15 allowance was a prior model assumption, not verified offer.</t>
  </si>
  <si>
    <t xml:space="preserve">hotel_records.10.room_evidence</t>
  </si>
  <si>
    <t xml:space="preserve">Price providers differ; adopted $126 not proven single occupant.</t>
  </si>
  <si>
    <t xml:space="preserve">hotel_records.10.recent_feedback</t>
  </si>
  <si>
    <t xml:space="preserve">Visible 7-month-old 1/5 report alleges drain flies and cramped bathroom; another 3-month-old 2/5 visible but text incomplete. Isolated reports do not establish a repeated pattern, but certainly do not justify claim no defects.</t>
  </si>
  <si>
    <t xml:space="preserve">hotel_records.10.quality_admission</t>
  </si>
  <si>
    <t xml:space="preserve">hotel_records.10.travel_dates</t>
  </si>
  <si>
    <t xml:space="preserve">hotel_records.10.query_date</t>
  </si>
  <si>
    <t xml:space="preserve">hotel_records.10.group_inventory_confirmed</t>
  </si>
  <si>
    <t xml:space="preserve">hotel_records.11.city</t>
  </si>
  <si>
    <t xml:space="preserve">hotel_records.11.hotel</t>
  </si>
  <si>
    <t xml:space="preserve">Country Inn &amp; Suites by Radisson, Seattle-Tacoma International Airport, WA</t>
  </si>
  <si>
    <t xml:space="preserve">hotel_records.11.nightly_price_usd</t>
  </si>
  <si>
    <t xml:space="preserve">hotel_records.11.platform</t>
  </si>
  <si>
    <t xml:space="preserve">hotel_records.11.rating</t>
  </si>
  <si>
    <t xml:space="preserve">4.3</t>
  </si>
  <si>
    <t xml:space="preserve">hotel_records.11.rating_max</t>
  </si>
  <si>
    <t xml:space="preserve">hotel_records.11.reviews</t>
  </si>
  <si>
    <t xml:space="preserve">2018</t>
  </si>
  <si>
    <t xml:space="preserve">hotel_records.11.image</t>
  </si>
  <si>
    <t xml:space="preserve">qwen/image21.png + qwen/image22.png</t>
  </si>
  <si>
    <t xml:space="preserve">hotel_records.11.breakfast_evidence</t>
  </si>
  <si>
    <t xml:space="preserve">Booking.com $101 row shows free breakfast; do not automatically transfer its terms to another provider.</t>
  </si>
  <si>
    <t xml:space="preserve">hotel_records.11.room_evidence</t>
  </si>
  <si>
    <t xml:space="preserve">Official site $101 King Bed/non-smoking/free cancellation Nov28; all-options Booking row says 2 guests, single occupancy unverified.</t>
  </si>
  <si>
    <t xml:space="preserve">hotel_records.11.recent_feedback</t>
  </si>
  <si>
    <t xml:space="preserve">Visible week-old 5/5 report praises renovated clean rooms but notes dark lighting and missing hair dryer; another 3-month-old positive cleanliness fragment. No visible noise audit; no blanket assurance.</t>
  </si>
  <si>
    <t xml:space="preserve">hotel_records.11.quality_admission</t>
  </si>
  <si>
    <t xml:space="preserve">hotel_records.11.travel_dates</t>
  </si>
  <si>
    <t xml:space="preserve">hotel_records.11.query_date</t>
  </si>
  <si>
    <t xml:space="preserve">hotel_records.11.group_inventory_confirmed</t>
  </si>
  <si>
    <t xml:space="preserve">hotel_records.12.city</t>
  </si>
  <si>
    <t xml:space="preserve">hotel_records.12.hotel</t>
  </si>
  <si>
    <t xml:space="preserve">Holiday Inn Express &amp; Suites Seattle-Sea-Tac Airport</t>
  </si>
  <si>
    <t xml:space="preserve">hotel_records.12.nightly_price_usd</t>
  </si>
  <si>
    <t xml:space="preserve">100</t>
  </si>
  <si>
    <t xml:space="preserve">hotel_records.12.platform</t>
  </si>
  <si>
    <t xml:space="preserve">hotel_records.12.rating</t>
  </si>
  <si>
    <t xml:space="preserve">hotel_records.12.rating_max</t>
  </si>
  <si>
    <t xml:space="preserve">hotel_records.12.reviews</t>
  </si>
  <si>
    <t xml:space="preserve">1525</t>
  </si>
  <si>
    <t xml:space="preserve">hotel_records.12.image</t>
  </si>
  <si>
    <t xml:space="preserve">qwen/image23.png</t>
  </si>
  <si>
    <t xml:space="preserve">hotel_records.12.breakfast_evidence</t>
  </si>
  <si>
    <t xml:space="preserve">Sidebar free breakfast; exact adopted provider row needs condition check.</t>
  </si>
  <si>
    <t xml:space="preserve">hotel_records.12.room_evidence</t>
  </si>
  <si>
    <t xml:space="preserve">Dealbase $100 row for 2 guests; official $105 visible.</t>
  </si>
  <si>
    <t xml:space="preserve">hotel_records.12.recent_feedback</t>
  </si>
  <si>
    <t xml:space="preserve">No recent narratives in supplied price-panel screenshot.</t>
  </si>
  <si>
    <t xml:space="preserve">hotel_records.12.quality_admission</t>
  </si>
  <si>
    <t xml:space="preserve">hotel_records.12.travel_dates</t>
  </si>
  <si>
    <t xml:space="preserve">hotel_records.12.query_date</t>
  </si>
  <si>
    <t xml:space="preserve">hotel_records.12.group_inventory_confirmed</t>
  </si>
  <si>
    <t xml:space="preserve">hotel_records.13.city</t>
  </si>
  <si>
    <t xml:space="preserve">hotel_records.13.hotel</t>
  </si>
  <si>
    <t xml:space="preserve">Aloft by Marriott Seattle Sea-Tac Airport</t>
  </si>
  <si>
    <t xml:space="preserve">hotel_records.13.nightly_price_usd</t>
  </si>
  <si>
    <t xml:space="preserve">122</t>
  </si>
  <si>
    <t xml:space="preserve">hotel_records.13.platform</t>
  </si>
  <si>
    <t xml:space="preserve">hotel_records.13.rating</t>
  </si>
  <si>
    <t xml:space="preserve">hotel_records.13.rating_max</t>
  </si>
  <si>
    <t xml:space="preserve">hotel_records.13.reviews</t>
  </si>
  <si>
    <t xml:space="preserve">1037</t>
  </si>
  <si>
    <t xml:space="preserve">hotel_records.13.image</t>
  </si>
  <si>
    <t xml:space="preserve">qwen/image24.png</t>
  </si>
  <si>
    <t xml:space="preserve">hotel_records.13.breakfast_evidence</t>
  </si>
  <si>
    <t xml:space="preserve">Not established.</t>
  </si>
  <si>
    <t xml:space="preserve">hotel_records.13.room_evidence</t>
  </si>
  <si>
    <t xml:space="preserve">Not used for budget.</t>
  </si>
  <si>
    <t xml:space="preserve">hotel_records.13.recent_feedback</t>
  </si>
  <si>
    <t xml:space="preserve">Two visible two-month-old 5/5 reviews are positive (convenience/shuttle, clean room); one mentions slow elevator. Screenshot does not support earlier claim of persistent aircraft/monorail-noise complaints. That exclusion basis is withdrawn.</t>
  </si>
  <si>
    <t xml:space="preserve">hotel_records.13.quality_admission</t>
  </si>
  <si>
    <t xml:space="preserve">hotel_records.13.travel_dates</t>
  </si>
  <si>
    <t xml:space="preserve">hotel_records.13.query_date</t>
  </si>
  <si>
    <t xml:space="preserve">hotel_records.13.group_inventory_confirmed</t>
  </si>
  <si>
    <t xml:space="preserve">critical_corrections.1</t>
  </si>
  <si>
    <t xml:space="preserve">Claude Seattle $103 hotel cannot be identified in screenshot and is not adopted.</t>
  </si>
  <si>
    <t xml:space="preserve">critical_corrections.2</t>
  </si>
  <si>
    <t xml:space="preserve">Boston DoubleTree $108 screenshot does not show breakfast inclusion.</t>
  </si>
  <si>
    <t xml:space="preserve">critical_corrections.3</t>
  </si>
  <si>
    <t xml:space="preserve">Qwen 2-guest panel price is not proof of one-adult equivalence.</t>
  </si>
  <si>
    <t xml:space="preserve">critical_corrections.4</t>
  </si>
  <si>
    <t xml:space="preserve">Qwen Embassy no-maintenance-issues claim contradicted by the actual visible review.</t>
  </si>
  <si>
    <t xml:space="preserve">critical_corrections.5</t>
  </si>
  <si>
    <t xml:space="preserve">Qwen Aloft noise exclusion is unsupported by supplied screenshot.</t>
  </si>
  <si>
    <t xml:space="preserve">critical_corrections.6</t>
  </si>
  <si>
    <t xml:space="preserve">Denver $79 Holiday Inn Express Downtown is a real competing offer and must not be omitted.</t>
  </si>
  <si>
    <t xml:space="preserve">QUOTE CORRECTION: Chicago</t>
  </si>
  <si>
    <t xml:space="preserve">Agoda158 free breakfast and Booking159 Suite breakfast visible in original image11.101Billabook line does not show breakfast.158/159 over Dec148 cap, single occupancy unverified.</t>
  </si>
  <si>
    <t xml:space="preserve">QUOTE CORRECTION: Seattle</t>
  </si>
  <si>
    <t xml:space="preserve">Booking101 featured row explicitly shows free breakfast. Its 2guest single-occupancy applicability remains unverified; do not borrow official-siteKingRoom conditions.</t>
  </si>
  <si>
    <t xml:space="preserve">Check</t>
  </si>
  <si>
    <t xml:space="preserve">Expected / result</t>
  </si>
  <si>
    <t xml:space="preserve">Evidence</t>
  </si>
  <si>
    <t xml:space="preserve">No bookings, approvals, quotes or quality admission invented.</t>
  </si>
  <si>
    <t xml:space="preserve">All actual admission flags0; Decision returns NO QUALIFIED RECOMMENDATION.</t>
  </si>
  <si>
    <t xml:space="preserve">First/last MIE</t>
  </si>
  <si>
    <t xml:space="preserve">92-tier31/66/66/28/43 =234;86-tier28.5/63/63/27/41.5=223</t>
  </si>
  <si>
    <t xml:space="preserve">Gov meals deducted in full after75%; floor5.</t>
  </si>
  <si>
    <t xml:space="preserve">Breakfast change</t>
  </si>
  <si>
    <t xml:space="preserve">Nov29 yes reduces full-day MIE23/22 per person; no new catering cost</t>
  </si>
  <si>
    <t xml:space="preserve">ToggleParametersB8; restoreNo to recover baseline.</t>
  </si>
  <si>
    <t xml:space="preserve">Date change</t>
  </si>
  <si>
    <t xml:space="preserve">ArrivalNov27 adds1hotel night and one full MIE day; old quote invalid</t>
  </si>
  <si>
    <t xml:space="preserve">366-day daily grid uses dates, seasonal Rates and first/last treatment.</t>
  </si>
  <si>
    <t xml:space="preserve">Negative headroom @30000</t>
  </si>
  <si>
    <t xml:space="preserve">Negative preserved: exceeds available base budget; not purchase authority.</t>
  </si>
  <si>
    <t xml:space="preserve">Priority at zero additional U</t>
  </si>
  <si>
    <t xml:space="preserve">Chicago24 partial35367.696; Boston24 partial37191.168</t>
  </si>
  <si>
    <t xml:space="preserve">Conditional cost ordering only, no quality-admission claim.</t>
  </si>
  <si>
    <t xml:space="preserve">Headcount selection</t>
  </si>
  <si>
    <t xml:space="preserve">Budget30000 selects conditional18 if dated quotes valid; budget0 returnsNONE</t>
  </si>
  <si>
    <t xml:space="preserve">Actual qualified recommendation remainsNONE while quality/quote conditions pending.</t>
  </si>
  <si>
    <t xml:space="preserve">Same-size ties</t>
  </si>
  <si>
    <t xml:space="preserve">Rank formulas count any equal-cost alphabetically earlier city</t>
  </si>
  <si>
    <t xml:space="preserve">Boston precedes Chicago on exact same-size tie.</t>
  </si>
  <si>
    <t xml:space="preserve">Other combinations</t>
  </si>
  <si>
    <t xml:space="preserve">DenverHolidayInnExpress79/8.5(89)datedhotelcard; ChicagoWarwick145; BostonParkPlaza205; Qwenhotelalternatives</t>
  </si>
  <si>
    <t xml:space="preserve">These unresolved alternatives remain competitors; their K/U conditions must be checked before final selection. No market-wide optimality claim.</t>
  </si>
  <si>
    <t xml:space="preserve">Inputs</t>
  </si>
  <si>
    <t xml:space="preserve">Seven original files retained read-only; reference scripts only edit copied outputs</t>
  </si>
  <si>
    <t xml:space="preserve">Hashes independently checked before/after validation.</t>
  </si>
  <si>
    <t xml:space="preserve">Snapshot warning</t>
  </si>
  <si>
    <t xml:space="preserve">Re-export Word/CSV/PPT/PDF after parameter changes</t>
  </si>
  <si>
    <t xml:space="preserve">No claim static files auto-update.</t>
  </si>
  <si>
    <t xml:space="preserve">Alternative components (all dated snapshots)</t>
  </si>
  <si>
    <t xml:space="preserve">Alt air/person</t>
  </si>
  <si>
    <t xml:space="preserve">Alt room/night</t>
  </si>
  <si>
    <t xml:space="preserve">Ground/person allowance</t>
  </si>
  <si>
    <t xml:space="preserve">Known/estimated K_alt (excludes unresolved extras)</t>
  </si>
  <si>
    <t xml:space="preserve">Air slope A_alt</t>
  </si>
  <si>
    <t xml:space="preserve">Uchi-Ualt max p0</t>
  </si>
  <si>
    <t xml:space="preserve">Uchi-Ualt max p.2</t>
  </si>
  <si>
    <t xml:space="preserve">Cost/feasibility scope</t>
  </si>
  <si>
    <t xml:space="preserve">Trip.com Warwick Allerton145; same DCA270; breakfast unresolved</t>
  </si>
  <si>
    <t xml:space="preserve">Conditional comparison only: no quoted package, single occupancy, breakfast/fees, group inventory, quality and hotel-venue transport unresolved. If actual added cost U_alt satisfies budget and beats Chicago, it overturns its priority. Boston exact ties precede Chicago; other cities follow.</t>
  </si>
  <si>
    <t xml:space="preserve">Google DoubleTree O’Hare133; same DCA270; paid breakfast unresolved</t>
  </si>
  <si>
    <t xml:space="preserve">Trip.com HIE Denver Downtown79; IAD578; different property/location</t>
  </si>
  <si>
    <t xml:space="preserve">Google HIE Airport113; IAD578; 2guest quote/quality unresolved</t>
  </si>
  <si>
    <t xml:space="preserve">Google Tru Airport112; IAD578; room/quality unresolved</t>
  </si>
  <si>
    <t xml:space="preserve">Original ITA DCA741; Home2 109; DCA80 rather than IAD160 ground</t>
  </si>
  <si>
    <t xml:space="preserve">Google HI&amp;Suites AirportNorth126; IAD499; breakfast extra unknown (not assumed15)</t>
  </si>
  <si>
    <t xml:space="preserve">Google CrownePlaza127; IAD499; occupancy/breakfast unresolved</t>
  </si>
  <si>
    <t xml:space="preserve">Original ITA DCA581; Hampton150; DCA ground80 rather than160</t>
  </si>
  <si>
    <t xml:space="preserve">Original ITA DCA358; DoubleTree108, breakfast unresolved</t>
  </si>
  <si>
    <t xml:space="preserve">Trip.com Cambria Boston Downtown-Seaport120; DCA311, room-specific breakfast/quality unresolved</t>
  </si>
  <si>
    <t xml:space="preserve">Google ResidenceInn154; DCA311, panel evidence incomplete</t>
  </si>
  <si>
    <t xml:space="preserve">Google Courtyard165; DCA311, breakfast unresolved</t>
  </si>
  <si>
    <t xml:space="preserve">Google HIE SeaTac100; IAD590, occupancy/fees unresolved</t>
  </si>
  <si>
    <t xml:space="preserve">Original ITA DCA977; CountryInn101, DCAground80 vs160</t>
  </si>
  <si>
    <t xml:space="preserve">Candidate ID</t>
  </si>
  <si>
    <t xml:space="preserve">Captured RT airfare/person</t>
  </si>
  <si>
    <t xml:space="preserve">Captured room/night</t>
  </si>
  <si>
    <t xml:space="preserve">Ground allowance/person</t>
  </si>
  <si>
    <t xml:space="preserve">Dynamic known/estimated K</t>
  </si>
  <si>
    <t xml:space="preserve">Current whole-group airfare A</t>
  </si>
  <si>
    <t xml:space="preserve">Independent additional base U</t>
  </si>
  <si>
    <t xml:space="preserve">Scenario base K+entered U</t>
  </si>
  <si>
    <t xml:space="preserve">Total incl reserve</t>
  </si>
  <si>
    <t xml:space="preserve">Stress +20% total</t>
  </si>
  <si>
    <t xml:space="preserve">Nightly cap compliant</t>
  </si>
  <si>
    <t xml:space="preserve">Dated quotes applicable</t>
  </si>
  <si>
    <t xml:space="preserve">Quality admitted 0/1</t>
  </si>
  <si>
    <t xml:space="preserve">Exact quote conditions complete 0/1</t>
  </si>
  <si>
    <t xml:space="preserve">Umax baseline</t>
  </si>
  <si>
    <t xml:space="preserve">Component provenance / unresolved conditions</t>
  </si>
  <si>
    <t xml:space="preserve">P01</t>
  </si>
  <si>
    <t xml:space="preserve">Primary captured components; independent Unknowns scope. No quality/quote clearance claimed.</t>
  </si>
  <si>
    <t xml:space="preserve">P02</t>
  </si>
  <si>
    <t xml:space="preserve">P03</t>
  </si>
  <si>
    <t xml:space="preserve">Agoda158: breakfast explicit; single occupancy unverified. Exceeds Dec1 lodging cap148; no authority =&gt; not compliant.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</si>
  <si>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</si>
  <si>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</si>
  <si>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</si>
  <si>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</si>
  <si>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</si>
  <si>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</si>
  <si>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</si>
  <si>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A01</t>
  </si>
  <si>
    <t xml:space="preserve">Alternative components from Joint_Alternatives row2. Blank U remains unquoted, arithmetic at entered scenario only. Quality/conditions must be verified separately for this combination; no city-level clearance inherited.</t>
  </si>
  <si>
    <t xml:space="preserve">A02</t>
  </si>
  <si>
    <t xml:space="preserve">Alternative components from Joint_Alternatives row3. Blank U remains unquoted, arithmetic at entered scenario only. Quality/conditions must be verified separately for this combination; no city-level clearance inherited.</t>
  </si>
  <si>
    <t xml:space="preserve">A03</t>
  </si>
  <si>
    <t xml:space="preserve">Alternative components from Joint_Alternatives row4. Blank U remains unquoted, arithmetic at entered scenario only. Quality/conditions must be verified separately for this combination; no city-level clearance inherited.</t>
  </si>
  <si>
    <t xml:space="preserve">A04</t>
  </si>
  <si>
    <t xml:space="preserve">Alternative components from Joint_Alternatives row5. Blank U remains unquoted, arithmetic at entered scenario only. Quality/conditions must be verified separately for this combination; no city-level clearance inherited.</t>
  </si>
  <si>
    <t xml:space="preserve">A05</t>
  </si>
  <si>
    <t xml:space="preserve">Alternative components from Joint_Alternatives row6. Blank U remains unquoted, arithmetic at entered scenario only. Quality/conditions must be verified separately for this combination; no city-level clearance inherited.</t>
  </si>
  <si>
    <t xml:space="preserve">A06</t>
  </si>
  <si>
    <t xml:space="preserve">Alternative components from Joint_Alternatives row7. Blank U remains unquoted, arithmetic at entered scenario only. Quality/conditions must be verified separately for this combination; no city-level clearance inherited.</t>
  </si>
  <si>
    <t xml:space="preserve">A07</t>
  </si>
  <si>
    <t xml:space="preserve">Alternative components from Joint_Alternatives row8. Blank U remains unquoted, arithmetic at entered scenario only. Quality/conditions must be verified separately for this combination; no city-level clearance inherited.</t>
  </si>
  <si>
    <t xml:space="preserve">A08</t>
  </si>
  <si>
    <t xml:space="preserve">Alternative components from Joint_Alternatives row9. Blank U remains unquoted, arithmetic at entered scenario only. Quality/conditions must be verified separately for this combination; no city-level clearance inherited.</t>
  </si>
  <si>
    <t xml:space="preserve">A09</t>
  </si>
  <si>
    <t xml:space="preserve">Alternative components from Joint_Alternatives row10. Blank U remains unquoted, arithmetic at entered scenario only. Quality/conditions must be verified separately for this combination; no city-level clearance inherited.</t>
  </si>
  <si>
    <t xml:space="preserve">A10</t>
  </si>
  <si>
    <t xml:space="preserve">Alternative components from Joint_Alternatives row11. Blank U remains unquoted, arithmetic at entered scenario only. Quality/conditions must be verified separately for this combination; no city-level clearance inherited.</t>
  </si>
  <si>
    <t xml:space="preserve">A11</t>
  </si>
  <si>
    <t xml:space="preserve">Alternative components from Joint_Alternatives row12. Blank U remains unquoted, arithmetic at entered scenario only. Quality/conditions must be verified separately for this combination; no city-level clearance inherited.</t>
  </si>
  <si>
    <t xml:space="preserve">A12</t>
  </si>
  <si>
    <t xml:space="preserve">Alternative components from Joint_Alternatives row13. Blank U remains unquoted, arithmetic at entered scenario only. Quality/conditions must be verified separately for this combination; no city-level clearance inherited.</t>
  </si>
  <si>
    <t xml:space="preserve">A13</t>
  </si>
  <si>
    <t xml:space="preserve">Alternative components from Joint_Alternatives row14. Blank U remains unquoted, arithmetic at entered scenario only. Quality/conditions must be verified separately for this combination; no city-level clearance inherited.</t>
  </si>
  <si>
    <t xml:space="preserve">A14</t>
  </si>
  <si>
    <t xml:space="preserve">Alternative components from Joint_Alternatives row15. Blank U remains unquoted, arithmetic at entered scenario only. Quality/conditions must be verified separately for this combination; no city-level clearance inherited.</t>
  </si>
  <si>
    <t xml:space="preserve">A15</t>
  </si>
  <si>
    <t xml:space="preserve">Alternative components from Joint_Alternatives row16. Blank U remains unquoted, arithmetic at entered scenario only. Quality/conditions must be verified separately for this combination; no city-level clearance inherited.</t>
  </si>
  <si>
    <t xml:space="preserve">A16</t>
  </si>
  <si>
    <t xml:space="preserve">Alternative components from Joint_Alternatives row17. Blank U remains unquoted, arithmetic at entered scenario only. Quality/conditions must be verified separately for this combination; no city-level clearance inherited.</t>
  </si>
  <si>
    <t xml:space="preserve">A17</t>
  </si>
  <si>
    <t xml:space="preserve">Alternative components from Joint_Alternatives row18. Blank U remains unquoted, arithmetic at entered scenario only. Quality/conditions must be verified separately for this combination; no city-level clearance inherited.</t>
  </si>
  <si>
    <t xml:space="preserve">A18</t>
  </si>
  <si>
    <t xml:space="preserve">Alternative components from Joint_Alternatives row19. Blank U remains unquoted, arithmetic at entered scenario only. Quality/conditions must be verified separately for this combination; no city-level clearance inherited.</t>
  </si>
  <si>
    <t xml:space="preserve">A19</t>
  </si>
  <si>
    <t xml:space="preserve">Alternative components from Joint_Alternatives row20. Blank U remains unquoted, arithmetic at entered scenario only. Quality/conditions must be verified separately for this combination; no city-level clearance inherited.</t>
  </si>
  <si>
    <t xml:space="preserve">A20</t>
  </si>
  <si>
    <t xml:space="preserve">Alternative components from Joint_Alternatives row21. Blank U remains unquoted, arithmetic at entered scenario only. Quality/conditions must be verified separately for this combination; no city-level clearance inherited.</t>
  </si>
  <si>
    <t xml:space="preserve">A21</t>
  </si>
  <si>
    <t xml:space="preserve">Alternative components from Joint_Alternatives row22. Blank U remains unquoted, arithmetic at entered scenario only. Quality/conditions must be verified separately for this combination; no city-level clearance inherited.</t>
  </si>
  <si>
    <t xml:space="preserve">A22</t>
  </si>
  <si>
    <t xml:space="preserve">Alternative components from Joint_Alternatives row23. Blank U remains unquoted, arithmetic at entered scenario only. Quality/conditions must be verified separately for this combination; no city-level clearance inherited.</t>
  </si>
  <si>
    <t xml:space="preserve">A23</t>
  </si>
  <si>
    <t xml:space="preserve">Alternative components from Joint_Alternatives row24. Blank U remains unquoted, arithmetic at entered scenario only. Quality/conditions must be verified separately for this combination; no city-level clearance inherited.</t>
  </si>
  <si>
    <t xml:space="preserve">A24</t>
  </si>
  <si>
    <t xml:space="preserve">Alternative components from Joint_Alternatives row25. Blank U remains unquoted, arithmetic at entered scenario only. Quality/conditions must be verified separately for this combination; no city-level clearance inherited.</t>
  </si>
  <si>
    <t xml:space="preserve">A25</t>
  </si>
  <si>
    <t xml:space="preserve">Alternative components from Joint_Alternatives row26. Blank U remains unquoted, arithmetic at entered scenario only. Quality/conditions must be verified separately for this combination; no city-level clearance inherited.</t>
  </si>
  <si>
    <t xml:space="preserve">A26</t>
  </si>
  <si>
    <t xml:space="preserve">Alternative components from Joint_Alternatives row27. Blank U remains unquoted, arithmetic at entered scenario only. Quality/conditions must be verified separately for this combination; no city-level clearance inherited.</t>
  </si>
  <si>
    <t xml:space="preserve">A27</t>
  </si>
  <si>
    <t xml:space="preserve">Alternative components from Joint_Alternatives row28. Blank U remains unquoted, arithmetic at entered scenario only. Quality/conditions must be verified separately for this combination; no city-level clearance inherited.</t>
  </si>
  <si>
    <t xml:space="preserve">A28</t>
  </si>
  <si>
    <t xml:space="preserve">Alternative components from Joint_Alternatives row29. Blank U remains unquoted, arithmetic at entered scenario only. Quality/conditions must be verified separately for this combination; no city-level clearance inherited.</t>
  </si>
  <si>
    <t xml:space="preserve">A29</t>
  </si>
  <si>
    <t xml:space="preserve">Alternative components from Joint_Alternatives row30. Blank U remains unquoted, arithmetic at entered scenario only. Quality/conditions must be verified separately for this combination; no city-level clearance inherited.</t>
  </si>
  <si>
    <t xml:space="preserve">A30</t>
  </si>
  <si>
    <t xml:space="preserve">Alternative components from Joint_Alternatives row31. Blank U remains unquoted, arithmetic at entered scenario only. Quality/conditions must be verified separately for this combination; no city-level clearance inherited.</t>
  </si>
  <si>
    <t xml:space="preserve">A31</t>
  </si>
  <si>
    <t xml:space="preserve">Booking159 Two-Room King Suite: breakfast explicit, occupancy unverified.159 exceeds Dec1 cap148: no actual-expense authority, exclude.</t>
  </si>
  <si>
    <t xml:space="preserve">A32</t>
  </si>
  <si>
    <t xml:space="preserve">A33</t>
  </si>
  <si>
    <t xml:space="preserve">ARCHIVED Billabook101:2guests, no offer-bound breakfast. Excluded from ALL selection; price reference only.</t>
  </si>
  <si>
    <t xml:space="preserve">A34</t>
  </si>
  <si>
    <t xml:space="preserve">ID</t>
  </si>
  <si>
    <t xml:space="preserve">N</t>
  </si>
  <si>
    <t xml:space="preserve">Current K</t>
  </si>
  <si>
    <t xml:space="preserve">Current A</t>
  </si>
  <si>
    <t xml:space="preserve">Baseline U_difference ceiling</t>
  </si>
  <si>
    <t xml:space="preserve">+20% U_difference ceiling</t>
  </si>
  <si>
    <t xml:space="preserve">Price/date eligible</t>
  </si>
  <si>
    <t xml:space="preserve">Inequality meaning</t>
  </si>
  <si>
    <t xml:space="preserve">For selected same-N i to beat j: U_i-U_j &lt;= Kj-Ki+p(Aj-Ai); city alphabet resolves equality. Each side still needs budget/qualification. Archive101 excluded independently.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</si>
</sst>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0.0%"/>
    <numFmt numFmtId="168" formatCode="yyyy\-mm\-dd"/>
    <numFmt numFmtId="169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i val="true"/>
      <sz val="9"/>
      <color rgb="FF55555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555555"/>
      <name val="Cambria"/>
      <family val="0"/>
      <charset val="1"/>
    </font>
    <font>
      <b val="true"/>
      <sz val="10"/>
      <color rgb="FFC00000"/>
      <name val="Cambria"/>
      <family val="0"/>
      <charset val="1"/>
    </font>
    <font>
      <b val="true"/>
      <sz val="12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9344A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934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934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48"/>
    <col collapsed="false" customWidth="true" hidden="false" outlineLevel="0" max="4" min="4" style="1" width="8"/>
  </cols>
  <sheetData>
    <row r="1" customFormat="false" ht="21.75" hidden="false" customHeight="true" outlineLevel="0" collapsed="false">
      <c r="A1" s="2" t="s">
        <v>0</v>
      </c>
      <c r="B1" s="2"/>
      <c r="C1" s="2"/>
      <c r="D1" s="2"/>
    </row>
    <row r="2" customFormat="false" ht="25.5" hidden="false" customHeight="true" outlineLevel="0" collapsed="false">
      <c r="A2" s="3" t="s">
        <v>1</v>
      </c>
      <c r="B2" s="3"/>
      <c r="C2" s="3"/>
      <c r="D2" s="3"/>
    </row>
    <row r="3" customFormat="false" ht="15" hidden="false" customHeight="false" outlineLevel="0" collapsed="false"/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v>53000</v>
      </c>
      <c r="C5" s="5" t="s">
        <v>7</v>
      </c>
      <c r="D5" s="5" t="s">
        <v>8</v>
      </c>
    </row>
    <row r="6" customFormat="false" ht="15" hidden="false" customHeight="true" outlineLevel="0" collapsed="false">
      <c r="A6" s="5" t="s">
        <v>9</v>
      </c>
      <c r="B6" s="7" t="n">
        <v>1</v>
      </c>
      <c r="C6" s="5" t="s">
        <v>10</v>
      </c>
      <c r="D6" s="5"/>
    </row>
    <row r="7" customFormat="false" ht="15" hidden="false" customHeight="true" outlineLevel="0" collapsed="false">
      <c r="A7" s="5" t="s">
        <v>11</v>
      </c>
      <c r="B7" s="8" t="n">
        <v>0.05</v>
      </c>
      <c r="C7" s="5" t="s">
        <v>12</v>
      </c>
      <c r="D7" s="5"/>
    </row>
    <row r="8" customFormat="false" ht="15" hidden="false" customHeight="true" outlineLevel="0" collapsed="false">
      <c r="A8" s="5" t="s">
        <v>13</v>
      </c>
      <c r="B8" s="9" t="s">
        <v>14</v>
      </c>
      <c r="C8" s="5" t="s">
        <v>15</v>
      </c>
      <c r="D8" s="5"/>
    </row>
    <row r="9" customFormat="false" ht="15" hidden="false" customHeight="true" outlineLevel="0" collapsed="false">
      <c r="A9" s="5" t="s">
        <v>16</v>
      </c>
      <c r="B9" s="6" t="n">
        <f aca="false">INDEX(Candidate_Model!C:C,Decision!B12)</f>
        <v>24</v>
      </c>
      <c r="C9" s="5" t="s">
        <v>17</v>
      </c>
      <c r="D9" s="5"/>
    </row>
    <row r="10" customFormat="false" ht="15" hidden="false" customHeight="true" outlineLevel="0" collapsed="false">
      <c r="A10" s="5" t="s">
        <v>18</v>
      </c>
      <c r="B10" s="6" t="n">
        <f aca="false">MAX(0,B14-B13)</f>
        <v>4</v>
      </c>
      <c r="C10" s="5" t="s">
        <v>19</v>
      </c>
      <c r="D10" s="5" t="s">
        <v>20</v>
      </c>
    </row>
    <row r="11" customFormat="false" ht="15" hidden="false" customHeight="true" outlineLevel="0" collapsed="false">
      <c r="A11" s="5" t="s">
        <v>21</v>
      </c>
      <c r="B11" s="8" t="n">
        <v>0.12</v>
      </c>
      <c r="C11" s="5" t="s">
        <v>22</v>
      </c>
      <c r="D11" s="5"/>
    </row>
    <row r="12" customFormat="false" ht="15" hidden="false" customHeight="true" outlineLevel="0" collapsed="false">
      <c r="A12" s="5" t="s">
        <v>23</v>
      </c>
      <c r="B12" s="6" t="n">
        <v>180</v>
      </c>
      <c r="C12" s="5" t="s">
        <v>24</v>
      </c>
      <c r="D12" s="5" t="s">
        <v>8</v>
      </c>
    </row>
    <row r="13" customFormat="false" ht="15" hidden="false" customHeight="true" outlineLevel="0" collapsed="false">
      <c r="A13" s="5" t="s">
        <v>25</v>
      </c>
      <c r="B13" s="10" t="n">
        <v>46354</v>
      </c>
      <c r="C13" s="5" t="s">
        <v>26</v>
      </c>
      <c r="D13" s="5"/>
    </row>
    <row r="14" customFormat="false" ht="15" hidden="false" customHeight="true" outlineLevel="0" collapsed="false">
      <c r="A14" s="5" t="s">
        <v>27</v>
      </c>
      <c r="B14" s="10" t="n">
        <v>46358</v>
      </c>
      <c r="C14" s="5" t="s">
        <v>28</v>
      </c>
      <c r="D14" s="5"/>
    </row>
    <row r="15" customFormat="false" ht="15" hidden="false" customHeight="true" outlineLevel="0" collapsed="false">
      <c r="A15" s="5" t="s">
        <v>29</v>
      </c>
      <c r="B15" s="9" t="s">
        <v>30</v>
      </c>
      <c r="C15" s="5" t="s">
        <v>31</v>
      </c>
      <c r="D15" s="5"/>
    </row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true" outlineLevel="0" collapsed="false">
      <c r="A18" s="11" t="s">
        <v>32</v>
      </c>
    </row>
    <row r="19" customFormat="false" ht="15" hidden="false" customHeight="true" outlineLevel="0" collapsed="false">
      <c r="A19" s="12" t="s">
        <v>33</v>
      </c>
      <c r="B19" s="12"/>
      <c r="C19" s="12"/>
      <c r="D19" s="12"/>
    </row>
    <row r="20" customFormat="false" ht="15" hidden="false" customHeight="true" outlineLevel="0" collapsed="false">
      <c r="A20" s="12" t="s">
        <v>34</v>
      </c>
      <c r="B20" s="12"/>
      <c r="C20" s="12"/>
      <c r="D20" s="12"/>
    </row>
    <row r="21" customFormat="false" ht="15" hidden="false" customHeight="true" outlineLevel="0" collapsed="false">
      <c r="A21" s="12" t="s">
        <v>35</v>
      </c>
      <c r="B21" s="12"/>
      <c r="C21" s="12"/>
      <c r="D21" s="12"/>
    </row>
    <row r="22" customFormat="false" ht="15" hidden="false" customHeight="true" outlineLevel="0" collapsed="false">
      <c r="A22" s="12" t="s">
        <v>36</v>
      </c>
      <c r="B22" s="12"/>
      <c r="C22" s="12"/>
      <c r="D22" s="12"/>
    </row>
    <row r="23" customFormat="false" ht="15" hidden="false" customHeight="true" outlineLevel="0" collapsed="false">
      <c r="A23" s="12" t="s">
        <v>37</v>
      </c>
      <c r="B23" s="12"/>
      <c r="C23" s="12"/>
      <c r="D23" s="12"/>
    </row>
    <row r="24" customFormat="false" ht="15" hidden="false" customHeight="true" outlineLevel="0" collapsed="false">
      <c r="A24" s="12" t="s">
        <v>38</v>
      </c>
      <c r="B24" s="12"/>
      <c r="C24" s="12"/>
      <c r="D24" s="12"/>
    </row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true" outlineLevel="0" collapsed="false">
      <c r="A30" s="13" t="s">
        <v>39</v>
      </c>
      <c r="B30" s="13"/>
      <c r="C30" s="13"/>
      <c r="D30" s="13"/>
    </row>
    <row r="31" customFormat="false" ht="15" hidden="false" customHeight="true" outlineLevel="0" collapsed="false">
      <c r="A31" s="13"/>
      <c r="B31" s="13"/>
      <c r="C31" s="13"/>
      <c r="D31" s="13"/>
    </row>
    <row r="32" customFormat="false" ht="15" hidden="false" customHeight="true" outlineLevel="0" collapsed="false">
      <c r="A32" s="13"/>
      <c r="B32" s="13"/>
      <c r="C32" s="13"/>
      <c r="D32" s="13"/>
    </row>
    <row r="33" customFormat="false" ht="15" hidden="false" customHeight="true" outlineLevel="0" collapsed="false">
      <c r="A33" s="13"/>
      <c r="B33" s="13"/>
      <c r="C33" s="13"/>
      <c r="D33" s="13"/>
    </row>
    <row r="34" customFormat="false" ht="15" hidden="false" customHeight="true" outlineLevel="0" collapsed="false">
      <c r="A34" s="1" t="s">
        <v>40</v>
      </c>
      <c r="B34" s="14" t="str">
        <f aca="false">IF(AND(B13=DATE(2026,11,28),B14=DATE(2026,12,2)),"DATED SNAPSHOT; inventory unheld","STALE: RE-QUOTE; computed costs are old-price estimates")</f>
        <v>DATED SNAPSHOT; inventory unheld</v>
      </c>
    </row>
    <row r="35" customFormat="false" ht="15" hidden="false" customHeight="true" outlineLevel="0" collapsed="false">
      <c r="A35" s="1" t="s">
        <v>41</v>
      </c>
      <c r="B35" s="14" t="str">
        <f aca="false">INDEX(Candidate_Model!B:B,Decision!B12)</f>
        <v>Boston</v>
      </c>
    </row>
    <row r="36" customFormat="false" ht="15" hidden="false" customHeight="true" outlineLevel="0" collapsed="false">
      <c r="A36" s="1" t="s">
        <v>42</v>
      </c>
      <c r="B36" s="14" t="str">
        <f aca="false">IF(AND(B13&lt;=DATE(2026,11,28),B14&gt;=DATE(2026,12,2),B14&gt;B13,B14-B13&lt;=365),"VALID DATE STRUCTURE","NOT VERIFIED FOR FULL TRAINING OR OUTSIDE DAILY GRID")</f>
        <v>VALID DATE STRUCTURE</v>
      </c>
    </row>
  </sheetData>
  <mergeCells count="9">
    <mergeCell ref="A1:D1"/>
    <mergeCell ref="A2:D2"/>
    <mergeCell ref="A19:D19"/>
    <mergeCell ref="A20:D20"/>
    <mergeCell ref="A21:D21"/>
    <mergeCell ref="A22:D22"/>
    <mergeCell ref="A23:D23"/>
    <mergeCell ref="A24:D24"/>
    <mergeCell ref="A30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36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15"/>
    <col collapsed="false" customWidth="true" hidden="false" outlineLevel="0" max="11" min="11" style="1" width="16"/>
    <col collapsed="false" customWidth="true" hidden="false" outlineLevel="0" max="12" min="12" style="1" width="10"/>
  </cols>
  <sheetData>
    <row r="1" customFormat="false" ht="15" hidden="false" customHeight="true" outlineLevel="0" collapsed="false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90" hidden="false" customHeight="true" outlineLevel="0" collapsed="false">
      <c r="A2" s="4" t="s">
        <v>44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4" t="s">
        <v>53</v>
      </c>
      <c r="K2" s="4" t="s">
        <v>54</v>
      </c>
      <c r="L2" s="4" t="s">
        <v>55</v>
      </c>
    </row>
    <row r="3" customFormat="false" ht="15" hidden="false" customHeight="true" outlineLevel="0" collapsed="false">
      <c r="A3" s="5" t="s">
        <v>56</v>
      </c>
      <c r="B3" s="5" t="s">
        <v>57</v>
      </c>
      <c r="C3" s="15" t="n">
        <v>311</v>
      </c>
      <c r="D3" s="5" t="s">
        <v>58</v>
      </c>
      <c r="E3" s="5" t="s">
        <v>59</v>
      </c>
      <c r="F3" s="15" t="n">
        <v>108</v>
      </c>
      <c r="G3" s="15" t="n">
        <v>8.6</v>
      </c>
      <c r="H3" s="15" t="n">
        <v>449</v>
      </c>
      <c r="I3" s="5" t="s">
        <v>60</v>
      </c>
      <c r="J3" s="15" t="n">
        <v>213</v>
      </c>
      <c r="K3" s="15" t="n">
        <v>213</v>
      </c>
      <c r="L3" s="15" t="n">
        <v>92</v>
      </c>
    </row>
    <row r="4" customFormat="false" ht="15" hidden="false" customHeight="true" outlineLevel="0" collapsed="false">
      <c r="A4" s="5" t="s">
        <v>61</v>
      </c>
      <c r="B4" s="5" t="s">
        <v>62</v>
      </c>
      <c r="C4" s="15" t="n">
        <v>270</v>
      </c>
      <c r="D4" s="5" t="s">
        <v>58</v>
      </c>
      <c r="E4" s="5" t="s">
        <v>63</v>
      </c>
      <c r="F4" s="15" t="n">
        <v>158</v>
      </c>
      <c r="G4" s="15" t="n">
        <v>8.2</v>
      </c>
      <c r="H4" s="15" t="n">
        <v>3418</v>
      </c>
      <c r="I4" s="5" t="s">
        <v>64</v>
      </c>
      <c r="J4" s="15" t="n">
        <v>232</v>
      </c>
      <c r="K4" s="15" t="n">
        <v>148</v>
      </c>
      <c r="L4" s="15" t="n">
        <v>92</v>
      </c>
    </row>
    <row r="5" customFormat="false" ht="15" hidden="false" customHeight="true" outlineLevel="0" collapsed="false">
      <c r="A5" s="5" t="s">
        <v>65</v>
      </c>
      <c r="B5" s="5" t="s">
        <v>66</v>
      </c>
      <c r="C5" s="15" t="n">
        <v>578</v>
      </c>
      <c r="D5" s="5" t="s">
        <v>67</v>
      </c>
      <c r="E5" s="5" t="s">
        <v>68</v>
      </c>
      <c r="F5" s="15" t="n">
        <v>109</v>
      </c>
      <c r="G5" s="15" t="n">
        <v>9</v>
      </c>
      <c r="H5" s="15" t="n">
        <v>94</v>
      </c>
      <c r="I5" s="5" t="s">
        <v>69</v>
      </c>
      <c r="J5" s="15" t="n">
        <v>170</v>
      </c>
      <c r="K5" s="15" t="n">
        <v>170</v>
      </c>
      <c r="L5" s="15" t="n">
        <v>92</v>
      </c>
    </row>
    <row r="6" customFormat="false" ht="15" hidden="false" customHeight="true" outlineLevel="0" collapsed="false">
      <c r="A6" s="5" t="s">
        <v>70</v>
      </c>
      <c r="B6" s="5" t="s">
        <v>71</v>
      </c>
      <c r="C6" s="15" t="n">
        <v>499</v>
      </c>
      <c r="D6" s="5" t="s">
        <v>67</v>
      </c>
      <c r="E6" s="5" t="s">
        <v>72</v>
      </c>
      <c r="F6" s="15" t="n">
        <v>150</v>
      </c>
      <c r="G6" s="15" t="n">
        <v>9.4</v>
      </c>
      <c r="H6" s="15" t="n">
        <v>116</v>
      </c>
      <c r="I6" s="5" t="s">
        <v>69</v>
      </c>
      <c r="J6" s="15" t="n">
        <v>165</v>
      </c>
      <c r="K6" s="15" t="n">
        <v>165</v>
      </c>
      <c r="L6" s="15" t="n">
        <v>86</v>
      </c>
    </row>
    <row r="7" customFormat="false" ht="15" hidden="false" customHeight="true" outlineLevel="0" collapsed="false">
      <c r="A7" s="5" t="s">
        <v>73</v>
      </c>
      <c r="B7" s="5" t="s">
        <v>74</v>
      </c>
      <c r="C7" s="15" t="n">
        <v>590</v>
      </c>
      <c r="D7" s="5" t="s">
        <v>67</v>
      </c>
      <c r="E7" s="5" t="s">
        <v>75</v>
      </c>
      <c r="F7" s="15" t="n">
        <v>101</v>
      </c>
      <c r="G7" s="15" t="n">
        <v>8.6</v>
      </c>
      <c r="H7" s="15" t="n">
        <v>2018</v>
      </c>
      <c r="I7" s="5" t="s">
        <v>76</v>
      </c>
      <c r="J7" s="15" t="n">
        <v>188</v>
      </c>
      <c r="K7" s="15" t="n">
        <v>188</v>
      </c>
      <c r="L7" s="15" t="n">
        <v>92</v>
      </c>
    </row>
    <row r="8" customFormat="false" ht="15" hidden="false" customHeight="false" outlineLevel="0" collapsed="false"/>
    <row r="9" customFormat="false" ht="15" hidden="false" customHeight="true" outlineLevel="0" collapsed="false">
      <c r="A9" s="16" t="s">
        <v>77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customFormat="false" ht="26.25" hidden="false" customHeight="true" outlineLevel="0" collapsed="false">
      <c r="A10" s="4" t="s">
        <v>44</v>
      </c>
      <c r="B10" s="4" t="s">
        <v>78</v>
      </c>
      <c r="C10" s="4" t="s">
        <v>79</v>
      </c>
      <c r="D10" s="4" t="s">
        <v>80</v>
      </c>
    </row>
    <row r="11" customFormat="false" ht="15" hidden="false" customHeight="true" outlineLevel="0" collapsed="false">
      <c r="A11" s="5" t="s">
        <v>56</v>
      </c>
      <c r="B11" s="15" t="n">
        <v>23</v>
      </c>
      <c r="C11" s="15" t="n">
        <v>26</v>
      </c>
      <c r="D11" s="15" t="n">
        <v>38</v>
      </c>
    </row>
    <row r="12" customFormat="false" ht="15" hidden="false" customHeight="true" outlineLevel="0" collapsed="false">
      <c r="A12" s="5" t="s">
        <v>61</v>
      </c>
      <c r="B12" s="15" t="n">
        <v>23</v>
      </c>
      <c r="C12" s="15" t="n">
        <v>26</v>
      </c>
      <c r="D12" s="15" t="n">
        <v>38</v>
      </c>
    </row>
    <row r="13" customFormat="false" ht="15" hidden="false" customHeight="true" outlineLevel="0" collapsed="false">
      <c r="A13" s="5" t="s">
        <v>65</v>
      </c>
      <c r="B13" s="15" t="n">
        <v>23</v>
      </c>
      <c r="C13" s="15" t="n">
        <v>26</v>
      </c>
      <c r="D13" s="15" t="n">
        <v>38</v>
      </c>
    </row>
    <row r="14" customFormat="false" ht="15" hidden="false" customHeight="true" outlineLevel="0" collapsed="false">
      <c r="A14" s="5" t="s">
        <v>70</v>
      </c>
      <c r="B14" s="15" t="n">
        <v>22</v>
      </c>
      <c r="C14" s="15" t="n">
        <v>23</v>
      </c>
      <c r="D14" s="15" t="n">
        <v>36</v>
      </c>
    </row>
    <row r="15" customFormat="false" ht="15" hidden="false" customHeight="true" outlineLevel="0" collapsed="false">
      <c r="A15" s="5" t="s">
        <v>73</v>
      </c>
      <c r="B15" s="15" t="n">
        <v>23</v>
      </c>
      <c r="C15" s="15" t="n">
        <v>26</v>
      </c>
      <c r="D15" s="15" t="n">
        <v>38</v>
      </c>
    </row>
    <row r="16" customFormat="false" ht="15" hidden="false" customHeight="false" outlineLevel="0" collapsed="false"/>
    <row r="17" customFormat="false" ht="15" hidden="false" customHeight="true" outlineLevel="0" collapsed="false">
      <c r="A17" s="12" t="s">
        <v>81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customFormat="false" ht="26.25" hidden="false" customHeight="true" outlineLevel="0" collapsed="false">
      <c r="A18" s="4" t="s">
        <v>44</v>
      </c>
      <c r="B18" s="4" t="s">
        <v>82</v>
      </c>
      <c r="C18" s="4" t="s">
        <v>83</v>
      </c>
    </row>
    <row r="19" customFormat="false" ht="15" hidden="false" customHeight="true" outlineLevel="0" collapsed="false">
      <c r="A19" s="5" t="s">
        <v>56</v>
      </c>
      <c r="B19" s="15" t="n">
        <v>40</v>
      </c>
      <c r="C19" s="15" t="n">
        <v>80</v>
      </c>
    </row>
    <row r="20" customFormat="false" ht="15" hidden="false" customHeight="true" outlineLevel="0" collapsed="false">
      <c r="A20" s="5" t="s">
        <v>61</v>
      </c>
      <c r="B20" s="15" t="n">
        <v>40</v>
      </c>
      <c r="C20" s="15" t="n">
        <v>80</v>
      </c>
    </row>
    <row r="21" customFormat="false" ht="15" hidden="false" customHeight="true" outlineLevel="0" collapsed="false">
      <c r="A21" s="5" t="s">
        <v>65</v>
      </c>
      <c r="B21" s="15" t="n">
        <v>60</v>
      </c>
      <c r="C21" s="15" t="n">
        <v>160</v>
      </c>
    </row>
    <row r="22" customFormat="false" ht="15" hidden="false" customHeight="true" outlineLevel="0" collapsed="false">
      <c r="A22" s="5" t="s">
        <v>70</v>
      </c>
      <c r="B22" s="15" t="n">
        <v>50</v>
      </c>
      <c r="C22" s="15" t="n">
        <v>160</v>
      </c>
    </row>
    <row r="23" customFormat="false" ht="15" hidden="false" customHeight="true" outlineLevel="0" collapsed="false">
      <c r="A23" s="5" t="s">
        <v>73</v>
      </c>
      <c r="B23" s="15" t="n">
        <v>60</v>
      </c>
      <c r="C23" s="15" t="n">
        <v>160</v>
      </c>
    </row>
    <row r="24" customFormat="false" ht="15" hidden="false" customHeight="false" outlineLevel="0" collapsed="false"/>
    <row r="25" customFormat="false" ht="15" hidden="false" customHeight="true" outlineLevel="0" collapsed="false">
      <c r="A25" s="16" t="s">
        <v>84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customFormat="false" ht="15" hidden="false" customHeight="true" outlineLevel="0" collapsed="false">
      <c r="A26" s="5" t="s">
        <v>85</v>
      </c>
      <c r="B26" s="17" t="n">
        <v>0</v>
      </c>
    </row>
    <row r="27" customFormat="false" ht="15" hidden="false" customHeight="true" outlineLevel="0" collapsed="false">
      <c r="A27" s="5" t="s">
        <v>86</v>
      </c>
      <c r="B27" s="17" t="n">
        <v>3</v>
      </c>
    </row>
    <row r="28" customFormat="false" ht="15" hidden="false" customHeight="true" outlineLevel="0" collapsed="false">
      <c r="A28" s="5" t="s">
        <v>87</v>
      </c>
      <c r="B28" s="17" t="n">
        <v>15</v>
      </c>
    </row>
    <row r="29" customFormat="false" ht="15" hidden="false" customHeight="true" outlineLevel="0" collapsed="false">
      <c r="A29" s="5" t="s">
        <v>88</v>
      </c>
      <c r="B29" s="17" t="n">
        <v>3</v>
      </c>
    </row>
  </sheetData>
  <mergeCells count="4">
    <mergeCell ref="A1:L1"/>
    <mergeCell ref="A9:L9"/>
    <mergeCell ref="A17:L17"/>
    <mergeCell ref="A25:L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8" min="3" style="1" width="10"/>
  </cols>
  <sheetData>
    <row r="1" customFormat="false" ht="19.5" hidden="false" customHeight="true" outlineLevel="0" collapsed="false">
      <c r="A1" s="2" t="s">
        <v>89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11" t="s">
        <v>90</v>
      </c>
      <c r="B2" s="18" t="str">
        <f aca="false">Parameters!B35</f>
        <v>Boston</v>
      </c>
      <c r="C2" s="12" t="s">
        <v>91</v>
      </c>
      <c r="D2" s="12"/>
      <c r="E2" s="12"/>
      <c r="F2" s="12"/>
      <c r="G2" s="12"/>
      <c r="H2" s="12"/>
    </row>
    <row r="3" customFormat="false" ht="15" hidden="false" customHeight="false" outlineLevel="0" collapsed="false"/>
    <row r="4" customFormat="false" ht="15" hidden="false" customHeight="true" outlineLevel="0" collapsed="false">
      <c r="A4" s="4" t="s">
        <v>92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93</v>
      </c>
      <c r="B5" s="15" t="n">
        <f aca="false">INDEX(Candidate_Model!D:D,Decision!B12)*FFAC</f>
        <v>311</v>
      </c>
    </row>
    <row r="6" customFormat="false" ht="15" hidden="false" customHeight="true" outlineLevel="0" collapsed="false">
      <c r="A6" s="5" t="s">
        <v>94</v>
      </c>
      <c r="B6" s="15" t="n">
        <f aca="false">INDEX(Candidate_Model!E:E,Decision!B12)*NIGHTS</f>
        <v>432</v>
      </c>
    </row>
    <row r="7" customFormat="false" ht="15" hidden="false" customHeight="true" outlineLevel="0" collapsed="false">
      <c r="A7" s="5" t="s">
        <v>95</v>
      </c>
      <c r="B7" s="15" t="n">
        <f aca="false">B6*TAXRATE</f>
        <v>51.84</v>
      </c>
    </row>
    <row r="8" customFormat="false" ht="15" hidden="false" customHeight="true" outlineLevel="0" collapsed="false">
      <c r="A8" s="5" t="s">
        <v>96</v>
      </c>
      <c r="B8" s="15" t="n">
        <f aca="false">REGFEE</f>
        <v>180</v>
      </c>
    </row>
    <row r="9" customFormat="false" ht="15" hidden="false" customHeight="true" outlineLevel="0" collapsed="false">
      <c r="A9" s="5" t="s">
        <v>97</v>
      </c>
      <c r="B9" s="15" t="n">
        <f aca="false">2*INDEX(CityData!$D$11:$D$15,MATCH(Daily!$B$2,CityData!$A$11:$A$15,0))</f>
        <v>76</v>
      </c>
    </row>
    <row r="10" customFormat="false" ht="15" hidden="false" customHeight="true" outlineLevel="0" collapsed="false">
      <c r="A10" s="5" t="s">
        <v>98</v>
      </c>
      <c r="B10" s="15" t="n">
        <f aca="false">INDEX(CityData!$C$11:$C$15,MATCH(Daily!$B$2,CityData!$A$11:$A$15,0))</f>
        <v>26</v>
      </c>
    </row>
    <row r="11" customFormat="false" ht="15" hidden="false" customHeight="true" outlineLevel="0" collapsed="false">
      <c r="A11" s="5" t="s">
        <v>99</v>
      </c>
      <c r="B11" s="15" t="n">
        <v>0</v>
      </c>
    </row>
    <row r="12" customFormat="false" ht="15" hidden="false" customHeight="true" outlineLevel="0" collapsed="false">
      <c r="A12" s="5" t="s">
        <v>100</v>
      </c>
      <c r="B12" s="15" t="n">
        <v>0</v>
      </c>
    </row>
    <row r="13" customFormat="false" ht="15" hidden="false" customHeight="true" outlineLevel="0" collapsed="false">
      <c r="A13" s="5" t="s">
        <v>101</v>
      </c>
      <c r="B13" s="15" t="n">
        <f aca="false">REFRPP*REFRDAYS</f>
        <v>45</v>
      </c>
    </row>
    <row r="14" customFormat="false" ht="15" hidden="false" customHeight="true" outlineLevel="0" collapsed="false">
      <c r="A14" s="5" t="s">
        <v>102</v>
      </c>
      <c r="B14" s="15" t="n">
        <f aca="false">INDEX(Candidate_Model!F:F,Decision!B12)</f>
        <v>120</v>
      </c>
    </row>
    <row r="15" customFormat="false" ht="15" hidden="false" customHeight="true" outlineLevel="0" collapsed="false">
      <c r="A15" s="19" t="s">
        <v>103</v>
      </c>
      <c r="B15" s="20" t="n">
        <f aca="false">SUM(B5:B14)+B31</f>
        <v>1475.84</v>
      </c>
    </row>
    <row r="16" customFormat="false" ht="15" hidden="false" customHeight="false" outlineLevel="0" collapsed="false"/>
    <row r="17" customFormat="false" ht="15" hidden="false" customHeight="true" outlineLevel="0" collapsed="false">
      <c r="A17" s="4" t="s">
        <v>104</v>
      </c>
      <c r="B17" s="4"/>
      <c r="C17" s="4"/>
      <c r="D17" s="4"/>
      <c r="E17" s="4"/>
      <c r="F17" s="4"/>
      <c r="G17" s="4"/>
      <c r="H17" s="4"/>
    </row>
    <row r="18" customFormat="false" ht="15" hidden="false" customHeight="true" outlineLevel="0" collapsed="false">
      <c r="A18" s="5" t="s">
        <v>105</v>
      </c>
      <c r="B18" s="15" t="n">
        <f aca="false">SUM(INDEX(Candidate_Model!I:I,Decision!B12))</f>
        <v>0</v>
      </c>
    </row>
    <row r="19" customFormat="false" ht="15" hidden="false" customHeight="true" outlineLevel="0" collapsed="false">
      <c r="A19" s="19" t="s">
        <v>106</v>
      </c>
      <c r="B19" s="20" t="n">
        <f aca="false">B18</f>
        <v>0</v>
      </c>
    </row>
    <row r="20" customFormat="false" ht="15" hidden="false" customHeight="false" outlineLevel="0" collapsed="false"/>
    <row r="21" customFormat="false" ht="15" hidden="false" customHeight="true" outlineLevel="0" collapsed="false">
      <c r="A21" s="4" t="s">
        <v>107</v>
      </c>
      <c r="B21" s="4"/>
      <c r="C21" s="4"/>
      <c r="D21" s="4"/>
      <c r="E21" s="4"/>
      <c r="F21" s="4"/>
      <c r="G21" s="4"/>
      <c r="H21" s="4"/>
    </row>
    <row r="22" customFormat="false" ht="15" hidden="false" customHeight="true" outlineLevel="0" collapsed="false">
      <c r="A22" s="5" t="s">
        <v>108</v>
      </c>
      <c r="B22" s="15" t="n">
        <f aca="false">HEADCOUNT</f>
        <v>24</v>
      </c>
    </row>
    <row r="23" customFormat="false" ht="15" hidden="false" customHeight="true" outlineLevel="0" collapsed="false">
      <c r="A23" s="5" t="s">
        <v>109</v>
      </c>
      <c r="B23" s="15" t="n">
        <f aca="false">B15*HEADCOUNT</f>
        <v>35420.16</v>
      </c>
    </row>
    <row r="24" customFormat="false" ht="15" hidden="false" customHeight="true" outlineLevel="0" collapsed="false">
      <c r="A24" s="5" t="s">
        <v>110</v>
      </c>
      <c r="B24" s="15" t="n">
        <f aca="false">B23+B19</f>
        <v>35420.16</v>
      </c>
    </row>
    <row r="25" customFormat="false" ht="15" hidden="false" customHeight="true" outlineLevel="0" collapsed="false">
      <c r="A25" s="5" t="s">
        <v>111</v>
      </c>
      <c r="B25" s="15" t="n">
        <f aca="false">B24*RESRATE</f>
        <v>1771.008</v>
      </c>
    </row>
    <row r="26" customFormat="false" ht="15" hidden="false" customHeight="true" outlineLevel="0" collapsed="false">
      <c r="A26" s="19" t="s">
        <v>112</v>
      </c>
      <c r="B26" s="21" t="n">
        <f aca="false">B24+B25</f>
        <v>37191.168</v>
      </c>
    </row>
    <row r="27" customFormat="false" ht="15" hidden="false" customHeight="true" outlineLevel="0" collapsed="false">
      <c r="A27" s="5" t="s">
        <v>113</v>
      </c>
      <c r="B27" s="15" t="n">
        <f aca="false">CEILING</f>
        <v>53000</v>
      </c>
    </row>
    <row r="28" customFormat="false" ht="15" hidden="false" customHeight="true" outlineLevel="0" collapsed="false">
      <c r="A28" s="5" t="s">
        <v>114</v>
      </c>
      <c r="B28" s="22" t="str">
        <f aca="false">IF(B26&lt;=CEILING,"YES — within ceiling","NO — exceeds ceiling")</f>
        <v>YES — within ceiling</v>
      </c>
    </row>
    <row r="29" customFormat="false" ht="15" hidden="false" customHeight="true" outlineLevel="0" collapsed="false">
      <c r="A29" s="5" t="s">
        <v>115</v>
      </c>
      <c r="B29" s="15" t="n">
        <f aca="false">CEILING/(1+RESRATE)-B24</f>
        <v>15056.0304761905</v>
      </c>
    </row>
    <row r="30" customFormat="false" ht="15" hidden="false" customHeight="false" outlineLevel="0" collapsed="false"/>
    <row r="31" customFormat="false" ht="15" hidden="false" customHeight="true" outlineLevel="0" collapsed="false">
      <c r="A31" s="1" t="s">
        <v>116</v>
      </c>
      <c r="B31" s="14" t="n">
        <f aca="false">SUM(INDEX(MIE_Daily!$B$2:$AO$367,0,5+8*(MATCH(B2,CityData!A3:A7,0)-1)))</f>
        <v>234</v>
      </c>
    </row>
    <row r="32" customFormat="false" ht="15" hidden="false" customHeight="false" outlineLevel="0" collapsed="false"/>
    <row r="33" customFormat="false" ht="15" hidden="false" customHeight="true" outlineLevel="0" collapsed="false">
      <c r="A33" s="1" t="s">
        <v>117</v>
      </c>
    </row>
    <row r="34" customFormat="false" ht="15" hidden="false" customHeight="true" outlineLevel="0" collapsed="false">
      <c r="A34" s="1" t="s">
        <v>118</v>
      </c>
      <c r="B34" s="1" t="str">
        <f aca="false">INDEX(Candidate_Model!A:A,Decision!B12)</f>
        <v>P01</v>
      </c>
    </row>
    <row r="35" customFormat="false" ht="15" hidden="false" customHeight="true" outlineLevel="0" collapsed="false">
      <c r="A35" s="1" t="s">
        <v>119</v>
      </c>
      <c r="B35" s="1" t="s">
        <v>120</v>
      </c>
      <c r="C35" s="1" t="s">
        <v>121</v>
      </c>
      <c r="D35" s="1" t="s">
        <v>122</v>
      </c>
      <c r="E35" s="1" t="s">
        <v>123</v>
      </c>
      <c r="F35" s="1" t="s">
        <v>124</v>
      </c>
      <c r="G35" s="1" t="s">
        <v>125</v>
      </c>
    </row>
    <row r="36" customFormat="false" ht="15" hidden="false" customHeight="true" outlineLevel="0" collapsed="false">
      <c r="A36" s="23" t="n">
        <f aca="false">MIE_Daily!A2</f>
        <v>46354</v>
      </c>
      <c r="B36" s="14" t="n">
        <f aca="false">INDEX(MIE_Daily!$B$2:$AO$367,ROW()-35,5+8*(MATCH($B$2,CityData!$A$3:$A$7,0)-1))</f>
        <v>31</v>
      </c>
      <c r="C36" s="14" t="n">
        <f aca="false">IF(AND(A36&lt;&gt;"",A36&lt;Parameters!$B$14),INDEX(Candidate_Model!E:E,Decision!B12)*(1+TAXRATE),0)</f>
        <v>120.96</v>
      </c>
      <c r="D36" s="14" t="n">
        <f aca="false">HEADCOUNT</f>
        <v>24</v>
      </c>
      <c r="E36" s="14" t="n">
        <f aca="false">B36*D36</f>
        <v>744</v>
      </c>
      <c r="F36" s="14" t="n">
        <f aca="false">C36*D36</f>
        <v>2903.04</v>
      </c>
      <c r="G36" s="1" t="s">
        <v>126</v>
      </c>
    </row>
    <row r="37" customFormat="false" ht="15" hidden="false" customHeight="true" outlineLevel="0" collapsed="false">
      <c r="A37" s="23" t="n">
        <f aca="false">MIE_Daily!A3</f>
        <v>46355</v>
      </c>
      <c r="B37" s="14" t="n">
        <f aca="false">INDEX(MIE_Daily!$B$2:$AO$367,ROW()-35,5+8*(MATCH($B$2,CityData!$A$3:$A$7,0)-1))</f>
        <v>66</v>
      </c>
      <c r="C37" s="14" t="n">
        <f aca="false">IF(AND(A37&lt;&gt;"",A37&lt;Parameters!$B$14),INDEX(Candidate_Model!E:E,Decision!B12)*(1+TAXRATE),0)</f>
        <v>120.96</v>
      </c>
      <c r="D37" s="14" t="n">
        <f aca="false">HEADCOUNT</f>
        <v>24</v>
      </c>
      <c r="E37" s="14" t="n">
        <f aca="false">B37*D37</f>
        <v>1584</v>
      </c>
      <c r="F37" s="14" t="n">
        <f aca="false">C37*D37</f>
        <v>2903.04</v>
      </c>
      <c r="G37" s="1" t="s">
        <v>126</v>
      </c>
    </row>
    <row r="38" customFormat="false" ht="15" hidden="false" customHeight="true" outlineLevel="0" collapsed="false">
      <c r="A38" s="23" t="n">
        <f aca="false">MIE_Daily!A4</f>
        <v>46356</v>
      </c>
      <c r="B38" s="14" t="n">
        <f aca="false">INDEX(MIE_Daily!$B$2:$AO$367,ROW()-35,5+8*(MATCH($B$2,CityData!$A$3:$A$7,0)-1))</f>
        <v>66</v>
      </c>
      <c r="C38" s="14" t="n">
        <f aca="false">IF(AND(A38&lt;&gt;"",A38&lt;Parameters!$B$14),INDEX(Candidate_Model!E:E,Decision!B12)*(1+TAXRATE),0)</f>
        <v>120.96</v>
      </c>
      <c r="D38" s="14" t="n">
        <f aca="false">HEADCOUNT</f>
        <v>24</v>
      </c>
      <c r="E38" s="14" t="n">
        <f aca="false">B38*D38</f>
        <v>1584</v>
      </c>
      <c r="F38" s="14" t="n">
        <f aca="false">C38*D38</f>
        <v>2903.04</v>
      </c>
      <c r="G38" s="1" t="s">
        <v>126</v>
      </c>
    </row>
    <row r="39" customFormat="false" ht="15" hidden="false" customHeight="true" outlineLevel="0" collapsed="false">
      <c r="A39" s="23" t="n">
        <f aca="false">MIE_Daily!A5</f>
        <v>46357</v>
      </c>
      <c r="B39" s="14" t="n">
        <f aca="false">INDEX(MIE_Daily!$B$2:$AO$367,ROW()-35,5+8*(MATCH($B$2,CityData!$A$3:$A$7,0)-1))</f>
        <v>28</v>
      </c>
      <c r="C39" s="14" t="n">
        <f aca="false">IF(AND(A39&lt;&gt;"",A39&lt;Parameters!$B$14),INDEX(Candidate_Model!E:E,Decision!B12)*(1+TAXRATE),0)</f>
        <v>120.96</v>
      </c>
      <c r="D39" s="14" t="n">
        <f aca="false">HEADCOUNT</f>
        <v>24</v>
      </c>
      <c r="E39" s="14" t="n">
        <f aca="false">B39*D39</f>
        <v>672</v>
      </c>
      <c r="F39" s="14" t="n">
        <f aca="false">C39*D39</f>
        <v>2903.04</v>
      </c>
      <c r="G39" s="1" t="s">
        <v>126</v>
      </c>
    </row>
    <row r="40" customFormat="false" ht="15" hidden="false" customHeight="true" outlineLevel="0" collapsed="false">
      <c r="A40" s="23" t="n">
        <f aca="false">MIE_Daily!A6</f>
        <v>46358</v>
      </c>
      <c r="B40" s="14" t="n">
        <f aca="false">INDEX(MIE_Daily!$B$2:$AO$367,ROW()-35,5+8*(MATCH($B$2,CityData!$A$3:$A$7,0)-1))</f>
        <v>43</v>
      </c>
      <c r="C40" s="14" t="n">
        <f aca="false">IF(AND(A40&lt;&gt;"",A40&lt;Parameters!$B$14),INDEX(Candidate_Model!E:E,Decision!B12)*(1+TAXRATE),0)</f>
        <v>0</v>
      </c>
      <c r="D40" s="14" t="n">
        <f aca="false">HEADCOUNT</f>
        <v>24</v>
      </c>
      <c r="E40" s="14" t="n">
        <f aca="false">B40*D40</f>
        <v>1032</v>
      </c>
      <c r="F40" s="14" t="n">
        <f aca="false">C40*D40</f>
        <v>0</v>
      </c>
      <c r="G40" s="1" t="s">
        <v>126</v>
      </c>
    </row>
    <row r="41" customFormat="false" ht="15" hidden="false" customHeight="true" outlineLevel="0" collapsed="false">
      <c r="A41" s="23" t="str">
        <f aca="false">MIE_Daily!A7</f>
        <v/>
      </c>
      <c r="B41" s="14" t="n">
        <f aca="false">INDEX(MIE_Daily!$B$2:$AO$367,ROW()-35,5+8*(MATCH($B$2,CityData!$A$3:$A$7,0)-1))</f>
        <v>0</v>
      </c>
      <c r="C41" s="14" t="n">
        <f aca="false">IF(AND(A41&lt;&gt;"",A41&lt;Parameters!$B$14),INDEX(Candidate_Model!E:E,Decision!B12)*(1+TAXRATE),0)</f>
        <v>0</v>
      </c>
      <c r="D41" s="14" t="n">
        <f aca="false">HEADCOUNT</f>
        <v>24</v>
      </c>
      <c r="E41" s="14" t="n">
        <f aca="false">B41*D41</f>
        <v>0</v>
      </c>
      <c r="F41" s="14" t="n">
        <f aca="false">C41*D41</f>
        <v>0</v>
      </c>
      <c r="G41" s="1" t="s">
        <v>126</v>
      </c>
    </row>
    <row r="42" customFormat="false" ht="15" hidden="false" customHeight="true" outlineLevel="0" collapsed="false">
      <c r="A42" s="23" t="str">
        <f aca="false">MIE_Daily!A8</f>
        <v/>
      </c>
      <c r="B42" s="14" t="n">
        <f aca="false">INDEX(MIE_Daily!$B$2:$AO$367,ROW()-35,5+8*(MATCH($B$2,CityData!$A$3:$A$7,0)-1))</f>
        <v>0</v>
      </c>
      <c r="C42" s="14" t="n">
        <f aca="false">IF(AND(A42&lt;&gt;"",A42&lt;Parameters!$B$14),INDEX(Candidate_Model!E:E,Decision!B12)*(1+TAXRATE),0)</f>
        <v>0</v>
      </c>
      <c r="D42" s="14" t="n">
        <f aca="false">HEADCOUNT</f>
        <v>24</v>
      </c>
      <c r="E42" s="14" t="n">
        <f aca="false">B42*D42</f>
        <v>0</v>
      </c>
      <c r="F42" s="14" t="n">
        <f aca="false">C42*D42</f>
        <v>0</v>
      </c>
      <c r="G42" s="1" t="s">
        <v>126</v>
      </c>
    </row>
    <row r="43" customFormat="false" ht="15" hidden="false" customHeight="true" outlineLevel="0" collapsed="false">
      <c r="A43" s="23" t="str">
        <f aca="false">MIE_Daily!A9</f>
        <v/>
      </c>
      <c r="B43" s="14" t="n">
        <f aca="false">INDEX(MIE_Daily!$B$2:$AO$367,ROW()-35,5+8*(MATCH($B$2,CityData!$A$3:$A$7,0)-1))</f>
        <v>0</v>
      </c>
      <c r="C43" s="14" t="n">
        <f aca="false">IF(AND(A43&lt;&gt;"",A43&lt;Parameters!$B$14),INDEX(Candidate_Model!E:E,Decision!B12)*(1+TAXRATE),0)</f>
        <v>0</v>
      </c>
      <c r="D43" s="14" t="n">
        <f aca="false">HEADCOUNT</f>
        <v>24</v>
      </c>
      <c r="E43" s="14" t="n">
        <f aca="false">B43*D43</f>
        <v>0</v>
      </c>
      <c r="F43" s="14" t="n">
        <f aca="false">C43*D43</f>
        <v>0</v>
      </c>
      <c r="G43" s="1" t="s">
        <v>126</v>
      </c>
    </row>
    <row r="44" customFormat="false" ht="15" hidden="false" customHeight="true" outlineLevel="0" collapsed="false">
      <c r="A44" s="23" t="str">
        <f aca="false">MIE_Daily!A10</f>
        <v/>
      </c>
      <c r="B44" s="14" t="n">
        <f aca="false">INDEX(MIE_Daily!$B$2:$AO$367,ROW()-35,5+8*(MATCH($B$2,CityData!$A$3:$A$7,0)-1))</f>
        <v>0</v>
      </c>
      <c r="C44" s="14" t="n">
        <f aca="false">IF(AND(A44&lt;&gt;"",A44&lt;Parameters!$B$14),INDEX(Candidate_Model!E:E,Decision!B12)*(1+TAXRATE),0)</f>
        <v>0</v>
      </c>
      <c r="D44" s="14" t="n">
        <f aca="false">HEADCOUNT</f>
        <v>24</v>
      </c>
      <c r="E44" s="14" t="n">
        <f aca="false">B44*D44</f>
        <v>0</v>
      </c>
      <c r="F44" s="14" t="n">
        <f aca="false">C44*D44</f>
        <v>0</v>
      </c>
      <c r="G44" s="1" t="s">
        <v>126</v>
      </c>
    </row>
    <row r="45" customFormat="false" ht="15" hidden="false" customHeight="true" outlineLevel="0" collapsed="false">
      <c r="A45" s="23" t="str">
        <f aca="false">MIE_Daily!A11</f>
        <v/>
      </c>
      <c r="B45" s="14" t="n">
        <f aca="false">INDEX(MIE_Daily!$B$2:$AO$367,ROW()-35,5+8*(MATCH($B$2,CityData!$A$3:$A$7,0)-1))</f>
        <v>0</v>
      </c>
      <c r="C45" s="14" t="n">
        <f aca="false">IF(AND(A45&lt;&gt;"",A45&lt;Parameters!$B$14),INDEX(Candidate_Model!E:E,Decision!B12)*(1+TAXRATE),0)</f>
        <v>0</v>
      </c>
      <c r="D45" s="14" t="n">
        <f aca="false">HEADCOUNT</f>
        <v>24</v>
      </c>
      <c r="E45" s="14" t="n">
        <f aca="false">B45*D45</f>
        <v>0</v>
      </c>
      <c r="F45" s="14" t="n">
        <f aca="false">C45*D45</f>
        <v>0</v>
      </c>
      <c r="G45" s="1" t="s">
        <v>126</v>
      </c>
    </row>
    <row r="46" customFormat="false" ht="15" hidden="false" customHeight="true" outlineLevel="0" collapsed="false">
      <c r="A46" s="23" t="str">
        <f aca="false">MIE_Daily!A12</f>
        <v/>
      </c>
      <c r="B46" s="14" t="n">
        <f aca="false">INDEX(MIE_Daily!$B$2:$AO$367,ROW()-35,5+8*(MATCH($B$2,CityData!$A$3:$A$7,0)-1))</f>
        <v>0</v>
      </c>
      <c r="C46" s="14" t="n">
        <f aca="false">IF(AND(A46&lt;&gt;"",A46&lt;Parameters!$B$14),INDEX(Candidate_Model!E:E,Decision!B12)*(1+TAXRATE),0)</f>
        <v>0</v>
      </c>
      <c r="D46" s="14" t="n">
        <f aca="false">HEADCOUNT</f>
        <v>24</v>
      </c>
      <c r="E46" s="14" t="n">
        <f aca="false">B46*D46</f>
        <v>0</v>
      </c>
      <c r="F46" s="14" t="n">
        <f aca="false">C46*D46</f>
        <v>0</v>
      </c>
      <c r="G46" s="1" t="s">
        <v>126</v>
      </c>
    </row>
    <row r="47" customFormat="false" ht="15" hidden="false" customHeight="true" outlineLevel="0" collapsed="false">
      <c r="A47" s="23" t="str">
        <f aca="false">MIE_Daily!A13</f>
        <v/>
      </c>
      <c r="B47" s="14" t="n">
        <f aca="false">INDEX(MIE_Daily!$B$2:$AO$367,ROW()-35,5+8*(MATCH($B$2,CityData!$A$3:$A$7,0)-1))</f>
        <v>0</v>
      </c>
      <c r="C47" s="14" t="n">
        <f aca="false">IF(AND(A47&lt;&gt;"",A47&lt;Parameters!$B$14),INDEX(Candidate_Model!E:E,Decision!B12)*(1+TAXRATE),0)</f>
        <v>0</v>
      </c>
      <c r="D47" s="14" t="n">
        <f aca="false">HEADCOUNT</f>
        <v>24</v>
      </c>
      <c r="E47" s="14" t="n">
        <f aca="false">B47*D47</f>
        <v>0</v>
      </c>
      <c r="F47" s="14" t="n">
        <f aca="false">C47*D47</f>
        <v>0</v>
      </c>
      <c r="G47" s="1" t="s">
        <v>126</v>
      </c>
    </row>
    <row r="48" customFormat="false" ht="15" hidden="false" customHeight="true" outlineLevel="0" collapsed="false">
      <c r="A48" s="23" t="str">
        <f aca="false">MIE_Daily!A14</f>
        <v/>
      </c>
      <c r="B48" s="14" t="n">
        <f aca="false">INDEX(MIE_Daily!$B$2:$AO$367,ROW()-35,5+8*(MATCH($B$2,CityData!$A$3:$A$7,0)-1))</f>
        <v>0</v>
      </c>
      <c r="C48" s="14" t="n">
        <f aca="false">IF(AND(A48&lt;&gt;"",A48&lt;Parameters!$B$14),INDEX(Candidate_Model!E:E,Decision!B12)*(1+TAXRATE),0)</f>
        <v>0</v>
      </c>
      <c r="D48" s="14" t="n">
        <f aca="false">HEADCOUNT</f>
        <v>24</v>
      </c>
      <c r="E48" s="14" t="n">
        <f aca="false">B48*D48</f>
        <v>0</v>
      </c>
      <c r="F48" s="14" t="n">
        <f aca="false">C48*D48</f>
        <v>0</v>
      </c>
      <c r="G48" s="1" t="s">
        <v>126</v>
      </c>
    </row>
    <row r="49" customFormat="false" ht="15" hidden="false" customHeight="true" outlineLevel="0" collapsed="false">
      <c r="A49" s="23" t="str">
        <f aca="false">MIE_Daily!A15</f>
        <v/>
      </c>
      <c r="B49" s="14" t="n">
        <f aca="false">INDEX(MIE_Daily!$B$2:$AO$367,ROW()-35,5+8*(MATCH($B$2,CityData!$A$3:$A$7,0)-1))</f>
        <v>0</v>
      </c>
      <c r="C49" s="14" t="n">
        <f aca="false">IF(AND(A49&lt;&gt;"",A49&lt;Parameters!$B$14),INDEX(Candidate_Model!E:E,Decision!B12)*(1+TAXRATE),0)</f>
        <v>0</v>
      </c>
      <c r="D49" s="14" t="n">
        <f aca="false">HEADCOUNT</f>
        <v>24</v>
      </c>
      <c r="E49" s="14" t="n">
        <f aca="false">B49*D49</f>
        <v>0</v>
      </c>
      <c r="F49" s="14" t="n">
        <f aca="false">C49*D49</f>
        <v>0</v>
      </c>
      <c r="G49" s="1" t="s">
        <v>126</v>
      </c>
    </row>
    <row r="50" customFormat="false" ht="15" hidden="false" customHeight="true" outlineLevel="0" collapsed="false">
      <c r="A50" s="23" t="str">
        <f aca="false">MIE_Daily!A16</f>
        <v/>
      </c>
      <c r="B50" s="14" t="n">
        <f aca="false">INDEX(MIE_Daily!$B$2:$AO$367,ROW()-35,5+8*(MATCH($B$2,CityData!$A$3:$A$7,0)-1))</f>
        <v>0</v>
      </c>
      <c r="C50" s="14" t="n">
        <f aca="false">IF(AND(A50&lt;&gt;"",A50&lt;Parameters!$B$14),INDEX(Candidate_Model!E:E,Decision!B12)*(1+TAXRATE),0)</f>
        <v>0</v>
      </c>
      <c r="D50" s="14" t="n">
        <f aca="false">HEADCOUNT</f>
        <v>24</v>
      </c>
      <c r="E50" s="14" t="n">
        <f aca="false">B50*D50</f>
        <v>0</v>
      </c>
      <c r="F50" s="14" t="n">
        <f aca="false">C50*D50</f>
        <v>0</v>
      </c>
      <c r="G50" s="1" t="s">
        <v>126</v>
      </c>
    </row>
    <row r="51" customFormat="false" ht="15" hidden="false" customHeight="true" outlineLevel="0" collapsed="false">
      <c r="A51" s="23" t="str">
        <f aca="false">MIE_Daily!A17</f>
        <v/>
      </c>
      <c r="B51" s="14" t="n">
        <f aca="false">INDEX(MIE_Daily!$B$2:$AO$367,ROW()-35,5+8*(MATCH($B$2,CityData!$A$3:$A$7,0)-1))</f>
        <v>0</v>
      </c>
      <c r="C51" s="14" t="n">
        <f aca="false">IF(AND(A51&lt;&gt;"",A51&lt;Parameters!$B$14),INDEX(Candidate_Model!E:E,Decision!B12)*(1+TAXRATE),0)</f>
        <v>0</v>
      </c>
      <c r="D51" s="14" t="n">
        <f aca="false">HEADCOUNT</f>
        <v>24</v>
      </c>
      <c r="E51" s="14" t="n">
        <f aca="false">B51*D51</f>
        <v>0</v>
      </c>
      <c r="F51" s="14" t="n">
        <f aca="false">C51*D51</f>
        <v>0</v>
      </c>
      <c r="G51" s="1" t="s">
        <v>126</v>
      </c>
    </row>
    <row r="52" customFormat="false" ht="15" hidden="false" customHeight="true" outlineLevel="0" collapsed="false">
      <c r="A52" s="23" t="str">
        <f aca="false">MIE_Daily!A18</f>
        <v/>
      </c>
      <c r="B52" s="14" t="n">
        <f aca="false">INDEX(MIE_Daily!$B$2:$AO$367,ROW()-35,5+8*(MATCH($B$2,CityData!$A$3:$A$7,0)-1))</f>
        <v>0</v>
      </c>
      <c r="C52" s="14" t="n">
        <f aca="false">IF(AND(A52&lt;&gt;"",A52&lt;Parameters!$B$14),INDEX(Candidate_Model!E:E,Decision!B12)*(1+TAXRATE),0)</f>
        <v>0</v>
      </c>
      <c r="D52" s="14" t="n">
        <f aca="false">HEADCOUNT</f>
        <v>24</v>
      </c>
      <c r="E52" s="14" t="n">
        <f aca="false">B52*D52</f>
        <v>0</v>
      </c>
      <c r="F52" s="14" t="n">
        <f aca="false">C52*D52</f>
        <v>0</v>
      </c>
      <c r="G52" s="1" t="s">
        <v>126</v>
      </c>
    </row>
    <row r="53" customFormat="false" ht="15" hidden="false" customHeight="true" outlineLevel="0" collapsed="false">
      <c r="A53" s="23" t="str">
        <f aca="false">MIE_Daily!A19</f>
        <v/>
      </c>
      <c r="B53" s="14" t="n">
        <f aca="false">INDEX(MIE_Daily!$B$2:$AO$367,ROW()-35,5+8*(MATCH($B$2,CityData!$A$3:$A$7,0)-1))</f>
        <v>0</v>
      </c>
      <c r="C53" s="14" t="n">
        <f aca="false">IF(AND(A53&lt;&gt;"",A53&lt;Parameters!$B$14),INDEX(Candidate_Model!E:E,Decision!B12)*(1+TAXRATE),0)</f>
        <v>0</v>
      </c>
      <c r="D53" s="14" t="n">
        <f aca="false">HEADCOUNT</f>
        <v>24</v>
      </c>
      <c r="E53" s="14" t="n">
        <f aca="false">B53*D53</f>
        <v>0</v>
      </c>
      <c r="F53" s="14" t="n">
        <f aca="false">C53*D53</f>
        <v>0</v>
      </c>
      <c r="G53" s="1" t="s">
        <v>126</v>
      </c>
    </row>
    <row r="54" customFormat="false" ht="15" hidden="false" customHeight="true" outlineLevel="0" collapsed="false">
      <c r="A54" s="23" t="str">
        <f aca="false">MIE_Daily!A20</f>
        <v/>
      </c>
      <c r="B54" s="14" t="n">
        <f aca="false">INDEX(MIE_Daily!$B$2:$AO$367,ROW()-35,5+8*(MATCH($B$2,CityData!$A$3:$A$7,0)-1))</f>
        <v>0</v>
      </c>
      <c r="C54" s="14" t="n">
        <f aca="false">IF(AND(A54&lt;&gt;"",A54&lt;Parameters!$B$14),INDEX(Candidate_Model!E:E,Decision!B12)*(1+TAXRATE),0)</f>
        <v>0</v>
      </c>
      <c r="D54" s="14" t="n">
        <f aca="false">HEADCOUNT</f>
        <v>24</v>
      </c>
      <c r="E54" s="14" t="n">
        <f aca="false">B54*D54</f>
        <v>0</v>
      </c>
      <c r="F54" s="14" t="n">
        <f aca="false">C54*D54</f>
        <v>0</v>
      </c>
      <c r="G54" s="1" t="s">
        <v>126</v>
      </c>
    </row>
    <row r="55" customFormat="false" ht="15" hidden="false" customHeight="true" outlineLevel="0" collapsed="false">
      <c r="A55" s="23" t="str">
        <f aca="false">MIE_Daily!A21</f>
        <v/>
      </c>
      <c r="B55" s="14" t="n">
        <f aca="false">INDEX(MIE_Daily!$B$2:$AO$367,ROW()-35,5+8*(MATCH($B$2,CityData!$A$3:$A$7,0)-1))</f>
        <v>0</v>
      </c>
      <c r="C55" s="14" t="n">
        <f aca="false">IF(AND(A55&lt;&gt;"",A55&lt;Parameters!$B$14),INDEX(Candidate_Model!E:E,Decision!B12)*(1+TAXRATE),0)</f>
        <v>0</v>
      </c>
      <c r="D55" s="14" t="n">
        <f aca="false">HEADCOUNT</f>
        <v>24</v>
      </c>
      <c r="E55" s="14" t="n">
        <f aca="false">B55*D55</f>
        <v>0</v>
      </c>
      <c r="F55" s="14" t="n">
        <f aca="false">C55*D55</f>
        <v>0</v>
      </c>
      <c r="G55" s="1" t="s">
        <v>126</v>
      </c>
    </row>
    <row r="56" customFormat="false" ht="15" hidden="false" customHeight="true" outlineLevel="0" collapsed="false">
      <c r="A56" s="23" t="str">
        <f aca="false">MIE_Daily!A22</f>
        <v/>
      </c>
      <c r="B56" s="14" t="n">
        <f aca="false">INDEX(MIE_Daily!$B$2:$AO$367,ROW()-35,5+8*(MATCH($B$2,CityData!$A$3:$A$7,0)-1))</f>
        <v>0</v>
      </c>
      <c r="C56" s="14" t="n">
        <f aca="false">IF(AND(A56&lt;&gt;"",A56&lt;Parameters!$B$14),INDEX(Candidate_Model!E:E,Decision!B12)*(1+TAXRATE),0)</f>
        <v>0</v>
      </c>
      <c r="D56" s="14" t="n">
        <f aca="false">HEADCOUNT</f>
        <v>24</v>
      </c>
      <c r="E56" s="14" t="n">
        <f aca="false">B56*D56</f>
        <v>0</v>
      </c>
      <c r="F56" s="14" t="n">
        <f aca="false">C56*D56</f>
        <v>0</v>
      </c>
      <c r="G56" s="1" t="s">
        <v>126</v>
      </c>
    </row>
    <row r="57" customFormat="false" ht="15" hidden="false" customHeight="true" outlineLevel="0" collapsed="false">
      <c r="A57" s="23" t="str">
        <f aca="false">MIE_Daily!A23</f>
        <v/>
      </c>
      <c r="B57" s="14" t="n">
        <f aca="false">INDEX(MIE_Daily!$B$2:$AO$367,ROW()-35,5+8*(MATCH($B$2,CityData!$A$3:$A$7,0)-1))</f>
        <v>0</v>
      </c>
      <c r="C57" s="14" t="n">
        <f aca="false">IF(AND(A57&lt;&gt;"",A57&lt;Parameters!$B$14),INDEX(Candidate_Model!E:E,Decision!B12)*(1+TAXRATE),0)</f>
        <v>0</v>
      </c>
      <c r="D57" s="14" t="n">
        <f aca="false">HEADCOUNT</f>
        <v>24</v>
      </c>
      <c r="E57" s="14" t="n">
        <f aca="false">B57*D57</f>
        <v>0</v>
      </c>
      <c r="F57" s="14" t="n">
        <f aca="false">C57*D57</f>
        <v>0</v>
      </c>
      <c r="G57" s="1" t="s">
        <v>126</v>
      </c>
    </row>
    <row r="58" customFormat="false" ht="15" hidden="false" customHeight="true" outlineLevel="0" collapsed="false">
      <c r="A58" s="23" t="str">
        <f aca="false">MIE_Daily!A24</f>
        <v/>
      </c>
      <c r="B58" s="14" t="n">
        <f aca="false">INDEX(MIE_Daily!$B$2:$AO$367,ROW()-35,5+8*(MATCH($B$2,CityData!$A$3:$A$7,0)-1))</f>
        <v>0</v>
      </c>
      <c r="C58" s="14" t="n">
        <f aca="false">IF(AND(A58&lt;&gt;"",A58&lt;Parameters!$B$14),INDEX(Candidate_Model!E:E,Decision!B12)*(1+TAXRATE),0)</f>
        <v>0</v>
      </c>
      <c r="D58" s="14" t="n">
        <f aca="false">HEADCOUNT</f>
        <v>24</v>
      </c>
      <c r="E58" s="14" t="n">
        <f aca="false">B58*D58</f>
        <v>0</v>
      </c>
      <c r="F58" s="14" t="n">
        <f aca="false">C58*D58</f>
        <v>0</v>
      </c>
      <c r="G58" s="1" t="s">
        <v>126</v>
      </c>
    </row>
    <row r="59" customFormat="false" ht="15" hidden="false" customHeight="true" outlineLevel="0" collapsed="false">
      <c r="A59" s="23" t="str">
        <f aca="false">MIE_Daily!A25</f>
        <v/>
      </c>
      <c r="B59" s="14" t="n">
        <f aca="false">INDEX(MIE_Daily!$B$2:$AO$367,ROW()-35,5+8*(MATCH($B$2,CityData!$A$3:$A$7,0)-1))</f>
        <v>0</v>
      </c>
      <c r="C59" s="14" t="n">
        <f aca="false">IF(AND(A59&lt;&gt;"",A59&lt;Parameters!$B$14),INDEX(Candidate_Model!E:E,Decision!B12)*(1+TAXRATE),0)</f>
        <v>0</v>
      </c>
      <c r="D59" s="14" t="n">
        <f aca="false">HEADCOUNT</f>
        <v>24</v>
      </c>
      <c r="E59" s="14" t="n">
        <f aca="false">B59*D59</f>
        <v>0</v>
      </c>
      <c r="F59" s="14" t="n">
        <f aca="false">C59*D59</f>
        <v>0</v>
      </c>
      <c r="G59" s="1" t="s">
        <v>126</v>
      </c>
    </row>
    <row r="60" customFormat="false" ht="15" hidden="false" customHeight="true" outlineLevel="0" collapsed="false">
      <c r="A60" s="23" t="str">
        <f aca="false">MIE_Daily!A26</f>
        <v/>
      </c>
      <c r="B60" s="14" t="n">
        <f aca="false">INDEX(MIE_Daily!$B$2:$AO$367,ROW()-35,5+8*(MATCH($B$2,CityData!$A$3:$A$7,0)-1))</f>
        <v>0</v>
      </c>
      <c r="C60" s="14" t="n">
        <f aca="false">IF(AND(A60&lt;&gt;"",A60&lt;Parameters!$B$14),INDEX(Candidate_Model!E:E,Decision!B12)*(1+TAXRATE),0)</f>
        <v>0</v>
      </c>
      <c r="D60" s="14" t="n">
        <f aca="false">HEADCOUNT</f>
        <v>24</v>
      </c>
      <c r="E60" s="14" t="n">
        <f aca="false">B60*D60</f>
        <v>0</v>
      </c>
      <c r="F60" s="14" t="n">
        <f aca="false">C60*D60</f>
        <v>0</v>
      </c>
      <c r="G60" s="1" t="s">
        <v>126</v>
      </c>
    </row>
    <row r="61" customFormat="false" ht="15" hidden="false" customHeight="true" outlineLevel="0" collapsed="false">
      <c r="A61" s="23" t="str">
        <f aca="false">MIE_Daily!A27</f>
        <v/>
      </c>
      <c r="B61" s="14" t="n">
        <f aca="false">INDEX(MIE_Daily!$B$2:$AO$367,ROW()-35,5+8*(MATCH($B$2,CityData!$A$3:$A$7,0)-1))</f>
        <v>0</v>
      </c>
      <c r="C61" s="14" t="n">
        <f aca="false">IF(AND(A61&lt;&gt;"",A61&lt;Parameters!$B$14),INDEX(Candidate_Model!E:E,Decision!B12)*(1+TAXRATE),0)</f>
        <v>0</v>
      </c>
      <c r="D61" s="14" t="n">
        <f aca="false">HEADCOUNT</f>
        <v>24</v>
      </c>
      <c r="E61" s="14" t="n">
        <f aca="false">B61*D61</f>
        <v>0</v>
      </c>
      <c r="F61" s="14" t="n">
        <f aca="false">C61*D61</f>
        <v>0</v>
      </c>
      <c r="G61" s="1" t="s">
        <v>126</v>
      </c>
    </row>
    <row r="62" customFormat="false" ht="15" hidden="false" customHeight="true" outlineLevel="0" collapsed="false">
      <c r="A62" s="23" t="str">
        <f aca="false">MIE_Daily!A28</f>
        <v/>
      </c>
      <c r="B62" s="14" t="n">
        <f aca="false">INDEX(MIE_Daily!$B$2:$AO$367,ROW()-35,5+8*(MATCH($B$2,CityData!$A$3:$A$7,0)-1))</f>
        <v>0</v>
      </c>
      <c r="C62" s="14" t="n">
        <f aca="false">IF(AND(A62&lt;&gt;"",A62&lt;Parameters!$B$14),INDEX(Candidate_Model!E:E,Decision!B12)*(1+TAXRATE),0)</f>
        <v>0</v>
      </c>
      <c r="D62" s="14" t="n">
        <f aca="false">HEADCOUNT</f>
        <v>24</v>
      </c>
      <c r="E62" s="14" t="n">
        <f aca="false">B62*D62</f>
        <v>0</v>
      </c>
      <c r="F62" s="14" t="n">
        <f aca="false">C62*D62</f>
        <v>0</v>
      </c>
      <c r="G62" s="1" t="s">
        <v>126</v>
      </c>
    </row>
    <row r="63" customFormat="false" ht="15" hidden="false" customHeight="true" outlineLevel="0" collapsed="false">
      <c r="A63" s="23" t="str">
        <f aca="false">MIE_Daily!A29</f>
        <v/>
      </c>
      <c r="B63" s="14" t="n">
        <f aca="false">INDEX(MIE_Daily!$B$2:$AO$367,ROW()-35,5+8*(MATCH($B$2,CityData!$A$3:$A$7,0)-1))</f>
        <v>0</v>
      </c>
      <c r="C63" s="14" t="n">
        <f aca="false">IF(AND(A63&lt;&gt;"",A63&lt;Parameters!$B$14),INDEX(Candidate_Model!E:E,Decision!B12)*(1+TAXRATE),0)</f>
        <v>0</v>
      </c>
      <c r="D63" s="14" t="n">
        <f aca="false">HEADCOUNT</f>
        <v>24</v>
      </c>
      <c r="E63" s="14" t="n">
        <f aca="false">B63*D63</f>
        <v>0</v>
      </c>
      <c r="F63" s="14" t="n">
        <f aca="false">C63*D63</f>
        <v>0</v>
      </c>
      <c r="G63" s="1" t="s">
        <v>126</v>
      </c>
    </row>
    <row r="64" customFormat="false" ht="15" hidden="false" customHeight="true" outlineLevel="0" collapsed="false">
      <c r="A64" s="23" t="str">
        <f aca="false">MIE_Daily!A30</f>
        <v/>
      </c>
      <c r="B64" s="14" t="n">
        <f aca="false">INDEX(MIE_Daily!$B$2:$AO$367,ROW()-35,5+8*(MATCH($B$2,CityData!$A$3:$A$7,0)-1))</f>
        <v>0</v>
      </c>
      <c r="C64" s="14" t="n">
        <f aca="false">IF(AND(A64&lt;&gt;"",A64&lt;Parameters!$B$14),INDEX(Candidate_Model!E:E,Decision!B12)*(1+TAXRATE),0)</f>
        <v>0</v>
      </c>
      <c r="D64" s="14" t="n">
        <f aca="false">HEADCOUNT</f>
        <v>24</v>
      </c>
      <c r="E64" s="14" t="n">
        <f aca="false">B64*D64</f>
        <v>0</v>
      </c>
      <c r="F64" s="14" t="n">
        <f aca="false">C64*D64</f>
        <v>0</v>
      </c>
      <c r="G64" s="1" t="s">
        <v>126</v>
      </c>
    </row>
    <row r="65" customFormat="false" ht="15" hidden="false" customHeight="true" outlineLevel="0" collapsed="false">
      <c r="A65" s="23" t="str">
        <f aca="false">MIE_Daily!A31</f>
        <v/>
      </c>
      <c r="B65" s="14" t="n">
        <f aca="false">INDEX(MIE_Daily!$B$2:$AO$367,ROW()-35,5+8*(MATCH($B$2,CityData!$A$3:$A$7,0)-1))</f>
        <v>0</v>
      </c>
      <c r="C65" s="14" t="n">
        <f aca="false">IF(AND(A65&lt;&gt;"",A65&lt;Parameters!$B$14),INDEX(Candidate_Model!E:E,Decision!B12)*(1+TAXRATE),0)</f>
        <v>0</v>
      </c>
      <c r="D65" s="14" t="n">
        <f aca="false">HEADCOUNT</f>
        <v>24</v>
      </c>
      <c r="E65" s="14" t="n">
        <f aca="false">B65*D65</f>
        <v>0</v>
      </c>
      <c r="F65" s="14" t="n">
        <f aca="false">C65*D65</f>
        <v>0</v>
      </c>
      <c r="G65" s="1" t="s">
        <v>126</v>
      </c>
    </row>
    <row r="66" customFormat="false" ht="15" hidden="false" customHeight="true" outlineLevel="0" collapsed="false">
      <c r="A66" s="23" t="str">
        <f aca="false">MIE_Daily!A32</f>
        <v/>
      </c>
      <c r="B66" s="14" t="n">
        <f aca="false">INDEX(MIE_Daily!$B$2:$AO$367,ROW()-35,5+8*(MATCH($B$2,CityData!$A$3:$A$7,0)-1))</f>
        <v>0</v>
      </c>
      <c r="C66" s="14" t="n">
        <f aca="false">IF(AND(A66&lt;&gt;"",A66&lt;Parameters!$B$14),INDEX(Candidate_Model!E:E,Decision!B12)*(1+TAXRATE),0)</f>
        <v>0</v>
      </c>
      <c r="D66" s="14" t="n">
        <f aca="false">HEADCOUNT</f>
        <v>24</v>
      </c>
      <c r="E66" s="14" t="n">
        <f aca="false">B66*D66</f>
        <v>0</v>
      </c>
      <c r="F66" s="14" t="n">
        <f aca="false">C66*D66</f>
        <v>0</v>
      </c>
      <c r="G66" s="1" t="s">
        <v>126</v>
      </c>
    </row>
    <row r="67" customFormat="false" ht="15" hidden="false" customHeight="true" outlineLevel="0" collapsed="false">
      <c r="A67" s="23" t="str">
        <f aca="false">MIE_Daily!A33</f>
        <v/>
      </c>
      <c r="B67" s="14" t="n">
        <f aca="false">INDEX(MIE_Daily!$B$2:$AO$367,ROW()-35,5+8*(MATCH($B$2,CityData!$A$3:$A$7,0)-1))</f>
        <v>0</v>
      </c>
      <c r="C67" s="14" t="n">
        <f aca="false">IF(AND(A67&lt;&gt;"",A67&lt;Parameters!$B$14),INDEX(Candidate_Model!E:E,Decision!B12)*(1+TAXRATE),0)</f>
        <v>0</v>
      </c>
      <c r="D67" s="14" t="n">
        <f aca="false">HEADCOUNT</f>
        <v>24</v>
      </c>
      <c r="E67" s="14" t="n">
        <f aca="false">B67*D67</f>
        <v>0</v>
      </c>
      <c r="F67" s="14" t="n">
        <f aca="false">C67*D67</f>
        <v>0</v>
      </c>
      <c r="G67" s="1" t="s">
        <v>126</v>
      </c>
    </row>
    <row r="68" customFormat="false" ht="15" hidden="false" customHeight="true" outlineLevel="0" collapsed="false">
      <c r="A68" s="23" t="str">
        <f aca="false">MIE_Daily!A34</f>
        <v/>
      </c>
      <c r="B68" s="14" t="n">
        <f aca="false">INDEX(MIE_Daily!$B$2:$AO$367,ROW()-35,5+8*(MATCH($B$2,CityData!$A$3:$A$7,0)-1))</f>
        <v>0</v>
      </c>
      <c r="C68" s="14" t="n">
        <f aca="false">IF(AND(A68&lt;&gt;"",A68&lt;Parameters!$B$14),INDEX(Candidate_Model!E:E,Decision!B12)*(1+TAXRATE),0)</f>
        <v>0</v>
      </c>
      <c r="D68" s="14" t="n">
        <f aca="false">HEADCOUNT</f>
        <v>24</v>
      </c>
      <c r="E68" s="14" t="n">
        <f aca="false">B68*D68</f>
        <v>0</v>
      </c>
      <c r="F68" s="14" t="n">
        <f aca="false">C68*D68</f>
        <v>0</v>
      </c>
      <c r="G68" s="1" t="s">
        <v>126</v>
      </c>
    </row>
    <row r="69" customFormat="false" ht="15" hidden="false" customHeight="true" outlineLevel="0" collapsed="false">
      <c r="A69" s="23" t="str">
        <f aca="false">MIE_Daily!A35</f>
        <v/>
      </c>
      <c r="B69" s="14" t="n">
        <f aca="false">INDEX(MIE_Daily!$B$2:$AO$367,ROW()-35,5+8*(MATCH($B$2,CityData!$A$3:$A$7,0)-1))</f>
        <v>0</v>
      </c>
      <c r="C69" s="14" t="n">
        <f aca="false">IF(AND(A69&lt;&gt;"",A69&lt;Parameters!$B$14),INDEX(Candidate_Model!E:E,Decision!B12)*(1+TAXRATE),0)</f>
        <v>0</v>
      </c>
      <c r="D69" s="14" t="n">
        <f aca="false">HEADCOUNT</f>
        <v>24</v>
      </c>
      <c r="E69" s="14" t="n">
        <f aca="false">B69*D69</f>
        <v>0</v>
      </c>
      <c r="F69" s="14" t="n">
        <f aca="false">C69*D69</f>
        <v>0</v>
      </c>
      <c r="G69" s="1" t="s">
        <v>126</v>
      </c>
    </row>
    <row r="70" customFormat="false" ht="15" hidden="false" customHeight="true" outlineLevel="0" collapsed="false">
      <c r="A70" s="23" t="str">
        <f aca="false">MIE_Daily!A36</f>
        <v/>
      </c>
      <c r="B70" s="14" t="n">
        <f aca="false">INDEX(MIE_Daily!$B$2:$AO$367,ROW()-35,5+8*(MATCH($B$2,CityData!$A$3:$A$7,0)-1))</f>
        <v>0</v>
      </c>
      <c r="C70" s="14" t="n">
        <f aca="false">IF(AND(A70&lt;&gt;"",A70&lt;Parameters!$B$14),INDEX(Candidate_Model!E:E,Decision!B12)*(1+TAXRATE),0)</f>
        <v>0</v>
      </c>
      <c r="D70" s="14" t="n">
        <f aca="false">HEADCOUNT</f>
        <v>24</v>
      </c>
      <c r="E70" s="14" t="n">
        <f aca="false">B70*D70</f>
        <v>0</v>
      </c>
      <c r="F70" s="14" t="n">
        <f aca="false">C70*D70</f>
        <v>0</v>
      </c>
      <c r="G70" s="1" t="s">
        <v>126</v>
      </c>
    </row>
    <row r="71" customFormat="false" ht="15" hidden="false" customHeight="true" outlineLevel="0" collapsed="false">
      <c r="A71" s="23" t="str">
        <f aca="false">MIE_Daily!A37</f>
        <v/>
      </c>
      <c r="B71" s="14" t="n">
        <f aca="false">INDEX(MIE_Daily!$B$2:$AO$367,ROW()-35,5+8*(MATCH($B$2,CityData!$A$3:$A$7,0)-1))</f>
        <v>0</v>
      </c>
      <c r="C71" s="14" t="n">
        <f aca="false">IF(AND(A71&lt;&gt;"",A71&lt;Parameters!$B$14),INDEX(Candidate_Model!E:E,Decision!B12)*(1+TAXRATE),0)</f>
        <v>0</v>
      </c>
      <c r="D71" s="14" t="n">
        <f aca="false">HEADCOUNT</f>
        <v>24</v>
      </c>
      <c r="E71" s="14" t="n">
        <f aca="false">B71*D71</f>
        <v>0</v>
      </c>
      <c r="F71" s="14" t="n">
        <f aca="false">C71*D71</f>
        <v>0</v>
      </c>
      <c r="G71" s="1" t="s">
        <v>126</v>
      </c>
    </row>
    <row r="72" customFormat="false" ht="15" hidden="false" customHeight="true" outlineLevel="0" collapsed="false">
      <c r="A72" s="23" t="str">
        <f aca="false">MIE_Daily!A38</f>
        <v/>
      </c>
      <c r="B72" s="14" t="n">
        <f aca="false">INDEX(MIE_Daily!$B$2:$AO$367,ROW()-35,5+8*(MATCH($B$2,CityData!$A$3:$A$7,0)-1))</f>
        <v>0</v>
      </c>
      <c r="C72" s="14" t="n">
        <f aca="false">IF(AND(A72&lt;&gt;"",A72&lt;Parameters!$B$14),INDEX(Candidate_Model!E:E,Decision!B12)*(1+TAXRATE),0)</f>
        <v>0</v>
      </c>
      <c r="D72" s="14" t="n">
        <f aca="false">HEADCOUNT</f>
        <v>24</v>
      </c>
      <c r="E72" s="14" t="n">
        <f aca="false">B72*D72</f>
        <v>0</v>
      </c>
      <c r="F72" s="14" t="n">
        <f aca="false">C72*D72</f>
        <v>0</v>
      </c>
      <c r="G72" s="1" t="s">
        <v>126</v>
      </c>
    </row>
    <row r="73" customFormat="false" ht="15" hidden="false" customHeight="true" outlineLevel="0" collapsed="false">
      <c r="A73" s="23" t="str">
        <f aca="false">MIE_Daily!A39</f>
        <v/>
      </c>
      <c r="B73" s="14" t="n">
        <f aca="false">INDEX(MIE_Daily!$B$2:$AO$367,ROW()-35,5+8*(MATCH($B$2,CityData!$A$3:$A$7,0)-1))</f>
        <v>0</v>
      </c>
      <c r="C73" s="14" t="n">
        <f aca="false">IF(AND(A73&lt;&gt;"",A73&lt;Parameters!$B$14),INDEX(Candidate_Model!E:E,Decision!B12)*(1+TAXRATE),0)</f>
        <v>0</v>
      </c>
      <c r="D73" s="14" t="n">
        <f aca="false">HEADCOUNT</f>
        <v>24</v>
      </c>
      <c r="E73" s="14" t="n">
        <f aca="false">B73*D73</f>
        <v>0</v>
      </c>
      <c r="F73" s="14" t="n">
        <f aca="false">C73*D73</f>
        <v>0</v>
      </c>
      <c r="G73" s="1" t="s">
        <v>126</v>
      </c>
    </row>
    <row r="74" customFormat="false" ht="15" hidden="false" customHeight="true" outlineLevel="0" collapsed="false">
      <c r="A74" s="23" t="str">
        <f aca="false">MIE_Daily!A40</f>
        <v/>
      </c>
      <c r="B74" s="14" t="n">
        <f aca="false">INDEX(MIE_Daily!$B$2:$AO$367,ROW()-35,5+8*(MATCH($B$2,CityData!$A$3:$A$7,0)-1))</f>
        <v>0</v>
      </c>
      <c r="C74" s="14" t="n">
        <f aca="false">IF(AND(A74&lt;&gt;"",A74&lt;Parameters!$B$14),INDEX(Candidate_Model!E:E,Decision!B12)*(1+TAXRATE),0)</f>
        <v>0</v>
      </c>
      <c r="D74" s="14" t="n">
        <f aca="false">HEADCOUNT</f>
        <v>24</v>
      </c>
      <c r="E74" s="14" t="n">
        <f aca="false">B74*D74</f>
        <v>0</v>
      </c>
      <c r="F74" s="14" t="n">
        <f aca="false">C74*D74</f>
        <v>0</v>
      </c>
      <c r="G74" s="1" t="s">
        <v>126</v>
      </c>
    </row>
    <row r="75" customFormat="false" ht="15" hidden="false" customHeight="true" outlineLevel="0" collapsed="false">
      <c r="A75" s="23" t="str">
        <f aca="false">MIE_Daily!A41</f>
        <v/>
      </c>
      <c r="B75" s="14" t="n">
        <f aca="false">INDEX(MIE_Daily!$B$2:$AO$367,ROW()-35,5+8*(MATCH($B$2,CityData!$A$3:$A$7,0)-1))</f>
        <v>0</v>
      </c>
      <c r="C75" s="14" t="n">
        <f aca="false">IF(AND(A75&lt;&gt;"",A75&lt;Parameters!$B$14),INDEX(Candidate_Model!E:E,Decision!B12)*(1+TAXRATE),0)</f>
        <v>0</v>
      </c>
      <c r="D75" s="14" t="n">
        <f aca="false">HEADCOUNT</f>
        <v>24</v>
      </c>
      <c r="E75" s="14" t="n">
        <f aca="false">B75*D75</f>
        <v>0</v>
      </c>
      <c r="F75" s="14" t="n">
        <f aca="false">C75*D75</f>
        <v>0</v>
      </c>
      <c r="G75" s="1" t="s">
        <v>126</v>
      </c>
    </row>
    <row r="76" customFormat="false" ht="15" hidden="false" customHeight="true" outlineLevel="0" collapsed="false">
      <c r="A76" s="23" t="str">
        <f aca="false">MIE_Daily!A42</f>
        <v/>
      </c>
      <c r="B76" s="14" t="n">
        <f aca="false">INDEX(MIE_Daily!$B$2:$AO$367,ROW()-35,5+8*(MATCH($B$2,CityData!$A$3:$A$7,0)-1))</f>
        <v>0</v>
      </c>
      <c r="C76" s="14" t="n">
        <f aca="false">IF(AND(A76&lt;&gt;"",A76&lt;Parameters!$B$14),INDEX(Candidate_Model!E:E,Decision!B12)*(1+TAXRATE),0)</f>
        <v>0</v>
      </c>
      <c r="D76" s="14" t="n">
        <f aca="false">HEADCOUNT</f>
        <v>24</v>
      </c>
      <c r="E76" s="14" t="n">
        <f aca="false">B76*D76</f>
        <v>0</v>
      </c>
      <c r="F76" s="14" t="n">
        <f aca="false">C76*D76</f>
        <v>0</v>
      </c>
      <c r="G76" s="1" t="s">
        <v>126</v>
      </c>
    </row>
    <row r="77" customFormat="false" ht="15" hidden="false" customHeight="true" outlineLevel="0" collapsed="false">
      <c r="A77" s="23" t="str">
        <f aca="false">MIE_Daily!A43</f>
        <v/>
      </c>
      <c r="B77" s="14" t="n">
        <f aca="false">INDEX(MIE_Daily!$B$2:$AO$367,ROW()-35,5+8*(MATCH($B$2,CityData!$A$3:$A$7,0)-1))</f>
        <v>0</v>
      </c>
      <c r="C77" s="14" t="n">
        <f aca="false">IF(AND(A77&lt;&gt;"",A77&lt;Parameters!$B$14),INDEX(Candidate_Model!E:E,Decision!B12)*(1+TAXRATE),0)</f>
        <v>0</v>
      </c>
      <c r="D77" s="14" t="n">
        <f aca="false">HEADCOUNT</f>
        <v>24</v>
      </c>
      <c r="E77" s="14" t="n">
        <f aca="false">B77*D77</f>
        <v>0</v>
      </c>
      <c r="F77" s="14" t="n">
        <f aca="false">C77*D77</f>
        <v>0</v>
      </c>
      <c r="G77" s="1" t="s">
        <v>126</v>
      </c>
    </row>
    <row r="78" customFormat="false" ht="15" hidden="false" customHeight="true" outlineLevel="0" collapsed="false">
      <c r="A78" s="23" t="str">
        <f aca="false">MIE_Daily!A44</f>
        <v/>
      </c>
      <c r="B78" s="14" t="n">
        <f aca="false">INDEX(MIE_Daily!$B$2:$AO$367,ROW()-35,5+8*(MATCH($B$2,CityData!$A$3:$A$7,0)-1))</f>
        <v>0</v>
      </c>
      <c r="C78" s="14" t="n">
        <f aca="false">IF(AND(A78&lt;&gt;"",A78&lt;Parameters!$B$14),INDEX(Candidate_Model!E:E,Decision!B12)*(1+TAXRATE),0)</f>
        <v>0</v>
      </c>
      <c r="D78" s="14" t="n">
        <f aca="false">HEADCOUNT</f>
        <v>24</v>
      </c>
      <c r="E78" s="14" t="n">
        <f aca="false">B78*D78</f>
        <v>0</v>
      </c>
      <c r="F78" s="14" t="n">
        <f aca="false">C78*D78</f>
        <v>0</v>
      </c>
      <c r="G78" s="1" t="s">
        <v>126</v>
      </c>
    </row>
    <row r="79" customFormat="false" ht="15" hidden="false" customHeight="true" outlineLevel="0" collapsed="false">
      <c r="A79" s="23" t="str">
        <f aca="false">MIE_Daily!A45</f>
        <v/>
      </c>
      <c r="B79" s="14" t="n">
        <f aca="false">INDEX(MIE_Daily!$B$2:$AO$367,ROW()-35,5+8*(MATCH($B$2,CityData!$A$3:$A$7,0)-1))</f>
        <v>0</v>
      </c>
      <c r="C79" s="14" t="n">
        <f aca="false">IF(AND(A79&lt;&gt;"",A79&lt;Parameters!$B$14),INDEX(Candidate_Model!E:E,Decision!B12)*(1+TAXRATE),0)</f>
        <v>0</v>
      </c>
      <c r="D79" s="14" t="n">
        <f aca="false">HEADCOUNT</f>
        <v>24</v>
      </c>
      <c r="E79" s="14" t="n">
        <f aca="false">B79*D79</f>
        <v>0</v>
      </c>
      <c r="F79" s="14" t="n">
        <f aca="false">C79*D79</f>
        <v>0</v>
      </c>
      <c r="G79" s="1" t="s">
        <v>126</v>
      </c>
    </row>
    <row r="80" customFormat="false" ht="15" hidden="false" customHeight="true" outlineLevel="0" collapsed="false">
      <c r="A80" s="23" t="str">
        <f aca="false">MIE_Daily!A46</f>
        <v/>
      </c>
      <c r="B80" s="14" t="n">
        <f aca="false">INDEX(MIE_Daily!$B$2:$AO$367,ROW()-35,5+8*(MATCH($B$2,CityData!$A$3:$A$7,0)-1))</f>
        <v>0</v>
      </c>
      <c r="C80" s="14" t="n">
        <f aca="false">IF(AND(A80&lt;&gt;"",A80&lt;Parameters!$B$14),INDEX(Candidate_Model!E:E,Decision!B12)*(1+TAXRATE),0)</f>
        <v>0</v>
      </c>
      <c r="D80" s="14" t="n">
        <f aca="false">HEADCOUNT</f>
        <v>24</v>
      </c>
      <c r="E80" s="14" t="n">
        <f aca="false">B80*D80</f>
        <v>0</v>
      </c>
      <c r="F80" s="14" t="n">
        <f aca="false">C80*D80</f>
        <v>0</v>
      </c>
      <c r="G80" s="1" t="s">
        <v>126</v>
      </c>
    </row>
    <row r="81" customFormat="false" ht="15" hidden="false" customHeight="true" outlineLevel="0" collapsed="false">
      <c r="A81" s="23" t="str">
        <f aca="false">MIE_Daily!A47</f>
        <v/>
      </c>
      <c r="B81" s="14" t="n">
        <f aca="false">INDEX(MIE_Daily!$B$2:$AO$367,ROW()-35,5+8*(MATCH($B$2,CityData!$A$3:$A$7,0)-1))</f>
        <v>0</v>
      </c>
      <c r="C81" s="14" t="n">
        <f aca="false">IF(AND(A81&lt;&gt;"",A81&lt;Parameters!$B$14),INDEX(Candidate_Model!E:E,Decision!B12)*(1+TAXRATE),0)</f>
        <v>0</v>
      </c>
      <c r="D81" s="14" t="n">
        <f aca="false">HEADCOUNT</f>
        <v>24</v>
      </c>
      <c r="E81" s="14" t="n">
        <f aca="false">B81*D81</f>
        <v>0</v>
      </c>
      <c r="F81" s="14" t="n">
        <f aca="false">C81*D81</f>
        <v>0</v>
      </c>
      <c r="G81" s="1" t="s">
        <v>126</v>
      </c>
    </row>
    <row r="82" customFormat="false" ht="15" hidden="false" customHeight="true" outlineLevel="0" collapsed="false">
      <c r="A82" s="23" t="str">
        <f aca="false">MIE_Daily!A48</f>
        <v/>
      </c>
      <c r="B82" s="14" t="n">
        <f aca="false">INDEX(MIE_Daily!$B$2:$AO$367,ROW()-35,5+8*(MATCH($B$2,CityData!$A$3:$A$7,0)-1))</f>
        <v>0</v>
      </c>
      <c r="C82" s="14" t="n">
        <f aca="false">IF(AND(A82&lt;&gt;"",A82&lt;Parameters!$B$14),INDEX(Candidate_Model!E:E,Decision!B12)*(1+TAXRATE),0)</f>
        <v>0</v>
      </c>
      <c r="D82" s="14" t="n">
        <f aca="false">HEADCOUNT</f>
        <v>24</v>
      </c>
      <c r="E82" s="14" t="n">
        <f aca="false">B82*D82</f>
        <v>0</v>
      </c>
      <c r="F82" s="14" t="n">
        <f aca="false">C82*D82</f>
        <v>0</v>
      </c>
      <c r="G82" s="1" t="s">
        <v>126</v>
      </c>
    </row>
    <row r="83" customFormat="false" ht="15" hidden="false" customHeight="true" outlineLevel="0" collapsed="false">
      <c r="A83" s="23" t="str">
        <f aca="false">MIE_Daily!A49</f>
        <v/>
      </c>
      <c r="B83" s="14" t="n">
        <f aca="false">INDEX(MIE_Daily!$B$2:$AO$367,ROW()-35,5+8*(MATCH($B$2,CityData!$A$3:$A$7,0)-1))</f>
        <v>0</v>
      </c>
      <c r="C83" s="14" t="n">
        <f aca="false">IF(AND(A83&lt;&gt;"",A83&lt;Parameters!$B$14),INDEX(Candidate_Model!E:E,Decision!B12)*(1+TAXRATE),0)</f>
        <v>0</v>
      </c>
      <c r="D83" s="14" t="n">
        <f aca="false">HEADCOUNT</f>
        <v>24</v>
      </c>
      <c r="E83" s="14" t="n">
        <f aca="false">B83*D83</f>
        <v>0</v>
      </c>
      <c r="F83" s="14" t="n">
        <f aca="false">C83*D83</f>
        <v>0</v>
      </c>
      <c r="G83" s="1" t="s">
        <v>126</v>
      </c>
    </row>
    <row r="84" customFormat="false" ht="15" hidden="false" customHeight="true" outlineLevel="0" collapsed="false">
      <c r="A84" s="23" t="str">
        <f aca="false">MIE_Daily!A50</f>
        <v/>
      </c>
      <c r="B84" s="14" t="n">
        <f aca="false">INDEX(MIE_Daily!$B$2:$AO$367,ROW()-35,5+8*(MATCH($B$2,CityData!$A$3:$A$7,0)-1))</f>
        <v>0</v>
      </c>
      <c r="C84" s="14" t="n">
        <f aca="false">IF(AND(A84&lt;&gt;"",A84&lt;Parameters!$B$14),INDEX(Candidate_Model!E:E,Decision!B12)*(1+TAXRATE),0)</f>
        <v>0</v>
      </c>
      <c r="D84" s="14" t="n">
        <f aca="false">HEADCOUNT</f>
        <v>24</v>
      </c>
      <c r="E84" s="14" t="n">
        <f aca="false">B84*D84</f>
        <v>0</v>
      </c>
      <c r="F84" s="14" t="n">
        <f aca="false">C84*D84</f>
        <v>0</v>
      </c>
      <c r="G84" s="1" t="s">
        <v>126</v>
      </c>
    </row>
    <row r="85" customFormat="false" ht="15" hidden="false" customHeight="true" outlineLevel="0" collapsed="false">
      <c r="A85" s="23" t="str">
        <f aca="false">MIE_Daily!A51</f>
        <v/>
      </c>
      <c r="B85" s="14" t="n">
        <f aca="false">INDEX(MIE_Daily!$B$2:$AO$367,ROW()-35,5+8*(MATCH($B$2,CityData!$A$3:$A$7,0)-1))</f>
        <v>0</v>
      </c>
      <c r="C85" s="14" t="n">
        <f aca="false">IF(AND(A85&lt;&gt;"",A85&lt;Parameters!$B$14),INDEX(Candidate_Model!E:E,Decision!B12)*(1+TAXRATE),0)</f>
        <v>0</v>
      </c>
      <c r="D85" s="14" t="n">
        <f aca="false">HEADCOUNT</f>
        <v>24</v>
      </c>
      <c r="E85" s="14" t="n">
        <f aca="false">B85*D85</f>
        <v>0</v>
      </c>
      <c r="F85" s="14" t="n">
        <f aca="false">C85*D85</f>
        <v>0</v>
      </c>
      <c r="G85" s="1" t="s">
        <v>126</v>
      </c>
    </row>
    <row r="86" customFormat="false" ht="15" hidden="false" customHeight="true" outlineLevel="0" collapsed="false">
      <c r="A86" s="23" t="str">
        <f aca="false">MIE_Daily!A52</f>
        <v/>
      </c>
      <c r="B86" s="14" t="n">
        <f aca="false">INDEX(MIE_Daily!$B$2:$AO$367,ROW()-35,5+8*(MATCH($B$2,CityData!$A$3:$A$7,0)-1))</f>
        <v>0</v>
      </c>
      <c r="C86" s="14" t="n">
        <f aca="false">IF(AND(A86&lt;&gt;"",A86&lt;Parameters!$B$14),INDEX(Candidate_Model!E:E,Decision!B12)*(1+TAXRATE),0)</f>
        <v>0</v>
      </c>
      <c r="D86" s="14" t="n">
        <f aca="false">HEADCOUNT</f>
        <v>24</v>
      </c>
      <c r="E86" s="14" t="n">
        <f aca="false">B86*D86</f>
        <v>0</v>
      </c>
      <c r="F86" s="14" t="n">
        <f aca="false">C86*D86</f>
        <v>0</v>
      </c>
      <c r="G86" s="1" t="s">
        <v>126</v>
      </c>
    </row>
    <row r="87" customFormat="false" ht="15" hidden="false" customHeight="true" outlineLevel="0" collapsed="false">
      <c r="A87" s="23" t="str">
        <f aca="false">MIE_Daily!A53</f>
        <v/>
      </c>
      <c r="B87" s="14" t="n">
        <f aca="false">INDEX(MIE_Daily!$B$2:$AO$367,ROW()-35,5+8*(MATCH($B$2,CityData!$A$3:$A$7,0)-1))</f>
        <v>0</v>
      </c>
      <c r="C87" s="14" t="n">
        <f aca="false">IF(AND(A87&lt;&gt;"",A87&lt;Parameters!$B$14),INDEX(Candidate_Model!E:E,Decision!B12)*(1+TAXRATE),0)</f>
        <v>0</v>
      </c>
      <c r="D87" s="14" t="n">
        <f aca="false">HEADCOUNT</f>
        <v>24</v>
      </c>
      <c r="E87" s="14" t="n">
        <f aca="false">B87*D87</f>
        <v>0</v>
      </c>
      <c r="F87" s="14" t="n">
        <f aca="false">C87*D87</f>
        <v>0</v>
      </c>
      <c r="G87" s="1" t="s">
        <v>126</v>
      </c>
    </row>
    <row r="88" customFormat="false" ht="15" hidden="false" customHeight="true" outlineLevel="0" collapsed="false">
      <c r="A88" s="23" t="str">
        <f aca="false">MIE_Daily!A54</f>
        <v/>
      </c>
      <c r="B88" s="14" t="n">
        <f aca="false">INDEX(MIE_Daily!$B$2:$AO$367,ROW()-35,5+8*(MATCH($B$2,CityData!$A$3:$A$7,0)-1))</f>
        <v>0</v>
      </c>
      <c r="C88" s="14" t="n">
        <f aca="false">IF(AND(A88&lt;&gt;"",A88&lt;Parameters!$B$14),INDEX(Candidate_Model!E:E,Decision!B12)*(1+TAXRATE),0)</f>
        <v>0</v>
      </c>
      <c r="D88" s="14" t="n">
        <f aca="false">HEADCOUNT</f>
        <v>24</v>
      </c>
      <c r="E88" s="14" t="n">
        <f aca="false">B88*D88</f>
        <v>0</v>
      </c>
      <c r="F88" s="14" t="n">
        <f aca="false">C88*D88</f>
        <v>0</v>
      </c>
      <c r="G88" s="1" t="s">
        <v>126</v>
      </c>
    </row>
    <row r="89" customFormat="false" ht="15" hidden="false" customHeight="true" outlineLevel="0" collapsed="false">
      <c r="A89" s="23" t="str">
        <f aca="false">MIE_Daily!A55</f>
        <v/>
      </c>
      <c r="B89" s="14" t="n">
        <f aca="false">INDEX(MIE_Daily!$B$2:$AO$367,ROW()-35,5+8*(MATCH($B$2,CityData!$A$3:$A$7,0)-1))</f>
        <v>0</v>
      </c>
      <c r="C89" s="14" t="n">
        <f aca="false">IF(AND(A89&lt;&gt;"",A89&lt;Parameters!$B$14),INDEX(Candidate_Model!E:E,Decision!B12)*(1+TAXRATE),0)</f>
        <v>0</v>
      </c>
      <c r="D89" s="14" t="n">
        <f aca="false">HEADCOUNT</f>
        <v>24</v>
      </c>
      <c r="E89" s="14" t="n">
        <f aca="false">B89*D89</f>
        <v>0</v>
      </c>
      <c r="F89" s="14" t="n">
        <f aca="false">C89*D89</f>
        <v>0</v>
      </c>
      <c r="G89" s="1" t="s">
        <v>126</v>
      </c>
    </row>
    <row r="90" customFormat="false" ht="15" hidden="false" customHeight="true" outlineLevel="0" collapsed="false">
      <c r="A90" s="23" t="str">
        <f aca="false">MIE_Daily!A56</f>
        <v/>
      </c>
      <c r="B90" s="14" t="n">
        <f aca="false">INDEX(MIE_Daily!$B$2:$AO$367,ROW()-35,5+8*(MATCH($B$2,CityData!$A$3:$A$7,0)-1))</f>
        <v>0</v>
      </c>
      <c r="C90" s="14" t="n">
        <f aca="false">IF(AND(A90&lt;&gt;"",A90&lt;Parameters!$B$14),INDEX(Candidate_Model!E:E,Decision!B12)*(1+TAXRATE),0)</f>
        <v>0</v>
      </c>
      <c r="D90" s="14" t="n">
        <f aca="false">HEADCOUNT</f>
        <v>24</v>
      </c>
      <c r="E90" s="14" t="n">
        <f aca="false">B90*D90</f>
        <v>0</v>
      </c>
      <c r="F90" s="14" t="n">
        <f aca="false">C90*D90</f>
        <v>0</v>
      </c>
      <c r="G90" s="1" t="s">
        <v>126</v>
      </c>
    </row>
    <row r="91" customFormat="false" ht="15" hidden="false" customHeight="true" outlineLevel="0" collapsed="false">
      <c r="A91" s="23" t="str">
        <f aca="false">MIE_Daily!A57</f>
        <v/>
      </c>
      <c r="B91" s="14" t="n">
        <f aca="false">INDEX(MIE_Daily!$B$2:$AO$367,ROW()-35,5+8*(MATCH($B$2,CityData!$A$3:$A$7,0)-1))</f>
        <v>0</v>
      </c>
      <c r="C91" s="14" t="n">
        <f aca="false">IF(AND(A91&lt;&gt;"",A91&lt;Parameters!$B$14),INDEX(Candidate_Model!E:E,Decision!B12)*(1+TAXRATE),0)</f>
        <v>0</v>
      </c>
      <c r="D91" s="14" t="n">
        <f aca="false">HEADCOUNT</f>
        <v>24</v>
      </c>
      <c r="E91" s="14" t="n">
        <f aca="false">B91*D91</f>
        <v>0</v>
      </c>
      <c r="F91" s="14" t="n">
        <f aca="false">C91*D91</f>
        <v>0</v>
      </c>
      <c r="G91" s="1" t="s">
        <v>126</v>
      </c>
    </row>
    <row r="92" customFormat="false" ht="15" hidden="false" customHeight="true" outlineLevel="0" collapsed="false">
      <c r="A92" s="23" t="str">
        <f aca="false">MIE_Daily!A58</f>
        <v/>
      </c>
      <c r="B92" s="14" t="n">
        <f aca="false">INDEX(MIE_Daily!$B$2:$AO$367,ROW()-35,5+8*(MATCH($B$2,CityData!$A$3:$A$7,0)-1))</f>
        <v>0</v>
      </c>
      <c r="C92" s="14" t="n">
        <f aca="false">IF(AND(A92&lt;&gt;"",A92&lt;Parameters!$B$14),INDEX(Candidate_Model!E:E,Decision!B12)*(1+TAXRATE),0)</f>
        <v>0</v>
      </c>
      <c r="D92" s="14" t="n">
        <f aca="false">HEADCOUNT</f>
        <v>24</v>
      </c>
      <c r="E92" s="14" t="n">
        <f aca="false">B92*D92</f>
        <v>0</v>
      </c>
      <c r="F92" s="14" t="n">
        <f aca="false">C92*D92</f>
        <v>0</v>
      </c>
      <c r="G92" s="1" t="s">
        <v>126</v>
      </c>
    </row>
    <row r="93" customFormat="false" ht="15" hidden="false" customHeight="true" outlineLevel="0" collapsed="false">
      <c r="A93" s="23" t="str">
        <f aca="false">MIE_Daily!A59</f>
        <v/>
      </c>
      <c r="B93" s="14" t="n">
        <f aca="false">INDEX(MIE_Daily!$B$2:$AO$367,ROW()-35,5+8*(MATCH($B$2,CityData!$A$3:$A$7,0)-1))</f>
        <v>0</v>
      </c>
      <c r="C93" s="14" t="n">
        <f aca="false">IF(AND(A93&lt;&gt;"",A93&lt;Parameters!$B$14),INDEX(Candidate_Model!E:E,Decision!B12)*(1+TAXRATE),0)</f>
        <v>0</v>
      </c>
      <c r="D93" s="14" t="n">
        <f aca="false">HEADCOUNT</f>
        <v>24</v>
      </c>
      <c r="E93" s="14" t="n">
        <f aca="false">B93*D93</f>
        <v>0</v>
      </c>
      <c r="F93" s="14" t="n">
        <f aca="false">C93*D93</f>
        <v>0</v>
      </c>
      <c r="G93" s="1" t="s">
        <v>126</v>
      </c>
    </row>
    <row r="94" customFormat="false" ht="15" hidden="false" customHeight="true" outlineLevel="0" collapsed="false">
      <c r="A94" s="23" t="str">
        <f aca="false">MIE_Daily!A60</f>
        <v/>
      </c>
      <c r="B94" s="14" t="n">
        <f aca="false">INDEX(MIE_Daily!$B$2:$AO$367,ROW()-35,5+8*(MATCH($B$2,CityData!$A$3:$A$7,0)-1))</f>
        <v>0</v>
      </c>
      <c r="C94" s="14" t="n">
        <f aca="false">IF(AND(A94&lt;&gt;"",A94&lt;Parameters!$B$14),INDEX(Candidate_Model!E:E,Decision!B12)*(1+TAXRATE),0)</f>
        <v>0</v>
      </c>
      <c r="D94" s="14" t="n">
        <f aca="false">HEADCOUNT</f>
        <v>24</v>
      </c>
      <c r="E94" s="14" t="n">
        <f aca="false">B94*D94</f>
        <v>0</v>
      </c>
      <c r="F94" s="14" t="n">
        <f aca="false">C94*D94</f>
        <v>0</v>
      </c>
      <c r="G94" s="1" t="s">
        <v>126</v>
      </c>
    </row>
    <row r="95" customFormat="false" ht="15" hidden="false" customHeight="true" outlineLevel="0" collapsed="false">
      <c r="A95" s="23" t="str">
        <f aca="false">MIE_Daily!A61</f>
        <v/>
      </c>
      <c r="B95" s="14" t="n">
        <f aca="false">INDEX(MIE_Daily!$B$2:$AO$367,ROW()-35,5+8*(MATCH($B$2,CityData!$A$3:$A$7,0)-1))</f>
        <v>0</v>
      </c>
      <c r="C95" s="14" t="n">
        <f aca="false">IF(AND(A95&lt;&gt;"",A95&lt;Parameters!$B$14),INDEX(Candidate_Model!E:E,Decision!B12)*(1+TAXRATE),0)</f>
        <v>0</v>
      </c>
      <c r="D95" s="14" t="n">
        <f aca="false">HEADCOUNT</f>
        <v>24</v>
      </c>
      <c r="E95" s="14" t="n">
        <f aca="false">B95*D95</f>
        <v>0</v>
      </c>
      <c r="F95" s="14" t="n">
        <f aca="false">C95*D95</f>
        <v>0</v>
      </c>
      <c r="G95" s="1" t="s">
        <v>126</v>
      </c>
    </row>
    <row r="96" customFormat="false" ht="15" hidden="false" customHeight="true" outlineLevel="0" collapsed="false">
      <c r="A96" s="23" t="str">
        <f aca="false">MIE_Daily!A62</f>
        <v/>
      </c>
      <c r="B96" s="14" t="n">
        <f aca="false">INDEX(MIE_Daily!$B$2:$AO$367,ROW()-35,5+8*(MATCH($B$2,CityData!$A$3:$A$7,0)-1))</f>
        <v>0</v>
      </c>
      <c r="C96" s="14" t="n">
        <f aca="false">IF(AND(A96&lt;&gt;"",A96&lt;Parameters!$B$14),INDEX(Candidate_Model!E:E,Decision!B12)*(1+TAXRATE),0)</f>
        <v>0</v>
      </c>
      <c r="D96" s="14" t="n">
        <f aca="false">HEADCOUNT</f>
        <v>24</v>
      </c>
      <c r="E96" s="14" t="n">
        <f aca="false">B96*D96</f>
        <v>0</v>
      </c>
      <c r="F96" s="14" t="n">
        <f aca="false">C96*D96</f>
        <v>0</v>
      </c>
      <c r="G96" s="1" t="s">
        <v>126</v>
      </c>
    </row>
    <row r="97" customFormat="false" ht="15" hidden="false" customHeight="true" outlineLevel="0" collapsed="false">
      <c r="A97" s="23" t="str">
        <f aca="false">MIE_Daily!A63</f>
        <v/>
      </c>
      <c r="B97" s="14" t="n">
        <f aca="false">INDEX(MIE_Daily!$B$2:$AO$367,ROW()-35,5+8*(MATCH($B$2,CityData!$A$3:$A$7,0)-1))</f>
        <v>0</v>
      </c>
      <c r="C97" s="14" t="n">
        <f aca="false">IF(AND(A97&lt;&gt;"",A97&lt;Parameters!$B$14),INDEX(Candidate_Model!E:E,Decision!B12)*(1+TAXRATE),0)</f>
        <v>0</v>
      </c>
      <c r="D97" s="14" t="n">
        <f aca="false">HEADCOUNT</f>
        <v>24</v>
      </c>
      <c r="E97" s="14" t="n">
        <f aca="false">B97*D97</f>
        <v>0</v>
      </c>
      <c r="F97" s="14" t="n">
        <f aca="false">C97*D97</f>
        <v>0</v>
      </c>
      <c r="G97" s="1" t="s">
        <v>126</v>
      </c>
    </row>
    <row r="98" customFormat="false" ht="15" hidden="false" customHeight="true" outlineLevel="0" collapsed="false">
      <c r="A98" s="23" t="str">
        <f aca="false">MIE_Daily!A64</f>
        <v/>
      </c>
      <c r="B98" s="14" t="n">
        <f aca="false">INDEX(MIE_Daily!$B$2:$AO$367,ROW()-35,5+8*(MATCH($B$2,CityData!$A$3:$A$7,0)-1))</f>
        <v>0</v>
      </c>
      <c r="C98" s="14" t="n">
        <f aca="false">IF(AND(A98&lt;&gt;"",A98&lt;Parameters!$B$14),INDEX(Candidate_Model!E:E,Decision!B12)*(1+TAXRATE),0)</f>
        <v>0</v>
      </c>
      <c r="D98" s="14" t="n">
        <f aca="false">HEADCOUNT</f>
        <v>24</v>
      </c>
      <c r="E98" s="14" t="n">
        <f aca="false">B98*D98</f>
        <v>0</v>
      </c>
      <c r="F98" s="14" t="n">
        <f aca="false">C98*D98</f>
        <v>0</v>
      </c>
      <c r="G98" s="1" t="s">
        <v>126</v>
      </c>
    </row>
    <row r="99" customFormat="false" ht="15" hidden="false" customHeight="true" outlineLevel="0" collapsed="false">
      <c r="A99" s="23" t="str">
        <f aca="false">MIE_Daily!A65</f>
        <v/>
      </c>
      <c r="B99" s="14" t="n">
        <f aca="false">INDEX(MIE_Daily!$B$2:$AO$367,ROW()-35,5+8*(MATCH($B$2,CityData!$A$3:$A$7,0)-1))</f>
        <v>0</v>
      </c>
      <c r="C99" s="14" t="n">
        <f aca="false">IF(AND(A99&lt;&gt;"",A99&lt;Parameters!$B$14),INDEX(Candidate_Model!E:E,Decision!B12)*(1+TAXRATE),0)</f>
        <v>0</v>
      </c>
      <c r="D99" s="14" t="n">
        <f aca="false">HEADCOUNT</f>
        <v>24</v>
      </c>
      <c r="E99" s="14" t="n">
        <f aca="false">B99*D99</f>
        <v>0</v>
      </c>
      <c r="F99" s="14" t="n">
        <f aca="false">C99*D99</f>
        <v>0</v>
      </c>
      <c r="G99" s="1" t="s">
        <v>126</v>
      </c>
    </row>
    <row r="100" customFormat="false" ht="15" hidden="false" customHeight="true" outlineLevel="0" collapsed="false">
      <c r="A100" s="23" t="str">
        <f aca="false">MIE_Daily!A66</f>
        <v/>
      </c>
      <c r="B100" s="14" t="n">
        <f aca="false">INDEX(MIE_Daily!$B$2:$AO$367,ROW()-35,5+8*(MATCH($B$2,CityData!$A$3:$A$7,0)-1))</f>
        <v>0</v>
      </c>
      <c r="C100" s="14" t="n">
        <f aca="false">IF(AND(A100&lt;&gt;"",A100&lt;Parameters!$B$14),INDEX(Candidate_Model!E:E,Decision!B12)*(1+TAXRATE),0)</f>
        <v>0</v>
      </c>
      <c r="D100" s="14" t="n">
        <f aca="false">HEADCOUNT</f>
        <v>24</v>
      </c>
      <c r="E100" s="14" t="n">
        <f aca="false">B100*D100</f>
        <v>0</v>
      </c>
      <c r="F100" s="14" t="n">
        <f aca="false">C100*D100</f>
        <v>0</v>
      </c>
      <c r="G100" s="1" t="s">
        <v>126</v>
      </c>
    </row>
    <row r="101" customFormat="false" ht="15" hidden="false" customHeight="true" outlineLevel="0" collapsed="false">
      <c r="A101" s="23" t="str">
        <f aca="false">MIE_Daily!A67</f>
        <v/>
      </c>
      <c r="B101" s="14" t="n">
        <f aca="false">INDEX(MIE_Daily!$B$2:$AO$367,ROW()-35,5+8*(MATCH($B$2,CityData!$A$3:$A$7,0)-1))</f>
        <v>0</v>
      </c>
      <c r="C101" s="14" t="n">
        <f aca="false">IF(AND(A101&lt;&gt;"",A101&lt;Parameters!$B$14),INDEX(Candidate_Model!E:E,Decision!B12)*(1+TAXRATE),0)</f>
        <v>0</v>
      </c>
      <c r="D101" s="14" t="n">
        <f aca="false">HEADCOUNT</f>
        <v>24</v>
      </c>
      <c r="E101" s="14" t="n">
        <f aca="false">B101*D101</f>
        <v>0</v>
      </c>
      <c r="F101" s="14" t="n">
        <f aca="false">C101*D101</f>
        <v>0</v>
      </c>
      <c r="G101" s="1" t="s">
        <v>126</v>
      </c>
    </row>
    <row r="102" customFormat="false" ht="15" hidden="false" customHeight="true" outlineLevel="0" collapsed="false">
      <c r="A102" s="23" t="str">
        <f aca="false">MIE_Daily!A68</f>
        <v/>
      </c>
      <c r="B102" s="14" t="n">
        <f aca="false">INDEX(MIE_Daily!$B$2:$AO$367,ROW()-35,5+8*(MATCH($B$2,CityData!$A$3:$A$7,0)-1))</f>
        <v>0</v>
      </c>
      <c r="C102" s="14" t="n">
        <f aca="false">IF(AND(A102&lt;&gt;"",A102&lt;Parameters!$B$14),INDEX(Candidate_Model!E:E,Decision!B12)*(1+TAXRATE),0)</f>
        <v>0</v>
      </c>
      <c r="D102" s="14" t="n">
        <f aca="false">HEADCOUNT</f>
        <v>24</v>
      </c>
      <c r="E102" s="14" t="n">
        <f aca="false">B102*D102</f>
        <v>0</v>
      </c>
      <c r="F102" s="14" t="n">
        <f aca="false">C102*D102</f>
        <v>0</v>
      </c>
      <c r="G102" s="1" t="s">
        <v>126</v>
      </c>
    </row>
    <row r="103" customFormat="false" ht="15" hidden="false" customHeight="true" outlineLevel="0" collapsed="false">
      <c r="A103" s="23" t="str">
        <f aca="false">MIE_Daily!A69</f>
        <v/>
      </c>
      <c r="B103" s="14" t="n">
        <f aca="false">INDEX(MIE_Daily!$B$2:$AO$367,ROW()-35,5+8*(MATCH($B$2,CityData!$A$3:$A$7,0)-1))</f>
        <v>0</v>
      </c>
      <c r="C103" s="14" t="n">
        <f aca="false">IF(AND(A103&lt;&gt;"",A103&lt;Parameters!$B$14),INDEX(Candidate_Model!E:E,Decision!B12)*(1+TAXRATE),0)</f>
        <v>0</v>
      </c>
      <c r="D103" s="14" t="n">
        <f aca="false">HEADCOUNT</f>
        <v>24</v>
      </c>
      <c r="E103" s="14" t="n">
        <f aca="false">B103*D103</f>
        <v>0</v>
      </c>
      <c r="F103" s="14" t="n">
        <f aca="false">C103*D103</f>
        <v>0</v>
      </c>
      <c r="G103" s="1" t="s">
        <v>126</v>
      </c>
    </row>
    <row r="104" customFormat="false" ht="15" hidden="false" customHeight="true" outlineLevel="0" collapsed="false">
      <c r="A104" s="23" t="str">
        <f aca="false">MIE_Daily!A70</f>
        <v/>
      </c>
      <c r="B104" s="14" t="n">
        <f aca="false">INDEX(MIE_Daily!$B$2:$AO$367,ROW()-35,5+8*(MATCH($B$2,CityData!$A$3:$A$7,0)-1))</f>
        <v>0</v>
      </c>
      <c r="C104" s="14" t="n">
        <f aca="false">IF(AND(A104&lt;&gt;"",A104&lt;Parameters!$B$14),INDEX(Candidate_Model!E:E,Decision!B12)*(1+TAXRATE),0)</f>
        <v>0</v>
      </c>
      <c r="D104" s="14" t="n">
        <f aca="false">HEADCOUNT</f>
        <v>24</v>
      </c>
      <c r="E104" s="14" t="n">
        <f aca="false">B104*D104</f>
        <v>0</v>
      </c>
      <c r="F104" s="14" t="n">
        <f aca="false">C104*D104</f>
        <v>0</v>
      </c>
      <c r="G104" s="1" t="s">
        <v>126</v>
      </c>
    </row>
    <row r="105" customFormat="false" ht="15" hidden="false" customHeight="true" outlineLevel="0" collapsed="false">
      <c r="A105" s="23" t="str">
        <f aca="false">MIE_Daily!A71</f>
        <v/>
      </c>
      <c r="B105" s="14" t="n">
        <f aca="false">INDEX(MIE_Daily!$B$2:$AO$367,ROW()-35,5+8*(MATCH($B$2,CityData!$A$3:$A$7,0)-1))</f>
        <v>0</v>
      </c>
      <c r="C105" s="14" t="n">
        <f aca="false">IF(AND(A105&lt;&gt;"",A105&lt;Parameters!$B$14),INDEX(Candidate_Model!E:E,Decision!B12)*(1+TAXRATE),0)</f>
        <v>0</v>
      </c>
      <c r="D105" s="14" t="n">
        <f aca="false">HEADCOUNT</f>
        <v>24</v>
      </c>
      <c r="E105" s="14" t="n">
        <f aca="false">B105*D105</f>
        <v>0</v>
      </c>
      <c r="F105" s="14" t="n">
        <f aca="false">C105*D105</f>
        <v>0</v>
      </c>
      <c r="G105" s="1" t="s">
        <v>126</v>
      </c>
    </row>
    <row r="106" customFormat="false" ht="15" hidden="false" customHeight="true" outlineLevel="0" collapsed="false">
      <c r="A106" s="23" t="str">
        <f aca="false">MIE_Daily!A72</f>
        <v/>
      </c>
      <c r="B106" s="14" t="n">
        <f aca="false">INDEX(MIE_Daily!$B$2:$AO$367,ROW()-35,5+8*(MATCH($B$2,CityData!$A$3:$A$7,0)-1))</f>
        <v>0</v>
      </c>
      <c r="C106" s="14" t="n">
        <f aca="false">IF(AND(A106&lt;&gt;"",A106&lt;Parameters!$B$14),INDEX(Candidate_Model!E:E,Decision!B12)*(1+TAXRATE),0)</f>
        <v>0</v>
      </c>
      <c r="D106" s="14" t="n">
        <f aca="false">HEADCOUNT</f>
        <v>24</v>
      </c>
      <c r="E106" s="14" t="n">
        <f aca="false">B106*D106</f>
        <v>0</v>
      </c>
      <c r="F106" s="14" t="n">
        <f aca="false">C106*D106</f>
        <v>0</v>
      </c>
      <c r="G106" s="1" t="s">
        <v>126</v>
      </c>
    </row>
    <row r="107" customFormat="false" ht="15" hidden="false" customHeight="true" outlineLevel="0" collapsed="false">
      <c r="A107" s="23" t="str">
        <f aca="false">MIE_Daily!A73</f>
        <v/>
      </c>
      <c r="B107" s="14" t="n">
        <f aca="false">INDEX(MIE_Daily!$B$2:$AO$367,ROW()-35,5+8*(MATCH($B$2,CityData!$A$3:$A$7,0)-1))</f>
        <v>0</v>
      </c>
      <c r="C107" s="14" t="n">
        <f aca="false">IF(AND(A107&lt;&gt;"",A107&lt;Parameters!$B$14),INDEX(Candidate_Model!E:E,Decision!B12)*(1+TAXRATE),0)</f>
        <v>0</v>
      </c>
      <c r="D107" s="14" t="n">
        <f aca="false">HEADCOUNT</f>
        <v>24</v>
      </c>
      <c r="E107" s="14" t="n">
        <f aca="false">B107*D107</f>
        <v>0</v>
      </c>
      <c r="F107" s="14" t="n">
        <f aca="false">C107*D107</f>
        <v>0</v>
      </c>
      <c r="G107" s="1" t="s">
        <v>126</v>
      </c>
    </row>
    <row r="108" customFormat="false" ht="15" hidden="false" customHeight="true" outlineLevel="0" collapsed="false">
      <c r="A108" s="23" t="str">
        <f aca="false">MIE_Daily!A74</f>
        <v/>
      </c>
      <c r="B108" s="14" t="n">
        <f aca="false">INDEX(MIE_Daily!$B$2:$AO$367,ROW()-35,5+8*(MATCH($B$2,CityData!$A$3:$A$7,0)-1))</f>
        <v>0</v>
      </c>
      <c r="C108" s="14" t="n">
        <f aca="false">IF(AND(A108&lt;&gt;"",A108&lt;Parameters!$B$14),INDEX(Candidate_Model!E:E,Decision!B12)*(1+TAXRATE),0)</f>
        <v>0</v>
      </c>
      <c r="D108" s="14" t="n">
        <f aca="false">HEADCOUNT</f>
        <v>24</v>
      </c>
      <c r="E108" s="14" t="n">
        <f aca="false">B108*D108</f>
        <v>0</v>
      </c>
      <c r="F108" s="14" t="n">
        <f aca="false">C108*D108</f>
        <v>0</v>
      </c>
      <c r="G108" s="1" t="s">
        <v>126</v>
      </c>
    </row>
    <row r="109" customFormat="false" ht="15" hidden="false" customHeight="true" outlineLevel="0" collapsed="false">
      <c r="A109" s="23" t="str">
        <f aca="false">MIE_Daily!A75</f>
        <v/>
      </c>
      <c r="B109" s="14" t="n">
        <f aca="false">INDEX(MIE_Daily!$B$2:$AO$367,ROW()-35,5+8*(MATCH($B$2,CityData!$A$3:$A$7,0)-1))</f>
        <v>0</v>
      </c>
      <c r="C109" s="14" t="n">
        <f aca="false">IF(AND(A109&lt;&gt;"",A109&lt;Parameters!$B$14),INDEX(Candidate_Model!E:E,Decision!B12)*(1+TAXRATE),0)</f>
        <v>0</v>
      </c>
      <c r="D109" s="14" t="n">
        <f aca="false">HEADCOUNT</f>
        <v>24</v>
      </c>
      <c r="E109" s="14" t="n">
        <f aca="false">B109*D109</f>
        <v>0</v>
      </c>
      <c r="F109" s="14" t="n">
        <f aca="false">C109*D109</f>
        <v>0</v>
      </c>
      <c r="G109" s="1" t="s">
        <v>126</v>
      </c>
    </row>
    <row r="110" customFormat="false" ht="15" hidden="false" customHeight="true" outlineLevel="0" collapsed="false">
      <c r="A110" s="23" t="str">
        <f aca="false">MIE_Daily!A76</f>
        <v/>
      </c>
      <c r="B110" s="14" t="n">
        <f aca="false">INDEX(MIE_Daily!$B$2:$AO$367,ROW()-35,5+8*(MATCH($B$2,CityData!$A$3:$A$7,0)-1))</f>
        <v>0</v>
      </c>
      <c r="C110" s="14" t="n">
        <f aca="false">IF(AND(A110&lt;&gt;"",A110&lt;Parameters!$B$14),INDEX(Candidate_Model!E:E,Decision!B12)*(1+TAXRATE),0)</f>
        <v>0</v>
      </c>
      <c r="D110" s="14" t="n">
        <f aca="false">HEADCOUNT</f>
        <v>24</v>
      </c>
      <c r="E110" s="14" t="n">
        <f aca="false">B110*D110</f>
        <v>0</v>
      </c>
      <c r="F110" s="14" t="n">
        <f aca="false">C110*D110</f>
        <v>0</v>
      </c>
      <c r="G110" s="1" t="s">
        <v>126</v>
      </c>
    </row>
    <row r="111" customFormat="false" ht="15" hidden="false" customHeight="true" outlineLevel="0" collapsed="false">
      <c r="A111" s="23" t="str">
        <f aca="false">MIE_Daily!A77</f>
        <v/>
      </c>
      <c r="B111" s="14" t="n">
        <f aca="false">INDEX(MIE_Daily!$B$2:$AO$367,ROW()-35,5+8*(MATCH($B$2,CityData!$A$3:$A$7,0)-1))</f>
        <v>0</v>
      </c>
      <c r="C111" s="14" t="n">
        <f aca="false">IF(AND(A111&lt;&gt;"",A111&lt;Parameters!$B$14),INDEX(Candidate_Model!E:E,Decision!B12)*(1+TAXRATE),0)</f>
        <v>0</v>
      </c>
      <c r="D111" s="14" t="n">
        <f aca="false">HEADCOUNT</f>
        <v>24</v>
      </c>
      <c r="E111" s="14" t="n">
        <f aca="false">B111*D111</f>
        <v>0</v>
      </c>
      <c r="F111" s="14" t="n">
        <f aca="false">C111*D111</f>
        <v>0</v>
      </c>
      <c r="G111" s="1" t="s">
        <v>126</v>
      </c>
    </row>
    <row r="112" customFormat="false" ht="15" hidden="false" customHeight="true" outlineLevel="0" collapsed="false">
      <c r="A112" s="23" t="str">
        <f aca="false">MIE_Daily!A78</f>
        <v/>
      </c>
      <c r="B112" s="14" t="n">
        <f aca="false">INDEX(MIE_Daily!$B$2:$AO$367,ROW()-35,5+8*(MATCH($B$2,CityData!$A$3:$A$7,0)-1))</f>
        <v>0</v>
      </c>
      <c r="C112" s="14" t="n">
        <f aca="false">IF(AND(A112&lt;&gt;"",A112&lt;Parameters!$B$14),INDEX(Candidate_Model!E:E,Decision!B12)*(1+TAXRATE),0)</f>
        <v>0</v>
      </c>
      <c r="D112" s="14" t="n">
        <f aca="false">HEADCOUNT</f>
        <v>24</v>
      </c>
      <c r="E112" s="14" t="n">
        <f aca="false">B112*D112</f>
        <v>0</v>
      </c>
      <c r="F112" s="14" t="n">
        <f aca="false">C112*D112</f>
        <v>0</v>
      </c>
      <c r="G112" s="1" t="s">
        <v>126</v>
      </c>
    </row>
    <row r="113" customFormat="false" ht="15" hidden="false" customHeight="true" outlineLevel="0" collapsed="false">
      <c r="A113" s="23" t="str">
        <f aca="false">MIE_Daily!A79</f>
        <v/>
      </c>
      <c r="B113" s="14" t="n">
        <f aca="false">INDEX(MIE_Daily!$B$2:$AO$367,ROW()-35,5+8*(MATCH($B$2,CityData!$A$3:$A$7,0)-1))</f>
        <v>0</v>
      </c>
      <c r="C113" s="14" t="n">
        <f aca="false">IF(AND(A113&lt;&gt;"",A113&lt;Parameters!$B$14),INDEX(Candidate_Model!E:E,Decision!B12)*(1+TAXRATE),0)</f>
        <v>0</v>
      </c>
      <c r="D113" s="14" t="n">
        <f aca="false">HEADCOUNT</f>
        <v>24</v>
      </c>
      <c r="E113" s="14" t="n">
        <f aca="false">B113*D113</f>
        <v>0</v>
      </c>
      <c r="F113" s="14" t="n">
        <f aca="false">C113*D113</f>
        <v>0</v>
      </c>
      <c r="G113" s="1" t="s">
        <v>126</v>
      </c>
    </row>
    <row r="114" customFormat="false" ht="15" hidden="false" customHeight="true" outlineLevel="0" collapsed="false">
      <c r="A114" s="23" t="str">
        <f aca="false">MIE_Daily!A80</f>
        <v/>
      </c>
      <c r="B114" s="14" t="n">
        <f aca="false">INDEX(MIE_Daily!$B$2:$AO$367,ROW()-35,5+8*(MATCH($B$2,CityData!$A$3:$A$7,0)-1))</f>
        <v>0</v>
      </c>
      <c r="C114" s="14" t="n">
        <f aca="false">IF(AND(A114&lt;&gt;"",A114&lt;Parameters!$B$14),INDEX(Candidate_Model!E:E,Decision!B12)*(1+TAXRATE),0)</f>
        <v>0</v>
      </c>
      <c r="D114" s="14" t="n">
        <f aca="false">HEADCOUNT</f>
        <v>24</v>
      </c>
      <c r="E114" s="14" t="n">
        <f aca="false">B114*D114</f>
        <v>0</v>
      </c>
      <c r="F114" s="14" t="n">
        <f aca="false">C114*D114</f>
        <v>0</v>
      </c>
      <c r="G114" s="1" t="s">
        <v>126</v>
      </c>
    </row>
    <row r="115" customFormat="false" ht="15" hidden="false" customHeight="true" outlineLevel="0" collapsed="false">
      <c r="A115" s="23" t="str">
        <f aca="false">MIE_Daily!A81</f>
        <v/>
      </c>
      <c r="B115" s="14" t="n">
        <f aca="false">INDEX(MIE_Daily!$B$2:$AO$367,ROW()-35,5+8*(MATCH($B$2,CityData!$A$3:$A$7,0)-1))</f>
        <v>0</v>
      </c>
      <c r="C115" s="14" t="n">
        <f aca="false">IF(AND(A115&lt;&gt;"",A115&lt;Parameters!$B$14),INDEX(Candidate_Model!E:E,Decision!B12)*(1+TAXRATE),0)</f>
        <v>0</v>
      </c>
      <c r="D115" s="14" t="n">
        <f aca="false">HEADCOUNT</f>
        <v>24</v>
      </c>
      <c r="E115" s="14" t="n">
        <f aca="false">B115*D115</f>
        <v>0</v>
      </c>
      <c r="F115" s="14" t="n">
        <f aca="false">C115*D115</f>
        <v>0</v>
      </c>
      <c r="G115" s="1" t="s">
        <v>126</v>
      </c>
    </row>
    <row r="116" customFormat="false" ht="15" hidden="false" customHeight="true" outlineLevel="0" collapsed="false">
      <c r="A116" s="23" t="str">
        <f aca="false">MIE_Daily!A82</f>
        <v/>
      </c>
      <c r="B116" s="14" t="n">
        <f aca="false">INDEX(MIE_Daily!$B$2:$AO$367,ROW()-35,5+8*(MATCH($B$2,CityData!$A$3:$A$7,0)-1))</f>
        <v>0</v>
      </c>
      <c r="C116" s="14" t="n">
        <f aca="false">IF(AND(A116&lt;&gt;"",A116&lt;Parameters!$B$14),INDEX(Candidate_Model!E:E,Decision!B12)*(1+TAXRATE),0)</f>
        <v>0</v>
      </c>
      <c r="D116" s="14" t="n">
        <f aca="false">HEADCOUNT</f>
        <v>24</v>
      </c>
      <c r="E116" s="14" t="n">
        <f aca="false">B116*D116</f>
        <v>0</v>
      </c>
      <c r="F116" s="14" t="n">
        <f aca="false">C116*D116</f>
        <v>0</v>
      </c>
      <c r="G116" s="1" t="s">
        <v>126</v>
      </c>
    </row>
    <row r="117" customFormat="false" ht="15" hidden="false" customHeight="true" outlineLevel="0" collapsed="false">
      <c r="A117" s="23" t="str">
        <f aca="false">MIE_Daily!A83</f>
        <v/>
      </c>
      <c r="B117" s="14" t="n">
        <f aca="false">INDEX(MIE_Daily!$B$2:$AO$367,ROW()-35,5+8*(MATCH($B$2,CityData!$A$3:$A$7,0)-1))</f>
        <v>0</v>
      </c>
      <c r="C117" s="14" t="n">
        <f aca="false">IF(AND(A117&lt;&gt;"",A117&lt;Parameters!$B$14),INDEX(Candidate_Model!E:E,Decision!B12)*(1+TAXRATE),0)</f>
        <v>0</v>
      </c>
      <c r="D117" s="14" t="n">
        <f aca="false">HEADCOUNT</f>
        <v>24</v>
      </c>
      <c r="E117" s="14" t="n">
        <f aca="false">B117*D117</f>
        <v>0</v>
      </c>
      <c r="F117" s="14" t="n">
        <f aca="false">C117*D117</f>
        <v>0</v>
      </c>
      <c r="G117" s="1" t="s">
        <v>126</v>
      </c>
    </row>
    <row r="118" customFormat="false" ht="15" hidden="false" customHeight="true" outlineLevel="0" collapsed="false">
      <c r="A118" s="23" t="str">
        <f aca="false">MIE_Daily!A84</f>
        <v/>
      </c>
      <c r="B118" s="14" t="n">
        <f aca="false">INDEX(MIE_Daily!$B$2:$AO$367,ROW()-35,5+8*(MATCH($B$2,CityData!$A$3:$A$7,0)-1))</f>
        <v>0</v>
      </c>
      <c r="C118" s="14" t="n">
        <f aca="false">IF(AND(A118&lt;&gt;"",A118&lt;Parameters!$B$14),INDEX(Candidate_Model!E:E,Decision!B12)*(1+TAXRATE),0)</f>
        <v>0</v>
      </c>
      <c r="D118" s="14" t="n">
        <f aca="false">HEADCOUNT</f>
        <v>24</v>
      </c>
      <c r="E118" s="14" t="n">
        <f aca="false">B118*D118</f>
        <v>0</v>
      </c>
      <c r="F118" s="14" t="n">
        <f aca="false">C118*D118</f>
        <v>0</v>
      </c>
      <c r="G118" s="1" t="s">
        <v>126</v>
      </c>
    </row>
    <row r="119" customFormat="false" ht="15" hidden="false" customHeight="true" outlineLevel="0" collapsed="false">
      <c r="A119" s="23" t="str">
        <f aca="false">MIE_Daily!A85</f>
        <v/>
      </c>
      <c r="B119" s="14" t="n">
        <f aca="false">INDEX(MIE_Daily!$B$2:$AO$367,ROW()-35,5+8*(MATCH($B$2,CityData!$A$3:$A$7,0)-1))</f>
        <v>0</v>
      </c>
      <c r="C119" s="14" t="n">
        <f aca="false">IF(AND(A119&lt;&gt;"",A119&lt;Parameters!$B$14),INDEX(Candidate_Model!E:E,Decision!B12)*(1+TAXRATE),0)</f>
        <v>0</v>
      </c>
      <c r="D119" s="14" t="n">
        <f aca="false">HEADCOUNT</f>
        <v>24</v>
      </c>
      <c r="E119" s="14" t="n">
        <f aca="false">B119*D119</f>
        <v>0</v>
      </c>
      <c r="F119" s="14" t="n">
        <f aca="false">C119*D119</f>
        <v>0</v>
      </c>
      <c r="G119" s="1" t="s">
        <v>126</v>
      </c>
    </row>
    <row r="120" customFormat="false" ht="15" hidden="false" customHeight="true" outlineLevel="0" collapsed="false">
      <c r="A120" s="23" t="str">
        <f aca="false">MIE_Daily!A86</f>
        <v/>
      </c>
      <c r="B120" s="14" t="n">
        <f aca="false">INDEX(MIE_Daily!$B$2:$AO$367,ROW()-35,5+8*(MATCH($B$2,CityData!$A$3:$A$7,0)-1))</f>
        <v>0</v>
      </c>
      <c r="C120" s="14" t="n">
        <f aca="false">IF(AND(A120&lt;&gt;"",A120&lt;Parameters!$B$14),INDEX(Candidate_Model!E:E,Decision!B12)*(1+TAXRATE),0)</f>
        <v>0</v>
      </c>
      <c r="D120" s="14" t="n">
        <f aca="false">HEADCOUNT</f>
        <v>24</v>
      </c>
      <c r="E120" s="14" t="n">
        <f aca="false">B120*D120</f>
        <v>0</v>
      </c>
      <c r="F120" s="14" t="n">
        <f aca="false">C120*D120</f>
        <v>0</v>
      </c>
      <c r="G120" s="1" t="s">
        <v>126</v>
      </c>
    </row>
    <row r="121" customFormat="false" ht="15" hidden="false" customHeight="true" outlineLevel="0" collapsed="false">
      <c r="A121" s="23" t="str">
        <f aca="false">MIE_Daily!A87</f>
        <v/>
      </c>
      <c r="B121" s="14" t="n">
        <f aca="false">INDEX(MIE_Daily!$B$2:$AO$367,ROW()-35,5+8*(MATCH($B$2,CityData!$A$3:$A$7,0)-1))</f>
        <v>0</v>
      </c>
      <c r="C121" s="14" t="n">
        <f aca="false">IF(AND(A121&lt;&gt;"",A121&lt;Parameters!$B$14),INDEX(Candidate_Model!E:E,Decision!B12)*(1+TAXRATE),0)</f>
        <v>0</v>
      </c>
      <c r="D121" s="14" t="n">
        <f aca="false">HEADCOUNT</f>
        <v>24</v>
      </c>
      <c r="E121" s="14" t="n">
        <f aca="false">B121*D121</f>
        <v>0</v>
      </c>
      <c r="F121" s="14" t="n">
        <f aca="false">C121*D121</f>
        <v>0</v>
      </c>
      <c r="G121" s="1" t="s">
        <v>126</v>
      </c>
    </row>
    <row r="122" customFormat="false" ht="15" hidden="false" customHeight="true" outlineLevel="0" collapsed="false">
      <c r="A122" s="23" t="str">
        <f aca="false">MIE_Daily!A88</f>
        <v/>
      </c>
      <c r="B122" s="14" t="n">
        <f aca="false">INDEX(MIE_Daily!$B$2:$AO$367,ROW()-35,5+8*(MATCH($B$2,CityData!$A$3:$A$7,0)-1))</f>
        <v>0</v>
      </c>
      <c r="C122" s="14" t="n">
        <f aca="false">IF(AND(A122&lt;&gt;"",A122&lt;Parameters!$B$14),INDEX(Candidate_Model!E:E,Decision!B12)*(1+TAXRATE),0)</f>
        <v>0</v>
      </c>
      <c r="D122" s="14" t="n">
        <f aca="false">HEADCOUNT</f>
        <v>24</v>
      </c>
      <c r="E122" s="14" t="n">
        <f aca="false">B122*D122</f>
        <v>0</v>
      </c>
      <c r="F122" s="14" t="n">
        <f aca="false">C122*D122</f>
        <v>0</v>
      </c>
      <c r="G122" s="1" t="s">
        <v>126</v>
      </c>
    </row>
    <row r="123" customFormat="false" ht="15" hidden="false" customHeight="true" outlineLevel="0" collapsed="false">
      <c r="A123" s="23" t="str">
        <f aca="false">MIE_Daily!A89</f>
        <v/>
      </c>
      <c r="B123" s="14" t="n">
        <f aca="false">INDEX(MIE_Daily!$B$2:$AO$367,ROW()-35,5+8*(MATCH($B$2,CityData!$A$3:$A$7,0)-1))</f>
        <v>0</v>
      </c>
      <c r="C123" s="14" t="n">
        <f aca="false">IF(AND(A123&lt;&gt;"",A123&lt;Parameters!$B$14),INDEX(Candidate_Model!E:E,Decision!B12)*(1+TAXRATE),0)</f>
        <v>0</v>
      </c>
      <c r="D123" s="14" t="n">
        <f aca="false">HEADCOUNT</f>
        <v>24</v>
      </c>
      <c r="E123" s="14" t="n">
        <f aca="false">B123*D123</f>
        <v>0</v>
      </c>
      <c r="F123" s="14" t="n">
        <f aca="false">C123*D123</f>
        <v>0</v>
      </c>
      <c r="G123" s="1" t="s">
        <v>126</v>
      </c>
    </row>
    <row r="124" customFormat="false" ht="15" hidden="false" customHeight="true" outlineLevel="0" collapsed="false">
      <c r="A124" s="23" t="str">
        <f aca="false">MIE_Daily!A90</f>
        <v/>
      </c>
      <c r="B124" s="14" t="n">
        <f aca="false">INDEX(MIE_Daily!$B$2:$AO$367,ROW()-35,5+8*(MATCH($B$2,CityData!$A$3:$A$7,0)-1))</f>
        <v>0</v>
      </c>
      <c r="C124" s="14" t="n">
        <f aca="false">IF(AND(A124&lt;&gt;"",A124&lt;Parameters!$B$14),INDEX(Candidate_Model!E:E,Decision!B12)*(1+TAXRATE),0)</f>
        <v>0</v>
      </c>
      <c r="D124" s="14" t="n">
        <f aca="false">HEADCOUNT</f>
        <v>24</v>
      </c>
      <c r="E124" s="14" t="n">
        <f aca="false">B124*D124</f>
        <v>0</v>
      </c>
      <c r="F124" s="14" t="n">
        <f aca="false">C124*D124</f>
        <v>0</v>
      </c>
      <c r="G124" s="1" t="s">
        <v>126</v>
      </c>
    </row>
    <row r="125" customFormat="false" ht="15" hidden="false" customHeight="true" outlineLevel="0" collapsed="false">
      <c r="A125" s="23" t="str">
        <f aca="false">MIE_Daily!A91</f>
        <v/>
      </c>
      <c r="B125" s="14" t="n">
        <f aca="false">INDEX(MIE_Daily!$B$2:$AO$367,ROW()-35,5+8*(MATCH($B$2,CityData!$A$3:$A$7,0)-1))</f>
        <v>0</v>
      </c>
      <c r="C125" s="14" t="n">
        <f aca="false">IF(AND(A125&lt;&gt;"",A125&lt;Parameters!$B$14),INDEX(Candidate_Model!E:E,Decision!B12)*(1+TAXRATE),0)</f>
        <v>0</v>
      </c>
      <c r="D125" s="14" t="n">
        <f aca="false">HEADCOUNT</f>
        <v>24</v>
      </c>
      <c r="E125" s="14" t="n">
        <f aca="false">B125*D125</f>
        <v>0</v>
      </c>
      <c r="F125" s="14" t="n">
        <f aca="false">C125*D125</f>
        <v>0</v>
      </c>
      <c r="G125" s="1" t="s">
        <v>126</v>
      </c>
    </row>
    <row r="126" customFormat="false" ht="15" hidden="false" customHeight="true" outlineLevel="0" collapsed="false">
      <c r="A126" s="23" t="str">
        <f aca="false">MIE_Daily!A92</f>
        <v/>
      </c>
      <c r="B126" s="14" t="n">
        <f aca="false">INDEX(MIE_Daily!$B$2:$AO$367,ROW()-35,5+8*(MATCH($B$2,CityData!$A$3:$A$7,0)-1))</f>
        <v>0</v>
      </c>
      <c r="C126" s="14" t="n">
        <f aca="false">IF(AND(A126&lt;&gt;"",A126&lt;Parameters!$B$14),INDEX(Candidate_Model!E:E,Decision!B12)*(1+TAXRATE),0)</f>
        <v>0</v>
      </c>
      <c r="D126" s="14" t="n">
        <f aca="false">HEADCOUNT</f>
        <v>24</v>
      </c>
      <c r="E126" s="14" t="n">
        <f aca="false">B126*D126</f>
        <v>0</v>
      </c>
      <c r="F126" s="14" t="n">
        <f aca="false">C126*D126</f>
        <v>0</v>
      </c>
      <c r="G126" s="1" t="s">
        <v>126</v>
      </c>
    </row>
    <row r="127" customFormat="false" ht="15" hidden="false" customHeight="true" outlineLevel="0" collapsed="false">
      <c r="A127" s="23" t="str">
        <f aca="false">MIE_Daily!A93</f>
        <v/>
      </c>
      <c r="B127" s="14" t="n">
        <f aca="false">INDEX(MIE_Daily!$B$2:$AO$367,ROW()-35,5+8*(MATCH($B$2,CityData!$A$3:$A$7,0)-1))</f>
        <v>0</v>
      </c>
      <c r="C127" s="14" t="n">
        <f aca="false">IF(AND(A127&lt;&gt;"",A127&lt;Parameters!$B$14),INDEX(Candidate_Model!E:E,Decision!B12)*(1+TAXRATE),0)</f>
        <v>0</v>
      </c>
      <c r="D127" s="14" t="n">
        <f aca="false">HEADCOUNT</f>
        <v>24</v>
      </c>
      <c r="E127" s="14" t="n">
        <f aca="false">B127*D127</f>
        <v>0</v>
      </c>
      <c r="F127" s="14" t="n">
        <f aca="false">C127*D127</f>
        <v>0</v>
      </c>
      <c r="G127" s="1" t="s">
        <v>126</v>
      </c>
    </row>
    <row r="128" customFormat="false" ht="15" hidden="false" customHeight="true" outlineLevel="0" collapsed="false">
      <c r="A128" s="23" t="str">
        <f aca="false">MIE_Daily!A94</f>
        <v/>
      </c>
      <c r="B128" s="14" t="n">
        <f aca="false">INDEX(MIE_Daily!$B$2:$AO$367,ROW()-35,5+8*(MATCH($B$2,CityData!$A$3:$A$7,0)-1))</f>
        <v>0</v>
      </c>
      <c r="C128" s="14" t="n">
        <f aca="false">IF(AND(A128&lt;&gt;"",A128&lt;Parameters!$B$14),INDEX(Candidate_Model!E:E,Decision!B12)*(1+TAXRATE),0)</f>
        <v>0</v>
      </c>
      <c r="D128" s="14" t="n">
        <f aca="false">HEADCOUNT</f>
        <v>24</v>
      </c>
      <c r="E128" s="14" t="n">
        <f aca="false">B128*D128</f>
        <v>0</v>
      </c>
      <c r="F128" s="14" t="n">
        <f aca="false">C128*D128</f>
        <v>0</v>
      </c>
      <c r="G128" s="1" t="s">
        <v>126</v>
      </c>
    </row>
    <row r="129" customFormat="false" ht="15" hidden="false" customHeight="true" outlineLevel="0" collapsed="false">
      <c r="A129" s="23" t="str">
        <f aca="false">MIE_Daily!A95</f>
        <v/>
      </c>
      <c r="B129" s="14" t="n">
        <f aca="false">INDEX(MIE_Daily!$B$2:$AO$367,ROW()-35,5+8*(MATCH($B$2,CityData!$A$3:$A$7,0)-1))</f>
        <v>0</v>
      </c>
      <c r="C129" s="14" t="n">
        <f aca="false">IF(AND(A129&lt;&gt;"",A129&lt;Parameters!$B$14),INDEX(Candidate_Model!E:E,Decision!B12)*(1+TAXRATE),0)</f>
        <v>0</v>
      </c>
      <c r="D129" s="14" t="n">
        <f aca="false">HEADCOUNT</f>
        <v>24</v>
      </c>
      <c r="E129" s="14" t="n">
        <f aca="false">B129*D129</f>
        <v>0</v>
      </c>
      <c r="F129" s="14" t="n">
        <f aca="false">C129*D129</f>
        <v>0</v>
      </c>
      <c r="G129" s="1" t="s">
        <v>126</v>
      </c>
    </row>
    <row r="130" customFormat="false" ht="15" hidden="false" customHeight="true" outlineLevel="0" collapsed="false">
      <c r="A130" s="23" t="str">
        <f aca="false">MIE_Daily!A96</f>
        <v/>
      </c>
      <c r="B130" s="14" t="n">
        <f aca="false">INDEX(MIE_Daily!$B$2:$AO$367,ROW()-35,5+8*(MATCH($B$2,CityData!$A$3:$A$7,0)-1))</f>
        <v>0</v>
      </c>
      <c r="C130" s="14" t="n">
        <f aca="false">IF(AND(A130&lt;&gt;"",A130&lt;Parameters!$B$14),INDEX(Candidate_Model!E:E,Decision!B12)*(1+TAXRATE),0)</f>
        <v>0</v>
      </c>
      <c r="D130" s="14" t="n">
        <f aca="false">HEADCOUNT</f>
        <v>24</v>
      </c>
      <c r="E130" s="14" t="n">
        <f aca="false">B130*D130</f>
        <v>0</v>
      </c>
      <c r="F130" s="14" t="n">
        <f aca="false">C130*D130</f>
        <v>0</v>
      </c>
      <c r="G130" s="1" t="s">
        <v>126</v>
      </c>
    </row>
    <row r="131" customFormat="false" ht="15" hidden="false" customHeight="true" outlineLevel="0" collapsed="false">
      <c r="A131" s="23" t="str">
        <f aca="false">MIE_Daily!A97</f>
        <v/>
      </c>
      <c r="B131" s="14" t="n">
        <f aca="false">INDEX(MIE_Daily!$B$2:$AO$367,ROW()-35,5+8*(MATCH($B$2,CityData!$A$3:$A$7,0)-1))</f>
        <v>0</v>
      </c>
      <c r="C131" s="14" t="n">
        <f aca="false">IF(AND(A131&lt;&gt;"",A131&lt;Parameters!$B$14),INDEX(Candidate_Model!E:E,Decision!B12)*(1+TAXRATE),0)</f>
        <v>0</v>
      </c>
      <c r="D131" s="14" t="n">
        <f aca="false">HEADCOUNT</f>
        <v>24</v>
      </c>
      <c r="E131" s="14" t="n">
        <f aca="false">B131*D131</f>
        <v>0</v>
      </c>
      <c r="F131" s="14" t="n">
        <f aca="false">C131*D131</f>
        <v>0</v>
      </c>
      <c r="G131" s="1" t="s">
        <v>126</v>
      </c>
    </row>
    <row r="132" customFormat="false" ht="15" hidden="false" customHeight="true" outlineLevel="0" collapsed="false">
      <c r="A132" s="23" t="str">
        <f aca="false">MIE_Daily!A98</f>
        <v/>
      </c>
      <c r="B132" s="14" t="n">
        <f aca="false">INDEX(MIE_Daily!$B$2:$AO$367,ROW()-35,5+8*(MATCH($B$2,CityData!$A$3:$A$7,0)-1))</f>
        <v>0</v>
      </c>
      <c r="C132" s="14" t="n">
        <f aca="false">IF(AND(A132&lt;&gt;"",A132&lt;Parameters!$B$14),INDEX(Candidate_Model!E:E,Decision!B12)*(1+TAXRATE),0)</f>
        <v>0</v>
      </c>
      <c r="D132" s="14" t="n">
        <f aca="false">HEADCOUNT</f>
        <v>24</v>
      </c>
      <c r="E132" s="14" t="n">
        <f aca="false">B132*D132</f>
        <v>0</v>
      </c>
      <c r="F132" s="14" t="n">
        <f aca="false">C132*D132</f>
        <v>0</v>
      </c>
      <c r="G132" s="1" t="s">
        <v>126</v>
      </c>
    </row>
    <row r="133" customFormat="false" ht="15" hidden="false" customHeight="true" outlineLevel="0" collapsed="false">
      <c r="A133" s="23" t="str">
        <f aca="false">MIE_Daily!A99</f>
        <v/>
      </c>
      <c r="B133" s="14" t="n">
        <f aca="false">INDEX(MIE_Daily!$B$2:$AO$367,ROW()-35,5+8*(MATCH($B$2,CityData!$A$3:$A$7,0)-1))</f>
        <v>0</v>
      </c>
      <c r="C133" s="14" t="n">
        <f aca="false">IF(AND(A133&lt;&gt;"",A133&lt;Parameters!$B$14),INDEX(Candidate_Model!E:E,Decision!B12)*(1+TAXRATE),0)</f>
        <v>0</v>
      </c>
      <c r="D133" s="14" t="n">
        <f aca="false">HEADCOUNT</f>
        <v>24</v>
      </c>
      <c r="E133" s="14" t="n">
        <f aca="false">B133*D133</f>
        <v>0</v>
      </c>
      <c r="F133" s="14" t="n">
        <f aca="false">C133*D133</f>
        <v>0</v>
      </c>
      <c r="G133" s="1" t="s">
        <v>126</v>
      </c>
    </row>
    <row r="134" customFormat="false" ht="15" hidden="false" customHeight="true" outlineLevel="0" collapsed="false">
      <c r="A134" s="23" t="str">
        <f aca="false">MIE_Daily!A100</f>
        <v/>
      </c>
      <c r="B134" s="14" t="n">
        <f aca="false">INDEX(MIE_Daily!$B$2:$AO$367,ROW()-35,5+8*(MATCH($B$2,CityData!$A$3:$A$7,0)-1))</f>
        <v>0</v>
      </c>
      <c r="C134" s="14" t="n">
        <f aca="false">IF(AND(A134&lt;&gt;"",A134&lt;Parameters!$B$14),INDEX(Candidate_Model!E:E,Decision!B12)*(1+TAXRATE),0)</f>
        <v>0</v>
      </c>
      <c r="D134" s="14" t="n">
        <f aca="false">HEADCOUNT</f>
        <v>24</v>
      </c>
      <c r="E134" s="14" t="n">
        <f aca="false">B134*D134</f>
        <v>0</v>
      </c>
      <c r="F134" s="14" t="n">
        <f aca="false">C134*D134</f>
        <v>0</v>
      </c>
      <c r="G134" s="1" t="s">
        <v>126</v>
      </c>
    </row>
    <row r="135" customFormat="false" ht="15" hidden="false" customHeight="true" outlineLevel="0" collapsed="false">
      <c r="A135" s="23" t="str">
        <f aca="false">MIE_Daily!A101</f>
        <v/>
      </c>
      <c r="B135" s="14" t="n">
        <f aca="false">INDEX(MIE_Daily!$B$2:$AO$367,ROW()-35,5+8*(MATCH($B$2,CityData!$A$3:$A$7,0)-1))</f>
        <v>0</v>
      </c>
      <c r="C135" s="14" t="n">
        <f aca="false">IF(AND(A135&lt;&gt;"",A135&lt;Parameters!$B$14),INDEX(Candidate_Model!E:E,Decision!B12)*(1+TAXRATE),0)</f>
        <v>0</v>
      </c>
      <c r="D135" s="14" t="n">
        <f aca="false">HEADCOUNT</f>
        <v>24</v>
      </c>
      <c r="E135" s="14" t="n">
        <f aca="false">B135*D135</f>
        <v>0</v>
      </c>
      <c r="F135" s="14" t="n">
        <f aca="false">C135*D135</f>
        <v>0</v>
      </c>
      <c r="G135" s="1" t="s">
        <v>126</v>
      </c>
    </row>
    <row r="136" customFormat="false" ht="15" hidden="false" customHeight="true" outlineLevel="0" collapsed="false">
      <c r="A136" s="23" t="str">
        <f aca="false">MIE_Daily!A102</f>
        <v/>
      </c>
      <c r="B136" s="14" t="n">
        <f aca="false">INDEX(MIE_Daily!$B$2:$AO$367,ROW()-35,5+8*(MATCH($B$2,CityData!$A$3:$A$7,0)-1))</f>
        <v>0</v>
      </c>
      <c r="C136" s="14" t="n">
        <f aca="false">IF(AND(A136&lt;&gt;"",A136&lt;Parameters!$B$14),INDEX(Candidate_Model!E:E,Decision!B12)*(1+TAXRATE),0)</f>
        <v>0</v>
      </c>
      <c r="D136" s="14" t="n">
        <f aca="false">HEADCOUNT</f>
        <v>24</v>
      </c>
      <c r="E136" s="14" t="n">
        <f aca="false">B136*D136</f>
        <v>0</v>
      </c>
      <c r="F136" s="14" t="n">
        <f aca="false">C136*D136</f>
        <v>0</v>
      </c>
      <c r="G136" s="1" t="s">
        <v>126</v>
      </c>
    </row>
    <row r="137" customFormat="false" ht="15" hidden="false" customHeight="true" outlineLevel="0" collapsed="false">
      <c r="A137" s="23" t="str">
        <f aca="false">MIE_Daily!A103</f>
        <v/>
      </c>
      <c r="B137" s="14" t="n">
        <f aca="false">INDEX(MIE_Daily!$B$2:$AO$367,ROW()-35,5+8*(MATCH($B$2,CityData!$A$3:$A$7,0)-1))</f>
        <v>0</v>
      </c>
      <c r="C137" s="14" t="n">
        <f aca="false">IF(AND(A137&lt;&gt;"",A137&lt;Parameters!$B$14),INDEX(Candidate_Model!E:E,Decision!B12)*(1+TAXRATE),0)</f>
        <v>0</v>
      </c>
      <c r="D137" s="14" t="n">
        <f aca="false">HEADCOUNT</f>
        <v>24</v>
      </c>
      <c r="E137" s="14" t="n">
        <f aca="false">B137*D137</f>
        <v>0</v>
      </c>
      <c r="F137" s="14" t="n">
        <f aca="false">C137*D137</f>
        <v>0</v>
      </c>
      <c r="G137" s="1" t="s">
        <v>126</v>
      </c>
    </row>
    <row r="138" customFormat="false" ht="15" hidden="false" customHeight="true" outlineLevel="0" collapsed="false">
      <c r="A138" s="23" t="str">
        <f aca="false">MIE_Daily!A104</f>
        <v/>
      </c>
      <c r="B138" s="14" t="n">
        <f aca="false">INDEX(MIE_Daily!$B$2:$AO$367,ROW()-35,5+8*(MATCH($B$2,CityData!$A$3:$A$7,0)-1))</f>
        <v>0</v>
      </c>
      <c r="C138" s="14" t="n">
        <f aca="false">IF(AND(A138&lt;&gt;"",A138&lt;Parameters!$B$14),INDEX(Candidate_Model!E:E,Decision!B12)*(1+TAXRATE),0)</f>
        <v>0</v>
      </c>
      <c r="D138" s="14" t="n">
        <f aca="false">HEADCOUNT</f>
        <v>24</v>
      </c>
      <c r="E138" s="14" t="n">
        <f aca="false">B138*D138</f>
        <v>0</v>
      </c>
      <c r="F138" s="14" t="n">
        <f aca="false">C138*D138</f>
        <v>0</v>
      </c>
      <c r="G138" s="1" t="s">
        <v>126</v>
      </c>
    </row>
    <row r="139" customFormat="false" ht="15" hidden="false" customHeight="true" outlineLevel="0" collapsed="false">
      <c r="A139" s="23" t="str">
        <f aca="false">MIE_Daily!A105</f>
        <v/>
      </c>
      <c r="B139" s="14" t="n">
        <f aca="false">INDEX(MIE_Daily!$B$2:$AO$367,ROW()-35,5+8*(MATCH($B$2,CityData!$A$3:$A$7,0)-1))</f>
        <v>0</v>
      </c>
      <c r="C139" s="14" t="n">
        <f aca="false">IF(AND(A139&lt;&gt;"",A139&lt;Parameters!$B$14),INDEX(Candidate_Model!E:E,Decision!B12)*(1+TAXRATE),0)</f>
        <v>0</v>
      </c>
      <c r="D139" s="14" t="n">
        <f aca="false">HEADCOUNT</f>
        <v>24</v>
      </c>
      <c r="E139" s="14" t="n">
        <f aca="false">B139*D139</f>
        <v>0</v>
      </c>
      <c r="F139" s="14" t="n">
        <f aca="false">C139*D139</f>
        <v>0</v>
      </c>
      <c r="G139" s="1" t="s">
        <v>126</v>
      </c>
    </row>
    <row r="140" customFormat="false" ht="15" hidden="false" customHeight="true" outlineLevel="0" collapsed="false">
      <c r="A140" s="23" t="str">
        <f aca="false">MIE_Daily!A106</f>
        <v/>
      </c>
      <c r="B140" s="14" t="n">
        <f aca="false">INDEX(MIE_Daily!$B$2:$AO$367,ROW()-35,5+8*(MATCH($B$2,CityData!$A$3:$A$7,0)-1))</f>
        <v>0</v>
      </c>
      <c r="C140" s="14" t="n">
        <f aca="false">IF(AND(A140&lt;&gt;"",A140&lt;Parameters!$B$14),INDEX(Candidate_Model!E:E,Decision!B12)*(1+TAXRATE),0)</f>
        <v>0</v>
      </c>
      <c r="D140" s="14" t="n">
        <f aca="false">HEADCOUNT</f>
        <v>24</v>
      </c>
      <c r="E140" s="14" t="n">
        <f aca="false">B140*D140</f>
        <v>0</v>
      </c>
      <c r="F140" s="14" t="n">
        <f aca="false">C140*D140</f>
        <v>0</v>
      </c>
      <c r="G140" s="1" t="s">
        <v>126</v>
      </c>
    </row>
    <row r="141" customFormat="false" ht="15" hidden="false" customHeight="true" outlineLevel="0" collapsed="false">
      <c r="A141" s="23" t="str">
        <f aca="false">MIE_Daily!A107</f>
        <v/>
      </c>
      <c r="B141" s="14" t="n">
        <f aca="false">INDEX(MIE_Daily!$B$2:$AO$367,ROW()-35,5+8*(MATCH($B$2,CityData!$A$3:$A$7,0)-1))</f>
        <v>0</v>
      </c>
      <c r="C141" s="14" t="n">
        <f aca="false">IF(AND(A141&lt;&gt;"",A141&lt;Parameters!$B$14),INDEX(Candidate_Model!E:E,Decision!B12)*(1+TAXRATE),0)</f>
        <v>0</v>
      </c>
      <c r="D141" s="14" t="n">
        <f aca="false">HEADCOUNT</f>
        <v>24</v>
      </c>
      <c r="E141" s="14" t="n">
        <f aca="false">B141*D141</f>
        <v>0</v>
      </c>
      <c r="F141" s="14" t="n">
        <f aca="false">C141*D141</f>
        <v>0</v>
      </c>
      <c r="G141" s="1" t="s">
        <v>126</v>
      </c>
    </row>
    <row r="142" customFormat="false" ht="15" hidden="false" customHeight="true" outlineLevel="0" collapsed="false">
      <c r="A142" s="23" t="str">
        <f aca="false">MIE_Daily!A108</f>
        <v/>
      </c>
      <c r="B142" s="14" t="n">
        <f aca="false">INDEX(MIE_Daily!$B$2:$AO$367,ROW()-35,5+8*(MATCH($B$2,CityData!$A$3:$A$7,0)-1))</f>
        <v>0</v>
      </c>
      <c r="C142" s="14" t="n">
        <f aca="false">IF(AND(A142&lt;&gt;"",A142&lt;Parameters!$B$14),INDEX(Candidate_Model!E:E,Decision!B12)*(1+TAXRATE),0)</f>
        <v>0</v>
      </c>
      <c r="D142" s="14" t="n">
        <f aca="false">HEADCOUNT</f>
        <v>24</v>
      </c>
      <c r="E142" s="14" t="n">
        <f aca="false">B142*D142</f>
        <v>0</v>
      </c>
      <c r="F142" s="14" t="n">
        <f aca="false">C142*D142</f>
        <v>0</v>
      </c>
      <c r="G142" s="1" t="s">
        <v>126</v>
      </c>
    </row>
    <row r="143" customFormat="false" ht="15" hidden="false" customHeight="true" outlineLevel="0" collapsed="false">
      <c r="A143" s="23" t="str">
        <f aca="false">MIE_Daily!A109</f>
        <v/>
      </c>
      <c r="B143" s="14" t="n">
        <f aca="false">INDEX(MIE_Daily!$B$2:$AO$367,ROW()-35,5+8*(MATCH($B$2,CityData!$A$3:$A$7,0)-1))</f>
        <v>0</v>
      </c>
      <c r="C143" s="14" t="n">
        <f aca="false">IF(AND(A143&lt;&gt;"",A143&lt;Parameters!$B$14),INDEX(Candidate_Model!E:E,Decision!B12)*(1+TAXRATE),0)</f>
        <v>0</v>
      </c>
      <c r="D143" s="14" t="n">
        <f aca="false">HEADCOUNT</f>
        <v>24</v>
      </c>
      <c r="E143" s="14" t="n">
        <f aca="false">B143*D143</f>
        <v>0</v>
      </c>
      <c r="F143" s="14" t="n">
        <f aca="false">C143*D143</f>
        <v>0</v>
      </c>
      <c r="G143" s="1" t="s">
        <v>126</v>
      </c>
    </row>
    <row r="144" customFormat="false" ht="15" hidden="false" customHeight="true" outlineLevel="0" collapsed="false">
      <c r="A144" s="23" t="str">
        <f aca="false">MIE_Daily!A110</f>
        <v/>
      </c>
      <c r="B144" s="14" t="n">
        <f aca="false">INDEX(MIE_Daily!$B$2:$AO$367,ROW()-35,5+8*(MATCH($B$2,CityData!$A$3:$A$7,0)-1))</f>
        <v>0</v>
      </c>
      <c r="C144" s="14" t="n">
        <f aca="false">IF(AND(A144&lt;&gt;"",A144&lt;Parameters!$B$14),INDEX(Candidate_Model!E:E,Decision!B12)*(1+TAXRATE),0)</f>
        <v>0</v>
      </c>
      <c r="D144" s="14" t="n">
        <f aca="false">HEADCOUNT</f>
        <v>24</v>
      </c>
      <c r="E144" s="14" t="n">
        <f aca="false">B144*D144</f>
        <v>0</v>
      </c>
      <c r="F144" s="14" t="n">
        <f aca="false">C144*D144</f>
        <v>0</v>
      </c>
      <c r="G144" s="1" t="s">
        <v>126</v>
      </c>
    </row>
    <row r="145" customFormat="false" ht="15" hidden="false" customHeight="true" outlineLevel="0" collapsed="false">
      <c r="A145" s="23" t="str">
        <f aca="false">MIE_Daily!A111</f>
        <v/>
      </c>
      <c r="B145" s="14" t="n">
        <f aca="false">INDEX(MIE_Daily!$B$2:$AO$367,ROW()-35,5+8*(MATCH($B$2,CityData!$A$3:$A$7,0)-1))</f>
        <v>0</v>
      </c>
      <c r="C145" s="14" t="n">
        <f aca="false">IF(AND(A145&lt;&gt;"",A145&lt;Parameters!$B$14),INDEX(Candidate_Model!E:E,Decision!B12)*(1+TAXRATE),0)</f>
        <v>0</v>
      </c>
      <c r="D145" s="14" t="n">
        <f aca="false">HEADCOUNT</f>
        <v>24</v>
      </c>
      <c r="E145" s="14" t="n">
        <f aca="false">B145*D145</f>
        <v>0</v>
      </c>
      <c r="F145" s="14" t="n">
        <f aca="false">C145*D145</f>
        <v>0</v>
      </c>
      <c r="G145" s="1" t="s">
        <v>126</v>
      </c>
    </row>
    <row r="146" customFormat="false" ht="15" hidden="false" customHeight="true" outlineLevel="0" collapsed="false">
      <c r="A146" s="23" t="str">
        <f aca="false">MIE_Daily!A112</f>
        <v/>
      </c>
      <c r="B146" s="14" t="n">
        <f aca="false">INDEX(MIE_Daily!$B$2:$AO$367,ROW()-35,5+8*(MATCH($B$2,CityData!$A$3:$A$7,0)-1))</f>
        <v>0</v>
      </c>
      <c r="C146" s="14" t="n">
        <f aca="false">IF(AND(A146&lt;&gt;"",A146&lt;Parameters!$B$14),INDEX(Candidate_Model!E:E,Decision!B12)*(1+TAXRATE),0)</f>
        <v>0</v>
      </c>
      <c r="D146" s="14" t="n">
        <f aca="false">HEADCOUNT</f>
        <v>24</v>
      </c>
      <c r="E146" s="14" t="n">
        <f aca="false">B146*D146</f>
        <v>0</v>
      </c>
      <c r="F146" s="14" t="n">
        <f aca="false">C146*D146</f>
        <v>0</v>
      </c>
      <c r="G146" s="1" t="s">
        <v>126</v>
      </c>
    </row>
    <row r="147" customFormat="false" ht="15" hidden="false" customHeight="true" outlineLevel="0" collapsed="false">
      <c r="A147" s="23" t="str">
        <f aca="false">MIE_Daily!A113</f>
        <v/>
      </c>
      <c r="B147" s="14" t="n">
        <f aca="false">INDEX(MIE_Daily!$B$2:$AO$367,ROW()-35,5+8*(MATCH($B$2,CityData!$A$3:$A$7,0)-1))</f>
        <v>0</v>
      </c>
      <c r="C147" s="14" t="n">
        <f aca="false">IF(AND(A147&lt;&gt;"",A147&lt;Parameters!$B$14),INDEX(Candidate_Model!E:E,Decision!B12)*(1+TAXRATE),0)</f>
        <v>0</v>
      </c>
      <c r="D147" s="14" t="n">
        <f aca="false">HEADCOUNT</f>
        <v>24</v>
      </c>
      <c r="E147" s="14" t="n">
        <f aca="false">B147*D147</f>
        <v>0</v>
      </c>
      <c r="F147" s="14" t="n">
        <f aca="false">C147*D147</f>
        <v>0</v>
      </c>
      <c r="G147" s="1" t="s">
        <v>126</v>
      </c>
    </row>
    <row r="148" customFormat="false" ht="15" hidden="false" customHeight="true" outlineLevel="0" collapsed="false">
      <c r="A148" s="23" t="str">
        <f aca="false">MIE_Daily!A114</f>
        <v/>
      </c>
      <c r="B148" s="14" t="n">
        <f aca="false">INDEX(MIE_Daily!$B$2:$AO$367,ROW()-35,5+8*(MATCH($B$2,CityData!$A$3:$A$7,0)-1))</f>
        <v>0</v>
      </c>
      <c r="C148" s="14" t="n">
        <f aca="false">IF(AND(A148&lt;&gt;"",A148&lt;Parameters!$B$14),INDEX(Candidate_Model!E:E,Decision!B12)*(1+TAXRATE),0)</f>
        <v>0</v>
      </c>
      <c r="D148" s="14" t="n">
        <f aca="false">HEADCOUNT</f>
        <v>24</v>
      </c>
      <c r="E148" s="14" t="n">
        <f aca="false">B148*D148</f>
        <v>0</v>
      </c>
      <c r="F148" s="14" t="n">
        <f aca="false">C148*D148</f>
        <v>0</v>
      </c>
      <c r="G148" s="1" t="s">
        <v>126</v>
      </c>
    </row>
    <row r="149" customFormat="false" ht="15" hidden="false" customHeight="true" outlineLevel="0" collapsed="false">
      <c r="A149" s="23" t="str">
        <f aca="false">MIE_Daily!A115</f>
        <v/>
      </c>
      <c r="B149" s="14" t="n">
        <f aca="false">INDEX(MIE_Daily!$B$2:$AO$367,ROW()-35,5+8*(MATCH($B$2,CityData!$A$3:$A$7,0)-1))</f>
        <v>0</v>
      </c>
      <c r="C149" s="14" t="n">
        <f aca="false">IF(AND(A149&lt;&gt;"",A149&lt;Parameters!$B$14),INDEX(Candidate_Model!E:E,Decision!B12)*(1+TAXRATE),0)</f>
        <v>0</v>
      </c>
      <c r="D149" s="14" t="n">
        <f aca="false">HEADCOUNT</f>
        <v>24</v>
      </c>
      <c r="E149" s="14" t="n">
        <f aca="false">B149*D149</f>
        <v>0</v>
      </c>
      <c r="F149" s="14" t="n">
        <f aca="false">C149*D149</f>
        <v>0</v>
      </c>
      <c r="G149" s="1" t="s">
        <v>126</v>
      </c>
    </row>
    <row r="150" customFormat="false" ht="15" hidden="false" customHeight="true" outlineLevel="0" collapsed="false">
      <c r="A150" s="23" t="str">
        <f aca="false">MIE_Daily!A116</f>
        <v/>
      </c>
      <c r="B150" s="14" t="n">
        <f aca="false">INDEX(MIE_Daily!$B$2:$AO$367,ROW()-35,5+8*(MATCH($B$2,CityData!$A$3:$A$7,0)-1))</f>
        <v>0</v>
      </c>
      <c r="C150" s="14" t="n">
        <f aca="false">IF(AND(A150&lt;&gt;"",A150&lt;Parameters!$B$14),INDEX(Candidate_Model!E:E,Decision!B12)*(1+TAXRATE),0)</f>
        <v>0</v>
      </c>
      <c r="D150" s="14" t="n">
        <f aca="false">HEADCOUNT</f>
        <v>24</v>
      </c>
      <c r="E150" s="14" t="n">
        <f aca="false">B150*D150</f>
        <v>0</v>
      </c>
      <c r="F150" s="14" t="n">
        <f aca="false">C150*D150</f>
        <v>0</v>
      </c>
      <c r="G150" s="1" t="s">
        <v>126</v>
      </c>
    </row>
    <row r="151" customFormat="false" ht="15" hidden="false" customHeight="true" outlineLevel="0" collapsed="false">
      <c r="A151" s="23" t="str">
        <f aca="false">MIE_Daily!A117</f>
        <v/>
      </c>
      <c r="B151" s="14" t="n">
        <f aca="false">INDEX(MIE_Daily!$B$2:$AO$367,ROW()-35,5+8*(MATCH($B$2,CityData!$A$3:$A$7,0)-1))</f>
        <v>0</v>
      </c>
      <c r="C151" s="14" t="n">
        <f aca="false">IF(AND(A151&lt;&gt;"",A151&lt;Parameters!$B$14),INDEX(Candidate_Model!E:E,Decision!B12)*(1+TAXRATE),0)</f>
        <v>0</v>
      </c>
      <c r="D151" s="14" t="n">
        <f aca="false">HEADCOUNT</f>
        <v>24</v>
      </c>
      <c r="E151" s="14" t="n">
        <f aca="false">B151*D151</f>
        <v>0</v>
      </c>
      <c r="F151" s="14" t="n">
        <f aca="false">C151*D151</f>
        <v>0</v>
      </c>
      <c r="G151" s="1" t="s">
        <v>126</v>
      </c>
    </row>
    <row r="152" customFormat="false" ht="15" hidden="false" customHeight="true" outlineLevel="0" collapsed="false">
      <c r="A152" s="23" t="str">
        <f aca="false">MIE_Daily!A118</f>
        <v/>
      </c>
      <c r="B152" s="14" t="n">
        <f aca="false">INDEX(MIE_Daily!$B$2:$AO$367,ROW()-35,5+8*(MATCH($B$2,CityData!$A$3:$A$7,0)-1))</f>
        <v>0</v>
      </c>
      <c r="C152" s="14" t="n">
        <f aca="false">IF(AND(A152&lt;&gt;"",A152&lt;Parameters!$B$14),INDEX(Candidate_Model!E:E,Decision!B12)*(1+TAXRATE),0)</f>
        <v>0</v>
      </c>
      <c r="D152" s="14" t="n">
        <f aca="false">HEADCOUNT</f>
        <v>24</v>
      </c>
      <c r="E152" s="14" t="n">
        <f aca="false">B152*D152</f>
        <v>0</v>
      </c>
      <c r="F152" s="14" t="n">
        <f aca="false">C152*D152</f>
        <v>0</v>
      </c>
      <c r="G152" s="1" t="s">
        <v>126</v>
      </c>
    </row>
    <row r="153" customFormat="false" ht="15" hidden="false" customHeight="true" outlineLevel="0" collapsed="false">
      <c r="A153" s="23" t="str">
        <f aca="false">MIE_Daily!A119</f>
        <v/>
      </c>
      <c r="B153" s="14" t="n">
        <f aca="false">INDEX(MIE_Daily!$B$2:$AO$367,ROW()-35,5+8*(MATCH($B$2,CityData!$A$3:$A$7,0)-1))</f>
        <v>0</v>
      </c>
      <c r="C153" s="14" t="n">
        <f aca="false">IF(AND(A153&lt;&gt;"",A153&lt;Parameters!$B$14),INDEX(Candidate_Model!E:E,Decision!B12)*(1+TAXRATE),0)</f>
        <v>0</v>
      </c>
      <c r="D153" s="14" t="n">
        <f aca="false">HEADCOUNT</f>
        <v>24</v>
      </c>
      <c r="E153" s="14" t="n">
        <f aca="false">B153*D153</f>
        <v>0</v>
      </c>
      <c r="F153" s="14" t="n">
        <f aca="false">C153*D153</f>
        <v>0</v>
      </c>
      <c r="G153" s="1" t="s">
        <v>126</v>
      </c>
    </row>
    <row r="154" customFormat="false" ht="15" hidden="false" customHeight="true" outlineLevel="0" collapsed="false">
      <c r="A154" s="23" t="str">
        <f aca="false">MIE_Daily!A120</f>
        <v/>
      </c>
      <c r="B154" s="14" t="n">
        <f aca="false">INDEX(MIE_Daily!$B$2:$AO$367,ROW()-35,5+8*(MATCH($B$2,CityData!$A$3:$A$7,0)-1))</f>
        <v>0</v>
      </c>
      <c r="C154" s="14" t="n">
        <f aca="false">IF(AND(A154&lt;&gt;"",A154&lt;Parameters!$B$14),INDEX(Candidate_Model!E:E,Decision!B12)*(1+TAXRATE),0)</f>
        <v>0</v>
      </c>
      <c r="D154" s="14" t="n">
        <f aca="false">HEADCOUNT</f>
        <v>24</v>
      </c>
      <c r="E154" s="14" t="n">
        <f aca="false">B154*D154</f>
        <v>0</v>
      </c>
      <c r="F154" s="14" t="n">
        <f aca="false">C154*D154</f>
        <v>0</v>
      </c>
      <c r="G154" s="1" t="s">
        <v>126</v>
      </c>
    </row>
    <row r="155" customFormat="false" ht="15" hidden="false" customHeight="true" outlineLevel="0" collapsed="false">
      <c r="A155" s="23" t="str">
        <f aca="false">MIE_Daily!A121</f>
        <v/>
      </c>
      <c r="B155" s="14" t="n">
        <f aca="false">INDEX(MIE_Daily!$B$2:$AO$367,ROW()-35,5+8*(MATCH($B$2,CityData!$A$3:$A$7,0)-1))</f>
        <v>0</v>
      </c>
      <c r="C155" s="14" t="n">
        <f aca="false">IF(AND(A155&lt;&gt;"",A155&lt;Parameters!$B$14),INDEX(Candidate_Model!E:E,Decision!B12)*(1+TAXRATE),0)</f>
        <v>0</v>
      </c>
      <c r="D155" s="14" t="n">
        <f aca="false">HEADCOUNT</f>
        <v>24</v>
      </c>
      <c r="E155" s="14" t="n">
        <f aca="false">B155*D155</f>
        <v>0</v>
      </c>
      <c r="F155" s="14" t="n">
        <f aca="false">C155*D155</f>
        <v>0</v>
      </c>
      <c r="G155" s="1" t="s">
        <v>126</v>
      </c>
    </row>
    <row r="156" customFormat="false" ht="15" hidden="false" customHeight="true" outlineLevel="0" collapsed="false">
      <c r="A156" s="23" t="str">
        <f aca="false">MIE_Daily!A122</f>
        <v/>
      </c>
      <c r="B156" s="14" t="n">
        <f aca="false">INDEX(MIE_Daily!$B$2:$AO$367,ROW()-35,5+8*(MATCH($B$2,CityData!$A$3:$A$7,0)-1))</f>
        <v>0</v>
      </c>
      <c r="C156" s="14" t="n">
        <f aca="false">IF(AND(A156&lt;&gt;"",A156&lt;Parameters!$B$14),INDEX(Candidate_Model!E:E,Decision!B12)*(1+TAXRATE),0)</f>
        <v>0</v>
      </c>
      <c r="D156" s="14" t="n">
        <f aca="false">HEADCOUNT</f>
        <v>24</v>
      </c>
      <c r="E156" s="14" t="n">
        <f aca="false">B156*D156</f>
        <v>0</v>
      </c>
      <c r="F156" s="14" t="n">
        <f aca="false">C156*D156</f>
        <v>0</v>
      </c>
      <c r="G156" s="1" t="s">
        <v>126</v>
      </c>
    </row>
    <row r="157" customFormat="false" ht="15" hidden="false" customHeight="true" outlineLevel="0" collapsed="false">
      <c r="A157" s="23" t="str">
        <f aca="false">MIE_Daily!A123</f>
        <v/>
      </c>
      <c r="B157" s="14" t="n">
        <f aca="false">INDEX(MIE_Daily!$B$2:$AO$367,ROW()-35,5+8*(MATCH($B$2,CityData!$A$3:$A$7,0)-1))</f>
        <v>0</v>
      </c>
      <c r="C157" s="14" t="n">
        <f aca="false">IF(AND(A157&lt;&gt;"",A157&lt;Parameters!$B$14),INDEX(Candidate_Model!E:E,Decision!B12)*(1+TAXRATE),0)</f>
        <v>0</v>
      </c>
      <c r="D157" s="14" t="n">
        <f aca="false">HEADCOUNT</f>
        <v>24</v>
      </c>
      <c r="E157" s="14" t="n">
        <f aca="false">B157*D157</f>
        <v>0</v>
      </c>
      <c r="F157" s="14" t="n">
        <f aca="false">C157*D157</f>
        <v>0</v>
      </c>
      <c r="G157" s="1" t="s">
        <v>126</v>
      </c>
    </row>
    <row r="158" customFormat="false" ht="15" hidden="false" customHeight="true" outlineLevel="0" collapsed="false">
      <c r="A158" s="23" t="str">
        <f aca="false">MIE_Daily!A124</f>
        <v/>
      </c>
      <c r="B158" s="14" t="n">
        <f aca="false">INDEX(MIE_Daily!$B$2:$AO$367,ROW()-35,5+8*(MATCH($B$2,CityData!$A$3:$A$7,0)-1))</f>
        <v>0</v>
      </c>
      <c r="C158" s="14" t="n">
        <f aca="false">IF(AND(A158&lt;&gt;"",A158&lt;Parameters!$B$14),INDEX(Candidate_Model!E:E,Decision!B12)*(1+TAXRATE),0)</f>
        <v>0</v>
      </c>
      <c r="D158" s="14" t="n">
        <f aca="false">HEADCOUNT</f>
        <v>24</v>
      </c>
      <c r="E158" s="14" t="n">
        <f aca="false">B158*D158</f>
        <v>0</v>
      </c>
      <c r="F158" s="14" t="n">
        <f aca="false">C158*D158</f>
        <v>0</v>
      </c>
      <c r="G158" s="1" t="s">
        <v>126</v>
      </c>
    </row>
    <row r="159" customFormat="false" ht="15" hidden="false" customHeight="true" outlineLevel="0" collapsed="false">
      <c r="A159" s="23" t="str">
        <f aca="false">MIE_Daily!A125</f>
        <v/>
      </c>
      <c r="B159" s="14" t="n">
        <f aca="false">INDEX(MIE_Daily!$B$2:$AO$367,ROW()-35,5+8*(MATCH($B$2,CityData!$A$3:$A$7,0)-1))</f>
        <v>0</v>
      </c>
      <c r="C159" s="14" t="n">
        <f aca="false">IF(AND(A159&lt;&gt;"",A159&lt;Parameters!$B$14),INDEX(Candidate_Model!E:E,Decision!B12)*(1+TAXRATE),0)</f>
        <v>0</v>
      </c>
      <c r="D159" s="14" t="n">
        <f aca="false">HEADCOUNT</f>
        <v>24</v>
      </c>
      <c r="E159" s="14" t="n">
        <f aca="false">B159*D159</f>
        <v>0</v>
      </c>
      <c r="F159" s="14" t="n">
        <f aca="false">C159*D159</f>
        <v>0</v>
      </c>
      <c r="G159" s="1" t="s">
        <v>126</v>
      </c>
    </row>
    <row r="160" customFormat="false" ht="15" hidden="false" customHeight="true" outlineLevel="0" collapsed="false">
      <c r="A160" s="23" t="str">
        <f aca="false">MIE_Daily!A126</f>
        <v/>
      </c>
      <c r="B160" s="14" t="n">
        <f aca="false">INDEX(MIE_Daily!$B$2:$AO$367,ROW()-35,5+8*(MATCH($B$2,CityData!$A$3:$A$7,0)-1))</f>
        <v>0</v>
      </c>
      <c r="C160" s="14" t="n">
        <f aca="false">IF(AND(A160&lt;&gt;"",A160&lt;Parameters!$B$14),INDEX(Candidate_Model!E:E,Decision!B12)*(1+TAXRATE),0)</f>
        <v>0</v>
      </c>
      <c r="D160" s="14" t="n">
        <f aca="false">HEADCOUNT</f>
        <v>24</v>
      </c>
      <c r="E160" s="14" t="n">
        <f aca="false">B160*D160</f>
        <v>0</v>
      </c>
      <c r="F160" s="14" t="n">
        <f aca="false">C160*D160</f>
        <v>0</v>
      </c>
      <c r="G160" s="1" t="s">
        <v>126</v>
      </c>
    </row>
    <row r="161" customFormat="false" ht="15" hidden="false" customHeight="true" outlineLevel="0" collapsed="false">
      <c r="A161" s="23" t="str">
        <f aca="false">MIE_Daily!A127</f>
        <v/>
      </c>
      <c r="B161" s="14" t="n">
        <f aca="false">INDEX(MIE_Daily!$B$2:$AO$367,ROW()-35,5+8*(MATCH($B$2,CityData!$A$3:$A$7,0)-1))</f>
        <v>0</v>
      </c>
      <c r="C161" s="14" t="n">
        <f aca="false">IF(AND(A161&lt;&gt;"",A161&lt;Parameters!$B$14),INDEX(Candidate_Model!E:E,Decision!B12)*(1+TAXRATE),0)</f>
        <v>0</v>
      </c>
      <c r="D161" s="14" t="n">
        <f aca="false">HEADCOUNT</f>
        <v>24</v>
      </c>
      <c r="E161" s="14" t="n">
        <f aca="false">B161*D161</f>
        <v>0</v>
      </c>
      <c r="F161" s="14" t="n">
        <f aca="false">C161*D161</f>
        <v>0</v>
      </c>
      <c r="G161" s="1" t="s">
        <v>126</v>
      </c>
    </row>
    <row r="162" customFormat="false" ht="15" hidden="false" customHeight="true" outlineLevel="0" collapsed="false">
      <c r="A162" s="23" t="str">
        <f aca="false">MIE_Daily!A128</f>
        <v/>
      </c>
      <c r="B162" s="14" t="n">
        <f aca="false">INDEX(MIE_Daily!$B$2:$AO$367,ROW()-35,5+8*(MATCH($B$2,CityData!$A$3:$A$7,0)-1))</f>
        <v>0</v>
      </c>
      <c r="C162" s="14" t="n">
        <f aca="false">IF(AND(A162&lt;&gt;"",A162&lt;Parameters!$B$14),INDEX(Candidate_Model!E:E,Decision!B12)*(1+TAXRATE),0)</f>
        <v>0</v>
      </c>
      <c r="D162" s="14" t="n">
        <f aca="false">HEADCOUNT</f>
        <v>24</v>
      </c>
      <c r="E162" s="14" t="n">
        <f aca="false">B162*D162</f>
        <v>0</v>
      </c>
      <c r="F162" s="14" t="n">
        <f aca="false">C162*D162</f>
        <v>0</v>
      </c>
      <c r="G162" s="1" t="s">
        <v>126</v>
      </c>
    </row>
    <row r="163" customFormat="false" ht="15" hidden="false" customHeight="true" outlineLevel="0" collapsed="false">
      <c r="A163" s="23" t="str">
        <f aca="false">MIE_Daily!A129</f>
        <v/>
      </c>
      <c r="B163" s="14" t="n">
        <f aca="false">INDEX(MIE_Daily!$B$2:$AO$367,ROW()-35,5+8*(MATCH($B$2,CityData!$A$3:$A$7,0)-1))</f>
        <v>0</v>
      </c>
      <c r="C163" s="14" t="n">
        <f aca="false">IF(AND(A163&lt;&gt;"",A163&lt;Parameters!$B$14),INDEX(Candidate_Model!E:E,Decision!B12)*(1+TAXRATE),0)</f>
        <v>0</v>
      </c>
      <c r="D163" s="14" t="n">
        <f aca="false">HEADCOUNT</f>
        <v>24</v>
      </c>
      <c r="E163" s="14" t="n">
        <f aca="false">B163*D163</f>
        <v>0</v>
      </c>
      <c r="F163" s="14" t="n">
        <f aca="false">C163*D163</f>
        <v>0</v>
      </c>
      <c r="G163" s="1" t="s">
        <v>126</v>
      </c>
    </row>
    <row r="164" customFormat="false" ht="15" hidden="false" customHeight="true" outlineLevel="0" collapsed="false">
      <c r="A164" s="23" t="str">
        <f aca="false">MIE_Daily!A130</f>
        <v/>
      </c>
      <c r="B164" s="14" t="n">
        <f aca="false">INDEX(MIE_Daily!$B$2:$AO$367,ROW()-35,5+8*(MATCH($B$2,CityData!$A$3:$A$7,0)-1))</f>
        <v>0</v>
      </c>
      <c r="C164" s="14" t="n">
        <f aca="false">IF(AND(A164&lt;&gt;"",A164&lt;Parameters!$B$14),INDEX(Candidate_Model!E:E,Decision!B12)*(1+TAXRATE),0)</f>
        <v>0</v>
      </c>
      <c r="D164" s="14" t="n">
        <f aca="false">HEADCOUNT</f>
        <v>24</v>
      </c>
      <c r="E164" s="14" t="n">
        <f aca="false">B164*D164</f>
        <v>0</v>
      </c>
      <c r="F164" s="14" t="n">
        <f aca="false">C164*D164</f>
        <v>0</v>
      </c>
      <c r="G164" s="1" t="s">
        <v>126</v>
      </c>
    </row>
    <row r="165" customFormat="false" ht="15" hidden="false" customHeight="true" outlineLevel="0" collapsed="false">
      <c r="A165" s="23" t="str">
        <f aca="false">MIE_Daily!A131</f>
        <v/>
      </c>
      <c r="B165" s="14" t="n">
        <f aca="false">INDEX(MIE_Daily!$B$2:$AO$367,ROW()-35,5+8*(MATCH($B$2,CityData!$A$3:$A$7,0)-1))</f>
        <v>0</v>
      </c>
      <c r="C165" s="14" t="n">
        <f aca="false">IF(AND(A165&lt;&gt;"",A165&lt;Parameters!$B$14),INDEX(Candidate_Model!E:E,Decision!B12)*(1+TAXRATE),0)</f>
        <v>0</v>
      </c>
      <c r="D165" s="14" t="n">
        <f aca="false">HEADCOUNT</f>
        <v>24</v>
      </c>
      <c r="E165" s="14" t="n">
        <f aca="false">B165*D165</f>
        <v>0</v>
      </c>
      <c r="F165" s="14" t="n">
        <f aca="false">C165*D165</f>
        <v>0</v>
      </c>
      <c r="G165" s="1" t="s">
        <v>126</v>
      </c>
    </row>
    <row r="166" customFormat="false" ht="15" hidden="false" customHeight="true" outlineLevel="0" collapsed="false">
      <c r="A166" s="23" t="str">
        <f aca="false">MIE_Daily!A132</f>
        <v/>
      </c>
      <c r="B166" s="14" t="n">
        <f aca="false">INDEX(MIE_Daily!$B$2:$AO$367,ROW()-35,5+8*(MATCH($B$2,CityData!$A$3:$A$7,0)-1))</f>
        <v>0</v>
      </c>
      <c r="C166" s="14" t="n">
        <f aca="false">IF(AND(A166&lt;&gt;"",A166&lt;Parameters!$B$14),INDEX(Candidate_Model!E:E,Decision!B12)*(1+TAXRATE),0)</f>
        <v>0</v>
      </c>
      <c r="D166" s="14" t="n">
        <f aca="false">HEADCOUNT</f>
        <v>24</v>
      </c>
      <c r="E166" s="14" t="n">
        <f aca="false">B166*D166</f>
        <v>0</v>
      </c>
      <c r="F166" s="14" t="n">
        <f aca="false">C166*D166</f>
        <v>0</v>
      </c>
      <c r="G166" s="1" t="s">
        <v>126</v>
      </c>
    </row>
    <row r="167" customFormat="false" ht="15" hidden="false" customHeight="true" outlineLevel="0" collapsed="false">
      <c r="A167" s="23" t="str">
        <f aca="false">MIE_Daily!A133</f>
        <v/>
      </c>
      <c r="B167" s="14" t="n">
        <f aca="false">INDEX(MIE_Daily!$B$2:$AO$367,ROW()-35,5+8*(MATCH($B$2,CityData!$A$3:$A$7,0)-1))</f>
        <v>0</v>
      </c>
      <c r="C167" s="14" t="n">
        <f aca="false">IF(AND(A167&lt;&gt;"",A167&lt;Parameters!$B$14),INDEX(Candidate_Model!E:E,Decision!B12)*(1+TAXRATE),0)</f>
        <v>0</v>
      </c>
      <c r="D167" s="14" t="n">
        <f aca="false">HEADCOUNT</f>
        <v>24</v>
      </c>
      <c r="E167" s="14" t="n">
        <f aca="false">B167*D167</f>
        <v>0</v>
      </c>
      <c r="F167" s="14" t="n">
        <f aca="false">C167*D167</f>
        <v>0</v>
      </c>
      <c r="G167" s="1" t="s">
        <v>126</v>
      </c>
    </row>
    <row r="168" customFormat="false" ht="15" hidden="false" customHeight="true" outlineLevel="0" collapsed="false">
      <c r="A168" s="23" t="str">
        <f aca="false">MIE_Daily!A134</f>
        <v/>
      </c>
      <c r="B168" s="14" t="n">
        <f aca="false">INDEX(MIE_Daily!$B$2:$AO$367,ROW()-35,5+8*(MATCH($B$2,CityData!$A$3:$A$7,0)-1))</f>
        <v>0</v>
      </c>
      <c r="C168" s="14" t="n">
        <f aca="false">IF(AND(A168&lt;&gt;"",A168&lt;Parameters!$B$14),INDEX(Candidate_Model!E:E,Decision!B12)*(1+TAXRATE),0)</f>
        <v>0</v>
      </c>
      <c r="D168" s="14" t="n">
        <f aca="false">HEADCOUNT</f>
        <v>24</v>
      </c>
      <c r="E168" s="14" t="n">
        <f aca="false">B168*D168</f>
        <v>0</v>
      </c>
      <c r="F168" s="14" t="n">
        <f aca="false">C168*D168</f>
        <v>0</v>
      </c>
      <c r="G168" s="1" t="s">
        <v>126</v>
      </c>
    </row>
    <row r="169" customFormat="false" ht="15" hidden="false" customHeight="true" outlineLevel="0" collapsed="false">
      <c r="A169" s="23" t="str">
        <f aca="false">MIE_Daily!A135</f>
        <v/>
      </c>
      <c r="B169" s="14" t="n">
        <f aca="false">INDEX(MIE_Daily!$B$2:$AO$367,ROW()-35,5+8*(MATCH($B$2,CityData!$A$3:$A$7,0)-1))</f>
        <v>0</v>
      </c>
      <c r="C169" s="14" t="n">
        <f aca="false">IF(AND(A169&lt;&gt;"",A169&lt;Parameters!$B$14),INDEX(Candidate_Model!E:E,Decision!B12)*(1+TAXRATE),0)</f>
        <v>0</v>
      </c>
      <c r="D169" s="14" t="n">
        <f aca="false">HEADCOUNT</f>
        <v>24</v>
      </c>
      <c r="E169" s="14" t="n">
        <f aca="false">B169*D169</f>
        <v>0</v>
      </c>
      <c r="F169" s="14" t="n">
        <f aca="false">C169*D169</f>
        <v>0</v>
      </c>
      <c r="G169" s="1" t="s">
        <v>126</v>
      </c>
    </row>
    <row r="170" customFormat="false" ht="15" hidden="false" customHeight="true" outlineLevel="0" collapsed="false">
      <c r="A170" s="23" t="str">
        <f aca="false">MIE_Daily!A136</f>
        <v/>
      </c>
      <c r="B170" s="14" t="n">
        <f aca="false">INDEX(MIE_Daily!$B$2:$AO$367,ROW()-35,5+8*(MATCH($B$2,CityData!$A$3:$A$7,0)-1))</f>
        <v>0</v>
      </c>
      <c r="C170" s="14" t="n">
        <f aca="false">IF(AND(A170&lt;&gt;"",A170&lt;Parameters!$B$14),INDEX(Candidate_Model!E:E,Decision!B12)*(1+TAXRATE),0)</f>
        <v>0</v>
      </c>
      <c r="D170" s="14" t="n">
        <f aca="false">HEADCOUNT</f>
        <v>24</v>
      </c>
      <c r="E170" s="14" t="n">
        <f aca="false">B170*D170</f>
        <v>0</v>
      </c>
      <c r="F170" s="14" t="n">
        <f aca="false">C170*D170</f>
        <v>0</v>
      </c>
      <c r="G170" s="1" t="s">
        <v>126</v>
      </c>
    </row>
    <row r="171" customFormat="false" ht="15" hidden="false" customHeight="true" outlineLevel="0" collapsed="false">
      <c r="A171" s="23" t="str">
        <f aca="false">MIE_Daily!A137</f>
        <v/>
      </c>
      <c r="B171" s="14" t="n">
        <f aca="false">INDEX(MIE_Daily!$B$2:$AO$367,ROW()-35,5+8*(MATCH($B$2,CityData!$A$3:$A$7,0)-1))</f>
        <v>0</v>
      </c>
      <c r="C171" s="14" t="n">
        <f aca="false">IF(AND(A171&lt;&gt;"",A171&lt;Parameters!$B$14),INDEX(Candidate_Model!E:E,Decision!B12)*(1+TAXRATE),0)</f>
        <v>0</v>
      </c>
      <c r="D171" s="14" t="n">
        <f aca="false">HEADCOUNT</f>
        <v>24</v>
      </c>
      <c r="E171" s="14" t="n">
        <f aca="false">B171*D171</f>
        <v>0</v>
      </c>
      <c r="F171" s="14" t="n">
        <f aca="false">C171*D171</f>
        <v>0</v>
      </c>
      <c r="G171" s="1" t="s">
        <v>126</v>
      </c>
    </row>
    <row r="172" customFormat="false" ht="15" hidden="false" customHeight="true" outlineLevel="0" collapsed="false">
      <c r="A172" s="23" t="str">
        <f aca="false">MIE_Daily!A138</f>
        <v/>
      </c>
      <c r="B172" s="14" t="n">
        <f aca="false">INDEX(MIE_Daily!$B$2:$AO$367,ROW()-35,5+8*(MATCH($B$2,CityData!$A$3:$A$7,0)-1))</f>
        <v>0</v>
      </c>
      <c r="C172" s="14" t="n">
        <f aca="false">IF(AND(A172&lt;&gt;"",A172&lt;Parameters!$B$14),INDEX(Candidate_Model!E:E,Decision!B12)*(1+TAXRATE),0)</f>
        <v>0</v>
      </c>
      <c r="D172" s="14" t="n">
        <f aca="false">HEADCOUNT</f>
        <v>24</v>
      </c>
      <c r="E172" s="14" t="n">
        <f aca="false">B172*D172</f>
        <v>0</v>
      </c>
      <c r="F172" s="14" t="n">
        <f aca="false">C172*D172</f>
        <v>0</v>
      </c>
      <c r="G172" s="1" t="s">
        <v>126</v>
      </c>
    </row>
    <row r="173" customFormat="false" ht="15" hidden="false" customHeight="true" outlineLevel="0" collapsed="false">
      <c r="A173" s="23" t="str">
        <f aca="false">MIE_Daily!A139</f>
        <v/>
      </c>
      <c r="B173" s="14" t="n">
        <f aca="false">INDEX(MIE_Daily!$B$2:$AO$367,ROW()-35,5+8*(MATCH($B$2,CityData!$A$3:$A$7,0)-1))</f>
        <v>0</v>
      </c>
      <c r="C173" s="14" t="n">
        <f aca="false">IF(AND(A173&lt;&gt;"",A173&lt;Parameters!$B$14),INDEX(Candidate_Model!E:E,Decision!B12)*(1+TAXRATE),0)</f>
        <v>0</v>
      </c>
      <c r="D173" s="14" t="n">
        <f aca="false">HEADCOUNT</f>
        <v>24</v>
      </c>
      <c r="E173" s="14" t="n">
        <f aca="false">B173*D173</f>
        <v>0</v>
      </c>
      <c r="F173" s="14" t="n">
        <f aca="false">C173*D173</f>
        <v>0</v>
      </c>
      <c r="G173" s="1" t="s">
        <v>126</v>
      </c>
    </row>
    <row r="174" customFormat="false" ht="15" hidden="false" customHeight="true" outlineLevel="0" collapsed="false">
      <c r="A174" s="23" t="str">
        <f aca="false">MIE_Daily!A140</f>
        <v/>
      </c>
      <c r="B174" s="14" t="n">
        <f aca="false">INDEX(MIE_Daily!$B$2:$AO$367,ROW()-35,5+8*(MATCH($B$2,CityData!$A$3:$A$7,0)-1))</f>
        <v>0</v>
      </c>
      <c r="C174" s="14" t="n">
        <f aca="false">IF(AND(A174&lt;&gt;"",A174&lt;Parameters!$B$14),INDEX(Candidate_Model!E:E,Decision!B12)*(1+TAXRATE),0)</f>
        <v>0</v>
      </c>
      <c r="D174" s="14" t="n">
        <f aca="false">HEADCOUNT</f>
        <v>24</v>
      </c>
      <c r="E174" s="14" t="n">
        <f aca="false">B174*D174</f>
        <v>0</v>
      </c>
      <c r="F174" s="14" t="n">
        <f aca="false">C174*D174</f>
        <v>0</v>
      </c>
      <c r="G174" s="1" t="s">
        <v>126</v>
      </c>
    </row>
    <row r="175" customFormat="false" ht="15" hidden="false" customHeight="true" outlineLevel="0" collapsed="false">
      <c r="A175" s="23" t="str">
        <f aca="false">MIE_Daily!A141</f>
        <v/>
      </c>
      <c r="B175" s="14" t="n">
        <f aca="false">INDEX(MIE_Daily!$B$2:$AO$367,ROW()-35,5+8*(MATCH($B$2,CityData!$A$3:$A$7,0)-1))</f>
        <v>0</v>
      </c>
      <c r="C175" s="14" t="n">
        <f aca="false">IF(AND(A175&lt;&gt;"",A175&lt;Parameters!$B$14),INDEX(Candidate_Model!E:E,Decision!B12)*(1+TAXRATE),0)</f>
        <v>0</v>
      </c>
      <c r="D175" s="14" t="n">
        <f aca="false">HEADCOUNT</f>
        <v>24</v>
      </c>
      <c r="E175" s="14" t="n">
        <f aca="false">B175*D175</f>
        <v>0</v>
      </c>
      <c r="F175" s="14" t="n">
        <f aca="false">C175*D175</f>
        <v>0</v>
      </c>
      <c r="G175" s="1" t="s">
        <v>126</v>
      </c>
    </row>
    <row r="176" customFormat="false" ht="15" hidden="false" customHeight="true" outlineLevel="0" collapsed="false">
      <c r="A176" s="23" t="str">
        <f aca="false">MIE_Daily!A142</f>
        <v/>
      </c>
      <c r="B176" s="14" t="n">
        <f aca="false">INDEX(MIE_Daily!$B$2:$AO$367,ROW()-35,5+8*(MATCH($B$2,CityData!$A$3:$A$7,0)-1))</f>
        <v>0</v>
      </c>
      <c r="C176" s="14" t="n">
        <f aca="false">IF(AND(A176&lt;&gt;"",A176&lt;Parameters!$B$14),INDEX(Candidate_Model!E:E,Decision!B12)*(1+TAXRATE),0)</f>
        <v>0</v>
      </c>
      <c r="D176" s="14" t="n">
        <f aca="false">HEADCOUNT</f>
        <v>24</v>
      </c>
      <c r="E176" s="14" t="n">
        <f aca="false">B176*D176</f>
        <v>0</v>
      </c>
      <c r="F176" s="14" t="n">
        <f aca="false">C176*D176</f>
        <v>0</v>
      </c>
      <c r="G176" s="1" t="s">
        <v>126</v>
      </c>
    </row>
    <row r="177" customFormat="false" ht="15" hidden="false" customHeight="true" outlineLevel="0" collapsed="false">
      <c r="A177" s="23" t="str">
        <f aca="false">MIE_Daily!A143</f>
        <v/>
      </c>
      <c r="B177" s="14" t="n">
        <f aca="false">INDEX(MIE_Daily!$B$2:$AO$367,ROW()-35,5+8*(MATCH($B$2,CityData!$A$3:$A$7,0)-1))</f>
        <v>0</v>
      </c>
      <c r="C177" s="14" t="n">
        <f aca="false">IF(AND(A177&lt;&gt;"",A177&lt;Parameters!$B$14),INDEX(Candidate_Model!E:E,Decision!B12)*(1+TAXRATE),0)</f>
        <v>0</v>
      </c>
      <c r="D177" s="14" t="n">
        <f aca="false">HEADCOUNT</f>
        <v>24</v>
      </c>
      <c r="E177" s="14" t="n">
        <f aca="false">B177*D177</f>
        <v>0</v>
      </c>
      <c r="F177" s="14" t="n">
        <f aca="false">C177*D177</f>
        <v>0</v>
      </c>
      <c r="G177" s="1" t="s">
        <v>126</v>
      </c>
    </row>
    <row r="178" customFormat="false" ht="15" hidden="false" customHeight="true" outlineLevel="0" collapsed="false">
      <c r="A178" s="23" t="str">
        <f aca="false">MIE_Daily!A144</f>
        <v/>
      </c>
      <c r="B178" s="14" t="n">
        <f aca="false">INDEX(MIE_Daily!$B$2:$AO$367,ROW()-35,5+8*(MATCH($B$2,CityData!$A$3:$A$7,0)-1))</f>
        <v>0</v>
      </c>
      <c r="C178" s="14" t="n">
        <f aca="false">IF(AND(A178&lt;&gt;"",A178&lt;Parameters!$B$14),INDEX(Candidate_Model!E:E,Decision!B12)*(1+TAXRATE),0)</f>
        <v>0</v>
      </c>
      <c r="D178" s="14" t="n">
        <f aca="false">HEADCOUNT</f>
        <v>24</v>
      </c>
      <c r="E178" s="14" t="n">
        <f aca="false">B178*D178</f>
        <v>0</v>
      </c>
      <c r="F178" s="14" t="n">
        <f aca="false">C178*D178</f>
        <v>0</v>
      </c>
      <c r="G178" s="1" t="s">
        <v>126</v>
      </c>
    </row>
    <row r="179" customFormat="false" ht="15" hidden="false" customHeight="true" outlineLevel="0" collapsed="false">
      <c r="A179" s="23" t="str">
        <f aca="false">MIE_Daily!A145</f>
        <v/>
      </c>
      <c r="B179" s="14" t="n">
        <f aca="false">INDEX(MIE_Daily!$B$2:$AO$367,ROW()-35,5+8*(MATCH($B$2,CityData!$A$3:$A$7,0)-1))</f>
        <v>0</v>
      </c>
      <c r="C179" s="14" t="n">
        <f aca="false">IF(AND(A179&lt;&gt;"",A179&lt;Parameters!$B$14),INDEX(Candidate_Model!E:E,Decision!B12)*(1+TAXRATE),0)</f>
        <v>0</v>
      </c>
      <c r="D179" s="14" t="n">
        <f aca="false">HEADCOUNT</f>
        <v>24</v>
      </c>
      <c r="E179" s="14" t="n">
        <f aca="false">B179*D179</f>
        <v>0</v>
      </c>
      <c r="F179" s="14" t="n">
        <f aca="false">C179*D179</f>
        <v>0</v>
      </c>
      <c r="G179" s="1" t="s">
        <v>126</v>
      </c>
    </row>
    <row r="180" customFormat="false" ht="15" hidden="false" customHeight="true" outlineLevel="0" collapsed="false">
      <c r="A180" s="23" t="str">
        <f aca="false">MIE_Daily!A146</f>
        <v/>
      </c>
      <c r="B180" s="14" t="n">
        <f aca="false">INDEX(MIE_Daily!$B$2:$AO$367,ROW()-35,5+8*(MATCH($B$2,CityData!$A$3:$A$7,0)-1))</f>
        <v>0</v>
      </c>
      <c r="C180" s="14" t="n">
        <f aca="false">IF(AND(A180&lt;&gt;"",A180&lt;Parameters!$B$14),INDEX(Candidate_Model!E:E,Decision!B12)*(1+TAXRATE),0)</f>
        <v>0</v>
      </c>
      <c r="D180" s="14" t="n">
        <f aca="false">HEADCOUNT</f>
        <v>24</v>
      </c>
      <c r="E180" s="14" t="n">
        <f aca="false">B180*D180</f>
        <v>0</v>
      </c>
      <c r="F180" s="14" t="n">
        <f aca="false">C180*D180</f>
        <v>0</v>
      </c>
      <c r="G180" s="1" t="s">
        <v>126</v>
      </c>
    </row>
    <row r="181" customFormat="false" ht="15" hidden="false" customHeight="true" outlineLevel="0" collapsed="false">
      <c r="A181" s="23" t="str">
        <f aca="false">MIE_Daily!A147</f>
        <v/>
      </c>
      <c r="B181" s="14" t="n">
        <f aca="false">INDEX(MIE_Daily!$B$2:$AO$367,ROW()-35,5+8*(MATCH($B$2,CityData!$A$3:$A$7,0)-1))</f>
        <v>0</v>
      </c>
      <c r="C181" s="14" t="n">
        <f aca="false">IF(AND(A181&lt;&gt;"",A181&lt;Parameters!$B$14),INDEX(Candidate_Model!E:E,Decision!B12)*(1+TAXRATE),0)</f>
        <v>0</v>
      </c>
      <c r="D181" s="14" t="n">
        <f aca="false">HEADCOUNT</f>
        <v>24</v>
      </c>
      <c r="E181" s="14" t="n">
        <f aca="false">B181*D181</f>
        <v>0</v>
      </c>
      <c r="F181" s="14" t="n">
        <f aca="false">C181*D181</f>
        <v>0</v>
      </c>
      <c r="G181" s="1" t="s">
        <v>126</v>
      </c>
    </row>
    <row r="182" customFormat="false" ht="15" hidden="false" customHeight="true" outlineLevel="0" collapsed="false">
      <c r="A182" s="23" t="str">
        <f aca="false">MIE_Daily!A148</f>
        <v/>
      </c>
      <c r="B182" s="14" t="n">
        <f aca="false">INDEX(MIE_Daily!$B$2:$AO$367,ROW()-35,5+8*(MATCH($B$2,CityData!$A$3:$A$7,0)-1))</f>
        <v>0</v>
      </c>
      <c r="C182" s="14" t="n">
        <f aca="false">IF(AND(A182&lt;&gt;"",A182&lt;Parameters!$B$14),INDEX(Candidate_Model!E:E,Decision!B12)*(1+TAXRATE),0)</f>
        <v>0</v>
      </c>
      <c r="D182" s="14" t="n">
        <f aca="false">HEADCOUNT</f>
        <v>24</v>
      </c>
      <c r="E182" s="14" t="n">
        <f aca="false">B182*D182</f>
        <v>0</v>
      </c>
      <c r="F182" s="14" t="n">
        <f aca="false">C182*D182</f>
        <v>0</v>
      </c>
      <c r="G182" s="1" t="s">
        <v>126</v>
      </c>
    </row>
    <row r="183" customFormat="false" ht="15" hidden="false" customHeight="true" outlineLevel="0" collapsed="false">
      <c r="A183" s="23" t="str">
        <f aca="false">MIE_Daily!A149</f>
        <v/>
      </c>
      <c r="B183" s="14" t="n">
        <f aca="false">INDEX(MIE_Daily!$B$2:$AO$367,ROW()-35,5+8*(MATCH($B$2,CityData!$A$3:$A$7,0)-1))</f>
        <v>0</v>
      </c>
      <c r="C183" s="14" t="n">
        <f aca="false">IF(AND(A183&lt;&gt;"",A183&lt;Parameters!$B$14),INDEX(Candidate_Model!E:E,Decision!B12)*(1+TAXRATE),0)</f>
        <v>0</v>
      </c>
      <c r="D183" s="14" t="n">
        <f aca="false">HEADCOUNT</f>
        <v>24</v>
      </c>
      <c r="E183" s="14" t="n">
        <f aca="false">B183*D183</f>
        <v>0</v>
      </c>
      <c r="F183" s="14" t="n">
        <f aca="false">C183*D183</f>
        <v>0</v>
      </c>
      <c r="G183" s="1" t="s">
        <v>126</v>
      </c>
    </row>
    <row r="184" customFormat="false" ht="15" hidden="false" customHeight="true" outlineLevel="0" collapsed="false">
      <c r="A184" s="23" t="str">
        <f aca="false">MIE_Daily!A150</f>
        <v/>
      </c>
      <c r="B184" s="14" t="n">
        <f aca="false">INDEX(MIE_Daily!$B$2:$AO$367,ROW()-35,5+8*(MATCH($B$2,CityData!$A$3:$A$7,0)-1))</f>
        <v>0</v>
      </c>
      <c r="C184" s="14" t="n">
        <f aca="false">IF(AND(A184&lt;&gt;"",A184&lt;Parameters!$B$14),INDEX(Candidate_Model!E:E,Decision!B12)*(1+TAXRATE),0)</f>
        <v>0</v>
      </c>
      <c r="D184" s="14" t="n">
        <f aca="false">HEADCOUNT</f>
        <v>24</v>
      </c>
      <c r="E184" s="14" t="n">
        <f aca="false">B184*D184</f>
        <v>0</v>
      </c>
      <c r="F184" s="14" t="n">
        <f aca="false">C184*D184</f>
        <v>0</v>
      </c>
      <c r="G184" s="1" t="s">
        <v>126</v>
      </c>
    </row>
    <row r="185" customFormat="false" ht="15" hidden="false" customHeight="true" outlineLevel="0" collapsed="false">
      <c r="A185" s="23" t="str">
        <f aca="false">MIE_Daily!A151</f>
        <v/>
      </c>
      <c r="B185" s="14" t="n">
        <f aca="false">INDEX(MIE_Daily!$B$2:$AO$367,ROW()-35,5+8*(MATCH($B$2,CityData!$A$3:$A$7,0)-1))</f>
        <v>0</v>
      </c>
      <c r="C185" s="14" t="n">
        <f aca="false">IF(AND(A185&lt;&gt;"",A185&lt;Parameters!$B$14),INDEX(Candidate_Model!E:E,Decision!B12)*(1+TAXRATE),0)</f>
        <v>0</v>
      </c>
      <c r="D185" s="14" t="n">
        <f aca="false">HEADCOUNT</f>
        <v>24</v>
      </c>
      <c r="E185" s="14" t="n">
        <f aca="false">B185*D185</f>
        <v>0</v>
      </c>
      <c r="F185" s="14" t="n">
        <f aca="false">C185*D185</f>
        <v>0</v>
      </c>
      <c r="G185" s="1" t="s">
        <v>126</v>
      </c>
    </row>
    <row r="186" customFormat="false" ht="15" hidden="false" customHeight="true" outlineLevel="0" collapsed="false">
      <c r="A186" s="23" t="str">
        <f aca="false">MIE_Daily!A152</f>
        <v/>
      </c>
      <c r="B186" s="14" t="n">
        <f aca="false">INDEX(MIE_Daily!$B$2:$AO$367,ROW()-35,5+8*(MATCH($B$2,CityData!$A$3:$A$7,0)-1))</f>
        <v>0</v>
      </c>
      <c r="C186" s="14" t="n">
        <f aca="false">IF(AND(A186&lt;&gt;"",A186&lt;Parameters!$B$14),INDEX(Candidate_Model!E:E,Decision!B12)*(1+TAXRATE),0)</f>
        <v>0</v>
      </c>
      <c r="D186" s="14" t="n">
        <f aca="false">HEADCOUNT</f>
        <v>24</v>
      </c>
      <c r="E186" s="14" t="n">
        <f aca="false">B186*D186</f>
        <v>0</v>
      </c>
      <c r="F186" s="14" t="n">
        <f aca="false">C186*D186</f>
        <v>0</v>
      </c>
      <c r="G186" s="1" t="s">
        <v>126</v>
      </c>
    </row>
    <row r="187" customFormat="false" ht="15" hidden="false" customHeight="true" outlineLevel="0" collapsed="false">
      <c r="A187" s="23" t="str">
        <f aca="false">MIE_Daily!A153</f>
        <v/>
      </c>
      <c r="B187" s="14" t="n">
        <f aca="false">INDEX(MIE_Daily!$B$2:$AO$367,ROW()-35,5+8*(MATCH($B$2,CityData!$A$3:$A$7,0)-1))</f>
        <v>0</v>
      </c>
      <c r="C187" s="14" t="n">
        <f aca="false">IF(AND(A187&lt;&gt;"",A187&lt;Parameters!$B$14),INDEX(Candidate_Model!E:E,Decision!B12)*(1+TAXRATE),0)</f>
        <v>0</v>
      </c>
      <c r="D187" s="14" t="n">
        <f aca="false">HEADCOUNT</f>
        <v>24</v>
      </c>
      <c r="E187" s="14" t="n">
        <f aca="false">B187*D187</f>
        <v>0</v>
      </c>
      <c r="F187" s="14" t="n">
        <f aca="false">C187*D187</f>
        <v>0</v>
      </c>
      <c r="G187" s="1" t="s">
        <v>126</v>
      </c>
    </row>
    <row r="188" customFormat="false" ht="15" hidden="false" customHeight="true" outlineLevel="0" collapsed="false">
      <c r="A188" s="23" t="str">
        <f aca="false">MIE_Daily!A154</f>
        <v/>
      </c>
      <c r="B188" s="14" t="n">
        <f aca="false">INDEX(MIE_Daily!$B$2:$AO$367,ROW()-35,5+8*(MATCH($B$2,CityData!$A$3:$A$7,0)-1))</f>
        <v>0</v>
      </c>
      <c r="C188" s="14" t="n">
        <f aca="false">IF(AND(A188&lt;&gt;"",A188&lt;Parameters!$B$14),INDEX(Candidate_Model!E:E,Decision!B12)*(1+TAXRATE),0)</f>
        <v>0</v>
      </c>
      <c r="D188" s="14" t="n">
        <f aca="false">HEADCOUNT</f>
        <v>24</v>
      </c>
      <c r="E188" s="14" t="n">
        <f aca="false">B188*D188</f>
        <v>0</v>
      </c>
      <c r="F188" s="14" t="n">
        <f aca="false">C188*D188</f>
        <v>0</v>
      </c>
      <c r="G188" s="1" t="s">
        <v>126</v>
      </c>
    </row>
    <row r="189" customFormat="false" ht="15" hidden="false" customHeight="true" outlineLevel="0" collapsed="false">
      <c r="A189" s="23" t="str">
        <f aca="false">MIE_Daily!A155</f>
        <v/>
      </c>
      <c r="B189" s="14" t="n">
        <f aca="false">INDEX(MIE_Daily!$B$2:$AO$367,ROW()-35,5+8*(MATCH($B$2,CityData!$A$3:$A$7,0)-1))</f>
        <v>0</v>
      </c>
      <c r="C189" s="14" t="n">
        <f aca="false">IF(AND(A189&lt;&gt;"",A189&lt;Parameters!$B$14),INDEX(Candidate_Model!E:E,Decision!B12)*(1+TAXRATE),0)</f>
        <v>0</v>
      </c>
      <c r="D189" s="14" t="n">
        <f aca="false">HEADCOUNT</f>
        <v>24</v>
      </c>
      <c r="E189" s="14" t="n">
        <f aca="false">B189*D189</f>
        <v>0</v>
      </c>
      <c r="F189" s="14" t="n">
        <f aca="false">C189*D189</f>
        <v>0</v>
      </c>
      <c r="G189" s="1" t="s">
        <v>126</v>
      </c>
    </row>
    <row r="190" customFormat="false" ht="15" hidden="false" customHeight="true" outlineLevel="0" collapsed="false">
      <c r="A190" s="23" t="str">
        <f aca="false">MIE_Daily!A156</f>
        <v/>
      </c>
      <c r="B190" s="14" t="n">
        <f aca="false">INDEX(MIE_Daily!$B$2:$AO$367,ROW()-35,5+8*(MATCH($B$2,CityData!$A$3:$A$7,0)-1))</f>
        <v>0</v>
      </c>
      <c r="C190" s="14" t="n">
        <f aca="false">IF(AND(A190&lt;&gt;"",A190&lt;Parameters!$B$14),INDEX(Candidate_Model!E:E,Decision!B12)*(1+TAXRATE),0)</f>
        <v>0</v>
      </c>
      <c r="D190" s="14" t="n">
        <f aca="false">HEADCOUNT</f>
        <v>24</v>
      </c>
      <c r="E190" s="14" t="n">
        <f aca="false">B190*D190</f>
        <v>0</v>
      </c>
      <c r="F190" s="14" t="n">
        <f aca="false">C190*D190</f>
        <v>0</v>
      </c>
      <c r="G190" s="1" t="s">
        <v>126</v>
      </c>
    </row>
    <row r="191" customFormat="false" ht="15" hidden="false" customHeight="true" outlineLevel="0" collapsed="false">
      <c r="A191" s="23" t="str">
        <f aca="false">MIE_Daily!A157</f>
        <v/>
      </c>
      <c r="B191" s="14" t="n">
        <f aca="false">INDEX(MIE_Daily!$B$2:$AO$367,ROW()-35,5+8*(MATCH($B$2,CityData!$A$3:$A$7,0)-1))</f>
        <v>0</v>
      </c>
      <c r="C191" s="14" t="n">
        <f aca="false">IF(AND(A191&lt;&gt;"",A191&lt;Parameters!$B$14),INDEX(Candidate_Model!E:E,Decision!B12)*(1+TAXRATE),0)</f>
        <v>0</v>
      </c>
      <c r="D191" s="14" t="n">
        <f aca="false">HEADCOUNT</f>
        <v>24</v>
      </c>
      <c r="E191" s="14" t="n">
        <f aca="false">B191*D191</f>
        <v>0</v>
      </c>
      <c r="F191" s="14" t="n">
        <f aca="false">C191*D191</f>
        <v>0</v>
      </c>
      <c r="G191" s="1" t="s">
        <v>126</v>
      </c>
    </row>
    <row r="192" customFormat="false" ht="15" hidden="false" customHeight="true" outlineLevel="0" collapsed="false">
      <c r="A192" s="23" t="str">
        <f aca="false">MIE_Daily!A158</f>
        <v/>
      </c>
      <c r="B192" s="14" t="n">
        <f aca="false">INDEX(MIE_Daily!$B$2:$AO$367,ROW()-35,5+8*(MATCH($B$2,CityData!$A$3:$A$7,0)-1))</f>
        <v>0</v>
      </c>
      <c r="C192" s="14" t="n">
        <f aca="false">IF(AND(A192&lt;&gt;"",A192&lt;Parameters!$B$14),INDEX(Candidate_Model!E:E,Decision!B12)*(1+TAXRATE),0)</f>
        <v>0</v>
      </c>
      <c r="D192" s="14" t="n">
        <f aca="false">HEADCOUNT</f>
        <v>24</v>
      </c>
      <c r="E192" s="14" t="n">
        <f aca="false">B192*D192</f>
        <v>0</v>
      </c>
      <c r="F192" s="14" t="n">
        <f aca="false">C192*D192</f>
        <v>0</v>
      </c>
      <c r="G192" s="1" t="s">
        <v>126</v>
      </c>
    </row>
    <row r="193" customFormat="false" ht="15" hidden="false" customHeight="true" outlineLevel="0" collapsed="false">
      <c r="A193" s="23" t="str">
        <f aca="false">MIE_Daily!A159</f>
        <v/>
      </c>
      <c r="B193" s="14" t="n">
        <f aca="false">INDEX(MIE_Daily!$B$2:$AO$367,ROW()-35,5+8*(MATCH($B$2,CityData!$A$3:$A$7,0)-1))</f>
        <v>0</v>
      </c>
      <c r="C193" s="14" t="n">
        <f aca="false">IF(AND(A193&lt;&gt;"",A193&lt;Parameters!$B$14),INDEX(Candidate_Model!E:E,Decision!B12)*(1+TAXRATE),0)</f>
        <v>0</v>
      </c>
      <c r="D193" s="14" t="n">
        <f aca="false">HEADCOUNT</f>
        <v>24</v>
      </c>
      <c r="E193" s="14" t="n">
        <f aca="false">B193*D193</f>
        <v>0</v>
      </c>
      <c r="F193" s="14" t="n">
        <f aca="false">C193*D193</f>
        <v>0</v>
      </c>
      <c r="G193" s="1" t="s">
        <v>126</v>
      </c>
    </row>
    <row r="194" customFormat="false" ht="15" hidden="false" customHeight="true" outlineLevel="0" collapsed="false">
      <c r="A194" s="23" t="str">
        <f aca="false">MIE_Daily!A160</f>
        <v/>
      </c>
      <c r="B194" s="14" t="n">
        <f aca="false">INDEX(MIE_Daily!$B$2:$AO$367,ROW()-35,5+8*(MATCH($B$2,CityData!$A$3:$A$7,0)-1))</f>
        <v>0</v>
      </c>
      <c r="C194" s="14" t="n">
        <f aca="false">IF(AND(A194&lt;&gt;"",A194&lt;Parameters!$B$14),INDEX(Candidate_Model!E:E,Decision!B12)*(1+TAXRATE),0)</f>
        <v>0</v>
      </c>
      <c r="D194" s="14" t="n">
        <f aca="false">HEADCOUNT</f>
        <v>24</v>
      </c>
      <c r="E194" s="14" t="n">
        <f aca="false">B194*D194</f>
        <v>0</v>
      </c>
      <c r="F194" s="14" t="n">
        <f aca="false">C194*D194</f>
        <v>0</v>
      </c>
      <c r="G194" s="1" t="s">
        <v>126</v>
      </c>
    </row>
    <row r="195" customFormat="false" ht="15" hidden="false" customHeight="true" outlineLevel="0" collapsed="false">
      <c r="A195" s="23" t="str">
        <f aca="false">MIE_Daily!A161</f>
        <v/>
      </c>
      <c r="B195" s="14" t="n">
        <f aca="false">INDEX(MIE_Daily!$B$2:$AO$367,ROW()-35,5+8*(MATCH($B$2,CityData!$A$3:$A$7,0)-1))</f>
        <v>0</v>
      </c>
      <c r="C195" s="14" t="n">
        <f aca="false">IF(AND(A195&lt;&gt;"",A195&lt;Parameters!$B$14),INDEX(Candidate_Model!E:E,Decision!B12)*(1+TAXRATE),0)</f>
        <v>0</v>
      </c>
      <c r="D195" s="14" t="n">
        <f aca="false">HEADCOUNT</f>
        <v>24</v>
      </c>
      <c r="E195" s="14" t="n">
        <f aca="false">B195*D195</f>
        <v>0</v>
      </c>
      <c r="F195" s="14" t="n">
        <f aca="false">C195*D195</f>
        <v>0</v>
      </c>
      <c r="G195" s="1" t="s">
        <v>126</v>
      </c>
    </row>
    <row r="196" customFormat="false" ht="15" hidden="false" customHeight="true" outlineLevel="0" collapsed="false">
      <c r="A196" s="23" t="str">
        <f aca="false">MIE_Daily!A162</f>
        <v/>
      </c>
      <c r="B196" s="14" t="n">
        <f aca="false">INDEX(MIE_Daily!$B$2:$AO$367,ROW()-35,5+8*(MATCH($B$2,CityData!$A$3:$A$7,0)-1))</f>
        <v>0</v>
      </c>
      <c r="C196" s="14" t="n">
        <f aca="false">IF(AND(A196&lt;&gt;"",A196&lt;Parameters!$B$14),INDEX(Candidate_Model!E:E,Decision!B12)*(1+TAXRATE),0)</f>
        <v>0</v>
      </c>
      <c r="D196" s="14" t="n">
        <f aca="false">HEADCOUNT</f>
        <v>24</v>
      </c>
      <c r="E196" s="14" t="n">
        <f aca="false">B196*D196</f>
        <v>0</v>
      </c>
      <c r="F196" s="14" t="n">
        <f aca="false">C196*D196</f>
        <v>0</v>
      </c>
      <c r="G196" s="1" t="s">
        <v>126</v>
      </c>
    </row>
    <row r="197" customFormat="false" ht="15" hidden="false" customHeight="true" outlineLevel="0" collapsed="false">
      <c r="A197" s="23" t="str">
        <f aca="false">MIE_Daily!A163</f>
        <v/>
      </c>
      <c r="B197" s="14" t="n">
        <f aca="false">INDEX(MIE_Daily!$B$2:$AO$367,ROW()-35,5+8*(MATCH($B$2,CityData!$A$3:$A$7,0)-1))</f>
        <v>0</v>
      </c>
      <c r="C197" s="14" t="n">
        <f aca="false">IF(AND(A197&lt;&gt;"",A197&lt;Parameters!$B$14),INDEX(Candidate_Model!E:E,Decision!B12)*(1+TAXRATE),0)</f>
        <v>0</v>
      </c>
      <c r="D197" s="14" t="n">
        <f aca="false">HEADCOUNT</f>
        <v>24</v>
      </c>
      <c r="E197" s="14" t="n">
        <f aca="false">B197*D197</f>
        <v>0</v>
      </c>
      <c r="F197" s="14" t="n">
        <f aca="false">C197*D197</f>
        <v>0</v>
      </c>
      <c r="G197" s="1" t="s">
        <v>126</v>
      </c>
    </row>
    <row r="198" customFormat="false" ht="15" hidden="false" customHeight="true" outlineLevel="0" collapsed="false">
      <c r="A198" s="23" t="str">
        <f aca="false">MIE_Daily!A164</f>
        <v/>
      </c>
      <c r="B198" s="14" t="n">
        <f aca="false">INDEX(MIE_Daily!$B$2:$AO$367,ROW()-35,5+8*(MATCH($B$2,CityData!$A$3:$A$7,0)-1))</f>
        <v>0</v>
      </c>
      <c r="C198" s="14" t="n">
        <f aca="false">IF(AND(A198&lt;&gt;"",A198&lt;Parameters!$B$14),INDEX(Candidate_Model!E:E,Decision!B12)*(1+TAXRATE),0)</f>
        <v>0</v>
      </c>
      <c r="D198" s="14" t="n">
        <f aca="false">HEADCOUNT</f>
        <v>24</v>
      </c>
      <c r="E198" s="14" t="n">
        <f aca="false">B198*D198</f>
        <v>0</v>
      </c>
      <c r="F198" s="14" t="n">
        <f aca="false">C198*D198</f>
        <v>0</v>
      </c>
      <c r="G198" s="1" t="s">
        <v>126</v>
      </c>
    </row>
    <row r="199" customFormat="false" ht="15" hidden="false" customHeight="true" outlineLevel="0" collapsed="false">
      <c r="A199" s="23" t="str">
        <f aca="false">MIE_Daily!A165</f>
        <v/>
      </c>
      <c r="B199" s="14" t="n">
        <f aca="false">INDEX(MIE_Daily!$B$2:$AO$367,ROW()-35,5+8*(MATCH($B$2,CityData!$A$3:$A$7,0)-1))</f>
        <v>0</v>
      </c>
      <c r="C199" s="14" t="n">
        <f aca="false">IF(AND(A199&lt;&gt;"",A199&lt;Parameters!$B$14),INDEX(Candidate_Model!E:E,Decision!B12)*(1+TAXRATE),0)</f>
        <v>0</v>
      </c>
      <c r="D199" s="14" t="n">
        <f aca="false">HEADCOUNT</f>
        <v>24</v>
      </c>
      <c r="E199" s="14" t="n">
        <f aca="false">B199*D199</f>
        <v>0</v>
      </c>
      <c r="F199" s="14" t="n">
        <f aca="false">C199*D199</f>
        <v>0</v>
      </c>
      <c r="G199" s="1" t="s">
        <v>126</v>
      </c>
    </row>
    <row r="200" customFormat="false" ht="15" hidden="false" customHeight="true" outlineLevel="0" collapsed="false">
      <c r="A200" s="23" t="str">
        <f aca="false">MIE_Daily!A166</f>
        <v/>
      </c>
      <c r="B200" s="14" t="n">
        <f aca="false">INDEX(MIE_Daily!$B$2:$AO$367,ROW()-35,5+8*(MATCH($B$2,CityData!$A$3:$A$7,0)-1))</f>
        <v>0</v>
      </c>
      <c r="C200" s="14" t="n">
        <f aca="false">IF(AND(A200&lt;&gt;"",A200&lt;Parameters!$B$14),INDEX(Candidate_Model!E:E,Decision!B12)*(1+TAXRATE),0)</f>
        <v>0</v>
      </c>
      <c r="D200" s="14" t="n">
        <f aca="false">HEADCOUNT</f>
        <v>24</v>
      </c>
      <c r="E200" s="14" t="n">
        <f aca="false">B200*D200</f>
        <v>0</v>
      </c>
      <c r="F200" s="14" t="n">
        <f aca="false">C200*D200</f>
        <v>0</v>
      </c>
      <c r="G200" s="1" t="s">
        <v>126</v>
      </c>
    </row>
    <row r="201" customFormat="false" ht="15" hidden="false" customHeight="true" outlineLevel="0" collapsed="false">
      <c r="A201" s="23" t="str">
        <f aca="false">MIE_Daily!A167</f>
        <v/>
      </c>
      <c r="B201" s="14" t="n">
        <f aca="false">INDEX(MIE_Daily!$B$2:$AO$367,ROW()-35,5+8*(MATCH($B$2,CityData!$A$3:$A$7,0)-1))</f>
        <v>0</v>
      </c>
      <c r="C201" s="14" t="n">
        <f aca="false">IF(AND(A201&lt;&gt;"",A201&lt;Parameters!$B$14),INDEX(Candidate_Model!E:E,Decision!B12)*(1+TAXRATE),0)</f>
        <v>0</v>
      </c>
      <c r="D201" s="14" t="n">
        <f aca="false">HEADCOUNT</f>
        <v>24</v>
      </c>
      <c r="E201" s="14" t="n">
        <f aca="false">B201*D201</f>
        <v>0</v>
      </c>
      <c r="F201" s="14" t="n">
        <f aca="false">C201*D201</f>
        <v>0</v>
      </c>
      <c r="G201" s="1" t="s">
        <v>126</v>
      </c>
    </row>
    <row r="202" customFormat="false" ht="15" hidden="false" customHeight="true" outlineLevel="0" collapsed="false">
      <c r="A202" s="23" t="str">
        <f aca="false">MIE_Daily!A168</f>
        <v/>
      </c>
      <c r="B202" s="14" t="n">
        <f aca="false">INDEX(MIE_Daily!$B$2:$AO$367,ROW()-35,5+8*(MATCH($B$2,CityData!$A$3:$A$7,0)-1))</f>
        <v>0</v>
      </c>
      <c r="C202" s="14" t="n">
        <f aca="false">IF(AND(A202&lt;&gt;"",A202&lt;Parameters!$B$14),INDEX(Candidate_Model!E:E,Decision!B12)*(1+TAXRATE),0)</f>
        <v>0</v>
      </c>
      <c r="D202" s="14" t="n">
        <f aca="false">HEADCOUNT</f>
        <v>24</v>
      </c>
      <c r="E202" s="14" t="n">
        <f aca="false">B202*D202</f>
        <v>0</v>
      </c>
      <c r="F202" s="14" t="n">
        <f aca="false">C202*D202</f>
        <v>0</v>
      </c>
      <c r="G202" s="1" t="s">
        <v>126</v>
      </c>
    </row>
    <row r="203" customFormat="false" ht="15" hidden="false" customHeight="true" outlineLevel="0" collapsed="false">
      <c r="A203" s="23" t="str">
        <f aca="false">MIE_Daily!A169</f>
        <v/>
      </c>
      <c r="B203" s="14" t="n">
        <f aca="false">INDEX(MIE_Daily!$B$2:$AO$367,ROW()-35,5+8*(MATCH($B$2,CityData!$A$3:$A$7,0)-1))</f>
        <v>0</v>
      </c>
      <c r="C203" s="14" t="n">
        <f aca="false">IF(AND(A203&lt;&gt;"",A203&lt;Parameters!$B$14),INDEX(Candidate_Model!E:E,Decision!B12)*(1+TAXRATE),0)</f>
        <v>0</v>
      </c>
      <c r="D203" s="14" t="n">
        <f aca="false">HEADCOUNT</f>
        <v>24</v>
      </c>
      <c r="E203" s="14" t="n">
        <f aca="false">B203*D203</f>
        <v>0</v>
      </c>
      <c r="F203" s="14" t="n">
        <f aca="false">C203*D203</f>
        <v>0</v>
      </c>
      <c r="G203" s="1" t="s">
        <v>126</v>
      </c>
    </row>
    <row r="204" customFormat="false" ht="15" hidden="false" customHeight="true" outlineLevel="0" collapsed="false">
      <c r="A204" s="23" t="str">
        <f aca="false">MIE_Daily!A170</f>
        <v/>
      </c>
      <c r="B204" s="14" t="n">
        <f aca="false">INDEX(MIE_Daily!$B$2:$AO$367,ROW()-35,5+8*(MATCH($B$2,CityData!$A$3:$A$7,0)-1))</f>
        <v>0</v>
      </c>
      <c r="C204" s="14" t="n">
        <f aca="false">IF(AND(A204&lt;&gt;"",A204&lt;Parameters!$B$14),INDEX(Candidate_Model!E:E,Decision!B12)*(1+TAXRATE),0)</f>
        <v>0</v>
      </c>
      <c r="D204" s="14" t="n">
        <f aca="false">HEADCOUNT</f>
        <v>24</v>
      </c>
      <c r="E204" s="14" t="n">
        <f aca="false">B204*D204</f>
        <v>0</v>
      </c>
      <c r="F204" s="14" t="n">
        <f aca="false">C204*D204</f>
        <v>0</v>
      </c>
      <c r="G204" s="1" t="s">
        <v>126</v>
      </c>
    </row>
    <row r="205" customFormat="false" ht="15" hidden="false" customHeight="true" outlineLevel="0" collapsed="false">
      <c r="A205" s="23" t="str">
        <f aca="false">MIE_Daily!A171</f>
        <v/>
      </c>
      <c r="B205" s="14" t="n">
        <f aca="false">INDEX(MIE_Daily!$B$2:$AO$367,ROW()-35,5+8*(MATCH($B$2,CityData!$A$3:$A$7,0)-1))</f>
        <v>0</v>
      </c>
      <c r="C205" s="14" t="n">
        <f aca="false">IF(AND(A205&lt;&gt;"",A205&lt;Parameters!$B$14),INDEX(Candidate_Model!E:E,Decision!B12)*(1+TAXRATE),0)</f>
        <v>0</v>
      </c>
      <c r="D205" s="14" t="n">
        <f aca="false">HEADCOUNT</f>
        <v>24</v>
      </c>
      <c r="E205" s="14" t="n">
        <f aca="false">B205*D205</f>
        <v>0</v>
      </c>
      <c r="F205" s="14" t="n">
        <f aca="false">C205*D205</f>
        <v>0</v>
      </c>
      <c r="G205" s="1" t="s">
        <v>126</v>
      </c>
    </row>
    <row r="206" customFormat="false" ht="15" hidden="false" customHeight="true" outlineLevel="0" collapsed="false">
      <c r="A206" s="23" t="str">
        <f aca="false">MIE_Daily!A172</f>
        <v/>
      </c>
      <c r="B206" s="14" t="n">
        <f aca="false">INDEX(MIE_Daily!$B$2:$AO$367,ROW()-35,5+8*(MATCH($B$2,CityData!$A$3:$A$7,0)-1))</f>
        <v>0</v>
      </c>
      <c r="C206" s="14" t="n">
        <f aca="false">IF(AND(A206&lt;&gt;"",A206&lt;Parameters!$B$14),INDEX(Candidate_Model!E:E,Decision!B12)*(1+TAXRATE),0)</f>
        <v>0</v>
      </c>
      <c r="D206" s="14" t="n">
        <f aca="false">HEADCOUNT</f>
        <v>24</v>
      </c>
      <c r="E206" s="14" t="n">
        <f aca="false">B206*D206</f>
        <v>0</v>
      </c>
      <c r="F206" s="14" t="n">
        <f aca="false">C206*D206</f>
        <v>0</v>
      </c>
      <c r="G206" s="1" t="s">
        <v>126</v>
      </c>
    </row>
    <row r="207" customFormat="false" ht="15" hidden="false" customHeight="true" outlineLevel="0" collapsed="false">
      <c r="A207" s="23" t="str">
        <f aca="false">MIE_Daily!A173</f>
        <v/>
      </c>
      <c r="B207" s="14" t="n">
        <f aca="false">INDEX(MIE_Daily!$B$2:$AO$367,ROW()-35,5+8*(MATCH($B$2,CityData!$A$3:$A$7,0)-1))</f>
        <v>0</v>
      </c>
      <c r="C207" s="14" t="n">
        <f aca="false">IF(AND(A207&lt;&gt;"",A207&lt;Parameters!$B$14),INDEX(Candidate_Model!E:E,Decision!B12)*(1+TAXRATE),0)</f>
        <v>0</v>
      </c>
      <c r="D207" s="14" t="n">
        <f aca="false">HEADCOUNT</f>
        <v>24</v>
      </c>
      <c r="E207" s="14" t="n">
        <f aca="false">B207*D207</f>
        <v>0</v>
      </c>
      <c r="F207" s="14" t="n">
        <f aca="false">C207*D207</f>
        <v>0</v>
      </c>
      <c r="G207" s="1" t="s">
        <v>126</v>
      </c>
    </row>
    <row r="208" customFormat="false" ht="15" hidden="false" customHeight="true" outlineLevel="0" collapsed="false">
      <c r="A208" s="23" t="str">
        <f aca="false">MIE_Daily!A174</f>
        <v/>
      </c>
      <c r="B208" s="14" t="n">
        <f aca="false">INDEX(MIE_Daily!$B$2:$AO$367,ROW()-35,5+8*(MATCH($B$2,CityData!$A$3:$A$7,0)-1))</f>
        <v>0</v>
      </c>
      <c r="C208" s="14" t="n">
        <f aca="false">IF(AND(A208&lt;&gt;"",A208&lt;Parameters!$B$14),INDEX(Candidate_Model!E:E,Decision!B12)*(1+TAXRATE),0)</f>
        <v>0</v>
      </c>
      <c r="D208" s="14" t="n">
        <f aca="false">HEADCOUNT</f>
        <v>24</v>
      </c>
      <c r="E208" s="14" t="n">
        <f aca="false">B208*D208</f>
        <v>0</v>
      </c>
      <c r="F208" s="14" t="n">
        <f aca="false">C208*D208</f>
        <v>0</v>
      </c>
      <c r="G208" s="1" t="s">
        <v>126</v>
      </c>
    </row>
    <row r="209" customFormat="false" ht="15" hidden="false" customHeight="true" outlineLevel="0" collapsed="false">
      <c r="A209" s="23" t="str">
        <f aca="false">MIE_Daily!A175</f>
        <v/>
      </c>
      <c r="B209" s="14" t="n">
        <f aca="false">INDEX(MIE_Daily!$B$2:$AO$367,ROW()-35,5+8*(MATCH($B$2,CityData!$A$3:$A$7,0)-1))</f>
        <v>0</v>
      </c>
      <c r="C209" s="14" t="n">
        <f aca="false">IF(AND(A209&lt;&gt;"",A209&lt;Parameters!$B$14),INDEX(Candidate_Model!E:E,Decision!B12)*(1+TAXRATE),0)</f>
        <v>0</v>
      </c>
      <c r="D209" s="14" t="n">
        <f aca="false">HEADCOUNT</f>
        <v>24</v>
      </c>
      <c r="E209" s="14" t="n">
        <f aca="false">B209*D209</f>
        <v>0</v>
      </c>
      <c r="F209" s="14" t="n">
        <f aca="false">C209*D209</f>
        <v>0</v>
      </c>
      <c r="G209" s="1" t="s">
        <v>126</v>
      </c>
    </row>
    <row r="210" customFormat="false" ht="15" hidden="false" customHeight="true" outlineLevel="0" collapsed="false">
      <c r="A210" s="23" t="str">
        <f aca="false">MIE_Daily!A176</f>
        <v/>
      </c>
      <c r="B210" s="14" t="n">
        <f aca="false">INDEX(MIE_Daily!$B$2:$AO$367,ROW()-35,5+8*(MATCH($B$2,CityData!$A$3:$A$7,0)-1))</f>
        <v>0</v>
      </c>
      <c r="C210" s="14" t="n">
        <f aca="false">IF(AND(A210&lt;&gt;"",A210&lt;Parameters!$B$14),INDEX(Candidate_Model!E:E,Decision!B12)*(1+TAXRATE),0)</f>
        <v>0</v>
      </c>
      <c r="D210" s="14" t="n">
        <f aca="false">HEADCOUNT</f>
        <v>24</v>
      </c>
      <c r="E210" s="14" t="n">
        <f aca="false">B210*D210</f>
        <v>0</v>
      </c>
      <c r="F210" s="14" t="n">
        <f aca="false">C210*D210</f>
        <v>0</v>
      </c>
      <c r="G210" s="1" t="s">
        <v>126</v>
      </c>
    </row>
    <row r="211" customFormat="false" ht="15" hidden="false" customHeight="true" outlineLevel="0" collapsed="false">
      <c r="A211" s="23" t="str">
        <f aca="false">MIE_Daily!A177</f>
        <v/>
      </c>
      <c r="B211" s="14" t="n">
        <f aca="false">INDEX(MIE_Daily!$B$2:$AO$367,ROW()-35,5+8*(MATCH($B$2,CityData!$A$3:$A$7,0)-1))</f>
        <v>0</v>
      </c>
      <c r="C211" s="14" t="n">
        <f aca="false">IF(AND(A211&lt;&gt;"",A211&lt;Parameters!$B$14),INDEX(Candidate_Model!E:E,Decision!B12)*(1+TAXRATE),0)</f>
        <v>0</v>
      </c>
      <c r="D211" s="14" t="n">
        <f aca="false">HEADCOUNT</f>
        <v>24</v>
      </c>
      <c r="E211" s="14" t="n">
        <f aca="false">B211*D211</f>
        <v>0</v>
      </c>
      <c r="F211" s="14" t="n">
        <f aca="false">C211*D211</f>
        <v>0</v>
      </c>
      <c r="G211" s="1" t="s">
        <v>126</v>
      </c>
    </row>
    <row r="212" customFormat="false" ht="15" hidden="false" customHeight="true" outlineLevel="0" collapsed="false">
      <c r="A212" s="23" t="str">
        <f aca="false">MIE_Daily!A178</f>
        <v/>
      </c>
      <c r="B212" s="14" t="n">
        <f aca="false">INDEX(MIE_Daily!$B$2:$AO$367,ROW()-35,5+8*(MATCH($B$2,CityData!$A$3:$A$7,0)-1))</f>
        <v>0</v>
      </c>
      <c r="C212" s="14" t="n">
        <f aca="false">IF(AND(A212&lt;&gt;"",A212&lt;Parameters!$B$14),INDEX(Candidate_Model!E:E,Decision!B12)*(1+TAXRATE),0)</f>
        <v>0</v>
      </c>
      <c r="D212" s="14" t="n">
        <f aca="false">HEADCOUNT</f>
        <v>24</v>
      </c>
      <c r="E212" s="14" t="n">
        <f aca="false">B212*D212</f>
        <v>0</v>
      </c>
      <c r="F212" s="14" t="n">
        <f aca="false">C212*D212</f>
        <v>0</v>
      </c>
      <c r="G212" s="1" t="s">
        <v>126</v>
      </c>
    </row>
    <row r="213" customFormat="false" ht="15" hidden="false" customHeight="true" outlineLevel="0" collapsed="false">
      <c r="A213" s="23" t="str">
        <f aca="false">MIE_Daily!A179</f>
        <v/>
      </c>
      <c r="B213" s="14" t="n">
        <f aca="false">INDEX(MIE_Daily!$B$2:$AO$367,ROW()-35,5+8*(MATCH($B$2,CityData!$A$3:$A$7,0)-1))</f>
        <v>0</v>
      </c>
      <c r="C213" s="14" t="n">
        <f aca="false">IF(AND(A213&lt;&gt;"",A213&lt;Parameters!$B$14),INDEX(Candidate_Model!E:E,Decision!B12)*(1+TAXRATE),0)</f>
        <v>0</v>
      </c>
      <c r="D213" s="14" t="n">
        <f aca="false">HEADCOUNT</f>
        <v>24</v>
      </c>
      <c r="E213" s="14" t="n">
        <f aca="false">B213*D213</f>
        <v>0</v>
      </c>
      <c r="F213" s="14" t="n">
        <f aca="false">C213*D213</f>
        <v>0</v>
      </c>
      <c r="G213" s="1" t="s">
        <v>126</v>
      </c>
    </row>
    <row r="214" customFormat="false" ht="15" hidden="false" customHeight="true" outlineLevel="0" collapsed="false">
      <c r="A214" s="23" t="str">
        <f aca="false">MIE_Daily!A180</f>
        <v/>
      </c>
      <c r="B214" s="14" t="n">
        <f aca="false">INDEX(MIE_Daily!$B$2:$AO$367,ROW()-35,5+8*(MATCH($B$2,CityData!$A$3:$A$7,0)-1))</f>
        <v>0</v>
      </c>
      <c r="C214" s="14" t="n">
        <f aca="false">IF(AND(A214&lt;&gt;"",A214&lt;Parameters!$B$14),INDEX(Candidate_Model!E:E,Decision!B12)*(1+TAXRATE),0)</f>
        <v>0</v>
      </c>
      <c r="D214" s="14" t="n">
        <f aca="false">HEADCOUNT</f>
        <v>24</v>
      </c>
      <c r="E214" s="14" t="n">
        <f aca="false">B214*D214</f>
        <v>0</v>
      </c>
      <c r="F214" s="14" t="n">
        <f aca="false">C214*D214</f>
        <v>0</v>
      </c>
      <c r="G214" s="1" t="s">
        <v>126</v>
      </c>
    </row>
    <row r="215" customFormat="false" ht="15" hidden="false" customHeight="true" outlineLevel="0" collapsed="false">
      <c r="A215" s="23" t="str">
        <f aca="false">MIE_Daily!A181</f>
        <v/>
      </c>
      <c r="B215" s="14" t="n">
        <f aca="false">INDEX(MIE_Daily!$B$2:$AO$367,ROW()-35,5+8*(MATCH($B$2,CityData!$A$3:$A$7,0)-1))</f>
        <v>0</v>
      </c>
      <c r="C215" s="14" t="n">
        <f aca="false">IF(AND(A215&lt;&gt;"",A215&lt;Parameters!$B$14),INDEX(Candidate_Model!E:E,Decision!B12)*(1+TAXRATE),0)</f>
        <v>0</v>
      </c>
      <c r="D215" s="14" t="n">
        <f aca="false">HEADCOUNT</f>
        <v>24</v>
      </c>
      <c r="E215" s="14" t="n">
        <f aca="false">B215*D215</f>
        <v>0</v>
      </c>
      <c r="F215" s="14" t="n">
        <f aca="false">C215*D215</f>
        <v>0</v>
      </c>
      <c r="G215" s="1" t="s">
        <v>126</v>
      </c>
    </row>
    <row r="216" customFormat="false" ht="15" hidden="false" customHeight="true" outlineLevel="0" collapsed="false">
      <c r="A216" s="23" t="str">
        <f aca="false">MIE_Daily!A182</f>
        <v/>
      </c>
      <c r="B216" s="14" t="n">
        <f aca="false">INDEX(MIE_Daily!$B$2:$AO$367,ROW()-35,5+8*(MATCH($B$2,CityData!$A$3:$A$7,0)-1))</f>
        <v>0</v>
      </c>
      <c r="C216" s="14" t="n">
        <f aca="false">IF(AND(A216&lt;&gt;"",A216&lt;Parameters!$B$14),INDEX(Candidate_Model!E:E,Decision!B12)*(1+TAXRATE),0)</f>
        <v>0</v>
      </c>
      <c r="D216" s="14" t="n">
        <f aca="false">HEADCOUNT</f>
        <v>24</v>
      </c>
      <c r="E216" s="14" t="n">
        <f aca="false">B216*D216</f>
        <v>0</v>
      </c>
      <c r="F216" s="14" t="n">
        <f aca="false">C216*D216</f>
        <v>0</v>
      </c>
      <c r="G216" s="1" t="s">
        <v>126</v>
      </c>
    </row>
    <row r="217" customFormat="false" ht="15" hidden="false" customHeight="true" outlineLevel="0" collapsed="false">
      <c r="A217" s="23" t="str">
        <f aca="false">MIE_Daily!A183</f>
        <v/>
      </c>
      <c r="B217" s="14" t="n">
        <f aca="false">INDEX(MIE_Daily!$B$2:$AO$367,ROW()-35,5+8*(MATCH($B$2,CityData!$A$3:$A$7,0)-1))</f>
        <v>0</v>
      </c>
      <c r="C217" s="14" t="n">
        <f aca="false">IF(AND(A217&lt;&gt;"",A217&lt;Parameters!$B$14),INDEX(Candidate_Model!E:E,Decision!B12)*(1+TAXRATE),0)</f>
        <v>0</v>
      </c>
      <c r="D217" s="14" t="n">
        <f aca="false">HEADCOUNT</f>
        <v>24</v>
      </c>
      <c r="E217" s="14" t="n">
        <f aca="false">B217*D217</f>
        <v>0</v>
      </c>
      <c r="F217" s="14" t="n">
        <f aca="false">C217*D217</f>
        <v>0</v>
      </c>
      <c r="G217" s="1" t="s">
        <v>126</v>
      </c>
    </row>
    <row r="218" customFormat="false" ht="15" hidden="false" customHeight="true" outlineLevel="0" collapsed="false">
      <c r="A218" s="23" t="str">
        <f aca="false">MIE_Daily!A184</f>
        <v/>
      </c>
      <c r="B218" s="14" t="n">
        <f aca="false">INDEX(MIE_Daily!$B$2:$AO$367,ROW()-35,5+8*(MATCH($B$2,CityData!$A$3:$A$7,0)-1))</f>
        <v>0</v>
      </c>
      <c r="C218" s="14" t="n">
        <f aca="false">IF(AND(A218&lt;&gt;"",A218&lt;Parameters!$B$14),INDEX(Candidate_Model!E:E,Decision!B12)*(1+TAXRATE),0)</f>
        <v>0</v>
      </c>
      <c r="D218" s="14" t="n">
        <f aca="false">HEADCOUNT</f>
        <v>24</v>
      </c>
      <c r="E218" s="14" t="n">
        <f aca="false">B218*D218</f>
        <v>0</v>
      </c>
      <c r="F218" s="14" t="n">
        <f aca="false">C218*D218</f>
        <v>0</v>
      </c>
      <c r="G218" s="1" t="s">
        <v>126</v>
      </c>
    </row>
    <row r="219" customFormat="false" ht="15" hidden="false" customHeight="true" outlineLevel="0" collapsed="false">
      <c r="A219" s="23" t="str">
        <f aca="false">MIE_Daily!A185</f>
        <v/>
      </c>
      <c r="B219" s="14" t="n">
        <f aca="false">INDEX(MIE_Daily!$B$2:$AO$367,ROW()-35,5+8*(MATCH($B$2,CityData!$A$3:$A$7,0)-1))</f>
        <v>0</v>
      </c>
      <c r="C219" s="14" t="n">
        <f aca="false">IF(AND(A219&lt;&gt;"",A219&lt;Parameters!$B$14),INDEX(Candidate_Model!E:E,Decision!B12)*(1+TAXRATE),0)</f>
        <v>0</v>
      </c>
      <c r="D219" s="14" t="n">
        <f aca="false">HEADCOUNT</f>
        <v>24</v>
      </c>
      <c r="E219" s="14" t="n">
        <f aca="false">B219*D219</f>
        <v>0</v>
      </c>
      <c r="F219" s="14" t="n">
        <f aca="false">C219*D219</f>
        <v>0</v>
      </c>
      <c r="G219" s="1" t="s">
        <v>126</v>
      </c>
    </row>
    <row r="220" customFormat="false" ht="15" hidden="false" customHeight="true" outlineLevel="0" collapsed="false">
      <c r="A220" s="23" t="str">
        <f aca="false">MIE_Daily!A186</f>
        <v/>
      </c>
      <c r="B220" s="14" t="n">
        <f aca="false">INDEX(MIE_Daily!$B$2:$AO$367,ROW()-35,5+8*(MATCH($B$2,CityData!$A$3:$A$7,0)-1))</f>
        <v>0</v>
      </c>
      <c r="C220" s="14" t="n">
        <f aca="false">IF(AND(A220&lt;&gt;"",A220&lt;Parameters!$B$14),INDEX(Candidate_Model!E:E,Decision!B12)*(1+TAXRATE),0)</f>
        <v>0</v>
      </c>
      <c r="D220" s="14" t="n">
        <f aca="false">HEADCOUNT</f>
        <v>24</v>
      </c>
      <c r="E220" s="14" t="n">
        <f aca="false">B220*D220</f>
        <v>0</v>
      </c>
      <c r="F220" s="14" t="n">
        <f aca="false">C220*D220</f>
        <v>0</v>
      </c>
      <c r="G220" s="1" t="s">
        <v>126</v>
      </c>
    </row>
    <row r="221" customFormat="false" ht="15" hidden="false" customHeight="true" outlineLevel="0" collapsed="false">
      <c r="A221" s="23" t="str">
        <f aca="false">MIE_Daily!A187</f>
        <v/>
      </c>
      <c r="B221" s="14" t="n">
        <f aca="false">INDEX(MIE_Daily!$B$2:$AO$367,ROW()-35,5+8*(MATCH($B$2,CityData!$A$3:$A$7,0)-1))</f>
        <v>0</v>
      </c>
      <c r="C221" s="14" t="n">
        <f aca="false">IF(AND(A221&lt;&gt;"",A221&lt;Parameters!$B$14),INDEX(Candidate_Model!E:E,Decision!B12)*(1+TAXRATE),0)</f>
        <v>0</v>
      </c>
      <c r="D221" s="14" t="n">
        <f aca="false">HEADCOUNT</f>
        <v>24</v>
      </c>
      <c r="E221" s="14" t="n">
        <f aca="false">B221*D221</f>
        <v>0</v>
      </c>
      <c r="F221" s="14" t="n">
        <f aca="false">C221*D221</f>
        <v>0</v>
      </c>
      <c r="G221" s="1" t="s">
        <v>126</v>
      </c>
    </row>
    <row r="222" customFormat="false" ht="15" hidden="false" customHeight="true" outlineLevel="0" collapsed="false">
      <c r="A222" s="23" t="str">
        <f aca="false">MIE_Daily!A188</f>
        <v/>
      </c>
      <c r="B222" s="14" t="n">
        <f aca="false">INDEX(MIE_Daily!$B$2:$AO$367,ROW()-35,5+8*(MATCH($B$2,CityData!$A$3:$A$7,0)-1))</f>
        <v>0</v>
      </c>
      <c r="C222" s="14" t="n">
        <f aca="false">IF(AND(A222&lt;&gt;"",A222&lt;Parameters!$B$14),INDEX(Candidate_Model!E:E,Decision!B12)*(1+TAXRATE),0)</f>
        <v>0</v>
      </c>
      <c r="D222" s="14" t="n">
        <f aca="false">HEADCOUNT</f>
        <v>24</v>
      </c>
      <c r="E222" s="14" t="n">
        <f aca="false">B222*D222</f>
        <v>0</v>
      </c>
      <c r="F222" s="14" t="n">
        <f aca="false">C222*D222</f>
        <v>0</v>
      </c>
      <c r="G222" s="1" t="s">
        <v>126</v>
      </c>
    </row>
    <row r="223" customFormat="false" ht="15" hidden="false" customHeight="true" outlineLevel="0" collapsed="false">
      <c r="A223" s="23" t="str">
        <f aca="false">MIE_Daily!A189</f>
        <v/>
      </c>
      <c r="B223" s="14" t="n">
        <f aca="false">INDEX(MIE_Daily!$B$2:$AO$367,ROW()-35,5+8*(MATCH($B$2,CityData!$A$3:$A$7,0)-1))</f>
        <v>0</v>
      </c>
      <c r="C223" s="14" t="n">
        <f aca="false">IF(AND(A223&lt;&gt;"",A223&lt;Parameters!$B$14),INDEX(Candidate_Model!E:E,Decision!B12)*(1+TAXRATE),0)</f>
        <v>0</v>
      </c>
      <c r="D223" s="14" t="n">
        <f aca="false">HEADCOUNT</f>
        <v>24</v>
      </c>
      <c r="E223" s="14" t="n">
        <f aca="false">B223*D223</f>
        <v>0</v>
      </c>
      <c r="F223" s="14" t="n">
        <f aca="false">C223*D223</f>
        <v>0</v>
      </c>
      <c r="G223" s="1" t="s">
        <v>126</v>
      </c>
    </row>
    <row r="224" customFormat="false" ht="15" hidden="false" customHeight="true" outlineLevel="0" collapsed="false">
      <c r="A224" s="23" t="str">
        <f aca="false">MIE_Daily!A190</f>
        <v/>
      </c>
      <c r="B224" s="14" t="n">
        <f aca="false">INDEX(MIE_Daily!$B$2:$AO$367,ROW()-35,5+8*(MATCH($B$2,CityData!$A$3:$A$7,0)-1))</f>
        <v>0</v>
      </c>
      <c r="C224" s="14" t="n">
        <f aca="false">IF(AND(A224&lt;&gt;"",A224&lt;Parameters!$B$14),INDEX(Candidate_Model!E:E,Decision!B12)*(1+TAXRATE),0)</f>
        <v>0</v>
      </c>
      <c r="D224" s="14" t="n">
        <f aca="false">HEADCOUNT</f>
        <v>24</v>
      </c>
      <c r="E224" s="14" t="n">
        <f aca="false">B224*D224</f>
        <v>0</v>
      </c>
      <c r="F224" s="14" t="n">
        <f aca="false">C224*D224</f>
        <v>0</v>
      </c>
      <c r="G224" s="1" t="s">
        <v>126</v>
      </c>
    </row>
    <row r="225" customFormat="false" ht="15" hidden="false" customHeight="true" outlineLevel="0" collapsed="false">
      <c r="A225" s="23" t="str">
        <f aca="false">MIE_Daily!A191</f>
        <v/>
      </c>
      <c r="B225" s="14" t="n">
        <f aca="false">INDEX(MIE_Daily!$B$2:$AO$367,ROW()-35,5+8*(MATCH($B$2,CityData!$A$3:$A$7,0)-1))</f>
        <v>0</v>
      </c>
      <c r="C225" s="14" t="n">
        <f aca="false">IF(AND(A225&lt;&gt;"",A225&lt;Parameters!$B$14),INDEX(Candidate_Model!E:E,Decision!B12)*(1+TAXRATE),0)</f>
        <v>0</v>
      </c>
      <c r="D225" s="14" t="n">
        <f aca="false">HEADCOUNT</f>
        <v>24</v>
      </c>
      <c r="E225" s="14" t="n">
        <f aca="false">B225*D225</f>
        <v>0</v>
      </c>
      <c r="F225" s="14" t="n">
        <f aca="false">C225*D225</f>
        <v>0</v>
      </c>
      <c r="G225" s="1" t="s">
        <v>126</v>
      </c>
    </row>
    <row r="226" customFormat="false" ht="15" hidden="false" customHeight="true" outlineLevel="0" collapsed="false">
      <c r="A226" s="23" t="str">
        <f aca="false">MIE_Daily!A192</f>
        <v/>
      </c>
      <c r="B226" s="14" t="n">
        <f aca="false">INDEX(MIE_Daily!$B$2:$AO$367,ROW()-35,5+8*(MATCH($B$2,CityData!$A$3:$A$7,0)-1))</f>
        <v>0</v>
      </c>
      <c r="C226" s="14" t="n">
        <f aca="false">IF(AND(A226&lt;&gt;"",A226&lt;Parameters!$B$14),INDEX(Candidate_Model!E:E,Decision!B12)*(1+TAXRATE),0)</f>
        <v>0</v>
      </c>
      <c r="D226" s="14" t="n">
        <f aca="false">HEADCOUNT</f>
        <v>24</v>
      </c>
      <c r="E226" s="14" t="n">
        <f aca="false">B226*D226</f>
        <v>0</v>
      </c>
      <c r="F226" s="14" t="n">
        <f aca="false">C226*D226</f>
        <v>0</v>
      </c>
      <c r="G226" s="1" t="s">
        <v>126</v>
      </c>
    </row>
    <row r="227" customFormat="false" ht="15" hidden="false" customHeight="true" outlineLevel="0" collapsed="false">
      <c r="A227" s="23" t="str">
        <f aca="false">MIE_Daily!A193</f>
        <v/>
      </c>
      <c r="B227" s="14" t="n">
        <f aca="false">INDEX(MIE_Daily!$B$2:$AO$367,ROW()-35,5+8*(MATCH($B$2,CityData!$A$3:$A$7,0)-1))</f>
        <v>0</v>
      </c>
      <c r="C227" s="14" t="n">
        <f aca="false">IF(AND(A227&lt;&gt;"",A227&lt;Parameters!$B$14),INDEX(Candidate_Model!E:E,Decision!B12)*(1+TAXRATE),0)</f>
        <v>0</v>
      </c>
      <c r="D227" s="14" t="n">
        <f aca="false">HEADCOUNT</f>
        <v>24</v>
      </c>
      <c r="E227" s="14" t="n">
        <f aca="false">B227*D227</f>
        <v>0</v>
      </c>
      <c r="F227" s="14" t="n">
        <f aca="false">C227*D227</f>
        <v>0</v>
      </c>
      <c r="G227" s="1" t="s">
        <v>126</v>
      </c>
    </row>
    <row r="228" customFormat="false" ht="15" hidden="false" customHeight="true" outlineLevel="0" collapsed="false">
      <c r="A228" s="23" t="str">
        <f aca="false">MIE_Daily!A194</f>
        <v/>
      </c>
      <c r="B228" s="14" t="n">
        <f aca="false">INDEX(MIE_Daily!$B$2:$AO$367,ROW()-35,5+8*(MATCH($B$2,CityData!$A$3:$A$7,0)-1))</f>
        <v>0</v>
      </c>
      <c r="C228" s="14" t="n">
        <f aca="false">IF(AND(A228&lt;&gt;"",A228&lt;Parameters!$B$14),INDEX(Candidate_Model!E:E,Decision!B12)*(1+TAXRATE),0)</f>
        <v>0</v>
      </c>
      <c r="D228" s="14" t="n">
        <f aca="false">HEADCOUNT</f>
        <v>24</v>
      </c>
      <c r="E228" s="14" t="n">
        <f aca="false">B228*D228</f>
        <v>0</v>
      </c>
      <c r="F228" s="14" t="n">
        <f aca="false">C228*D228</f>
        <v>0</v>
      </c>
      <c r="G228" s="1" t="s">
        <v>126</v>
      </c>
    </row>
    <row r="229" customFormat="false" ht="15" hidden="false" customHeight="true" outlineLevel="0" collapsed="false">
      <c r="A229" s="23" t="str">
        <f aca="false">MIE_Daily!A195</f>
        <v/>
      </c>
      <c r="B229" s="14" t="n">
        <f aca="false">INDEX(MIE_Daily!$B$2:$AO$367,ROW()-35,5+8*(MATCH($B$2,CityData!$A$3:$A$7,0)-1))</f>
        <v>0</v>
      </c>
      <c r="C229" s="14" t="n">
        <f aca="false">IF(AND(A229&lt;&gt;"",A229&lt;Parameters!$B$14),INDEX(Candidate_Model!E:E,Decision!B12)*(1+TAXRATE),0)</f>
        <v>0</v>
      </c>
      <c r="D229" s="14" t="n">
        <f aca="false">HEADCOUNT</f>
        <v>24</v>
      </c>
      <c r="E229" s="14" t="n">
        <f aca="false">B229*D229</f>
        <v>0</v>
      </c>
      <c r="F229" s="14" t="n">
        <f aca="false">C229*D229</f>
        <v>0</v>
      </c>
      <c r="G229" s="1" t="s">
        <v>126</v>
      </c>
    </row>
    <row r="230" customFormat="false" ht="15" hidden="false" customHeight="true" outlineLevel="0" collapsed="false">
      <c r="A230" s="23" t="str">
        <f aca="false">MIE_Daily!A196</f>
        <v/>
      </c>
      <c r="B230" s="14" t="n">
        <f aca="false">INDEX(MIE_Daily!$B$2:$AO$367,ROW()-35,5+8*(MATCH($B$2,CityData!$A$3:$A$7,0)-1))</f>
        <v>0</v>
      </c>
      <c r="C230" s="14" t="n">
        <f aca="false">IF(AND(A230&lt;&gt;"",A230&lt;Parameters!$B$14),INDEX(Candidate_Model!E:E,Decision!B12)*(1+TAXRATE),0)</f>
        <v>0</v>
      </c>
      <c r="D230" s="14" t="n">
        <f aca="false">HEADCOUNT</f>
        <v>24</v>
      </c>
      <c r="E230" s="14" t="n">
        <f aca="false">B230*D230</f>
        <v>0</v>
      </c>
      <c r="F230" s="14" t="n">
        <f aca="false">C230*D230</f>
        <v>0</v>
      </c>
      <c r="G230" s="1" t="s">
        <v>126</v>
      </c>
    </row>
    <row r="231" customFormat="false" ht="15" hidden="false" customHeight="true" outlineLevel="0" collapsed="false">
      <c r="A231" s="23" t="str">
        <f aca="false">MIE_Daily!A197</f>
        <v/>
      </c>
      <c r="B231" s="14" t="n">
        <f aca="false">INDEX(MIE_Daily!$B$2:$AO$367,ROW()-35,5+8*(MATCH($B$2,CityData!$A$3:$A$7,0)-1))</f>
        <v>0</v>
      </c>
      <c r="C231" s="14" t="n">
        <f aca="false">IF(AND(A231&lt;&gt;"",A231&lt;Parameters!$B$14),INDEX(Candidate_Model!E:E,Decision!B12)*(1+TAXRATE),0)</f>
        <v>0</v>
      </c>
      <c r="D231" s="14" t="n">
        <f aca="false">HEADCOUNT</f>
        <v>24</v>
      </c>
      <c r="E231" s="14" t="n">
        <f aca="false">B231*D231</f>
        <v>0</v>
      </c>
      <c r="F231" s="14" t="n">
        <f aca="false">C231*D231</f>
        <v>0</v>
      </c>
      <c r="G231" s="1" t="s">
        <v>126</v>
      </c>
    </row>
    <row r="232" customFormat="false" ht="15" hidden="false" customHeight="true" outlineLevel="0" collapsed="false">
      <c r="A232" s="23" t="str">
        <f aca="false">MIE_Daily!A198</f>
        <v/>
      </c>
      <c r="B232" s="14" t="n">
        <f aca="false">INDEX(MIE_Daily!$B$2:$AO$367,ROW()-35,5+8*(MATCH($B$2,CityData!$A$3:$A$7,0)-1))</f>
        <v>0</v>
      </c>
      <c r="C232" s="14" t="n">
        <f aca="false">IF(AND(A232&lt;&gt;"",A232&lt;Parameters!$B$14),INDEX(Candidate_Model!E:E,Decision!B12)*(1+TAXRATE),0)</f>
        <v>0</v>
      </c>
      <c r="D232" s="14" t="n">
        <f aca="false">HEADCOUNT</f>
        <v>24</v>
      </c>
      <c r="E232" s="14" t="n">
        <f aca="false">B232*D232</f>
        <v>0</v>
      </c>
      <c r="F232" s="14" t="n">
        <f aca="false">C232*D232</f>
        <v>0</v>
      </c>
      <c r="G232" s="1" t="s">
        <v>126</v>
      </c>
    </row>
    <row r="233" customFormat="false" ht="15" hidden="false" customHeight="true" outlineLevel="0" collapsed="false">
      <c r="A233" s="23" t="str">
        <f aca="false">MIE_Daily!A199</f>
        <v/>
      </c>
      <c r="B233" s="14" t="n">
        <f aca="false">INDEX(MIE_Daily!$B$2:$AO$367,ROW()-35,5+8*(MATCH($B$2,CityData!$A$3:$A$7,0)-1))</f>
        <v>0</v>
      </c>
      <c r="C233" s="14" t="n">
        <f aca="false">IF(AND(A233&lt;&gt;"",A233&lt;Parameters!$B$14),INDEX(Candidate_Model!E:E,Decision!B12)*(1+TAXRATE),0)</f>
        <v>0</v>
      </c>
      <c r="D233" s="14" t="n">
        <f aca="false">HEADCOUNT</f>
        <v>24</v>
      </c>
      <c r="E233" s="14" t="n">
        <f aca="false">B233*D233</f>
        <v>0</v>
      </c>
      <c r="F233" s="14" t="n">
        <f aca="false">C233*D233</f>
        <v>0</v>
      </c>
      <c r="G233" s="1" t="s">
        <v>126</v>
      </c>
    </row>
    <row r="234" customFormat="false" ht="15" hidden="false" customHeight="true" outlineLevel="0" collapsed="false">
      <c r="A234" s="23" t="str">
        <f aca="false">MIE_Daily!A200</f>
        <v/>
      </c>
      <c r="B234" s="14" t="n">
        <f aca="false">INDEX(MIE_Daily!$B$2:$AO$367,ROW()-35,5+8*(MATCH($B$2,CityData!$A$3:$A$7,0)-1))</f>
        <v>0</v>
      </c>
      <c r="C234" s="14" t="n">
        <f aca="false">IF(AND(A234&lt;&gt;"",A234&lt;Parameters!$B$14),INDEX(Candidate_Model!E:E,Decision!B12)*(1+TAXRATE),0)</f>
        <v>0</v>
      </c>
      <c r="D234" s="14" t="n">
        <f aca="false">HEADCOUNT</f>
        <v>24</v>
      </c>
      <c r="E234" s="14" t="n">
        <f aca="false">B234*D234</f>
        <v>0</v>
      </c>
      <c r="F234" s="14" t="n">
        <f aca="false">C234*D234</f>
        <v>0</v>
      </c>
      <c r="G234" s="1" t="s">
        <v>126</v>
      </c>
    </row>
    <row r="235" customFormat="false" ht="15" hidden="false" customHeight="true" outlineLevel="0" collapsed="false">
      <c r="A235" s="23" t="str">
        <f aca="false">MIE_Daily!A201</f>
        <v/>
      </c>
      <c r="B235" s="14" t="n">
        <f aca="false">INDEX(MIE_Daily!$B$2:$AO$367,ROW()-35,5+8*(MATCH($B$2,CityData!$A$3:$A$7,0)-1))</f>
        <v>0</v>
      </c>
      <c r="C235" s="14" t="n">
        <f aca="false">IF(AND(A235&lt;&gt;"",A235&lt;Parameters!$B$14),INDEX(Candidate_Model!E:E,Decision!B12)*(1+TAXRATE),0)</f>
        <v>0</v>
      </c>
      <c r="D235" s="14" t="n">
        <f aca="false">HEADCOUNT</f>
        <v>24</v>
      </c>
      <c r="E235" s="14" t="n">
        <f aca="false">B235*D235</f>
        <v>0</v>
      </c>
      <c r="F235" s="14" t="n">
        <f aca="false">C235*D235</f>
        <v>0</v>
      </c>
      <c r="G235" s="1" t="s">
        <v>126</v>
      </c>
    </row>
    <row r="236" customFormat="false" ht="15" hidden="false" customHeight="true" outlineLevel="0" collapsed="false">
      <c r="A236" s="23" t="str">
        <f aca="false">MIE_Daily!A202</f>
        <v/>
      </c>
      <c r="B236" s="14" t="n">
        <f aca="false">INDEX(MIE_Daily!$B$2:$AO$367,ROW()-35,5+8*(MATCH($B$2,CityData!$A$3:$A$7,0)-1))</f>
        <v>0</v>
      </c>
      <c r="C236" s="14" t="n">
        <f aca="false">IF(AND(A236&lt;&gt;"",A236&lt;Parameters!$B$14),INDEX(Candidate_Model!E:E,Decision!B12)*(1+TAXRATE),0)</f>
        <v>0</v>
      </c>
      <c r="D236" s="14" t="n">
        <f aca="false">HEADCOUNT</f>
        <v>24</v>
      </c>
      <c r="E236" s="14" t="n">
        <f aca="false">B236*D236</f>
        <v>0</v>
      </c>
      <c r="F236" s="14" t="n">
        <f aca="false">C236*D236</f>
        <v>0</v>
      </c>
      <c r="G236" s="1" t="s">
        <v>126</v>
      </c>
    </row>
    <row r="237" customFormat="false" ht="15" hidden="false" customHeight="true" outlineLevel="0" collapsed="false">
      <c r="A237" s="23" t="str">
        <f aca="false">MIE_Daily!A203</f>
        <v/>
      </c>
      <c r="B237" s="14" t="n">
        <f aca="false">INDEX(MIE_Daily!$B$2:$AO$367,ROW()-35,5+8*(MATCH($B$2,CityData!$A$3:$A$7,0)-1))</f>
        <v>0</v>
      </c>
      <c r="C237" s="14" t="n">
        <f aca="false">IF(AND(A237&lt;&gt;"",A237&lt;Parameters!$B$14),INDEX(Candidate_Model!E:E,Decision!B12)*(1+TAXRATE),0)</f>
        <v>0</v>
      </c>
      <c r="D237" s="14" t="n">
        <f aca="false">HEADCOUNT</f>
        <v>24</v>
      </c>
      <c r="E237" s="14" t="n">
        <f aca="false">B237*D237</f>
        <v>0</v>
      </c>
      <c r="F237" s="14" t="n">
        <f aca="false">C237*D237</f>
        <v>0</v>
      </c>
      <c r="G237" s="1" t="s">
        <v>126</v>
      </c>
    </row>
    <row r="238" customFormat="false" ht="15" hidden="false" customHeight="true" outlineLevel="0" collapsed="false">
      <c r="A238" s="23" t="str">
        <f aca="false">MIE_Daily!A204</f>
        <v/>
      </c>
      <c r="B238" s="14" t="n">
        <f aca="false">INDEX(MIE_Daily!$B$2:$AO$367,ROW()-35,5+8*(MATCH($B$2,CityData!$A$3:$A$7,0)-1))</f>
        <v>0</v>
      </c>
      <c r="C238" s="14" t="n">
        <f aca="false">IF(AND(A238&lt;&gt;"",A238&lt;Parameters!$B$14),INDEX(Candidate_Model!E:E,Decision!B12)*(1+TAXRATE),0)</f>
        <v>0</v>
      </c>
      <c r="D238" s="14" t="n">
        <f aca="false">HEADCOUNT</f>
        <v>24</v>
      </c>
      <c r="E238" s="14" t="n">
        <f aca="false">B238*D238</f>
        <v>0</v>
      </c>
      <c r="F238" s="14" t="n">
        <f aca="false">C238*D238</f>
        <v>0</v>
      </c>
      <c r="G238" s="1" t="s">
        <v>126</v>
      </c>
    </row>
    <row r="239" customFormat="false" ht="15" hidden="false" customHeight="true" outlineLevel="0" collapsed="false">
      <c r="A239" s="23" t="str">
        <f aca="false">MIE_Daily!A205</f>
        <v/>
      </c>
      <c r="B239" s="14" t="n">
        <f aca="false">INDEX(MIE_Daily!$B$2:$AO$367,ROW()-35,5+8*(MATCH($B$2,CityData!$A$3:$A$7,0)-1))</f>
        <v>0</v>
      </c>
      <c r="C239" s="14" t="n">
        <f aca="false">IF(AND(A239&lt;&gt;"",A239&lt;Parameters!$B$14),INDEX(Candidate_Model!E:E,Decision!B12)*(1+TAXRATE),0)</f>
        <v>0</v>
      </c>
      <c r="D239" s="14" t="n">
        <f aca="false">HEADCOUNT</f>
        <v>24</v>
      </c>
      <c r="E239" s="14" t="n">
        <f aca="false">B239*D239</f>
        <v>0</v>
      </c>
      <c r="F239" s="14" t="n">
        <f aca="false">C239*D239</f>
        <v>0</v>
      </c>
      <c r="G239" s="1" t="s">
        <v>126</v>
      </c>
    </row>
    <row r="240" customFormat="false" ht="15" hidden="false" customHeight="true" outlineLevel="0" collapsed="false">
      <c r="A240" s="23" t="str">
        <f aca="false">MIE_Daily!A206</f>
        <v/>
      </c>
      <c r="B240" s="14" t="n">
        <f aca="false">INDEX(MIE_Daily!$B$2:$AO$367,ROW()-35,5+8*(MATCH($B$2,CityData!$A$3:$A$7,0)-1))</f>
        <v>0</v>
      </c>
      <c r="C240" s="14" t="n">
        <f aca="false">IF(AND(A240&lt;&gt;"",A240&lt;Parameters!$B$14),INDEX(Candidate_Model!E:E,Decision!B12)*(1+TAXRATE),0)</f>
        <v>0</v>
      </c>
      <c r="D240" s="14" t="n">
        <f aca="false">HEADCOUNT</f>
        <v>24</v>
      </c>
      <c r="E240" s="14" t="n">
        <f aca="false">B240*D240</f>
        <v>0</v>
      </c>
      <c r="F240" s="14" t="n">
        <f aca="false">C240*D240</f>
        <v>0</v>
      </c>
      <c r="G240" s="1" t="s">
        <v>126</v>
      </c>
    </row>
    <row r="241" customFormat="false" ht="15" hidden="false" customHeight="true" outlineLevel="0" collapsed="false">
      <c r="A241" s="23" t="str">
        <f aca="false">MIE_Daily!A207</f>
        <v/>
      </c>
      <c r="B241" s="14" t="n">
        <f aca="false">INDEX(MIE_Daily!$B$2:$AO$367,ROW()-35,5+8*(MATCH($B$2,CityData!$A$3:$A$7,0)-1))</f>
        <v>0</v>
      </c>
      <c r="C241" s="14" t="n">
        <f aca="false">IF(AND(A241&lt;&gt;"",A241&lt;Parameters!$B$14),INDEX(Candidate_Model!E:E,Decision!B12)*(1+TAXRATE),0)</f>
        <v>0</v>
      </c>
      <c r="D241" s="14" t="n">
        <f aca="false">HEADCOUNT</f>
        <v>24</v>
      </c>
      <c r="E241" s="14" t="n">
        <f aca="false">B241*D241</f>
        <v>0</v>
      </c>
      <c r="F241" s="14" t="n">
        <f aca="false">C241*D241</f>
        <v>0</v>
      </c>
      <c r="G241" s="1" t="s">
        <v>126</v>
      </c>
    </row>
    <row r="242" customFormat="false" ht="15" hidden="false" customHeight="true" outlineLevel="0" collapsed="false">
      <c r="A242" s="23" t="str">
        <f aca="false">MIE_Daily!A208</f>
        <v/>
      </c>
      <c r="B242" s="14" t="n">
        <f aca="false">INDEX(MIE_Daily!$B$2:$AO$367,ROW()-35,5+8*(MATCH($B$2,CityData!$A$3:$A$7,0)-1))</f>
        <v>0</v>
      </c>
      <c r="C242" s="14" t="n">
        <f aca="false">IF(AND(A242&lt;&gt;"",A242&lt;Parameters!$B$14),INDEX(Candidate_Model!E:E,Decision!B12)*(1+TAXRATE),0)</f>
        <v>0</v>
      </c>
      <c r="D242" s="14" t="n">
        <f aca="false">HEADCOUNT</f>
        <v>24</v>
      </c>
      <c r="E242" s="14" t="n">
        <f aca="false">B242*D242</f>
        <v>0</v>
      </c>
      <c r="F242" s="14" t="n">
        <f aca="false">C242*D242</f>
        <v>0</v>
      </c>
      <c r="G242" s="1" t="s">
        <v>126</v>
      </c>
    </row>
    <row r="243" customFormat="false" ht="15" hidden="false" customHeight="true" outlineLevel="0" collapsed="false">
      <c r="A243" s="23" t="str">
        <f aca="false">MIE_Daily!A209</f>
        <v/>
      </c>
      <c r="B243" s="14" t="n">
        <f aca="false">INDEX(MIE_Daily!$B$2:$AO$367,ROW()-35,5+8*(MATCH($B$2,CityData!$A$3:$A$7,0)-1))</f>
        <v>0</v>
      </c>
      <c r="C243" s="14" t="n">
        <f aca="false">IF(AND(A243&lt;&gt;"",A243&lt;Parameters!$B$14),INDEX(Candidate_Model!E:E,Decision!B12)*(1+TAXRATE),0)</f>
        <v>0</v>
      </c>
      <c r="D243" s="14" t="n">
        <f aca="false">HEADCOUNT</f>
        <v>24</v>
      </c>
      <c r="E243" s="14" t="n">
        <f aca="false">B243*D243</f>
        <v>0</v>
      </c>
      <c r="F243" s="14" t="n">
        <f aca="false">C243*D243</f>
        <v>0</v>
      </c>
      <c r="G243" s="1" t="s">
        <v>126</v>
      </c>
    </row>
    <row r="244" customFormat="false" ht="15" hidden="false" customHeight="true" outlineLevel="0" collapsed="false">
      <c r="A244" s="23" t="str">
        <f aca="false">MIE_Daily!A210</f>
        <v/>
      </c>
      <c r="B244" s="14" t="n">
        <f aca="false">INDEX(MIE_Daily!$B$2:$AO$367,ROW()-35,5+8*(MATCH($B$2,CityData!$A$3:$A$7,0)-1))</f>
        <v>0</v>
      </c>
      <c r="C244" s="14" t="n">
        <f aca="false">IF(AND(A244&lt;&gt;"",A244&lt;Parameters!$B$14),INDEX(Candidate_Model!E:E,Decision!B12)*(1+TAXRATE),0)</f>
        <v>0</v>
      </c>
      <c r="D244" s="14" t="n">
        <f aca="false">HEADCOUNT</f>
        <v>24</v>
      </c>
      <c r="E244" s="14" t="n">
        <f aca="false">B244*D244</f>
        <v>0</v>
      </c>
      <c r="F244" s="14" t="n">
        <f aca="false">C244*D244</f>
        <v>0</v>
      </c>
      <c r="G244" s="1" t="s">
        <v>126</v>
      </c>
    </row>
    <row r="245" customFormat="false" ht="15" hidden="false" customHeight="true" outlineLevel="0" collapsed="false">
      <c r="A245" s="23" t="str">
        <f aca="false">MIE_Daily!A211</f>
        <v/>
      </c>
      <c r="B245" s="14" t="n">
        <f aca="false">INDEX(MIE_Daily!$B$2:$AO$367,ROW()-35,5+8*(MATCH($B$2,CityData!$A$3:$A$7,0)-1))</f>
        <v>0</v>
      </c>
      <c r="C245" s="14" t="n">
        <f aca="false">IF(AND(A245&lt;&gt;"",A245&lt;Parameters!$B$14),INDEX(Candidate_Model!E:E,Decision!B12)*(1+TAXRATE),0)</f>
        <v>0</v>
      </c>
      <c r="D245" s="14" t="n">
        <f aca="false">HEADCOUNT</f>
        <v>24</v>
      </c>
      <c r="E245" s="14" t="n">
        <f aca="false">B245*D245</f>
        <v>0</v>
      </c>
      <c r="F245" s="14" t="n">
        <f aca="false">C245*D245</f>
        <v>0</v>
      </c>
      <c r="G245" s="1" t="s">
        <v>126</v>
      </c>
    </row>
    <row r="246" customFormat="false" ht="15" hidden="false" customHeight="true" outlineLevel="0" collapsed="false">
      <c r="A246" s="23" t="str">
        <f aca="false">MIE_Daily!A212</f>
        <v/>
      </c>
      <c r="B246" s="14" t="n">
        <f aca="false">INDEX(MIE_Daily!$B$2:$AO$367,ROW()-35,5+8*(MATCH($B$2,CityData!$A$3:$A$7,0)-1))</f>
        <v>0</v>
      </c>
      <c r="C246" s="14" t="n">
        <f aca="false">IF(AND(A246&lt;&gt;"",A246&lt;Parameters!$B$14),INDEX(Candidate_Model!E:E,Decision!B12)*(1+TAXRATE),0)</f>
        <v>0</v>
      </c>
      <c r="D246" s="14" t="n">
        <f aca="false">HEADCOUNT</f>
        <v>24</v>
      </c>
      <c r="E246" s="14" t="n">
        <f aca="false">B246*D246</f>
        <v>0</v>
      </c>
      <c r="F246" s="14" t="n">
        <f aca="false">C246*D246</f>
        <v>0</v>
      </c>
      <c r="G246" s="1" t="s">
        <v>126</v>
      </c>
    </row>
    <row r="247" customFormat="false" ht="15" hidden="false" customHeight="true" outlineLevel="0" collapsed="false">
      <c r="A247" s="23" t="str">
        <f aca="false">MIE_Daily!A213</f>
        <v/>
      </c>
      <c r="B247" s="14" t="n">
        <f aca="false">INDEX(MIE_Daily!$B$2:$AO$367,ROW()-35,5+8*(MATCH($B$2,CityData!$A$3:$A$7,0)-1))</f>
        <v>0</v>
      </c>
      <c r="C247" s="14" t="n">
        <f aca="false">IF(AND(A247&lt;&gt;"",A247&lt;Parameters!$B$14),INDEX(Candidate_Model!E:E,Decision!B12)*(1+TAXRATE),0)</f>
        <v>0</v>
      </c>
      <c r="D247" s="14" t="n">
        <f aca="false">HEADCOUNT</f>
        <v>24</v>
      </c>
      <c r="E247" s="14" t="n">
        <f aca="false">B247*D247</f>
        <v>0</v>
      </c>
      <c r="F247" s="14" t="n">
        <f aca="false">C247*D247</f>
        <v>0</v>
      </c>
      <c r="G247" s="1" t="s">
        <v>126</v>
      </c>
    </row>
    <row r="248" customFormat="false" ht="15" hidden="false" customHeight="true" outlineLevel="0" collapsed="false">
      <c r="A248" s="23" t="str">
        <f aca="false">MIE_Daily!A214</f>
        <v/>
      </c>
      <c r="B248" s="14" t="n">
        <f aca="false">INDEX(MIE_Daily!$B$2:$AO$367,ROW()-35,5+8*(MATCH($B$2,CityData!$A$3:$A$7,0)-1))</f>
        <v>0</v>
      </c>
      <c r="C248" s="14" t="n">
        <f aca="false">IF(AND(A248&lt;&gt;"",A248&lt;Parameters!$B$14),INDEX(Candidate_Model!E:E,Decision!B12)*(1+TAXRATE),0)</f>
        <v>0</v>
      </c>
      <c r="D248" s="14" t="n">
        <f aca="false">HEADCOUNT</f>
        <v>24</v>
      </c>
      <c r="E248" s="14" t="n">
        <f aca="false">B248*D248</f>
        <v>0</v>
      </c>
      <c r="F248" s="14" t="n">
        <f aca="false">C248*D248</f>
        <v>0</v>
      </c>
      <c r="G248" s="1" t="s">
        <v>126</v>
      </c>
    </row>
    <row r="249" customFormat="false" ht="15" hidden="false" customHeight="true" outlineLevel="0" collapsed="false">
      <c r="A249" s="23" t="str">
        <f aca="false">MIE_Daily!A215</f>
        <v/>
      </c>
      <c r="B249" s="14" t="n">
        <f aca="false">INDEX(MIE_Daily!$B$2:$AO$367,ROW()-35,5+8*(MATCH($B$2,CityData!$A$3:$A$7,0)-1))</f>
        <v>0</v>
      </c>
      <c r="C249" s="14" t="n">
        <f aca="false">IF(AND(A249&lt;&gt;"",A249&lt;Parameters!$B$14),INDEX(Candidate_Model!E:E,Decision!B12)*(1+TAXRATE),0)</f>
        <v>0</v>
      </c>
      <c r="D249" s="14" t="n">
        <f aca="false">HEADCOUNT</f>
        <v>24</v>
      </c>
      <c r="E249" s="14" t="n">
        <f aca="false">B249*D249</f>
        <v>0</v>
      </c>
      <c r="F249" s="14" t="n">
        <f aca="false">C249*D249</f>
        <v>0</v>
      </c>
      <c r="G249" s="1" t="s">
        <v>126</v>
      </c>
    </row>
    <row r="250" customFormat="false" ht="15" hidden="false" customHeight="true" outlineLevel="0" collapsed="false">
      <c r="A250" s="23" t="str">
        <f aca="false">MIE_Daily!A216</f>
        <v/>
      </c>
      <c r="B250" s="14" t="n">
        <f aca="false">INDEX(MIE_Daily!$B$2:$AO$367,ROW()-35,5+8*(MATCH($B$2,CityData!$A$3:$A$7,0)-1))</f>
        <v>0</v>
      </c>
      <c r="C250" s="14" t="n">
        <f aca="false">IF(AND(A250&lt;&gt;"",A250&lt;Parameters!$B$14),INDEX(Candidate_Model!E:E,Decision!B12)*(1+TAXRATE),0)</f>
        <v>0</v>
      </c>
      <c r="D250" s="14" t="n">
        <f aca="false">HEADCOUNT</f>
        <v>24</v>
      </c>
      <c r="E250" s="14" t="n">
        <f aca="false">B250*D250</f>
        <v>0</v>
      </c>
      <c r="F250" s="14" t="n">
        <f aca="false">C250*D250</f>
        <v>0</v>
      </c>
      <c r="G250" s="1" t="s">
        <v>126</v>
      </c>
    </row>
    <row r="251" customFormat="false" ht="15" hidden="false" customHeight="true" outlineLevel="0" collapsed="false">
      <c r="A251" s="23" t="str">
        <f aca="false">MIE_Daily!A217</f>
        <v/>
      </c>
      <c r="B251" s="14" t="n">
        <f aca="false">INDEX(MIE_Daily!$B$2:$AO$367,ROW()-35,5+8*(MATCH($B$2,CityData!$A$3:$A$7,0)-1))</f>
        <v>0</v>
      </c>
      <c r="C251" s="14" t="n">
        <f aca="false">IF(AND(A251&lt;&gt;"",A251&lt;Parameters!$B$14),INDEX(Candidate_Model!E:E,Decision!B12)*(1+TAXRATE),0)</f>
        <v>0</v>
      </c>
      <c r="D251" s="14" t="n">
        <f aca="false">HEADCOUNT</f>
        <v>24</v>
      </c>
      <c r="E251" s="14" t="n">
        <f aca="false">B251*D251</f>
        <v>0</v>
      </c>
      <c r="F251" s="14" t="n">
        <f aca="false">C251*D251</f>
        <v>0</v>
      </c>
      <c r="G251" s="1" t="s">
        <v>126</v>
      </c>
    </row>
    <row r="252" customFormat="false" ht="15" hidden="false" customHeight="true" outlineLevel="0" collapsed="false">
      <c r="A252" s="23" t="str">
        <f aca="false">MIE_Daily!A218</f>
        <v/>
      </c>
      <c r="B252" s="14" t="n">
        <f aca="false">INDEX(MIE_Daily!$B$2:$AO$367,ROW()-35,5+8*(MATCH($B$2,CityData!$A$3:$A$7,0)-1))</f>
        <v>0</v>
      </c>
      <c r="C252" s="14" t="n">
        <f aca="false">IF(AND(A252&lt;&gt;"",A252&lt;Parameters!$B$14),INDEX(Candidate_Model!E:E,Decision!B12)*(1+TAXRATE),0)</f>
        <v>0</v>
      </c>
      <c r="D252" s="14" t="n">
        <f aca="false">HEADCOUNT</f>
        <v>24</v>
      </c>
      <c r="E252" s="14" t="n">
        <f aca="false">B252*D252</f>
        <v>0</v>
      </c>
      <c r="F252" s="14" t="n">
        <f aca="false">C252*D252</f>
        <v>0</v>
      </c>
      <c r="G252" s="1" t="s">
        <v>126</v>
      </c>
    </row>
    <row r="253" customFormat="false" ht="15" hidden="false" customHeight="true" outlineLevel="0" collapsed="false">
      <c r="A253" s="23" t="str">
        <f aca="false">MIE_Daily!A219</f>
        <v/>
      </c>
      <c r="B253" s="14" t="n">
        <f aca="false">INDEX(MIE_Daily!$B$2:$AO$367,ROW()-35,5+8*(MATCH($B$2,CityData!$A$3:$A$7,0)-1))</f>
        <v>0</v>
      </c>
      <c r="C253" s="14" t="n">
        <f aca="false">IF(AND(A253&lt;&gt;"",A253&lt;Parameters!$B$14),INDEX(Candidate_Model!E:E,Decision!B12)*(1+TAXRATE),0)</f>
        <v>0</v>
      </c>
      <c r="D253" s="14" t="n">
        <f aca="false">HEADCOUNT</f>
        <v>24</v>
      </c>
      <c r="E253" s="14" t="n">
        <f aca="false">B253*D253</f>
        <v>0</v>
      </c>
      <c r="F253" s="14" t="n">
        <f aca="false">C253*D253</f>
        <v>0</v>
      </c>
      <c r="G253" s="1" t="s">
        <v>126</v>
      </c>
    </row>
    <row r="254" customFormat="false" ht="15" hidden="false" customHeight="true" outlineLevel="0" collapsed="false">
      <c r="A254" s="23" t="str">
        <f aca="false">MIE_Daily!A220</f>
        <v/>
      </c>
      <c r="B254" s="14" t="n">
        <f aca="false">INDEX(MIE_Daily!$B$2:$AO$367,ROW()-35,5+8*(MATCH($B$2,CityData!$A$3:$A$7,0)-1))</f>
        <v>0</v>
      </c>
      <c r="C254" s="14" t="n">
        <f aca="false">IF(AND(A254&lt;&gt;"",A254&lt;Parameters!$B$14),INDEX(Candidate_Model!E:E,Decision!B12)*(1+TAXRATE),0)</f>
        <v>0</v>
      </c>
      <c r="D254" s="14" t="n">
        <f aca="false">HEADCOUNT</f>
        <v>24</v>
      </c>
      <c r="E254" s="14" t="n">
        <f aca="false">B254*D254</f>
        <v>0</v>
      </c>
      <c r="F254" s="14" t="n">
        <f aca="false">C254*D254</f>
        <v>0</v>
      </c>
      <c r="G254" s="1" t="s">
        <v>126</v>
      </c>
    </row>
    <row r="255" customFormat="false" ht="15" hidden="false" customHeight="true" outlineLevel="0" collapsed="false">
      <c r="A255" s="23" t="str">
        <f aca="false">MIE_Daily!A221</f>
        <v/>
      </c>
      <c r="B255" s="14" t="n">
        <f aca="false">INDEX(MIE_Daily!$B$2:$AO$367,ROW()-35,5+8*(MATCH($B$2,CityData!$A$3:$A$7,0)-1))</f>
        <v>0</v>
      </c>
      <c r="C255" s="14" t="n">
        <f aca="false">IF(AND(A255&lt;&gt;"",A255&lt;Parameters!$B$14),INDEX(Candidate_Model!E:E,Decision!B12)*(1+TAXRATE),0)</f>
        <v>0</v>
      </c>
      <c r="D255" s="14" t="n">
        <f aca="false">HEADCOUNT</f>
        <v>24</v>
      </c>
      <c r="E255" s="14" t="n">
        <f aca="false">B255*D255</f>
        <v>0</v>
      </c>
      <c r="F255" s="14" t="n">
        <f aca="false">C255*D255</f>
        <v>0</v>
      </c>
      <c r="G255" s="1" t="s">
        <v>126</v>
      </c>
    </row>
    <row r="256" customFormat="false" ht="15" hidden="false" customHeight="true" outlineLevel="0" collapsed="false">
      <c r="A256" s="23" t="str">
        <f aca="false">MIE_Daily!A222</f>
        <v/>
      </c>
      <c r="B256" s="14" t="n">
        <f aca="false">INDEX(MIE_Daily!$B$2:$AO$367,ROW()-35,5+8*(MATCH($B$2,CityData!$A$3:$A$7,0)-1))</f>
        <v>0</v>
      </c>
      <c r="C256" s="14" t="n">
        <f aca="false">IF(AND(A256&lt;&gt;"",A256&lt;Parameters!$B$14),INDEX(Candidate_Model!E:E,Decision!B12)*(1+TAXRATE),0)</f>
        <v>0</v>
      </c>
      <c r="D256" s="14" t="n">
        <f aca="false">HEADCOUNT</f>
        <v>24</v>
      </c>
      <c r="E256" s="14" t="n">
        <f aca="false">B256*D256</f>
        <v>0</v>
      </c>
      <c r="F256" s="14" t="n">
        <f aca="false">C256*D256</f>
        <v>0</v>
      </c>
      <c r="G256" s="1" t="s">
        <v>126</v>
      </c>
    </row>
    <row r="257" customFormat="false" ht="15" hidden="false" customHeight="true" outlineLevel="0" collapsed="false">
      <c r="A257" s="23" t="str">
        <f aca="false">MIE_Daily!A223</f>
        <v/>
      </c>
      <c r="B257" s="14" t="n">
        <f aca="false">INDEX(MIE_Daily!$B$2:$AO$367,ROW()-35,5+8*(MATCH($B$2,CityData!$A$3:$A$7,0)-1))</f>
        <v>0</v>
      </c>
      <c r="C257" s="14" t="n">
        <f aca="false">IF(AND(A257&lt;&gt;"",A257&lt;Parameters!$B$14),INDEX(Candidate_Model!E:E,Decision!B12)*(1+TAXRATE),0)</f>
        <v>0</v>
      </c>
      <c r="D257" s="14" t="n">
        <f aca="false">HEADCOUNT</f>
        <v>24</v>
      </c>
      <c r="E257" s="14" t="n">
        <f aca="false">B257*D257</f>
        <v>0</v>
      </c>
      <c r="F257" s="14" t="n">
        <f aca="false">C257*D257</f>
        <v>0</v>
      </c>
      <c r="G257" s="1" t="s">
        <v>126</v>
      </c>
    </row>
    <row r="258" customFormat="false" ht="15" hidden="false" customHeight="true" outlineLevel="0" collapsed="false">
      <c r="A258" s="23" t="str">
        <f aca="false">MIE_Daily!A224</f>
        <v/>
      </c>
      <c r="B258" s="14" t="n">
        <f aca="false">INDEX(MIE_Daily!$B$2:$AO$367,ROW()-35,5+8*(MATCH($B$2,CityData!$A$3:$A$7,0)-1))</f>
        <v>0</v>
      </c>
      <c r="C258" s="14" t="n">
        <f aca="false">IF(AND(A258&lt;&gt;"",A258&lt;Parameters!$B$14),INDEX(Candidate_Model!E:E,Decision!B12)*(1+TAXRATE),0)</f>
        <v>0</v>
      </c>
      <c r="D258" s="14" t="n">
        <f aca="false">HEADCOUNT</f>
        <v>24</v>
      </c>
      <c r="E258" s="14" t="n">
        <f aca="false">B258*D258</f>
        <v>0</v>
      </c>
      <c r="F258" s="14" t="n">
        <f aca="false">C258*D258</f>
        <v>0</v>
      </c>
      <c r="G258" s="1" t="s">
        <v>126</v>
      </c>
    </row>
    <row r="259" customFormat="false" ht="15" hidden="false" customHeight="true" outlineLevel="0" collapsed="false">
      <c r="A259" s="23" t="str">
        <f aca="false">MIE_Daily!A225</f>
        <v/>
      </c>
      <c r="B259" s="14" t="n">
        <f aca="false">INDEX(MIE_Daily!$B$2:$AO$367,ROW()-35,5+8*(MATCH($B$2,CityData!$A$3:$A$7,0)-1))</f>
        <v>0</v>
      </c>
      <c r="C259" s="14" t="n">
        <f aca="false">IF(AND(A259&lt;&gt;"",A259&lt;Parameters!$B$14),INDEX(Candidate_Model!E:E,Decision!B12)*(1+TAXRATE),0)</f>
        <v>0</v>
      </c>
      <c r="D259" s="14" t="n">
        <f aca="false">HEADCOUNT</f>
        <v>24</v>
      </c>
      <c r="E259" s="14" t="n">
        <f aca="false">B259*D259</f>
        <v>0</v>
      </c>
      <c r="F259" s="14" t="n">
        <f aca="false">C259*D259</f>
        <v>0</v>
      </c>
      <c r="G259" s="1" t="s">
        <v>126</v>
      </c>
    </row>
    <row r="260" customFormat="false" ht="15" hidden="false" customHeight="true" outlineLevel="0" collapsed="false">
      <c r="A260" s="23" t="str">
        <f aca="false">MIE_Daily!A226</f>
        <v/>
      </c>
      <c r="B260" s="14" t="n">
        <f aca="false">INDEX(MIE_Daily!$B$2:$AO$367,ROW()-35,5+8*(MATCH($B$2,CityData!$A$3:$A$7,0)-1))</f>
        <v>0</v>
      </c>
      <c r="C260" s="14" t="n">
        <f aca="false">IF(AND(A260&lt;&gt;"",A260&lt;Parameters!$B$14),INDEX(Candidate_Model!E:E,Decision!B12)*(1+TAXRATE),0)</f>
        <v>0</v>
      </c>
      <c r="D260" s="14" t="n">
        <f aca="false">HEADCOUNT</f>
        <v>24</v>
      </c>
      <c r="E260" s="14" t="n">
        <f aca="false">B260*D260</f>
        <v>0</v>
      </c>
      <c r="F260" s="14" t="n">
        <f aca="false">C260*D260</f>
        <v>0</v>
      </c>
      <c r="G260" s="1" t="s">
        <v>126</v>
      </c>
    </row>
    <row r="261" customFormat="false" ht="15" hidden="false" customHeight="true" outlineLevel="0" collapsed="false">
      <c r="A261" s="23" t="str">
        <f aca="false">MIE_Daily!A227</f>
        <v/>
      </c>
      <c r="B261" s="14" t="n">
        <f aca="false">INDEX(MIE_Daily!$B$2:$AO$367,ROW()-35,5+8*(MATCH($B$2,CityData!$A$3:$A$7,0)-1))</f>
        <v>0</v>
      </c>
      <c r="C261" s="14" t="n">
        <f aca="false">IF(AND(A261&lt;&gt;"",A261&lt;Parameters!$B$14),INDEX(Candidate_Model!E:E,Decision!B12)*(1+TAXRATE),0)</f>
        <v>0</v>
      </c>
      <c r="D261" s="14" t="n">
        <f aca="false">HEADCOUNT</f>
        <v>24</v>
      </c>
      <c r="E261" s="14" t="n">
        <f aca="false">B261*D261</f>
        <v>0</v>
      </c>
      <c r="F261" s="14" t="n">
        <f aca="false">C261*D261</f>
        <v>0</v>
      </c>
      <c r="G261" s="1" t="s">
        <v>126</v>
      </c>
    </row>
    <row r="262" customFormat="false" ht="15" hidden="false" customHeight="true" outlineLevel="0" collapsed="false">
      <c r="A262" s="23" t="str">
        <f aca="false">MIE_Daily!A228</f>
        <v/>
      </c>
      <c r="B262" s="14" t="n">
        <f aca="false">INDEX(MIE_Daily!$B$2:$AO$367,ROW()-35,5+8*(MATCH($B$2,CityData!$A$3:$A$7,0)-1))</f>
        <v>0</v>
      </c>
      <c r="C262" s="14" t="n">
        <f aca="false">IF(AND(A262&lt;&gt;"",A262&lt;Parameters!$B$14),INDEX(Candidate_Model!E:E,Decision!B12)*(1+TAXRATE),0)</f>
        <v>0</v>
      </c>
      <c r="D262" s="14" t="n">
        <f aca="false">HEADCOUNT</f>
        <v>24</v>
      </c>
      <c r="E262" s="14" t="n">
        <f aca="false">B262*D262</f>
        <v>0</v>
      </c>
      <c r="F262" s="14" t="n">
        <f aca="false">C262*D262</f>
        <v>0</v>
      </c>
      <c r="G262" s="1" t="s">
        <v>126</v>
      </c>
    </row>
    <row r="263" customFormat="false" ht="15" hidden="false" customHeight="true" outlineLevel="0" collapsed="false">
      <c r="A263" s="23" t="str">
        <f aca="false">MIE_Daily!A229</f>
        <v/>
      </c>
      <c r="B263" s="14" t="n">
        <f aca="false">INDEX(MIE_Daily!$B$2:$AO$367,ROW()-35,5+8*(MATCH($B$2,CityData!$A$3:$A$7,0)-1))</f>
        <v>0</v>
      </c>
      <c r="C263" s="14" t="n">
        <f aca="false">IF(AND(A263&lt;&gt;"",A263&lt;Parameters!$B$14),INDEX(Candidate_Model!E:E,Decision!B12)*(1+TAXRATE),0)</f>
        <v>0</v>
      </c>
      <c r="D263" s="14" t="n">
        <f aca="false">HEADCOUNT</f>
        <v>24</v>
      </c>
      <c r="E263" s="14" t="n">
        <f aca="false">B263*D263</f>
        <v>0</v>
      </c>
      <c r="F263" s="14" t="n">
        <f aca="false">C263*D263</f>
        <v>0</v>
      </c>
      <c r="G263" s="1" t="s">
        <v>126</v>
      </c>
    </row>
    <row r="264" customFormat="false" ht="15" hidden="false" customHeight="true" outlineLevel="0" collapsed="false">
      <c r="A264" s="23" t="str">
        <f aca="false">MIE_Daily!A230</f>
        <v/>
      </c>
      <c r="B264" s="14" t="n">
        <f aca="false">INDEX(MIE_Daily!$B$2:$AO$367,ROW()-35,5+8*(MATCH($B$2,CityData!$A$3:$A$7,0)-1))</f>
        <v>0</v>
      </c>
      <c r="C264" s="14" t="n">
        <f aca="false">IF(AND(A264&lt;&gt;"",A264&lt;Parameters!$B$14),INDEX(Candidate_Model!E:E,Decision!B12)*(1+TAXRATE),0)</f>
        <v>0</v>
      </c>
      <c r="D264" s="14" t="n">
        <f aca="false">HEADCOUNT</f>
        <v>24</v>
      </c>
      <c r="E264" s="14" t="n">
        <f aca="false">B264*D264</f>
        <v>0</v>
      </c>
      <c r="F264" s="14" t="n">
        <f aca="false">C264*D264</f>
        <v>0</v>
      </c>
      <c r="G264" s="1" t="s">
        <v>126</v>
      </c>
    </row>
    <row r="265" customFormat="false" ht="15" hidden="false" customHeight="true" outlineLevel="0" collapsed="false">
      <c r="A265" s="23" t="str">
        <f aca="false">MIE_Daily!A231</f>
        <v/>
      </c>
      <c r="B265" s="14" t="n">
        <f aca="false">INDEX(MIE_Daily!$B$2:$AO$367,ROW()-35,5+8*(MATCH($B$2,CityData!$A$3:$A$7,0)-1))</f>
        <v>0</v>
      </c>
      <c r="C265" s="14" t="n">
        <f aca="false">IF(AND(A265&lt;&gt;"",A265&lt;Parameters!$B$14),INDEX(Candidate_Model!E:E,Decision!B12)*(1+TAXRATE),0)</f>
        <v>0</v>
      </c>
      <c r="D265" s="14" t="n">
        <f aca="false">HEADCOUNT</f>
        <v>24</v>
      </c>
      <c r="E265" s="14" t="n">
        <f aca="false">B265*D265</f>
        <v>0</v>
      </c>
      <c r="F265" s="14" t="n">
        <f aca="false">C265*D265</f>
        <v>0</v>
      </c>
      <c r="G265" s="1" t="s">
        <v>126</v>
      </c>
    </row>
    <row r="266" customFormat="false" ht="15" hidden="false" customHeight="true" outlineLevel="0" collapsed="false">
      <c r="A266" s="23" t="str">
        <f aca="false">MIE_Daily!A232</f>
        <v/>
      </c>
      <c r="B266" s="14" t="n">
        <f aca="false">INDEX(MIE_Daily!$B$2:$AO$367,ROW()-35,5+8*(MATCH($B$2,CityData!$A$3:$A$7,0)-1))</f>
        <v>0</v>
      </c>
      <c r="C266" s="14" t="n">
        <f aca="false">IF(AND(A266&lt;&gt;"",A266&lt;Parameters!$B$14),INDEX(Candidate_Model!E:E,Decision!B12)*(1+TAXRATE),0)</f>
        <v>0</v>
      </c>
      <c r="D266" s="14" t="n">
        <f aca="false">HEADCOUNT</f>
        <v>24</v>
      </c>
      <c r="E266" s="14" t="n">
        <f aca="false">B266*D266</f>
        <v>0</v>
      </c>
      <c r="F266" s="14" t="n">
        <f aca="false">C266*D266</f>
        <v>0</v>
      </c>
      <c r="G266" s="1" t="s">
        <v>126</v>
      </c>
    </row>
    <row r="267" customFormat="false" ht="15" hidden="false" customHeight="true" outlineLevel="0" collapsed="false">
      <c r="A267" s="23" t="str">
        <f aca="false">MIE_Daily!A233</f>
        <v/>
      </c>
      <c r="B267" s="14" t="n">
        <f aca="false">INDEX(MIE_Daily!$B$2:$AO$367,ROW()-35,5+8*(MATCH($B$2,CityData!$A$3:$A$7,0)-1))</f>
        <v>0</v>
      </c>
      <c r="C267" s="14" t="n">
        <f aca="false">IF(AND(A267&lt;&gt;"",A267&lt;Parameters!$B$14),INDEX(Candidate_Model!E:E,Decision!B12)*(1+TAXRATE),0)</f>
        <v>0</v>
      </c>
      <c r="D267" s="14" t="n">
        <f aca="false">HEADCOUNT</f>
        <v>24</v>
      </c>
      <c r="E267" s="14" t="n">
        <f aca="false">B267*D267</f>
        <v>0</v>
      </c>
      <c r="F267" s="14" t="n">
        <f aca="false">C267*D267</f>
        <v>0</v>
      </c>
      <c r="G267" s="1" t="s">
        <v>126</v>
      </c>
    </row>
    <row r="268" customFormat="false" ht="15" hidden="false" customHeight="true" outlineLevel="0" collapsed="false">
      <c r="A268" s="23" t="str">
        <f aca="false">MIE_Daily!A234</f>
        <v/>
      </c>
      <c r="B268" s="14" t="n">
        <f aca="false">INDEX(MIE_Daily!$B$2:$AO$367,ROW()-35,5+8*(MATCH($B$2,CityData!$A$3:$A$7,0)-1))</f>
        <v>0</v>
      </c>
      <c r="C268" s="14" t="n">
        <f aca="false">IF(AND(A268&lt;&gt;"",A268&lt;Parameters!$B$14),INDEX(Candidate_Model!E:E,Decision!B12)*(1+TAXRATE),0)</f>
        <v>0</v>
      </c>
      <c r="D268" s="14" t="n">
        <f aca="false">HEADCOUNT</f>
        <v>24</v>
      </c>
      <c r="E268" s="14" t="n">
        <f aca="false">B268*D268</f>
        <v>0</v>
      </c>
      <c r="F268" s="14" t="n">
        <f aca="false">C268*D268</f>
        <v>0</v>
      </c>
      <c r="G268" s="1" t="s">
        <v>126</v>
      </c>
    </row>
    <row r="269" customFormat="false" ht="15" hidden="false" customHeight="true" outlineLevel="0" collapsed="false">
      <c r="A269" s="23" t="str">
        <f aca="false">MIE_Daily!A235</f>
        <v/>
      </c>
      <c r="B269" s="14" t="n">
        <f aca="false">INDEX(MIE_Daily!$B$2:$AO$367,ROW()-35,5+8*(MATCH($B$2,CityData!$A$3:$A$7,0)-1))</f>
        <v>0</v>
      </c>
      <c r="C269" s="14" t="n">
        <f aca="false">IF(AND(A269&lt;&gt;"",A269&lt;Parameters!$B$14),INDEX(Candidate_Model!E:E,Decision!B12)*(1+TAXRATE),0)</f>
        <v>0</v>
      </c>
      <c r="D269" s="14" t="n">
        <f aca="false">HEADCOUNT</f>
        <v>24</v>
      </c>
      <c r="E269" s="14" t="n">
        <f aca="false">B269*D269</f>
        <v>0</v>
      </c>
      <c r="F269" s="14" t="n">
        <f aca="false">C269*D269</f>
        <v>0</v>
      </c>
      <c r="G269" s="1" t="s">
        <v>126</v>
      </c>
    </row>
    <row r="270" customFormat="false" ht="15" hidden="false" customHeight="true" outlineLevel="0" collapsed="false">
      <c r="A270" s="23" t="str">
        <f aca="false">MIE_Daily!A236</f>
        <v/>
      </c>
      <c r="B270" s="14" t="n">
        <f aca="false">INDEX(MIE_Daily!$B$2:$AO$367,ROW()-35,5+8*(MATCH($B$2,CityData!$A$3:$A$7,0)-1))</f>
        <v>0</v>
      </c>
      <c r="C270" s="14" t="n">
        <f aca="false">IF(AND(A270&lt;&gt;"",A270&lt;Parameters!$B$14),INDEX(Candidate_Model!E:E,Decision!B12)*(1+TAXRATE),0)</f>
        <v>0</v>
      </c>
      <c r="D270" s="14" t="n">
        <f aca="false">HEADCOUNT</f>
        <v>24</v>
      </c>
      <c r="E270" s="14" t="n">
        <f aca="false">B270*D270</f>
        <v>0</v>
      </c>
      <c r="F270" s="14" t="n">
        <f aca="false">C270*D270</f>
        <v>0</v>
      </c>
      <c r="G270" s="1" t="s">
        <v>126</v>
      </c>
    </row>
    <row r="271" customFormat="false" ht="15" hidden="false" customHeight="true" outlineLevel="0" collapsed="false">
      <c r="A271" s="23" t="str">
        <f aca="false">MIE_Daily!A237</f>
        <v/>
      </c>
      <c r="B271" s="14" t="n">
        <f aca="false">INDEX(MIE_Daily!$B$2:$AO$367,ROW()-35,5+8*(MATCH($B$2,CityData!$A$3:$A$7,0)-1))</f>
        <v>0</v>
      </c>
      <c r="C271" s="14" t="n">
        <f aca="false">IF(AND(A271&lt;&gt;"",A271&lt;Parameters!$B$14),INDEX(Candidate_Model!E:E,Decision!B12)*(1+TAXRATE),0)</f>
        <v>0</v>
      </c>
      <c r="D271" s="14" t="n">
        <f aca="false">HEADCOUNT</f>
        <v>24</v>
      </c>
      <c r="E271" s="14" t="n">
        <f aca="false">B271*D271</f>
        <v>0</v>
      </c>
      <c r="F271" s="14" t="n">
        <f aca="false">C271*D271</f>
        <v>0</v>
      </c>
      <c r="G271" s="1" t="s">
        <v>126</v>
      </c>
    </row>
    <row r="272" customFormat="false" ht="15" hidden="false" customHeight="true" outlineLevel="0" collapsed="false">
      <c r="A272" s="23" t="str">
        <f aca="false">MIE_Daily!A238</f>
        <v/>
      </c>
      <c r="B272" s="14" t="n">
        <f aca="false">INDEX(MIE_Daily!$B$2:$AO$367,ROW()-35,5+8*(MATCH($B$2,CityData!$A$3:$A$7,0)-1))</f>
        <v>0</v>
      </c>
      <c r="C272" s="14" t="n">
        <f aca="false">IF(AND(A272&lt;&gt;"",A272&lt;Parameters!$B$14),INDEX(Candidate_Model!E:E,Decision!B12)*(1+TAXRATE),0)</f>
        <v>0</v>
      </c>
      <c r="D272" s="14" t="n">
        <f aca="false">HEADCOUNT</f>
        <v>24</v>
      </c>
      <c r="E272" s="14" t="n">
        <f aca="false">B272*D272</f>
        <v>0</v>
      </c>
      <c r="F272" s="14" t="n">
        <f aca="false">C272*D272</f>
        <v>0</v>
      </c>
      <c r="G272" s="1" t="s">
        <v>126</v>
      </c>
    </row>
    <row r="273" customFormat="false" ht="15" hidden="false" customHeight="true" outlineLevel="0" collapsed="false">
      <c r="A273" s="23" t="str">
        <f aca="false">MIE_Daily!A239</f>
        <v/>
      </c>
      <c r="B273" s="14" t="n">
        <f aca="false">INDEX(MIE_Daily!$B$2:$AO$367,ROW()-35,5+8*(MATCH($B$2,CityData!$A$3:$A$7,0)-1))</f>
        <v>0</v>
      </c>
      <c r="C273" s="14" t="n">
        <f aca="false">IF(AND(A273&lt;&gt;"",A273&lt;Parameters!$B$14),INDEX(Candidate_Model!E:E,Decision!B12)*(1+TAXRATE),0)</f>
        <v>0</v>
      </c>
      <c r="D273" s="14" t="n">
        <f aca="false">HEADCOUNT</f>
        <v>24</v>
      </c>
      <c r="E273" s="14" t="n">
        <f aca="false">B273*D273</f>
        <v>0</v>
      </c>
      <c r="F273" s="14" t="n">
        <f aca="false">C273*D273</f>
        <v>0</v>
      </c>
      <c r="G273" s="1" t="s">
        <v>126</v>
      </c>
    </row>
    <row r="274" customFormat="false" ht="15" hidden="false" customHeight="true" outlineLevel="0" collapsed="false">
      <c r="A274" s="23" t="str">
        <f aca="false">MIE_Daily!A240</f>
        <v/>
      </c>
      <c r="B274" s="14" t="n">
        <f aca="false">INDEX(MIE_Daily!$B$2:$AO$367,ROW()-35,5+8*(MATCH($B$2,CityData!$A$3:$A$7,0)-1))</f>
        <v>0</v>
      </c>
      <c r="C274" s="14" t="n">
        <f aca="false">IF(AND(A274&lt;&gt;"",A274&lt;Parameters!$B$14),INDEX(Candidate_Model!E:E,Decision!B12)*(1+TAXRATE),0)</f>
        <v>0</v>
      </c>
      <c r="D274" s="14" t="n">
        <f aca="false">HEADCOUNT</f>
        <v>24</v>
      </c>
      <c r="E274" s="14" t="n">
        <f aca="false">B274*D274</f>
        <v>0</v>
      </c>
      <c r="F274" s="14" t="n">
        <f aca="false">C274*D274</f>
        <v>0</v>
      </c>
      <c r="G274" s="1" t="s">
        <v>126</v>
      </c>
    </row>
    <row r="275" customFormat="false" ht="15" hidden="false" customHeight="true" outlineLevel="0" collapsed="false">
      <c r="A275" s="23" t="str">
        <f aca="false">MIE_Daily!A241</f>
        <v/>
      </c>
      <c r="B275" s="14" t="n">
        <f aca="false">INDEX(MIE_Daily!$B$2:$AO$367,ROW()-35,5+8*(MATCH($B$2,CityData!$A$3:$A$7,0)-1))</f>
        <v>0</v>
      </c>
      <c r="C275" s="14" t="n">
        <f aca="false">IF(AND(A275&lt;&gt;"",A275&lt;Parameters!$B$14),INDEX(Candidate_Model!E:E,Decision!B12)*(1+TAXRATE),0)</f>
        <v>0</v>
      </c>
      <c r="D275" s="14" t="n">
        <f aca="false">HEADCOUNT</f>
        <v>24</v>
      </c>
      <c r="E275" s="14" t="n">
        <f aca="false">B275*D275</f>
        <v>0</v>
      </c>
      <c r="F275" s="14" t="n">
        <f aca="false">C275*D275</f>
        <v>0</v>
      </c>
      <c r="G275" s="1" t="s">
        <v>126</v>
      </c>
    </row>
    <row r="276" customFormat="false" ht="15" hidden="false" customHeight="true" outlineLevel="0" collapsed="false">
      <c r="A276" s="23" t="str">
        <f aca="false">MIE_Daily!A242</f>
        <v/>
      </c>
      <c r="B276" s="14" t="n">
        <f aca="false">INDEX(MIE_Daily!$B$2:$AO$367,ROW()-35,5+8*(MATCH($B$2,CityData!$A$3:$A$7,0)-1))</f>
        <v>0</v>
      </c>
      <c r="C276" s="14" t="n">
        <f aca="false">IF(AND(A276&lt;&gt;"",A276&lt;Parameters!$B$14),INDEX(Candidate_Model!E:E,Decision!B12)*(1+TAXRATE),0)</f>
        <v>0</v>
      </c>
      <c r="D276" s="14" t="n">
        <f aca="false">HEADCOUNT</f>
        <v>24</v>
      </c>
      <c r="E276" s="14" t="n">
        <f aca="false">B276*D276</f>
        <v>0</v>
      </c>
      <c r="F276" s="14" t="n">
        <f aca="false">C276*D276</f>
        <v>0</v>
      </c>
      <c r="G276" s="1" t="s">
        <v>126</v>
      </c>
    </row>
    <row r="277" customFormat="false" ht="15" hidden="false" customHeight="true" outlineLevel="0" collapsed="false">
      <c r="A277" s="23" t="str">
        <f aca="false">MIE_Daily!A243</f>
        <v/>
      </c>
      <c r="B277" s="14" t="n">
        <f aca="false">INDEX(MIE_Daily!$B$2:$AO$367,ROW()-35,5+8*(MATCH($B$2,CityData!$A$3:$A$7,0)-1))</f>
        <v>0</v>
      </c>
      <c r="C277" s="14" t="n">
        <f aca="false">IF(AND(A277&lt;&gt;"",A277&lt;Parameters!$B$14),INDEX(Candidate_Model!E:E,Decision!B12)*(1+TAXRATE),0)</f>
        <v>0</v>
      </c>
      <c r="D277" s="14" t="n">
        <f aca="false">HEADCOUNT</f>
        <v>24</v>
      </c>
      <c r="E277" s="14" t="n">
        <f aca="false">B277*D277</f>
        <v>0</v>
      </c>
      <c r="F277" s="14" t="n">
        <f aca="false">C277*D277</f>
        <v>0</v>
      </c>
      <c r="G277" s="1" t="s">
        <v>126</v>
      </c>
    </row>
    <row r="278" customFormat="false" ht="15" hidden="false" customHeight="true" outlineLevel="0" collapsed="false">
      <c r="A278" s="23" t="str">
        <f aca="false">MIE_Daily!A244</f>
        <v/>
      </c>
      <c r="B278" s="14" t="n">
        <f aca="false">INDEX(MIE_Daily!$B$2:$AO$367,ROW()-35,5+8*(MATCH($B$2,CityData!$A$3:$A$7,0)-1))</f>
        <v>0</v>
      </c>
      <c r="C278" s="14" t="n">
        <f aca="false">IF(AND(A278&lt;&gt;"",A278&lt;Parameters!$B$14),INDEX(Candidate_Model!E:E,Decision!B12)*(1+TAXRATE),0)</f>
        <v>0</v>
      </c>
      <c r="D278" s="14" t="n">
        <f aca="false">HEADCOUNT</f>
        <v>24</v>
      </c>
      <c r="E278" s="14" t="n">
        <f aca="false">B278*D278</f>
        <v>0</v>
      </c>
      <c r="F278" s="14" t="n">
        <f aca="false">C278*D278</f>
        <v>0</v>
      </c>
      <c r="G278" s="1" t="s">
        <v>126</v>
      </c>
    </row>
    <row r="279" customFormat="false" ht="15" hidden="false" customHeight="true" outlineLevel="0" collapsed="false">
      <c r="A279" s="23" t="str">
        <f aca="false">MIE_Daily!A245</f>
        <v/>
      </c>
      <c r="B279" s="14" t="n">
        <f aca="false">INDEX(MIE_Daily!$B$2:$AO$367,ROW()-35,5+8*(MATCH($B$2,CityData!$A$3:$A$7,0)-1))</f>
        <v>0</v>
      </c>
      <c r="C279" s="14" t="n">
        <f aca="false">IF(AND(A279&lt;&gt;"",A279&lt;Parameters!$B$14),INDEX(Candidate_Model!E:E,Decision!B12)*(1+TAXRATE),0)</f>
        <v>0</v>
      </c>
      <c r="D279" s="14" t="n">
        <f aca="false">HEADCOUNT</f>
        <v>24</v>
      </c>
      <c r="E279" s="14" t="n">
        <f aca="false">B279*D279</f>
        <v>0</v>
      </c>
      <c r="F279" s="14" t="n">
        <f aca="false">C279*D279</f>
        <v>0</v>
      </c>
      <c r="G279" s="1" t="s">
        <v>126</v>
      </c>
    </row>
    <row r="280" customFormat="false" ht="15" hidden="false" customHeight="true" outlineLevel="0" collapsed="false">
      <c r="A280" s="23" t="str">
        <f aca="false">MIE_Daily!A246</f>
        <v/>
      </c>
      <c r="B280" s="14" t="n">
        <f aca="false">INDEX(MIE_Daily!$B$2:$AO$367,ROW()-35,5+8*(MATCH($B$2,CityData!$A$3:$A$7,0)-1))</f>
        <v>0</v>
      </c>
      <c r="C280" s="14" t="n">
        <f aca="false">IF(AND(A280&lt;&gt;"",A280&lt;Parameters!$B$14),INDEX(Candidate_Model!E:E,Decision!B12)*(1+TAXRATE),0)</f>
        <v>0</v>
      </c>
      <c r="D280" s="14" t="n">
        <f aca="false">HEADCOUNT</f>
        <v>24</v>
      </c>
      <c r="E280" s="14" t="n">
        <f aca="false">B280*D280</f>
        <v>0</v>
      </c>
      <c r="F280" s="14" t="n">
        <f aca="false">C280*D280</f>
        <v>0</v>
      </c>
      <c r="G280" s="1" t="s">
        <v>126</v>
      </c>
    </row>
    <row r="281" customFormat="false" ht="15" hidden="false" customHeight="true" outlineLevel="0" collapsed="false">
      <c r="A281" s="23" t="str">
        <f aca="false">MIE_Daily!A247</f>
        <v/>
      </c>
      <c r="B281" s="14" t="n">
        <f aca="false">INDEX(MIE_Daily!$B$2:$AO$367,ROW()-35,5+8*(MATCH($B$2,CityData!$A$3:$A$7,0)-1))</f>
        <v>0</v>
      </c>
      <c r="C281" s="14" t="n">
        <f aca="false">IF(AND(A281&lt;&gt;"",A281&lt;Parameters!$B$14),INDEX(Candidate_Model!E:E,Decision!B12)*(1+TAXRATE),0)</f>
        <v>0</v>
      </c>
      <c r="D281" s="14" t="n">
        <f aca="false">HEADCOUNT</f>
        <v>24</v>
      </c>
      <c r="E281" s="14" t="n">
        <f aca="false">B281*D281</f>
        <v>0</v>
      </c>
      <c r="F281" s="14" t="n">
        <f aca="false">C281*D281</f>
        <v>0</v>
      </c>
      <c r="G281" s="1" t="s">
        <v>126</v>
      </c>
    </row>
    <row r="282" customFormat="false" ht="15" hidden="false" customHeight="true" outlineLevel="0" collapsed="false">
      <c r="A282" s="23" t="str">
        <f aca="false">MIE_Daily!A248</f>
        <v/>
      </c>
      <c r="B282" s="14" t="n">
        <f aca="false">INDEX(MIE_Daily!$B$2:$AO$367,ROW()-35,5+8*(MATCH($B$2,CityData!$A$3:$A$7,0)-1))</f>
        <v>0</v>
      </c>
      <c r="C282" s="14" t="n">
        <f aca="false">IF(AND(A282&lt;&gt;"",A282&lt;Parameters!$B$14),INDEX(Candidate_Model!E:E,Decision!B12)*(1+TAXRATE),0)</f>
        <v>0</v>
      </c>
      <c r="D282" s="14" t="n">
        <f aca="false">HEADCOUNT</f>
        <v>24</v>
      </c>
      <c r="E282" s="14" t="n">
        <f aca="false">B282*D282</f>
        <v>0</v>
      </c>
      <c r="F282" s="14" t="n">
        <f aca="false">C282*D282</f>
        <v>0</v>
      </c>
      <c r="G282" s="1" t="s">
        <v>126</v>
      </c>
    </row>
    <row r="283" customFormat="false" ht="15" hidden="false" customHeight="true" outlineLevel="0" collapsed="false">
      <c r="A283" s="23" t="str">
        <f aca="false">MIE_Daily!A249</f>
        <v/>
      </c>
      <c r="B283" s="14" t="n">
        <f aca="false">INDEX(MIE_Daily!$B$2:$AO$367,ROW()-35,5+8*(MATCH($B$2,CityData!$A$3:$A$7,0)-1))</f>
        <v>0</v>
      </c>
      <c r="C283" s="14" t="n">
        <f aca="false">IF(AND(A283&lt;&gt;"",A283&lt;Parameters!$B$14),INDEX(Candidate_Model!E:E,Decision!B12)*(1+TAXRATE),0)</f>
        <v>0</v>
      </c>
      <c r="D283" s="14" t="n">
        <f aca="false">HEADCOUNT</f>
        <v>24</v>
      </c>
      <c r="E283" s="14" t="n">
        <f aca="false">B283*D283</f>
        <v>0</v>
      </c>
      <c r="F283" s="14" t="n">
        <f aca="false">C283*D283</f>
        <v>0</v>
      </c>
      <c r="G283" s="1" t="s">
        <v>126</v>
      </c>
    </row>
    <row r="284" customFormat="false" ht="15" hidden="false" customHeight="true" outlineLevel="0" collapsed="false">
      <c r="A284" s="23" t="str">
        <f aca="false">MIE_Daily!A250</f>
        <v/>
      </c>
      <c r="B284" s="14" t="n">
        <f aca="false">INDEX(MIE_Daily!$B$2:$AO$367,ROW()-35,5+8*(MATCH($B$2,CityData!$A$3:$A$7,0)-1))</f>
        <v>0</v>
      </c>
      <c r="C284" s="14" t="n">
        <f aca="false">IF(AND(A284&lt;&gt;"",A284&lt;Parameters!$B$14),INDEX(Candidate_Model!E:E,Decision!B12)*(1+TAXRATE),0)</f>
        <v>0</v>
      </c>
      <c r="D284" s="14" t="n">
        <f aca="false">HEADCOUNT</f>
        <v>24</v>
      </c>
      <c r="E284" s="14" t="n">
        <f aca="false">B284*D284</f>
        <v>0</v>
      </c>
      <c r="F284" s="14" t="n">
        <f aca="false">C284*D284</f>
        <v>0</v>
      </c>
      <c r="G284" s="1" t="s">
        <v>126</v>
      </c>
    </row>
    <row r="285" customFormat="false" ht="15" hidden="false" customHeight="true" outlineLevel="0" collapsed="false">
      <c r="A285" s="23" t="str">
        <f aca="false">MIE_Daily!A251</f>
        <v/>
      </c>
      <c r="B285" s="14" t="n">
        <f aca="false">INDEX(MIE_Daily!$B$2:$AO$367,ROW()-35,5+8*(MATCH($B$2,CityData!$A$3:$A$7,0)-1))</f>
        <v>0</v>
      </c>
      <c r="C285" s="14" t="n">
        <f aca="false">IF(AND(A285&lt;&gt;"",A285&lt;Parameters!$B$14),INDEX(Candidate_Model!E:E,Decision!B12)*(1+TAXRATE),0)</f>
        <v>0</v>
      </c>
      <c r="D285" s="14" t="n">
        <f aca="false">HEADCOUNT</f>
        <v>24</v>
      </c>
      <c r="E285" s="14" t="n">
        <f aca="false">B285*D285</f>
        <v>0</v>
      </c>
      <c r="F285" s="14" t="n">
        <f aca="false">C285*D285</f>
        <v>0</v>
      </c>
      <c r="G285" s="1" t="s">
        <v>126</v>
      </c>
    </row>
    <row r="286" customFormat="false" ht="15" hidden="false" customHeight="true" outlineLevel="0" collapsed="false">
      <c r="A286" s="23" t="str">
        <f aca="false">MIE_Daily!A252</f>
        <v/>
      </c>
      <c r="B286" s="14" t="n">
        <f aca="false">INDEX(MIE_Daily!$B$2:$AO$367,ROW()-35,5+8*(MATCH($B$2,CityData!$A$3:$A$7,0)-1))</f>
        <v>0</v>
      </c>
      <c r="C286" s="14" t="n">
        <f aca="false">IF(AND(A286&lt;&gt;"",A286&lt;Parameters!$B$14),INDEX(Candidate_Model!E:E,Decision!B12)*(1+TAXRATE),0)</f>
        <v>0</v>
      </c>
      <c r="D286" s="14" t="n">
        <f aca="false">HEADCOUNT</f>
        <v>24</v>
      </c>
      <c r="E286" s="14" t="n">
        <f aca="false">B286*D286</f>
        <v>0</v>
      </c>
      <c r="F286" s="14" t="n">
        <f aca="false">C286*D286</f>
        <v>0</v>
      </c>
      <c r="G286" s="1" t="s">
        <v>126</v>
      </c>
    </row>
    <row r="287" customFormat="false" ht="15" hidden="false" customHeight="true" outlineLevel="0" collapsed="false">
      <c r="A287" s="23" t="str">
        <f aca="false">MIE_Daily!A253</f>
        <v/>
      </c>
      <c r="B287" s="14" t="n">
        <f aca="false">INDEX(MIE_Daily!$B$2:$AO$367,ROW()-35,5+8*(MATCH($B$2,CityData!$A$3:$A$7,0)-1))</f>
        <v>0</v>
      </c>
      <c r="C287" s="14" t="n">
        <f aca="false">IF(AND(A287&lt;&gt;"",A287&lt;Parameters!$B$14),INDEX(Candidate_Model!E:E,Decision!B12)*(1+TAXRATE),0)</f>
        <v>0</v>
      </c>
      <c r="D287" s="14" t="n">
        <f aca="false">HEADCOUNT</f>
        <v>24</v>
      </c>
      <c r="E287" s="14" t="n">
        <f aca="false">B287*D287</f>
        <v>0</v>
      </c>
      <c r="F287" s="14" t="n">
        <f aca="false">C287*D287</f>
        <v>0</v>
      </c>
      <c r="G287" s="1" t="s">
        <v>126</v>
      </c>
    </row>
    <row r="288" customFormat="false" ht="15" hidden="false" customHeight="true" outlineLevel="0" collapsed="false">
      <c r="A288" s="23" t="str">
        <f aca="false">MIE_Daily!A254</f>
        <v/>
      </c>
      <c r="B288" s="14" t="n">
        <f aca="false">INDEX(MIE_Daily!$B$2:$AO$367,ROW()-35,5+8*(MATCH($B$2,CityData!$A$3:$A$7,0)-1))</f>
        <v>0</v>
      </c>
      <c r="C288" s="14" t="n">
        <f aca="false">IF(AND(A288&lt;&gt;"",A288&lt;Parameters!$B$14),INDEX(Candidate_Model!E:E,Decision!B12)*(1+TAXRATE),0)</f>
        <v>0</v>
      </c>
      <c r="D288" s="14" t="n">
        <f aca="false">HEADCOUNT</f>
        <v>24</v>
      </c>
      <c r="E288" s="14" t="n">
        <f aca="false">B288*D288</f>
        <v>0</v>
      </c>
      <c r="F288" s="14" t="n">
        <f aca="false">C288*D288</f>
        <v>0</v>
      </c>
      <c r="G288" s="1" t="s">
        <v>126</v>
      </c>
    </row>
    <row r="289" customFormat="false" ht="15" hidden="false" customHeight="true" outlineLevel="0" collapsed="false">
      <c r="A289" s="23" t="str">
        <f aca="false">MIE_Daily!A255</f>
        <v/>
      </c>
      <c r="B289" s="14" t="n">
        <f aca="false">INDEX(MIE_Daily!$B$2:$AO$367,ROW()-35,5+8*(MATCH($B$2,CityData!$A$3:$A$7,0)-1))</f>
        <v>0</v>
      </c>
      <c r="C289" s="14" t="n">
        <f aca="false">IF(AND(A289&lt;&gt;"",A289&lt;Parameters!$B$14),INDEX(Candidate_Model!E:E,Decision!B12)*(1+TAXRATE),0)</f>
        <v>0</v>
      </c>
      <c r="D289" s="14" t="n">
        <f aca="false">HEADCOUNT</f>
        <v>24</v>
      </c>
      <c r="E289" s="14" t="n">
        <f aca="false">B289*D289</f>
        <v>0</v>
      </c>
      <c r="F289" s="14" t="n">
        <f aca="false">C289*D289</f>
        <v>0</v>
      </c>
      <c r="G289" s="1" t="s">
        <v>126</v>
      </c>
    </row>
    <row r="290" customFormat="false" ht="15" hidden="false" customHeight="true" outlineLevel="0" collapsed="false">
      <c r="A290" s="23" t="str">
        <f aca="false">MIE_Daily!A256</f>
        <v/>
      </c>
      <c r="B290" s="14" t="n">
        <f aca="false">INDEX(MIE_Daily!$B$2:$AO$367,ROW()-35,5+8*(MATCH($B$2,CityData!$A$3:$A$7,0)-1))</f>
        <v>0</v>
      </c>
      <c r="C290" s="14" t="n">
        <f aca="false">IF(AND(A290&lt;&gt;"",A290&lt;Parameters!$B$14),INDEX(Candidate_Model!E:E,Decision!B12)*(1+TAXRATE),0)</f>
        <v>0</v>
      </c>
      <c r="D290" s="14" t="n">
        <f aca="false">HEADCOUNT</f>
        <v>24</v>
      </c>
      <c r="E290" s="14" t="n">
        <f aca="false">B290*D290</f>
        <v>0</v>
      </c>
      <c r="F290" s="14" t="n">
        <f aca="false">C290*D290</f>
        <v>0</v>
      </c>
      <c r="G290" s="1" t="s">
        <v>126</v>
      </c>
    </row>
    <row r="291" customFormat="false" ht="15" hidden="false" customHeight="true" outlineLevel="0" collapsed="false">
      <c r="A291" s="23" t="str">
        <f aca="false">MIE_Daily!A257</f>
        <v/>
      </c>
      <c r="B291" s="14" t="n">
        <f aca="false">INDEX(MIE_Daily!$B$2:$AO$367,ROW()-35,5+8*(MATCH($B$2,CityData!$A$3:$A$7,0)-1))</f>
        <v>0</v>
      </c>
      <c r="C291" s="14" t="n">
        <f aca="false">IF(AND(A291&lt;&gt;"",A291&lt;Parameters!$B$14),INDEX(Candidate_Model!E:E,Decision!B12)*(1+TAXRATE),0)</f>
        <v>0</v>
      </c>
      <c r="D291" s="14" t="n">
        <f aca="false">HEADCOUNT</f>
        <v>24</v>
      </c>
      <c r="E291" s="14" t="n">
        <f aca="false">B291*D291</f>
        <v>0</v>
      </c>
      <c r="F291" s="14" t="n">
        <f aca="false">C291*D291</f>
        <v>0</v>
      </c>
      <c r="G291" s="1" t="s">
        <v>126</v>
      </c>
    </row>
    <row r="292" customFormat="false" ht="15" hidden="false" customHeight="true" outlineLevel="0" collapsed="false">
      <c r="A292" s="23" t="str">
        <f aca="false">MIE_Daily!A258</f>
        <v/>
      </c>
      <c r="B292" s="14" t="n">
        <f aca="false">INDEX(MIE_Daily!$B$2:$AO$367,ROW()-35,5+8*(MATCH($B$2,CityData!$A$3:$A$7,0)-1))</f>
        <v>0</v>
      </c>
      <c r="C292" s="14" t="n">
        <f aca="false">IF(AND(A292&lt;&gt;"",A292&lt;Parameters!$B$14),INDEX(Candidate_Model!E:E,Decision!B12)*(1+TAXRATE),0)</f>
        <v>0</v>
      </c>
      <c r="D292" s="14" t="n">
        <f aca="false">HEADCOUNT</f>
        <v>24</v>
      </c>
      <c r="E292" s="14" t="n">
        <f aca="false">B292*D292</f>
        <v>0</v>
      </c>
      <c r="F292" s="14" t="n">
        <f aca="false">C292*D292</f>
        <v>0</v>
      </c>
      <c r="G292" s="1" t="s">
        <v>126</v>
      </c>
    </row>
    <row r="293" customFormat="false" ht="15" hidden="false" customHeight="true" outlineLevel="0" collapsed="false">
      <c r="A293" s="23" t="str">
        <f aca="false">MIE_Daily!A259</f>
        <v/>
      </c>
      <c r="B293" s="14" t="n">
        <f aca="false">INDEX(MIE_Daily!$B$2:$AO$367,ROW()-35,5+8*(MATCH($B$2,CityData!$A$3:$A$7,0)-1))</f>
        <v>0</v>
      </c>
      <c r="C293" s="14" t="n">
        <f aca="false">IF(AND(A293&lt;&gt;"",A293&lt;Parameters!$B$14),INDEX(Candidate_Model!E:E,Decision!B12)*(1+TAXRATE),0)</f>
        <v>0</v>
      </c>
      <c r="D293" s="14" t="n">
        <f aca="false">HEADCOUNT</f>
        <v>24</v>
      </c>
      <c r="E293" s="14" t="n">
        <f aca="false">B293*D293</f>
        <v>0</v>
      </c>
      <c r="F293" s="14" t="n">
        <f aca="false">C293*D293</f>
        <v>0</v>
      </c>
      <c r="G293" s="1" t="s">
        <v>126</v>
      </c>
    </row>
    <row r="294" customFormat="false" ht="15" hidden="false" customHeight="true" outlineLevel="0" collapsed="false">
      <c r="A294" s="23" t="str">
        <f aca="false">MIE_Daily!A260</f>
        <v/>
      </c>
      <c r="B294" s="14" t="n">
        <f aca="false">INDEX(MIE_Daily!$B$2:$AO$367,ROW()-35,5+8*(MATCH($B$2,CityData!$A$3:$A$7,0)-1))</f>
        <v>0</v>
      </c>
      <c r="C294" s="14" t="n">
        <f aca="false">IF(AND(A294&lt;&gt;"",A294&lt;Parameters!$B$14),INDEX(Candidate_Model!E:E,Decision!B12)*(1+TAXRATE),0)</f>
        <v>0</v>
      </c>
      <c r="D294" s="14" t="n">
        <f aca="false">HEADCOUNT</f>
        <v>24</v>
      </c>
      <c r="E294" s="14" t="n">
        <f aca="false">B294*D294</f>
        <v>0</v>
      </c>
      <c r="F294" s="14" t="n">
        <f aca="false">C294*D294</f>
        <v>0</v>
      </c>
      <c r="G294" s="1" t="s">
        <v>126</v>
      </c>
    </row>
    <row r="295" customFormat="false" ht="15" hidden="false" customHeight="true" outlineLevel="0" collapsed="false">
      <c r="A295" s="23" t="str">
        <f aca="false">MIE_Daily!A261</f>
        <v/>
      </c>
      <c r="B295" s="14" t="n">
        <f aca="false">INDEX(MIE_Daily!$B$2:$AO$367,ROW()-35,5+8*(MATCH($B$2,CityData!$A$3:$A$7,0)-1))</f>
        <v>0</v>
      </c>
      <c r="C295" s="14" t="n">
        <f aca="false">IF(AND(A295&lt;&gt;"",A295&lt;Parameters!$B$14),INDEX(Candidate_Model!E:E,Decision!B12)*(1+TAXRATE),0)</f>
        <v>0</v>
      </c>
      <c r="D295" s="14" t="n">
        <f aca="false">HEADCOUNT</f>
        <v>24</v>
      </c>
      <c r="E295" s="14" t="n">
        <f aca="false">B295*D295</f>
        <v>0</v>
      </c>
      <c r="F295" s="14" t="n">
        <f aca="false">C295*D295</f>
        <v>0</v>
      </c>
      <c r="G295" s="1" t="s">
        <v>126</v>
      </c>
    </row>
    <row r="296" customFormat="false" ht="15" hidden="false" customHeight="true" outlineLevel="0" collapsed="false">
      <c r="A296" s="23" t="str">
        <f aca="false">MIE_Daily!A262</f>
        <v/>
      </c>
      <c r="B296" s="14" t="n">
        <f aca="false">INDEX(MIE_Daily!$B$2:$AO$367,ROW()-35,5+8*(MATCH($B$2,CityData!$A$3:$A$7,0)-1))</f>
        <v>0</v>
      </c>
      <c r="C296" s="14" t="n">
        <f aca="false">IF(AND(A296&lt;&gt;"",A296&lt;Parameters!$B$14),INDEX(Candidate_Model!E:E,Decision!B12)*(1+TAXRATE),0)</f>
        <v>0</v>
      </c>
      <c r="D296" s="14" t="n">
        <f aca="false">HEADCOUNT</f>
        <v>24</v>
      </c>
      <c r="E296" s="14" t="n">
        <f aca="false">B296*D296</f>
        <v>0</v>
      </c>
      <c r="F296" s="14" t="n">
        <f aca="false">C296*D296</f>
        <v>0</v>
      </c>
      <c r="G296" s="1" t="s">
        <v>126</v>
      </c>
    </row>
    <row r="297" customFormat="false" ht="15" hidden="false" customHeight="true" outlineLevel="0" collapsed="false">
      <c r="A297" s="23" t="str">
        <f aca="false">MIE_Daily!A263</f>
        <v/>
      </c>
      <c r="B297" s="14" t="n">
        <f aca="false">INDEX(MIE_Daily!$B$2:$AO$367,ROW()-35,5+8*(MATCH($B$2,CityData!$A$3:$A$7,0)-1))</f>
        <v>0</v>
      </c>
      <c r="C297" s="14" t="n">
        <f aca="false">IF(AND(A297&lt;&gt;"",A297&lt;Parameters!$B$14),INDEX(Candidate_Model!E:E,Decision!B12)*(1+TAXRATE),0)</f>
        <v>0</v>
      </c>
      <c r="D297" s="14" t="n">
        <f aca="false">HEADCOUNT</f>
        <v>24</v>
      </c>
      <c r="E297" s="14" t="n">
        <f aca="false">B297*D297</f>
        <v>0</v>
      </c>
      <c r="F297" s="14" t="n">
        <f aca="false">C297*D297</f>
        <v>0</v>
      </c>
      <c r="G297" s="1" t="s">
        <v>126</v>
      </c>
    </row>
    <row r="298" customFormat="false" ht="15" hidden="false" customHeight="true" outlineLevel="0" collapsed="false">
      <c r="A298" s="23" t="str">
        <f aca="false">MIE_Daily!A264</f>
        <v/>
      </c>
      <c r="B298" s="14" t="n">
        <f aca="false">INDEX(MIE_Daily!$B$2:$AO$367,ROW()-35,5+8*(MATCH($B$2,CityData!$A$3:$A$7,0)-1))</f>
        <v>0</v>
      </c>
      <c r="C298" s="14" t="n">
        <f aca="false">IF(AND(A298&lt;&gt;"",A298&lt;Parameters!$B$14),INDEX(Candidate_Model!E:E,Decision!B12)*(1+TAXRATE),0)</f>
        <v>0</v>
      </c>
      <c r="D298" s="14" t="n">
        <f aca="false">HEADCOUNT</f>
        <v>24</v>
      </c>
      <c r="E298" s="14" t="n">
        <f aca="false">B298*D298</f>
        <v>0</v>
      </c>
      <c r="F298" s="14" t="n">
        <f aca="false">C298*D298</f>
        <v>0</v>
      </c>
      <c r="G298" s="1" t="s">
        <v>126</v>
      </c>
    </row>
    <row r="299" customFormat="false" ht="15" hidden="false" customHeight="true" outlineLevel="0" collapsed="false">
      <c r="A299" s="23" t="str">
        <f aca="false">MIE_Daily!A265</f>
        <v/>
      </c>
      <c r="B299" s="14" t="n">
        <f aca="false">INDEX(MIE_Daily!$B$2:$AO$367,ROW()-35,5+8*(MATCH($B$2,CityData!$A$3:$A$7,0)-1))</f>
        <v>0</v>
      </c>
      <c r="C299" s="14" t="n">
        <f aca="false">IF(AND(A299&lt;&gt;"",A299&lt;Parameters!$B$14),INDEX(Candidate_Model!E:E,Decision!B12)*(1+TAXRATE),0)</f>
        <v>0</v>
      </c>
      <c r="D299" s="14" t="n">
        <f aca="false">HEADCOUNT</f>
        <v>24</v>
      </c>
      <c r="E299" s="14" t="n">
        <f aca="false">B299*D299</f>
        <v>0</v>
      </c>
      <c r="F299" s="14" t="n">
        <f aca="false">C299*D299</f>
        <v>0</v>
      </c>
      <c r="G299" s="1" t="s">
        <v>126</v>
      </c>
    </row>
    <row r="300" customFormat="false" ht="15" hidden="false" customHeight="true" outlineLevel="0" collapsed="false">
      <c r="A300" s="23" t="str">
        <f aca="false">MIE_Daily!A266</f>
        <v/>
      </c>
      <c r="B300" s="14" t="n">
        <f aca="false">INDEX(MIE_Daily!$B$2:$AO$367,ROW()-35,5+8*(MATCH($B$2,CityData!$A$3:$A$7,0)-1))</f>
        <v>0</v>
      </c>
      <c r="C300" s="14" t="n">
        <f aca="false">IF(AND(A300&lt;&gt;"",A300&lt;Parameters!$B$14),INDEX(Candidate_Model!E:E,Decision!B12)*(1+TAXRATE),0)</f>
        <v>0</v>
      </c>
      <c r="D300" s="14" t="n">
        <f aca="false">HEADCOUNT</f>
        <v>24</v>
      </c>
      <c r="E300" s="14" t="n">
        <f aca="false">B300*D300</f>
        <v>0</v>
      </c>
      <c r="F300" s="14" t="n">
        <f aca="false">C300*D300</f>
        <v>0</v>
      </c>
      <c r="G300" s="1" t="s">
        <v>126</v>
      </c>
    </row>
    <row r="301" customFormat="false" ht="15" hidden="false" customHeight="true" outlineLevel="0" collapsed="false">
      <c r="A301" s="23" t="str">
        <f aca="false">MIE_Daily!A267</f>
        <v/>
      </c>
      <c r="B301" s="14" t="n">
        <f aca="false">INDEX(MIE_Daily!$B$2:$AO$367,ROW()-35,5+8*(MATCH($B$2,CityData!$A$3:$A$7,0)-1))</f>
        <v>0</v>
      </c>
      <c r="C301" s="14" t="n">
        <f aca="false">IF(AND(A301&lt;&gt;"",A301&lt;Parameters!$B$14),INDEX(Candidate_Model!E:E,Decision!B12)*(1+TAXRATE),0)</f>
        <v>0</v>
      </c>
      <c r="D301" s="14" t="n">
        <f aca="false">HEADCOUNT</f>
        <v>24</v>
      </c>
      <c r="E301" s="14" t="n">
        <f aca="false">B301*D301</f>
        <v>0</v>
      </c>
      <c r="F301" s="14" t="n">
        <f aca="false">C301*D301</f>
        <v>0</v>
      </c>
      <c r="G301" s="1" t="s">
        <v>126</v>
      </c>
    </row>
    <row r="302" customFormat="false" ht="15" hidden="false" customHeight="true" outlineLevel="0" collapsed="false">
      <c r="A302" s="23" t="str">
        <f aca="false">MIE_Daily!A268</f>
        <v/>
      </c>
      <c r="B302" s="14" t="n">
        <f aca="false">INDEX(MIE_Daily!$B$2:$AO$367,ROW()-35,5+8*(MATCH($B$2,CityData!$A$3:$A$7,0)-1))</f>
        <v>0</v>
      </c>
      <c r="C302" s="14" t="n">
        <f aca="false">IF(AND(A302&lt;&gt;"",A302&lt;Parameters!$B$14),INDEX(Candidate_Model!E:E,Decision!B12)*(1+TAXRATE),0)</f>
        <v>0</v>
      </c>
      <c r="D302" s="14" t="n">
        <f aca="false">HEADCOUNT</f>
        <v>24</v>
      </c>
      <c r="E302" s="14" t="n">
        <f aca="false">B302*D302</f>
        <v>0</v>
      </c>
      <c r="F302" s="14" t="n">
        <f aca="false">C302*D302</f>
        <v>0</v>
      </c>
      <c r="G302" s="1" t="s">
        <v>126</v>
      </c>
    </row>
    <row r="303" customFormat="false" ht="15" hidden="false" customHeight="true" outlineLevel="0" collapsed="false">
      <c r="A303" s="23" t="str">
        <f aca="false">MIE_Daily!A269</f>
        <v/>
      </c>
      <c r="B303" s="14" t="n">
        <f aca="false">INDEX(MIE_Daily!$B$2:$AO$367,ROW()-35,5+8*(MATCH($B$2,CityData!$A$3:$A$7,0)-1))</f>
        <v>0</v>
      </c>
      <c r="C303" s="14" t="n">
        <f aca="false">IF(AND(A303&lt;&gt;"",A303&lt;Parameters!$B$14),INDEX(Candidate_Model!E:E,Decision!B12)*(1+TAXRATE),0)</f>
        <v>0</v>
      </c>
      <c r="D303" s="14" t="n">
        <f aca="false">HEADCOUNT</f>
        <v>24</v>
      </c>
      <c r="E303" s="14" t="n">
        <f aca="false">B303*D303</f>
        <v>0</v>
      </c>
      <c r="F303" s="14" t="n">
        <f aca="false">C303*D303</f>
        <v>0</v>
      </c>
      <c r="G303" s="1" t="s">
        <v>126</v>
      </c>
    </row>
    <row r="304" customFormat="false" ht="15" hidden="false" customHeight="true" outlineLevel="0" collapsed="false">
      <c r="A304" s="23" t="str">
        <f aca="false">MIE_Daily!A270</f>
        <v/>
      </c>
      <c r="B304" s="14" t="n">
        <f aca="false">INDEX(MIE_Daily!$B$2:$AO$367,ROW()-35,5+8*(MATCH($B$2,CityData!$A$3:$A$7,0)-1))</f>
        <v>0</v>
      </c>
      <c r="C304" s="14" t="n">
        <f aca="false">IF(AND(A304&lt;&gt;"",A304&lt;Parameters!$B$14),INDEX(Candidate_Model!E:E,Decision!B12)*(1+TAXRATE),0)</f>
        <v>0</v>
      </c>
      <c r="D304" s="14" t="n">
        <f aca="false">HEADCOUNT</f>
        <v>24</v>
      </c>
      <c r="E304" s="14" t="n">
        <f aca="false">B304*D304</f>
        <v>0</v>
      </c>
      <c r="F304" s="14" t="n">
        <f aca="false">C304*D304</f>
        <v>0</v>
      </c>
      <c r="G304" s="1" t="s">
        <v>126</v>
      </c>
    </row>
    <row r="305" customFormat="false" ht="15" hidden="false" customHeight="true" outlineLevel="0" collapsed="false">
      <c r="A305" s="23" t="str">
        <f aca="false">MIE_Daily!A271</f>
        <v/>
      </c>
      <c r="B305" s="14" t="n">
        <f aca="false">INDEX(MIE_Daily!$B$2:$AO$367,ROW()-35,5+8*(MATCH($B$2,CityData!$A$3:$A$7,0)-1))</f>
        <v>0</v>
      </c>
      <c r="C305" s="14" t="n">
        <f aca="false">IF(AND(A305&lt;&gt;"",A305&lt;Parameters!$B$14),INDEX(Candidate_Model!E:E,Decision!B12)*(1+TAXRATE),0)</f>
        <v>0</v>
      </c>
      <c r="D305" s="14" t="n">
        <f aca="false">HEADCOUNT</f>
        <v>24</v>
      </c>
      <c r="E305" s="14" t="n">
        <f aca="false">B305*D305</f>
        <v>0</v>
      </c>
      <c r="F305" s="14" t="n">
        <f aca="false">C305*D305</f>
        <v>0</v>
      </c>
      <c r="G305" s="1" t="s">
        <v>126</v>
      </c>
    </row>
    <row r="306" customFormat="false" ht="15" hidden="false" customHeight="true" outlineLevel="0" collapsed="false">
      <c r="A306" s="23" t="str">
        <f aca="false">MIE_Daily!A272</f>
        <v/>
      </c>
      <c r="B306" s="14" t="n">
        <f aca="false">INDEX(MIE_Daily!$B$2:$AO$367,ROW()-35,5+8*(MATCH($B$2,CityData!$A$3:$A$7,0)-1))</f>
        <v>0</v>
      </c>
      <c r="C306" s="14" t="n">
        <f aca="false">IF(AND(A306&lt;&gt;"",A306&lt;Parameters!$B$14),INDEX(Candidate_Model!E:E,Decision!B12)*(1+TAXRATE),0)</f>
        <v>0</v>
      </c>
      <c r="D306" s="14" t="n">
        <f aca="false">HEADCOUNT</f>
        <v>24</v>
      </c>
      <c r="E306" s="14" t="n">
        <f aca="false">B306*D306</f>
        <v>0</v>
      </c>
      <c r="F306" s="14" t="n">
        <f aca="false">C306*D306</f>
        <v>0</v>
      </c>
      <c r="G306" s="1" t="s">
        <v>126</v>
      </c>
    </row>
    <row r="307" customFormat="false" ht="15" hidden="false" customHeight="true" outlineLevel="0" collapsed="false">
      <c r="A307" s="23" t="str">
        <f aca="false">MIE_Daily!A273</f>
        <v/>
      </c>
      <c r="B307" s="14" t="n">
        <f aca="false">INDEX(MIE_Daily!$B$2:$AO$367,ROW()-35,5+8*(MATCH($B$2,CityData!$A$3:$A$7,0)-1))</f>
        <v>0</v>
      </c>
      <c r="C307" s="14" t="n">
        <f aca="false">IF(AND(A307&lt;&gt;"",A307&lt;Parameters!$B$14),INDEX(Candidate_Model!E:E,Decision!B12)*(1+TAXRATE),0)</f>
        <v>0</v>
      </c>
      <c r="D307" s="14" t="n">
        <f aca="false">HEADCOUNT</f>
        <v>24</v>
      </c>
      <c r="E307" s="14" t="n">
        <f aca="false">B307*D307</f>
        <v>0</v>
      </c>
      <c r="F307" s="14" t="n">
        <f aca="false">C307*D307</f>
        <v>0</v>
      </c>
      <c r="G307" s="1" t="s">
        <v>126</v>
      </c>
    </row>
    <row r="308" customFormat="false" ht="15" hidden="false" customHeight="true" outlineLevel="0" collapsed="false">
      <c r="A308" s="23" t="str">
        <f aca="false">MIE_Daily!A274</f>
        <v/>
      </c>
      <c r="B308" s="14" t="n">
        <f aca="false">INDEX(MIE_Daily!$B$2:$AO$367,ROW()-35,5+8*(MATCH($B$2,CityData!$A$3:$A$7,0)-1))</f>
        <v>0</v>
      </c>
      <c r="C308" s="14" t="n">
        <f aca="false">IF(AND(A308&lt;&gt;"",A308&lt;Parameters!$B$14),INDEX(Candidate_Model!E:E,Decision!B12)*(1+TAXRATE),0)</f>
        <v>0</v>
      </c>
      <c r="D308" s="14" t="n">
        <f aca="false">HEADCOUNT</f>
        <v>24</v>
      </c>
      <c r="E308" s="14" t="n">
        <f aca="false">B308*D308</f>
        <v>0</v>
      </c>
      <c r="F308" s="14" t="n">
        <f aca="false">C308*D308</f>
        <v>0</v>
      </c>
      <c r="G308" s="1" t="s">
        <v>126</v>
      </c>
    </row>
    <row r="309" customFormat="false" ht="15" hidden="false" customHeight="true" outlineLevel="0" collapsed="false">
      <c r="A309" s="23" t="str">
        <f aca="false">MIE_Daily!A275</f>
        <v/>
      </c>
      <c r="B309" s="14" t="n">
        <f aca="false">INDEX(MIE_Daily!$B$2:$AO$367,ROW()-35,5+8*(MATCH($B$2,CityData!$A$3:$A$7,0)-1))</f>
        <v>0</v>
      </c>
      <c r="C309" s="14" t="n">
        <f aca="false">IF(AND(A309&lt;&gt;"",A309&lt;Parameters!$B$14),INDEX(Candidate_Model!E:E,Decision!B12)*(1+TAXRATE),0)</f>
        <v>0</v>
      </c>
      <c r="D309" s="14" t="n">
        <f aca="false">HEADCOUNT</f>
        <v>24</v>
      </c>
      <c r="E309" s="14" t="n">
        <f aca="false">B309*D309</f>
        <v>0</v>
      </c>
      <c r="F309" s="14" t="n">
        <f aca="false">C309*D309</f>
        <v>0</v>
      </c>
      <c r="G309" s="1" t="s">
        <v>126</v>
      </c>
    </row>
    <row r="310" customFormat="false" ht="15" hidden="false" customHeight="true" outlineLevel="0" collapsed="false">
      <c r="A310" s="23" t="str">
        <f aca="false">MIE_Daily!A276</f>
        <v/>
      </c>
      <c r="B310" s="14" t="n">
        <f aca="false">INDEX(MIE_Daily!$B$2:$AO$367,ROW()-35,5+8*(MATCH($B$2,CityData!$A$3:$A$7,0)-1))</f>
        <v>0</v>
      </c>
      <c r="C310" s="14" t="n">
        <f aca="false">IF(AND(A310&lt;&gt;"",A310&lt;Parameters!$B$14),INDEX(Candidate_Model!E:E,Decision!B12)*(1+TAXRATE),0)</f>
        <v>0</v>
      </c>
      <c r="D310" s="14" t="n">
        <f aca="false">HEADCOUNT</f>
        <v>24</v>
      </c>
      <c r="E310" s="14" t="n">
        <f aca="false">B310*D310</f>
        <v>0</v>
      </c>
      <c r="F310" s="14" t="n">
        <f aca="false">C310*D310</f>
        <v>0</v>
      </c>
      <c r="G310" s="1" t="s">
        <v>126</v>
      </c>
    </row>
    <row r="311" customFormat="false" ht="15" hidden="false" customHeight="true" outlineLevel="0" collapsed="false">
      <c r="A311" s="23" t="str">
        <f aca="false">MIE_Daily!A277</f>
        <v/>
      </c>
      <c r="B311" s="14" t="n">
        <f aca="false">INDEX(MIE_Daily!$B$2:$AO$367,ROW()-35,5+8*(MATCH($B$2,CityData!$A$3:$A$7,0)-1))</f>
        <v>0</v>
      </c>
      <c r="C311" s="14" t="n">
        <f aca="false">IF(AND(A311&lt;&gt;"",A311&lt;Parameters!$B$14),INDEX(Candidate_Model!E:E,Decision!B12)*(1+TAXRATE),0)</f>
        <v>0</v>
      </c>
      <c r="D311" s="14" t="n">
        <f aca="false">HEADCOUNT</f>
        <v>24</v>
      </c>
      <c r="E311" s="14" t="n">
        <f aca="false">B311*D311</f>
        <v>0</v>
      </c>
      <c r="F311" s="14" t="n">
        <f aca="false">C311*D311</f>
        <v>0</v>
      </c>
      <c r="G311" s="1" t="s">
        <v>126</v>
      </c>
    </row>
    <row r="312" customFormat="false" ht="15" hidden="false" customHeight="true" outlineLevel="0" collapsed="false">
      <c r="A312" s="23" t="str">
        <f aca="false">MIE_Daily!A278</f>
        <v/>
      </c>
      <c r="B312" s="14" t="n">
        <f aca="false">INDEX(MIE_Daily!$B$2:$AO$367,ROW()-35,5+8*(MATCH($B$2,CityData!$A$3:$A$7,0)-1))</f>
        <v>0</v>
      </c>
      <c r="C312" s="14" t="n">
        <f aca="false">IF(AND(A312&lt;&gt;"",A312&lt;Parameters!$B$14),INDEX(Candidate_Model!E:E,Decision!B12)*(1+TAXRATE),0)</f>
        <v>0</v>
      </c>
      <c r="D312" s="14" t="n">
        <f aca="false">HEADCOUNT</f>
        <v>24</v>
      </c>
      <c r="E312" s="14" t="n">
        <f aca="false">B312*D312</f>
        <v>0</v>
      </c>
      <c r="F312" s="14" t="n">
        <f aca="false">C312*D312</f>
        <v>0</v>
      </c>
      <c r="G312" s="1" t="s">
        <v>126</v>
      </c>
    </row>
    <row r="313" customFormat="false" ht="15" hidden="false" customHeight="true" outlineLevel="0" collapsed="false">
      <c r="A313" s="23" t="str">
        <f aca="false">MIE_Daily!A279</f>
        <v/>
      </c>
      <c r="B313" s="14" t="n">
        <f aca="false">INDEX(MIE_Daily!$B$2:$AO$367,ROW()-35,5+8*(MATCH($B$2,CityData!$A$3:$A$7,0)-1))</f>
        <v>0</v>
      </c>
      <c r="C313" s="14" t="n">
        <f aca="false">IF(AND(A313&lt;&gt;"",A313&lt;Parameters!$B$14),INDEX(Candidate_Model!E:E,Decision!B12)*(1+TAXRATE),0)</f>
        <v>0</v>
      </c>
      <c r="D313" s="14" t="n">
        <f aca="false">HEADCOUNT</f>
        <v>24</v>
      </c>
      <c r="E313" s="14" t="n">
        <f aca="false">B313*D313</f>
        <v>0</v>
      </c>
      <c r="F313" s="14" t="n">
        <f aca="false">C313*D313</f>
        <v>0</v>
      </c>
      <c r="G313" s="1" t="s">
        <v>126</v>
      </c>
    </row>
    <row r="314" customFormat="false" ht="15" hidden="false" customHeight="true" outlineLevel="0" collapsed="false">
      <c r="A314" s="23" t="str">
        <f aca="false">MIE_Daily!A280</f>
        <v/>
      </c>
      <c r="B314" s="14" t="n">
        <f aca="false">INDEX(MIE_Daily!$B$2:$AO$367,ROW()-35,5+8*(MATCH($B$2,CityData!$A$3:$A$7,0)-1))</f>
        <v>0</v>
      </c>
      <c r="C314" s="14" t="n">
        <f aca="false">IF(AND(A314&lt;&gt;"",A314&lt;Parameters!$B$14),INDEX(Candidate_Model!E:E,Decision!B12)*(1+TAXRATE),0)</f>
        <v>0</v>
      </c>
      <c r="D314" s="14" t="n">
        <f aca="false">HEADCOUNT</f>
        <v>24</v>
      </c>
      <c r="E314" s="14" t="n">
        <f aca="false">B314*D314</f>
        <v>0</v>
      </c>
      <c r="F314" s="14" t="n">
        <f aca="false">C314*D314</f>
        <v>0</v>
      </c>
      <c r="G314" s="1" t="s">
        <v>126</v>
      </c>
    </row>
    <row r="315" customFormat="false" ht="15" hidden="false" customHeight="true" outlineLevel="0" collapsed="false">
      <c r="A315" s="23" t="str">
        <f aca="false">MIE_Daily!A281</f>
        <v/>
      </c>
      <c r="B315" s="14" t="n">
        <f aca="false">INDEX(MIE_Daily!$B$2:$AO$367,ROW()-35,5+8*(MATCH($B$2,CityData!$A$3:$A$7,0)-1))</f>
        <v>0</v>
      </c>
      <c r="C315" s="14" t="n">
        <f aca="false">IF(AND(A315&lt;&gt;"",A315&lt;Parameters!$B$14),INDEX(Candidate_Model!E:E,Decision!B12)*(1+TAXRATE),0)</f>
        <v>0</v>
      </c>
      <c r="D315" s="14" t="n">
        <f aca="false">HEADCOUNT</f>
        <v>24</v>
      </c>
      <c r="E315" s="14" t="n">
        <f aca="false">B315*D315</f>
        <v>0</v>
      </c>
      <c r="F315" s="14" t="n">
        <f aca="false">C315*D315</f>
        <v>0</v>
      </c>
      <c r="G315" s="1" t="s">
        <v>126</v>
      </c>
    </row>
    <row r="316" customFormat="false" ht="15" hidden="false" customHeight="true" outlineLevel="0" collapsed="false">
      <c r="A316" s="23" t="str">
        <f aca="false">MIE_Daily!A282</f>
        <v/>
      </c>
      <c r="B316" s="14" t="n">
        <f aca="false">INDEX(MIE_Daily!$B$2:$AO$367,ROW()-35,5+8*(MATCH($B$2,CityData!$A$3:$A$7,0)-1))</f>
        <v>0</v>
      </c>
      <c r="C316" s="14" t="n">
        <f aca="false">IF(AND(A316&lt;&gt;"",A316&lt;Parameters!$B$14),INDEX(Candidate_Model!E:E,Decision!B12)*(1+TAXRATE),0)</f>
        <v>0</v>
      </c>
      <c r="D316" s="14" t="n">
        <f aca="false">HEADCOUNT</f>
        <v>24</v>
      </c>
      <c r="E316" s="14" t="n">
        <f aca="false">B316*D316</f>
        <v>0</v>
      </c>
      <c r="F316" s="14" t="n">
        <f aca="false">C316*D316</f>
        <v>0</v>
      </c>
      <c r="G316" s="1" t="s">
        <v>126</v>
      </c>
    </row>
    <row r="317" customFormat="false" ht="15" hidden="false" customHeight="true" outlineLevel="0" collapsed="false">
      <c r="A317" s="23" t="str">
        <f aca="false">MIE_Daily!A283</f>
        <v/>
      </c>
      <c r="B317" s="14" t="n">
        <f aca="false">INDEX(MIE_Daily!$B$2:$AO$367,ROW()-35,5+8*(MATCH($B$2,CityData!$A$3:$A$7,0)-1))</f>
        <v>0</v>
      </c>
      <c r="C317" s="14" t="n">
        <f aca="false">IF(AND(A317&lt;&gt;"",A317&lt;Parameters!$B$14),INDEX(Candidate_Model!E:E,Decision!B12)*(1+TAXRATE),0)</f>
        <v>0</v>
      </c>
      <c r="D317" s="14" t="n">
        <f aca="false">HEADCOUNT</f>
        <v>24</v>
      </c>
      <c r="E317" s="14" t="n">
        <f aca="false">B317*D317</f>
        <v>0</v>
      </c>
      <c r="F317" s="14" t="n">
        <f aca="false">C317*D317</f>
        <v>0</v>
      </c>
      <c r="G317" s="1" t="s">
        <v>126</v>
      </c>
    </row>
    <row r="318" customFormat="false" ht="15" hidden="false" customHeight="true" outlineLevel="0" collapsed="false">
      <c r="A318" s="23" t="str">
        <f aca="false">MIE_Daily!A284</f>
        <v/>
      </c>
      <c r="B318" s="14" t="n">
        <f aca="false">INDEX(MIE_Daily!$B$2:$AO$367,ROW()-35,5+8*(MATCH($B$2,CityData!$A$3:$A$7,0)-1))</f>
        <v>0</v>
      </c>
      <c r="C318" s="14" t="n">
        <f aca="false">IF(AND(A318&lt;&gt;"",A318&lt;Parameters!$B$14),INDEX(Candidate_Model!E:E,Decision!B12)*(1+TAXRATE),0)</f>
        <v>0</v>
      </c>
      <c r="D318" s="14" t="n">
        <f aca="false">HEADCOUNT</f>
        <v>24</v>
      </c>
      <c r="E318" s="14" t="n">
        <f aca="false">B318*D318</f>
        <v>0</v>
      </c>
      <c r="F318" s="14" t="n">
        <f aca="false">C318*D318</f>
        <v>0</v>
      </c>
      <c r="G318" s="1" t="s">
        <v>126</v>
      </c>
    </row>
    <row r="319" customFormat="false" ht="15" hidden="false" customHeight="true" outlineLevel="0" collapsed="false">
      <c r="A319" s="23" t="str">
        <f aca="false">MIE_Daily!A285</f>
        <v/>
      </c>
      <c r="B319" s="14" t="n">
        <f aca="false">INDEX(MIE_Daily!$B$2:$AO$367,ROW()-35,5+8*(MATCH($B$2,CityData!$A$3:$A$7,0)-1))</f>
        <v>0</v>
      </c>
      <c r="C319" s="14" t="n">
        <f aca="false">IF(AND(A319&lt;&gt;"",A319&lt;Parameters!$B$14),INDEX(Candidate_Model!E:E,Decision!B12)*(1+TAXRATE),0)</f>
        <v>0</v>
      </c>
      <c r="D319" s="14" t="n">
        <f aca="false">HEADCOUNT</f>
        <v>24</v>
      </c>
      <c r="E319" s="14" t="n">
        <f aca="false">B319*D319</f>
        <v>0</v>
      </c>
      <c r="F319" s="14" t="n">
        <f aca="false">C319*D319</f>
        <v>0</v>
      </c>
      <c r="G319" s="1" t="s">
        <v>126</v>
      </c>
    </row>
    <row r="320" customFormat="false" ht="15" hidden="false" customHeight="true" outlineLevel="0" collapsed="false">
      <c r="A320" s="23" t="str">
        <f aca="false">MIE_Daily!A286</f>
        <v/>
      </c>
      <c r="B320" s="14" t="n">
        <f aca="false">INDEX(MIE_Daily!$B$2:$AO$367,ROW()-35,5+8*(MATCH($B$2,CityData!$A$3:$A$7,0)-1))</f>
        <v>0</v>
      </c>
      <c r="C320" s="14" t="n">
        <f aca="false">IF(AND(A320&lt;&gt;"",A320&lt;Parameters!$B$14),INDEX(Candidate_Model!E:E,Decision!B12)*(1+TAXRATE),0)</f>
        <v>0</v>
      </c>
      <c r="D320" s="14" t="n">
        <f aca="false">HEADCOUNT</f>
        <v>24</v>
      </c>
      <c r="E320" s="14" t="n">
        <f aca="false">B320*D320</f>
        <v>0</v>
      </c>
      <c r="F320" s="14" t="n">
        <f aca="false">C320*D320</f>
        <v>0</v>
      </c>
      <c r="G320" s="1" t="s">
        <v>126</v>
      </c>
    </row>
    <row r="321" customFormat="false" ht="15" hidden="false" customHeight="true" outlineLevel="0" collapsed="false">
      <c r="A321" s="23" t="str">
        <f aca="false">MIE_Daily!A287</f>
        <v/>
      </c>
      <c r="B321" s="14" t="n">
        <f aca="false">INDEX(MIE_Daily!$B$2:$AO$367,ROW()-35,5+8*(MATCH($B$2,CityData!$A$3:$A$7,0)-1))</f>
        <v>0</v>
      </c>
      <c r="C321" s="14" t="n">
        <f aca="false">IF(AND(A321&lt;&gt;"",A321&lt;Parameters!$B$14),INDEX(Candidate_Model!E:E,Decision!B12)*(1+TAXRATE),0)</f>
        <v>0</v>
      </c>
      <c r="D321" s="14" t="n">
        <f aca="false">HEADCOUNT</f>
        <v>24</v>
      </c>
      <c r="E321" s="14" t="n">
        <f aca="false">B321*D321</f>
        <v>0</v>
      </c>
      <c r="F321" s="14" t="n">
        <f aca="false">C321*D321</f>
        <v>0</v>
      </c>
      <c r="G321" s="1" t="s">
        <v>126</v>
      </c>
    </row>
    <row r="322" customFormat="false" ht="15" hidden="false" customHeight="true" outlineLevel="0" collapsed="false">
      <c r="A322" s="23" t="str">
        <f aca="false">MIE_Daily!A288</f>
        <v/>
      </c>
      <c r="B322" s="14" t="n">
        <f aca="false">INDEX(MIE_Daily!$B$2:$AO$367,ROW()-35,5+8*(MATCH($B$2,CityData!$A$3:$A$7,0)-1))</f>
        <v>0</v>
      </c>
      <c r="C322" s="14" t="n">
        <f aca="false">IF(AND(A322&lt;&gt;"",A322&lt;Parameters!$B$14),INDEX(Candidate_Model!E:E,Decision!B12)*(1+TAXRATE),0)</f>
        <v>0</v>
      </c>
      <c r="D322" s="14" t="n">
        <f aca="false">HEADCOUNT</f>
        <v>24</v>
      </c>
      <c r="E322" s="14" t="n">
        <f aca="false">B322*D322</f>
        <v>0</v>
      </c>
      <c r="F322" s="14" t="n">
        <f aca="false">C322*D322</f>
        <v>0</v>
      </c>
      <c r="G322" s="1" t="s">
        <v>126</v>
      </c>
    </row>
    <row r="323" customFormat="false" ht="15" hidden="false" customHeight="true" outlineLevel="0" collapsed="false">
      <c r="A323" s="23" t="str">
        <f aca="false">MIE_Daily!A289</f>
        <v/>
      </c>
      <c r="B323" s="14" t="n">
        <f aca="false">INDEX(MIE_Daily!$B$2:$AO$367,ROW()-35,5+8*(MATCH($B$2,CityData!$A$3:$A$7,0)-1))</f>
        <v>0</v>
      </c>
      <c r="C323" s="14" t="n">
        <f aca="false">IF(AND(A323&lt;&gt;"",A323&lt;Parameters!$B$14),INDEX(Candidate_Model!E:E,Decision!B12)*(1+TAXRATE),0)</f>
        <v>0</v>
      </c>
      <c r="D323" s="14" t="n">
        <f aca="false">HEADCOUNT</f>
        <v>24</v>
      </c>
      <c r="E323" s="14" t="n">
        <f aca="false">B323*D323</f>
        <v>0</v>
      </c>
      <c r="F323" s="14" t="n">
        <f aca="false">C323*D323</f>
        <v>0</v>
      </c>
      <c r="G323" s="1" t="s">
        <v>126</v>
      </c>
    </row>
    <row r="324" customFormat="false" ht="15" hidden="false" customHeight="true" outlineLevel="0" collapsed="false">
      <c r="A324" s="23" t="str">
        <f aca="false">MIE_Daily!A290</f>
        <v/>
      </c>
      <c r="B324" s="14" t="n">
        <f aca="false">INDEX(MIE_Daily!$B$2:$AO$367,ROW()-35,5+8*(MATCH($B$2,CityData!$A$3:$A$7,0)-1))</f>
        <v>0</v>
      </c>
      <c r="C324" s="14" t="n">
        <f aca="false">IF(AND(A324&lt;&gt;"",A324&lt;Parameters!$B$14),INDEX(Candidate_Model!E:E,Decision!B12)*(1+TAXRATE),0)</f>
        <v>0</v>
      </c>
      <c r="D324" s="14" t="n">
        <f aca="false">HEADCOUNT</f>
        <v>24</v>
      </c>
      <c r="E324" s="14" t="n">
        <f aca="false">B324*D324</f>
        <v>0</v>
      </c>
      <c r="F324" s="14" t="n">
        <f aca="false">C324*D324</f>
        <v>0</v>
      </c>
      <c r="G324" s="1" t="s">
        <v>126</v>
      </c>
    </row>
    <row r="325" customFormat="false" ht="15" hidden="false" customHeight="true" outlineLevel="0" collapsed="false">
      <c r="A325" s="23" t="str">
        <f aca="false">MIE_Daily!A291</f>
        <v/>
      </c>
      <c r="B325" s="14" t="n">
        <f aca="false">INDEX(MIE_Daily!$B$2:$AO$367,ROW()-35,5+8*(MATCH($B$2,CityData!$A$3:$A$7,0)-1))</f>
        <v>0</v>
      </c>
      <c r="C325" s="14" t="n">
        <f aca="false">IF(AND(A325&lt;&gt;"",A325&lt;Parameters!$B$14),INDEX(Candidate_Model!E:E,Decision!B12)*(1+TAXRATE),0)</f>
        <v>0</v>
      </c>
      <c r="D325" s="14" t="n">
        <f aca="false">HEADCOUNT</f>
        <v>24</v>
      </c>
      <c r="E325" s="14" t="n">
        <f aca="false">B325*D325</f>
        <v>0</v>
      </c>
      <c r="F325" s="14" t="n">
        <f aca="false">C325*D325</f>
        <v>0</v>
      </c>
      <c r="G325" s="1" t="s">
        <v>126</v>
      </c>
    </row>
    <row r="326" customFormat="false" ht="15" hidden="false" customHeight="true" outlineLevel="0" collapsed="false">
      <c r="A326" s="23" t="str">
        <f aca="false">MIE_Daily!A292</f>
        <v/>
      </c>
      <c r="B326" s="14" t="n">
        <f aca="false">INDEX(MIE_Daily!$B$2:$AO$367,ROW()-35,5+8*(MATCH($B$2,CityData!$A$3:$A$7,0)-1))</f>
        <v>0</v>
      </c>
      <c r="C326" s="14" t="n">
        <f aca="false">IF(AND(A326&lt;&gt;"",A326&lt;Parameters!$B$14),INDEX(Candidate_Model!E:E,Decision!B12)*(1+TAXRATE),0)</f>
        <v>0</v>
      </c>
      <c r="D326" s="14" t="n">
        <f aca="false">HEADCOUNT</f>
        <v>24</v>
      </c>
      <c r="E326" s="14" t="n">
        <f aca="false">B326*D326</f>
        <v>0</v>
      </c>
      <c r="F326" s="14" t="n">
        <f aca="false">C326*D326</f>
        <v>0</v>
      </c>
      <c r="G326" s="1" t="s">
        <v>126</v>
      </c>
    </row>
    <row r="327" customFormat="false" ht="15" hidden="false" customHeight="true" outlineLevel="0" collapsed="false">
      <c r="A327" s="23" t="str">
        <f aca="false">MIE_Daily!A293</f>
        <v/>
      </c>
      <c r="B327" s="14" t="n">
        <f aca="false">INDEX(MIE_Daily!$B$2:$AO$367,ROW()-35,5+8*(MATCH($B$2,CityData!$A$3:$A$7,0)-1))</f>
        <v>0</v>
      </c>
      <c r="C327" s="14" t="n">
        <f aca="false">IF(AND(A327&lt;&gt;"",A327&lt;Parameters!$B$14),INDEX(Candidate_Model!E:E,Decision!B12)*(1+TAXRATE),0)</f>
        <v>0</v>
      </c>
      <c r="D327" s="14" t="n">
        <f aca="false">HEADCOUNT</f>
        <v>24</v>
      </c>
      <c r="E327" s="14" t="n">
        <f aca="false">B327*D327</f>
        <v>0</v>
      </c>
      <c r="F327" s="14" t="n">
        <f aca="false">C327*D327</f>
        <v>0</v>
      </c>
      <c r="G327" s="1" t="s">
        <v>126</v>
      </c>
    </row>
    <row r="328" customFormat="false" ht="15" hidden="false" customHeight="true" outlineLevel="0" collapsed="false">
      <c r="A328" s="23" t="str">
        <f aca="false">MIE_Daily!A294</f>
        <v/>
      </c>
      <c r="B328" s="14" t="n">
        <f aca="false">INDEX(MIE_Daily!$B$2:$AO$367,ROW()-35,5+8*(MATCH($B$2,CityData!$A$3:$A$7,0)-1))</f>
        <v>0</v>
      </c>
      <c r="C328" s="14" t="n">
        <f aca="false">IF(AND(A328&lt;&gt;"",A328&lt;Parameters!$B$14),INDEX(Candidate_Model!E:E,Decision!B12)*(1+TAXRATE),0)</f>
        <v>0</v>
      </c>
      <c r="D328" s="14" t="n">
        <f aca="false">HEADCOUNT</f>
        <v>24</v>
      </c>
      <c r="E328" s="14" t="n">
        <f aca="false">B328*D328</f>
        <v>0</v>
      </c>
      <c r="F328" s="14" t="n">
        <f aca="false">C328*D328</f>
        <v>0</v>
      </c>
      <c r="G328" s="1" t="s">
        <v>126</v>
      </c>
    </row>
    <row r="329" customFormat="false" ht="15" hidden="false" customHeight="true" outlineLevel="0" collapsed="false">
      <c r="A329" s="23" t="str">
        <f aca="false">MIE_Daily!A295</f>
        <v/>
      </c>
      <c r="B329" s="14" t="n">
        <f aca="false">INDEX(MIE_Daily!$B$2:$AO$367,ROW()-35,5+8*(MATCH($B$2,CityData!$A$3:$A$7,0)-1))</f>
        <v>0</v>
      </c>
      <c r="C329" s="14" t="n">
        <f aca="false">IF(AND(A329&lt;&gt;"",A329&lt;Parameters!$B$14),INDEX(Candidate_Model!E:E,Decision!B12)*(1+TAXRATE),0)</f>
        <v>0</v>
      </c>
      <c r="D329" s="14" t="n">
        <f aca="false">HEADCOUNT</f>
        <v>24</v>
      </c>
      <c r="E329" s="14" t="n">
        <f aca="false">B329*D329</f>
        <v>0</v>
      </c>
      <c r="F329" s="14" t="n">
        <f aca="false">C329*D329</f>
        <v>0</v>
      </c>
      <c r="G329" s="1" t="s">
        <v>126</v>
      </c>
    </row>
    <row r="330" customFormat="false" ht="15" hidden="false" customHeight="true" outlineLevel="0" collapsed="false">
      <c r="A330" s="23" t="str">
        <f aca="false">MIE_Daily!A296</f>
        <v/>
      </c>
      <c r="B330" s="14" t="n">
        <f aca="false">INDEX(MIE_Daily!$B$2:$AO$367,ROW()-35,5+8*(MATCH($B$2,CityData!$A$3:$A$7,0)-1))</f>
        <v>0</v>
      </c>
      <c r="C330" s="14" t="n">
        <f aca="false">IF(AND(A330&lt;&gt;"",A330&lt;Parameters!$B$14),INDEX(Candidate_Model!E:E,Decision!B12)*(1+TAXRATE),0)</f>
        <v>0</v>
      </c>
      <c r="D330" s="14" t="n">
        <f aca="false">HEADCOUNT</f>
        <v>24</v>
      </c>
      <c r="E330" s="14" t="n">
        <f aca="false">B330*D330</f>
        <v>0</v>
      </c>
      <c r="F330" s="14" t="n">
        <f aca="false">C330*D330</f>
        <v>0</v>
      </c>
      <c r="G330" s="1" t="s">
        <v>126</v>
      </c>
    </row>
    <row r="331" customFormat="false" ht="15" hidden="false" customHeight="true" outlineLevel="0" collapsed="false">
      <c r="A331" s="23" t="str">
        <f aca="false">MIE_Daily!A297</f>
        <v/>
      </c>
      <c r="B331" s="14" t="n">
        <f aca="false">INDEX(MIE_Daily!$B$2:$AO$367,ROW()-35,5+8*(MATCH($B$2,CityData!$A$3:$A$7,0)-1))</f>
        <v>0</v>
      </c>
      <c r="C331" s="14" t="n">
        <f aca="false">IF(AND(A331&lt;&gt;"",A331&lt;Parameters!$B$14),INDEX(Candidate_Model!E:E,Decision!B12)*(1+TAXRATE),0)</f>
        <v>0</v>
      </c>
      <c r="D331" s="14" t="n">
        <f aca="false">HEADCOUNT</f>
        <v>24</v>
      </c>
      <c r="E331" s="14" t="n">
        <f aca="false">B331*D331</f>
        <v>0</v>
      </c>
      <c r="F331" s="14" t="n">
        <f aca="false">C331*D331</f>
        <v>0</v>
      </c>
      <c r="G331" s="1" t="s">
        <v>126</v>
      </c>
    </row>
    <row r="332" customFormat="false" ht="15" hidden="false" customHeight="true" outlineLevel="0" collapsed="false">
      <c r="A332" s="23" t="str">
        <f aca="false">MIE_Daily!A298</f>
        <v/>
      </c>
      <c r="B332" s="14" t="n">
        <f aca="false">INDEX(MIE_Daily!$B$2:$AO$367,ROW()-35,5+8*(MATCH($B$2,CityData!$A$3:$A$7,0)-1))</f>
        <v>0</v>
      </c>
      <c r="C332" s="14" t="n">
        <f aca="false">IF(AND(A332&lt;&gt;"",A332&lt;Parameters!$B$14),INDEX(Candidate_Model!E:E,Decision!B12)*(1+TAXRATE),0)</f>
        <v>0</v>
      </c>
      <c r="D332" s="14" t="n">
        <f aca="false">HEADCOUNT</f>
        <v>24</v>
      </c>
      <c r="E332" s="14" t="n">
        <f aca="false">B332*D332</f>
        <v>0</v>
      </c>
      <c r="F332" s="14" t="n">
        <f aca="false">C332*D332</f>
        <v>0</v>
      </c>
      <c r="G332" s="1" t="s">
        <v>126</v>
      </c>
    </row>
    <row r="333" customFormat="false" ht="15" hidden="false" customHeight="true" outlineLevel="0" collapsed="false">
      <c r="A333" s="23" t="str">
        <f aca="false">MIE_Daily!A299</f>
        <v/>
      </c>
      <c r="B333" s="14" t="n">
        <f aca="false">INDEX(MIE_Daily!$B$2:$AO$367,ROW()-35,5+8*(MATCH($B$2,CityData!$A$3:$A$7,0)-1))</f>
        <v>0</v>
      </c>
      <c r="C333" s="14" t="n">
        <f aca="false">IF(AND(A333&lt;&gt;"",A333&lt;Parameters!$B$14),INDEX(Candidate_Model!E:E,Decision!B12)*(1+TAXRATE),0)</f>
        <v>0</v>
      </c>
      <c r="D333" s="14" t="n">
        <f aca="false">HEADCOUNT</f>
        <v>24</v>
      </c>
      <c r="E333" s="14" t="n">
        <f aca="false">B333*D333</f>
        <v>0</v>
      </c>
      <c r="F333" s="14" t="n">
        <f aca="false">C333*D333</f>
        <v>0</v>
      </c>
      <c r="G333" s="1" t="s">
        <v>126</v>
      </c>
    </row>
    <row r="334" customFormat="false" ht="15" hidden="false" customHeight="true" outlineLevel="0" collapsed="false">
      <c r="A334" s="23" t="str">
        <f aca="false">MIE_Daily!A300</f>
        <v/>
      </c>
      <c r="B334" s="14" t="n">
        <f aca="false">INDEX(MIE_Daily!$B$2:$AO$367,ROW()-35,5+8*(MATCH($B$2,CityData!$A$3:$A$7,0)-1))</f>
        <v>0</v>
      </c>
      <c r="C334" s="14" t="n">
        <f aca="false">IF(AND(A334&lt;&gt;"",A334&lt;Parameters!$B$14),INDEX(Candidate_Model!E:E,Decision!B12)*(1+TAXRATE),0)</f>
        <v>0</v>
      </c>
      <c r="D334" s="14" t="n">
        <f aca="false">HEADCOUNT</f>
        <v>24</v>
      </c>
      <c r="E334" s="14" t="n">
        <f aca="false">B334*D334</f>
        <v>0</v>
      </c>
      <c r="F334" s="14" t="n">
        <f aca="false">C334*D334</f>
        <v>0</v>
      </c>
      <c r="G334" s="1" t="s">
        <v>126</v>
      </c>
    </row>
    <row r="335" customFormat="false" ht="15" hidden="false" customHeight="true" outlineLevel="0" collapsed="false">
      <c r="A335" s="23" t="str">
        <f aca="false">MIE_Daily!A301</f>
        <v/>
      </c>
      <c r="B335" s="14" t="n">
        <f aca="false">INDEX(MIE_Daily!$B$2:$AO$367,ROW()-35,5+8*(MATCH($B$2,CityData!$A$3:$A$7,0)-1))</f>
        <v>0</v>
      </c>
      <c r="C335" s="14" t="n">
        <f aca="false">IF(AND(A335&lt;&gt;"",A335&lt;Parameters!$B$14),INDEX(Candidate_Model!E:E,Decision!B12)*(1+TAXRATE),0)</f>
        <v>0</v>
      </c>
      <c r="D335" s="14" t="n">
        <f aca="false">HEADCOUNT</f>
        <v>24</v>
      </c>
      <c r="E335" s="14" t="n">
        <f aca="false">B335*D335</f>
        <v>0</v>
      </c>
      <c r="F335" s="14" t="n">
        <f aca="false">C335*D335</f>
        <v>0</v>
      </c>
      <c r="G335" s="1" t="s">
        <v>126</v>
      </c>
    </row>
    <row r="336" customFormat="false" ht="15" hidden="false" customHeight="true" outlineLevel="0" collapsed="false">
      <c r="A336" s="23" t="str">
        <f aca="false">MIE_Daily!A302</f>
        <v/>
      </c>
      <c r="B336" s="14" t="n">
        <f aca="false">INDEX(MIE_Daily!$B$2:$AO$367,ROW()-35,5+8*(MATCH($B$2,CityData!$A$3:$A$7,0)-1))</f>
        <v>0</v>
      </c>
      <c r="C336" s="14" t="n">
        <f aca="false">IF(AND(A336&lt;&gt;"",A336&lt;Parameters!$B$14),INDEX(Candidate_Model!E:E,Decision!B12)*(1+TAXRATE),0)</f>
        <v>0</v>
      </c>
      <c r="D336" s="14" t="n">
        <f aca="false">HEADCOUNT</f>
        <v>24</v>
      </c>
      <c r="E336" s="14" t="n">
        <f aca="false">B336*D336</f>
        <v>0</v>
      </c>
      <c r="F336" s="14" t="n">
        <f aca="false">C336*D336</f>
        <v>0</v>
      </c>
      <c r="G336" s="1" t="s">
        <v>126</v>
      </c>
    </row>
    <row r="337" customFormat="false" ht="15" hidden="false" customHeight="true" outlineLevel="0" collapsed="false">
      <c r="A337" s="23" t="str">
        <f aca="false">MIE_Daily!A303</f>
        <v/>
      </c>
      <c r="B337" s="14" t="n">
        <f aca="false">INDEX(MIE_Daily!$B$2:$AO$367,ROW()-35,5+8*(MATCH($B$2,CityData!$A$3:$A$7,0)-1))</f>
        <v>0</v>
      </c>
      <c r="C337" s="14" t="n">
        <f aca="false">IF(AND(A337&lt;&gt;"",A337&lt;Parameters!$B$14),INDEX(Candidate_Model!E:E,Decision!B12)*(1+TAXRATE),0)</f>
        <v>0</v>
      </c>
      <c r="D337" s="14" t="n">
        <f aca="false">HEADCOUNT</f>
        <v>24</v>
      </c>
      <c r="E337" s="14" t="n">
        <f aca="false">B337*D337</f>
        <v>0</v>
      </c>
      <c r="F337" s="14" t="n">
        <f aca="false">C337*D337</f>
        <v>0</v>
      </c>
      <c r="G337" s="1" t="s">
        <v>126</v>
      </c>
    </row>
    <row r="338" customFormat="false" ht="15" hidden="false" customHeight="true" outlineLevel="0" collapsed="false">
      <c r="A338" s="23" t="str">
        <f aca="false">MIE_Daily!A304</f>
        <v/>
      </c>
      <c r="B338" s="14" t="n">
        <f aca="false">INDEX(MIE_Daily!$B$2:$AO$367,ROW()-35,5+8*(MATCH($B$2,CityData!$A$3:$A$7,0)-1))</f>
        <v>0</v>
      </c>
      <c r="C338" s="14" t="n">
        <f aca="false">IF(AND(A338&lt;&gt;"",A338&lt;Parameters!$B$14),INDEX(Candidate_Model!E:E,Decision!B12)*(1+TAXRATE),0)</f>
        <v>0</v>
      </c>
      <c r="D338" s="14" t="n">
        <f aca="false">HEADCOUNT</f>
        <v>24</v>
      </c>
      <c r="E338" s="14" t="n">
        <f aca="false">B338*D338</f>
        <v>0</v>
      </c>
      <c r="F338" s="14" t="n">
        <f aca="false">C338*D338</f>
        <v>0</v>
      </c>
      <c r="G338" s="1" t="s">
        <v>126</v>
      </c>
    </row>
    <row r="339" customFormat="false" ht="15" hidden="false" customHeight="true" outlineLevel="0" collapsed="false">
      <c r="A339" s="23" t="str">
        <f aca="false">MIE_Daily!A305</f>
        <v/>
      </c>
      <c r="B339" s="14" t="n">
        <f aca="false">INDEX(MIE_Daily!$B$2:$AO$367,ROW()-35,5+8*(MATCH($B$2,CityData!$A$3:$A$7,0)-1))</f>
        <v>0</v>
      </c>
      <c r="C339" s="14" t="n">
        <f aca="false">IF(AND(A339&lt;&gt;"",A339&lt;Parameters!$B$14),INDEX(Candidate_Model!E:E,Decision!B12)*(1+TAXRATE),0)</f>
        <v>0</v>
      </c>
      <c r="D339" s="14" t="n">
        <f aca="false">HEADCOUNT</f>
        <v>24</v>
      </c>
      <c r="E339" s="14" t="n">
        <f aca="false">B339*D339</f>
        <v>0</v>
      </c>
      <c r="F339" s="14" t="n">
        <f aca="false">C339*D339</f>
        <v>0</v>
      </c>
      <c r="G339" s="1" t="s">
        <v>126</v>
      </c>
    </row>
    <row r="340" customFormat="false" ht="15" hidden="false" customHeight="true" outlineLevel="0" collapsed="false">
      <c r="A340" s="23" t="str">
        <f aca="false">MIE_Daily!A306</f>
        <v/>
      </c>
      <c r="B340" s="14" t="n">
        <f aca="false">INDEX(MIE_Daily!$B$2:$AO$367,ROW()-35,5+8*(MATCH($B$2,CityData!$A$3:$A$7,0)-1))</f>
        <v>0</v>
      </c>
      <c r="C340" s="14" t="n">
        <f aca="false">IF(AND(A340&lt;&gt;"",A340&lt;Parameters!$B$14),INDEX(Candidate_Model!E:E,Decision!B12)*(1+TAXRATE),0)</f>
        <v>0</v>
      </c>
      <c r="D340" s="14" t="n">
        <f aca="false">HEADCOUNT</f>
        <v>24</v>
      </c>
      <c r="E340" s="14" t="n">
        <f aca="false">B340*D340</f>
        <v>0</v>
      </c>
      <c r="F340" s="14" t="n">
        <f aca="false">C340*D340</f>
        <v>0</v>
      </c>
      <c r="G340" s="1" t="s">
        <v>126</v>
      </c>
    </row>
    <row r="341" customFormat="false" ht="15" hidden="false" customHeight="true" outlineLevel="0" collapsed="false">
      <c r="A341" s="23" t="str">
        <f aca="false">MIE_Daily!A307</f>
        <v/>
      </c>
      <c r="B341" s="14" t="n">
        <f aca="false">INDEX(MIE_Daily!$B$2:$AO$367,ROW()-35,5+8*(MATCH($B$2,CityData!$A$3:$A$7,0)-1))</f>
        <v>0</v>
      </c>
      <c r="C341" s="14" t="n">
        <f aca="false">IF(AND(A341&lt;&gt;"",A341&lt;Parameters!$B$14),INDEX(Candidate_Model!E:E,Decision!B12)*(1+TAXRATE),0)</f>
        <v>0</v>
      </c>
      <c r="D341" s="14" t="n">
        <f aca="false">HEADCOUNT</f>
        <v>24</v>
      </c>
      <c r="E341" s="14" t="n">
        <f aca="false">B341*D341</f>
        <v>0</v>
      </c>
      <c r="F341" s="14" t="n">
        <f aca="false">C341*D341</f>
        <v>0</v>
      </c>
      <c r="G341" s="1" t="s">
        <v>126</v>
      </c>
    </row>
    <row r="342" customFormat="false" ht="15" hidden="false" customHeight="true" outlineLevel="0" collapsed="false">
      <c r="A342" s="23" t="str">
        <f aca="false">MIE_Daily!A308</f>
        <v/>
      </c>
      <c r="B342" s="14" t="n">
        <f aca="false">INDEX(MIE_Daily!$B$2:$AO$367,ROW()-35,5+8*(MATCH($B$2,CityData!$A$3:$A$7,0)-1))</f>
        <v>0</v>
      </c>
      <c r="C342" s="14" t="n">
        <f aca="false">IF(AND(A342&lt;&gt;"",A342&lt;Parameters!$B$14),INDEX(Candidate_Model!E:E,Decision!B12)*(1+TAXRATE),0)</f>
        <v>0</v>
      </c>
      <c r="D342" s="14" t="n">
        <f aca="false">HEADCOUNT</f>
        <v>24</v>
      </c>
      <c r="E342" s="14" t="n">
        <f aca="false">B342*D342</f>
        <v>0</v>
      </c>
      <c r="F342" s="14" t="n">
        <f aca="false">C342*D342</f>
        <v>0</v>
      </c>
      <c r="G342" s="1" t="s">
        <v>126</v>
      </c>
    </row>
    <row r="343" customFormat="false" ht="15" hidden="false" customHeight="true" outlineLevel="0" collapsed="false">
      <c r="A343" s="23" t="str">
        <f aca="false">MIE_Daily!A309</f>
        <v/>
      </c>
      <c r="B343" s="14" t="n">
        <f aca="false">INDEX(MIE_Daily!$B$2:$AO$367,ROW()-35,5+8*(MATCH($B$2,CityData!$A$3:$A$7,0)-1))</f>
        <v>0</v>
      </c>
      <c r="C343" s="14" t="n">
        <f aca="false">IF(AND(A343&lt;&gt;"",A343&lt;Parameters!$B$14),INDEX(Candidate_Model!E:E,Decision!B12)*(1+TAXRATE),0)</f>
        <v>0</v>
      </c>
      <c r="D343" s="14" t="n">
        <f aca="false">HEADCOUNT</f>
        <v>24</v>
      </c>
      <c r="E343" s="14" t="n">
        <f aca="false">B343*D343</f>
        <v>0</v>
      </c>
      <c r="F343" s="14" t="n">
        <f aca="false">C343*D343</f>
        <v>0</v>
      </c>
      <c r="G343" s="1" t="s">
        <v>126</v>
      </c>
    </row>
    <row r="344" customFormat="false" ht="15" hidden="false" customHeight="true" outlineLevel="0" collapsed="false">
      <c r="A344" s="23" t="str">
        <f aca="false">MIE_Daily!A310</f>
        <v/>
      </c>
      <c r="B344" s="14" t="n">
        <f aca="false">INDEX(MIE_Daily!$B$2:$AO$367,ROW()-35,5+8*(MATCH($B$2,CityData!$A$3:$A$7,0)-1))</f>
        <v>0</v>
      </c>
      <c r="C344" s="14" t="n">
        <f aca="false">IF(AND(A344&lt;&gt;"",A344&lt;Parameters!$B$14),INDEX(Candidate_Model!E:E,Decision!B12)*(1+TAXRATE),0)</f>
        <v>0</v>
      </c>
      <c r="D344" s="14" t="n">
        <f aca="false">HEADCOUNT</f>
        <v>24</v>
      </c>
      <c r="E344" s="14" t="n">
        <f aca="false">B344*D344</f>
        <v>0</v>
      </c>
      <c r="F344" s="14" t="n">
        <f aca="false">C344*D344</f>
        <v>0</v>
      </c>
      <c r="G344" s="1" t="s">
        <v>126</v>
      </c>
    </row>
    <row r="345" customFormat="false" ht="15" hidden="false" customHeight="true" outlineLevel="0" collapsed="false">
      <c r="A345" s="23" t="str">
        <f aca="false">MIE_Daily!A311</f>
        <v/>
      </c>
      <c r="B345" s="14" t="n">
        <f aca="false">INDEX(MIE_Daily!$B$2:$AO$367,ROW()-35,5+8*(MATCH($B$2,CityData!$A$3:$A$7,0)-1))</f>
        <v>0</v>
      </c>
      <c r="C345" s="14" t="n">
        <f aca="false">IF(AND(A345&lt;&gt;"",A345&lt;Parameters!$B$14),INDEX(Candidate_Model!E:E,Decision!B12)*(1+TAXRATE),0)</f>
        <v>0</v>
      </c>
      <c r="D345" s="14" t="n">
        <f aca="false">HEADCOUNT</f>
        <v>24</v>
      </c>
      <c r="E345" s="14" t="n">
        <f aca="false">B345*D345</f>
        <v>0</v>
      </c>
      <c r="F345" s="14" t="n">
        <f aca="false">C345*D345</f>
        <v>0</v>
      </c>
      <c r="G345" s="1" t="s">
        <v>126</v>
      </c>
    </row>
    <row r="346" customFormat="false" ht="15" hidden="false" customHeight="true" outlineLevel="0" collapsed="false">
      <c r="A346" s="23" t="str">
        <f aca="false">MIE_Daily!A312</f>
        <v/>
      </c>
      <c r="B346" s="14" t="n">
        <f aca="false">INDEX(MIE_Daily!$B$2:$AO$367,ROW()-35,5+8*(MATCH($B$2,CityData!$A$3:$A$7,0)-1))</f>
        <v>0</v>
      </c>
      <c r="C346" s="14" t="n">
        <f aca="false">IF(AND(A346&lt;&gt;"",A346&lt;Parameters!$B$14),INDEX(Candidate_Model!E:E,Decision!B12)*(1+TAXRATE),0)</f>
        <v>0</v>
      </c>
      <c r="D346" s="14" t="n">
        <f aca="false">HEADCOUNT</f>
        <v>24</v>
      </c>
      <c r="E346" s="14" t="n">
        <f aca="false">B346*D346</f>
        <v>0</v>
      </c>
      <c r="F346" s="14" t="n">
        <f aca="false">C346*D346</f>
        <v>0</v>
      </c>
      <c r="G346" s="1" t="s">
        <v>126</v>
      </c>
    </row>
    <row r="347" customFormat="false" ht="15" hidden="false" customHeight="true" outlineLevel="0" collapsed="false">
      <c r="A347" s="23" t="str">
        <f aca="false">MIE_Daily!A313</f>
        <v/>
      </c>
      <c r="B347" s="14" t="n">
        <f aca="false">INDEX(MIE_Daily!$B$2:$AO$367,ROW()-35,5+8*(MATCH($B$2,CityData!$A$3:$A$7,0)-1))</f>
        <v>0</v>
      </c>
      <c r="C347" s="14" t="n">
        <f aca="false">IF(AND(A347&lt;&gt;"",A347&lt;Parameters!$B$14),INDEX(Candidate_Model!E:E,Decision!B12)*(1+TAXRATE),0)</f>
        <v>0</v>
      </c>
      <c r="D347" s="14" t="n">
        <f aca="false">HEADCOUNT</f>
        <v>24</v>
      </c>
      <c r="E347" s="14" t="n">
        <f aca="false">B347*D347</f>
        <v>0</v>
      </c>
      <c r="F347" s="14" t="n">
        <f aca="false">C347*D347</f>
        <v>0</v>
      </c>
      <c r="G347" s="1" t="s">
        <v>126</v>
      </c>
    </row>
    <row r="348" customFormat="false" ht="15" hidden="false" customHeight="true" outlineLevel="0" collapsed="false">
      <c r="A348" s="23" t="str">
        <f aca="false">MIE_Daily!A314</f>
        <v/>
      </c>
      <c r="B348" s="14" t="n">
        <f aca="false">INDEX(MIE_Daily!$B$2:$AO$367,ROW()-35,5+8*(MATCH($B$2,CityData!$A$3:$A$7,0)-1))</f>
        <v>0</v>
      </c>
      <c r="C348" s="14" t="n">
        <f aca="false">IF(AND(A348&lt;&gt;"",A348&lt;Parameters!$B$14),INDEX(Candidate_Model!E:E,Decision!B12)*(1+TAXRATE),0)</f>
        <v>0</v>
      </c>
      <c r="D348" s="14" t="n">
        <f aca="false">HEADCOUNT</f>
        <v>24</v>
      </c>
      <c r="E348" s="14" t="n">
        <f aca="false">B348*D348</f>
        <v>0</v>
      </c>
      <c r="F348" s="14" t="n">
        <f aca="false">C348*D348</f>
        <v>0</v>
      </c>
      <c r="G348" s="1" t="s">
        <v>126</v>
      </c>
    </row>
    <row r="349" customFormat="false" ht="15" hidden="false" customHeight="true" outlineLevel="0" collapsed="false">
      <c r="A349" s="23" t="str">
        <f aca="false">MIE_Daily!A315</f>
        <v/>
      </c>
      <c r="B349" s="14" t="n">
        <f aca="false">INDEX(MIE_Daily!$B$2:$AO$367,ROW()-35,5+8*(MATCH($B$2,CityData!$A$3:$A$7,0)-1))</f>
        <v>0</v>
      </c>
      <c r="C349" s="14" t="n">
        <f aca="false">IF(AND(A349&lt;&gt;"",A349&lt;Parameters!$B$14),INDEX(Candidate_Model!E:E,Decision!B12)*(1+TAXRATE),0)</f>
        <v>0</v>
      </c>
      <c r="D349" s="14" t="n">
        <f aca="false">HEADCOUNT</f>
        <v>24</v>
      </c>
      <c r="E349" s="14" t="n">
        <f aca="false">B349*D349</f>
        <v>0</v>
      </c>
      <c r="F349" s="14" t="n">
        <f aca="false">C349*D349</f>
        <v>0</v>
      </c>
      <c r="G349" s="1" t="s">
        <v>126</v>
      </c>
    </row>
    <row r="350" customFormat="false" ht="15" hidden="false" customHeight="true" outlineLevel="0" collapsed="false">
      <c r="A350" s="23" t="str">
        <f aca="false">MIE_Daily!A316</f>
        <v/>
      </c>
      <c r="B350" s="14" t="n">
        <f aca="false">INDEX(MIE_Daily!$B$2:$AO$367,ROW()-35,5+8*(MATCH($B$2,CityData!$A$3:$A$7,0)-1))</f>
        <v>0</v>
      </c>
      <c r="C350" s="14" t="n">
        <f aca="false">IF(AND(A350&lt;&gt;"",A350&lt;Parameters!$B$14),INDEX(Candidate_Model!E:E,Decision!B12)*(1+TAXRATE),0)</f>
        <v>0</v>
      </c>
      <c r="D350" s="14" t="n">
        <f aca="false">HEADCOUNT</f>
        <v>24</v>
      </c>
      <c r="E350" s="14" t="n">
        <f aca="false">B350*D350</f>
        <v>0</v>
      </c>
      <c r="F350" s="14" t="n">
        <f aca="false">C350*D350</f>
        <v>0</v>
      </c>
      <c r="G350" s="1" t="s">
        <v>126</v>
      </c>
    </row>
    <row r="351" customFormat="false" ht="15" hidden="false" customHeight="true" outlineLevel="0" collapsed="false">
      <c r="A351" s="23" t="str">
        <f aca="false">MIE_Daily!A317</f>
        <v/>
      </c>
      <c r="B351" s="14" t="n">
        <f aca="false">INDEX(MIE_Daily!$B$2:$AO$367,ROW()-35,5+8*(MATCH($B$2,CityData!$A$3:$A$7,0)-1))</f>
        <v>0</v>
      </c>
      <c r="C351" s="14" t="n">
        <f aca="false">IF(AND(A351&lt;&gt;"",A351&lt;Parameters!$B$14),INDEX(Candidate_Model!E:E,Decision!B12)*(1+TAXRATE),0)</f>
        <v>0</v>
      </c>
      <c r="D351" s="14" t="n">
        <f aca="false">HEADCOUNT</f>
        <v>24</v>
      </c>
      <c r="E351" s="14" t="n">
        <f aca="false">B351*D351</f>
        <v>0</v>
      </c>
      <c r="F351" s="14" t="n">
        <f aca="false">C351*D351</f>
        <v>0</v>
      </c>
      <c r="G351" s="1" t="s">
        <v>126</v>
      </c>
    </row>
    <row r="352" customFormat="false" ht="15" hidden="false" customHeight="true" outlineLevel="0" collapsed="false">
      <c r="A352" s="23" t="str">
        <f aca="false">MIE_Daily!A318</f>
        <v/>
      </c>
      <c r="B352" s="14" t="n">
        <f aca="false">INDEX(MIE_Daily!$B$2:$AO$367,ROW()-35,5+8*(MATCH($B$2,CityData!$A$3:$A$7,0)-1))</f>
        <v>0</v>
      </c>
      <c r="C352" s="14" t="n">
        <f aca="false">IF(AND(A352&lt;&gt;"",A352&lt;Parameters!$B$14),INDEX(Candidate_Model!E:E,Decision!B12)*(1+TAXRATE),0)</f>
        <v>0</v>
      </c>
      <c r="D352" s="14" t="n">
        <f aca="false">HEADCOUNT</f>
        <v>24</v>
      </c>
      <c r="E352" s="14" t="n">
        <f aca="false">B352*D352</f>
        <v>0</v>
      </c>
      <c r="F352" s="14" t="n">
        <f aca="false">C352*D352</f>
        <v>0</v>
      </c>
      <c r="G352" s="1" t="s">
        <v>126</v>
      </c>
    </row>
    <row r="353" customFormat="false" ht="15" hidden="false" customHeight="true" outlineLevel="0" collapsed="false">
      <c r="A353" s="23" t="str">
        <f aca="false">MIE_Daily!A319</f>
        <v/>
      </c>
      <c r="B353" s="14" t="n">
        <f aca="false">INDEX(MIE_Daily!$B$2:$AO$367,ROW()-35,5+8*(MATCH($B$2,CityData!$A$3:$A$7,0)-1))</f>
        <v>0</v>
      </c>
      <c r="C353" s="14" t="n">
        <f aca="false">IF(AND(A353&lt;&gt;"",A353&lt;Parameters!$B$14),INDEX(Candidate_Model!E:E,Decision!B12)*(1+TAXRATE),0)</f>
        <v>0</v>
      </c>
      <c r="D353" s="14" t="n">
        <f aca="false">HEADCOUNT</f>
        <v>24</v>
      </c>
      <c r="E353" s="14" t="n">
        <f aca="false">B353*D353</f>
        <v>0</v>
      </c>
      <c r="F353" s="14" t="n">
        <f aca="false">C353*D353</f>
        <v>0</v>
      </c>
      <c r="G353" s="1" t="s">
        <v>126</v>
      </c>
    </row>
    <row r="354" customFormat="false" ht="15" hidden="false" customHeight="true" outlineLevel="0" collapsed="false">
      <c r="A354" s="23" t="str">
        <f aca="false">MIE_Daily!A320</f>
        <v/>
      </c>
      <c r="B354" s="14" t="n">
        <f aca="false">INDEX(MIE_Daily!$B$2:$AO$367,ROW()-35,5+8*(MATCH($B$2,CityData!$A$3:$A$7,0)-1))</f>
        <v>0</v>
      </c>
      <c r="C354" s="14" t="n">
        <f aca="false">IF(AND(A354&lt;&gt;"",A354&lt;Parameters!$B$14),INDEX(Candidate_Model!E:E,Decision!B12)*(1+TAXRATE),0)</f>
        <v>0</v>
      </c>
      <c r="D354" s="14" t="n">
        <f aca="false">HEADCOUNT</f>
        <v>24</v>
      </c>
      <c r="E354" s="14" t="n">
        <f aca="false">B354*D354</f>
        <v>0</v>
      </c>
      <c r="F354" s="14" t="n">
        <f aca="false">C354*D354</f>
        <v>0</v>
      </c>
      <c r="G354" s="1" t="s">
        <v>126</v>
      </c>
    </row>
    <row r="355" customFormat="false" ht="15" hidden="false" customHeight="true" outlineLevel="0" collapsed="false">
      <c r="A355" s="23" t="str">
        <f aca="false">MIE_Daily!A321</f>
        <v/>
      </c>
      <c r="B355" s="14" t="n">
        <f aca="false">INDEX(MIE_Daily!$B$2:$AO$367,ROW()-35,5+8*(MATCH($B$2,CityData!$A$3:$A$7,0)-1))</f>
        <v>0</v>
      </c>
      <c r="C355" s="14" t="n">
        <f aca="false">IF(AND(A355&lt;&gt;"",A355&lt;Parameters!$B$14),INDEX(Candidate_Model!E:E,Decision!B12)*(1+TAXRATE),0)</f>
        <v>0</v>
      </c>
      <c r="D355" s="14" t="n">
        <f aca="false">HEADCOUNT</f>
        <v>24</v>
      </c>
      <c r="E355" s="14" t="n">
        <f aca="false">B355*D355</f>
        <v>0</v>
      </c>
      <c r="F355" s="14" t="n">
        <f aca="false">C355*D355</f>
        <v>0</v>
      </c>
      <c r="G355" s="1" t="s">
        <v>126</v>
      </c>
    </row>
    <row r="356" customFormat="false" ht="15" hidden="false" customHeight="true" outlineLevel="0" collapsed="false">
      <c r="A356" s="23" t="str">
        <f aca="false">MIE_Daily!A322</f>
        <v/>
      </c>
      <c r="B356" s="14" t="n">
        <f aca="false">INDEX(MIE_Daily!$B$2:$AO$367,ROW()-35,5+8*(MATCH($B$2,CityData!$A$3:$A$7,0)-1))</f>
        <v>0</v>
      </c>
      <c r="C356" s="14" t="n">
        <f aca="false">IF(AND(A356&lt;&gt;"",A356&lt;Parameters!$B$14),INDEX(Candidate_Model!E:E,Decision!B12)*(1+TAXRATE),0)</f>
        <v>0</v>
      </c>
      <c r="D356" s="14" t="n">
        <f aca="false">HEADCOUNT</f>
        <v>24</v>
      </c>
      <c r="E356" s="14" t="n">
        <f aca="false">B356*D356</f>
        <v>0</v>
      </c>
      <c r="F356" s="14" t="n">
        <f aca="false">C356*D356</f>
        <v>0</v>
      </c>
      <c r="G356" s="1" t="s">
        <v>126</v>
      </c>
    </row>
    <row r="357" customFormat="false" ht="15" hidden="false" customHeight="true" outlineLevel="0" collapsed="false">
      <c r="A357" s="23" t="str">
        <f aca="false">MIE_Daily!A323</f>
        <v/>
      </c>
      <c r="B357" s="14" t="n">
        <f aca="false">INDEX(MIE_Daily!$B$2:$AO$367,ROW()-35,5+8*(MATCH($B$2,CityData!$A$3:$A$7,0)-1))</f>
        <v>0</v>
      </c>
      <c r="C357" s="14" t="n">
        <f aca="false">IF(AND(A357&lt;&gt;"",A357&lt;Parameters!$B$14),INDEX(Candidate_Model!E:E,Decision!B12)*(1+TAXRATE),0)</f>
        <v>0</v>
      </c>
      <c r="D357" s="14" t="n">
        <f aca="false">HEADCOUNT</f>
        <v>24</v>
      </c>
      <c r="E357" s="14" t="n">
        <f aca="false">B357*D357</f>
        <v>0</v>
      </c>
      <c r="F357" s="14" t="n">
        <f aca="false">C357*D357</f>
        <v>0</v>
      </c>
      <c r="G357" s="1" t="s">
        <v>126</v>
      </c>
    </row>
    <row r="358" customFormat="false" ht="15" hidden="false" customHeight="true" outlineLevel="0" collapsed="false">
      <c r="A358" s="23" t="str">
        <f aca="false">MIE_Daily!A324</f>
        <v/>
      </c>
      <c r="B358" s="14" t="n">
        <f aca="false">INDEX(MIE_Daily!$B$2:$AO$367,ROW()-35,5+8*(MATCH($B$2,CityData!$A$3:$A$7,0)-1))</f>
        <v>0</v>
      </c>
      <c r="C358" s="14" t="n">
        <f aca="false">IF(AND(A358&lt;&gt;"",A358&lt;Parameters!$B$14),INDEX(Candidate_Model!E:E,Decision!B12)*(1+TAXRATE),0)</f>
        <v>0</v>
      </c>
      <c r="D358" s="14" t="n">
        <f aca="false">HEADCOUNT</f>
        <v>24</v>
      </c>
      <c r="E358" s="14" t="n">
        <f aca="false">B358*D358</f>
        <v>0</v>
      </c>
      <c r="F358" s="14" t="n">
        <f aca="false">C358*D358</f>
        <v>0</v>
      </c>
      <c r="G358" s="1" t="s">
        <v>126</v>
      </c>
    </row>
    <row r="359" customFormat="false" ht="15" hidden="false" customHeight="true" outlineLevel="0" collapsed="false">
      <c r="A359" s="23" t="str">
        <f aca="false">MIE_Daily!A325</f>
        <v/>
      </c>
      <c r="B359" s="14" t="n">
        <f aca="false">INDEX(MIE_Daily!$B$2:$AO$367,ROW()-35,5+8*(MATCH($B$2,CityData!$A$3:$A$7,0)-1))</f>
        <v>0</v>
      </c>
      <c r="C359" s="14" t="n">
        <f aca="false">IF(AND(A359&lt;&gt;"",A359&lt;Parameters!$B$14),INDEX(Candidate_Model!E:E,Decision!B12)*(1+TAXRATE),0)</f>
        <v>0</v>
      </c>
      <c r="D359" s="14" t="n">
        <f aca="false">HEADCOUNT</f>
        <v>24</v>
      </c>
      <c r="E359" s="14" t="n">
        <f aca="false">B359*D359</f>
        <v>0</v>
      </c>
      <c r="F359" s="14" t="n">
        <f aca="false">C359*D359</f>
        <v>0</v>
      </c>
      <c r="G359" s="1" t="s">
        <v>126</v>
      </c>
    </row>
    <row r="360" customFormat="false" ht="15" hidden="false" customHeight="true" outlineLevel="0" collapsed="false">
      <c r="A360" s="23" t="str">
        <f aca="false">MIE_Daily!A326</f>
        <v/>
      </c>
      <c r="B360" s="14" t="n">
        <f aca="false">INDEX(MIE_Daily!$B$2:$AO$367,ROW()-35,5+8*(MATCH($B$2,CityData!$A$3:$A$7,0)-1))</f>
        <v>0</v>
      </c>
      <c r="C360" s="14" t="n">
        <f aca="false">IF(AND(A360&lt;&gt;"",A360&lt;Parameters!$B$14),INDEX(Candidate_Model!E:E,Decision!B12)*(1+TAXRATE),0)</f>
        <v>0</v>
      </c>
      <c r="D360" s="14" t="n">
        <f aca="false">HEADCOUNT</f>
        <v>24</v>
      </c>
      <c r="E360" s="14" t="n">
        <f aca="false">B360*D360</f>
        <v>0</v>
      </c>
      <c r="F360" s="14" t="n">
        <f aca="false">C360*D360</f>
        <v>0</v>
      </c>
      <c r="G360" s="1" t="s">
        <v>126</v>
      </c>
    </row>
    <row r="361" customFormat="false" ht="15" hidden="false" customHeight="true" outlineLevel="0" collapsed="false">
      <c r="A361" s="23" t="str">
        <f aca="false">MIE_Daily!A327</f>
        <v/>
      </c>
      <c r="B361" s="14" t="n">
        <f aca="false">INDEX(MIE_Daily!$B$2:$AO$367,ROW()-35,5+8*(MATCH($B$2,CityData!$A$3:$A$7,0)-1))</f>
        <v>0</v>
      </c>
      <c r="C361" s="14" t="n">
        <f aca="false">IF(AND(A361&lt;&gt;"",A361&lt;Parameters!$B$14),INDEX(Candidate_Model!E:E,Decision!B12)*(1+TAXRATE),0)</f>
        <v>0</v>
      </c>
      <c r="D361" s="14" t="n">
        <f aca="false">HEADCOUNT</f>
        <v>24</v>
      </c>
      <c r="E361" s="14" t="n">
        <f aca="false">B361*D361</f>
        <v>0</v>
      </c>
      <c r="F361" s="14" t="n">
        <f aca="false">C361*D361</f>
        <v>0</v>
      </c>
      <c r="G361" s="1" t="s">
        <v>126</v>
      </c>
    </row>
    <row r="362" customFormat="false" ht="15" hidden="false" customHeight="true" outlineLevel="0" collapsed="false">
      <c r="A362" s="23" t="str">
        <f aca="false">MIE_Daily!A328</f>
        <v/>
      </c>
      <c r="B362" s="14" t="n">
        <f aca="false">INDEX(MIE_Daily!$B$2:$AO$367,ROW()-35,5+8*(MATCH($B$2,CityData!$A$3:$A$7,0)-1))</f>
        <v>0</v>
      </c>
      <c r="C362" s="14" t="n">
        <f aca="false">IF(AND(A362&lt;&gt;"",A362&lt;Parameters!$B$14),INDEX(Candidate_Model!E:E,Decision!B12)*(1+TAXRATE),0)</f>
        <v>0</v>
      </c>
      <c r="D362" s="14" t="n">
        <f aca="false">HEADCOUNT</f>
        <v>24</v>
      </c>
      <c r="E362" s="14" t="n">
        <f aca="false">B362*D362</f>
        <v>0</v>
      </c>
      <c r="F362" s="14" t="n">
        <f aca="false">C362*D362</f>
        <v>0</v>
      </c>
      <c r="G362" s="1" t="s">
        <v>126</v>
      </c>
    </row>
    <row r="363" customFormat="false" ht="15" hidden="false" customHeight="true" outlineLevel="0" collapsed="false">
      <c r="A363" s="23" t="str">
        <f aca="false">MIE_Daily!A329</f>
        <v/>
      </c>
      <c r="B363" s="14" t="n">
        <f aca="false">INDEX(MIE_Daily!$B$2:$AO$367,ROW()-35,5+8*(MATCH($B$2,CityData!$A$3:$A$7,0)-1))</f>
        <v>0</v>
      </c>
      <c r="C363" s="14" t="n">
        <f aca="false">IF(AND(A363&lt;&gt;"",A363&lt;Parameters!$B$14),INDEX(Candidate_Model!E:E,Decision!B12)*(1+TAXRATE),0)</f>
        <v>0</v>
      </c>
      <c r="D363" s="14" t="n">
        <f aca="false">HEADCOUNT</f>
        <v>24</v>
      </c>
      <c r="E363" s="14" t="n">
        <f aca="false">B363*D363</f>
        <v>0</v>
      </c>
      <c r="F363" s="14" t="n">
        <f aca="false">C363*D363</f>
        <v>0</v>
      </c>
      <c r="G363" s="1" t="s">
        <v>126</v>
      </c>
    </row>
    <row r="364" customFormat="false" ht="15" hidden="false" customHeight="true" outlineLevel="0" collapsed="false">
      <c r="A364" s="23" t="str">
        <f aca="false">MIE_Daily!A330</f>
        <v/>
      </c>
      <c r="B364" s="14" t="n">
        <f aca="false">INDEX(MIE_Daily!$B$2:$AO$367,ROW()-35,5+8*(MATCH($B$2,CityData!$A$3:$A$7,0)-1))</f>
        <v>0</v>
      </c>
      <c r="C364" s="14" t="n">
        <f aca="false">IF(AND(A364&lt;&gt;"",A364&lt;Parameters!$B$14),INDEX(Candidate_Model!E:E,Decision!B12)*(1+TAXRATE),0)</f>
        <v>0</v>
      </c>
      <c r="D364" s="14" t="n">
        <f aca="false">HEADCOUNT</f>
        <v>24</v>
      </c>
      <c r="E364" s="14" t="n">
        <f aca="false">B364*D364</f>
        <v>0</v>
      </c>
      <c r="F364" s="14" t="n">
        <f aca="false">C364*D364</f>
        <v>0</v>
      </c>
      <c r="G364" s="1" t="s">
        <v>126</v>
      </c>
    </row>
    <row r="365" customFormat="false" ht="15" hidden="false" customHeight="true" outlineLevel="0" collapsed="false">
      <c r="A365" s="23" t="str">
        <f aca="false">MIE_Daily!A331</f>
        <v/>
      </c>
      <c r="B365" s="14" t="n">
        <f aca="false">INDEX(MIE_Daily!$B$2:$AO$367,ROW()-35,5+8*(MATCH($B$2,CityData!$A$3:$A$7,0)-1))</f>
        <v>0</v>
      </c>
      <c r="C365" s="14" t="n">
        <f aca="false">IF(AND(A365&lt;&gt;"",A365&lt;Parameters!$B$14),INDEX(Candidate_Model!E:E,Decision!B12)*(1+TAXRATE),0)</f>
        <v>0</v>
      </c>
      <c r="D365" s="14" t="n">
        <f aca="false">HEADCOUNT</f>
        <v>24</v>
      </c>
      <c r="E365" s="14" t="n">
        <f aca="false">B365*D365</f>
        <v>0</v>
      </c>
      <c r="F365" s="14" t="n">
        <f aca="false">C365*D365</f>
        <v>0</v>
      </c>
      <c r="G365" s="1" t="s">
        <v>126</v>
      </c>
    </row>
    <row r="366" customFormat="false" ht="15" hidden="false" customHeight="true" outlineLevel="0" collapsed="false">
      <c r="A366" s="23" t="str">
        <f aca="false">MIE_Daily!A332</f>
        <v/>
      </c>
      <c r="B366" s="14" t="n">
        <f aca="false">INDEX(MIE_Daily!$B$2:$AO$367,ROW()-35,5+8*(MATCH($B$2,CityData!$A$3:$A$7,0)-1))</f>
        <v>0</v>
      </c>
      <c r="C366" s="14" t="n">
        <f aca="false">IF(AND(A366&lt;&gt;"",A366&lt;Parameters!$B$14),INDEX(Candidate_Model!E:E,Decision!B12)*(1+TAXRATE),0)</f>
        <v>0</v>
      </c>
      <c r="D366" s="14" t="n">
        <f aca="false">HEADCOUNT</f>
        <v>24</v>
      </c>
      <c r="E366" s="14" t="n">
        <f aca="false">B366*D366</f>
        <v>0</v>
      </c>
      <c r="F366" s="14" t="n">
        <f aca="false">C366*D366</f>
        <v>0</v>
      </c>
      <c r="G366" s="1" t="s">
        <v>126</v>
      </c>
    </row>
    <row r="367" customFormat="false" ht="15" hidden="false" customHeight="true" outlineLevel="0" collapsed="false">
      <c r="A367" s="23" t="str">
        <f aca="false">MIE_Daily!A333</f>
        <v/>
      </c>
      <c r="B367" s="14" t="n">
        <f aca="false">INDEX(MIE_Daily!$B$2:$AO$367,ROW()-35,5+8*(MATCH($B$2,CityData!$A$3:$A$7,0)-1))</f>
        <v>0</v>
      </c>
      <c r="C367" s="14" t="n">
        <f aca="false">IF(AND(A367&lt;&gt;"",A367&lt;Parameters!$B$14),INDEX(Candidate_Model!E:E,Decision!B12)*(1+TAXRATE),0)</f>
        <v>0</v>
      </c>
      <c r="D367" s="14" t="n">
        <f aca="false">HEADCOUNT</f>
        <v>24</v>
      </c>
      <c r="E367" s="14" t="n">
        <f aca="false">B367*D367</f>
        <v>0</v>
      </c>
      <c r="F367" s="14" t="n">
        <f aca="false">C367*D367</f>
        <v>0</v>
      </c>
      <c r="G367" s="1" t="s">
        <v>126</v>
      </c>
    </row>
    <row r="368" customFormat="false" ht="15" hidden="false" customHeight="true" outlineLevel="0" collapsed="false">
      <c r="A368" s="23" t="str">
        <f aca="false">MIE_Daily!A334</f>
        <v/>
      </c>
      <c r="B368" s="14" t="n">
        <f aca="false">INDEX(MIE_Daily!$B$2:$AO$367,ROW()-35,5+8*(MATCH($B$2,CityData!$A$3:$A$7,0)-1))</f>
        <v>0</v>
      </c>
      <c r="C368" s="14" t="n">
        <f aca="false">IF(AND(A368&lt;&gt;"",A368&lt;Parameters!$B$14),INDEX(Candidate_Model!E:E,Decision!B12)*(1+TAXRATE),0)</f>
        <v>0</v>
      </c>
      <c r="D368" s="14" t="n">
        <f aca="false">HEADCOUNT</f>
        <v>24</v>
      </c>
      <c r="E368" s="14" t="n">
        <f aca="false">B368*D368</f>
        <v>0</v>
      </c>
      <c r="F368" s="14" t="n">
        <f aca="false">C368*D368</f>
        <v>0</v>
      </c>
      <c r="G368" s="1" t="s">
        <v>126</v>
      </c>
    </row>
    <row r="369" customFormat="false" ht="15" hidden="false" customHeight="true" outlineLevel="0" collapsed="false">
      <c r="A369" s="23" t="str">
        <f aca="false">MIE_Daily!A335</f>
        <v/>
      </c>
      <c r="B369" s="14" t="n">
        <f aca="false">INDEX(MIE_Daily!$B$2:$AO$367,ROW()-35,5+8*(MATCH($B$2,CityData!$A$3:$A$7,0)-1))</f>
        <v>0</v>
      </c>
      <c r="C369" s="14" t="n">
        <f aca="false">IF(AND(A369&lt;&gt;"",A369&lt;Parameters!$B$14),INDEX(Candidate_Model!E:E,Decision!B12)*(1+TAXRATE),0)</f>
        <v>0</v>
      </c>
      <c r="D369" s="14" t="n">
        <f aca="false">HEADCOUNT</f>
        <v>24</v>
      </c>
      <c r="E369" s="14" t="n">
        <f aca="false">B369*D369</f>
        <v>0</v>
      </c>
      <c r="F369" s="14" t="n">
        <f aca="false">C369*D369</f>
        <v>0</v>
      </c>
      <c r="G369" s="1" t="s">
        <v>126</v>
      </c>
    </row>
    <row r="370" customFormat="false" ht="15" hidden="false" customHeight="true" outlineLevel="0" collapsed="false">
      <c r="A370" s="23" t="str">
        <f aca="false">MIE_Daily!A336</f>
        <v/>
      </c>
      <c r="B370" s="14" t="n">
        <f aca="false">INDEX(MIE_Daily!$B$2:$AO$367,ROW()-35,5+8*(MATCH($B$2,CityData!$A$3:$A$7,0)-1))</f>
        <v>0</v>
      </c>
      <c r="C370" s="14" t="n">
        <f aca="false">IF(AND(A370&lt;&gt;"",A370&lt;Parameters!$B$14),INDEX(Candidate_Model!E:E,Decision!B12)*(1+TAXRATE),0)</f>
        <v>0</v>
      </c>
      <c r="D370" s="14" t="n">
        <f aca="false">HEADCOUNT</f>
        <v>24</v>
      </c>
      <c r="E370" s="14" t="n">
        <f aca="false">B370*D370</f>
        <v>0</v>
      </c>
      <c r="F370" s="14" t="n">
        <f aca="false">C370*D370</f>
        <v>0</v>
      </c>
      <c r="G370" s="1" t="s">
        <v>126</v>
      </c>
    </row>
    <row r="371" customFormat="false" ht="15" hidden="false" customHeight="true" outlineLevel="0" collapsed="false">
      <c r="A371" s="23" t="str">
        <f aca="false">MIE_Daily!A337</f>
        <v/>
      </c>
      <c r="B371" s="14" t="n">
        <f aca="false">INDEX(MIE_Daily!$B$2:$AO$367,ROW()-35,5+8*(MATCH($B$2,CityData!$A$3:$A$7,0)-1))</f>
        <v>0</v>
      </c>
      <c r="C371" s="14" t="n">
        <f aca="false">IF(AND(A371&lt;&gt;"",A371&lt;Parameters!$B$14),INDEX(Candidate_Model!E:E,Decision!B12)*(1+TAXRATE),0)</f>
        <v>0</v>
      </c>
      <c r="D371" s="14" t="n">
        <f aca="false">HEADCOUNT</f>
        <v>24</v>
      </c>
      <c r="E371" s="14" t="n">
        <f aca="false">B371*D371</f>
        <v>0</v>
      </c>
      <c r="F371" s="14" t="n">
        <f aca="false">C371*D371</f>
        <v>0</v>
      </c>
      <c r="G371" s="1" t="s">
        <v>126</v>
      </c>
    </row>
    <row r="372" customFormat="false" ht="15" hidden="false" customHeight="true" outlineLevel="0" collapsed="false">
      <c r="A372" s="23" t="str">
        <f aca="false">MIE_Daily!A338</f>
        <v/>
      </c>
      <c r="B372" s="14" t="n">
        <f aca="false">INDEX(MIE_Daily!$B$2:$AO$367,ROW()-35,5+8*(MATCH($B$2,CityData!$A$3:$A$7,0)-1))</f>
        <v>0</v>
      </c>
      <c r="C372" s="14" t="n">
        <f aca="false">IF(AND(A372&lt;&gt;"",A372&lt;Parameters!$B$14),INDEX(Candidate_Model!E:E,Decision!B12)*(1+TAXRATE),0)</f>
        <v>0</v>
      </c>
      <c r="D372" s="14" t="n">
        <f aca="false">HEADCOUNT</f>
        <v>24</v>
      </c>
      <c r="E372" s="14" t="n">
        <f aca="false">B372*D372</f>
        <v>0</v>
      </c>
      <c r="F372" s="14" t="n">
        <f aca="false">C372*D372</f>
        <v>0</v>
      </c>
      <c r="G372" s="1" t="s">
        <v>126</v>
      </c>
    </row>
    <row r="373" customFormat="false" ht="15" hidden="false" customHeight="true" outlineLevel="0" collapsed="false">
      <c r="A373" s="23" t="str">
        <f aca="false">MIE_Daily!A339</f>
        <v/>
      </c>
      <c r="B373" s="14" t="n">
        <f aca="false">INDEX(MIE_Daily!$B$2:$AO$367,ROW()-35,5+8*(MATCH($B$2,CityData!$A$3:$A$7,0)-1))</f>
        <v>0</v>
      </c>
      <c r="C373" s="14" t="n">
        <f aca="false">IF(AND(A373&lt;&gt;"",A373&lt;Parameters!$B$14),INDEX(Candidate_Model!E:E,Decision!B12)*(1+TAXRATE),0)</f>
        <v>0</v>
      </c>
      <c r="D373" s="14" t="n">
        <f aca="false">HEADCOUNT</f>
        <v>24</v>
      </c>
      <c r="E373" s="14" t="n">
        <f aca="false">B373*D373</f>
        <v>0</v>
      </c>
      <c r="F373" s="14" t="n">
        <f aca="false">C373*D373</f>
        <v>0</v>
      </c>
      <c r="G373" s="1" t="s">
        <v>126</v>
      </c>
    </row>
    <row r="374" customFormat="false" ht="15" hidden="false" customHeight="true" outlineLevel="0" collapsed="false">
      <c r="A374" s="23" t="str">
        <f aca="false">MIE_Daily!A340</f>
        <v/>
      </c>
      <c r="B374" s="14" t="n">
        <f aca="false">INDEX(MIE_Daily!$B$2:$AO$367,ROW()-35,5+8*(MATCH($B$2,CityData!$A$3:$A$7,0)-1))</f>
        <v>0</v>
      </c>
      <c r="C374" s="14" t="n">
        <f aca="false">IF(AND(A374&lt;&gt;"",A374&lt;Parameters!$B$14),INDEX(Candidate_Model!E:E,Decision!B12)*(1+TAXRATE),0)</f>
        <v>0</v>
      </c>
      <c r="D374" s="14" t="n">
        <f aca="false">HEADCOUNT</f>
        <v>24</v>
      </c>
      <c r="E374" s="14" t="n">
        <f aca="false">B374*D374</f>
        <v>0</v>
      </c>
      <c r="F374" s="14" t="n">
        <f aca="false">C374*D374</f>
        <v>0</v>
      </c>
      <c r="G374" s="1" t="s">
        <v>126</v>
      </c>
    </row>
    <row r="375" customFormat="false" ht="15" hidden="false" customHeight="true" outlineLevel="0" collapsed="false">
      <c r="A375" s="23" t="str">
        <f aca="false">MIE_Daily!A341</f>
        <v/>
      </c>
      <c r="B375" s="14" t="n">
        <f aca="false">INDEX(MIE_Daily!$B$2:$AO$367,ROW()-35,5+8*(MATCH($B$2,CityData!$A$3:$A$7,0)-1))</f>
        <v>0</v>
      </c>
      <c r="C375" s="14" t="n">
        <f aca="false">IF(AND(A375&lt;&gt;"",A375&lt;Parameters!$B$14),INDEX(Candidate_Model!E:E,Decision!B12)*(1+TAXRATE),0)</f>
        <v>0</v>
      </c>
      <c r="D375" s="14" t="n">
        <f aca="false">HEADCOUNT</f>
        <v>24</v>
      </c>
      <c r="E375" s="14" t="n">
        <f aca="false">B375*D375</f>
        <v>0</v>
      </c>
      <c r="F375" s="14" t="n">
        <f aca="false">C375*D375</f>
        <v>0</v>
      </c>
      <c r="G375" s="1" t="s">
        <v>126</v>
      </c>
    </row>
    <row r="376" customFormat="false" ht="15" hidden="false" customHeight="true" outlineLevel="0" collapsed="false">
      <c r="A376" s="23" t="str">
        <f aca="false">MIE_Daily!A342</f>
        <v/>
      </c>
      <c r="B376" s="14" t="n">
        <f aca="false">INDEX(MIE_Daily!$B$2:$AO$367,ROW()-35,5+8*(MATCH($B$2,CityData!$A$3:$A$7,0)-1))</f>
        <v>0</v>
      </c>
      <c r="C376" s="14" t="n">
        <f aca="false">IF(AND(A376&lt;&gt;"",A376&lt;Parameters!$B$14),INDEX(Candidate_Model!E:E,Decision!B12)*(1+TAXRATE),0)</f>
        <v>0</v>
      </c>
      <c r="D376" s="14" t="n">
        <f aca="false">HEADCOUNT</f>
        <v>24</v>
      </c>
      <c r="E376" s="14" t="n">
        <f aca="false">B376*D376</f>
        <v>0</v>
      </c>
      <c r="F376" s="14" t="n">
        <f aca="false">C376*D376</f>
        <v>0</v>
      </c>
      <c r="G376" s="1" t="s">
        <v>126</v>
      </c>
    </row>
    <row r="377" customFormat="false" ht="15" hidden="false" customHeight="true" outlineLevel="0" collapsed="false">
      <c r="A377" s="23" t="str">
        <f aca="false">MIE_Daily!A343</f>
        <v/>
      </c>
      <c r="B377" s="14" t="n">
        <f aca="false">INDEX(MIE_Daily!$B$2:$AO$367,ROW()-35,5+8*(MATCH($B$2,CityData!$A$3:$A$7,0)-1))</f>
        <v>0</v>
      </c>
      <c r="C377" s="14" t="n">
        <f aca="false">IF(AND(A377&lt;&gt;"",A377&lt;Parameters!$B$14),INDEX(Candidate_Model!E:E,Decision!B12)*(1+TAXRATE),0)</f>
        <v>0</v>
      </c>
      <c r="D377" s="14" t="n">
        <f aca="false">HEADCOUNT</f>
        <v>24</v>
      </c>
      <c r="E377" s="14" t="n">
        <f aca="false">B377*D377</f>
        <v>0</v>
      </c>
      <c r="F377" s="14" t="n">
        <f aca="false">C377*D377</f>
        <v>0</v>
      </c>
      <c r="G377" s="1" t="s">
        <v>126</v>
      </c>
    </row>
    <row r="378" customFormat="false" ht="15" hidden="false" customHeight="true" outlineLevel="0" collapsed="false">
      <c r="A378" s="23" t="str">
        <f aca="false">MIE_Daily!A344</f>
        <v/>
      </c>
      <c r="B378" s="14" t="n">
        <f aca="false">INDEX(MIE_Daily!$B$2:$AO$367,ROW()-35,5+8*(MATCH($B$2,CityData!$A$3:$A$7,0)-1))</f>
        <v>0</v>
      </c>
      <c r="C378" s="14" t="n">
        <f aca="false">IF(AND(A378&lt;&gt;"",A378&lt;Parameters!$B$14),INDEX(Candidate_Model!E:E,Decision!B12)*(1+TAXRATE),0)</f>
        <v>0</v>
      </c>
      <c r="D378" s="14" t="n">
        <f aca="false">HEADCOUNT</f>
        <v>24</v>
      </c>
      <c r="E378" s="14" t="n">
        <f aca="false">B378*D378</f>
        <v>0</v>
      </c>
      <c r="F378" s="14" t="n">
        <f aca="false">C378*D378</f>
        <v>0</v>
      </c>
      <c r="G378" s="1" t="s">
        <v>126</v>
      </c>
    </row>
    <row r="379" customFormat="false" ht="15" hidden="false" customHeight="true" outlineLevel="0" collapsed="false">
      <c r="A379" s="23" t="str">
        <f aca="false">MIE_Daily!A345</f>
        <v/>
      </c>
      <c r="B379" s="14" t="n">
        <f aca="false">INDEX(MIE_Daily!$B$2:$AO$367,ROW()-35,5+8*(MATCH($B$2,CityData!$A$3:$A$7,0)-1))</f>
        <v>0</v>
      </c>
      <c r="C379" s="14" t="n">
        <f aca="false">IF(AND(A379&lt;&gt;"",A379&lt;Parameters!$B$14),INDEX(Candidate_Model!E:E,Decision!B12)*(1+TAXRATE),0)</f>
        <v>0</v>
      </c>
      <c r="D379" s="14" t="n">
        <f aca="false">HEADCOUNT</f>
        <v>24</v>
      </c>
      <c r="E379" s="14" t="n">
        <f aca="false">B379*D379</f>
        <v>0</v>
      </c>
      <c r="F379" s="14" t="n">
        <f aca="false">C379*D379</f>
        <v>0</v>
      </c>
      <c r="G379" s="1" t="s">
        <v>126</v>
      </c>
    </row>
    <row r="380" customFormat="false" ht="15" hidden="false" customHeight="true" outlineLevel="0" collapsed="false">
      <c r="A380" s="23" t="str">
        <f aca="false">MIE_Daily!A346</f>
        <v/>
      </c>
      <c r="B380" s="14" t="n">
        <f aca="false">INDEX(MIE_Daily!$B$2:$AO$367,ROW()-35,5+8*(MATCH($B$2,CityData!$A$3:$A$7,0)-1))</f>
        <v>0</v>
      </c>
      <c r="C380" s="14" t="n">
        <f aca="false">IF(AND(A380&lt;&gt;"",A380&lt;Parameters!$B$14),INDEX(Candidate_Model!E:E,Decision!B12)*(1+TAXRATE),0)</f>
        <v>0</v>
      </c>
      <c r="D380" s="14" t="n">
        <f aca="false">HEADCOUNT</f>
        <v>24</v>
      </c>
      <c r="E380" s="14" t="n">
        <f aca="false">B380*D380</f>
        <v>0</v>
      </c>
      <c r="F380" s="14" t="n">
        <f aca="false">C380*D380</f>
        <v>0</v>
      </c>
      <c r="G380" s="1" t="s">
        <v>126</v>
      </c>
    </row>
    <row r="381" customFormat="false" ht="15" hidden="false" customHeight="true" outlineLevel="0" collapsed="false">
      <c r="A381" s="23" t="str">
        <f aca="false">MIE_Daily!A347</f>
        <v/>
      </c>
      <c r="B381" s="14" t="n">
        <f aca="false">INDEX(MIE_Daily!$B$2:$AO$367,ROW()-35,5+8*(MATCH($B$2,CityData!$A$3:$A$7,0)-1))</f>
        <v>0</v>
      </c>
      <c r="C381" s="14" t="n">
        <f aca="false">IF(AND(A381&lt;&gt;"",A381&lt;Parameters!$B$14),INDEX(Candidate_Model!E:E,Decision!B12)*(1+TAXRATE),0)</f>
        <v>0</v>
      </c>
      <c r="D381" s="14" t="n">
        <f aca="false">HEADCOUNT</f>
        <v>24</v>
      </c>
      <c r="E381" s="14" t="n">
        <f aca="false">B381*D381</f>
        <v>0</v>
      </c>
      <c r="F381" s="14" t="n">
        <f aca="false">C381*D381</f>
        <v>0</v>
      </c>
      <c r="G381" s="1" t="s">
        <v>126</v>
      </c>
    </row>
    <row r="382" customFormat="false" ht="15" hidden="false" customHeight="true" outlineLevel="0" collapsed="false">
      <c r="A382" s="23" t="str">
        <f aca="false">MIE_Daily!A348</f>
        <v/>
      </c>
      <c r="B382" s="14" t="n">
        <f aca="false">INDEX(MIE_Daily!$B$2:$AO$367,ROW()-35,5+8*(MATCH($B$2,CityData!$A$3:$A$7,0)-1))</f>
        <v>0</v>
      </c>
      <c r="C382" s="14" t="n">
        <f aca="false">IF(AND(A382&lt;&gt;"",A382&lt;Parameters!$B$14),INDEX(Candidate_Model!E:E,Decision!B12)*(1+TAXRATE),0)</f>
        <v>0</v>
      </c>
      <c r="D382" s="14" t="n">
        <f aca="false">HEADCOUNT</f>
        <v>24</v>
      </c>
      <c r="E382" s="14" t="n">
        <f aca="false">B382*D382</f>
        <v>0</v>
      </c>
      <c r="F382" s="14" t="n">
        <f aca="false">C382*D382</f>
        <v>0</v>
      </c>
      <c r="G382" s="1" t="s">
        <v>126</v>
      </c>
    </row>
    <row r="383" customFormat="false" ht="15" hidden="false" customHeight="true" outlineLevel="0" collapsed="false">
      <c r="A383" s="23" t="str">
        <f aca="false">MIE_Daily!A349</f>
        <v/>
      </c>
      <c r="B383" s="14" t="n">
        <f aca="false">INDEX(MIE_Daily!$B$2:$AO$367,ROW()-35,5+8*(MATCH($B$2,CityData!$A$3:$A$7,0)-1))</f>
        <v>0</v>
      </c>
      <c r="C383" s="14" t="n">
        <f aca="false">IF(AND(A383&lt;&gt;"",A383&lt;Parameters!$B$14),INDEX(Candidate_Model!E:E,Decision!B12)*(1+TAXRATE),0)</f>
        <v>0</v>
      </c>
      <c r="D383" s="14" t="n">
        <f aca="false">HEADCOUNT</f>
        <v>24</v>
      </c>
      <c r="E383" s="14" t="n">
        <f aca="false">B383*D383</f>
        <v>0</v>
      </c>
      <c r="F383" s="14" t="n">
        <f aca="false">C383*D383</f>
        <v>0</v>
      </c>
      <c r="G383" s="1" t="s">
        <v>126</v>
      </c>
    </row>
    <row r="384" customFormat="false" ht="15" hidden="false" customHeight="true" outlineLevel="0" collapsed="false">
      <c r="A384" s="23" t="str">
        <f aca="false">MIE_Daily!A350</f>
        <v/>
      </c>
      <c r="B384" s="14" t="n">
        <f aca="false">INDEX(MIE_Daily!$B$2:$AO$367,ROW()-35,5+8*(MATCH($B$2,CityData!$A$3:$A$7,0)-1))</f>
        <v>0</v>
      </c>
      <c r="C384" s="14" t="n">
        <f aca="false">IF(AND(A384&lt;&gt;"",A384&lt;Parameters!$B$14),INDEX(Candidate_Model!E:E,Decision!B12)*(1+TAXRATE),0)</f>
        <v>0</v>
      </c>
      <c r="D384" s="14" t="n">
        <f aca="false">HEADCOUNT</f>
        <v>24</v>
      </c>
      <c r="E384" s="14" t="n">
        <f aca="false">B384*D384</f>
        <v>0</v>
      </c>
      <c r="F384" s="14" t="n">
        <f aca="false">C384*D384</f>
        <v>0</v>
      </c>
      <c r="G384" s="1" t="s">
        <v>126</v>
      </c>
    </row>
    <row r="385" customFormat="false" ht="15" hidden="false" customHeight="true" outlineLevel="0" collapsed="false">
      <c r="A385" s="23" t="str">
        <f aca="false">MIE_Daily!A351</f>
        <v/>
      </c>
      <c r="B385" s="14" t="n">
        <f aca="false">INDEX(MIE_Daily!$B$2:$AO$367,ROW()-35,5+8*(MATCH($B$2,CityData!$A$3:$A$7,0)-1))</f>
        <v>0</v>
      </c>
      <c r="C385" s="14" t="n">
        <f aca="false">IF(AND(A385&lt;&gt;"",A385&lt;Parameters!$B$14),INDEX(Candidate_Model!E:E,Decision!B12)*(1+TAXRATE),0)</f>
        <v>0</v>
      </c>
      <c r="D385" s="14" t="n">
        <f aca="false">HEADCOUNT</f>
        <v>24</v>
      </c>
      <c r="E385" s="14" t="n">
        <f aca="false">B385*D385</f>
        <v>0</v>
      </c>
      <c r="F385" s="14" t="n">
        <f aca="false">C385*D385</f>
        <v>0</v>
      </c>
      <c r="G385" s="1" t="s">
        <v>126</v>
      </c>
    </row>
    <row r="386" customFormat="false" ht="15" hidden="false" customHeight="true" outlineLevel="0" collapsed="false">
      <c r="A386" s="23" t="str">
        <f aca="false">MIE_Daily!A352</f>
        <v/>
      </c>
      <c r="B386" s="14" t="n">
        <f aca="false">INDEX(MIE_Daily!$B$2:$AO$367,ROW()-35,5+8*(MATCH($B$2,CityData!$A$3:$A$7,0)-1))</f>
        <v>0</v>
      </c>
      <c r="C386" s="14" t="n">
        <f aca="false">IF(AND(A386&lt;&gt;"",A386&lt;Parameters!$B$14),INDEX(Candidate_Model!E:E,Decision!B12)*(1+TAXRATE),0)</f>
        <v>0</v>
      </c>
      <c r="D386" s="14" t="n">
        <f aca="false">HEADCOUNT</f>
        <v>24</v>
      </c>
      <c r="E386" s="14" t="n">
        <f aca="false">B386*D386</f>
        <v>0</v>
      </c>
      <c r="F386" s="14" t="n">
        <f aca="false">C386*D386</f>
        <v>0</v>
      </c>
      <c r="G386" s="1" t="s">
        <v>126</v>
      </c>
    </row>
    <row r="387" customFormat="false" ht="15" hidden="false" customHeight="true" outlineLevel="0" collapsed="false">
      <c r="A387" s="23" t="str">
        <f aca="false">MIE_Daily!A353</f>
        <v/>
      </c>
      <c r="B387" s="14" t="n">
        <f aca="false">INDEX(MIE_Daily!$B$2:$AO$367,ROW()-35,5+8*(MATCH($B$2,CityData!$A$3:$A$7,0)-1))</f>
        <v>0</v>
      </c>
      <c r="C387" s="14" t="n">
        <f aca="false">IF(AND(A387&lt;&gt;"",A387&lt;Parameters!$B$14),INDEX(Candidate_Model!E:E,Decision!B12)*(1+TAXRATE),0)</f>
        <v>0</v>
      </c>
      <c r="D387" s="14" t="n">
        <f aca="false">HEADCOUNT</f>
        <v>24</v>
      </c>
      <c r="E387" s="14" t="n">
        <f aca="false">B387*D387</f>
        <v>0</v>
      </c>
      <c r="F387" s="14" t="n">
        <f aca="false">C387*D387</f>
        <v>0</v>
      </c>
      <c r="G387" s="1" t="s">
        <v>126</v>
      </c>
    </row>
    <row r="388" customFormat="false" ht="15" hidden="false" customHeight="true" outlineLevel="0" collapsed="false">
      <c r="A388" s="23" t="str">
        <f aca="false">MIE_Daily!A354</f>
        <v/>
      </c>
      <c r="B388" s="14" t="n">
        <f aca="false">INDEX(MIE_Daily!$B$2:$AO$367,ROW()-35,5+8*(MATCH($B$2,CityData!$A$3:$A$7,0)-1))</f>
        <v>0</v>
      </c>
      <c r="C388" s="14" t="n">
        <f aca="false">IF(AND(A388&lt;&gt;"",A388&lt;Parameters!$B$14),INDEX(Candidate_Model!E:E,Decision!B12)*(1+TAXRATE),0)</f>
        <v>0</v>
      </c>
      <c r="D388" s="14" t="n">
        <f aca="false">HEADCOUNT</f>
        <v>24</v>
      </c>
      <c r="E388" s="14" t="n">
        <f aca="false">B388*D388</f>
        <v>0</v>
      </c>
      <c r="F388" s="14" t="n">
        <f aca="false">C388*D388</f>
        <v>0</v>
      </c>
      <c r="G388" s="1" t="s">
        <v>126</v>
      </c>
    </row>
    <row r="389" customFormat="false" ht="15" hidden="false" customHeight="true" outlineLevel="0" collapsed="false">
      <c r="A389" s="23" t="str">
        <f aca="false">MIE_Daily!A355</f>
        <v/>
      </c>
      <c r="B389" s="14" t="n">
        <f aca="false">INDEX(MIE_Daily!$B$2:$AO$367,ROW()-35,5+8*(MATCH($B$2,CityData!$A$3:$A$7,0)-1))</f>
        <v>0</v>
      </c>
      <c r="C389" s="14" t="n">
        <f aca="false">IF(AND(A389&lt;&gt;"",A389&lt;Parameters!$B$14),INDEX(Candidate_Model!E:E,Decision!B12)*(1+TAXRATE),0)</f>
        <v>0</v>
      </c>
      <c r="D389" s="14" t="n">
        <f aca="false">HEADCOUNT</f>
        <v>24</v>
      </c>
      <c r="E389" s="14" t="n">
        <f aca="false">B389*D389</f>
        <v>0</v>
      </c>
      <c r="F389" s="14" t="n">
        <f aca="false">C389*D389</f>
        <v>0</v>
      </c>
      <c r="G389" s="1" t="s">
        <v>126</v>
      </c>
    </row>
    <row r="390" customFormat="false" ht="15" hidden="false" customHeight="true" outlineLevel="0" collapsed="false">
      <c r="A390" s="23" t="str">
        <f aca="false">MIE_Daily!A356</f>
        <v/>
      </c>
      <c r="B390" s="14" t="n">
        <f aca="false">INDEX(MIE_Daily!$B$2:$AO$367,ROW()-35,5+8*(MATCH($B$2,CityData!$A$3:$A$7,0)-1))</f>
        <v>0</v>
      </c>
      <c r="C390" s="14" t="n">
        <f aca="false">IF(AND(A390&lt;&gt;"",A390&lt;Parameters!$B$14),INDEX(Candidate_Model!E:E,Decision!B12)*(1+TAXRATE),0)</f>
        <v>0</v>
      </c>
      <c r="D390" s="14" t="n">
        <f aca="false">HEADCOUNT</f>
        <v>24</v>
      </c>
      <c r="E390" s="14" t="n">
        <f aca="false">B390*D390</f>
        <v>0</v>
      </c>
      <c r="F390" s="14" t="n">
        <f aca="false">C390*D390</f>
        <v>0</v>
      </c>
      <c r="G390" s="1" t="s">
        <v>126</v>
      </c>
    </row>
    <row r="391" customFormat="false" ht="15" hidden="false" customHeight="true" outlineLevel="0" collapsed="false">
      <c r="A391" s="23" t="str">
        <f aca="false">MIE_Daily!A357</f>
        <v/>
      </c>
      <c r="B391" s="14" t="n">
        <f aca="false">INDEX(MIE_Daily!$B$2:$AO$367,ROW()-35,5+8*(MATCH($B$2,CityData!$A$3:$A$7,0)-1))</f>
        <v>0</v>
      </c>
      <c r="C391" s="14" t="n">
        <f aca="false">IF(AND(A391&lt;&gt;"",A391&lt;Parameters!$B$14),INDEX(Candidate_Model!E:E,Decision!B12)*(1+TAXRATE),0)</f>
        <v>0</v>
      </c>
      <c r="D391" s="14" t="n">
        <f aca="false">HEADCOUNT</f>
        <v>24</v>
      </c>
      <c r="E391" s="14" t="n">
        <f aca="false">B391*D391</f>
        <v>0</v>
      </c>
      <c r="F391" s="14" t="n">
        <f aca="false">C391*D391</f>
        <v>0</v>
      </c>
      <c r="G391" s="1" t="s">
        <v>126</v>
      </c>
    </row>
    <row r="392" customFormat="false" ht="15" hidden="false" customHeight="true" outlineLevel="0" collapsed="false">
      <c r="A392" s="23" t="str">
        <f aca="false">MIE_Daily!A358</f>
        <v/>
      </c>
      <c r="B392" s="14" t="n">
        <f aca="false">INDEX(MIE_Daily!$B$2:$AO$367,ROW()-35,5+8*(MATCH($B$2,CityData!$A$3:$A$7,0)-1))</f>
        <v>0</v>
      </c>
      <c r="C392" s="14" t="n">
        <f aca="false">IF(AND(A392&lt;&gt;"",A392&lt;Parameters!$B$14),INDEX(Candidate_Model!E:E,Decision!B12)*(1+TAXRATE),0)</f>
        <v>0</v>
      </c>
      <c r="D392" s="14" t="n">
        <f aca="false">HEADCOUNT</f>
        <v>24</v>
      </c>
      <c r="E392" s="14" t="n">
        <f aca="false">B392*D392</f>
        <v>0</v>
      </c>
      <c r="F392" s="14" t="n">
        <f aca="false">C392*D392</f>
        <v>0</v>
      </c>
      <c r="G392" s="1" t="s">
        <v>126</v>
      </c>
    </row>
    <row r="393" customFormat="false" ht="15" hidden="false" customHeight="true" outlineLevel="0" collapsed="false">
      <c r="A393" s="23" t="str">
        <f aca="false">MIE_Daily!A359</f>
        <v/>
      </c>
      <c r="B393" s="14" t="n">
        <f aca="false">INDEX(MIE_Daily!$B$2:$AO$367,ROW()-35,5+8*(MATCH($B$2,CityData!$A$3:$A$7,0)-1))</f>
        <v>0</v>
      </c>
      <c r="C393" s="14" t="n">
        <f aca="false">IF(AND(A393&lt;&gt;"",A393&lt;Parameters!$B$14),INDEX(Candidate_Model!E:E,Decision!B12)*(1+TAXRATE),0)</f>
        <v>0</v>
      </c>
      <c r="D393" s="14" t="n">
        <f aca="false">HEADCOUNT</f>
        <v>24</v>
      </c>
      <c r="E393" s="14" t="n">
        <f aca="false">B393*D393</f>
        <v>0</v>
      </c>
      <c r="F393" s="14" t="n">
        <f aca="false">C393*D393</f>
        <v>0</v>
      </c>
      <c r="G393" s="1" t="s">
        <v>126</v>
      </c>
    </row>
    <row r="394" customFormat="false" ht="15" hidden="false" customHeight="true" outlineLevel="0" collapsed="false">
      <c r="A394" s="23" t="str">
        <f aca="false">MIE_Daily!A360</f>
        <v/>
      </c>
      <c r="B394" s="14" t="n">
        <f aca="false">INDEX(MIE_Daily!$B$2:$AO$367,ROW()-35,5+8*(MATCH($B$2,CityData!$A$3:$A$7,0)-1))</f>
        <v>0</v>
      </c>
      <c r="C394" s="14" t="n">
        <f aca="false">IF(AND(A394&lt;&gt;"",A394&lt;Parameters!$B$14),INDEX(Candidate_Model!E:E,Decision!B12)*(1+TAXRATE),0)</f>
        <v>0</v>
      </c>
      <c r="D394" s="14" t="n">
        <f aca="false">HEADCOUNT</f>
        <v>24</v>
      </c>
      <c r="E394" s="14" t="n">
        <f aca="false">B394*D394</f>
        <v>0</v>
      </c>
      <c r="F394" s="14" t="n">
        <f aca="false">C394*D394</f>
        <v>0</v>
      </c>
      <c r="G394" s="1" t="s">
        <v>126</v>
      </c>
    </row>
    <row r="395" customFormat="false" ht="15" hidden="false" customHeight="true" outlineLevel="0" collapsed="false">
      <c r="A395" s="23" t="str">
        <f aca="false">MIE_Daily!A361</f>
        <v/>
      </c>
      <c r="B395" s="14" t="n">
        <f aca="false">INDEX(MIE_Daily!$B$2:$AO$367,ROW()-35,5+8*(MATCH($B$2,CityData!$A$3:$A$7,0)-1))</f>
        <v>0</v>
      </c>
      <c r="C395" s="14" t="n">
        <f aca="false">IF(AND(A395&lt;&gt;"",A395&lt;Parameters!$B$14),INDEX(Candidate_Model!E:E,Decision!B12)*(1+TAXRATE),0)</f>
        <v>0</v>
      </c>
      <c r="D395" s="14" t="n">
        <f aca="false">HEADCOUNT</f>
        <v>24</v>
      </c>
      <c r="E395" s="14" t="n">
        <f aca="false">B395*D395</f>
        <v>0</v>
      </c>
      <c r="F395" s="14" t="n">
        <f aca="false">C395*D395</f>
        <v>0</v>
      </c>
      <c r="G395" s="1" t="s">
        <v>126</v>
      </c>
    </row>
    <row r="396" customFormat="false" ht="15" hidden="false" customHeight="true" outlineLevel="0" collapsed="false">
      <c r="A396" s="23" t="str">
        <f aca="false">MIE_Daily!A362</f>
        <v/>
      </c>
      <c r="B396" s="14" t="n">
        <f aca="false">INDEX(MIE_Daily!$B$2:$AO$367,ROW()-35,5+8*(MATCH($B$2,CityData!$A$3:$A$7,0)-1))</f>
        <v>0</v>
      </c>
      <c r="C396" s="14" t="n">
        <f aca="false">IF(AND(A396&lt;&gt;"",A396&lt;Parameters!$B$14),INDEX(Candidate_Model!E:E,Decision!B12)*(1+TAXRATE),0)</f>
        <v>0</v>
      </c>
      <c r="D396" s="14" t="n">
        <f aca="false">HEADCOUNT</f>
        <v>24</v>
      </c>
      <c r="E396" s="14" t="n">
        <f aca="false">B396*D396</f>
        <v>0</v>
      </c>
      <c r="F396" s="14" t="n">
        <f aca="false">C396*D396</f>
        <v>0</v>
      </c>
      <c r="G396" s="1" t="s">
        <v>126</v>
      </c>
    </row>
    <row r="397" customFormat="false" ht="15" hidden="false" customHeight="true" outlineLevel="0" collapsed="false">
      <c r="A397" s="23" t="str">
        <f aca="false">MIE_Daily!A363</f>
        <v/>
      </c>
      <c r="B397" s="14" t="n">
        <f aca="false">INDEX(MIE_Daily!$B$2:$AO$367,ROW()-35,5+8*(MATCH($B$2,CityData!$A$3:$A$7,0)-1))</f>
        <v>0</v>
      </c>
      <c r="C397" s="14" t="n">
        <f aca="false">IF(AND(A397&lt;&gt;"",A397&lt;Parameters!$B$14),INDEX(Candidate_Model!E:E,Decision!B12)*(1+TAXRATE),0)</f>
        <v>0</v>
      </c>
      <c r="D397" s="14" t="n">
        <f aca="false">HEADCOUNT</f>
        <v>24</v>
      </c>
      <c r="E397" s="14" t="n">
        <f aca="false">B397*D397</f>
        <v>0</v>
      </c>
      <c r="F397" s="14" t="n">
        <f aca="false">C397*D397</f>
        <v>0</v>
      </c>
      <c r="G397" s="1" t="s">
        <v>126</v>
      </c>
    </row>
    <row r="398" customFormat="false" ht="15" hidden="false" customHeight="true" outlineLevel="0" collapsed="false">
      <c r="A398" s="23" t="str">
        <f aca="false">MIE_Daily!A364</f>
        <v/>
      </c>
      <c r="B398" s="14" t="n">
        <f aca="false">INDEX(MIE_Daily!$B$2:$AO$367,ROW()-35,5+8*(MATCH($B$2,CityData!$A$3:$A$7,0)-1))</f>
        <v>0</v>
      </c>
      <c r="C398" s="14" t="n">
        <f aca="false">IF(AND(A398&lt;&gt;"",A398&lt;Parameters!$B$14),INDEX(Candidate_Model!E:E,Decision!B12)*(1+TAXRATE),0)</f>
        <v>0</v>
      </c>
      <c r="D398" s="14" t="n">
        <f aca="false">HEADCOUNT</f>
        <v>24</v>
      </c>
      <c r="E398" s="14" t="n">
        <f aca="false">B398*D398</f>
        <v>0</v>
      </c>
      <c r="F398" s="14" t="n">
        <f aca="false">C398*D398</f>
        <v>0</v>
      </c>
      <c r="G398" s="1" t="s">
        <v>126</v>
      </c>
    </row>
    <row r="399" customFormat="false" ht="15" hidden="false" customHeight="true" outlineLevel="0" collapsed="false">
      <c r="A399" s="23" t="str">
        <f aca="false">MIE_Daily!A365</f>
        <v/>
      </c>
      <c r="B399" s="14" t="n">
        <f aca="false">INDEX(MIE_Daily!$B$2:$AO$367,ROW()-35,5+8*(MATCH($B$2,CityData!$A$3:$A$7,0)-1))</f>
        <v>0</v>
      </c>
      <c r="C399" s="14" t="n">
        <f aca="false">IF(AND(A399&lt;&gt;"",A399&lt;Parameters!$B$14),INDEX(Candidate_Model!E:E,Decision!B12)*(1+TAXRATE),0)</f>
        <v>0</v>
      </c>
      <c r="D399" s="14" t="n">
        <f aca="false">HEADCOUNT</f>
        <v>24</v>
      </c>
      <c r="E399" s="14" t="n">
        <f aca="false">B399*D399</f>
        <v>0</v>
      </c>
      <c r="F399" s="14" t="n">
        <f aca="false">C399*D399</f>
        <v>0</v>
      </c>
      <c r="G399" s="1" t="s">
        <v>126</v>
      </c>
    </row>
    <row r="400" customFormat="false" ht="15" hidden="false" customHeight="true" outlineLevel="0" collapsed="false">
      <c r="A400" s="23" t="str">
        <f aca="false">MIE_Daily!A366</f>
        <v/>
      </c>
      <c r="B400" s="14" t="n">
        <f aca="false">INDEX(MIE_Daily!$B$2:$AO$367,ROW()-35,5+8*(MATCH($B$2,CityData!$A$3:$A$7,0)-1))</f>
        <v>0</v>
      </c>
      <c r="C400" s="14" t="n">
        <f aca="false">IF(AND(A400&lt;&gt;"",A400&lt;Parameters!$B$14),INDEX(Candidate_Model!E:E,Decision!B12)*(1+TAXRATE),0)</f>
        <v>0</v>
      </c>
      <c r="D400" s="14" t="n">
        <f aca="false">HEADCOUNT</f>
        <v>24</v>
      </c>
      <c r="E400" s="14" t="n">
        <f aca="false">B400*D400</f>
        <v>0</v>
      </c>
      <c r="F400" s="14" t="n">
        <f aca="false">C400*D400</f>
        <v>0</v>
      </c>
      <c r="G400" s="1" t="s">
        <v>126</v>
      </c>
    </row>
    <row r="401" customFormat="false" ht="15" hidden="false" customHeight="true" outlineLevel="0" collapsed="false">
      <c r="A401" s="23" t="str">
        <f aca="false">MIE_Daily!A367</f>
        <v/>
      </c>
      <c r="B401" s="14" t="n">
        <f aca="false">INDEX(MIE_Daily!$B$2:$AO$367,ROW()-35,5+8*(MATCH($B$2,CityData!$A$3:$A$7,0)-1))</f>
        <v>0</v>
      </c>
      <c r="C401" s="14" t="n">
        <f aca="false">IF(AND(A401&lt;&gt;"",A401&lt;Parameters!$B$14),INDEX(Candidate_Model!E:E,Decision!B12)*(1+TAXRATE),0)</f>
        <v>0</v>
      </c>
      <c r="D401" s="14" t="n">
        <f aca="false">HEADCOUNT</f>
        <v>24</v>
      </c>
      <c r="E401" s="14" t="n">
        <f aca="false">B401*D401</f>
        <v>0</v>
      </c>
      <c r="F401" s="14" t="n">
        <f aca="false">C401*D401</f>
        <v>0</v>
      </c>
      <c r="G401" s="1" t="s">
        <v>126</v>
      </c>
    </row>
  </sheetData>
  <mergeCells count="5">
    <mergeCell ref="A1:H1"/>
    <mergeCell ref="C2:H2"/>
    <mergeCell ref="A4:H4"/>
    <mergeCell ref="A17:H17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9"/>
    <col collapsed="false" customWidth="true" hidden="false" outlineLevel="0" max="3" min="3" style="1" width="13"/>
    <col collapsed="false" customWidth="true" hidden="false" outlineLevel="0" max="4" min="4" style="1" width="14"/>
    <col collapsed="false" customWidth="true" hidden="false" outlineLevel="0" max="5" min="5" style="1" width="8"/>
    <col collapsed="false" customWidth="true" hidden="false" outlineLevel="0" max="6" min="6" style="1" width="13"/>
    <col collapsed="false" customWidth="true" hidden="false" outlineLevel="0" max="8" min="7" style="1" width="9"/>
    <col collapsed="false" customWidth="true" hidden="false" outlineLevel="0" max="9" min="9" style="1" width="11"/>
    <col collapsed="false" customWidth="true" hidden="false" outlineLevel="0" max="11" min="10" style="1" width="12"/>
    <col collapsed="false" customWidth="true" hidden="false" outlineLevel="0" max="12" min="12" style="1" width="13"/>
    <col collapsed="false" customWidth="true" hidden="false" outlineLevel="0" max="13" min="13" style="1" width="10"/>
    <col collapsed="false" customWidth="true" hidden="false" outlineLevel="0" max="14" min="14" style="1" width="14"/>
    <col collapsed="false" customWidth="true" hidden="false" outlineLevel="0" max="27" min="15" style="1" width="23"/>
    <col collapsed="false" customWidth="true" hidden="false" outlineLevel="0" max="28" min="28" style="1" width="100"/>
  </cols>
  <sheetData>
    <row r="1" customFormat="false" ht="19.5" hidden="false" customHeight="true" outlineLevel="0" collapsed="false">
      <c r="A1" s="2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 customFormat="false" ht="27.75" hidden="false" customHeight="true" outlineLevel="0" collapsed="false">
      <c r="A2" s="3" t="s">
        <v>128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/>
    <row r="4" customFormat="false" ht="51.75" hidden="false" customHeight="true" outlineLevel="0" collapsed="false">
      <c r="A4" s="4" t="s">
        <v>44</v>
      </c>
      <c r="B4" s="4" t="s">
        <v>129</v>
      </c>
      <c r="C4" s="4" t="s">
        <v>130</v>
      </c>
      <c r="D4" s="4" t="s">
        <v>131</v>
      </c>
      <c r="E4" s="4" t="s">
        <v>132</v>
      </c>
      <c r="F4" s="4" t="s">
        <v>133</v>
      </c>
      <c r="G4" s="4" t="s">
        <v>134</v>
      </c>
      <c r="H4" s="4" t="s">
        <v>135</v>
      </c>
      <c r="I4" s="4" t="s">
        <v>136</v>
      </c>
      <c r="J4" s="4" t="s">
        <v>137</v>
      </c>
      <c r="K4" s="4" t="s">
        <v>138</v>
      </c>
      <c r="L4" s="4" t="s">
        <v>139</v>
      </c>
      <c r="M4" s="4" t="s">
        <v>140</v>
      </c>
      <c r="N4" s="4" t="s">
        <v>141</v>
      </c>
      <c r="O4" s="1" t="s">
        <v>142</v>
      </c>
      <c r="P4" s="1" t="s">
        <v>143</v>
      </c>
      <c r="Q4" s="1" t="s">
        <v>144</v>
      </c>
      <c r="R4" s="1" t="s">
        <v>145</v>
      </c>
      <c r="S4" s="1" t="s">
        <v>146</v>
      </c>
      <c r="T4" s="1" t="s">
        <v>147</v>
      </c>
      <c r="U4" s="1" t="s">
        <v>148</v>
      </c>
      <c r="V4" s="1" t="s">
        <v>149</v>
      </c>
      <c r="W4" s="1" t="s">
        <v>150</v>
      </c>
      <c r="X4" s="1" t="s">
        <v>151</v>
      </c>
      <c r="Y4" s="1" t="s">
        <v>152</v>
      </c>
      <c r="Z4" s="1" t="s">
        <v>153</v>
      </c>
      <c r="AA4" s="1" t="s">
        <v>154</v>
      </c>
      <c r="AB4" s="1" t="s">
        <v>155</v>
      </c>
    </row>
    <row r="5" customFormat="false" ht="15" hidden="false" customHeight="true" outlineLevel="0" collapsed="false">
      <c r="A5" s="25" t="s">
        <v>56</v>
      </c>
      <c r="B5" s="26" t="n">
        <v>24</v>
      </c>
      <c r="C5" s="26" t="n">
        <f aca="false">INDEX(CityData!$C:$C,MATCH(A5,CityData!$A:$A,0))*FFAC</f>
        <v>311</v>
      </c>
      <c r="D5" s="26" t="n">
        <f aca="false">SUM(MIE_Daily!G2:G367)</f>
        <v>483.84</v>
      </c>
      <c r="E5" s="26" t="n">
        <f aca="false">REGFEE</f>
        <v>180</v>
      </c>
      <c r="F5" s="26" t="n">
        <f aca="false">INDEX(CityData!$D$11:$D$15,MATCH(A5,CityData!$A$11:$A$15,0))*(IF(AND(Parameters!$B$13&lt;=DATE(2026,11,28),Parameters!$B$14&gt;=DATE(2026,11,28)),1,0)+IF(AND(Parameters!$B$13&lt;=DATE(2026,12,1),Parameters!$B$14&gt;=DATE(2026,12,1)),1,0))+INDEX(CityData!$C$11:$C$15,MATCH(A5,CityData!$A$11:$A$15,0))*IF(AND(Parameters!$B$13&lt;=DATE(2026,12,2),Parameters!$B$14&gt;=DATE(2026,12,2)),1,0)</f>
        <v>102</v>
      </c>
      <c r="G5" s="26" t="n">
        <f aca="false">REFRPP*REFRDAYS</f>
        <v>45</v>
      </c>
      <c r="H5" s="26" t="n">
        <f aca="false">INDEX(CityData!$B$19:$B$23,MATCH(A5,CityData!$A$19:$A$23,0))+INDEX(CityData!$C$19:$C$23,MATCH(A5,CityData!$A$19:$A$23,0))</f>
        <v>120</v>
      </c>
      <c r="I5" s="26" t="n">
        <f aca="false">SUM(C5:H5)+O5</f>
        <v>1475.84</v>
      </c>
      <c r="J5" s="26" t="n">
        <f aca="false">I5*B5</f>
        <v>35420.16</v>
      </c>
      <c r="K5" s="26" t="n">
        <f aca="false">SUM(Unknowns!B2,Unknowns!G2)+B5*(NIGHTS*SUM(Unknowns!C2)+SUM(Unknowns!D2:F2))</f>
        <v>0</v>
      </c>
      <c r="L5" s="26" t="n">
        <f aca="false">J5+K5</f>
        <v>35420.16</v>
      </c>
      <c r="M5" s="26" t="n">
        <f aca="false">L5*RESRATE</f>
        <v>1771.008</v>
      </c>
      <c r="N5" s="26" t="n">
        <f aca="false">L5+M5</f>
        <v>37191.168</v>
      </c>
      <c r="O5" s="14" t="n">
        <f aca="false">SUM(MIE_Daily!F2:F367)</f>
        <v>234</v>
      </c>
      <c r="P5" s="14" t="n">
        <f aca="false">J5</f>
        <v>35420.16</v>
      </c>
      <c r="Q5" s="14" t="n">
        <f aca="false">K5</f>
        <v>0</v>
      </c>
      <c r="R5" s="14" t="n">
        <f aca="false">MIN(MIE_Daily!I2:I367)</f>
        <v>1</v>
      </c>
      <c r="S5" s="14" t="n">
        <f aca="false">IF(AND(Parameters!$B$13=DATE(2026,11,28),Parameters!$B$14=DATE(2026,12,2)),1,0)</f>
        <v>1</v>
      </c>
      <c r="T5" s="14" t="n">
        <f aca="false">IF(AND(R5=1,S5=1,Unknowns!H2=1,Unknowns!I2=1,N5&lt;=CEILING,Parameters!$B$36="VALID DATE STRUCTURE"),1,0)</f>
        <v>0</v>
      </c>
      <c r="U5" s="14" t="n">
        <f aca="false">IF(AND(R5=1,S5=1,N5&lt;=CEILING,Parameters!$B$36="VALID DATE STRUCTURE"),1,0)</f>
        <v>1</v>
      </c>
      <c r="V5" s="14" t="n">
        <f aca="false">IF(T5=0,99999,1+SUMPRODUCT($T$5:$T$14,--($B$5:$B$14&gt;B5))+SUMPRODUCT($T$5:$T$14,--($B$5:$B$14=B5),--($N$5:$N$14&lt;N5))+SUMPRODUCT($T$5:$T$14,--($B$5:$B$14=B5),--($N$5:$N$14=N5),--($A$5:$A$14&lt;A5)))</f>
        <v>99999</v>
      </c>
      <c r="W5" s="14" t="n">
        <f aca="false">IF(U5=0,99999,1+SUMPRODUCT($U$5:$U$14,--($B$5:$B$14&gt;B5))+SUMPRODUCT($U$5:$U$14,--($B$5:$B$14=B5),--($N$5:$N$14&lt;N5))+SUMPRODUCT($U$5:$U$14,--($B$5:$B$14=B5),--($N$5:$N$14=N5),--($A$5:$A$14&lt;A5)))</f>
        <v>1</v>
      </c>
      <c r="X5" s="14" t="n">
        <f aca="false">C5*B5</f>
        <v>7464</v>
      </c>
      <c r="Y5" s="14" t="n">
        <f aca="false">CEILING/(1+RESRATE)-P5</f>
        <v>15056.0304761905</v>
      </c>
      <c r="Z5" s="14" t="n">
        <f aca="false">Y5-0.2*X5</f>
        <v>13563.2304761905</v>
      </c>
      <c r="AA5" s="14" t="n">
        <f aca="false">(L5+0.2*X5)*(1+RESRATE)</f>
        <v>38758.608</v>
      </c>
      <c r="AB5" s="1" t="s">
        <v>156</v>
      </c>
    </row>
    <row r="6" customFormat="false" ht="15" hidden="false" customHeight="true" outlineLevel="0" collapsed="false">
      <c r="A6" s="5" t="s">
        <v>56</v>
      </c>
      <c r="B6" s="15" t="n">
        <v>18</v>
      </c>
      <c r="C6" s="15" t="n">
        <f aca="false">INDEX(CityData!$C:$C,MATCH(A6,CityData!$A:$A,0))*FFAC</f>
        <v>311</v>
      </c>
      <c r="D6" s="15" t="n">
        <f aca="false">SUM(MIE_Daily!G2:G367)</f>
        <v>483.84</v>
      </c>
      <c r="E6" s="15" t="n">
        <f aca="false">REGFEE</f>
        <v>180</v>
      </c>
      <c r="F6" s="15" t="n">
        <f aca="false">INDEX(CityData!$D$11:$D$15,MATCH(A6,CityData!$A$11:$A$15,0))*(IF(AND(Parameters!$B$13&lt;=DATE(2026,11,28),Parameters!$B$14&gt;=DATE(2026,11,28)),1,0)+IF(AND(Parameters!$B$13&lt;=DATE(2026,12,1),Parameters!$B$14&gt;=DATE(2026,12,1)),1,0))+INDEX(CityData!$C$11:$C$15,MATCH(A6,CityData!$A$11:$A$15,0))*IF(AND(Parameters!$B$13&lt;=DATE(2026,12,2),Parameters!$B$14&gt;=DATE(2026,12,2)),1,0)</f>
        <v>102</v>
      </c>
      <c r="G6" s="15" t="n">
        <f aca="false">REFRPP*REFRDAYS</f>
        <v>45</v>
      </c>
      <c r="H6" s="15" t="n">
        <f aca="false">INDEX(CityData!$B$19:$B$23,MATCH(A6,CityData!$A$19:$A$23,0))+INDEX(CityData!$C$19:$C$23,MATCH(A6,CityData!$A$19:$A$23,0))</f>
        <v>120</v>
      </c>
      <c r="I6" s="15" t="n">
        <f aca="false">SUM(C6:H6)+O6</f>
        <v>1475.84</v>
      </c>
      <c r="J6" s="15" t="n">
        <f aca="false">I6*B6</f>
        <v>26565.12</v>
      </c>
      <c r="K6" s="15" t="n">
        <f aca="false">SUM(Unknowns!B2,Unknowns!G2)+B6*(NIGHTS*SUM(Unknowns!C2)+SUM(Unknowns!D2:F2))</f>
        <v>0</v>
      </c>
      <c r="L6" s="15" t="n">
        <f aca="false">J6+K6</f>
        <v>26565.12</v>
      </c>
      <c r="M6" s="15" t="n">
        <f aca="false">L6*RESRATE</f>
        <v>1328.256</v>
      </c>
      <c r="N6" s="15" t="n">
        <f aca="false">L6+M6</f>
        <v>27893.376</v>
      </c>
      <c r="O6" s="14" t="n">
        <f aca="false">SUM(MIE_Daily!F2:F367)</f>
        <v>234</v>
      </c>
      <c r="P6" s="14" t="n">
        <f aca="false">J6</f>
        <v>26565.12</v>
      </c>
      <c r="Q6" s="14" t="n">
        <f aca="false">K6</f>
        <v>0</v>
      </c>
      <c r="R6" s="14" t="n">
        <f aca="false">MIN(MIE_Daily!I2:I367)</f>
        <v>1</v>
      </c>
      <c r="S6" s="14" t="n">
        <f aca="false">IF(AND(Parameters!$B$13=DATE(2026,11,28),Parameters!$B$14=DATE(2026,12,2)),1,0)</f>
        <v>1</v>
      </c>
      <c r="T6" s="14" t="n">
        <f aca="false">IF(AND(R6=1,S6=1,Unknowns!H2=1,Unknowns!I2=1,N6&lt;=CEILING,Parameters!$B$36="VALID DATE STRUCTURE"),1,0)</f>
        <v>0</v>
      </c>
      <c r="U6" s="14" t="n">
        <f aca="false">IF(AND(R6=1,S6=1,N6&lt;=CEILING,Parameters!$B$36="VALID DATE STRUCTURE"),1,0)</f>
        <v>1</v>
      </c>
      <c r="V6" s="14" t="n">
        <f aca="false">IF(T6=0,99999,1+SUMPRODUCT($T$5:$T$14,--($B$5:$B$14&gt;B6))+SUMPRODUCT($T$5:$T$14,--($B$5:$B$14=B6),--($N$5:$N$14&lt;N6))+SUMPRODUCT($T$5:$T$14,--($B$5:$B$14=B6),--($N$5:$N$14=N6),--($A$5:$A$14&lt;A6)))</f>
        <v>99999</v>
      </c>
      <c r="W6" s="14" t="n">
        <f aca="false">IF(U6=0,99999,1+SUMPRODUCT($U$5:$U$14,--($B$5:$B$14&gt;B6))+SUMPRODUCT($U$5:$U$14,--($B$5:$B$14=B6),--($N$5:$N$14&lt;N6))+SUMPRODUCT($U$5:$U$14,--($B$5:$B$14=B6),--($N$5:$N$14=N6),--($A$5:$A$14&lt;A6)))</f>
        <v>5</v>
      </c>
      <c r="X6" s="14" t="n">
        <f aca="false">C6*B6</f>
        <v>5598</v>
      </c>
      <c r="Y6" s="14" t="n">
        <f aca="false">CEILING/(1+RESRATE)-P6</f>
        <v>23911.0704761905</v>
      </c>
      <c r="Z6" s="14" t="n">
        <f aca="false">Y6-0.2*X6</f>
        <v>22791.4704761905</v>
      </c>
      <c r="AA6" s="14" t="n">
        <f aca="false">(L6+0.2*X6)*(1+RESRATE)</f>
        <v>29068.956</v>
      </c>
      <c r="AB6" s="1" t="s">
        <v>157</v>
      </c>
    </row>
    <row r="7" customFormat="false" ht="15" hidden="false" customHeight="true" outlineLevel="0" collapsed="false">
      <c r="A7" s="5" t="s">
        <v>61</v>
      </c>
      <c r="B7" s="15" t="n">
        <v>24</v>
      </c>
      <c r="C7" s="15" t="n">
        <f aca="false">INDEX(CityData!$C:$C,MATCH(A7,CityData!$A:$A,0))*FFAC</f>
        <v>270</v>
      </c>
      <c r="D7" s="15" t="n">
        <f aca="false">SUM(MIE_Daily!O2:O367)</f>
        <v>707.84</v>
      </c>
      <c r="E7" s="15" t="n">
        <f aca="false">REGFEE</f>
        <v>180</v>
      </c>
      <c r="F7" s="15" t="n">
        <f aca="false">INDEX(CityData!$D$11:$D$15,MATCH(A7,CityData!$A$11:$A$15,0))*(IF(AND(Parameters!$B$13&lt;=DATE(2026,11,28),Parameters!$B$14&gt;=DATE(2026,11,28)),1,0)+IF(AND(Parameters!$B$13&lt;=DATE(2026,12,1),Parameters!$B$14&gt;=DATE(2026,12,1)),1,0))+INDEX(CityData!$C$11:$C$15,MATCH(A7,CityData!$A$11:$A$15,0))*IF(AND(Parameters!$B$13&lt;=DATE(2026,12,2),Parameters!$B$14&gt;=DATE(2026,12,2)),1,0)</f>
        <v>102</v>
      </c>
      <c r="G7" s="15" t="n">
        <f aca="false">REFRPP*REFRDAYS</f>
        <v>45</v>
      </c>
      <c r="H7" s="15" t="n">
        <f aca="false">INDEX(CityData!$B$19:$B$23,MATCH(A7,CityData!$A$19:$A$23,0))+INDEX(CityData!$C$19:$C$23,MATCH(A7,CityData!$A$19:$A$23,0))</f>
        <v>120</v>
      </c>
      <c r="I7" s="15" t="n">
        <f aca="false">SUM(C7:H7)+O7</f>
        <v>1658.84</v>
      </c>
      <c r="J7" s="15" t="n">
        <f aca="false">I7*B7</f>
        <v>39812.16</v>
      </c>
      <c r="K7" s="15" t="n">
        <f aca="false">SUM(Unknowns!B3,Unknowns!G3)+B7*(NIGHTS*SUM(Unknowns!C3)+SUM(Unknowns!D3:F3))</f>
        <v>0</v>
      </c>
      <c r="L7" s="15" t="n">
        <f aca="false">J7+K7</f>
        <v>39812.16</v>
      </c>
      <c r="M7" s="15" t="n">
        <f aca="false">L7*RESRATE</f>
        <v>1990.608</v>
      </c>
      <c r="N7" s="15" t="n">
        <f aca="false">L7+M7</f>
        <v>41802.768</v>
      </c>
      <c r="O7" s="14" t="n">
        <f aca="false">SUM(MIE_Daily!N2:N367)</f>
        <v>234</v>
      </c>
      <c r="P7" s="14" t="n">
        <f aca="false">J7</f>
        <v>39812.16</v>
      </c>
      <c r="Q7" s="14" t="n">
        <f aca="false">K7</f>
        <v>0</v>
      </c>
      <c r="R7" s="14" t="n">
        <f aca="false">MIN(MIE_Daily!Q2:Q367)</f>
        <v>0</v>
      </c>
      <c r="S7" s="14" t="n">
        <f aca="false">IF(AND(Parameters!$B$13=DATE(2026,11,28),Parameters!$B$14=DATE(2026,12,2)),1,0)</f>
        <v>1</v>
      </c>
      <c r="T7" s="14" t="n">
        <f aca="false">IF(AND(R7=1,S7=1,Unknowns!H3=1,Unknowns!I3=1,N7&lt;=CEILING,Parameters!$B$36="VALID DATE STRUCTURE"),1,0)</f>
        <v>0</v>
      </c>
      <c r="U7" s="14" t="n">
        <f aca="false">IF(AND(R7=1,S7=1,N7&lt;=CEILING,Parameters!$B$36="VALID DATE STRUCTURE"),1,0)</f>
        <v>0</v>
      </c>
      <c r="V7" s="14" t="n">
        <f aca="false">IF(T7=0,99999,1+SUMPRODUCT($T$5:$T$14,--($B$5:$B$14&gt;B7))+SUMPRODUCT($T$5:$T$14,--($B$5:$B$14=B7),--($N$5:$N$14&lt;N7))+SUMPRODUCT($T$5:$T$14,--($B$5:$B$14=B7),--($N$5:$N$14=N7),--($A$5:$A$14&lt;A7)))</f>
        <v>99999</v>
      </c>
      <c r="W7" s="14" t="n">
        <f aca="false">IF(U7=0,99999,1+SUMPRODUCT($U$5:$U$14,--($B$5:$B$14&gt;B7))+SUMPRODUCT($U$5:$U$14,--($B$5:$B$14=B7),--($N$5:$N$14&lt;N7))+SUMPRODUCT($U$5:$U$14,--($B$5:$B$14=B7),--($N$5:$N$14=N7),--($A$5:$A$14&lt;A7)))</f>
        <v>99999</v>
      </c>
      <c r="X7" s="14" t="n">
        <f aca="false">C7*B7</f>
        <v>6480</v>
      </c>
      <c r="Y7" s="14" t="n">
        <f aca="false">CEILING/(1+RESRATE)-P7</f>
        <v>10664.0304761905</v>
      </c>
      <c r="Z7" s="14" t="n">
        <f aca="false">Y7-0.2*X7</f>
        <v>9368.03047619047</v>
      </c>
      <c r="AA7" s="14" t="n">
        <f aca="false">(L7+0.2*X7)*(1+RESRATE)</f>
        <v>43163.568</v>
      </c>
      <c r="AB7" s="1" t="s">
        <v>158</v>
      </c>
    </row>
    <row r="8" customFormat="false" ht="15" hidden="false" customHeight="true" outlineLevel="0" collapsed="false">
      <c r="A8" s="5" t="s">
        <v>61</v>
      </c>
      <c r="B8" s="15" t="n">
        <v>18</v>
      </c>
      <c r="C8" s="15" t="n">
        <f aca="false">INDEX(CityData!$C:$C,MATCH(A8,CityData!$A:$A,0))*FFAC</f>
        <v>270</v>
      </c>
      <c r="D8" s="15" t="n">
        <f aca="false">SUM(MIE_Daily!O2:O367)</f>
        <v>707.84</v>
      </c>
      <c r="E8" s="15" t="n">
        <f aca="false">REGFEE</f>
        <v>180</v>
      </c>
      <c r="F8" s="15" t="n">
        <f aca="false">INDEX(CityData!$D$11:$D$15,MATCH(A8,CityData!$A$11:$A$15,0))*(IF(AND(Parameters!$B$13&lt;=DATE(2026,11,28),Parameters!$B$14&gt;=DATE(2026,11,28)),1,0)+IF(AND(Parameters!$B$13&lt;=DATE(2026,12,1),Parameters!$B$14&gt;=DATE(2026,12,1)),1,0))+INDEX(CityData!$C$11:$C$15,MATCH(A8,CityData!$A$11:$A$15,0))*IF(AND(Parameters!$B$13&lt;=DATE(2026,12,2),Parameters!$B$14&gt;=DATE(2026,12,2)),1,0)</f>
        <v>102</v>
      </c>
      <c r="G8" s="15" t="n">
        <f aca="false">REFRPP*REFRDAYS</f>
        <v>45</v>
      </c>
      <c r="H8" s="15" t="n">
        <f aca="false">INDEX(CityData!$B$19:$B$23,MATCH(A8,CityData!$A$19:$A$23,0))+INDEX(CityData!$C$19:$C$23,MATCH(A8,CityData!$A$19:$A$23,0))</f>
        <v>120</v>
      </c>
      <c r="I8" s="15" t="n">
        <f aca="false">SUM(C8:H8)+O8</f>
        <v>1658.84</v>
      </c>
      <c r="J8" s="15" t="n">
        <f aca="false">I8*B8</f>
        <v>29859.12</v>
      </c>
      <c r="K8" s="15" t="n">
        <f aca="false">SUM(Unknowns!B3,Unknowns!G3)+B8*(NIGHTS*SUM(Unknowns!C3)+SUM(Unknowns!D3:F3))</f>
        <v>0</v>
      </c>
      <c r="L8" s="15" t="n">
        <f aca="false">J8+K8</f>
        <v>29859.12</v>
      </c>
      <c r="M8" s="15" t="n">
        <f aca="false">L8*RESRATE</f>
        <v>1492.956</v>
      </c>
      <c r="N8" s="15" t="n">
        <f aca="false">L8+M8</f>
        <v>31352.076</v>
      </c>
      <c r="O8" s="14" t="n">
        <f aca="false">SUM(MIE_Daily!N2:N367)</f>
        <v>234</v>
      </c>
      <c r="P8" s="14" t="n">
        <f aca="false">J8</f>
        <v>29859.12</v>
      </c>
      <c r="Q8" s="14" t="n">
        <f aca="false">K8</f>
        <v>0</v>
      </c>
      <c r="R8" s="14" t="n">
        <f aca="false">MIN(MIE_Daily!Q2:Q367)</f>
        <v>0</v>
      </c>
      <c r="S8" s="14" t="n">
        <f aca="false">IF(AND(Parameters!$B$13=DATE(2026,11,28),Parameters!$B$14=DATE(2026,12,2)),1,0)</f>
        <v>1</v>
      </c>
      <c r="T8" s="14" t="n">
        <f aca="false">IF(AND(R8=1,S8=1,Unknowns!H3=1,Unknowns!I3=1,N8&lt;=CEILING,Parameters!$B$36="VALID DATE STRUCTURE"),1,0)</f>
        <v>0</v>
      </c>
      <c r="U8" s="14" t="n">
        <f aca="false">IF(AND(R8=1,S8=1,N8&lt;=CEILING,Parameters!$B$36="VALID DATE STRUCTURE"),1,0)</f>
        <v>0</v>
      </c>
      <c r="V8" s="14" t="n">
        <f aca="false">IF(T8=0,99999,1+SUMPRODUCT($T$5:$T$14,--($B$5:$B$14&gt;B8))+SUMPRODUCT($T$5:$T$14,--($B$5:$B$14=B8),--($N$5:$N$14&lt;N8))+SUMPRODUCT($T$5:$T$14,--($B$5:$B$14=B8),--($N$5:$N$14=N8),--($A$5:$A$14&lt;A8)))</f>
        <v>99999</v>
      </c>
      <c r="W8" s="14" t="n">
        <f aca="false">IF(U8=0,99999,1+SUMPRODUCT($U$5:$U$14,--($B$5:$B$14&gt;B8))+SUMPRODUCT($U$5:$U$14,--($B$5:$B$14=B8),--($N$5:$N$14&lt;N8))+SUMPRODUCT($U$5:$U$14,--($B$5:$B$14=B8),--($N$5:$N$14=N8),--($A$5:$A$14&lt;A8)))</f>
        <v>99999</v>
      </c>
      <c r="X8" s="14" t="n">
        <f aca="false">C8*B8</f>
        <v>4860</v>
      </c>
      <c r="Y8" s="14" t="n">
        <f aca="false">CEILING/(1+RESRATE)-P8</f>
        <v>20617.0704761905</v>
      </c>
      <c r="Z8" s="14" t="n">
        <f aca="false">Y8-0.2*X8</f>
        <v>19645.0704761905</v>
      </c>
      <c r="AA8" s="14" t="n">
        <f aca="false">(L8+0.2*X8)*(1+RESRATE)</f>
        <v>32372.676</v>
      </c>
      <c r="AB8" s="1" t="s">
        <v>159</v>
      </c>
    </row>
    <row r="9" customFormat="false" ht="15" hidden="false" customHeight="true" outlineLevel="0" collapsed="false">
      <c r="A9" s="5" t="s">
        <v>65</v>
      </c>
      <c r="B9" s="15" t="n">
        <v>24</v>
      </c>
      <c r="C9" s="15" t="n">
        <f aca="false">INDEX(CityData!$C:$C,MATCH(A9,CityData!$A:$A,0))*FFAC</f>
        <v>578</v>
      </c>
      <c r="D9" s="15" t="n">
        <f aca="false">SUM(MIE_Daily!W2:W367)</f>
        <v>488.32</v>
      </c>
      <c r="E9" s="15" t="n">
        <f aca="false">REGFEE</f>
        <v>180</v>
      </c>
      <c r="F9" s="15" t="n">
        <f aca="false">INDEX(CityData!$D$11:$D$15,MATCH(A9,CityData!$A$11:$A$15,0))*(IF(AND(Parameters!$B$13&lt;=DATE(2026,11,28),Parameters!$B$14&gt;=DATE(2026,11,28)),1,0)+IF(AND(Parameters!$B$13&lt;=DATE(2026,12,1),Parameters!$B$14&gt;=DATE(2026,12,1)),1,0))+INDEX(CityData!$C$11:$C$15,MATCH(A9,CityData!$A$11:$A$15,0))*IF(AND(Parameters!$B$13&lt;=DATE(2026,12,2),Parameters!$B$14&gt;=DATE(2026,12,2)),1,0)</f>
        <v>102</v>
      </c>
      <c r="G9" s="15" t="n">
        <f aca="false">REFRPP*REFRDAYS</f>
        <v>45</v>
      </c>
      <c r="H9" s="15" t="n">
        <f aca="false">INDEX(CityData!$B$19:$B$23,MATCH(A9,CityData!$A$19:$A$23,0))+INDEX(CityData!$C$19:$C$23,MATCH(A9,CityData!$A$19:$A$23,0))</f>
        <v>220</v>
      </c>
      <c r="I9" s="15" t="n">
        <f aca="false">SUM(C9:H9)+O9</f>
        <v>1847.32</v>
      </c>
      <c r="J9" s="15" t="n">
        <f aca="false">I9*B9</f>
        <v>44335.68</v>
      </c>
      <c r="K9" s="15" t="n">
        <f aca="false">SUM(Unknowns!B4,Unknowns!G4)+B9*(NIGHTS*SUM(Unknowns!C4)+SUM(Unknowns!D4:F4))</f>
        <v>0</v>
      </c>
      <c r="L9" s="15" t="n">
        <f aca="false">J9+K9</f>
        <v>44335.68</v>
      </c>
      <c r="M9" s="15" t="n">
        <f aca="false">L9*RESRATE</f>
        <v>2216.784</v>
      </c>
      <c r="N9" s="15" t="n">
        <f aca="false">L9+M9</f>
        <v>46552.464</v>
      </c>
      <c r="O9" s="14" t="n">
        <f aca="false">SUM(MIE_Daily!V2:V367)</f>
        <v>234</v>
      </c>
      <c r="P9" s="14" t="n">
        <f aca="false">J9</f>
        <v>44335.68</v>
      </c>
      <c r="Q9" s="14" t="n">
        <f aca="false">K9</f>
        <v>0</v>
      </c>
      <c r="R9" s="14" t="n">
        <f aca="false">MIN(MIE_Daily!Y2:Y367)</f>
        <v>1</v>
      </c>
      <c r="S9" s="14" t="n">
        <f aca="false">IF(AND(Parameters!$B$13=DATE(2026,11,28),Parameters!$B$14=DATE(2026,12,2)),1,0)</f>
        <v>1</v>
      </c>
      <c r="T9" s="14" t="n">
        <f aca="false">IF(AND(R9=1,S9=1,Unknowns!H4=1,Unknowns!I4=1,N9&lt;=CEILING,Parameters!$B$36="VALID DATE STRUCTURE"),1,0)</f>
        <v>0</v>
      </c>
      <c r="U9" s="14" t="n">
        <f aca="false">IF(AND(R9=1,S9=1,N9&lt;=CEILING,Parameters!$B$36="VALID DATE STRUCTURE"),1,0)</f>
        <v>1</v>
      </c>
      <c r="V9" s="14" t="n">
        <f aca="false">IF(T9=0,99999,1+SUMPRODUCT($T$5:$T$14,--($B$5:$B$14&gt;B9))+SUMPRODUCT($T$5:$T$14,--($B$5:$B$14=B9),--($N$5:$N$14&lt;N9))+SUMPRODUCT($T$5:$T$14,--($B$5:$B$14=B9),--($N$5:$N$14=N9),--($A$5:$A$14&lt;A9)))</f>
        <v>99999</v>
      </c>
      <c r="W9" s="14" t="n">
        <f aca="false">IF(U9=0,99999,1+SUMPRODUCT($U$5:$U$14,--($B$5:$B$14&gt;B9))+SUMPRODUCT($U$5:$U$14,--($B$5:$B$14=B9),--($N$5:$N$14&lt;N9))+SUMPRODUCT($U$5:$U$14,--($B$5:$B$14=B9),--($N$5:$N$14=N9),--($A$5:$A$14&lt;A9)))</f>
        <v>3</v>
      </c>
      <c r="X9" s="14" t="n">
        <f aca="false">C9*B9</f>
        <v>13872</v>
      </c>
      <c r="Y9" s="14" t="n">
        <f aca="false">CEILING/(1+RESRATE)-P9</f>
        <v>6140.51047619047</v>
      </c>
      <c r="Z9" s="14" t="n">
        <f aca="false">Y9-0.2*X9</f>
        <v>3366.11047619047</v>
      </c>
      <c r="AA9" s="14" t="n">
        <f aca="false">(L9+0.2*X9)*(1+RESRATE)</f>
        <v>49465.584</v>
      </c>
      <c r="AB9" s="1" t="s">
        <v>160</v>
      </c>
    </row>
    <row r="10" customFormat="false" ht="15" hidden="false" customHeight="true" outlineLevel="0" collapsed="false">
      <c r="A10" s="5" t="s">
        <v>65</v>
      </c>
      <c r="B10" s="15" t="n">
        <v>18</v>
      </c>
      <c r="C10" s="15" t="n">
        <f aca="false">INDEX(CityData!$C:$C,MATCH(A10,CityData!$A:$A,0))*FFAC</f>
        <v>578</v>
      </c>
      <c r="D10" s="15" t="n">
        <f aca="false">SUM(MIE_Daily!W2:W367)</f>
        <v>488.32</v>
      </c>
      <c r="E10" s="15" t="n">
        <f aca="false">REGFEE</f>
        <v>180</v>
      </c>
      <c r="F10" s="15" t="n">
        <f aca="false">INDEX(CityData!$D$11:$D$15,MATCH(A10,CityData!$A$11:$A$15,0))*(IF(AND(Parameters!$B$13&lt;=DATE(2026,11,28),Parameters!$B$14&gt;=DATE(2026,11,28)),1,0)+IF(AND(Parameters!$B$13&lt;=DATE(2026,12,1),Parameters!$B$14&gt;=DATE(2026,12,1)),1,0))+INDEX(CityData!$C$11:$C$15,MATCH(A10,CityData!$A$11:$A$15,0))*IF(AND(Parameters!$B$13&lt;=DATE(2026,12,2),Parameters!$B$14&gt;=DATE(2026,12,2)),1,0)</f>
        <v>102</v>
      </c>
      <c r="G10" s="15" t="n">
        <f aca="false">REFRPP*REFRDAYS</f>
        <v>45</v>
      </c>
      <c r="H10" s="15" t="n">
        <f aca="false">INDEX(CityData!$B$19:$B$23,MATCH(A10,CityData!$A$19:$A$23,0))+INDEX(CityData!$C$19:$C$23,MATCH(A10,CityData!$A$19:$A$23,0))</f>
        <v>220</v>
      </c>
      <c r="I10" s="15" t="n">
        <f aca="false">SUM(C10:H10)+O10</f>
        <v>1847.32</v>
      </c>
      <c r="J10" s="15" t="n">
        <f aca="false">I10*B10</f>
        <v>33251.76</v>
      </c>
      <c r="K10" s="15" t="n">
        <f aca="false">SUM(Unknowns!B4,Unknowns!G4)+B10*(NIGHTS*SUM(Unknowns!C4)+SUM(Unknowns!D4:F4))</f>
        <v>0</v>
      </c>
      <c r="L10" s="15" t="n">
        <f aca="false">J10+K10</f>
        <v>33251.76</v>
      </c>
      <c r="M10" s="15" t="n">
        <f aca="false">L10*RESRATE</f>
        <v>1662.588</v>
      </c>
      <c r="N10" s="15" t="n">
        <f aca="false">L10+M10</f>
        <v>34914.348</v>
      </c>
      <c r="O10" s="14" t="n">
        <f aca="false">SUM(MIE_Daily!V2:V367)</f>
        <v>234</v>
      </c>
      <c r="P10" s="14" t="n">
        <f aca="false">J10</f>
        <v>33251.76</v>
      </c>
      <c r="Q10" s="14" t="n">
        <f aca="false">K10</f>
        <v>0</v>
      </c>
      <c r="R10" s="14" t="n">
        <f aca="false">MIN(MIE_Daily!Y2:Y367)</f>
        <v>1</v>
      </c>
      <c r="S10" s="14" t="n">
        <f aca="false">IF(AND(Parameters!$B$13=DATE(2026,11,28),Parameters!$B$14=DATE(2026,12,2)),1,0)</f>
        <v>1</v>
      </c>
      <c r="T10" s="14" t="n">
        <f aca="false">IF(AND(R10=1,S10=1,Unknowns!H4=1,Unknowns!I4=1,N10&lt;=CEILING,Parameters!$B$36="VALID DATE STRUCTURE"),1,0)</f>
        <v>0</v>
      </c>
      <c r="U10" s="14" t="n">
        <f aca="false">IF(AND(R10=1,S10=1,N10&lt;=CEILING,Parameters!$B$36="VALID DATE STRUCTURE"),1,0)</f>
        <v>1</v>
      </c>
      <c r="V10" s="14" t="n">
        <f aca="false">IF(T10=0,99999,1+SUMPRODUCT($T$5:$T$14,--($B$5:$B$14&gt;B10))+SUMPRODUCT($T$5:$T$14,--($B$5:$B$14=B10),--($N$5:$N$14&lt;N10))+SUMPRODUCT($T$5:$T$14,--($B$5:$B$14=B10),--($N$5:$N$14=N10),--($A$5:$A$14&lt;A10)))</f>
        <v>99999</v>
      </c>
      <c r="W10" s="14" t="n">
        <f aca="false">IF(U10=0,99999,1+SUMPRODUCT($U$5:$U$14,--($B$5:$B$14&gt;B10))+SUMPRODUCT($U$5:$U$14,--($B$5:$B$14=B10),--($N$5:$N$14&lt;N10))+SUMPRODUCT($U$5:$U$14,--($B$5:$B$14=B10),--($N$5:$N$14=N10),--($A$5:$A$14&lt;A10)))</f>
        <v>7</v>
      </c>
      <c r="X10" s="14" t="n">
        <f aca="false">C10*B10</f>
        <v>10404</v>
      </c>
      <c r="Y10" s="14" t="n">
        <f aca="false">CEILING/(1+RESRATE)-P10</f>
        <v>17224.4304761905</v>
      </c>
      <c r="Z10" s="14" t="n">
        <f aca="false">Y10-0.2*X10</f>
        <v>15143.6304761905</v>
      </c>
      <c r="AA10" s="14" t="n">
        <f aca="false">(L10+0.2*X10)*(1+RESRATE)</f>
        <v>37099.188</v>
      </c>
      <c r="AB10" s="1" t="s">
        <v>161</v>
      </c>
    </row>
    <row r="11" customFormat="false" ht="15" hidden="false" customHeight="true" outlineLevel="0" collapsed="false">
      <c r="A11" s="5" t="s">
        <v>70</v>
      </c>
      <c r="B11" s="15" t="n">
        <v>24</v>
      </c>
      <c r="C11" s="15" t="n">
        <f aca="false">INDEX(CityData!$C:$C,MATCH(A11,CityData!$A:$A,0))*FFAC</f>
        <v>499</v>
      </c>
      <c r="D11" s="15" t="n">
        <f aca="false">SUM(MIE_Daily!AE2:AE367)</f>
        <v>672</v>
      </c>
      <c r="E11" s="15" t="n">
        <f aca="false">REGFEE</f>
        <v>180</v>
      </c>
      <c r="F11" s="15" t="n">
        <f aca="false">INDEX(CityData!$D$11:$D$15,MATCH(A11,CityData!$A$11:$A$15,0))*(IF(AND(Parameters!$B$13&lt;=DATE(2026,11,28),Parameters!$B$14&gt;=DATE(2026,11,28)),1,0)+IF(AND(Parameters!$B$13&lt;=DATE(2026,12,1),Parameters!$B$14&gt;=DATE(2026,12,1)),1,0))+INDEX(CityData!$C$11:$C$15,MATCH(A11,CityData!$A$11:$A$15,0))*IF(AND(Parameters!$B$13&lt;=DATE(2026,12,2),Parameters!$B$14&gt;=DATE(2026,12,2)),1,0)</f>
        <v>95</v>
      </c>
      <c r="G11" s="15" t="n">
        <f aca="false">REFRPP*REFRDAYS</f>
        <v>45</v>
      </c>
      <c r="H11" s="15" t="n">
        <f aca="false">INDEX(CityData!$B$19:$B$23,MATCH(A11,CityData!$A$19:$A$23,0))+INDEX(CityData!$C$19:$C$23,MATCH(A11,CityData!$A$19:$A$23,0))</f>
        <v>210</v>
      </c>
      <c r="I11" s="15" t="n">
        <f aca="false">SUM(C11:H11)+O11</f>
        <v>1924</v>
      </c>
      <c r="J11" s="15" t="n">
        <f aca="false">I11*B11</f>
        <v>46176</v>
      </c>
      <c r="K11" s="15" t="n">
        <f aca="false">SUM(Unknowns!B5,Unknowns!G5)+B11*(NIGHTS*SUM(Unknowns!C5)+SUM(Unknowns!D5:F5))</f>
        <v>0</v>
      </c>
      <c r="L11" s="15" t="n">
        <f aca="false">J11+K11</f>
        <v>46176</v>
      </c>
      <c r="M11" s="15" t="n">
        <f aca="false">L11*RESRATE</f>
        <v>2308.8</v>
      </c>
      <c r="N11" s="15" t="n">
        <f aca="false">L11+M11</f>
        <v>48484.8</v>
      </c>
      <c r="O11" s="14" t="n">
        <f aca="false">SUM(MIE_Daily!AD2:AD367)</f>
        <v>223</v>
      </c>
      <c r="P11" s="14" t="n">
        <f aca="false">J11</f>
        <v>46176</v>
      </c>
      <c r="Q11" s="14" t="n">
        <f aca="false">K11</f>
        <v>0</v>
      </c>
      <c r="R11" s="14" t="n">
        <f aca="false">MIN(MIE_Daily!AG2:AG367)</f>
        <v>1</v>
      </c>
      <c r="S11" s="14" t="n">
        <f aca="false">IF(AND(Parameters!$B$13=DATE(2026,11,28),Parameters!$B$14=DATE(2026,12,2)),1,0)</f>
        <v>1</v>
      </c>
      <c r="T11" s="14" t="n">
        <f aca="false">IF(AND(R11=1,S11=1,Unknowns!H5=1,Unknowns!I5=1,N11&lt;=CEILING,Parameters!$B$36="VALID DATE STRUCTURE"),1,0)</f>
        <v>0</v>
      </c>
      <c r="U11" s="14" t="n">
        <f aca="false">IF(AND(R11=1,S11=1,N11&lt;=CEILING,Parameters!$B$36="VALID DATE STRUCTURE"),1,0)</f>
        <v>1</v>
      </c>
      <c r="V11" s="14" t="n">
        <f aca="false">IF(T11=0,99999,1+SUMPRODUCT($T$5:$T$14,--($B$5:$B$14&gt;B11))+SUMPRODUCT($T$5:$T$14,--($B$5:$B$14=B11),--($N$5:$N$14&lt;N11))+SUMPRODUCT($T$5:$T$14,--($B$5:$B$14=B11),--($N$5:$N$14=N11),--($A$5:$A$14&lt;A11)))</f>
        <v>99999</v>
      </c>
      <c r="W11" s="14" t="n">
        <f aca="false">IF(U11=0,99999,1+SUMPRODUCT($U$5:$U$14,--($B$5:$B$14&gt;B11))+SUMPRODUCT($U$5:$U$14,--($B$5:$B$14=B11),--($N$5:$N$14&lt;N11))+SUMPRODUCT($U$5:$U$14,--($B$5:$B$14=B11),--($N$5:$N$14=N11),--($A$5:$A$14&lt;A11)))</f>
        <v>4</v>
      </c>
      <c r="X11" s="14" t="n">
        <f aca="false">C11*B11</f>
        <v>11976</v>
      </c>
      <c r="Y11" s="14" t="n">
        <f aca="false">CEILING/(1+RESRATE)-P11</f>
        <v>4300.19047619047</v>
      </c>
      <c r="Z11" s="14" t="n">
        <f aca="false">Y11-0.2*X11</f>
        <v>1904.99047619047</v>
      </c>
      <c r="AA11" s="14" t="n">
        <f aca="false">(L11+0.2*X11)*(1+RESRATE)</f>
        <v>50999.76</v>
      </c>
      <c r="AB11" s="1" t="s">
        <v>162</v>
      </c>
    </row>
    <row r="12" customFormat="false" ht="15" hidden="false" customHeight="true" outlineLevel="0" collapsed="false">
      <c r="A12" s="5" t="s">
        <v>70</v>
      </c>
      <c r="B12" s="15" t="n">
        <v>18</v>
      </c>
      <c r="C12" s="15" t="n">
        <f aca="false">INDEX(CityData!$C:$C,MATCH(A12,CityData!$A:$A,0))*FFAC</f>
        <v>499</v>
      </c>
      <c r="D12" s="15" t="n">
        <f aca="false">SUM(MIE_Daily!AE2:AE367)</f>
        <v>672</v>
      </c>
      <c r="E12" s="15" t="n">
        <f aca="false">REGFEE</f>
        <v>180</v>
      </c>
      <c r="F12" s="15" t="n">
        <f aca="false">INDEX(CityData!$D$11:$D$15,MATCH(A12,CityData!$A$11:$A$15,0))*(IF(AND(Parameters!$B$13&lt;=DATE(2026,11,28),Parameters!$B$14&gt;=DATE(2026,11,28)),1,0)+IF(AND(Parameters!$B$13&lt;=DATE(2026,12,1),Parameters!$B$14&gt;=DATE(2026,12,1)),1,0))+INDEX(CityData!$C$11:$C$15,MATCH(A12,CityData!$A$11:$A$15,0))*IF(AND(Parameters!$B$13&lt;=DATE(2026,12,2),Parameters!$B$14&gt;=DATE(2026,12,2)),1,0)</f>
        <v>95</v>
      </c>
      <c r="G12" s="15" t="n">
        <f aca="false">REFRPP*REFRDAYS</f>
        <v>45</v>
      </c>
      <c r="H12" s="15" t="n">
        <f aca="false">INDEX(CityData!$B$19:$B$23,MATCH(A12,CityData!$A$19:$A$23,0))+INDEX(CityData!$C$19:$C$23,MATCH(A12,CityData!$A$19:$A$23,0))</f>
        <v>210</v>
      </c>
      <c r="I12" s="15" t="n">
        <f aca="false">SUM(C12:H12)+O12</f>
        <v>1924</v>
      </c>
      <c r="J12" s="15" t="n">
        <f aca="false">I12*B12</f>
        <v>34632</v>
      </c>
      <c r="K12" s="15" t="n">
        <f aca="false">SUM(Unknowns!B5,Unknowns!G5)+B12*(NIGHTS*SUM(Unknowns!C5)+SUM(Unknowns!D5:F5))</f>
        <v>0</v>
      </c>
      <c r="L12" s="15" t="n">
        <f aca="false">J12+K12</f>
        <v>34632</v>
      </c>
      <c r="M12" s="15" t="n">
        <f aca="false">L12*RESRATE</f>
        <v>1731.6</v>
      </c>
      <c r="N12" s="15" t="n">
        <f aca="false">L12+M12</f>
        <v>36363.6</v>
      </c>
      <c r="O12" s="14" t="n">
        <f aca="false">SUM(MIE_Daily!AD2:AD367)</f>
        <v>223</v>
      </c>
      <c r="P12" s="14" t="n">
        <f aca="false">J12</f>
        <v>34632</v>
      </c>
      <c r="Q12" s="14" t="n">
        <f aca="false">K12</f>
        <v>0</v>
      </c>
      <c r="R12" s="14" t="n">
        <f aca="false">MIN(MIE_Daily!AG2:AG367)</f>
        <v>1</v>
      </c>
      <c r="S12" s="14" t="n">
        <f aca="false">IF(AND(Parameters!$B$13=DATE(2026,11,28),Parameters!$B$14=DATE(2026,12,2)),1,0)</f>
        <v>1</v>
      </c>
      <c r="T12" s="14" t="n">
        <f aca="false">IF(AND(R12=1,S12=1,Unknowns!H5=1,Unknowns!I5=1,N12&lt;=CEILING,Parameters!$B$36="VALID DATE STRUCTURE"),1,0)</f>
        <v>0</v>
      </c>
      <c r="U12" s="14" t="n">
        <f aca="false">IF(AND(R12=1,S12=1,N12&lt;=CEILING,Parameters!$B$36="VALID DATE STRUCTURE"),1,0)</f>
        <v>1</v>
      </c>
      <c r="V12" s="14" t="n">
        <f aca="false">IF(T12=0,99999,1+SUMPRODUCT($T$5:$T$14,--($B$5:$B$14&gt;B12))+SUMPRODUCT($T$5:$T$14,--($B$5:$B$14=B12),--($N$5:$N$14&lt;N12))+SUMPRODUCT($T$5:$T$14,--($B$5:$B$14=B12),--($N$5:$N$14=N12),--($A$5:$A$14&lt;A12)))</f>
        <v>99999</v>
      </c>
      <c r="W12" s="14" t="n">
        <f aca="false">IF(U12=0,99999,1+SUMPRODUCT($U$5:$U$14,--($B$5:$B$14&gt;B12))+SUMPRODUCT($U$5:$U$14,--($B$5:$B$14=B12),--($N$5:$N$14&lt;N12))+SUMPRODUCT($U$5:$U$14,--($B$5:$B$14=B12),--($N$5:$N$14=N12),--($A$5:$A$14&lt;A12)))</f>
        <v>8</v>
      </c>
      <c r="X12" s="14" t="n">
        <f aca="false">C12*B12</f>
        <v>8982</v>
      </c>
      <c r="Y12" s="14" t="n">
        <f aca="false">CEILING/(1+RESRATE)-P12</f>
        <v>15844.1904761905</v>
      </c>
      <c r="Z12" s="14" t="n">
        <f aca="false">Y12-0.2*X12</f>
        <v>14047.7904761905</v>
      </c>
      <c r="AA12" s="14" t="n">
        <f aca="false">(L12+0.2*X12)*(1+RESRATE)</f>
        <v>38249.82</v>
      </c>
      <c r="AB12" s="1" t="s">
        <v>163</v>
      </c>
    </row>
    <row r="13" customFormat="false" ht="15" hidden="false" customHeight="true" outlineLevel="0" collapsed="false">
      <c r="A13" s="5" t="s">
        <v>73</v>
      </c>
      <c r="B13" s="15" t="n">
        <v>24</v>
      </c>
      <c r="C13" s="15" t="n">
        <f aca="false">INDEX(CityData!$C:$C,MATCH(A13,CityData!$A:$A,0))*FFAC</f>
        <v>590</v>
      </c>
      <c r="D13" s="15" t="n">
        <f aca="false">SUM(MIE_Daily!AM2:AM367)</f>
        <v>452.48</v>
      </c>
      <c r="E13" s="15" t="n">
        <f aca="false">REGFEE</f>
        <v>180</v>
      </c>
      <c r="F13" s="15" t="n">
        <f aca="false">INDEX(CityData!$D$11:$D$15,MATCH(A13,CityData!$A$11:$A$15,0))*(IF(AND(Parameters!$B$13&lt;=DATE(2026,11,28),Parameters!$B$14&gt;=DATE(2026,11,28)),1,0)+IF(AND(Parameters!$B$13&lt;=DATE(2026,12,1),Parameters!$B$14&gt;=DATE(2026,12,1)),1,0))+INDEX(CityData!$C$11:$C$15,MATCH(A13,CityData!$A$11:$A$15,0))*IF(AND(Parameters!$B$13&lt;=DATE(2026,12,2),Parameters!$B$14&gt;=DATE(2026,12,2)),1,0)</f>
        <v>102</v>
      </c>
      <c r="G13" s="15" t="n">
        <f aca="false">REFRPP*REFRDAYS</f>
        <v>45</v>
      </c>
      <c r="H13" s="15" t="n">
        <f aca="false">INDEX(CityData!$B$19:$B$23,MATCH(A13,CityData!$A$19:$A$23,0))+INDEX(CityData!$C$19:$C$23,MATCH(A13,CityData!$A$19:$A$23,0))</f>
        <v>220</v>
      </c>
      <c r="I13" s="15" t="n">
        <f aca="false">SUM(C13:H13)+O13</f>
        <v>1823.48</v>
      </c>
      <c r="J13" s="15" t="n">
        <f aca="false">I13*B13</f>
        <v>43763.52</v>
      </c>
      <c r="K13" s="15" t="n">
        <f aca="false">SUM(Unknowns!B6,Unknowns!G6)+B13*(NIGHTS*SUM(Unknowns!C6)+SUM(Unknowns!D6:F6))</f>
        <v>0</v>
      </c>
      <c r="L13" s="15" t="n">
        <f aca="false">J13+K13</f>
        <v>43763.52</v>
      </c>
      <c r="M13" s="15" t="n">
        <f aca="false">L13*RESRATE</f>
        <v>2188.176</v>
      </c>
      <c r="N13" s="15" t="n">
        <f aca="false">L13+M13</f>
        <v>45951.696</v>
      </c>
      <c r="O13" s="14" t="n">
        <f aca="false">SUM(MIE_Daily!AL2:AL367)</f>
        <v>234</v>
      </c>
      <c r="P13" s="14" t="n">
        <f aca="false">J13</f>
        <v>43763.52</v>
      </c>
      <c r="Q13" s="14" t="n">
        <f aca="false">K13</f>
        <v>0</v>
      </c>
      <c r="R13" s="14" t="n">
        <f aca="false">MIN(MIE_Daily!AO2:AO367)</f>
        <v>1</v>
      </c>
      <c r="S13" s="14" t="n">
        <f aca="false">IF(AND(Parameters!$B$13=DATE(2026,11,28),Parameters!$B$14=DATE(2026,12,2)),1,0)</f>
        <v>1</v>
      </c>
      <c r="T13" s="14" t="n">
        <f aca="false">IF(AND(R13=1,S13=1,Unknowns!H6=1,Unknowns!I6=1,N13&lt;=CEILING,Parameters!$B$36="VALID DATE STRUCTURE"),1,0)</f>
        <v>0</v>
      </c>
      <c r="U13" s="14" t="n">
        <f aca="false">IF(AND(R13=1,S13=1,N13&lt;=CEILING,Parameters!$B$36="VALID DATE STRUCTURE"),1,0)</f>
        <v>1</v>
      </c>
      <c r="V13" s="14" t="n">
        <f aca="false">IF(T13=0,99999,1+SUMPRODUCT($T$5:$T$14,--($B$5:$B$14&gt;B13))+SUMPRODUCT($T$5:$T$14,--($B$5:$B$14=B13),--($N$5:$N$14&lt;N13))+SUMPRODUCT($T$5:$T$14,--($B$5:$B$14=B13),--($N$5:$N$14=N13),--($A$5:$A$14&lt;A13)))</f>
        <v>99999</v>
      </c>
      <c r="W13" s="14" t="n">
        <f aca="false">IF(U13=0,99999,1+SUMPRODUCT($U$5:$U$14,--($B$5:$B$14&gt;B13))+SUMPRODUCT($U$5:$U$14,--($B$5:$B$14=B13),--($N$5:$N$14&lt;N13))+SUMPRODUCT($U$5:$U$14,--($B$5:$B$14=B13),--($N$5:$N$14=N13),--($A$5:$A$14&lt;A13)))</f>
        <v>2</v>
      </c>
      <c r="X13" s="14" t="n">
        <f aca="false">C13*B13</f>
        <v>14160</v>
      </c>
      <c r="Y13" s="14" t="n">
        <f aca="false">CEILING/(1+RESRATE)-P13</f>
        <v>6712.67047619047</v>
      </c>
      <c r="Z13" s="14" t="n">
        <f aca="false">Y13-0.2*X13</f>
        <v>3880.67047619047</v>
      </c>
      <c r="AA13" s="14" t="n">
        <f aca="false">(L13+0.2*X13)*(1+RESRATE)</f>
        <v>48925.296</v>
      </c>
      <c r="AB13" s="1" t="s">
        <v>164</v>
      </c>
    </row>
    <row r="14" customFormat="false" ht="15" hidden="false" customHeight="true" outlineLevel="0" collapsed="false">
      <c r="A14" s="5" t="s">
        <v>73</v>
      </c>
      <c r="B14" s="15" t="n">
        <v>18</v>
      </c>
      <c r="C14" s="15" t="n">
        <f aca="false">INDEX(CityData!$C:$C,MATCH(A14,CityData!$A:$A,0))*FFAC</f>
        <v>590</v>
      </c>
      <c r="D14" s="15" t="n">
        <f aca="false">SUM(MIE_Daily!AM2:AM367)</f>
        <v>452.48</v>
      </c>
      <c r="E14" s="15" t="n">
        <f aca="false">REGFEE</f>
        <v>180</v>
      </c>
      <c r="F14" s="15" t="n">
        <f aca="false">INDEX(CityData!$D$11:$D$15,MATCH(A14,CityData!$A$11:$A$15,0))*(IF(AND(Parameters!$B$13&lt;=DATE(2026,11,28),Parameters!$B$14&gt;=DATE(2026,11,28)),1,0)+IF(AND(Parameters!$B$13&lt;=DATE(2026,12,1),Parameters!$B$14&gt;=DATE(2026,12,1)),1,0))+INDEX(CityData!$C$11:$C$15,MATCH(A14,CityData!$A$11:$A$15,0))*IF(AND(Parameters!$B$13&lt;=DATE(2026,12,2),Parameters!$B$14&gt;=DATE(2026,12,2)),1,0)</f>
        <v>102</v>
      </c>
      <c r="G14" s="15" t="n">
        <f aca="false">REFRPP*REFRDAYS</f>
        <v>45</v>
      </c>
      <c r="H14" s="15" t="n">
        <f aca="false">INDEX(CityData!$B$19:$B$23,MATCH(A14,CityData!$A$19:$A$23,0))+INDEX(CityData!$C$19:$C$23,MATCH(A14,CityData!$A$19:$A$23,0))</f>
        <v>220</v>
      </c>
      <c r="I14" s="15" t="n">
        <f aca="false">SUM(C14:H14)+O14</f>
        <v>1823.48</v>
      </c>
      <c r="J14" s="15" t="n">
        <f aca="false">I14*B14</f>
        <v>32822.64</v>
      </c>
      <c r="K14" s="15" t="n">
        <f aca="false">SUM(Unknowns!B6,Unknowns!G6)+B14*(NIGHTS*SUM(Unknowns!C6)+SUM(Unknowns!D6:F6))</f>
        <v>0</v>
      </c>
      <c r="L14" s="15" t="n">
        <f aca="false">J14+K14</f>
        <v>32822.64</v>
      </c>
      <c r="M14" s="15" t="n">
        <f aca="false">L14*RESRATE</f>
        <v>1641.132</v>
      </c>
      <c r="N14" s="15" t="n">
        <f aca="false">L14+M14</f>
        <v>34463.772</v>
      </c>
      <c r="O14" s="14" t="n">
        <f aca="false">SUM(MIE_Daily!AL2:AL367)</f>
        <v>234</v>
      </c>
      <c r="P14" s="14" t="n">
        <f aca="false">J14</f>
        <v>32822.64</v>
      </c>
      <c r="Q14" s="14" t="n">
        <f aca="false">K14</f>
        <v>0</v>
      </c>
      <c r="R14" s="14" t="n">
        <f aca="false">MIN(MIE_Daily!AO2:AO367)</f>
        <v>1</v>
      </c>
      <c r="S14" s="14" t="n">
        <f aca="false">IF(AND(Parameters!$B$13=DATE(2026,11,28),Parameters!$B$14=DATE(2026,12,2)),1,0)</f>
        <v>1</v>
      </c>
      <c r="T14" s="14" t="n">
        <f aca="false">IF(AND(R14=1,S14=1,Unknowns!H6=1,Unknowns!I6=1,N14&lt;=CEILING,Parameters!$B$36="VALID DATE STRUCTURE"),1,0)</f>
        <v>0</v>
      </c>
      <c r="U14" s="14" t="n">
        <f aca="false">IF(AND(R14=1,S14=1,N14&lt;=CEILING,Parameters!$B$36="VALID DATE STRUCTURE"),1,0)</f>
        <v>1</v>
      </c>
      <c r="V14" s="14" t="n">
        <f aca="false">IF(T14=0,99999,1+SUMPRODUCT($T$5:$T$14,--($B$5:$B$14&gt;B14))+SUMPRODUCT($T$5:$T$14,--($B$5:$B$14=B14),--($N$5:$N$14&lt;N14))+SUMPRODUCT($T$5:$T$14,--($B$5:$B$14=B14),--($N$5:$N$14=N14),--($A$5:$A$14&lt;A14)))</f>
        <v>99999</v>
      </c>
      <c r="W14" s="14" t="n">
        <f aca="false">IF(U14=0,99999,1+SUMPRODUCT($U$5:$U$14,--($B$5:$B$14&gt;B14))+SUMPRODUCT($U$5:$U$14,--($B$5:$B$14=B14),--($N$5:$N$14&lt;N14))+SUMPRODUCT($U$5:$U$14,--($B$5:$B$14=B14),--($N$5:$N$14=N14),--($A$5:$A$14&lt;A14)))</f>
        <v>6</v>
      </c>
      <c r="X14" s="14" t="n">
        <f aca="false">C14*B14</f>
        <v>10620</v>
      </c>
      <c r="Y14" s="14" t="n">
        <f aca="false">CEILING/(1+RESRATE)-P14</f>
        <v>17653.5504761905</v>
      </c>
      <c r="Z14" s="14" t="n">
        <f aca="false">Y14-0.2*X14</f>
        <v>15529.5504761905</v>
      </c>
      <c r="AA14" s="14" t="n">
        <f aca="false">(L14+0.2*X14)*(1+RESRATE)</f>
        <v>36693.972</v>
      </c>
      <c r="AB14" s="1" t="s">
        <v>165</v>
      </c>
    </row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true" outlineLevel="0" collapsed="false">
      <c r="A17" s="4" t="s">
        <v>166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customFormat="false" ht="39" hidden="false" customHeight="true" outlineLevel="0" collapsed="false">
      <c r="A18" s="4" t="s">
        <v>44</v>
      </c>
      <c r="B18" s="4" t="s">
        <v>122</v>
      </c>
      <c r="C18" s="4" t="s">
        <v>167</v>
      </c>
      <c r="D18" s="4" t="s">
        <v>168</v>
      </c>
      <c r="E18" s="4" t="s">
        <v>169</v>
      </c>
      <c r="F18" s="4" t="s">
        <v>170</v>
      </c>
    </row>
    <row r="19" customFormat="false" ht="15" hidden="false" customHeight="true" outlineLevel="0" collapsed="false">
      <c r="A19" s="5" t="s">
        <v>56</v>
      </c>
      <c r="B19" s="15" t="n">
        <v>24</v>
      </c>
      <c r="C19" s="15" t="n">
        <f aca="false">I5+C5*0.2</f>
        <v>1538.04</v>
      </c>
      <c r="D19" s="15" t="n">
        <f aca="false">(I5+C5*0.2)*B5+K5</f>
        <v>36912.96</v>
      </c>
      <c r="E19" s="15" t="n">
        <f aca="false">AA5</f>
        <v>38758.608</v>
      </c>
      <c r="F19" s="15" t="str">
        <f aca="false">IF(E19&lt;=CEILING,"YES","NO")</f>
        <v>YES</v>
      </c>
    </row>
    <row r="20" customFormat="false" ht="15" hidden="false" customHeight="true" outlineLevel="0" collapsed="false">
      <c r="A20" s="5" t="s">
        <v>56</v>
      </c>
      <c r="B20" s="15" t="n">
        <v>18</v>
      </c>
      <c r="C20" s="15" t="n">
        <f aca="false">I6+C6*0.2</f>
        <v>1538.04</v>
      </c>
      <c r="D20" s="15" t="n">
        <f aca="false">(I6+C6*0.2)*B6+K6</f>
        <v>27684.72</v>
      </c>
      <c r="E20" s="15" t="n">
        <f aca="false">AA6</f>
        <v>29068.956</v>
      </c>
      <c r="F20" s="15" t="str">
        <f aca="false">IF(E20&lt;=CEILING,"YES","NO")</f>
        <v>YES</v>
      </c>
    </row>
    <row r="21" customFormat="false" ht="15" hidden="false" customHeight="true" outlineLevel="0" collapsed="false">
      <c r="A21" s="5" t="s">
        <v>61</v>
      </c>
      <c r="B21" s="15" t="n">
        <v>24</v>
      </c>
      <c r="C21" s="15" t="n">
        <f aca="false">I7+C7*0.2</f>
        <v>1712.84</v>
      </c>
      <c r="D21" s="15" t="n">
        <f aca="false">(I7+C7*0.2)*B7+K7</f>
        <v>41108.16</v>
      </c>
      <c r="E21" s="15" t="n">
        <f aca="false">AA7</f>
        <v>43163.568</v>
      </c>
      <c r="F21" s="15" t="str">
        <f aca="false">IF(E21&lt;=CEILING,"YES","NO")</f>
        <v>YES</v>
      </c>
    </row>
    <row r="22" customFormat="false" ht="15" hidden="false" customHeight="true" outlineLevel="0" collapsed="false">
      <c r="A22" s="5" t="s">
        <v>61</v>
      </c>
      <c r="B22" s="15" t="n">
        <v>18</v>
      </c>
      <c r="C22" s="15" t="n">
        <f aca="false">I8+C8*0.2</f>
        <v>1712.84</v>
      </c>
      <c r="D22" s="15" t="n">
        <f aca="false">(I8+C8*0.2)*B8+K8</f>
        <v>30831.12</v>
      </c>
      <c r="E22" s="15" t="n">
        <f aca="false">AA8</f>
        <v>32372.676</v>
      </c>
      <c r="F22" s="15" t="str">
        <f aca="false">IF(E22&lt;=CEILING,"YES","NO")</f>
        <v>YES</v>
      </c>
    </row>
    <row r="23" customFormat="false" ht="15" hidden="false" customHeight="true" outlineLevel="0" collapsed="false">
      <c r="A23" s="5" t="s">
        <v>65</v>
      </c>
      <c r="B23" s="15" t="n">
        <v>24</v>
      </c>
      <c r="C23" s="15" t="n">
        <f aca="false">I9+C9*0.2</f>
        <v>1962.92</v>
      </c>
      <c r="D23" s="15" t="n">
        <f aca="false">(I9+C9*0.2)*B9+K9</f>
        <v>47110.08</v>
      </c>
      <c r="E23" s="15" t="n">
        <f aca="false">AA9</f>
        <v>49465.584</v>
      </c>
      <c r="F23" s="15" t="str">
        <f aca="false">IF(E23&lt;=CEILING,"YES","NO")</f>
        <v>YES</v>
      </c>
    </row>
    <row r="24" customFormat="false" ht="15" hidden="false" customHeight="true" outlineLevel="0" collapsed="false">
      <c r="A24" s="5" t="s">
        <v>65</v>
      </c>
      <c r="B24" s="15" t="n">
        <v>18</v>
      </c>
      <c r="C24" s="15" t="n">
        <f aca="false">I10+C10*0.2</f>
        <v>1962.92</v>
      </c>
      <c r="D24" s="15" t="n">
        <f aca="false">(I10+C10*0.2)*B10+K10</f>
        <v>35332.56</v>
      </c>
      <c r="E24" s="15" t="n">
        <f aca="false">AA10</f>
        <v>37099.188</v>
      </c>
      <c r="F24" s="15" t="str">
        <f aca="false">IF(E24&lt;=CEILING,"YES","NO")</f>
        <v>YES</v>
      </c>
    </row>
    <row r="25" customFormat="false" ht="15" hidden="false" customHeight="true" outlineLevel="0" collapsed="false">
      <c r="A25" s="5" t="s">
        <v>70</v>
      </c>
      <c r="B25" s="15" t="n">
        <v>24</v>
      </c>
      <c r="C25" s="15" t="n">
        <f aca="false">I11+C11*0.2</f>
        <v>2023.8</v>
      </c>
      <c r="D25" s="15" t="n">
        <f aca="false">(I11+C11*0.2)*B11+K11</f>
        <v>48571.2</v>
      </c>
      <c r="E25" s="15" t="n">
        <f aca="false">AA11</f>
        <v>50999.76</v>
      </c>
      <c r="F25" s="15" t="str">
        <f aca="false">IF(E25&lt;=CEILING,"YES","NO")</f>
        <v>YES</v>
      </c>
    </row>
    <row r="26" customFormat="false" ht="15" hidden="false" customHeight="true" outlineLevel="0" collapsed="false">
      <c r="A26" s="5" t="s">
        <v>70</v>
      </c>
      <c r="B26" s="15" t="n">
        <v>18</v>
      </c>
      <c r="C26" s="15" t="n">
        <f aca="false">I12+C12*0.2</f>
        <v>2023.8</v>
      </c>
      <c r="D26" s="15" t="n">
        <f aca="false">(I12+C12*0.2)*B12+K12</f>
        <v>36428.4</v>
      </c>
      <c r="E26" s="15" t="n">
        <f aca="false">AA12</f>
        <v>38249.82</v>
      </c>
      <c r="F26" s="15" t="str">
        <f aca="false">IF(E26&lt;=CEILING,"YES","NO")</f>
        <v>YES</v>
      </c>
    </row>
    <row r="27" customFormat="false" ht="15" hidden="false" customHeight="true" outlineLevel="0" collapsed="false">
      <c r="A27" s="5" t="s">
        <v>73</v>
      </c>
      <c r="B27" s="15" t="n">
        <v>24</v>
      </c>
      <c r="C27" s="15" t="n">
        <f aca="false">I13+C13*0.2</f>
        <v>1941.48</v>
      </c>
      <c r="D27" s="15" t="n">
        <f aca="false">(I13+C13*0.2)*B13+K13</f>
        <v>46595.52</v>
      </c>
      <c r="E27" s="15" t="n">
        <f aca="false">AA13</f>
        <v>48925.296</v>
      </c>
      <c r="F27" s="15" t="str">
        <f aca="false">IF(E27&lt;=CEILING,"YES","NO")</f>
        <v>YES</v>
      </c>
    </row>
    <row r="28" customFormat="false" ht="15" hidden="false" customHeight="true" outlineLevel="0" collapsed="false">
      <c r="A28" s="5" t="s">
        <v>73</v>
      </c>
      <c r="B28" s="15" t="n">
        <v>18</v>
      </c>
      <c r="C28" s="15" t="n">
        <f aca="false">I14+C14*0.2</f>
        <v>1941.48</v>
      </c>
      <c r="D28" s="15" t="n">
        <f aca="false">(I14+C14*0.2)*B14+K14</f>
        <v>34946.64</v>
      </c>
      <c r="E28" s="15" t="n">
        <f aca="false">AA14</f>
        <v>36693.972</v>
      </c>
      <c r="F28" s="15" t="str">
        <f aca="false">IF(E28&lt;=CEILING,"YES","NO")</f>
        <v>YES</v>
      </c>
    </row>
  </sheetData>
  <mergeCells count="3">
    <mergeCell ref="A1:N1"/>
    <mergeCell ref="A2:N2"/>
    <mergeCell ref="A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9"/>
    <col collapsed="false" customWidth="true" hidden="false" outlineLevel="0" max="5" min="4" style="1" width="20"/>
    <col collapsed="false" customWidth="true" hidden="false" outlineLevel="0" max="6" min="6" style="1" width="8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42"/>
  </cols>
  <sheetData>
    <row r="1" customFormat="false" ht="19.5" hidden="false" customHeight="true" outlineLevel="0" collapsed="false">
      <c r="A1" s="2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7.75" hidden="false" customHeight="true" outlineLevel="0" collapsed="false">
      <c r="A2" s="3" t="s">
        <v>172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/>
    <row r="4" customFormat="false" ht="26.25" hidden="false" customHeight="true" outlineLevel="0" collapsed="false">
      <c r="A4" s="4" t="s">
        <v>44</v>
      </c>
      <c r="B4" s="4" t="s">
        <v>173</v>
      </c>
      <c r="C4" s="4" t="s">
        <v>174</v>
      </c>
      <c r="D4" s="4" t="s">
        <v>175</v>
      </c>
      <c r="E4" s="4" t="s">
        <v>176</v>
      </c>
      <c r="F4" s="4" t="s">
        <v>177</v>
      </c>
      <c r="G4" s="4" t="s">
        <v>178</v>
      </c>
      <c r="H4" s="4" t="s">
        <v>179</v>
      </c>
      <c r="I4" s="4" t="s">
        <v>180</v>
      </c>
      <c r="J4" s="4" t="s">
        <v>181</v>
      </c>
    </row>
    <row r="5" customFormat="false" ht="15" hidden="false" customHeight="true" outlineLevel="0" collapsed="false">
      <c r="A5" s="5" t="s">
        <v>56</v>
      </c>
      <c r="B5" s="15" t="n">
        <v>108</v>
      </c>
      <c r="C5" s="5" t="s">
        <v>182</v>
      </c>
      <c r="D5" s="15" t="n">
        <v>209</v>
      </c>
      <c r="E5" s="15" t="n">
        <v>209</v>
      </c>
      <c r="F5" s="15" t="n">
        <v>92</v>
      </c>
      <c r="G5" s="15" t="n">
        <f aca="false">3*D5+E5</f>
        <v>836</v>
      </c>
      <c r="H5" s="22" t="str">
        <f aca="false">IF(AND(B5&lt;=D5,B5&lt;=E5),"YES","NO: OVER CAP, NOT BOOKABLE WITHOUT AUTHORIZATION")</f>
        <v>YES</v>
      </c>
      <c r="I5" s="15" t="n">
        <f aca="false">4*B5</f>
        <v>432</v>
      </c>
      <c r="J5" s="5"/>
    </row>
    <row r="6" customFormat="false" ht="15" hidden="false" customHeight="true" outlineLevel="0" collapsed="false">
      <c r="A6" s="5" t="s">
        <v>56</v>
      </c>
      <c r="B6" s="15" t="n">
        <v>108</v>
      </c>
      <c r="C6" s="5" t="s">
        <v>183</v>
      </c>
      <c r="D6" s="15" t="n">
        <v>209</v>
      </c>
      <c r="E6" s="15" t="n">
        <v>209</v>
      </c>
      <c r="F6" s="15" t="n">
        <v>92</v>
      </c>
      <c r="G6" s="15" t="n">
        <f aca="false">3*D6+E6</f>
        <v>836</v>
      </c>
      <c r="H6" s="22" t="str">
        <f aca="false">IF(AND(B6&lt;=D6,B6&lt;=E6),"YES","NO: OVER CAP, NOT BOOKABLE WITHOUT AUTHORIZATION")</f>
        <v>YES</v>
      </c>
      <c r="I6" s="15" t="n">
        <f aca="false">4*B6</f>
        <v>432</v>
      </c>
      <c r="J6" s="5"/>
    </row>
    <row r="7" customFormat="false" ht="15" hidden="false" customHeight="true" outlineLevel="0" collapsed="false">
      <c r="A7" s="5" t="s">
        <v>56</v>
      </c>
      <c r="B7" s="15" t="n">
        <v>108</v>
      </c>
      <c r="C7" s="5" t="s">
        <v>184</v>
      </c>
      <c r="D7" s="15" t="n">
        <v>213</v>
      </c>
      <c r="E7" s="15" t="n">
        <v>213</v>
      </c>
      <c r="F7" s="15" t="n">
        <v>92</v>
      </c>
      <c r="G7" s="15" t="n">
        <f aca="false">3*D7+E7</f>
        <v>852</v>
      </c>
      <c r="H7" s="22" t="str">
        <f aca="false">IF(AND(B7&lt;=D7,B7&lt;=E7),"YES","NO: OVER CAP, NOT BOOKABLE WITHOUT AUTHORIZATION")</f>
        <v>YES</v>
      </c>
      <c r="I7" s="15" t="n">
        <f aca="false">4*B7</f>
        <v>432</v>
      </c>
      <c r="J7" s="5"/>
    </row>
    <row r="8" customFormat="false" ht="15" hidden="false" customHeight="true" outlineLevel="0" collapsed="false">
      <c r="A8" s="5" t="s">
        <v>61</v>
      </c>
      <c r="B8" s="15" t="n">
        <f aca="false">CityData!F4</f>
        <v>158</v>
      </c>
      <c r="C8" s="5" t="s">
        <v>182</v>
      </c>
      <c r="D8" s="15" t="n">
        <v>223</v>
      </c>
      <c r="E8" s="15" t="n">
        <v>142</v>
      </c>
      <c r="F8" s="15" t="n">
        <v>92</v>
      </c>
      <c r="G8" s="15" t="n">
        <f aca="false">3*D8+E8</f>
        <v>811</v>
      </c>
      <c r="H8" s="27" t="str">
        <f aca="false">IF(AND(B8&lt;=D8,B8&lt;=E8),"YES","NO: OVER CAP, NOT BOOKABLE WITHOUT AUTHORIZATION")</f>
        <v>NO: OVER CAP, NOT BOOKABLE WITHOUT AUTHORIZATION</v>
      </c>
      <c r="I8" s="15" t="n">
        <f aca="false">4*B8</f>
        <v>632</v>
      </c>
      <c r="J8" s="5" t="s">
        <v>185</v>
      </c>
    </row>
    <row r="9" customFormat="false" ht="15" hidden="false" customHeight="true" outlineLevel="0" collapsed="false">
      <c r="A9" s="5" t="s">
        <v>61</v>
      </c>
      <c r="B9" s="15" t="n">
        <f aca="false">CityData!F4</f>
        <v>158</v>
      </c>
      <c r="C9" s="5" t="s">
        <v>183</v>
      </c>
      <c r="D9" s="15" t="n">
        <v>223</v>
      </c>
      <c r="E9" s="15" t="n">
        <v>142</v>
      </c>
      <c r="F9" s="15" t="n">
        <v>92</v>
      </c>
      <c r="G9" s="15" t="n">
        <f aca="false">3*D9+E9</f>
        <v>811</v>
      </c>
      <c r="H9" s="27" t="str">
        <f aca="false">IF(AND(B9&lt;=D9,B9&lt;=E9),"YES","NO: OVER CAP, NOT BOOKABLE WITHOUT AUTHORIZATION")</f>
        <v>NO: OVER CAP, NOT BOOKABLE WITHOUT AUTHORIZATION</v>
      </c>
      <c r="I9" s="15" t="n">
        <f aca="false">4*B9</f>
        <v>632</v>
      </c>
      <c r="J9" s="5" t="s">
        <v>185</v>
      </c>
    </row>
    <row r="10" customFormat="false" ht="15" hidden="false" customHeight="true" outlineLevel="0" collapsed="false">
      <c r="A10" s="5" t="s">
        <v>61</v>
      </c>
      <c r="B10" s="15" t="n">
        <f aca="false">CityData!F4</f>
        <v>158</v>
      </c>
      <c r="C10" s="5" t="s">
        <v>184</v>
      </c>
      <c r="D10" s="15" t="n">
        <v>232</v>
      </c>
      <c r="E10" s="15" t="n">
        <v>148</v>
      </c>
      <c r="F10" s="15" t="n">
        <v>92</v>
      </c>
      <c r="G10" s="15" t="n">
        <f aca="false">3*D10+E10</f>
        <v>844</v>
      </c>
      <c r="H10" s="22" t="str">
        <f aca="false">IF(AND(B10&lt;=D10,B10&lt;=E10),"YES","NO: OVER CAP, NOT BOOKABLE WITHOUT AUTHORIZATION")</f>
        <v>NO: OVER CAP, NOT BOOKABLE WITHOUT AUTHORIZATION</v>
      </c>
      <c r="I10" s="15" t="n">
        <f aca="false">4*B10</f>
        <v>632</v>
      </c>
      <c r="J10" s="5"/>
    </row>
    <row r="11" customFormat="false" ht="15" hidden="false" customHeight="true" outlineLevel="0" collapsed="false">
      <c r="A11" s="5" t="s">
        <v>65</v>
      </c>
      <c r="B11" s="15" t="n">
        <v>109</v>
      </c>
      <c r="C11" s="5" t="s">
        <v>182</v>
      </c>
      <c r="D11" s="15" t="n">
        <v>165</v>
      </c>
      <c r="E11" s="15" t="n">
        <v>165</v>
      </c>
      <c r="F11" s="15" t="n">
        <v>92</v>
      </c>
      <c r="G11" s="15" t="n">
        <f aca="false">3*D11+E11</f>
        <v>660</v>
      </c>
      <c r="H11" s="22" t="str">
        <f aca="false">IF(AND(B11&lt;=D11,B11&lt;=E11),"YES","NO: OVER CAP, NOT BOOKABLE WITHOUT AUTHORIZATION")</f>
        <v>YES</v>
      </c>
      <c r="I11" s="15" t="n">
        <f aca="false">4*B11</f>
        <v>436</v>
      </c>
      <c r="J11" s="5"/>
    </row>
    <row r="12" customFormat="false" ht="15" hidden="false" customHeight="true" outlineLevel="0" collapsed="false">
      <c r="A12" s="5" t="s">
        <v>65</v>
      </c>
      <c r="B12" s="15" t="n">
        <v>109</v>
      </c>
      <c r="C12" s="5" t="s">
        <v>183</v>
      </c>
      <c r="D12" s="15" t="n">
        <v>165</v>
      </c>
      <c r="E12" s="15" t="n">
        <v>165</v>
      </c>
      <c r="F12" s="15" t="n">
        <v>92</v>
      </c>
      <c r="G12" s="15" t="n">
        <f aca="false">3*D12+E12</f>
        <v>660</v>
      </c>
      <c r="H12" s="22" t="str">
        <f aca="false">IF(AND(B12&lt;=D12,B12&lt;=E12),"YES","NO: OVER CAP, NOT BOOKABLE WITHOUT AUTHORIZATION")</f>
        <v>YES</v>
      </c>
      <c r="I12" s="15" t="n">
        <f aca="false">4*B12</f>
        <v>436</v>
      </c>
      <c r="J12" s="5"/>
    </row>
    <row r="13" customFormat="false" ht="15" hidden="false" customHeight="true" outlineLevel="0" collapsed="false">
      <c r="A13" s="5" t="s">
        <v>65</v>
      </c>
      <c r="B13" s="15" t="n">
        <v>109</v>
      </c>
      <c r="C13" s="5" t="s">
        <v>184</v>
      </c>
      <c r="D13" s="15" t="n">
        <v>170</v>
      </c>
      <c r="E13" s="15" t="n">
        <v>170</v>
      </c>
      <c r="F13" s="15" t="n">
        <v>92</v>
      </c>
      <c r="G13" s="15" t="n">
        <f aca="false">3*D13+E13</f>
        <v>680</v>
      </c>
      <c r="H13" s="22" t="str">
        <f aca="false">IF(AND(B13&lt;=D13,B13&lt;=E13),"YES","NO: OVER CAP, NOT BOOKABLE WITHOUT AUTHORIZATION")</f>
        <v>YES</v>
      </c>
      <c r="I13" s="15" t="n">
        <f aca="false">4*B13</f>
        <v>436</v>
      </c>
      <c r="J13" s="5"/>
    </row>
    <row r="14" customFormat="false" ht="15" hidden="false" customHeight="true" outlineLevel="0" collapsed="false">
      <c r="A14" s="5" t="s">
        <v>70</v>
      </c>
      <c r="B14" s="15" t="n">
        <v>150</v>
      </c>
      <c r="C14" s="5" t="s">
        <v>182</v>
      </c>
      <c r="D14" s="15" t="n">
        <v>160</v>
      </c>
      <c r="E14" s="15" t="n">
        <v>160</v>
      </c>
      <c r="F14" s="15" t="n">
        <v>86</v>
      </c>
      <c r="G14" s="15" t="n">
        <f aca="false">3*D14+E14</f>
        <v>640</v>
      </c>
      <c r="H14" s="22" t="str">
        <f aca="false">IF(AND(B14&lt;=D14,B14&lt;=E14),"YES","NO: OVER CAP, NOT BOOKABLE WITHOUT AUTHORIZATION")</f>
        <v>YES</v>
      </c>
      <c r="I14" s="15" t="n">
        <f aca="false">4*B14</f>
        <v>600</v>
      </c>
      <c r="J14" s="5" t="s">
        <v>186</v>
      </c>
    </row>
    <row r="15" customFormat="false" ht="15" hidden="false" customHeight="true" outlineLevel="0" collapsed="false">
      <c r="A15" s="5" t="s">
        <v>70</v>
      </c>
      <c r="B15" s="15" t="n">
        <v>150</v>
      </c>
      <c r="C15" s="5" t="s">
        <v>183</v>
      </c>
      <c r="D15" s="15" t="n">
        <v>160</v>
      </c>
      <c r="E15" s="15" t="n">
        <v>160</v>
      </c>
      <c r="F15" s="15" t="n">
        <v>86</v>
      </c>
      <c r="G15" s="15" t="n">
        <f aca="false">3*D15+E15</f>
        <v>640</v>
      </c>
      <c r="H15" s="22" t="str">
        <f aca="false">IF(AND(B15&lt;=D15,B15&lt;=E15),"YES","NO: OVER CAP, NOT BOOKABLE WITHOUT AUTHORIZATION")</f>
        <v>YES</v>
      </c>
      <c r="I15" s="15" t="n">
        <f aca="false">4*B15</f>
        <v>600</v>
      </c>
      <c r="J15" s="5" t="s">
        <v>186</v>
      </c>
    </row>
    <row r="16" customFormat="false" ht="15" hidden="false" customHeight="true" outlineLevel="0" collapsed="false">
      <c r="A16" s="5" t="s">
        <v>70</v>
      </c>
      <c r="B16" s="15" t="n">
        <v>150</v>
      </c>
      <c r="C16" s="5" t="s">
        <v>184</v>
      </c>
      <c r="D16" s="15" t="n">
        <v>165</v>
      </c>
      <c r="E16" s="15" t="n">
        <v>165</v>
      </c>
      <c r="F16" s="15" t="n">
        <v>86</v>
      </c>
      <c r="G16" s="15" t="n">
        <f aca="false">3*D16+E16</f>
        <v>660</v>
      </c>
      <c r="H16" s="22" t="str">
        <f aca="false">IF(AND(B16&lt;=D16,B16&lt;=E16),"YES","NO: OVER CAP, NOT BOOKABLE WITHOUT AUTHORIZATION")</f>
        <v>YES</v>
      </c>
      <c r="I16" s="15" t="n">
        <f aca="false">4*B16</f>
        <v>600</v>
      </c>
      <c r="J16" s="5" t="s">
        <v>186</v>
      </c>
    </row>
    <row r="17" customFormat="false" ht="15" hidden="false" customHeight="true" outlineLevel="0" collapsed="false">
      <c r="A17" s="5" t="s">
        <v>73</v>
      </c>
      <c r="B17" s="15" t="n">
        <v>101</v>
      </c>
      <c r="C17" s="5" t="s">
        <v>182</v>
      </c>
      <c r="D17" s="15" t="n">
        <v>188</v>
      </c>
      <c r="E17" s="15" t="n">
        <v>188</v>
      </c>
      <c r="F17" s="15" t="n">
        <v>92</v>
      </c>
      <c r="G17" s="15" t="n">
        <f aca="false">3*D17+E17</f>
        <v>752</v>
      </c>
      <c r="H17" s="22" t="str">
        <f aca="false">IF(AND(B17&lt;=D17,B17&lt;=E17),"YES","NO: OVER CAP, NOT BOOKABLE WITHOUT AUTHORIZATION")</f>
        <v>YES</v>
      </c>
      <c r="I17" s="15" t="n">
        <f aca="false">4*B17</f>
        <v>404</v>
      </c>
      <c r="J17" s="5"/>
    </row>
    <row r="18" customFormat="false" ht="15" hidden="false" customHeight="true" outlineLevel="0" collapsed="false">
      <c r="A18" s="5" t="s">
        <v>73</v>
      </c>
      <c r="B18" s="15" t="n">
        <v>101</v>
      </c>
      <c r="C18" s="5" t="s">
        <v>183</v>
      </c>
      <c r="D18" s="15" t="n">
        <v>188</v>
      </c>
      <c r="E18" s="15" t="n">
        <v>188</v>
      </c>
      <c r="F18" s="15" t="n">
        <v>92</v>
      </c>
      <c r="G18" s="15" t="n">
        <f aca="false">3*D18+E18</f>
        <v>752</v>
      </c>
      <c r="H18" s="22" t="str">
        <f aca="false">IF(AND(B18&lt;=D18,B18&lt;=E18),"YES","NO: OVER CAP, NOT BOOKABLE WITHOUT AUTHORIZATION")</f>
        <v>YES</v>
      </c>
      <c r="I18" s="15" t="n">
        <f aca="false">4*B18</f>
        <v>404</v>
      </c>
      <c r="J18" s="5"/>
    </row>
    <row r="19" customFormat="false" ht="15" hidden="false" customHeight="true" outlineLevel="0" collapsed="false">
      <c r="A19" s="5" t="s">
        <v>73</v>
      </c>
      <c r="B19" s="15" t="n">
        <v>101</v>
      </c>
      <c r="C19" s="5" t="s">
        <v>184</v>
      </c>
      <c r="D19" s="15" t="n">
        <v>188</v>
      </c>
      <c r="E19" s="15" t="n">
        <v>188</v>
      </c>
      <c r="F19" s="15" t="n">
        <v>92</v>
      </c>
      <c r="G19" s="15" t="n">
        <f aca="false">3*D19+E19</f>
        <v>752</v>
      </c>
      <c r="H19" s="22" t="str">
        <f aca="false">IF(AND(B19&lt;=D19,B19&lt;=E19),"YES","NO: OVER CAP, NOT BOOKABLE WITHOUT AUTHORIZATION")</f>
        <v>YES</v>
      </c>
      <c r="I19" s="15" t="n">
        <f aca="false">4*B19</f>
        <v>404</v>
      </c>
      <c r="J19" s="5"/>
    </row>
    <row r="20" customFormat="false" ht="15" hidden="false" customHeight="false" outlineLevel="0" collapsed="false"/>
    <row r="21" customFormat="false" ht="15" hidden="false" customHeight="true" outlineLevel="0" collapsed="false">
      <c r="A21" s="11" t="s">
        <v>187</v>
      </c>
    </row>
    <row r="22" customFormat="false" ht="15" hidden="false" customHeight="true" outlineLevel="0" collapsed="false">
      <c r="A22" s="12" t="s">
        <v>188</v>
      </c>
      <c r="B22" s="12"/>
      <c r="C22" s="12"/>
      <c r="D22" s="12"/>
      <c r="E22" s="12"/>
      <c r="F22" s="12"/>
      <c r="G22" s="12"/>
      <c r="H22" s="12"/>
      <c r="I22" s="12"/>
      <c r="J22" s="12"/>
    </row>
    <row r="23" customFormat="false" ht="15" hidden="false" customHeight="true" outlineLevel="0" collapsed="false">
      <c r="A23" s="12" t="s">
        <v>189</v>
      </c>
      <c r="B23" s="12"/>
      <c r="C23" s="12"/>
      <c r="D23" s="12"/>
      <c r="E23" s="12"/>
      <c r="F23" s="12"/>
      <c r="G23" s="12"/>
      <c r="H23" s="12"/>
      <c r="I23" s="12"/>
      <c r="J23" s="12"/>
    </row>
    <row r="24" customFormat="false" ht="15" hidden="false" customHeight="true" outlineLevel="0" collapsed="false">
      <c r="A24" s="12" t="s">
        <v>190</v>
      </c>
      <c r="B24" s="12"/>
      <c r="C24" s="12"/>
      <c r="D24" s="12"/>
      <c r="E24" s="12"/>
      <c r="F24" s="12"/>
      <c r="G24" s="12"/>
      <c r="H24" s="12"/>
      <c r="I24" s="12"/>
      <c r="J24" s="12"/>
    </row>
    <row r="25" customFormat="false" ht="15" hidden="false" customHeight="true" outlineLevel="0" collapsed="false">
      <c r="A25" s="12" t="s">
        <v>191</v>
      </c>
      <c r="B25" s="12"/>
      <c r="C25" s="12"/>
      <c r="D25" s="12"/>
      <c r="E25" s="12"/>
      <c r="F25" s="12"/>
      <c r="G25" s="12"/>
      <c r="H25" s="12"/>
      <c r="I25" s="12"/>
      <c r="J25" s="12"/>
    </row>
    <row r="26" customFormat="false" ht="15" hidden="false" customHeight="true" outlineLevel="0" collapsed="false">
      <c r="A26" s="12" t="s">
        <v>192</v>
      </c>
      <c r="B26" s="12"/>
      <c r="C26" s="12"/>
      <c r="D26" s="12"/>
      <c r="E26" s="12"/>
      <c r="F26" s="12"/>
      <c r="G26" s="12"/>
      <c r="H26" s="12"/>
      <c r="I26" s="12"/>
      <c r="J26" s="12"/>
    </row>
  </sheetData>
  <mergeCells count="7">
    <mergeCell ref="A1:K1"/>
    <mergeCell ref="A2:K2"/>
    <mergeCell ref="A22:J22"/>
    <mergeCell ref="A23:J23"/>
    <mergeCell ref="A24:J24"/>
    <mergeCell ref="A25:J25"/>
    <mergeCell ref="A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2"/>
    <col collapsed="false" customWidth="true" hidden="false" outlineLevel="0" max="3" min="3" style="1" width="46"/>
    <col collapsed="false" customWidth="true" hidden="false" outlineLevel="0" max="6" min="4" style="1" width="8"/>
  </cols>
  <sheetData>
    <row r="1" customFormat="false" ht="19.5" hidden="false" customHeight="true" outlineLevel="0" collapsed="false">
      <c r="A1" s="2" t="s">
        <v>193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194</v>
      </c>
      <c r="B2" s="3"/>
      <c r="C2" s="3"/>
      <c r="D2" s="3"/>
      <c r="E2" s="3"/>
      <c r="F2" s="3"/>
    </row>
    <row r="3" customFormat="false" ht="15" hidden="false" customHeight="false" outlineLevel="0" collapsed="false"/>
    <row r="4" customFormat="false" ht="15" hidden="false" customHeight="true" outlineLevel="0" collapsed="false">
      <c r="A4" s="4" t="s">
        <v>195</v>
      </c>
      <c r="B4" s="4" t="s">
        <v>3</v>
      </c>
      <c r="C4" s="4" t="s">
        <v>196</v>
      </c>
    </row>
    <row r="5" customFormat="false" ht="15" hidden="false" customHeight="true" outlineLevel="0" collapsed="false">
      <c r="A5" s="5" t="s">
        <v>197</v>
      </c>
      <c r="B5" s="15" t="str">
        <f aca="false">Decision!B2</f>
        <v>NO QUALIFIED RECOMMENDATION</v>
      </c>
      <c r="C5" s="5" t="s">
        <v>198</v>
      </c>
    </row>
    <row r="6" customFormat="false" ht="15" hidden="false" customHeight="true" outlineLevel="0" collapsed="false">
      <c r="A6" s="5" t="s">
        <v>199</v>
      </c>
      <c r="B6" s="15" t="str">
        <f aca="false">Decision!B3&amp;" / "&amp;Decision!B4</f>
        <v>Boston / 24</v>
      </c>
      <c r="C6" s="5" t="s">
        <v>200</v>
      </c>
    </row>
    <row r="7" customFormat="false" ht="15" hidden="false" customHeight="true" outlineLevel="0" collapsed="false">
      <c r="A7" s="5" t="s">
        <v>201</v>
      </c>
      <c r="B7" s="15" t="n">
        <f aca="false">Decision!B6</f>
        <v>37191.168</v>
      </c>
      <c r="C7" s="5" t="s">
        <v>202</v>
      </c>
    </row>
    <row r="8" customFormat="false" ht="15" hidden="false" customHeight="true" outlineLevel="0" collapsed="false">
      <c r="A8" s="5" t="s">
        <v>203</v>
      </c>
      <c r="B8" s="15" t="n">
        <f aca="false">INDEX(Candidate_Model!U:U,MATCH(Decision!B11,Candidate_Model!A:A,0))</f>
        <v>15056.0304761905</v>
      </c>
      <c r="C8" s="5" t="s">
        <v>204</v>
      </c>
    </row>
    <row r="9" customFormat="false" ht="15" hidden="false" customHeight="true" outlineLevel="0" collapsed="false">
      <c r="A9" s="5" t="s">
        <v>205</v>
      </c>
      <c r="B9" s="15" t="n">
        <f aca="false">INDEX(Candidate_Model!V:V,MATCH(Decision!B11,Candidate_Model!A:A,0))</f>
        <v>13563.2304761905</v>
      </c>
      <c r="C9" s="5" t="s">
        <v>206</v>
      </c>
    </row>
    <row r="10" customFormat="false" ht="15" hidden="false" customHeight="true" outlineLevel="0" collapsed="false">
      <c r="A10" s="5" t="s">
        <v>207</v>
      </c>
      <c r="B10" s="15" t="n">
        <f aca="false">INDEX(Candidate_Model!U2:U45,MATCH(2,Candidate_Model!T2:T45,0))</f>
        <v>13928.0304761905</v>
      </c>
      <c r="C10" s="5" t="s">
        <v>208</v>
      </c>
    </row>
    <row r="11" customFormat="false" ht="15" hidden="false" customHeight="true" outlineLevel="0" collapsed="false">
      <c r="A11" s="5" t="s">
        <v>209</v>
      </c>
      <c r="B11" s="15" t="n">
        <f aca="false">INDEX(Candidate_Model!V2:V45,MATCH(2,Candidate_Model!T2:T45,0))</f>
        <v>12209.6304761905</v>
      </c>
      <c r="C11" s="5" t="s">
        <v>210</v>
      </c>
    </row>
    <row r="12" customFormat="false" ht="15" hidden="false" customHeight="true" outlineLevel="0" collapsed="false">
      <c r="A12" s="5" t="s">
        <v>211</v>
      </c>
      <c r="B12" s="15" t="n">
        <f aca="false">IF(Options!X7=Options!X5,IF(Options!P5=Options!P7,"ALL p TIE: alphabetical Boston","PARALLEL: no finite crossing"),(Options!P5-Options!P7)/(Options!X7-Options!X5))</f>
        <v>4.46341463414634</v>
      </c>
      <c r="C12" s="5" t="s">
        <v>212</v>
      </c>
    </row>
    <row r="13" customFormat="false" ht="15" hidden="false" customHeight="true" outlineLevel="0" collapsed="false">
      <c r="A13" s="5" t="s">
        <v>213</v>
      </c>
      <c r="B13" s="28" t="s">
        <v>214</v>
      </c>
      <c r="C13" s="5" t="s">
        <v>215</v>
      </c>
    </row>
    <row r="14" customFormat="false" ht="15" hidden="false" customHeight="true" outlineLevel="0" collapsed="false">
      <c r="A14" s="5" t="s">
        <v>216</v>
      </c>
      <c r="B14" s="29" t="s">
        <v>217</v>
      </c>
      <c r="C14" s="5" t="s">
        <v>218</v>
      </c>
    </row>
    <row r="15" customFormat="false" ht="15" hidden="false" customHeight="true" outlineLevel="0" collapsed="false">
      <c r="A15" s="1" t="s">
        <v>219</v>
      </c>
      <c r="B15" s="1" t="s">
        <v>220</v>
      </c>
      <c r="C15" s="1" t="s">
        <v>221</v>
      </c>
    </row>
    <row r="16" customFormat="false" ht="15" hidden="false" customHeight="true" outlineLevel="0" collapsed="false">
      <c r="A16" s="1" t="s">
        <v>222</v>
      </c>
      <c r="B16" s="1" t="s">
        <v>223</v>
      </c>
      <c r="C16" s="1" t="s">
        <v>224</v>
      </c>
    </row>
    <row r="17" customFormat="false" ht="15" hidden="false" customHeight="true" outlineLevel="0" collapsed="false">
      <c r="A17" s="4" t="s">
        <v>225</v>
      </c>
      <c r="B17" s="1" t="s">
        <v>226</v>
      </c>
      <c r="C17" s="1" t="s">
        <v>227</v>
      </c>
    </row>
    <row r="18" customFormat="false" ht="15" hidden="false" customHeight="true" outlineLevel="0" collapsed="false">
      <c r="A18" s="4" t="s">
        <v>228</v>
      </c>
      <c r="B18" s="30" t="n">
        <f aca="false">30000/(1+RESRATE)-Options!P7</f>
        <v>-11240.7314285714</v>
      </c>
      <c r="C18" s="1" t="s">
        <v>229</v>
      </c>
    </row>
    <row r="19" customFormat="false" ht="30" hidden="false" customHeight="true" outlineLevel="0" collapsed="false">
      <c r="A19" s="5" t="s">
        <v>230</v>
      </c>
      <c r="B19" s="31" t="n">
        <f aca="false">30000/(1+RESRATE)-Options!P7-0.2*Options!X7</f>
        <v>-12536.7314285714</v>
      </c>
      <c r="C19" s="1" t="s">
        <v>231</v>
      </c>
    </row>
    <row r="20" customFormat="false" ht="30" hidden="false" customHeight="true" outlineLevel="0" collapsed="false">
      <c r="A20" s="5" t="s">
        <v>232</v>
      </c>
      <c r="B20" s="32" t="s">
        <v>233</v>
      </c>
      <c r="C20" s="1" t="s">
        <v>234</v>
      </c>
    </row>
    <row r="21" customFormat="false" ht="30" hidden="false" customHeight="true" outlineLevel="0" collapsed="false">
      <c r="A21" s="5" t="s">
        <v>40</v>
      </c>
      <c r="B21" s="31" t="str">
        <f aca="false">Parameters!B34</f>
        <v>DATED SNAPSHOT; inventory unheld</v>
      </c>
      <c r="C21" s="1" t="s">
        <v>235</v>
      </c>
    </row>
    <row r="22" customFormat="false" ht="30" hidden="false" customHeight="true" outlineLevel="0" collapsed="false">
      <c r="A22" s="5"/>
      <c r="B22" s="32"/>
    </row>
    <row r="23" customFormat="false" ht="30" hidden="false" customHeight="true" outlineLevel="0" collapsed="false">
      <c r="A23" s="5" t="s">
        <v>236</v>
      </c>
      <c r="B23" s="33" t="n">
        <f aca="false">IF(Options!X5=Options!X7,IF(Options!Q7-Options!Q5=Options!P5-Options!P7,"ALL p TIE: alphabetical Boston","PARALLEL: no finite crossing"),((Options!Q7-Options!Q5)-(Options!P5-Options!P7))/(Options!X5-Options!X7))</f>
        <v>4.46341463414634</v>
      </c>
      <c r="C23" s="1" t="s">
        <v>212</v>
      </c>
    </row>
    <row r="24" customFormat="false" ht="30" hidden="false" customHeight="true" outlineLevel="0" collapsed="false">
      <c r="A24" s="5" t="s">
        <v>237</v>
      </c>
      <c r="B24" s="31" t="n">
        <f aca="false">Options!P6-Options!P8</f>
        <v>-3294</v>
      </c>
      <c r="C24" s="1" t="s">
        <v>212</v>
      </c>
    </row>
    <row r="25" customFormat="false" ht="15" hidden="false" customHeight="true" outlineLevel="0" collapsed="false">
      <c r="A25" s="1" t="s">
        <v>238</v>
      </c>
      <c r="B25" s="1" t="s">
        <v>239</v>
      </c>
      <c r="C25" s="1" t="s">
        <v>212</v>
      </c>
    </row>
    <row r="26" customFormat="false" ht="15" hidden="false" customHeight="true" outlineLevel="0" collapsed="false">
      <c r="A26" s="1" t="s">
        <v>240</v>
      </c>
      <c r="B26" s="1" t="s">
        <v>241</v>
      </c>
      <c r="C26" s="1" t="inlineStr">
        <is>
          <t>All44 combinations enter Candidate_Model/Decision; archived101 and above-cap158/159 excluded. Boundary_All contains current priority comparisons.</t>
        </is>
      </c>
    </row>
    <row r="27" customFormat="false" ht="15" hidden="false" customHeight="true" outlineLevel="0" collapsed="false">
      <c r="A27" s="1" t="s">
        <v>243</v>
      </c>
      <c r="B27" s="1" t="s">
        <v>244</v>
      </c>
      <c r="C27" s="1" t="s">
        <v>245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42"/>
    <col collapsed="false" customWidth="true" hidden="false" outlineLevel="0" max="6" min="5" style="1" width="6"/>
  </cols>
  <sheetData>
    <row r="1" customFormat="false" ht="19.5" hidden="false" customHeight="true" outlineLevel="0" collapsed="false">
      <c r="A1" s="2" t="inlineStr">
        <is>
          <t>RETAINED ITINERARY STRUCTURE — Boston priority for evidence completion; no qualified recommendation</t>
        </is>
      </c>
      <c r="B1" s="2"/>
      <c r="C1" s="2"/>
      <c r="D1" s="2"/>
      <c r="E1" s="2"/>
      <c r="F1" s="2"/>
    </row>
    <row r="2" customFormat="false" ht="27.75" hidden="false" customHeight="true" outlineLevel="0" collapsed="false">
      <c r="A2" s="3" t="inlineStr">
        <is>
          <t>Boston P01: DCA-BOS Nov28, trainingNov29-Dec1, returnDec2, four nights. Primary dated flight311, backupA19 flight358. Exact booking, breakfast, occupancy and quality remain pending. Chicago158/159 above-cap excluded.</t>
        </is>
      </c>
      <c r="B2" s="3"/>
      <c r="C2" s="3"/>
      <c r="D2" s="3"/>
      <c r="E2" s="3"/>
      <c r="F2" s="3"/>
    </row>
    <row r="3" customFormat="false" ht="15" hidden="false" customHeight="false" outlineLevel="0" collapsed="false"/>
    <row r="4" customFormat="false" ht="15" hidden="false" customHeight="true" outlineLevel="0" collapsed="false">
      <c r="A4" s="34" t="s">
        <v>248</v>
      </c>
      <c r="B4" s="34" t="s">
        <v>249</v>
      </c>
      <c r="C4" s="34" t="s">
        <v>119</v>
      </c>
      <c r="D4" s="34" t="s">
        <v>250</v>
      </c>
      <c r="E4" s="34"/>
    </row>
    <row r="5" customFormat="false" ht="15" hidden="false" customHeight="true" outlineLevel="0" collapsed="false">
      <c r="A5" s="5" t="s">
        <v>251</v>
      </c>
      <c r="B5" s="5" t="inlineStr">
        <is>
          <t>DCA → BOS, dated Google Flights Delta311, Nov28 06:00–07:38; verify before ticketing</t>
        </is>
      </c>
      <c r="C5" s="5" t="s">
        <v>253</v>
      </c>
      <c r="D5" s="5" t="s">
        <v>254</v>
      </c>
      <c r="E5" s="5"/>
    </row>
    <row r="6" customFormat="false" ht="15" hidden="false" customHeight="true" outlineLevel="0" collapsed="false">
      <c r="A6" s="5" t="s">
        <v>255</v>
      </c>
      <c r="B6" s="5" t="inlineStr">
        <is>
          <t>DoubleTree by Hilton Boston Bayside — displayed108; breakfast condition unresolved</t>
        </is>
      </c>
      <c r="C6" s="5" t="s">
        <v>253</v>
      </c>
      <c r="D6" s="5" t="s">
        <v>256</v>
      </c>
      <c r="E6" s="5"/>
    </row>
    <row r="7" customFormat="false" ht="15" hidden="false" customHeight="true" outlineLevel="0" collapsed="false">
      <c r="A7" s="5" t="s">
        <v>257</v>
      </c>
      <c r="B7" s="5" t="s">
        <v>258</v>
      </c>
      <c r="C7" s="5" t="s">
        <v>259</v>
      </c>
      <c r="D7" s="5" t="s">
        <v>260</v>
      </c>
      <c r="E7" s="5"/>
    </row>
    <row r="8" customFormat="false" ht="15" hidden="false" customHeight="true" outlineLevel="0" collapsed="false">
      <c r="A8" s="5" t="s">
        <v>261</v>
      </c>
      <c r="B8" s="5" t="s">
        <v>258</v>
      </c>
      <c r="C8" s="5" t="s">
        <v>262</v>
      </c>
      <c r="D8" s="5" t="s">
        <v>263</v>
      </c>
      <c r="E8" s="5"/>
    </row>
    <row r="9" customFormat="false" ht="15" hidden="false" customHeight="true" outlineLevel="0" collapsed="false">
      <c r="A9" s="5" t="s">
        <v>264</v>
      </c>
      <c r="B9" s="5" t="s">
        <v>258</v>
      </c>
      <c r="C9" s="5" t="s">
        <v>265</v>
      </c>
      <c r="D9" s="5" t="s">
        <v>266</v>
      </c>
      <c r="E9" s="5"/>
    </row>
    <row r="10" customFormat="false" ht="15" hidden="false" customHeight="true" outlineLevel="0" collapsed="false">
      <c r="A10" s="5" t="s">
        <v>267</v>
      </c>
      <c r="B10" s="5" t="inlineStr">
        <is>
          <t>BOS → DCA, Dec2 Delta14:29–16:20 (P01). A19 uses alternative AA358; exact meal/transfer timings remain to verify.</t>
        </is>
      </c>
      <c r="C10" s="5" t="s">
        <v>269</v>
      </c>
      <c r="D10" s="5" t="s">
        <v>270</v>
      </c>
      <c r="E10" s="5"/>
    </row>
    <row r="11" customFormat="false" ht="15" hidden="false" customHeight="true" outlineLevel="0" collapsed="false">
      <c r="A11" s="5" t="s">
        <v>271</v>
      </c>
      <c r="B11" s="5" t="s">
        <v>272</v>
      </c>
      <c r="C11" s="5" t="s">
        <v>273</v>
      </c>
      <c r="D11" s="5" t="s">
        <v>274</v>
      </c>
      <c r="E11" s="5"/>
    </row>
    <row r="12" customFormat="false" ht="15" hidden="false" customHeight="false" outlineLevel="0" collapsed="false"/>
    <row r="13" customFormat="false" ht="15" hidden="false" customHeight="true" outlineLevel="0" collapsed="false">
      <c r="A13" s="11" t="s">
        <v>275</v>
      </c>
    </row>
    <row r="14" customFormat="false" ht="15" hidden="false" customHeight="true" outlineLevel="0" collapsed="false">
      <c r="A14" s="12" t="s">
        <v>276</v>
      </c>
      <c r="B14" s="12"/>
      <c r="C14" s="12"/>
      <c r="D14" s="12"/>
      <c r="E14" s="12"/>
      <c r="F14" s="12"/>
    </row>
    <row r="15" customFormat="false" ht="15" hidden="false" customHeight="true" outlineLevel="0" collapsed="false">
      <c r="A15" s="12" t="s">
        <v>277</v>
      </c>
      <c r="B15" s="12"/>
      <c r="C15" s="12"/>
      <c r="D15" s="12"/>
      <c r="E15" s="12"/>
      <c r="F15" s="12"/>
    </row>
    <row r="16" customFormat="false" ht="15" hidden="false" customHeight="true" outlineLevel="0" collapsed="false">
      <c r="A16" s="12" t="s">
        <v>278</v>
      </c>
      <c r="B16" s="12"/>
      <c r="C16" s="12"/>
      <c r="D16" s="12"/>
      <c r="E16" s="12"/>
      <c r="F16" s="12"/>
    </row>
    <row r="17" customFormat="false" ht="15" hidden="false" customHeight="true" outlineLevel="0" collapsed="false">
      <c r="A17" s="12" t="s">
        <v>279</v>
      </c>
      <c r="B17" s="12"/>
      <c r="C17" s="12"/>
      <c r="D17" s="12"/>
      <c r="E17" s="12"/>
      <c r="F17" s="12"/>
    </row>
  </sheetData>
  <mergeCells count="6">
    <mergeCell ref="A1:F1"/>
    <mergeCell ref="A2:F2"/>
    <mergeCell ref="A14:F14"/>
    <mergeCell ref="A15:F15"/>
    <mergeCell ref="A16:F16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3" min="3" style="1" width="26"/>
    <col collapsed="false" customWidth="true" hidden="false" outlineLevel="0" max="4" min="4" style="1" width="40"/>
    <col collapsed="false" customWidth="true" hidden="false" outlineLevel="0" max="5" min="5" style="1" width="14"/>
    <col collapsed="false" customWidth="true" hidden="false" outlineLevel="0" max="6" min="6" style="1" width="40"/>
  </cols>
  <sheetData>
    <row r="1" customFormat="false" ht="19.5" hidden="false" customHeight="true" outlineLevel="0" collapsed="false">
      <c r="A1" s="2" t="s">
        <v>280</v>
      </c>
      <c r="B1" s="2"/>
      <c r="C1" s="2"/>
      <c r="D1" s="2"/>
      <c r="E1" s="2"/>
      <c r="F1" s="2"/>
    </row>
    <row r="2" customFormat="false" ht="15" hidden="false" customHeight="false" outlineLevel="0" collapsed="false"/>
    <row r="3" customFormat="false" ht="26.25" hidden="false" customHeight="true" outlineLevel="0" collapsed="false">
      <c r="A3" s="4" t="s">
        <v>281</v>
      </c>
      <c r="B3" s="4" t="s">
        <v>248</v>
      </c>
      <c r="C3" s="4" t="s">
        <v>282</v>
      </c>
      <c r="D3" s="4" t="s">
        <v>283</v>
      </c>
      <c r="E3" s="4" t="s">
        <v>284</v>
      </c>
      <c r="F3" s="4" t="s">
        <v>285</v>
      </c>
    </row>
    <row r="4" customFormat="false" ht="26.25" hidden="false" customHeight="true" outlineLevel="0" collapsed="false">
      <c r="A4" s="31" t="n">
        <v>1</v>
      </c>
      <c r="B4" s="32" t="s">
        <v>286</v>
      </c>
      <c r="C4" s="32" t="s">
        <v>287</v>
      </c>
      <c r="D4" s="32" t="s">
        <v>288</v>
      </c>
      <c r="E4" s="32" t="s">
        <v>289</v>
      </c>
      <c r="F4" s="32" t="s">
        <v>290</v>
      </c>
    </row>
    <row r="5" customFormat="false" ht="26.25" hidden="false" customHeight="true" outlineLevel="0" collapsed="false">
      <c r="A5" s="31" t="n">
        <v>2</v>
      </c>
      <c r="B5" s="32" t="s">
        <v>291</v>
      </c>
      <c r="C5" s="32" t="s">
        <v>287</v>
      </c>
      <c r="D5" s="32" t="s">
        <v>288</v>
      </c>
      <c r="E5" s="32" t="s">
        <v>289</v>
      </c>
      <c r="F5" s="32" t="s">
        <v>292</v>
      </c>
    </row>
    <row r="6" customFormat="false" ht="26.25" hidden="false" customHeight="true" outlineLevel="0" collapsed="false">
      <c r="A6" s="31" t="n">
        <v>3</v>
      </c>
      <c r="B6" s="32" t="s">
        <v>293</v>
      </c>
      <c r="C6" s="32" t="s">
        <v>287</v>
      </c>
      <c r="D6" s="32" t="s">
        <v>288</v>
      </c>
      <c r="E6" s="32" t="s">
        <v>289</v>
      </c>
      <c r="F6" s="32" t="s">
        <v>292</v>
      </c>
    </row>
    <row r="7" customFormat="false" ht="26.25" hidden="false" customHeight="true" outlineLevel="0" collapsed="false">
      <c r="A7" s="31" t="n">
        <v>4</v>
      </c>
      <c r="B7" s="32" t="s">
        <v>294</v>
      </c>
      <c r="C7" s="32" t="s">
        <v>287</v>
      </c>
      <c r="D7" s="32" t="s">
        <v>288</v>
      </c>
      <c r="E7" s="32" t="s">
        <v>289</v>
      </c>
      <c r="F7" s="32" t="s">
        <v>295</v>
      </c>
    </row>
    <row r="8" customFormat="false" ht="26.25" hidden="false" customHeight="true" outlineLevel="0" collapsed="false">
      <c r="A8" s="31" t="n">
        <v>5</v>
      </c>
      <c r="B8" s="32" t="s">
        <v>296</v>
      </c>
      <c r="C8" s="32" t="s">
        <v>287</v>
      </c>
      <c r="D8" s="32" t="s">
        <v>288</v>
      </c>
      <c r="E8" s="32" t="s">
        <v>289</v>
      </c>
      <c r="F8" s="32" t="s">
        <v>292</v>
      </c>
    </row>
    <row r="9" customFormat="false" ht="39" hidden="false" customHeight="true" outlineLevel="0" collapsed="false">
      <c r="A9" s="31" t="n">
        <v>6</v>
      </c>
      <c r="B9" s="32" t="s">
        <v>297</v>
      </c>
      <c r="C9" s="32" t="s">
        <v>298</v>
      </c>
      <c r="D9" s="32" t="s">
        <v>299</v>
      </c>
      <c r="E9" s="32" t="s">
        <v>289</v>
      </c>
      <c r="F9" s="32" t="s">
        <v>300</v>
      </c>
    </row>
    <row r="10" customFormat="false" ht="26.25" hidden="false" customHeight="true" outlineLevel="0" collapsed="false">
      <c r="A10" s="31" t="n">
        <v>7</v>
      </c>
      <c r="B10" s="32" t="s">
        <v>301</v>
      </c>
      <c r="C10" s="32" t="s">
        <v>298</v>
      </c>
      <c r="D10" s="32" t="s">
        <v>299</v>
      </c>
      <c r="E10" s="32" t="s">
        <v>289</v>
      </c>
      <c r="F10" s="32" t="s">
        <v>302</v>
      </c>
    </row>
    <row r="11" customFormat="false" ht="26.25" hidden="false" customHeight="true" outlineLevel="0" collapsed="false">
      <c r="A11" s="31" t="n">
        <v>8</v>
      </c>
      <c r="B11" s="32" t="s">
        <v>303</v>
      </c>
      <c r="C11" s="32" t="s">
        <v>298</v>
      </c>
      <c r="D11" s="32" t="s">
        <v>304</v>
      </c>
      <c r="E11" s="32" t="s">
        <v>289</v>
      </c>
      <c r="F11" s="32" t="s">
        <v>305</v>
      </c>
    </row>
    <row r="12" customFormat="false" ht="26.25" hidden="false" customHeight="true" outlineLevel="0" collapsed="false">
      <c r="A12" s="31" t="n">
        <v>9</v>
      </c>
      <c r="B12" s="32" t="s">
        <v>306</v>
      </c>
      <c r="C12" s="32" t="s">
        <v>298</v>
      </c>
      <c r="D12" s="32" t="s">
        <v>307</v>
      </c>
      <c r="E12" s="32" t="s">
        <v>289</v>
      </c>
      <c r="F12" s="32" t="s">
        <v>308</v>
      </c>
    </row>
    <row r="13" customFormat="false" ht="26.25" hidden="false" customHeight="true" outlineLevel="0" collapsed="false">
      <c r="A13" s="31" t="n">
        <v>10</v>
      </c>
      <c r="B13" s="32" t="s">
        <v>309</v>
      </c>
      <c r="C13" s="32" t="s">
        <v>298</v>
      </c>
      <c r="D13" s="32" t="s">
        <v>310</v>
      </c>
      <c r="E13" s="32" t="s">
        <v>289</v>
      </c>
      <c r="F13" s="32" t="s">
        <v>311</v>
      </c>
    </row>
    <row r="14" customFormat="false" ht="51.75" hidden="false" customHeight="true" outlineLevel="0" collapsed="false">
      <c r="A14" s="31" t="n">
        <v>11</v>
      </c>
      <c r="B14" s="32" t="s">
        <v>312</v>
      </c>
      <c r="C14" s="32" t="s">
        <v>298</v>
      </c>
      <c r="D14" s="32" t="s">
        <v>313</v>
      </c>
      <c r="E14" s="32" t="s">
        <v>289</v>
      </c>
      <c r="F14" s="32" t="s">
        <v>314</v>
      </c>
    </row>
    <row r="15" customFormat="false" ht="26.25" hidden="false" customHeight="true" outlineLevel="0" collapsed="false">
      <c r="A15" s="31" t="n">
        <v>12</v>
      </c>
      <c r="B15" s="32" t="s">
        <v>315</v>
      </c>
      <c r="C15" s="32" t="s">
        <v>316</v>
      </c>
      <c r="D15" s="32" t="s">
        <v>317</v>
      </c>
      <c r="E15" s="32" t="s">
        <v>318</v>
      </c>
      <c r="F15" s="32" t="s">
        <v>319</v>
      </c>
    </row>
    <row r="16" customFormat="false" ht="26.25" hidden="false" customHeight="true" outlineLevel="0" collapsed="false">
      <c r="A16" s="31" t="n">
        <v>13</v>
      </c>
      <c r="B16" s="32" t="s">
        <v>320</v>
      </c>
      <c r="C16" s="32" t="s">
        <v>321</v>
      </c>
      <c r="D16" s="32" t="s">
        <v>322</v>
      </c>
      <c r="E16" s="32" t="s">
        <v>318</v>
      </c>
      <c r="F16" s="32" t="s">
        <v>323</v>
      </c>
    </row>
    <row r="17" customFormat="false" ht="26.25" hidden="false" customHeight="true" outlineLevel="0" collapsed="false">
      <c r="A17" s="31" t="n">
        <v>14</v>
      </c>
      <c r="B17" s="32" t="s">
        <v>324</v>
      </c>
      <c r="C17" s="32" t="s">
        <v>325</v>
      </c>
      <c r="D17" s="32" t="s">
        <v>326</v>
      </c>
      <c r="E17" s="32" t="s">
        <v>318</v>
      </c>
      <c r="F17" s="32" t="s">
        <v>327</v>
      </c>
    </row>
    <row r="18" customFormat="false" ht="26.25" hidden="false" customHeight="true" outlineLevel="0" collapsed="false">
      <c r="A18" s="31" t="n">
        <v>15</v>
      </c>
      <c r="B18" s="32" t="s">
        <v>328</v>
      </c>
      <c r="C18" s="32" t="s">
        <v>329</v>
      </c>
      <c r="D18" s="32" t="s">
        <v>330</v>
      </c>
      <c r="E18" s="32" t="s">
        <v>318</v>
      </c>
      <c r="F18" s="32" t="s">
        <v>331</v>
      </c>
    </row>
    <row r="19" customFormat="false" ht="26.25" hidden="false" customHeight="true" outlineLevel="0" collapsed="false">
      <c r="A19" s="31" t="n">
        <v>16</v>
      </c>
      <c r="B19" s="32" t="s">
        <v>332</v>
      </c>
      <c r="C19" s="32" t="s">
        <v>333</v>
      </c>
      <c r="D19" s="32" t="s">
        <v>334</v>
      </c>
      <c r="E19" s="32" t="s">
        <v>318</v>
      </c>
      <c r="F19" s="32" t="s">
        <v>335</v>
      </c>
    </row>
    <row r="20" customFormat="false" ht="39" hidden="false" customHeight="true" outlineLevel="0" collapsed="false">
      <c r="A20" s="31" t="n">
        <v>17</v>
      </c>
      <c r="B20" s="32" t="s">
        <v>336</v>
      </c>
      <c r="C20" s="32" t="s">
        <v>337</v>
      </c>
      <c r="D20" s="32" t="s">
        <v>338</v>
      </c>
      <c r="E20" s="32" t="s">
        <v>289</v>
      </c>
      <c r="F20" s="32" t="s">
        <v>339</v>
      </c>
    </row>
    <row r="21" customFormat="false" ht="26.25" hidden="false" customHeight="true" outlineLevel="0" collapsed="false">
      <c r="A21" s="31" t="n">
        <v>18</v>
      </c>
      <c r="B21" s="32" t="s">
        <v>340</v>
      </c>
      <c r="C21" s="32" t="s">
        <v>341</v>
      </c>
      <c r="D21" s="32" t="s">
        <v>342</v>
      </c>
      <c r="E21" s="32" t="s">
        <v>289</v>
      </c>
      <c r="F21" s="32" t="s">
        <v>343</v>
      </c>
    </row>
    <row r="22" customFormat="false" ht="15" hidden="false" customHeight="false" outlineLevel="0" collapsed="false"/>
    <row r="23" customFormat="false" ht="15" hidden="false" customHeight="true" outlineLevel="0" collapsed="false">
      <c r="A23" s="35" t="s">
        <v>344</v>
      </c>
      <c r="B23" s="35"/>
      <c r="C23" s="35"/>
      <c r="D23" s="35"/>
      <c r="E23" s="35"/>
      <c r="F23" s="35"/>
    </row>
    <row r="24" customFormat="false" ht="15" hidden="false" customHeight="true" outlineLevel="0" collapsed="false">
      <c r="A24" s="35"/>
      <c r="B24" s="35"/>
      <c r="C24" s="35"/>
      <c r="D24" s="35"/>
      <c r="E24" s="35"/>
      <c r="F24" s="35"/>
    </row>
    <row r="25" customFormat="false" ht="15" hidden="false" customHeight="true" outlineLevel="0" collapsed="false">
      <c r="A25" s="35"/>
      <c r="B25" s="35"/>
      <c r="C25" s="35"/>
      <c r="D25" s="35"/>
      <c r="E25" s="35"/>
      <c r="F25" s="35"/>
    </row>
    <row r="26" customFormat="false" ht="15" hidden="false" customHeight="false" outlineLevel="0" collapsed="false"/>
    <row r="27" customFormat="false" ht="15" hidden="false" customHeight="true" outlineLevel="0" collapsed="false">
      <c r="A27" s="1" t="s">
        <v>345</v>
      </c>
      <c r="B27" s="1" t="s">
        <v>346</v>
      </c>
      <c r="C27" s="1" t="s">
        <v>347</v>
      </c>
      <c r="D27" s="1" t="s">
        <v>348</v>
      </c>
      <c r="E27" s="1" t="s">
        <v>289</v>
      </c>
      <c r="F27" s="1" t="s">
        <v>349</v>
      </c>
    </row>
    <row r="28" customFormat="false" ht="15" hidden="false" customHeight="true" outlineLevel="0" collapsed="false">
      <c r="A28" s="1" t="s">
        <v>350</v>
      </c>
      <c r="B28" s="1" t="s">
        <v>351</v>
      </c>
      <c r="C28" s="1" t="s">
        <v>352</v>
      </c>
      <c r="D28" s="1" t="s">
        <v>353</v>
      </c>
      <c r="E28" s="1" t="s">
        <v>289</v>
      </c>
      <c r="F28" s="1" t="s">
        <v>354</v>
      </c>
    </row>
    <row r="29" customFormat="false" ht="15" hidden="false" customHeight="true" outlineLevel="0" collapsed="false">
      <c r="A29" s="1" t="s">
        <v>355</v>
      </c>
      <c r="B29" s="1" t="s">
        <v>356</v>
      </c>
      <c r="C29" s="1" t="s">
        <v>357</v>
      </c>
      <c r="D29" s="1" t="s">
        <v>358</v>
      </c>
      <c r="E29" s="1" t="s">
        <v>289</v>
      </c>
      <c r="F29" s="1" t="s">
        <v>359</v>
      </c>
    </row>
    <row r="30" customFormat="false" ht="15" hidden="false" customHeight="true" outlineLevel="0" collapsed="false">
      <c r="A30" s="1" t="s">
        <v>360</v>
      </c>
      <c r="B30" s="1" t="s">
        <v>361</v>
      </c>
      <c r="C30" s="1" t="s">
        <v>362</v>
      </c>
      <c r="D30" s="1" t="s">
        <v>363</v>
      </c>
      <c r="E30" s="1" t="s">
        <v>289</v>
      </c>
      <c r="F30" s="1" t="s">
        <v>364</v>
      </c>
    </row>
    <row r="31" customFormat="false" ht="15" hidden="false" customHeight="true" outlineLevel="0" collapsed="false">
      <c r="A31" s="1" t="s">
        <v>365</v>
      </c>
      <c r="B31" s="1" t="s">
        <v>366</v>
      </c>
      <c r="C31" s="1" t="s">
        <v>367</v>
      </c>
      <c r="D31" s="1" t="s">
        <v>368</v>
      </c>
      <c r="E31" s="1" t="s">
        <v>289</v>
      </c>
      <c r="F31" s="1" t="s">
        <v>369</v>
      </c>
    </row>
    <row r="32" customFormat="false" ht="15" hidden="false" customHeight="true" outlineLevel="0" collapsed="false">
      <c r="A32" s="1" t="s">
        <v>370</v>
      </c>
      <c r="B32" s="1" t="s">
        <v>371</v>
      </c>
      <c r="C32" s="1" t="s">
        <v>372</v>
      </c>
      <c r="D32" s="1" t="s">
        <v>373</v>
      </c>
      <c r="E32" s="1" t="s">
        <v>289</v>
      </c>
      <c r="F32" s="1" t="s">
        <v>374</v>
      </c>
    </row>
    <row r="33" customFormat="false" ht="15" hidden="false" customHeight="false" outlineLevel="0" collapsed="false">
      <c r="A33" s="1" t="s">
        <v>375</v>
      </c>
      <c r="B33" s="1" t="s">
        <v>376</v>
      </c>
      <c r="C33" s="1" t="s">
        <v>377</v>
      </c>
      <c r="D33" s="1" t="s">
        <v>378</v>
      </c>
      <c r="E33" s="1" t="s">
        <v>289</v>
      </c>
      <c r="F33" s="1" t="s">
        <v>379</v>
      </c>
    </row>
  </sheetData>
  <mergeCells count="2">
    <mergeCell ref="A1:F1"/>
    <mergeCell ref="A23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8" min="1" style="1" width="24"/>
    <col collapsed="false" customWidth="true" hidden="false" outlineLevel="0" max="9" min="9" style="1" width="85"/>
  </cols>
  <sheetData>
    <row r="1" customFormat="false" ht="15" hidden="false" customHeight="true" outlineLevel="0" collapsed="false">
      <c r="A1" s="36" t="s">
        <v>380</v>
      </c>
      <c r="B1" s="36" t="s">
        <v>174</v>
      </c>
      <c r="C1" s="36" t="s">
        <v>44</v>
      </c>
      <c r="D1" s="36" t="s">
        <v>381</v>
      </c>
      <c r="E1" s="36" t="s">
        <v>382</v>
      </c>
      <c r="F1" s="36" t="s">
        <v>383</v>
      </c>
      <c r="G1" s="36" t="s">
        <v>384</v>
      </c>
      <c r="H1" s="36" t="s">
        <v>385</v>
      </c>
      <c r="I1" s="36" t="s">
        <v>386</v>
      </c>
    </row>
    <row r="2" customFormat="false" ht="26.25" hidden="false" customHeight="true" outlineLevel="0" collapsed="false">
      <c r="A2" s="37" t="s">
        <v>387</v>
      </c>
      <c r="B2" s="38" t="n">
        <v>2025</v>
      </c>
      <c r="C2" s="37" t="s">
        <v>70</v>
      </c>
      <c r="D2" s="38" t="n">
        <v>1</v>
      </c>
      <c r="E2" s="38" t="n">
        <v>160</v>
      </c>
      <c r="F2" s="38" t="n">
        <v>86</v>
      </c>
      <c r="G2" s="37" t="s">
        <v>388</v>
      </c>
      <c r="H2" s="37" t="s">
        <v>389</v>
      </c>
      <c r="I2" s="37" t="s">
        <v>390</v>
      </c>
    </row>
    <row r="3" customFormat="false" ht="26.25" hidden="false" customHeight="true" outlineLevel="0" collapsed="false">
      <c r="A3" s="37" t="s">
        <v>391</v>
      </c>
      <c r="B3" s="38" t="n">
        <v>2025</v>
      </c>
      <c r="C3" s="37" t="s">
        <v>70</v>
      </c>
      <c r="D3" s="38" t="n">
        <v>2</v>
      </c>
      <c r="E3" s="38" t="n">
        <v>229</v>
      </c>
      <c r="F3" s="38" t="n">
        <v>86</v>
      </c>
      <c r="G3" s="37" t="s">
        <v>388</v>
      </c>
      <c r="H3" s="37" t="s">
        <v>389</v>
      </c>
      <c r="I3" s="37" t="s">
        <v>392</v>
      </c>
    </row>
    <row r="4" customFormat="false" ht="26.25" hidden="false" customHeight="true" outlineLevel="0" collapsed="false">
      <c r="A4" s="37" t="s">
        <v>393</v>
      </c>
      <c r="B4" s="38" t="n">
        <v>2025</v>
      </c>
      <c r="C4" s="37" t="s">
        <v>70</v>
      </c>
      <c r="D4" s="38" t="n">
        <v>3</v>
      </c>
      <c r="E4" s="38" t="n">
        <v>229</v>
      </c>
      <c r="F4" s="38" t="n">
        <v>86</v>
      </c>
      <c r="G4" s="37" t="s">
        <v>388</v>
      </c>
      <c r="H4" s="37" t="s">
        <v>389</v>
      </c>
      <c r="I4" s="37" t="s">
        <v>392</v>
      </c>
    </row>
    <row r="5" customFormat="false" ht="26.25" hidden="false" customHeight="true" outlineLevel="0" collapsed="false">
      <c r="A5" s="37" t="s">
        <v>394</v>
      </c>
      <c r="B5" s="38" t="n">
        <v>2025</v>
      </c>
      <c r="C5" s="37" t="s">
        <v>70</v>
      </c>
      <c r="D5" s="38" t="n">
        <v>4</v>
      </c>
      <c r="E5" s="38" t="n">
        <v>161</v>
      </c>
      <c r="F5" s="38" t="n">
        <v>86</v>
      </c>
      <c r="G5" s="37" t="s">
        <v>388</v>
      </c>
      <c r="H5" s="37" t="s">
        <v>389</v>
      </c>
      <c r="I5" s="37" t="s">
        <v>395</v>
      </c>
    </row>
    <row r="6" customFormat="false" ht="26.25" hidden="false" customHeight="true" outlineLevel="0" collapsed="false">
      <c r="A6" s="37" t="s">
        <v>396</v>
      </c>
      <c r="B6" s="38" t="n">
        <v>2025</v>
      </c>
      <c r="C6" s="37" t="s">
        <v>70</v>
      </c>
      <c r="D6" s="38" t="n">
        <v>5</v>
      </c>
      <c r="E6" s="38" t="n">
        <v>161</v>
      </c>
      <c r="F6" s="38" t="n">
        <v>86</v>
      </c>
      <c r="G6" s="37" t="s">
        <v>388</v>
      </c>
      <c r="H6" s="37" t="s">
        <v>389</v>
      </c>
      <c r="I6" s="37" t="s">
        <v>395</v>
      </c>
    </row>
    <row r="7" customFormat="false" ht="26.25" hidden="false" customHeight="true" outlineLevel="0" collapsed="false">
      <c r="A7" s="37" t="s">
        <v>397</v>
      </c>
      <c r="B7" s="38" t="n">
        <v>2025</v>
      </c>
      <c r="C7" s="37" t="s">
        <v>70</v>
      </c>
      <c r="D7" s="38" t="n">
        <v>6</v>
      </c>
      <c r="E7" s="38" t="n">
        <v>113</v>
      </c>
      <c r="F7" s="38" t="n">
        <v>86</v>
      </c>
      <c r="G7" s="37" t="s">
        <v>388</v>
      </c>
      <c r="H7" s="37" t="s">
        <v>389</v>
      </c>
      <c r="I7" s="37" t="s">
        <v>398</v>
      </c>
    </row>
    <row r="8" customFormat="false" ht="26.25" hidden="false" customHeight="true" outlineLevel="0" collapsed="false">
      <c r="A8" s="37" t="s">
        <v>399</v>
      </c>
      <c r="B8" s="38" t="n">
        <v>2025</v>
      </c>
      <c r="C8" s="37" t="s">
        <v>70</v>
      </c>
      <c r="D8" s="38" t="n">
        <v>7</v>
      </c>
      <c r="E8" s="38" t="n">
        <v>113</v>
      </c>
      <c r="F8" s="38" t="n">
        <v>86</v>
      </c>
      <c r="G8" s="37" t="s">
        <v>388</v>
      </c>
      <c r="H8" s="37" t="s">
        <v>389</v>
      </c>
      <c r="I8" s="37" t="s">
        <v>398</v>
      </c>
    </row>
    <row r="9" customFormat="false" ht="26.25" hidden="false" customHeight="true" outlineLevel="0" collapsed="false">
      <c r="A9" s="37" t="s">
        <v>400</v>
      </c>
      <c r="B9" s="38" t="n">
        <v>2025</v>
      </c>
      <c r="C9" s="37" t="s">
        <v>70</v>
      </c>
      <c r="D9" s="38" t="n">
        <v>8</v>
      </c>
      <c r="E9" s="38" t="n">
        <v>113</v>
      </c>
      <c r="F9" s="38" t="n">
        <v>86</v>
      </c>
      <c r="G9" s="37" t="s">
        <v>388</v>
      </c>
      <c r="H9" s="37" t="s">
        <v>389</v>
      </c>
      <c r="I9" s="37" t="s">
        <v>398</v>
      </c>
    </row>
    <row r="10" customFormat="false" ht="26.25" hidden="false" customHeight="true" outlineLevel="0" collapsed="false">
      <c r="A10" s="37" t="s">
        <v>401</v>
      </c>
      <c r="B10" s="38" t="n">
        <v>2025</v>
      </c>
      <c r="C10" s="37" t="s">
        <v>70</v>
      </c>
      <c r="D10" s="38" t="n">
        <v>9</v>
      </c>
      <c r="E10" s="38" t="n">
        <v>160</v>
      </c>
      <c r="F10" s="38" t="n">
        <v>86</v>
      </c>
      <c r="G10" s="37" t="s">
        <v>388</v>
      </c>
      <c r="H10" s="37" t="s">
        <v>389</v>
      </c>
      <c r="I10" s="37" t="s">
        <v>402</v>
      </c>
    </row>
    <row r="11" customFormat="false" ht="26.25" hidden="false" customHeight="true" outlineLevel="0" collapsed="false">
      <c r="A11" s="37" t="s">
        <v>403</v>
      </c>
      <c r="B11" s="38" t="n">
        <v>2025</v>
      </c>
      <c r="C11" s="37" t="s">
        <v>70</v>
      </c>
      <c r="D11" s="38" t="n">
        <v>10</v>
      </c>
      <c r="E11" s="38" t="n">
        <v>160</v>
      </c>
      <c r="F11" s="38" t="n">
        <v>86</v>
      </c>
      <c r="G11" s="37" t="s">
        <v>388</v>
      </c>
      <c r="H11" s="37" t="s">
        <v>389</v>
      </c>
      <c r="I11" s="37" t="s">
        <v>390</v>
      </c>
    </row>
    <row r="12" customFormat="false" ht="26.25" hidden="false" customHeight="true" outlineLevel="0" collapsed="false">
      <c r="A12" s="37" t="s">
        <v>404</v>
      </c>
      <c r="B12" s="38" t="n">
        <v>2025</v>
      </c>
      <c r="C12" s="37" t="s">
        <v>70</v>
      </c>
      <c r="D12" s="38" t="n">
        <v>11</v>
      </c>
      <c r="E12" s="38" t="n">
        <v>160</v>
      </c>
      <c r="F12" s="38" t="n">
        <v>86</v>
      </c>
      <c r="G12" s="37" t="s">
        <v>388</v>
      </c>
      <c r="H12" s="37" t="s">
        <v>389</v>
      </c>
      <c r="I12" s="37" t="s">
        <v>390</v>
      </c>
    </row>
    <row r="13" customFormat="false" ht="26.25" hidden="false" customHeight="true" outlineLevel="0" collapsed="false">
      <c r="A13" s="37" t="s">
        <v>405</v>
      </c>
      <c r="B13" s="38" t="n">
        <v>2025</v>
      </c>
      <c r="C13" s="37" t="s">
        <v>70</v>
      </c>
      <c r="D13" s="38" t="n">
        <v>12</v>
      </c>
      <c r="E13" s="38" t="n">
        <v>160</v>
      </c>
      <c r="F13" s="38" t="n">
        <v>86</v>
      </c>
      <c r="G13" s="37" t="s">
        <v>388</v>
      </c>
      <c r="H13" s="37" t="s">
        <v>389</v>
      </c>
      <c r="I13" s="37" t="s">
        <v>390</v>
      </c>
    </row>
    <row r="14" customFormat="false" ht="26.25" hidden="false" customHeight="true" outlineLevel="0" collapsed="false">
      <c r="A14" s="37" t="s">
        <v>406</v>
      </c>
      <c r="B14" s="38" t="n">
        <v>2025</v>
      </c>
      <c r="C14" s="37" t="s">
        <v>65</v>
      </c>
      <c r="D14" s="38" t="n">
        <v>1</v>
      </c>
      <c r="E14" s="38" t="n">
        <v>165</v>
      </c>
      <c r="F14" s="38" t="n">
        <v>92</v>
      </c>
      <c r="G14" s="37" t="s">
        <v>388</v>
      </c>
      <c r="H14" s="37" t="s">
        <v>389</v>
      </c>
      <c r="I14" s="37" t="s">
        <v>407</v>
      </c>
    </row>
    <row r="15" customFormat="false" ht="26.25" hidden="false" customHeight="true" outlineLevel="0" collapsed="false">
      <c r="A15" s="37" t="s">
        <v>408</v>
      </c>
      <c r="B15" s="38" t="n">
        <v>2025</v>
      </c>
      <c r="C15" s="37" t="s">
        <v>65</v>
      </c>
      <c r="D15" s="38" t="n">
        <v>2</v>
      </c>
      <c r="E15" s="38" t="n">
        <v>165</v>
      </c>
      <c r="F15" s="38" t="n">
        <v>92</v>
      </c>
      <c r="G15" s="37" t="s">
        <v>388</v>
      </c>
      <c r="H15" s="37" t="s">
        <v>389</v>
      </c>
      <c r="I15" s="37" t="s">
        <v>407</v>
      </c>
    </row>
    <row r="16" customFormat="false" ht="26.25" hidden="false" customHeight="true" outlineLevel="0" collapsed="false">
      <c r="A16" s="37" t="s">
        <v>409</v>
      </c>
      <c r="B16" s="38" t="n">
        <v>2025</v>
      </c>
      <c r="C16" s="37" t="s">
        <v>65</v>
      </c>
      <c r="D16" s="38" t="n">
        <v>3</v>
      </c>
      <c r="E16" s="38" t="n">
        <v>165</v>
      </c>
      <c r="F16" s="38" t="n">
        <v>92</v>
      </c>
      <c r="G16" s="37" t="s">
        <v>388</v>
      </c>
      <c r="H16" s="37" t="s">
        <v>389</v>
      </c>
      <c r="I16" s="37" t="s">
        <v>407</v>
      </c>
    </row>
    <row r="17" customFormat="false" ht="26.25" hidden="false" customHeight="true" outlineLevel="0" collapsed="false">
      <c r="A17" s="37" t="s">
        <v>410</v>
      </c>
      <c r="B17" s="38" t="n">
        <v>2025</v>
      </c>
      <c r="C17" s="37" t="s">
        <v>65</v>
      </c>
      <c r="D17" s="38" t="n">
        <v>4</v>
      </c>
      <c r="E17" s="38" t="n">
        <v>215</v>
      </c>
      <c r="F17" s="38" t="n">
        <v>92</v>
      </c>
      <c r="G17" s="37" t="s">
        <v>388</v>
      </c>
      <c r="H17" s="37" t="s">
        <v>389</v>
      </c>
      <c r="I17" s="37" t="s">
        <v>411</v>
      </c>
    </row>
    <row r="18" customFormat="false" ht="26.25" hidden="false" customHeight="true" outlineLevel="0" collapsed="false">
      <c r="A18" s="37" t="s">
        <v>412</v>
      </c>
      <c r="B18" s="38" t="n">
        <v>2025</v>
      </c>
      <c r="C18" s="37" t="s">
        <v>65</v>
      </c>
      <c r="D18" s="38" t="n">
        <v>5</v>
      </c>
      <c r="E18" s="38" t="n">
        <v>215</v>
      </c>
      <c r="F18" s="38" t="n">
        <v>92</v>
      </c>
      <c r="G18" s="37" t="s">
        <v>388</v>
      </c>
      <c r="H18" s="37" t="s">
        <v>389</v>
      </c>
      <c r="I18" s="37" t="s">
        <v>411</v>
      </c>
    </row>
    <row r="19" customFormat="false" ht="26.25" hidden="false" customHeight="true" outlineLevel="0" collapsed="false">
      <c r="A19" s="37" t="s">
        <v>413</v>
      </c>
      <c r="B19" s="38" t="n">
        <v>2025</v>
      </c>
      <c r="C19" s="37" t="s">
        <v>65</v>
      </c>
      <c r="D19" s="38" t="n">
        <v>6</v>
      </c>
      <c r="E19" s="38" t="n">
        <v>215</v>
      </c>
      <c r="F19" s="38" t="n">
        <v>92</v>
      </c>
      <c r="G19" s="37" t="s">
        <v>388</v>
      </c>
      <c r="H19" s="37" t="s">
        <v>389</v>
      </c>
      <c r="I19" s="37" t="s">
        <v>411</v>
      </c>
    </row>
    <row r="20" customFormat="false" ht="26.25" hidden="false" customHeight="true" outlineLevel="0" collapsed="false">
      <c r="A20" s="37" t="s">
        <v>414</v>
      </c>
      <c r="B20" s="38" t="n">
        <v>2025</v>
      </c>
      <c r="C20" s="37" t="s">
        <v>65</v>
      </c>
      <c r="D20" s="38" t="n">
        <v>7</v>
      </c>
      <c r="E20" s="38" t="n">
        <v>215</v>
      </c>
      <c r="F20" s="38" t="n">
        <v>92</v>
      </c>
      <c r="G20" s="37" t="s">
        <v>388</v>
      </c>
      <c r="H20" s="37" t="s">
        <v>389</v>
      </c>
      <c r="I20" s="37" t="s">
        <v>411</v>
      </c>
    </row>
    <row r="21" customFormat="false" ht="26.25" hidden="false" customHeight="true" outlineLevel="0" collapsed="false">
      <c r="A21" s="37" t="s">
        <v>415</v>
      </c>
      <c r="B21" s="38" t="n">
        <v>2025</v>
      </c>
      <c r="C21" s="37" t="s">
        <v>65</v>
      </c>
      <c r="D21" s="38" t="n">
        <v>8</v>
      </c>
      <c r="E21" s="38" t="n">
        <v>215</v>
      </c>
      <c r="F21" s="38" t="n">
        <v>92</v>
      </c>
      <c r="G21" s="37" t="s">
        <v>388</v>
      </c>
      <c r="H21" s="37" t="s">
        <v>389</v>
      </c>
      <c r="I21" s="37" t="s">
        <v>411</v>
      </c>
    </row>
    <row r="22" customFormat="false" ht="26.25" hidden="false" customHeight="true" outlineLevel="0" collapsed="false">
      <c r="A22" s="37" t="s">
        <v>416</v>
      </c>
      <c r="B22" s="38" t="n">
        <v>2025</v>
      </c>
      <c r="C22" s="37" t="s">
        <v>65</v>
      </c>
      <c r="D22" s="38" t="n">
        <v>9</v>
      </c>
      <c r="E22" s="38" t="n">
        <v>215</v>
      </c>
      <c r="F22" s="38" t="n">
        <v>92</v>
      </c>
      <c r="G22" s="37" t="s">
        <v>388</v>
      </c>
      <c r="H22" s="37" t="s">
        <v>389</v>
      </c>
      <c r="I22" s="37" t="s">
        <v>411</v>
      </c>
    </row>
    <row r="23" customFormat="false" ht="26.25" hidden="false" customHeight="true" outlineLevel="0" collapsed="false">
      <c r="A23" s="37" t="s">
        <v>417</v>
      </c>
      <c r="B23" s="38" t="n">
        <v>2025</v>
      </c>
      <c r="C23" s="37" t="s">
        <v>65</v>
      </c>
      <c r="D23" s="38" t="n">
        <v>10</v>
      </c>
      <c r="E23" s="38" t="n">
        <v>215</v>
      </c>
      <c r="F23" s="38" t="n">
        <v>92</v>
      </c>
      <c r="G23" s="37" t="s">
        <v>388</v>
      </c>
      <c r="H23" s="37" t="s">
        <v>389</v>
      </c>
      <c r="I23" s="37" t="s">
        <v>418</v>
      </c>
    </row>
    <row r="24" customFormat="false" ht="26.25" hidden="false" customHeight="true" outlineLevel="0" collapsed="false">
      <c r="A24" s="37" t="s">
        <v>419</v>
      </c>
      <c r="B24" s="38" t="n">
        <v>2025</v>
      </c>
      <c r="C24" s="37" t="s">
        <v>65</v>
      </c>
      <c r="D24" s="38" t="n">
        <v>11</v>
      </c>
      <c r="E24" s="38" t="n">
        <v>165</v>
      </c>
      <c r="F24" s="38" t="n">
        <v>92</v>
      </c>
      <c r="G24" s="37" t="s">
        <v>388</v>
      </c>
      <c r="H24" s="37" t="s">
        <v>389</v>
      </c>
      <c r="I24" s="37" t="s">
        <v>407</v>
      </c>
    </row>
    <row r="25" customFormat="false" ht="26.25" hidden="false" customHeight="true" outlineLevel="0" collapsed="false">
      <c r="A25" s="37" t="s">
        <v>420</v>
      </c>
      <c r="B25" s="38" t="n">
        <v>2025</v>
      </c>
      <c r="C25" s="37" t="s">
        <v>65</v>
      </c>
      <c r="D25" s="38" t="n">
        <v>12</v>
      </c>
      <c r="E25" s="38" t="n">
        <v>165</v>
      </c>
      <c r="F25" s="38" t="n">
        <v>92</v>
      </c>
      <c r="G25" s="37" t="s">
        <v>388</v>
      </c>
      <c r="H25" s="37" t="s">
        <v>389</v>
      </c>
      <c r="I25" s="37" t="s">
        <v>407</v>
      </c>
    </row>
    <row r="26" customFormat="false" ht="26.25" hidden="false" customHeight="true" outlineLevel="0" collapsed="false">
      <c r="A26" s="37" t="s">
        <v>421</v>
      </c>
      <c r="B26" s="38" t="n">
        <v>2025</v>
      </c>
      <c r="C26" s="37" t="s">
        <v>61</v>
      </c>
      <c r="D26" s="38" t="n">
        <v>1</v>
      </c>
      <c r="E26" s="38" t="n">
        <v>142</v>
      </c>
      <c r="F26" s="38" t="n">
        <v>92</v>
      </c>
      <c r="G26" s="37" t="s">
        <v>388</v>
      </c>
      <c r="H26" s="37" t="s">
        <v>389</v>
      </c>
      <c r="I26" s="37" t="s">
        <v>422</v>
      </c>
    </row>
    <row r="27" customFormat="false" ht="26.25" hidden="false" customHeight="true" outlineLevel="0" collapsed="false">
      <c r="A27" s="37" t="s">
        <v>423</v>
      </c>
      <c r="B27" s="38" t="n">
        <v>2025</v>
      </c>
      <c r="C27" s="37" t="s">
        <v>61</v>
      </c>
      <c r="D27" s="38" t="n">
        <v>2</v>
      </c>
      <c r="E27" s="38" t="n">
        <v>142</v>
      </c>
      <c r="F27" s="38" t="n">
        <v>92</v>
      </c>
      <c r="G27" s="37" t="s">
        <v>388</v>
      </c>
      <c r="H27" s="37" t="s">
        <v>389</v>
      </c>
      <c r="I27" s="37" t="s">
        <v>422</v>
      </c>
    </row>
    <row r="28" customFormat="false" ht="26.25" hidden="false" customHeight="true" outlineLevel="0" collapsed="false">
      <c r="A28" s="37" t="s">
        <v>424</v>
      </c>
      <c r="B28" s="38" t="n">
        <v>2025</v>
      </c>
      <c r="C28" s="37" t="s">
        <v>61</v>
      </c>
      <c r="D28" s="38" t="n">
        <v>3</v>
      </c>
      <c r="E28" s="38" t="n">
        <v>142</v>
      </c>
      <c r="F28" s="38" t="n">
        <v>92</v>
      </c>
      <c r="G28" s="37" t="s">
        <v>388</v>
      </c>
      <c r="H28" s="37" t="s">
        <v>389</v>
      </c>
      <c r="I28" s="37" t="s">
        <v>422</v>
      </c>
    </row>
    <row r="29" customFormat="false" ht="26.25" hidden="false" customHeight="true" outlineLevel="0" collapsed="false">
      <c r="A29" s="37" t="s">
        <v>425</v>
      </c>
      <c r="B29" s="38" t="n">
        <v>2025</v>
      </c>
      <c r="C29" s="37" t="s">
        <v>61</v>
      </c>
      <c r="D29" s="38" t="n">
        <v>4</v>
      </c>
      <c r="E29" s="38" t="n">
        <v>234</v>
      </c>
      <c r="F29" s="38" t="n">
        <v>92</v>
      </c>
      <c r="G29" s="37" t="s">
        <v>388</v>
      </c>
      <c r="H29" s="37" t="s">
        <v>389</v>
      </c>
      <c r="I29" s="37" t="s">
        <v>426</v>
      </c>
    </row>
    <row r="30" customFormat="false" ht="26.25" hidden="false" customHeight="true" outlineLevel="0" collapsed="false">
      <c r="A30" s="37" t="s">
        <v>427</v>
      </c>
      <c r="B30" s="38" t="n">
        <v>2025</v>
      </c>
      <c r="C30" s="37" t="s">
        <v>61</v>
      </c>
      <c r="D30" s="38" t="n">
        <v>5</v>
      </c>
      <c r="E30" s="38" t="n">
        <v>234</v>
      </c>
      <c r="F30" s="38" t="n">
        <v>92</v>
      </c>
      <c r="G30" s="37" t="s">
        <v>388</v>
      </c>
      <c r="H30" s="37" t="s">
        <v>389</v>
      </c>
      <c r="I30" s="37" t="s">
        <v>426</v>
      </c>
    </row>
    <row r="31" customFormat="false" ht="26.25" hidden="false" customHeight="true" outlineLevel="0" collapsed="false">
      <c r="A31" s="37" t="s">
        <v>428</v>
      </c>
      <c r="B31" s="38" t="n">
        <v>2025</v>
      </c>
      <c r="C31" s="37" t="s">
        <v>61</v>
      </c>
      <c r="D31" s="38" t="n">
        <v>6</v>
      </c>
      <c r="E31" s="38" t="n">
        <v>234</v>
      </c>
      <c r="F31" s="38" t="n">
        <v>92</v>
      </c>
      <c r="G31" s="37" t="s">
        <v>388</v>
      </c>
      <c r="H31" s="37" t="s">
        <v>389</v>
      </c>
      <c r="I31" s="37" t="s">
        <v>426</v>
      </c>
    </row>
    <row r="32" customFormat="false" ht="26.25" hidden="false" customHeight="true" outlineLevel="0" collapsed="false">
      <c r="A32" s="37" t="s">
        <v>429</v>
      </c>
      <c r="B32" s="38" t="n">
        <v>2025</v>
      </c>
      <c r="C32" s="37" t="s">
        <v>61</v>
      </c>
      <c r="D32" s="38" t="n">
        <v>7</v>
      </c>
      <c r="E32" s="38" t="n">
        <v>202</v>
      </c>
      <c r="F32" s="38" t="n">
        <v>92</v>
      </c>
      <c r="G32" s="37" t="s">
        <v>388</v>
      </c>
      <c r="H32" s="37" t="s">
        <v>389</v>
      </c>
      <c r="I32" s="37" t="s">
        <v>430</v>
      </c>
    </row>
    <row r="33" customFormat="false" ht="26.25" hidden="false" customHeight="true" outlineLevel="0" collapsed="false">
      <c r="A33" s="37" t="s">
        <v>431</v>
      </c>
      <c r="B33" s="38" t="n">
        <v>2025</v>
      </c>
      <c r="C33" s="37" t="s">
        <v>61</v>
      </c>
      <c r="D33" s="38" t="n">
        <v>8</v>
      </c>
      <c r="E33" s="38" t="n">
        <v>202</v>
      </c>
      <c r="F33" s="38" t="n">
        <v>92</v>
      </c>
      <c r="G33" s="37" t="s">
        <v>388</v>
      </c>
      <c r="H33" s="37" t="s">
        <v>389</v>
      </c>
      <c r="I33" s="37" t="s">
        <v>430</v>
      </c>
    </row>
    <row r="34" customFormat="false" ht="26.25" hidden="false" customHeight="true" outlineLevel="0" collapsed="false">
      <c r="A34" s="37" t="s">
        <v>432</v>
      </c>
      <c r="B34" s="38" t="n">
        <v>2025</v>
      </c>
      <c r="C34" s="37" t="s">
        <v>61</v>
      </c>
      <c r="D34" s="38" t="n">
        <v>9</v>
      </c>
      <c r="E34" s="38" t="n">
        <v>223</v>
      </c>
      <c r="F34" s="38" t="n">
        <v>92</v>
      </c>
      <c r="G34" s="37" t="s">
        <v>388</v>
      </c>
      <c r="H34" s="37" t="s">
        <v>389</v>
      </c>
      <c r="I34" s="37" t="s">
        <v>433</v>
      </c>
    </row>
    <row r="35" customFormat="false" ht="26.25" hidden="false" customHeight="true" outlineLevel="0" collapsed="false">
      <c r="A35" s="37" t="s">
        <v>434</v>
      </c>
      <c r="B35" s="38" t="n">
        <v>2025</v>
      </c>
      <c r="C35" s="37" t="s">
        <v>61</v>
      </c>
      <c r="D35" s="38" t="n">
        <v>10</v>
      </c>
      <c r="E35" s="38" t="n">
        <v>223</v>
      </c>
      <c r="F35" s="38" t="n">
        <v>92</v>
      </c>
      <c r="G35" s="37" t="s">
        <v>388</v>
      </c>
      <c r="H35" s="37" t="s">
        <v>389</v>
      </c>
      <c r="I35" s="37" t="s">
        <v>435</v>
      </c>
    </row>
    <row r="36" customFormat="false" ht="26.25" hidden="false" customHeight="true" outlineLevel="0" collapsed="false">
      <c r="A36" s="37" t="s">
        <v>436</v>
      </c>
      <c r="B36" s="38" t="n">
        <v>2025</v>
      </c>
      <c r="C36" s="37" t="s">
        <v>61</v>
      </c>
      <c r="D36" s="38" t="n">
        <v>11</v>
      </c>
      <c r="E36" s="38" t="n">
        <v>223</v>
      </c>
      <c r="F36" s="38" t="n">
        <v>92</v>
      </c>
      <c r="G36" s="37" t="s">
        <v>388</v>
      </c>
      <c r="H36" s="37" t="s">
        <v>389</v>
      </c>
      <c r="I36" s="37" t="s">
        <v>435</v>
      </c>
    </row>
    <row r="37" customFormat="false" ht="26.25" hidden="false" customHeight="true" outlineLevel="0" collapsed="false">
      <c r="A37" s="37" t="s">
        <v>437</v>
      </c>
      <c r="B37" s="38" t="n">
        <v>2025</v>
      </c>
      <c r="C37" s="37" t="s">
        <v>61</v>
      </c>
      <c r="D37" s="38" t="n">
        <v>12</v>
      </c>
      <c r="E37" s="38" t="n">
        <v>142</v>
      </c>
      <c r="F37" s="38" t="n">
        <v>92</v>
      </c>
      <c r="G37" s="37" t="s">
        <v>388</v>
      </c>
      <c r="H37" s="37" t="s">
        <v>389</v>
      </c>
      <c r="I37" s="37" t="s">
        <v>422</v>
      </c>
    </row>
    <row r="38" customFormat="false" ht="26.25" hidden="false" customHeight="true" outlineLevel="0" collapsed="false">
      <c r="A38" s="37" t="s">
        <v>438</v>
      </c>
      <c r="B38" s="38" t="n">
        <v>2025</v>
      </c>
      <c r="C38" s="37" t="s">
        <v>56</v>
      </c>
      <c r="D38" s="38" t="n">
        <v>1</v>
      </c>
      <c r="E38" s="38" t="n">
        <v>209</v>
      </c>
      <c r="F38" s="38" t="n">
        <v>92</v>
      </c>
      <c r="G38" s="37" t="s">
        <v>388</v>
      </c>
      <c r="H38" s="37" t="s">
        <v>389</v>
      </c>
      <c r="I38" s="37" t="s">
        <v>439</v>
      </c>
    </row>
    <row r="39" customFormat="false" ht="26.25" hidden="false" customHeight="true" outlineLevel="0" collapsed="false">
      <c r="A39" s="37" t="s">
        <v>440</v>
      </c>
      <c r="B39" s="38" t="n">
        <v>2025</v>
      </c>
      <c r="C39" s="37" t="s">
        <v>56</v>
      </c>
      <c r="D39" s="38" t="n">
        <v>2</v>
      </c>
      <c r="E39" s="38" t="n">
        <v>209</v>
      </c>
      <c r="F39" s="38" t="n">
        <v>92</v>
      </c>
      <c r="G39" s="37" t="s">
        <v>388</v>
      </c>
      <c r="H39" s="37" t="s">
        <v>389</v>
      </c>
      <c r="I39" s="37" t="s">
        <v>439</v>
      </c>
    </row>
    <row r="40" customFormat="false" ht="26.25" hidden="false" customHeight="true" outlineLevel="0" collapsed="false">
      <c r="A40" s="37" t="s">
        <v>441</v>
      </c>
      <c r="B40" s="38" t="n">
        <v>2025</v>
      </c>
      <c r="C40" s="37" t="s">
        <v>56</v>
      </c>
      <c r="D40" s="38" t="n">
        <v>3</v>
      </c>
      <c r="E40" s="38" t="n">
        <v>291</v>
      </c>
      <c r="F40" s="38" t="n">
        <v>92</v>
      </c>
      <c r="G40" s="37" t="s">
        <v>388</v>
      </c>
      <c r="H40" s="37" t="s">
        <v>389</v>
      </c>
      <c r="I40" s="37" t="s">
        <v>442</v>
      </c>
    </row>
    <row r="41" customFormat="false" ht="26.25" hidden="false" customHeight="true" outlineLevel="0" collapsed="false">
      <c r="A41" s="37" t="s">
        <v>443</v>
      </c>
      <c r="B41" s="38" t="n">
        <v>2025</v>
      </c>
      <c r="C41" s="37" t="s">
        <v>56</v>
      </c>
      <c r="D41" s="38" t="n">
        <v>4</v>
      </c>
      <c r="E41" s="38" t="n">
        <v>291</v>
      </c>
      <c r="F41" s="38" t="n">
        <v>92</v>
      </c>
      <c r="G41" s="37" t="s">
        <v>388</v>
      </c>
      <c r="H41" s="37" t="s">
        <v>389</v>
      </c>
      <c r="I41" s="37" t="s">
        <v>442</v>
      </c>
    </row>
    <row r="42" customFormat="false" ht="26.25" hidden="false" customHeight="true" outlineLevel="0" collapsed="false">
      <c r="A42" s="37" t="s">
        <v>444</v>
      </c>
      <c r="B42" s="38" t="n">
        <v>2025</v>
      </c>
      <c r="C42" s="37" t="s">
        <v>56</v>
      </c>
      <c r="D42" s="38" t="n">
        <v>5</v>
      </c>
      <c r="E42" s="38" t="n">
        <v>291</v>
      </c>
      <c r="F42" s="38" t="n">
        <v>92</v>
      </c>
      <c r="G42" s="37" t="s">
        <v>388</v>
      </c>
      <c r="H42" s="37" t="s">
        <v>389</v>
      </c>
      <c r="I42" s="37" t="s">
        <v>442</v>
      </c>
    </row>
    <row r="43" customFormat="false" ht="26.25" hidden="false" customHeight="true" outlineLevel="0" collapsed="false">
      <c r="A43" s="37" t="s">
        <v>445</v>
      </c>
      <c r="B43" s="38" t="n">
        <v>2025</v>
      </c>
      <c r="C43" s="37" t="s">
        <v>56</v>
      </c>
      <c r="D43" s="38" t="n">
        <v>6</v>
      </c>
      <c r="E43" s="38" t="n">
        <v>291</v>
      </c>
      <c r="F43" s="38" t="n">
        <v>92</v>
      </c>
      <c r="G43" s="37" t="s">
        <v>388</v>
      </c>
      <c r="H43" s="37" t="s">
        <v>389</v>
      </c>
      <c r="I43" s="37" t="s">
        <v>442</v>
      </c>
    </row>
    <row r="44" customFormat="false" ht="26.25" hidden="false" customHeight="true" outlineLevel="0" collapsed="false">
      <c r="A44" s="37" t="s">
        <v>446</v>
      </c>
      <c r="B44" s="38" t="n">
        <v>2025</v>
      </c>
      <c r="C44" s="37" t="s">
        <v>56</v>
      </c>
      <c r="D44" s="38" t="n">
        <v>7</v>
      </c>
      <c r="E44" s="38" t="n">
        <v>291</v>
      </c>
      <c r="F44" s="38" t="n">
        <v>92</v>
      </c>
      <c r="G44" s="37" t="s">
        <v>388</v>
      </c>
      <c r="H44" s="37" t="s">
        <v>389</v>
      </c>
      <c r="I44" s="37" t="s">
        <v>442</v>
      </c>
    </row>
    <row r="45" customFormat="false" ht="26.25" hidden="false" customHeight="true" outlineLevel="0" collapsed="false">
      <c r="A45" s="37" t="s">
        <v>447</v>
      </c>
      <c r="B45" s="38" t="n">
        <v>2025</v>
      </c>
      <c r="C45" s="37" t="s">
        <v>56</v>
      </c>
      <c r="D45" s="38" t="n">
        <v>8</v>
      </c>
      <c r="E45" s="38" t="n">
        <v>291</v>
      </c>
      <c r="F45" s="38" t="n">
        <v>92</v>
      </c>
      <c r="G45" s="37" t="s">
        <v>388</v>
      </c>
      <c r="H45" s="37" t="s">
        <v>389</v>
      </c>
      <c r="I45" s="37" t="s">
        <v>442</v>
      </c>
    </row>
    <row r="46" customFormat="false" ht="26.25" hidden="false" customHeight="true" outlineLevel="0" collapsed="false">
      <c r="A46" s="37" t="s">
        <v>448</v>
      </c>
      <c r="B46" s="38" t="n">
        <v>2025</v>
      </c>
      <c r="C46" s="37" t="s">
        <v>56</v>
      </c>
      <c r="D46" s="38" t="n">
        <v>9</v>
      </c>
      <c r="E46" s="38" t="n">
        <v>349</v>
      </c>
      <c r="F46" s="38" t="n">
        <v>92</v>
      </c>
      <c r="G46" s="37" t="s">
        <v>388</v>
      </c>
      <c r="H46" s="37" t="s">
        <v>389</v>
      </c>
      <c r="I46" s="37" t="s">
        <v>449</v>
      </c>
    </row>
    <row r="47" customFormat="false" ht="26.25" hidden="false" customHeight="true" outlineLevel="0" collapsed="false">
      <c r="A47" s="37" t="s">
        <v>450</v>
      </c>
      <c r="B47" s="38" t="n">
        <v>2025</v>
      </c>
      <c r="C47" s="37" t="s">
        <v>56</v>
      </c>
      <c r="D47" s="38" t="n">
        <v>10</v>
      </c>
      <c r="E47" s="38" t="n">
        <v>349</v>
      </c>
      <c r="F47" s="38" t="n">
        <v>92</v>
      </c>
      <c r="G47" s="37" t="s">
        <v>388</v>
      </c>
      <c r="H47" s="37" t="s">
        <v>389</v>
      </c>
      <c r="I47" s="37" t="s">
        <v>451</v>
      </c>
    </row>
    <row r="48" customFormat="false" ht="26.25" hidden="false" customHeight="true" outlineLevel="0" collapsed="false">
      <c r="A48" s="37" t="s">
        <v>452</v>
      </c>
      <c r="B48" s="38" t="n">
        <v>2025</v>
      </c>
      <c r="C48" s="37" t="s">
        <v>56</v>
      </c>
      <c r="D48" s="38" t="n">
        <v>11</v>
      </c>
      <c r="E48" s="38" t="n">
        <v>209</v>
      </c>
      <c r="F48" s="38" t="n">
        <v>92</v>
      </c>
      <c r="G48" s="37" t="s">
        <v>388</v>
      </c>
      <c r="H48" s="37" t="s">
        <v>389</v>
      </c>
      <c r="I48" s="37" t="s">
        <v>439</v>
      </c>
    </row>
    <row r="49" customFormat="false" ht="26.25" hidden="false" customHeight="true" outlineLevel="0" collapsed="false">
      <c r="A49" s="37" t="s">
        <v>453</v>
      </c>
      <c r="B49" s="38" t="n">
        <v>2025</v>
      </c>
      <c r="C49" s="37" t="s">
        <v>56</v>
      </c>
      <c r="D49" s="38" t="n">
        <v>12</v>
      </c>
      <c r="E49" s="38" t="n">
        <v>209</v>
      </c>
      <c r="F49" s="38" t="n">
        <v>92</v>
      </c>
      <c r="G49" s="37" t="s">
        <v>388</v>
      </c>
      <c r="H49" s="37" t="s">
        <v>389</v>
      </c>
      <c r="I49" s="37" t="s">
        <v>439</v>
      </c>
    </row>
    <row r="50" customFormat="false" ht="26.25" hidden="false" customHeight="true" outlineLevel="0" collapsed="false">
      <c r="A50" s="37" t="s">
        <v>454</v>
      </c>
      <c r="B50" s="38" t="n">
        <v>2025</v>
      </c>
      <c r="C50" s="37" t="s">
        <v>73</v>
      </c>
      <c r="D50" s="38" t="n">
        <v>1</v>
      </c>
      <c r="E50" s="38" t="n">
        <v>188</v>
      </c>
      <c r="F50" s="38" t="n">
        <v>92</v>
      </c>
      <c r="G50" s="37" t="s">
        <v>388</v>
      </c>
      <c r="H50" s="37" t="s">
        <v>389</v>
      </c>
      <c r="I50" s="37" t="s">
        <v>455</v>
      </c>
    </row>
    <row r="51" customFormat="false" ht="26.25" hidden="false" customHeight="true" outlineLevel="0" collapsed="false">
      <c r="A51" s="37" t="s">
        <v>456</v>
      </c>
      <c r="B51" s="38" t="n">
        <v>2025</v>
      </c>
      <c r="C51" s="37" t="s">
        <v>73</v>
      </c>
      <c r="D51" s="38" t="n">
        <v>2</v>
      </c>
      <c r="E51" s="38" t="n">
        <v>188</v>
      </c>
      <c r="F51" s="38" t="n">
        <v>92</v>
      </c>
      <c r="G51" s="37" t="s">
        <v>388</v>
      </c>
      <c r="H51" s="37" t="s">
        <v>389</v>
      </c>
      <c r="I51" s="37" t="s">
        <v>455</v>
      </c>
    </row>
    <row r="52" customFormat="false" ht="26.25" hidden="false" customHeight="true" outlineLevel="0" collapsed="false">
      <c r="A52" s="37" t="s">
        <v>457</v>
      </c>
      <c r="B52" s="38" t="n">
        <v>2025</v>
      </c>
      <c r="C52" s="37" t="s">
        <v>73</v>
      </c>
      <c r="D52" s="38" t="n">
        <v>3</v>
      </c>
      <c r="E52" s="38" t="n">
        <v>188</v>
      </c>
      <c r="F52" s="38" t="n">
        <v>92</v>
      </c>
      <c r="G52" s="37" t="s">
        <v>388</v>
      </c>
      <c r="H52" s="37" t="s">
        <v>389</v>
      </c>
      <c r="I52" s="37" t="s">
        <v>455</v>
      </c>
    </row>
    <row r="53" customFormat="false" ht="26.25" hidden="false" customHeight="true" outlineLevel="0" collapsed="false">
      <c r="A53" s="37" t="s">
        <v>458</v>
      </c>
      <c r="B53" s="38" t="n">
        <v>2025</v>
      </c>
      <c r="C53" s="37" t="s">
        <v>73</v>
      </c>
      <c r="D53" s="38" t="n">
        <v>4</v>
      </c>
      <c r="E53" s="38" t="n">
        <v>188</v>
      </c>
      <c r="F53" s="38" t="n">
        <v>92</v>
      </c>
      <c r="G53" s="37" t="s">
        <v>388</v>
      </c>
      <c r="H53" s="37" t="s">
        <v>389</v>
      </c>
      <c r="I53" s="37" t="s">
        <v>455</v>
      </c>
    </row>
    <row r="54" customFormat="false" ht="26.25" hidden="false" customHeight="true" outlineLevel="0" collapsed="false">
      <c r="A54" s="37" t="s">
        <v>459</v>
      </c>
      <c r="B54" s="38" t="n">
        <v>2025</v>
      </c>
      <c r="C54" s="37" t="s">
        <v>73</v>
      </c>
      <c r="D54" s="38" t="n">
        <v>5</v>
      </c>
      <c r="E54" s="38" t="n">
        <v>188</v>
      </c>
      <c r="F54" s="38" t="n">
        <v>92</v>
      </c>
      <c r="G54" s="37" t="s">
        <v>388</v>
      </c>
      <c r="H54" s="37" t="s">
        <v>389</v>
      </c>
      <c r="I54" s="37" t="s">
        <v>455</v>
      </c>
    </row>
    <row r="55" customFormat="false" ht="26.25" hidden="false" customHeight="true" outlineLevel="0" collapsed="false">
      <c r="A55" s="37" t="s">
        <v>460</v>
      </c>
      <c r="B55" s="38" t="n">
        <v>2025</v>
      </c>
      <c r="C55" s="37" t="s">
        <v>73</v>
      </c>
      <c r="D55" s="38" t="n">
        <v>6</v>
      </c>
      <c r="E55" s="38" t="n">
        <v>248</v>
      </c>
      <c r="F55" s="38" t="n">
        <v>92</v>
      </c>
      <c r="G55" s="37" t="s">
        <v>388</v>
      </c>
      <c r="H55" s="37" t="s">
        <v>389</v>
      </c>
      <c r="I55" s="37" t="s">
        <v>461</v>
      </c>
    </row>
    <row r="56" customFormat="false" ht="26.25" hidden="false" customHeight="true" outlineLevel="0" collapsed="false">
      <c r="A56" s="37" t="s">
        <v>462</v>
      </c>
      <c r="B56" s="38" t="n">
        <v>2025</v>
      </c>
      <c r="C56" s="37" t="s">
        <v>73</v>
      </c>
      <c r="D56" s="38" t="n">
        <v>7</v>
      </c>
      <c r="E56" s="38" t="n">
        <v>248</v>
      </c>
      <c r="F56" s="38" t="n">
        <v>92</v>
      </c>
      <c r="G56" s="37" t="s">
        <v>388</v>
      </c>
      <c r="H56" s="37" t="s">
        <v>389</v>
      </c>
      <c r="I56" s="37" t="s">
        <v>461</v>
      </c>
    </row>
    <row r="57" customFormat="false" ht="26.25" hidden="false" customHeight="true" outlineLevel="0" collapsed="false">
      <c r="A57" s="37" t="s">
        <v>463</v>
      </c>
      <c r="B57" s="38" t="n">
        <v>2025</v>
      </c>
      <c r="C57" s="37" t="s">
        <v>73</v>
      </c>
      <c r="D57" s="38" t="n">
        <v>8</v>
      </c>
      <c r="E57" s="38" t="n">
        <v>248</v>
      </c>
      <c r="F57" s="38" t="n">
        <v>92</v>
      </c>
      <c r="G57" s="37" t="s">
        <v>388</v>
      </c>
      <c r="H57" s="37" t="s">
        <v>389</v>
      </c>
      <c r="I57" s="37" t="s">
        <v>461</v>
      </c>
    </row>
    <row r="58" customFormat="false" ht="26.25" hidden="false" customHeight="true" outlineLevel="0" collapsed="false">
      <c r="A58" s="37" t="s">
        <v>464</v>
      </c>
      <c r="B58" s="38" t="n">
        <v>2025</v>
      </c>
      <c r="C58" s="37" t="s">
        <v>73</v>
      </c>
      <c r="D58" s="38" t="n">
        <v>9</v>
      </c>
      <c r="E58" s="38" t="n">
        <v>248</v>
      </c>
      <c r="F58" s="38" t="n">
        <v>92</v>
      </c>
      <c r="G58" s="37" t="s">
        <v>388</v>
      </c>
      <c r="H58" s="37" t="s">
        <v>389</v>
      </c>
      <c r="I58" s="37" t="s">
        <v>461</v>
      </c>
    </row>
    <row r="59" customFormat="false" ht="26.25" hidden="false" customHeight="true" outlineLevel="0" collapsed="false">
      <c r="A59" s="37" t="s">
        <v>465</v>
      </c>
      <c r="B59" s="38" t="n">
        <v>2025</v>
      </c>
      <c r="C59" s="37" t="s">
        <v>73</v>
      </c>
      <c r="D59" s="38" t="n">
        <v>10</v>
      </c>
      <c r="E59" s="38" t="n">
        <v>188</v>
      </c>
      <c r="F59" s="38" t="n">
        <v>92</v>
      </c>
      <c r="G59" s="37" t="s">
        <v>388</v>
      </c>
      <c r="H59" s="37" t="s">
        <v>389</v>
      </c>
      <c r="I59" s="37" t="s">
        <v>455</v>
      </c>
    </row>
    <row r="60" customFormat="false" ht="26.25" hidden="false" customHeight="true" outlineLevel="0" collapsed="false">
      <c r="A60" s="37" t="s">
        <v>466</v>
      </c>
      <c r="B60" s="38" t="n">
        <v>2025</v>
      </c>
      <c r="C60" s="37" t="s">
        <v>73</v>
      </c>
      <c r="D60" s="38" t="n">
        <v>11</v>
      </c>
      <c r="E60" s="38" t="n">
        <v>188</v>
      </c>
      <c r="F60" s="38" t="n">
        <v>92</v>
      </c>
      <c r="G60" s="37" t="s">
        <v>388</v>
      </c>
      <c r="H60" s="37" t="s">
        <v>389</v>
      </c>
      <c r="I60" s="37" t="s">
        <v>455</v>
      </c>
    </row>
    <row r="61" customFormat="false" ht="26.25" hidden="false" customHeight="true" outlineLevel="0" collapsed="false">
      <c r="A61" s="37" t="s">
        <v>467</v>
      </c>
      <c r="B61" s="38" t="n">
        <v>2025</v>
      </c>
      <c r="C61" s="37" t="s">
        <v>73</v>
      </c>
      <c r="D61" s="38" t="n">
        <v>12</v>
      </c>
      <c r="E61" s="38" t="n">
        <v>188</v>
      </c>
      <c r="F61" s="38" t="n">
        <v>92</v>
      </c>
      <c r="G61" s="37" t="s">
        <v>388</v>
      </c>
      <c r="H61" s="37" t="s">
        <v>389</v>
      </c>
      <c r="I61" s="37" t="s">
        <v>455</v>
      </c>
    </row>
    <row r="62" customFormat="false" ht="26.25" hidden="false" customHeight="true" outlineLevel="0" collapsed="false">
      <c r="A62" s="37" t="s">
        <v>468</v>
      </c>
      <c r="B62" s="38" t="n">
        <v>2026</v>
      </c>
      <c r="C62" s="37" t="s">
        <v>70</v>
      </c>
      <c r="D62" s="38" t="n">
        <v>1</v>
      </c>
      <c r="E62" s="38" t="n">
        <v>160</v>
      </c>
      <c r="F62" s="38" t="n">
        <v>86</v>
      </c>
      <c r="G62" s="37" t="s">
        <v>469</v>
      </c>
      <c r="H62" s="37" t="s">
        <v>389</v>
      </c>
      <c r="I62" s="37" t="s">
        <v>390</v>
      </c>
    </row>
    <row r="63" customFormat="false" ht="26.25" hidden="false" customHeight="true" outlineLevel="0" collapsed="false">
      <c r="A63" s="37" t="s">
        <v>470</v>
      </c>
      <c r="B63" s="38" t="n">
        <v>2026</v>
      </c>
      <c r="C63" s="37" t="s">
        <v>70</v>
      </c>
      <c r="D63" s="38" t="n">
        <v>2</v>
      </c>
      <c r="E63" s="38" t="n">
        <v>229</v>
      </c>
      <c r="F63" s="38" t="n">
        <v>86</v>
      </c>
      <c r="G63" s="37" t="s">
        <v>469</v>
      </c>
      <c r="H63" s="37" t="s">
        <v>389</v>
      </c>
      <c r="I63" s="37" t="s">
        <v>392</v>
      </c>
    </row>
    <row r="64" customFormat="false" ht="26.25" hidden="false" customHeight="true" outlineLevel="0" collapsed="false">
      <c r="A64" s="37" t="s">
        <v>471</v>
      </c>
      <c r="B64" s="38" t="n">
        <v>2026</v>
      </c>
      <c r="C64" s="37" t="s">
        <v>70</v>
      </c>
      <c r="D64" s="38" t="n">
        <v>3</v>
      </c>
      <c r="E64" s="38" t="n">
        <v>229</v>
      </c>
      <c r="F64" s="38" t="n">
        <v>86</v>
      </c>
      <c r="G64" s="37" t="s">
        <v>469</v>
      </c>
      <c r="H64" s="37" t="s">
        <v>389</v>
      </c>
      <c r="I64" s="37" t="s">
        <v>392</v>
      </c>
    </row>
    <row r="65" customFormat="false" ht="26.25" hidden="false" customHeight="true" outlineLevel="0" collapsed="false">
      <c r="A65" s="37" t="s">
        <v>472</v>
      </c>
      <c r="B65" s="38" t="n">
        <v>2026</v>
      </c>
      <c r="C65" s="37" t="s">
        <v>70</v>
      </c>
      <c r="D65" s="38" t="n">
        <v>4</v>
      </c>
      <c r="E65" s="38" t="n">
        <v>161</v>
      </c>
      <c r="F65" s="38" t="n">
        <v>86</v>
      </c>
      <c r="G65" s="37" t="s">
        <v>469</v>
      </c>
      <c r="H65" s="37" t="s">
        <v>389</v>
      </c>
      <c r="I65" s="37" t="s">
        <v>395</v>
      </c>
    </row>
    <row r="66" customFormat="false" ht="26.25" hidden="false" customHeight="true" outlineLevel="0" collapsed="false">
      <c r="A66" s="37" t="s">
        <v>473</v>
      </c>
      <c r="B66" s="38" t="n">
        <v>2026</v>
      </c>
      <c r="C66" s="37" t="s">
        <v>70</v>
      </c>
      <c r="D66" s="38" t="n">
        <v>5</v>
      </c>
      <c r="E66" s="38" t="n">
        <v>161</v>
      </c>
      <c r="F66" s="38" t="n">
        <v>86</v>
      </c>
      <c r="G66" s="37" t="s">
        <v>469</v>
      </c>
      <c r="H66" s="37" t="s">
        <v>389</v>
      </c>
      <c r="I66" s="37" t="s">
        <v>395</v>
      </c>
    </row>
    <row r="67" customFormat="false" ht="26.25" hidden="false" customHeight="true" outlineLevel="0" collapsed="false">
      <c r="A67" s="37" t="s">
        <v>474</v>
      </c>
      <c r="B67" s="38" t="n">
        <v>2026</v>
      </c>
      <c r="C67" s="37" t="s">
        <v>70</v>
      </c>
      <c r="D67" s="38" t="n">
        <v>6</v>
      </c>
      <c r="E67" s="38" t="n">
        <v>113</v>
      </c>
      <c r="F67" s="38" t="n">
        <v>86</v>
      </c>
      <c r="G67" s="37" t="s">
        <v>469</v>
      </c>
      <c r="H67" s="37" t="s">
        <v>389</v>
      </c>
      <c r="I67" s="37" t="s">
        <v>398</v>
      </c>
    </row>
    <row r="68" customFormat="false" ht="26.25" hidden="false" customHeight="true" outlineLevel="0" collapsed="false">
      <c r="A68" s="37" t="s">
        <v>475</v>
      </c>
      <c r="B68" s="38" t="n">
        <v>2026</v>
      </c>
      <c r="C68" s="37" t="s">
        <v>70</v>
      </c>
      <c r="D68" s="38" t="n">
        <v>7</v>
      </c>
      <c r="E68" s="38" t="n">
        <v>113</v>
      </c>
      <c r="F68" s="38" t="n">
        <v>86</v>
      </c>
      <c r="G68" s="37" t="s">
        <v>469</v>
      </c>
      <c r="H68" s="37" t="s">
        <v>389</v>
      </c>
      <c r="I68" s="37" t="s">
        <v>398</v>
      </c>
    </row>
    <row r="69" customFormat="false" ht="26.25" hidden="false" customHeight="true" outlineLevel="0" collapsed="false">
      <c r="A69" s="37" t="s">
        <v>476</v>
      </c>
      <c r="B69" s="38" t="n">
        <v>2026</v>
      </c>
      <c r="C69" s="37" t="s">
        <v>70</v>
      </c>
      <c r="D69" s="38" t="n">
        <v>8</v>
      </c>
      <c r="E69" s="38" t="n">
        <v>113</v>
      </c>
      <c r="F69" s="38" t="n">
        <v>86</v>
      </c>
      <c r="G69" s="37" t="s">
        <v>469</v>
      </c>
      <c r="H69" s="37" t="s">
        <v>389</v>
      </c>
      <c r="I69" s="37" t="s">
        <v>398</v>
      </c>
    </row>
    <row r="70" customFormat="false" ht="26.25" hidden="false" customHeight="true" outlineLevel="0" collapsed="false">
      <c r="A70" s="37" t="s">
        <v>477</v>
      </c>
      <c r="B70" s="38" t="n">
        <v>2026</v>
      </c>
      <c r="C70" s="37" t="s">
        <v>70</v>
      </c>
      <c r="D70" s="38" t="n">
        <v>9</v>
      </c>
      <c r="E70" s="38" t="n">
        <v>160</v>
      </c>
      <c r="F70" s="38" t="n">
        <v>86</v>
      </c>
      <c r="G70" s="37" t="s">
        <v>469</v>
      </c>
      <c r="H70" s="37" t="s">
        <v>389</v>
      </c>
      <c r="I70" s="37" t="s">
        <v>402</v>
      </c>
    </row>
    <row r="71" customFormat="false" ht="26.25" hidden="false" customHeight="true" outlineLevel="0" collapsed="false">
      <c r="A71" s="37" t="s">
        <v>478</v>
      </c>
      <c r="B71" s="38" t="n">
        <v>2026</v>
      </c>
      <c r="C71" s="37" t="s">
        <v>70</v>
      </c>
      <c r="D71" s="38" t="n">
        <v>10</v>
      </c>
      <c r="E71" s="38" t="n">
        <v>160</v>
      </c>
      <c r="F71" s="38" t="n">
        <v>86</v>
      </c>
      <c r="G71" s="37" t="s">
        <v>469</v>
      </c>
      <c r="H71" s="37" t="s">
        <v>389</v>
      </c>
      <c r="I71" s="37" t="s">
        <v>390</v>
      </c>
    </row>
    <row r="72" customFormat="false" ht="26.25" hidden="false" customHeight="true" outlineLevel="0" collapsed="false">
      <c r="A72" s="37" t="s">
        <v>479</v>
      </c>
      <c r="B72" s="38" t="n">
        <v>2026</v>
      </c>
      <c r="C72" s="37" t="s">
        <v>70</v>
      </c>
      <c r="D72" s="38" t="n">
        <v>11</v>
      </c>
      <c r="E72" s="38" t="n">
        <v>160</v>
      </c>
      <c r="F72" s="38" t="n">
        <v>86</v>
      </c>
      <c r="G72" s="37" t="s">
        <v>469</v>
      </c>
      <c r="H72" s="37" t="s">
        <v>389</v>
      </c>
      <c r="I72" s="37" t="s">
        <v>390</v>
      </c>
    </row>
    <row r="73" customFormat="false" ht="26.25" hidden="false" customHeight="true" outlineLevel="0" collapsed="false">
      <c r="A73" s="37" t="s">
        <v>480</v>
      </c>
      <c r="B73" s="38" t="n">
        <v>2026</v>
      </c>
      <c r="C73" s="37" t="s">
        <v>70</v>
      </c>
      <c r="D73" s="38" t="n">
        <v>12</v>
      </c>
      <c r="E73" s="38" t="n">
        <v>160</v>
      </c>
      <c r="F73" s="38" t="n">
        <v>86</v>
      </c>
      <c r="G73" s="37" t="s">
        <v>469</v>
      </c>
      <c r="H73" s="37" t="s">
        <v>389</v>
      </c>
      <c r="I73" s="37" t="s">
        <v>390</v>
      </c>
    </row>
    <row r="74" customFormat="false" ht="26.25" hidden="false" customHeight="true" outlineLevel="0" collapsed="false">
      <c r="A74" s="37" t="s">
        <v>481</v>
      </c>
      <c r="B74" s="38" t="n">
        <v>2026</v>
      </c>
      <c r="C74" s="37" t="s">
        <v>65</v>
      </c>
      <c r="D74" s="38" t="n">
        <v>1</v>
      </c>
      <c r="E74" s="38" t="n">
        <v>165</v>
      </c>
      <c r="F74" s="38" t="n">
        <v>92</v>
      </c>
      <c r="G74" s="37" t="s">
        <v>469</v>
      </c>
      <c r="H74" s="37" t="s">
        <v>389</v>
      </c>
      <c r="I74" s="37" t="s">
        <v>407</v>
      </c>
    </row>
    <row r="75" customFormat="false" ht="26.25" hidden="false" customHeight="true" outlineLevel="0" collapsed="false">
      <c r="A75" s="37" t="s">
        <v>482</v>
      </c>
      <c r="B75" s="38" t="n">
        <v>2026</v>
      </c>
      <c r="C75" s="37" t="s">
        <v>65</v>
      </c>
      <c r="D75" s="38" t="n">
        <v>2</v>
      </c>
      <c r="E75" s="38" t="n">
        <v>165</v>
      </c>
      <c r="F75" s="38" t="n">
        <v>92</v>
      </c>
      <c r="G75" s="37" t="s">
        <v>469</v>
      </c>
      <c r="H75" s="37" t="s">
        <v>389</v>
      </c>
      <c r="I75" s="37" t="s">
        <v>407</v>
      </c>
    </row>
    <row r="76" customFormat="false" ht="26.25" hidden="false" customHeight="true" outlineLevel="0" collapsed="false">
      <c r="A76" s="37" t="s">
        <v>483</v>
      </c>
      <c r="B76" s="38" t="n">
        <v>2026</v>
      </c>
      <c r="C76" s="37" t="s">
        <v>65</v>
      </c>
      <c r="D76" s="38" t="n">
        <v>3</v>
      </c>
      <c r="E76" s="38" t="n">
        <v>165</v>
      </c>
      <c r="F76" s="38" t="n">
        <v>92</v>
      </c>
      <c r="G76" s="37" t="s">
        <v>469</v>
      </c>
      <c r="H76" s="37" t="s">
        <v>389</v>
      </c>
      <c r="I76" s="37" t="s">
        <v>407</v>
      </c>
    </row>
    <row r="77" customFormat="false" ht="26.25" hidden="false" customHeight="true" outlineLevel="0" collapsed="false">
      <c r="A77" s="37" t="s">
        <v>484</v>
      </c>
      <c r="B77" s="38" t="n">
        <v>2026</v>
      </c>
      <c r="C77" s="37" t="s">
        <v>65</v>
      </c>
      <c r="D77" s="38" t="n">
        <v>4</v>
      </c>
      <c r="E77" s="38" t="n">
        <v>215</v>
      </c>
      <c r="F77" s="38" t="n">
        <v>92</v>
      </c>
      <c r="G77" s="37" t="s">
        <v>469</v>
      </c>
      <c r="H77" s="37" t="s">
        <v>389</v>
      </c>
      <c r="I77" s="37" t="s">
        <v>411</v>
      </c>
    </row>
    <row r="78" customFormat="false" ht="26.25" hidden="false" customHeight="true" outlineLevel="0" collapsed="false">
      <c r="A78" s="37" t="s">
        <v>485</v>
      </c>
      <c r="B78" s="38" t="n">
        <v>2026</v>
      </c>
      <c r="C78" s="37" t="s">
        <v>65</v>
      </c>
      <c r="D78" s="38" t="n">
        <v>5</v>
      </c>
      <c r="E78" s="38" t="n">
        <v>215</v>
      </c>
      <c r="F78" s="38" t="n">
        <v>92</v>
      </c>
      <c r="G78" s="37" t="s">
        <v>469</v>
      </c>
      <c r="H78" s="37" t="s">
        <v>389</v>
      </c>
      <c r="I78" s="37" t="s">
        <v>411</v>
      </c>
    </row>
    <row r="79" customFormat="false" ht="26.25" hidden="false" customHeight="true" outlineLevel="0" collapsed="false">
      <c r="A79" s="37" t="s">
        <v>486</v>
      </c>
      <c r="B79" s="38" t="n">
        <v>2026</v>
      </c>
      <c r="C79" s="37" t="s">
        <v>65</v>
      </c>
      <c r="D79" s="38" t="n">
        <v>6</v>
      </c>
      <c r="E79" s="38" t="n">
        <v>215</v>
      </c>
      <c r="F79" s="38" t="n">
        <v>92</v>
      </c>
      <c r="G79" s="37" t="s">
        <v>469</v>
      </c>
      <c r="H79" s="37" t="s">
        <v>389</v>
      </c>
      <c r="I79" s="37" t="s">
        <v>411</v>
      </c>
    </row>
    <row r="80" customFormat="false" ht="26.25" hidden="false" customHeight="true" outlineLevel="0" collapsed="false">
      <c r="A80" s="37" t="s">
        <v>487</v>
      </c>
      <c r="B80" s="38" t="n">
        <v>2026</v>
      </c>
      <c r="C80" s="37" t="s">
        <v>65</v>
      </c>
      <c r="D80" s="38" t="n">
        <v>7</v>
      </c>
      <c r="E80" s="38" t="n">
        <v>215</v>
      </c>
      <c r="F80" s="38" t="n">
        <v>92</v>
      </c>
      <c r="G80" s="37" t="s">
        <v>469</v>
      </c>
      <c r="H80" s="37" t="s">
        <v>389</v>
      </c>
      <c r="I80" s="37" t="s">
        <v>411</v>
      </c>
    </row>
    <row r="81" customFormat="false" ht="26.25" hidden="false" customHeight="true" outlineLevel="0" collapsed="false">
      <c r="A81" s="37" t="s">
        <v>488</v>
      </c>
      <c r="B81" s="38" t="n">
        <v>2026</v>
      </c>
      <c r="C81" s="37" t="s">
        <v>65</v>
      </c>
      <c r="D81" s="38" t="n">
        <v>8</v>
      </c>
      <c r="E81" s="38" t="n">
        <v>215</v>
      </c>
      <c r="F81" s="38" t="n">
        <v>92</v>
      </c>
      <c r="G81" s="37" t="s">
        <v>469</v>
      </c>
      <c r="H81" s="37" t="s">
        <v>389</v>
      </c>
      <c r="I81" s="37" t="s">
        <v>411</v>
      </c>
    </row>
    <row r="82" customFormat="false" ht="26.25" hidden="false" customHeight="true" outlineLevel="0" collapsed="false">
      <c r="A82" s="37" t="s">
        <v>489</v>
      </c>
      <c r="B82" s="38" t="n">
        <v>2026</v>
      </c>
      <c r="C82" s="37" t="s">
        <v>65</v>
      </c>
      <c r="D82" s="38" t="n">
        <v>9</v>
      </c>
      <c r="E82" s="38" t="n">
        <v>215</v>
      </c>
      <c r="F82" s="38" t="n">
        <v>92</v>
      </c>
      <c r="G82" s="37" t="s">
        <v>469</v>
      </c>
      <c r="H82" s="37" t="s">
        <v>389</v>
      </c>
      <c r="I82" s="37" t="s">
        <v>411</v>
      </c>
    </row>
    <row r="83" customFormat="false" ht="26.25" hidden="false" customHeight="true" outlineLevel="0" collapsed="false">
      <c r="A83" s="37" t="s">
        <v>490</v>
      </c>
      <c r="B83" s="38" t="n">
        <v>2026</v>
      </c>
      <c r="C83" s="37" t="s">
        <v>65</v>
      </c>
      <c r="D83" s="38" t="n">
        <v>10</v>
      </c>
      <c r="E83" s="38" t="n">
        <v>215</v>
      </c>
      <c r="F83" s="38" t="n">
        <v>92</v>
      </c>
      <c r="G83" s="37" t="s">
        <v>469</v>
      </c>
      <c r="H83" s="37" t="s">
        <v>389</v>
      </c>
      <c r="I83" s="37" t="s">
        <v>418</v>
      </c>
    </row>
    <row r="84" customFormat="false" ht="26.25" hidden="false" customHeight="true" outlineLevel="0" collapsed="false">
      <c r="A84" s="37" t="s">
        <v>491</v>
      </c>
      <c r="B84" s="38" t="n">
        <v>2026</v>
      </c>
      <c r="C84" s="37" t="s">
        <v>65</v>
      </c>
      <c r="D84" s="38" t="n">
        <v>11</v>
      </c>
      <c r="E84" s="38" t="n">
        <v>165</v>
      </c>
      <c r="F84" s="38" t="n">
        <v>92</v>
      </c>
      <c r="G84" s="37" t="s">
        <v>469</v>
      </c>
      <c r="H84" s="37" t="s">
        <v>389</v>
      </c>
      <c r="I84" s="37" t="s">
        <v>407</v>
      </c>
    </row>
    <row r="85" customFormat="false" ht="26.25" hidden="false" customHeight="true" outlineLevel="0" collapsed="false">
      <c r="A85" s="37" t="s">
        <v>492</v>
      </c>
      <c r="B85" s="38" t="n">
        <v>2026</v>
      </c>
      <c r="C85" s="37" t="s">
        <v>65</v>
      </c>
      <c r="D85" s="38" t="n">
        <v>12</v>
      </c>
      <c r="E85" s="38" t="n">
        <v>165</v>
      </c>
      <c r="F85" s="38" t="n">
        <v>92</v>
      </c>
      <c r="G85" s="37" t="s">
        <v>469</v>
      </c>
      <c r="H85" s="37" t="s">
        <v>389</v>
      </c>
      <c r="I85" s="37" t="s">
        <v>407</v>
      </c>
    </row>
    <row r="86" customFormat="false" ht="26.25" hidden="false" customHeight="true" outlineLevel="0" collapsed="false">
      <c r="A86" s="37" t="s">
        <v>493</v>
      </c>
      <c r="B86" s="38" t="n">
        <v>2026</v>
      </c>
      <c r="C86" s="37" t="s">
        <v>61</v>
      </c>
      <c r="D86" s="38" t="n">
        <v>1</v>
      </c>
      <c r="E86" s="38" t="n">
        <v>142</v>
      </c>
      <c r="F86" s="38" t="n">
        <v>92</v>
      </c>
      <c r="G86" s="37" t="s">
        <v>469</v>
      </c>
      <c r="H86" s="37" t="s">
        <v>389</v>
      </c>
      <c r="I86" s="37" t="s">
        <v>422</v>
      </c>
    </row>
    <row r="87" customFormat="false" ht="26.25" hidden="false" customHeight="true" outlineLevel="0" collapsed="false">
      <c r="A87" s="37" t="s">
        <v>494</v>
      </c>
      <c r="B87" s="38" t="n">
        <v>2026</v>
      </c>
      <c r="C87" s="37" t="s">
        <v>61</v>
      </c>
      <c r="D87" s="38" t="n">
        <v>2</v>
      </c>
      <c r="E87" s="38" t="n">
        <v>142</v>
      </c>
      <c r="F87" s="38" t="n">
        <v>92</v>
      </c>
      <c r="G87" s="37" t="s">
        <v>469</v>
      </c>
      <c r="H87" s="37" t="s">
        <v>389</v>
      </c>
      <c r="I87" s="37" t="s">
        <v>422</v>
      </c>
    </row>
    <row r="88" customFormat="false" ht="26.25" hidden="false" customHeight="true" outlineLevel="0" collapsed="false">
      <c r="A88" s="37" t="s">
        <v>495</v>
      </c>
      <c r="B88" s="38" t="n">
        <v>2026</v>
      </c>
      <c r="C88" s="37" t="s">
        <v>61</v>
      </c>
      <c r="D88" s="38" t="n">
        <v>3</v>
      </c>
      <c r="E88" s="38" t="n">
        <v>142</v>
      </c>
      <c r="F88" s="38" t="n">
        <v>92</v>
      </c>
      <c r="G88" s="37" t="s">
        <v>469</v>
      </c>
      <c r="H88" s="37" t="s">
        <v>389</v>
      </c>
      <c r="I88" s="37" t="s">
        <v>422</v>
      </c>
    </row>
    <row r="89" customFormat="false" ht="26.25" hidden="false" customHeight="true" outlineLevel="0" collapsed="false">
      <c r="A89" s="37" t="s">
        <v>496</v>
      </c>
      <c r="B89" s="38" t="n">
        <v>2026</v>
      </c>
      <c r="C89" s="37" t="s">
        <v>61</v>
      </c>
      <c r="D89" s="38" t="n">
        <v>4</v>
      </c>
      <c r="E89" s="38" t="n">
        <v>234</v>
      </c>
      <c r="F89" s="38" t="n">
        <v>92</v>
      </c>
      <c r="G89" s="37" t="s">
        <v>469</v>
      </c>
      <c r="H89" s="37" t="s">
        <v>389</v>
      </c>
      <c r="I89" s="37" t="s">
        <v>426</v>
      </c>
    </row>
    <row r="90" customFormat="false" ht="26.25" hidden="false" customHeight="true" outlineLevel="0" collapsed="false">
      <c r="A90" s="37" t="s">
        <v>497</v>
      </c>
      <c r="B90" s="38" t="n">
        <v>2026</v>
      </c>
      <c r="C90" s="37" t="s">
        <v>61</v>
      </c>
      <c r="D90" s="38" t="n">
        <v>5</v>
      </c>
      <c r="E90" s="38" t="n">
        <v>234</v>
      </c>
      <c r="F90" s="38" t="n">
        <v>92</v>
      </c>
      <c r="G90" s="37" t="s">
        <v>469</v>
      </c>
      <c r="H90" s="37" t="s">
        <v>389</v>
      </c>
      <c r="I90" s="37" t="s">
        <v>426</v>
      </c>
    </row>
    <row r="91" customFormat="false" ht="26.25" hidden="false" customHeight="true" outlineLevel="0" collapsed="false">
      <c r="A91" s="37" t="s">
        <v>498</v>
      </c>
      <c r="B91" s="38" t="n">
        <v>2026</v>
      </c>
      <c r="C91" s="37" t="s">
        <v>61</v>
      </c>
      <c r="D91" s="38" t="n">
        <v>6</v>
      </c>
      <c r="E91" s="38" t="n">
        <v>234</v>
      </c>
      <c r="F91" s="38" t="n">
        <v>92</v>
      </c>
      <c r="G91" s="37" t="s">
        <v>469</v>
      </c>
      <c r="H91" s="37" t="s">
        <v>389</v>
      </c>
      <c r="I91" s="37" t="s">
        <v>426</v>
      </c>
    </row>
    <row r="92" customFormat="false" ht="26.25" hidden="false" customHeight="true" outlineLevel="0" collapsed="false">
      <c r="A92" s="37" t="s">
        <v>499</v>
      </c>
      <c r="B92" s="38" t="n">
        <v>2026</v>
      </c>
      <c r="C92" s="37" t="s">
        <v>61</v>
      </c>
      <c r="D92" s="38" t="n">
        <v>7</v>
      </c>
      <c r="E92" s="38" t="n">
        <v>202</v>
      </c>
      <c r="F92" s="38" t="n">
        <v>92</v>
      </c>
      <c r="G92" s="37" t="s">
        <v>469</v>
      </c>
      <c r="H92" s="37" t="s">
        <v>389</v>
      </c>
      <c r="I92" s="37" t="s">
        <v>430</v>
      </c>
    </row>
    <row r="93" customFormat="false" ht="26.25" hidden="false" customHeight="true" outlineLevel="0" collapsed="false">
      <c r="A93" s="37" t="s">
        <v>500</v>
      </c>
      <c r="B93" s="38" t="n">
        <v>2026</v>
      </c>
      <c r="C93" s="37" t="s">
        <v>61</v>
      </c>
      <c r="D93" s="38" t="n">
        <v>8</v>
      </c>
      <c r="E93" s="38" t="n">
        <v>202</v>
      </c>
      <c r="F93" s="38" t="n">
        <v>92</v>
      </c>
      <c r="G93" s="37" t="s">
        <v>469</v>
      </c>
      <c r="H93" s="37" t="s">
        <v>389</v>
      </c>
      <c r="I93" s="37" t="s">
        <v>430</v>
      </c>
    </row>
    <row r="94" customFormat="false" ht="26.25" hidden="false" customHeight="true" outlineLevel="0" collapsed="false">
      <c r="A94" s="37" t="s">
        <v>501</v>
      </c>
      <c r="B94" s="38" t="n">
        <v>2026</v>
      </c>
      <c r="C94" s="37" t="s">
        <v>61</v>
      </c>
      <c r="D94" s="38" t="n">
        <v>9</v>
      </c>
      <c r="E94" s="38" t="n">
        <v>223</v>
      </c>
      <c r="F94" s="38" t="n">
        <v>92</v>
      </c>
      <c r="G94" s="37" t="s">
        <v>469</v>
      </c>
      <c r="H94" s="37" t="s">
        <v>389</v>
      </c>
      <c r="I94" s="37" t="s">
        <v>433</v>
      </c>
    </row>
    <row r="95" customFormat="false" ht="26.25" hidden="false" customHeight="true" outlineLevel="0" collapsed="false">
      <c r="A95" s="37" t="s">
        <v>502</v>
      </c>
      <c r="B95" s="38" t="n">
        <v>2026</v>
      </c>
      <c r="C95" s="37" t="s">
        <v>61</v>
      </c>
      <c r="D95" s="38" t="n">
        <v>10</v>
      </c>
      <c r="E95" s="38" t="n">
        <v>223</v>
      </c>
      <c r="F95" s="38" t="n">
        <v>92</v>
      </c>
      <c r="G95" s="37" t="s">
        <v>469</v>
      </c>
      <c r="H95" s="37" t="s">
        <v>389</v>
      </c>
      <c r="I95" s="37" t="s">
        <v>435</v>
      </c>
    </row>
    <row r="96" customFormat="false" ht="26.25" hidden="false" customHeight="true" outlineLevel="0" collapsed="false">
      <c r="A96" s="37" t="s">
        <v>503</v>
      </c>
      <c r="B96" s="38" t="n">
        <v>2026</v>
      </c>
      <c r="C96" s="37" t="s">
        <v>61</v>
      </c>
      <c r="D96" s="38" t="n">
        <v>11</v>
      </c>
      <c r="E96" s="38" t="n">
        <v>223</v>
      </c>
      <c r="F96" s="38" t="n">
        <v>92</v>
      </c>
      <c r="G96" s="37" t="s">
        <v>469</v>
      </c>
      <c r="H96" s="37" t="s">
        <v>389</v>
      </c>
      <c r="I96" s="37" t="s">
        <v>435</v>
      </c>
    </row>
    <row r="97" customFormat="false" ht="26.25" hidden="false" customHeight="true" outlineLevel="0" collapsed="false">
      <c r="A97" s="37" t="s">
        <v>504</v>
      </c>
      <c r="B97" s="38" t="n">
        <v>2026</v>
      </c>
      <c r="C97" s="37" t="s">
        <v>61</v>
      </c>
      <c r="D97" s="38" t="n">
        <v>12</v>
      </c>
      <c r="E97" s="38" t="n">
        <v>142</v>
      </c>
      <c r="F97" s="38" t="n">
        <v>92</v>
      </c>
      <c r="G97" s="37" t="s">
        <v>469</v>
      </c>
      <c r="H97" s="37" t="s">
        <v>389</v>
      </c>
      <c r="I97" s="37" t="s">
        <v>422</v>
      </c>
    </row>
    <row r="98" customFormat="false" ht="26.25" hidden="false" customHeight="true" outlineLevel="0" collapsed="false">
      <c r="A98" s="37" t="s">
        <v>505</v>
      </c>
      <c r="B98" s="38" t="n">
        <v>2026</v>
      </c>
      <c r="C98" s="37" t="s">
        <v>56</v>
      </c>
      <c r="D98" s="38" t="n">
        <v>1</v>
      </c>
      <c r="E98" s="38" t="n">
        <v>209</v>
      </c>
      <c r="F98" s="38" t="n">
        <v>92</v>
      </c>
      <c r="G98" s="37" t="s">
        <v>469</v>
      </c>
      <c r="H98" s="37" t="s">
        <v>389</v>
      </c>
      <c r="I98" s="37" t="s">
        <v>439</v>
      </c>
    </row>
    <row r="99" customFormat="false" ht="26.25" hidden="false" customHeight="true" outlineLevel="0" collapsed="false">
      <c r="A99" s="37" t="s">
        <v>506</v>
      </c>
      <c r="B99" s="38" t="n">
        <v>2026</v>
      </c>
      <c r="C99" s="37" t="s">
        <v>56</v>
      </c>
      <c r="D99" s="38" t="n">
        <v>2</v>
      </c>
      <c r="E99" s="38" t="n">
        <v>209</v>
      </c>
      <c r="F99" s="38" t="n">
        <v>92</v>
      </c>
      <c r="G99" s="37" t="s">
        <v>469</v>
      </c>
      <c r="H99" s="37" t="s">
        <v>389</v>
      </c>
      <c r="I99" s="37" t="s">
        <v>439</v>
      </c>
    </row>
    <row r="100" customFormat="false" ht="26.25" hidden="false" customHeight="true" outlineLevel="0" collapsed="false">
      <c r="A100" s="37" t="s">
        <v>507</v>
      </c>
      <c r="B100" s="38" t="n">
        <v>2026</v>
      </c>
      <c r="C100" s="37" t="s">
        <v>56</v>
      </c>
      <c r="D100" s="38" t="n">
        <v>3</v>
      </c>
      <c r="E100" s="38" t="n">
        <v>291</v>
      </c>
      <c r="F100" s="38" t="n">
        <v>92</v>
      </c>
      <c r="G100" s="37" t="s">
        <v>469</v>
      </c>
      <c r="H100" s="37" t="s">
        <v>389</v>
      </c>
      <c r="I100" s="37" t="s">
        <v>442</v>
      </c>
    </row>
    <row r="101" customFormat="false" ht="26.25" hidden="false" customHeight="true" outlineLevel="0" collapsed="false">
      <c r="A101" s="37" t="s">
        <v>508</v>
      </c>
      <c r="B101" s="38" t="n">
        <v>2026</v>
      </c>
      <c r="C101" s="37" t="s">
        <v>56</v>
      </c>
      <c r="D101" s="38" t="n">
        <v>4</v>
      </c>
      <c r="E101" s="38" t="n">
        <v>291</v>
      </c>
      <c r="F101" s="38" t="n">
        <v>92</v>
      </c>
      <c r="G101" s="37" t="s">
        <v>469</v>
      </c>
      <c r="H101" s="37" t="s">
        <v>389</v>
      </c>
      <c r="I101" s="37" t="s">
        <v>442</v>
      </c>
    </row>
    <row r="102" customFormat="false" ht="26.25" hidden="false" customHeight="true" outlineLevel="0" collapsed="false">
      <c r="A102" s="37" t="s">
        <v>509</v>
      </c>
      <c r="B102" s="38" t="n">
        <v>2026</v>
      </c>
      <c r="C102" s="37" t="s">
        <v>56</v>
      </c>
      <c r="D102" s="38" t="n">
        <v>5</v>
      </c>
      <c r="E102" s="38" t="n">
        <v>291</v>
      </c>
      <c r="F102" s="38" t="n">
        <v>92</v>
      </c>
      <c r="G102" s="37" t="s">
        <v>469</v>
      </c>
      <c r="H102" s="37" t="s">
        <v>389</v>
      </c>
      <c r="I102" s="37" t="s">
        <v>442</v>
      </c>
    </row>
    <row r="103" customFormat="false" ht="26.25" hidden="false" customHeight="true" outlineLevel="0" collapsed="false">
      <c r="A103" s="37" t="s">
        <v>510</v>
      </c>
      <c r="B103" s="38" t="n">
        <v>2026</v>
      </c>
      <c r="C103" s="37" t="s">
        <v>56</v>
      </c>
      <c r="D103" s="38" t="n">
        <v>6</v>
      </c>
      <c r="E103" s="38" t="n">
        <v>291</v>
      </c>
      <c r="F103" s="38" t="n">
        <v>92</v>
      </c>
      <c r="G103" s="37" t="s">
        <v>469</v>
      </c>
      <c r="H103" s="37" t="s">
        <v>389</v>
      </c>
      <c r="I103" s="37" t="s">
        <v>442</v>
      </c>
    </row>
    <row r="104" customFormat="false" ht="26.25" hidden="false" customHeight="true" outlineLevel="0" collapsed="false">
      <c r="A104" s="37" t="s">
        <v>511</v>
      </c>
      <c r="B104" s="38" t="n">
        <v>2026</v>
      </c>
      <c r="C104" s="37" t="s">
        <v>56</v>
      </c>
      <c r="D104" s="38" t="n">
        <v>7</v>
      </c>
      <c r="E104" s="38" t="n">
        <v>291</v>
      </c>
      <c r="F104" s="38" t="n">
        <v>92</v>
      </c>
      <c r="G104" s="37" t="s">
        <v>469</v>
      </c>
      <c r="H104" s="37" t="s">
        <v>389</v>
      </c>
      <c r="I104" s="37" t="s">
        <v>442</v>
      </c>
    </row>
    <row r="105" customFormat="false" ht="26.25" hidden="false" customHeight="true" outlineLevel="0" collapsed="false">
      <c r="A105" s="37" t="s">
        <v>512</v>
      </c>
      <c r="B105" s="38" t="n">
        <v>2026</v>
      </c>
      <c r="C105" s="37" t="s">
        <v>56</v>
      </c>
      <c r="D105" s="38" t="n">
        <v>8</v>
      </c>
      <c r="E105" s="38" t="n">
        <v>291</v>
      </c>
      <c r="F105" s="38" t="n">
        <v>92</v>
      </c>
      <c r="G105" s="37" t="s">
        <v>469</v>
      </c>
      <c r="H105" s="37" t="s">
        <v>389</v>
      </c>
      <c r="I105" s="37" t="s">
        <v>442</v>
      </c>
    </row>
    <row r="106" customFormat="false" ht="26.25" hidden="false" customHeight="true" outlineLevel="0" collapsed="false">
      <c r="A106" s="37" t="s">
        <v>513</v>
      </c>
      <c r="B106" s="38" t="n">
        <v>2026</v>
      </c>
      <c r="C106" s="37" t="s">
        <v>56</v>
      </c>
      <c r="D106" s="38" t="n">
        <v>9</v>
      </c>
      <c r="E106" s="38" t="n">
        <v>349</v>
      </c>
      <c r="F106" s="38" t="n">
        <v>92</v>
      </c>
      <c r="G106" s="37" t="s">
        <v>469</v>
      </c>
      <c r="H106" s="37" t="s">
        <v>389</v>
      </c>
      <c r="I106" s="37" t="s">
        <v>449</v>
      </c>
    </row>
    <row r="107" customFormat="false" ht="26.25" hidden="false" customHeight="true" outlineLevel="0" collapsed="false">
      <c r="A107" s="37" t="s">
        <v>514</v>
      </c>
      <c r="B107" s="38" t="n">
        <v>2026</v>
      </c>
      <c r="C107" s="37" t="s">
        <v>56</v>
      </c>
      <c r="D107" s="38" t="n">
        <v>10</v>
      </c>
      <c r="E107" s="38" t="n">
        <v>349</v>
      </c>
      <c r="F107" s="38" t="n">
        <v>92</v>
      </c>
      <c r="G107" s="37" t="s">
        <v>469</v>
      </c>
      <c r="H107" s="37" t="s">
        <v>389</v>
      </c>
      <c r="I107" s="37" t="s">
        <v>451</v>
      </c>
    </row>
    <row r="108" customFormat="false" ht="26.25" hidden="false" customHeight="true" outlineLevel="0" collapsed="false">
      <c r="A108" s="37" t="s">
        <v>515</v>
      </c>
      <c r="B108" s="38" t="n">
        <v>2026</v>
      </c>
      <c r="C108" s="37" t="s">
        <v>56</v>
      </c>
      <c r="D108" s="38" t="n">
        <v>11</v>
      </c>
      <c r="E108" s="38" t="n">
        <v>209</v>
      </c>
      <c r="F108" s="38" t="n">
        <v>92</v>
      </c>
      <c r="G108" s="37" t="s">
        <v>469</v>
      </c>
      <c r="H108" s="37" t="s">
        <v>389</v>
      </c>
      <c r="I108" s="37" t="s">
        <v>439</v>
      </c>
    </row>
    <row r="109" customFormat="false" ht="26.25" hidden="false" customHeight="true" outlineLevel="0" collapsed="false">
      <c r="A109" s="37" t="s">
        <v>516</v>
      </c>
      <c r="B109" s="38" t="n">
        <v>2026</v>
      </c>
      <c r="C109" s="37" t="s">
        <v>56</v>
      </c>
      <c r="D109" s="38" t="n">
        <v>12</v>
      </c>
      <c r="E109" s="38" t="n">
        <v>209</v>
      </c>
      <c r="F109" s="38" t="n">
        <v>92</v>
      </c>
      <c r="G109" s="37" t="s">
        <v>469</v>
      </c>
      <c r="H109" s="37" t="s">
        <v>389</v>
      </c>
      <c r="I109" s="37" t="s">
        <v>439</v>
      </c>
    </row>
    <row r="110" customFormat="false" ht="26.25" hidden="false" customHeight="true" outlineLevel="0" collapsed="false">
      <c r="A110" s="37" t="s">
        <v>517</v>
      </c>
      <c r="B110" s="38" t="n">
        <v>2026</v>
      </c>
      <c r="C110" s="37" t="s">
        <v>73</v>
      </c>
      <c r="D110" s="38" t="n">
        <v>1</v>
      </c>
      <c r="E110" s="38" t="n">
        <v>188</v>
      </c>
      <c r="F110" s="38" t="n">
        <v>92</v>
      </c>
      <c r="G110" s="37" t="s">
        <v>469</v>
      </c>
      <c r="H110" s="37" t="s">
        <v>389</v>
      </c>
      <c r="I110" s="37" t="s">
        <v>455</v>
      </c>
    </row>
    <row r="111" customFormat="false" ht="26.25" hidden="false" customHeight="true" outlineLevel="0" collapsed="false">
      <c r="A111" s="37" t="s">
        <v>518</v>
      </c>
      <c r="B111" s="38" t="n">
        <v>2026</v>
      </c>
      <c r="C111" s="37" t="s">
        <v>73</v>
      </c>
      <c r="D111" s="38" t="n">
        <v>2</v>
      </c>
      <c r="E111" s="38" t="n">
        <v>188</v>
      </c>
      <c r="F111" s="38" t="n">
        <v>92</v>
      </c>
      <c r="G111" s="37" t="s">
        <v>469</v>
      </c>
      <c r="H111" s="37" t="s">
        <v>389</v>
      </c>
      <c r="I111" s="37" t="s">
        <v>455</v>
      </c>
    </row>
    <row r="112" customFormat="false" ht="26.25" hidden="false" customHeight="true" outlineLevel="0" collapsed="false">
      <c r="A112" s="37" t="s">
        <v>519</v>
      </c>
      <c r="B112" s="38" t="n">
        <v>2026</v>
      </c>
      <c r="C112" s="37" t="s">
        <v>73</v>
      </c>
      <c r="D112" s="38" t="n">
        <v>3</v>
      </c>
      <c r="E112" s="38" t="n">
        <v>188</v>
      </c>
      <c r="F112" s="38" t="n">
        <v>92</v>
      </c>
      <c r="G112" s="37" t="s">
        <v>469</v>
      </c>
      <c r="H112" s="37" t="s">
        <v>389</v>
      </c>
      <c r="I112" s="37" t="s">
        <v>455</v>
      </c>
    </row>
    <row r="113" customFormat="false" ht="26.25" hidden="false" customHeight="true" outlineLevel="0" collapsed="false">
      <c r="A113" s="37" t="s">
        <v>520</v>
      </c>
      <c r="B113" s="38" t="n">
        <v>2026</v>
      </c>
      <c r="C113" s="37" t="s">
        <v>73</v>
      </c>
      <c r="D113" s="38" t="n">
        <v>4</v>
      </c>
      <c r="E113" s="38" t="n">
        <v>188</v>
      </c>
      <c r="F113" s="38" t="n">
        <v>92</v>
      </c>
      <c r="G113" s="37" t="s">
        <v>469</v>
      </c>
      <c r="H113" s="37" t="s">
        <v>389</v>
      </c>
      <c r="I113" s="37" t="s">
        <v>455</v>
      </c>
    </row>
    <row r="114" customFormat="false" ht="26.25" hidden="false" customHeight="true" outlineLevel="0" collapsed="false">
      <c r="A114" s="37" t="s">
        <v>521</v>
      </c>
      <c r="B114" s="38" t="n">
        <v>2026</v>
      </c>
      <c r="C114" s="37" t="s">
        <v>73</v>
      </c>
      <c r="D114" s="38" t="n">
        <v>5</v>
      </c>
      <c r="E114" s="38" t="n">
        <v>188</v>
      </c>
      <c r="F114" s="38" t="n">
        <v>92</v>
      </c>
      <c r="G114" s="37" t="s">
        <v>469</v>
      </c>
      <c r="H114" s="37" t="s">
        <v>389</v>
      </c>
      <c r="I114" s="37" t="s">
        <v>455</v>
      </c>
    </row>
    <row r="115" customFormat="false" ht="26.25" hidden="false" customHeight="true" outlineLevel="0" collapsed="false">
      <c r="A115" s="37" t="s">
        <v>522</v>
      </c>
      <c r="B115" s="38" t="n">
        <v>2026</v>
      </c>
      <c r="C115" s="37" t="s">
        <v>73</v>
      </c>
      <c r="D115" s="38" t="n">
        <v>6</v>
      </c>
      <c r="E115" s="38" t="n">
        <v>248</v>
      </c>
      <c r="F115" s="38" t="n">
        <v>92</v>
      </c>
      <c r="G115" s="37" t="s">
        <v>469</v>
      </c>
      <c r="H115" s="37" t="s">
        <v>389</v>
      </c>
      <c r="I115" s="37" t="s">
        <v>461</v>
      </c>
    </row>
    <row r="116" customFormat="false" ht="26.25" hidden="false" customHeight="true" outlineLevel="0" collapsed="false">
      <c r="A116" s="37" t="s">
        <v>523</v>
      </c>
      <c r="B116" s="38" t="n">
        <v>2026</v>
      </c>
      <c r="C116" s="37" t="s">
        <v>73</v>
      </c>
      <c r="D116" s="38" t="n">
        <v>7</v>
      </c>
      <c r="E116" s="38" t="n">
        <v>248</v>
      </c>
      <c r="F116" s="38" t="n">
        <v>92</v>
      </c>
      <c r="G116" s="37" t="s">
        <v>469</v>
      </c>
      <c r="H116" s="37" t="s">
        <v>389</v>
      </c>
      <c r="I116" s="37" t="s">
        <v>461</v>
      </c>
    </row>
    <row r="117" customFormat="false" ht="26.25" hidden="false" customHeight="true" outlineLevel="0" collapsed="false">
      <c r="A117" s="37" t="s">
        <v>524</v>
      </c>
      <c r="B117" s="38" t="n">
        <v>2026</v>
      </c>
      <c r="C117" s="37" t="s">
        <v>73</v>
      </c>
      <c r="D117" s="38" t="n">
        <v>8</v>
      </c>
      <c r="E117" s="38" t="n">
        <v>248</v>
      </c>
      <c r="F117" s="38" t="n">
        <v>92</v>
      </c>
      <c r="G117" s="37" t="s">
        <v>469</v>
      </c>
      <c r="H117" s="37" t="s">
        <v>389</v>
      </c>
      <c r="I117" s="37" t="s">
        <v>461</v>
      </c>
    </row>
    <row r="118" customFormat="false" ht="26.25" hidden="false" customHeight="true" outlineLevel="0" collapsed="false">
      <c r="A118" s="37" t="s">
        <v>525</v>
      </c>
      <c r="B118" s="38" t="n">
        <v>2026</v>
      </c>
      <c r="C118" s="37" t="s">
        <v>73</v>
      </c>
      <c r="D118" s="38" t="n">
        <v>9</v>
      </c>
      <c r="E118" s="38" t="n">
        <v>248</v>
      </c>
      <c r="F118" s="38" t="n">
        <v>92</v>
      </c>
      <c r="G118" s="37" t="s">
        <v>469</v>
      </c>
      <c r="H118" s="37" t="s">
        <v>389</v>
      </c>
      <c r="I118" s="37" t="s">
        <v>461</v>
      </c>
    </row>
    <row r="119" customFormat="false" ht="26.25" hidden="false" customHeight="true" outlineLevel="0" collapsed="false">
      <c r="A119" s="37" t="s">
        <v>526</v>
      </c>
      <c r="B119" s="38" t="n">
        <v>2026</v>
      </c>
      <c r="C119" s="37" t="s">
        <v>73</v>
      </c>
      <c r="D119" s="38" t="n">
        <v>10</v>
      </c>
      <c r="E119" s="38" t="n">
        <v>188</v>
      </c>
      <c r="F119" s="38" t="n">
        <v>92</v>
      </c>
      <c r="G119" s="37" t="s">
        <v>469</v>
      </c>
      <c r="H119" s="37" t="s">
        <v>389</v>
      </c>
      <c r="I119" s="37" t="s">
        <v>455</v>
      </c>
    </row>
    <row r="120" customFormat="false" ht="26.25" hidden="false" customHeight="true" outlineLevel="0" collapsed="false">
      <c r="A120" s="37" t="s">
        <v>527</v>
      </c>
      <c r="B120" s="38" t="n">
        <v>2026</v>
      </c>
      <c r="C120" s="37" t="s">
        <v>73</v>
      </c>
      <c r="D120" s="38" t="n">
        <v>11</v>
      </c>
      <c r="E120" s="38" t="n">
        <v>188</v>
      </c>
      <c r="F120" s="38" t="n">
        <v>92</v>
      </c>
      <c r="G120" s="37" t="s">
        <v>469</v>
      </c>
      <c r="H120" s="37" t="s">
        <v>389</v>
      </c>
      <c r="I120" s="37" t="s">
        <v>455</v>
      </c>
    </row>
    <row r="121" customFormat="false" ht="26.25" hidden="false" customHeight="true" outlineLevel="0" collapsed="false">
      <c r="A121" s="37" t="s">
        <v>528</v>
      </c>
      <c r="B121" s="38" t="n">
        <v>2026</v>
      </c>
      <c r="C121" s="37" t="s">
        <v>73</v>
      </c>
      <c r="D121" s="38" t="n">
        <v>12</v>
      </c>
      <c r="E121" s="38" t="n">
        <v>188</v>
      </c>
      <c r="F121" s="38" t="n">
        <v>92</v>
      </c>
      <c r="G121" s="37" t="s">
        <v>469</v>
      </c>
      <c r="H121" s="37" t="s">
        <v>389</v>
      </c>
      <c r="I121" s="37" t="s">
        <v>455</v>
      </c>
    </row>
    <row r="122" customFormat="false" ht="26.25" hidden="false" customHeight="true" outlineLevel="0" collapsed="false">
      <c r="A122" s="37" t="s">
        <v>529</v>
      </c>
      <c r="B122" s="38" t="n">
        <v>2027</v>
      </c>
      <c r="C122" s="37" t="s">
        <v>70</v>
      </c>
      <c r="D122" s="38" t="n">
        <v>1</v>
      </c>
      <c r="E122" s="38" t="n">
        <v>165</v>
      </c>
      <c r="F122" s="38" t="n">
        <v>86</v>
      </c>
      <c r="G122" s="37" t="s">
        <v>317</v>
      </c>
      <c r="H122" s="37" t="s">
        <v>530</v>
      </c>
      <c r="I122" s="37" t="s">
        <v>531</v>
      </c>
    </row>
    <row r="123" customFormat="false" ht="26.25" hidden="false" customHeight="true" outlineLevel="0" collapsed="false">
      <c r="A123" s="37" t="s">
        <v>532</v>
      </c>
      <c r="B123" s="38" t="n">
        <v>2027</v>
      </c>
      <c r="C123" s="37" t="s">
        <v>70</v>
      </c>
      <c r="D123" s="38" t="n">
        <v>2</v>
      </c>
      <c r="E123" s="38" t="n">
        <v>232</v>
      </c>
      <c r="F123" s="38" t="n">
        <v>86</v>
      </c>
      <c r="G123" s="37" t="s">
        <v>317</v>
      </c>
      <c r="H123" s="37" t="s">
        <v>530</v>
      </c>
      <c r="I123" s="37" t="s">
        <v>533</v>
      </c>
    </row>
    <row r="124" customFormat="false" ht="26.25" hidden="false" customHeight="true" outlineLevel="0" collapsed="false">
      <c r="A124" s="37" t="s">
        <v>534</v>
      </c>
      <c r="B124" s="38" t="n">
        <v>2027</v>
      </c>
      <c r="C124" s="37" t="s">
        <v>70</v>
      </c>
      <c r="D124" s="38" t="n">
        <v>3</v>
      </c>
      <c r="E124" s="38" t="n">
        <v>232</v>
      </c>
      <c r="F124" s="38" t="n">
        <v>86</v>
      </c>
      <c r="G124" s="37" t="s">
        <v>317</v>
      </c>
      <c r="H124" s="37" t="s">
        <v>530</v>
      </c>
      <c r="I124" s="37" t="s">
        <v>533</v>
      </c>
    </row>
    <row r="125" customFormat="false" ht="26.25" hidden="false" customHeight="true" outlineLevel="0" collapsed="false">
      <c r="A125" s="37" t="s">
        <v>535</v>
      </c>
      <c r="B125" s="38" t="n">
        <v>2027</v>
      </c>
      <c r="C125" s="37" t="s">
        <v>70</v>
      </c>
      <c r="D125" s="38" t="n">
        <v>4</v>
      </c>
      <c r="E125" s="38" t="n">
        <v>171</v>
      </c>
      <c r="F125" s="38" t="n">
        <v>86</v>
      </c>
      <c r="G125" s="37" t="s">
        <v>317</v>
      </c>
      <c r="H125" s="37" t="s">
        <v>530</v>
      </c>
      <c r="I125" s="37" t="s">
        <v>390</v>
      </c>
    </row>
    <row r="126" customFormat="false" ht="26.25" hidden="false" customHeight="true" outlineLevel="0" collapsed="false">
      <c r="A126" s="37" t="s">
        <v>536</v>
      </c>
      <c r="B126" s="38" t="n">
        <v>2027</v>
      </c>
      <c r="C126" s="37" t="s">
        <v>70</v>
      </c>
      <c r="D126" s="38" t="n">
        <v>5</v>
      </c>
      <c r="E126" s="38" t="n">
        <v>171</v>
      </c>
      <c r="F126" s="38" t="n">
        <v>86</v>
      </c>
      <c r="G126" s="37" t="s">
        <v>317</v>
      </c>
      <c r="H126" s="37" t="s">
        <v>530</v>
      </c>
      <c r="I126" s="37" t="s">
        <v>390</v>
      </c>
    </row>
    <row r="127" customFormat="false" ht="26.25" hidden="false" customHeight="true" outlineLevel="0" collapsed="false">
      <c r="A127" s="37" t="s">
        <v>537</v>
      </c>
      <c r="B127" s="38" t="n">
        <v>2027</v>
      </c>
      <c r="C127" s="37" t="s">
        <v>70</v>
      </c>
      <c r="D127" s="38" t="n">
        <v>6</v>
      </c>
      <c r="E127" s="38" t="n">
        <v>122</v>
      </c>
      <c r="F127" s="38" t="n">
        <v>86</v>
      </c>
      <c r="G127" s="37" t="s">
        <v>317</v>
      </c>
      <c r="H127" s="37" t="s">
        <v>530</v>
      </c>
      <c r="I127" s="37" t="s">
        <v>392</v>
      </c>
    </row>
    <row r="128" customFormat="false" ht="26.25" hidden="false" customHeight="true" outlineLevel="0" collapsed="false">
      <c r="A128" s="37" t="s">
        <v>538</v>
      </c>
      <c r="B128" s="38" t="n">
        <v>2027</v>
      </c>
      <c r="C128" s="37" t="s">
        <v>70</v>
      </c>
      <c r="D128" s="38" t="n">
        <v>7</v>
      </c>
      <c r="E128" s="38" t="n">
        <v>122</v>
      </c>
      <c r="F128" s="38" t="n">
        <v>86</v>
      </c>
      <c r="G128" s="37" t="s">
        <v>317</v>
      </c>
      <c r="H128" s="37" t="s">
        <v>530</v>
      </c>
      <c r="I128" s="37" t="s">
        <v>392</v>
      </c>
    </row>
    <row r="129" customFormat="false" ht="26.25" hidden="false" customHeight="true" outlineLevel="0" collapsed="false">
      <c r="A129" s="37" t="s">
        <v>539</v>
      </c>
      <c r="B129" s="38" t="n">
        <v>2027</v>
      </c>
      <c r="C129" s="37" t="s">
        <v>70</v>
      </c>
      <c r="D129" s="38" t="n">
        <v>8</v>
      </c>
      <c r="E129" s="38" t="n">
        <v>122</v>
      </c>
      <c r="F129" s="38" t="n">
        <v>86</v>
      </c>
      <c r="G129" s="37" t="s">
        <v>317</v>
      </c>
      <c r="H129" s="37" t="s">
        <v>530</v>
      </c>
      <c r="I129" s="37" t="s">
        <v>392</v>
      </c>
    </row>
    <row r="130" customFormat="false" ht="26.25" hidden="false" customHeight="true" outlineLevel="0" collapsed="false">
      <c r="A130" s="37" t="s">
        <v>540</v>
      </c>
      <c r="B130" s="38" t="n">
        <v>2027</v>
      </c>
      <c r="C130" s="37" t="s">
        <v>70</v>
      </c>
      <c r="D130" s="38" t="n">
        <v>9</v>
      </c>
      <c r="E130" s="38" t="n">
        <v>165</v>
      </c>
      <c r="F130" s="38" t="n">
        <v>86</v>
      </c>
      <c r="G130" s="37" t="s">
        <v>317</v>
      </c>
      <c r="H130" s="37" t="s">
        <v>530</v>
      </c>
      <c r="I130" s="37" t="s">
        <v>395</v>
      </c>
    </row>
    <row r="131" customFormat="false" ht="26.25" hidden="false" customHeight="true" outlineLevel="0" collapsed="false">
      <c r="A131" s="37" t="s">
        <v>541</v>
      </c>
      <c r="B131" s="38" t="n">
        <v>2027</v>
      </c>
      <c r="C131" s="37" t="s">
        <v>70</v>
      </c>
      <c r="D131" s="38" t="n">
        <v>10</v>
      </c>
      <c r="E131" s="38" t="n">
        <v>165</v>
      </c>
      <c r="F131" s="38" t="n">
        <v>86</v>
      </c>
      <c r="G131" s="37" t="s">
        <v>317</v>
      </c>
      <c r="H131" s="37" t="s">
        <v>530</v>
      </c>
      <c r="I131" s="37" t="s">
        <v>531</v>
      </c>
    </row>
    <row r="132" customFormat="false" ht="26.25" hidden="false" customHeight="true" outlineLevel="0" collapsed="false">
      <c r="A132" s="37" t="s">
        <v>542</v>
      </c>
      <c r="B132" s="38" t="n">
        <v>2027</v>
      </c>
      <c r="C132" s="37" t="s">
        <v>70</v>
      </c>
      <c r="D132" s="38" t="n">
        <v>11</v>
      </c>
      <c r="E132" s="38" t="n">
        <v>165</v>
      </c>
      <c r="F132" s="38" t="n">
        <v>86</v>
      </c>
      <c r="G132" s="37" t="s">
        <v>317</v>
      </c>
      <c r="H132" s="37" t="s">
        <v>530</v>
      </c>
      <c r="I132" s="37" t="s">
        <v>531</v>
      </c>
    </row>
    <row r="133" customFormat="false" ht="26.25" hidden="false" customHeight="true" outlineLevel="0" collapsed="false">
      <c r="A133" s="37" t="s">
        <v>543</v>
      </c>
      <c r="B133" s="38" t="n">
        <v>2027</v>
      </c>
      <c r="C133" s="37" t="s">
        <v>70</v>
      </c>
      <c r="D133" s="38" t="n">
        <v>12</v>
      </c>
      <c r="E133" s="38" t="n">
        <v>165</v>
      </c>
      <c r="F133" s="38" t="n">
        <v>86</v>
      </c>
      <c r="G133" s="37" t="s">
        <v>317</v>
      </c>
      <c r="H133" s="37" t="s">
        <v>530</v>
      </c>
      <c r="I133" s="37" t="s">
        <v>531</v>
      </c>
    </row>
    <row r="134" customFormat="false" ht="26.25" hidden="false" customHeight="true" outlineLevel="0" collapsed="false">
      <c r="A134" s="37" t="s">
        <v>544</v>
      </c>
      <c r="B134" s="38" t="n">
        <v>2027</v>
      </c>
      <c r="C134" s="37" t="s">
        <v>65</v>
      </c>
      <c r="D134" s="38" t="n">
        <v>1</v>
      </c>
      <c r="E134" s="38" t="n">
        <v>170</v>
      </c>
      <c r="F134" s="38" t="n">
        <v>92</v>
      </c>
      <c r="G134" s="37" t="s">
        <v>317</v>
      </c>
      <c r="H134" s="37" t="s">
        <v>530</v>
      </c>
      <c r="I134" s="37" t="s">
        <v>545</v>
      </c>
    </row>
    <row r="135" customFormat="false" ht="26.25" hidden="false" customHeight="true" outlineLevel="0" collapsed="false">
      <c r="A135" s="37" t="s">
        <v>546</v>
      </c>
      <c r="B135" s="38" t="n">
        <v>2027</v>
      </c>
      <c r="C135" s="37" t="s">
        <v>65</v>
      </c>
      <c r="D135" s="38" t="n">
        <v>2</v>
      </c>
      <c r="E135" s="38" t="n">
        <v>170</v>
      </c>
      <c r="F135" s="38" t="n">
        <v>92</v>
      </c>
      <c r="G135" s="37" t="s">
        <v>317</v>
      </c>
      <c r="H135" s="37" t="s">
        <v>530</v>
      </c>
      <c r="I135" s="37" t="s">
        <v>545</v>
      </c>
    </row>
    <row r="136" customFormat="false" ht="26.25" hidden="false" customHeight="true" outlineLevel="0" collapsed="false">
      <c r="A136" s="37" t="s">
        <v>547</v>
      </c>
      <c r="B136" s="38" t="n">
        <v>2027</v>
      </c>
      <c r="C136" s="37" t="s">
        <v>65</v>
      </c>
      <c r="D136" s="38" t="n">
        <v>3</v>
      </c>
      <c r="E136" s="38" t="n">
        <v>170</v>
      </c>
      <c r="F136" s="38" t="n">
        <v>92</v>
      </c>
      <c r="G136" s="37" t="s">
        <v>317</v>
      </c>
      <c r="H136" s="37" t="s">
        <v>530</v>
      </c>
      <c r="I136" s="37" t="s">
        <v>545</v>
      </c>
    </row>
    <row r="137" customFormat="false" ht="26.25" hidden="false" customHeight="true" outlineLevel="0" collapsed="false">
      <c r="A137" s="37" t="s">
        <v>548</v>
      </c>
      <c r="B137" s="38" t="n">
        <v>2027</v>
      </c>
      <c r="C137" s="37" t="s">
        <v>65</v>
      </c>
      <c r="D137" s="38" t="n">
        <v>4</v>
      </c>
      <c r="E137" s="38" t="n">
        <v>227</v>
      </c>
      <c r="F137" s="38" t="n">
        <v>92</v>
      </c>
      <c r="G137" s="37" t="s">
        <v>317</v>
      </c>
      <c r="H137" s="37" t="s">
        <v>530</v>
      </c>
      <c r="I137" s="37" t="s">
        <v>549</v>
      </c>
    </row>
    <row r="138" customFormat="false" ht="26.25" hidden="false" customHeight="true" outlineLevel="0" collapsed="false">
      <c r="A138" s="37" t="s">
        <v>550</v>
      </c>
      <c r="B138" s="38" t="n">
        <v>2027</v>
      </c>
      <c r="C138" s="37" t="s">
        <v>65</v>
      </c>
      <c r="D138" s="38" t="n">
        <v>5</v>
      </c>
      <c r="E138" s="38" t="n">
        <v>227</v>
      </c>
      <c r="F138" s="38" t="n">
        <v>92</v>
      </c>
      <c r="G138" s="37" t="s">
        <v>317</v>
      </c>
      <c r="H138" s="37" t="s">
        <v>530</v>
      </c>
      <c r="I138" s="37" t="s">
        <v>549</v>
      </c>
    </row>
    <row r="139" customFormat="false" ht="26.25" hidden="false" customHeight="true" outlineLevel="0" collapsed="false">
      <c r="A139" s="37" t="s">
        <v>551</v>
      </c>
      <c r="B139" s="38" t="n">
        <v>2027</v>
      </c>
      <c r="C139" s="37" t="s">
        <v>65</v>
      </c>
      <c r="D139" s="38" t="n">
        <v>6</v>
      </c>
      <c r="E139" s="38" t="n">
        <v>227</v>
      </c>
      <c r="F139" s="38" t="n">
        <v>92</v>
      </c>
      <c r="G139" s="37" t="s">
        <v>317</v>
      </c>
      <c r="H139" s="37" t="s">
        <v>530</v>
      </c>
      <c r="I139" s="37" t="s">
        <v>549</v>
      </c>
    </row>
    <row r="140" customFormat="false" ht="26.25" hidden="false" customHeight="true" outlineLevel="0" collapsed="false">
      <c r="A140" s="37" t="s">
        <v>552</v>
      </c>
      <c r="B140" s="38" t="n">
        <v>2027</v>
      </c>
      <c r="C140" s="37" t="s">
        <v>65</v>
      </c>
      <c r="D140" s="38" t="n">
        <v>7</v>
      </c>
      <c r="E140" s="38" t="n">
        <v>227</v>
      </c>
      <c r="F140" s="38" t="n">
        <v>92</v>
      </c>
      <c r="G140" s="37" t="s">
        <v>317</v>
      </c>
      <c r="H140" s="37" t="s">
        <v>530</v>
      </c>
      <c r="I140" s="37" t="s">
        <v>549</v>
      </c>
    </row>
    <row r="141" customFormat="false" ht="26.25" hidden="false" customHeight="true" outlineLevel="0" collapsed="false">
      <c r="A141" s="37" t="s">
        <v>553</v>
      </c>
      <c r="B141" s="38" t="n">
        <v>2027</v>
      </c>
      <c r="C141" s="37" t="s">
        <v>65</v>
      </c>
      <c r="D141" s="38" t="n">
        <v>8</v>
      </c>
      <c r="E141" s="38" t="n">
        <v>227</v>
      </c>
      <c r="F141" s="38" t="n">
        <v>92</v>
      </c>
      <c r="G141" s="37" t="s">
        <v>317</v>
      </c>
      <c r="H141" s="37" t="s">
        <v>530</v>
      </c>
      <c r="I141" s="37" t="s">
        <v>549</v>
      </c>
    </row>
    <row r="142" customFormat="false" ht="26.25" hidden="false" customHeight="true" outlineLevel="0" collapsed="false">
      <c r="A142" s="37" t="s">
        <v>554</v>
      </c>
      <c r="B142" s="38" t="n">
        <v>2027</v>
      </c>
      <c r="C142" s="37" t="s">
        <v>65</v>
      </c>
      <c r="D142" s="38" t="n">
        <v>9</v>
      </c>
      <c r="E142" s="38" t="n">
        <v>227</v>
      </c>
      <c r="F142" s="38" t="n">
        <v>92</v>
      </c>
      <c r="G142" s="37" t="s">
        <v>317</v>
      </c>
      <c r="H142" s="37" t="s">
        <v>530</v>
      </c>
      <c r="I142" s="37" t="s">
        <v>549</v>
      </c>
    </row>
    <row r="143" customFormat="false" ht="26.25" hidden="false" customHeight="true" outlineLevel="0" collapsed="false">
      <c r="A143" s="37" t="s">
        <v>555</v>
      </c>
      <c r="B143" s="38" t="n">
        <v>2027</v>
      </c>
      <c r="C143" s="37" t="s">
        <v>65</v>
      </c>
      <c r="D143" s="38" t="n">
        <v>10</v>
      </c>
      <c r="E143" s="38" t="n">
        <v>227</v>
      </c>
      <c r="F143" s="38" t="n">
        <v>92</v>
      </c>
      <c r="G143" s="37" t="s">
        <v>317</v>
      </c>
      <c r="H143" s="37" t="s">
        <v>530</v>
      </c>
      <c r="I143" s="37" t="s">
        <v>411</v>
      </c>
    </row>
    <row r="144" customFormat="false" ht="26.25" hidden="false" customHeight="true" outlineLevel="0" collapsed="false">
      <c r="A144" s="37" t="s">
        <v>556</v>
      </c>
      <c r="B144" s="38" t="n">
        <v>2027</v>
      </c>
      <c r="C144" s="37" t="s">
        <v>65</v>
      </c>
      <c r="D144" s="38" t="n">
        <v>11</v>
      </c>
      <c r="E144" s="38" t="n">
        <v>170</v>
      </c>
      <c r="F144" s="38" t="n">
        <v>92</v>
      </c>
      <c r="G144" s="37" t="s">
        <v>317</v>
      </c>
      <c r="H144" s="37" t="s">
        <v>530</v>
      </c>
      <c r="I144" s="37" t="s">
        <v>545</v>
      </c>
    </row>
    <row r="145" customFormat="false" ht="26.25" hidden="false" customHeight="true" outlineLevel="0" collapsed="false">
      <c r="A145" s="37" t="s">
        <v>557</v>
      </c>
      <c r="B145" s="38" t="n">
        <v>2027</v>
      </c>
      <c r="C145" s="37" t="s">
        <v>65</v>
      </c>
      <c r="D145" s="38" t="n">
        <v>12</v>
      </c>
      <c r="E145" s="38" t="n">
        <v>170</v>
      </c>
      <c r="F145" s="38" t="n">
        <v>92</v>
      </c>
      <c r="G145" s="37" t="s">
        <v>317</v>
      </c>
      <c r="H145" s="37" t="s">
        <v>530</v>
      </c>
      <c r="I145" s="37" t="s">
        <v>545</v>
      </c>
    </row>
    <row r="146" customFormat="false" ht="26.25" hidden="false" customHeight="true" outlineLevel="0" collapsed="false">
      <c r="A146" s="37" t="s">
        <v>558</v>
      </c>
      <c r="B146" s="38" t="n">
        <v>2027</v>
      </c>
      <c r="C146" s="37" t="s">
        <v>61</v>
      </c>
      <c r="D146" s="38" t="n">
        <v>1</v>
      </c>
      <c r="E146" s="38" t="n">
        <v>148</v>
      </c>
      <c r="F146" s="38" t="n">
        <v>92</v>
      </c>
      <c r="G146" s="37" t="s">
        <v>317</v>
      </c>
      <c r="H146" s="37" t="s">
        <v>530</v>
      </c>
      <c r="I146" s="37" t="s">
        <v>430</v>
      </c>
    </row>
    <row r="147" customFormat="false" ht="26.25" hidden="false" customHeight="true" outlineLevel="0" collapsed="false">
      <c r="A147" s="37" t="s">
        <v>559</v>
      </c>
      <c r="B147" s="38" t="n">
        <v>2027</v>
      </c>
      <c r="C147" s="37" t="s">
        <v>61</v>
      </c>
      <c r="D147" s="38" t="n">
        <v>2</v>
      </c>
      <c r="E147" s="38" t="n">
        <v>148</v>
      </c>
      <c r="F147" s="38" t="n">
        <v>92</v>
      </c>
      <c r="G147" s="37" t="s">
        <v>317</v>
      </c>
      <c r="H147" s="37" t="s">
        <v>530</v>
      </c>
      <c r="I147" s="37" t="s">
        <v>430</v>
      </c>
    </row>
    <row r="148" customFormat="false" ht="26.25" hidden="false" customHeight="true" outlineLevel="0" collapsed="false">
      <c r="A148" s="37" t="s">
        <v>560</v>
      </c>
      <c r="B148" s="38" t="n">
        <v>2027</v>
      </c>
      <c r="C148" s="37" t="s">
        <v>61</v>
      </c>
      <c r="D148" s="38" t="n">
        <v>3</v>
      </c>
      <c r="E148" s="38" t="n">
        <v>148</v>
      </c>
      <c r="F148" s="38" t="n">
        <v>92</v>
      </c>
      <c r="G148" s="37" t="s">
        <v>317</v>
      </c>
      <c r="H148" s="37" t="s">
        <v>530</v>
      </c>
      <c r="I148" s="37" t="s">
        <v>430</v>
      </c>
    </row>
    <row r="149" customFormat="false" ht="26.25" hidden="false" customHeight="true" outlineLevel="0" collapsed="false">
      <c r="A149" s="37" t="s">
        <v>561</v>
      </c>
      <c r="B149" s="38" t="n">
        <v>2027</v>
      </c>
      <c r="C149" s="37" t="s">
        <v>61</v>
      </c>
      <c r="D149" s="38" t="n">
        <v>4</v>
      </c>
      <c r="E149" s="38" t="n">
        <v>238</v>
      </c>
      <c r="F149" s="38" t="n">
        <v>92</v>
      </c>
      <c r="G149" s="37" t="s">
        <v>317</v>
      </c>
      <c r="H149" s="37" t="s">
        <v>530</v>
      </c>
      <c r="I149" s="37" t="s">
        <v>433</v>
      </c>
    </row>
    <row r="150" customFormat="false" ht="26.25" hidden="false" customHeight="true" outlineLevel="0" collapsed="false">
      <c r="A150" s="37" t="s">
        <v>562</v>
      </c>
      <c r="B150" s="38" t="n">
        <v>2027</v>
      </c>
      <c r="C150" s="37" t="s">
        <v>61</v>
      </c>
      <c r="D150" s="38" t="n">
        <v>5</v>
      </c>
      <c r="E150" s="38" t="n">
        <v>238</v>
      </c>
      <c r="F150" s="38" t="n">
        <v>92</v>
      </c>
      <c r="G150" s="37" t="s">
        <v>317</v>
      </c>
      <c r="H150" s="37" t="s">
        <v>530</v>
      </c>
      <c r="I150" s="37" t="s">
        <v>433</v>
      </c>
    </row>
    <row r="151" customFormat="false" ht="26.25" hidden="false" customHeight="true" outlineLevel="0" collapsed="false">
      <c r="A151" s="37" t="s">
        <v>563</v>
      </c>
      <c r="B151" s="38" t="n">
        <v>2027</v>
      </c>
      <c r="C151" s="37" t="s">
        <v>61</v>
      </c>
      <c r="D151" s="38" t="n">
        <v>6</v>
      </c>
      <c r="E151" s="38" t="n">
        <v>238</v>
      </c>
      <c r="F151" s="38" t="n">
        <v>92</v>
      </c>
      <c r="G151" s="37" t="s">
        <v>317</v>
      </c>
      <c r="H151" s="37" t="s">
        <v>530</v>
      </c>
      <c r="I151" s="37" t="s">
        <v>433</v>
      </c>
    </row>
    <row r="152" customFormat="false" ht="26.25" hidden="false" customHeight="true" outlineLevel="0" collapsed="false">
      <c r="A152" s="37" t="s">
        <v>564</v>
      </c>
      <c r="B152" s="38" t="n">
        <v>2027</v>
      </c>
      <c r="C152" s="37" t="s">
        <v>61</v>
      </c>
      <c r="D152" s="38" t="n">
        <v>7</v>
      </c>
      <c r="E152" s="38" t="n">
        <v>213</v>
      </c>
      <c r="F152" s="38" t="n">
        <v>92</v>
      </c>
      <c r="G152" s="37" t="s">
        <v>317</v>
      </c>
      <c r="H152" s="37" t="s">
        <v>530</v>
      </c>
      <c r="I152" s="37" t="s">
        <v>565</v>
      </c>
    </row>
    <row r="153" customFormat="false" ht="26.25" hidden="false" customHeight="true" outlineLevel="0" collapsed="false">
      <c r="A153" s="37" t="s">
        <v>566</v>
      </c>
      <c r="B153" s="38" t="n">
        <v>2027</v>
      </c>
      <c r="C153" s="37" t="s">
        <v>61</v>
      </c>
      <c r="D153" s="38" t="n">
        <v>8</v>
      </c>
      <c r="E153" s="38" t="n">
        <v>213</v>
      </c>
      <c r="F153" s="38" t="n">
        <v>92</v>
      </c>
      <c r="G153" s="37" t="s">
        <v>317</v>
      </c>
      <c r="H153" s="37" t="s">
        <v>530</v>
      </c>
      <c r="I153" s="37" t="s">
        <v>565</v>
      </c>
    </row>
    <row r="154" customFormat="false" ht="26.25" hidden="false" customHeight="true" outlineLevel="0" collapsed="false">
      <c r="A154" s="37" t="s">
        <v>567</v>
      </c>
      <c r="B154" s="38" t="n">
        <v>2027</v>
      </c>
      <c r="C154" s="37" t="s">
        <v>61</v>
      </c>
      <c r="D154" s="38" t="n">
        <v>9</v>
      </c>
      <c r="E154" s="38" t="n">
        <v>232</v>
      </c>
      <c r="F154" s="38" t="n">
        <v>92</v>
      </c>
      <c r="G154" s="37" t="s">
        <v>317</v>
      </c>
      <c r="H154" s="37" t="s">
        <v>530</v>
      </c>
      <c r="I154" s="37" t="s">
        <v>568</v>
      </c>
    </row>
    <row r="155" customFormat="false" ht="26.25" hidden="false" customHeight="true" outlineLevel="0" collapsed="false">
      <c r="A155" s="37" t="s">
        <v>569</v>
      </c>
      <c r="B155" s="38" t="n">
        <v>2027</v>
      </c>
      <c r="C155" s="37" t="s">
        <v>61</v>
      </c>
      <c r="D155" s="38" t="n">
        <v>10</v>
      </c>
      <c r="E155" s="38" t="n">
        <v>232</v>
      </c>
      <c r="F155" s="38" t="n">
        <v>92</v>
      </c>
      <c r="G155" s="37" t="s">
        <v>317</v>
      </c>
      <c r="H155" s="37" t="s">
        <v>530</v>
      </c>
      <c r="I155" s="37" t="s">
        <v>426</v>
      </c>
    </row>
    <row r="156" customFormat="false" ht="26.25" hidden="false" customHeight="true" outlineLevel="0" collapsed="false">
      <c r="A156" s="37" t="s">
        <v>570</v>
      </c>
      <c r="B156" s="38" t="n">
        <v>2027</v>
      </c>
      <c r="C156" s="37" t="s">
        <v>61</v>
      </c>
      <c r="D156" s="38" t="n">
        <v>11</v>
      </c>
      <c r="E156" s="38" t="n">
        <v>232</v>
      </c>
      <c r="F156" s="38" t="n">
        <v>92</v>
      </c>
      <c r="G156" s="37" t="s">
        <v>317</v>
      </c>
      <c r="H156" s="37" t="s">
        <v>530</v>
      </c>
      <c r="I156" s="37" t="s">
        <v>426</v>
      </c>
    </row>
    <row r="157" customFormat="false" ht="26.25" hidden="false" customHeight="true" outlineLevel="0" collapsed="false">
      <c r="A157" s="37" t="s">
        <v>571</v>
      </c>
      <c r="B157" s="38" t="n">
        <v>2027</v>
      </c>
      <c r="C157" s="37" t="s">
        <v>61</v>
      </c>
      <c r="D157" s="38" t="n">
        <v>12</v>
      </c>
      <c r="E157" s="38" t="n">
        <v>148</v>
      </c>
      <c r="F157" s="38" t="n">
        <v>92</v>
      </c>
      <c r="G157" s="37" t="s">
        <v>317</v>
      </c>
      <c r="H157" s="37" t="s">
        <v>530</v>
      </c>
      <c r="I157" s="37" t="s">
        <v>430</v>
      </c>
    </row>
    <row r="158" customFormat="false" ht="26.25" hidden="false" customHeight="true" outlineLevel="0" collapsed="false">
      <c r="A158" s="37" t="s">
        <v>572</v>
      </c>
      <c r="B158" s="38" t="n">
        <v>2027</v>
      </c>
      <c r="C158" s="37" t="s">
        <v>56</v>
      </c>
      <c r="D158" s="38" t="n">
        <v>1</v>
      </c>
      <c r="E158" s="38" t="n">
        <v>213</v>
      </c>
      <c r="F158" s="38" t="n">
        <v>92</v>
      </c>
      <c r="G158" s="37" t="s">
        <v>317</v>
      </c>
      <c r="H158" s="37" t="s">
        <v>530</v>
      </c>
      <c r="I158" s="37" t="s">
        <v>442</v>
      </c>
    </row>
    <row r="159" customFormat="false" ht="26.25" hidden="false" customHeight="true" outlineLevel="0" collapsed="false">
      <c r="A159" s="37" t="s">
        <v>573</v>
      </c>
      <c r="B159" s="38" t="n">
        <v>2027</v>
      </c>
      <c r="C159" s="37" t="s">
        <v>56</v>
      </c>
      <c r="D159" s="38" t="n">
        <v>2</v>
      </c>
      <c r="E159" s="38" t="n">
        <v>213</v>
      </c>
      <c r="F159" s="38" t="n">
        <v>92</v>
      </c>
      <c r="G159" s="37" t="s">
        <v>317</v>
      </c>
      <c r="H159" s="37" t="s">
        <v>530</v>
      </c>
      <c r="I159" s="37" t="s">
        <v>442</v>
      </c>
    </row>
    <row r="160" customFormat="false" ht="26.25" hidden="false" customHeight="true" outlineLevel="0" collapsed="false">
      <c r="A160" s="37" t="s">
        <v>574</v>
      </c>
      <c r="B160" s="38" t="n">
        <v>2027</v>
      </c>
      <c r="C160" s="37" t="s">
        <v>56</v>
      </c>
      <c r="D160" s="38" t="n">
        <v>3</v>
      </c>
      <c r="E160" s="38" t="n">
        <v>305</v>
      </c>
      <c r="F160" s="38" t="n">
        <v>92</v>
      </c>
      <c r="G160" s="37" t="s">
        <v>317</v>
      </c>
      <c r="H160" s="37" t="s">
        <v>530</v>
      </c>
      <c r="I160" s="37" t="s">
        <v>449</v>
      </c>
    </row>
    <row r="161" customFormat="false" ht="26.25" hidden="false" customHeight="true" outlineLevel="0" collapsed="false">
      <c r="A161" s="37" t="s">
        <v>575</v>
      </c>
      <c r="B161" s="38" t="n">
        <v>2027</v>
      </c>
      <c r="C161" s="37" t="s">
        <v>56</v>
      </c>
      <c r="D161" s="38" t="n">
        <v>4</v>
      </c>
      <c r="E161" s="38" t="n">
        <v>305</v>
      </c>
      <c r="F161" s="38" t="n">
        <v>92</v>
      </c>
      <c r="G161" s="37" t="s">
        <v>317</v>
      </c>
      <c r="H161" s="37" t="s">
        <v>530</v>
      </c>
      <c r="I161" s="37" t="s">
        <v>449</v>
      </c>
    </row>
    <row r="162" customFormat="false" ht="26.25" hidden="false" customHeight="true" outlineLevel="0" collapsed="false">
      <c r="A162" s="37" t="s">
        <v>576</v>
      </c>
      <c r="B162" s="38" t="n">
        <v>2027</v>
      </c>
      <c r="C162" s="37" t="s">
        <v>56</v>
      </c>
      <c r="D162" s="38" t="n">
        <v>5</v>
      </c>
      <c r="E162" s="38" t="n">
        <v>305</v>
      </c>
      <c r="F162" s="38" t="n">
        <v>92</v>
      </c>
      <c r="G162" s="37" t="s">
        <v>317</v>
      </c>
      <c r="H162" s="37" t="s">
        <v>530</v>
      </c>
      <c r="I162" s="37" t="s">
        <v>449</v>
      </c>
    </row>
    <row r="163" customFormat="false" ht="26.25" hidden="false" customHeight="true" outlineLevel="0" collapsed="false">
      <c r="A163" s="37" t="s">
        <v>577</v>
      </c>
      <c r="B163" s="38" t="n">
        <v>2027</v>
      </c>
      <c r="C163" s="37" t="s">
        <v>56</v>
      </c>
      <c r="D163" s="38" t="n">
        <v>6</v>
      </c>
      <c r="E163" s="38" t="n">
        <v>305</v>
      </c>
      <c r="F163" s="38" t="n">
        <v>92</v>
      </c>
      <c r="G163" s="37" t="s">
        <v>317</v>
      </c>
      <c r="H163" s="37" t="s">
        <v>530</v>
      </c>
      <c r="I163" s="37" t="s">
        <v>449</v>
      </c>
    </row>
    <row r="164" customFormat="false" ht="26.25" hidden="false" customHeight="true" outlineLevel="0" collapsed="false">
      <c r="A164" s="37" t="s">
        <v>578</v>
      </c>
      <c r="B164" s="38" t="n">
        <v>2027</v>
      </c>
      <c r="C164" s="37" t="s">
        <v>56</v>
      </c>
      <c r="D164" s="38" t="n">
        <v>7</v>
      </c>
      <c r="E164" s="38" t="n">
        <v>305</v>
      </c>
      <c r="F164" s="38" t="n">
        <v>92</v>
      </c>
      <c r="G164" s="37" t="s">
        <v>317</v>
      </c>
      <c r="H164" s="37" t="s">
        <v>530</v>
      </c>
      <c r="I164" s="37" t="s">
        <v>449</v>
      </c>
    </row>
    <row r="165" customFormat="false" ht="26.25" hidden="false" customHeight="true" outlineLevel="0" collapsed="false">
      <c r="A165" s="37" t="s">
        <v>579</v>
      </c>
      <c r="B165" s="38" t="n">
        <v>2027</v>
      </c>
      <c r="C165" s="37" t="s">
        <v>56</v>
      </c>
      <c r="D165" s="38" t="n">
        <v>8</v>
      </c>
      <c r="E165" s="38" t="n">
        <v>305</v>
      </c>
      <c r="F165" s="38" t="n">
        <v>92</v>
      </c>
      <c r="G165" s="37" t="s">
        <v>317</v>
      </c>
      <c r="H165" s="37" t="s">
        <v>530</v>
      </c>
      <c r="I165" s="37" t="s">
        <v>449</v>
      </c>
    </row>
    <row r="166" customFormat="false" ht="26.25" hidden="false" customHeight="true" outlineLevel="0" collapsed="false">
      <c r="A166" s="37" t="s">
        <v>580</v>
      </c>
      <c r="B166" s="38" t="n">
        <v>2027</v>
      </c>
      <c r="C166" s="37" t="s">
        <v>56</v>
      </c>
      <c r="D166" s="38" t="n">
        <v>9</v>
      </c>
      <c r="E166" s="38" t="n">
        <v>365</v>
      </c>
      <c r="F166" s="38" t="n">
        <v>92</v>
      </c>
      <c r="G166" s="37" t="s">
        <v>317</v>
      </c>
      <c r="H166" s="37" t="s">
        <v>530</v>
      </c>
      <c r="I166" s="37" t="s">
        <v>581</v>
      </c>
    </row>
    <row r="167" customFormat="false" ht="26.25" hidden="false" customHeight="true" outlineLevel="0" collapsed="false">
      <c r="A167" s="37" t="s">
        <v>582</v>
      </c>
      <c r="B167" s="38" t="n">
        <v>2027</v>
      </c>
      <c r="C167" s="37" t="s">
        <v>56</v>
      </c>
      <c r="D167" s="38" t="n">
        <v>10</v>
      </c>
      <c r="E167" s="38" t="n">
        <v>365</v>
      </c>
      <c r="F167" s="38" t="n">
        <v>92</v>
      </c>
      <c r="G167" s="37" t="s">
        <v>317</v>
      </c>
      <c r="H167" s="37" t="s">
        <v>530</v>
      </c>
      <c r="I167" s="37" t="s">
        <v>439</v>
      </c>
    </row>
    <row r="168" customFormat="false" ht="26.25" hidden="false" customHeight="true" outlineLevel="0" collapsed="false">
      <c r="A168" s="37" t="s">
        <v>583</v>
      </c>
      <c r="B168" s="38" t="n">
        <v>2027</v>
      </c>
      <c r="C168" s="37" t="s">
        <v>56</v>
      </c>
      <c r="D168" s="38" t="n">
        <v>11</v>
      </c>
      <c r="E168" s="38" t="n">
        <v>213</v>
      </c>
      <c r="F168" s="38" t="n">
        <v>92</v>
      </c>
      <c r="G168" s="37" t="s">
        <v>317</v>
      </c>
      <c r="H168" s="37" t="s">
        <v>530</v>
      </c>
      <c r="I168" s="37" t="s">
        <v>442</v>
      </c>
    </row>
    <row r="169" customFormat="false" ht="26.25" hidden="false" customHeight="true" outlineLevel="0" collapsed="false">
      <c r="A169" s="37" t="s">
        <v>584</v>
      </c>
      <c r="B169" s="38" t="n">
        <v>2027</v>
      </c>
      <c r="C169" s="37" t="s">
        <v>56</v>
      </c>
      <c r="D169" s="38" t="n">
        <v>12</v>
      </c>
      <c r="E169" s="38" t="n">
        <v>213</v>
      </c>
      <c r="F169" s="38" t="n">
        <v>92</v>
      </c>
      <c r="G169" s="37" t="s">
        <v>317</v>
      </c>
      <c r="H169" s="37" t="s">
        <v>530</v>
      </c>
      <c r="I169" s="37" t="s">
        <v>442</v>
      </c>
    </row>
    <row r="170" customFormat="false" ht="26.25" hidden="false" customHeight="true" outlineLevel="0" collapsed="false">
      <c r="A170" s="37" t="s">
        <v>585</v>
      </c>
      <c r="B170" s="38" t="n">
        <v>2027</v>
      </c>
      <c r="C170" s="37" t="s">
        <v>73</v>
      </c>
      <c r="D170" s="38" t="n">
        <v>1</v>
      </c>
      <c r="E170" s="38" t="n">
        <v>188</v>
      </c>
      <c r="F170" s="38" t="n">
        <v>92</v>
      </c>
      <c r="G170" s="37" t="s">
        <v>317</v>
      </c>
      <c r="H170" s="37" t="s">
        <v>530</v>
      </c>
      <c r="I170" s="37" t="s">
        <v>586</v>
      </c>
    </row>
    <row r="171" customFormat="false" ht="26.25" hidden="false" customHeight="true" outlineLevel="0" collapsed="false">
      <c r="A171" s="37" t="s">
        <v>587</v>
      </c>
      <c r="B171" s="38" t="n">
        <v>2027</v>
      </c>
      <c r="C171" s="37" t="s">
        <v>73</v>
      </c>
      <c r="D171" s="38" t="n">
        <v>2</v>
      </c>
      <c r="E171" s="38" t="n">
        <v>188</v>
      </c>
      <c r="F171" s="38" t="n">
        <v>92</v>
      </c>
      <c r="G171" s="37" t="s">
        <v>317</v>
      </c>
      <c r="H171" s="37" t="s">
        <v>530</v>
      </c>
      <c r="I171" s="37" t="s">
        <v>586</v>
      </c>
    </row>
    <row r="172" customFormat="false" ht="26.25" hidden="false" customHeight="true" outlineLevel="0" collapsed="false">
      <c r="A172" s="37" t="s">
        <v>588</v>
      </c>
      <c r="B172" s="38" t="n">
        <v>2027</v>
      </c>
      <c r="C172" s="37" t="s">
        <v>73</v>
      </c>
      <c r="D172" s="38" t="n">
        <v>3</v>
      </c>
      <c r="E172" s="38" t="n">
        <v>188</v>
      </c>
      <c r="F172" s="38" t="n">
        <v>92</v>
      </c>
      <c r="G172" s="37" t="s">
        <v>317</v>
      </c>
      <c r="H172" s="37" t="s">
        <v>530</v>
      </c>
      <c r="I172" s="37" t="s">
        <v>586</v>
      </c>
    </row>
    <row r="173" customFormat="false" ht="26.25" hidden="false" customHeight="true" outlineLevel="0" collapsed="false">
      <c r="A173" s="37" t="s">
        <v>589</v>
      </c>
      <c r="B173" s="38" t="n">
        <v>2027</v>
      </c>
      <c r="C173" s="37" t="s">
        <v>73</v>
      </c>
      <c r="D173" s="38" t="n">
        <v>4</v>
      </c>
      <c r="E173" s="38" t="n">
        <v>188</v>
      </c>
      <c r="F173" s="38" t="n">
        <v>92</v>
      </c>
      <c r="G173" s="37" t="s">
        <v>317</v>
      </c>
      <c r="H173" s="37" t="s">
        <v>530</v>
      </c>
      <c r="I173" s="37" t="s">
        <v>586</v>
      </c>
    </row>
    <row r="174" customFormat="false" ht="26.25" hidden="false" customHeight="true" outlineLevel="0" collapsed="false">
      <c r="A174" s="37" t="s">
        <v>590</v>
      </c>
      <c r="B174" s="38" t="n">
        <v>2027</v>
      </c>
      <c r="C174" s="37" t="s">
        <v>73</v>
      </c>
      <c r="D174" s="38" t="n">
        <v>5</v>
      </c>
      <c r="E174" s="38" t="n">
        <v>188</v>
      </c>
      <c r="F174" s="38" t="n">
        <v>92</v>
      </c>
      <c r="G174" s="37" t="s">
        <v>317</v>
      </c>
      <c r="H174" s="37" t="s">
        <v>530</v>
      </c>
      <c r="I174" s="37" t="s">
        <v>586</v>
      </c>
    </row>
    <row r="175" customFormat="false" ht="26.25" hidden="false" customHeight="true" outlineLevel="0" collapsed="false">
      <c r="A175" s="37" t="s">
        <v>591</v>
      </c>
      <c r="B175" s="38" t="n">
        <v>2027</v>
      </c>
      <c r="C175" s="37" t="s">
        <v>73</v>
      </c>
      <c r="D175" s="38" t="n">
        <v>6</v>
      </c>
      <c r="E175" s="38" t="n">
        <v>255</v>
      </c>
      <c r="F175" s="38" t="n">
        <v>92</v>
      </c>
      <c r="G175" s="37" t="s">
        <v>317</v>
      </c>
      <c r="H175" s="37" t="s">
        <v>530</v>
      </c>
      <c r="I175" s="37" t="s">
        <v>592</v>
      </c>
    </row>
    <row r="176" customFormat="false" ht="26.25" hidden="false" customHeight="true" outlineLevel="0" collapsed="false">
      <c r="A176" s="37" t="s">
        <v>593</v>
      </c>
      <c r="B176" s="38" t="n">
        <v>2027</v>
      </c>
      <c r="C176" s="37" t="s">
        <v>73</v>
      </c>
      <c r="D176" s="38" t="n">
        <v>7</v>
      </c>
      <c r="E176" s="38" t="n">
        <v>255</v>
      </c>
      <c r="F176" s="38" t="n">
        <v>92</v>
      </c>
      <c r="G176" s="37" t="s">
        <v>317</v>
      </c>
      <c r="H176" s="37" t="s">
        <v>530</v>
      </c>
      <c r="I176" s="37" t="s">
        <v>592</v>
      </c>
    </row>
    <row r="177" customFormat="false" ht="26.25" hidden="false" customHeight="true" outlineLevel="0" collapsed="false">
      <c r="A177" s="37" t="s">
        <v>594</v>
      </c>
      <c r="B177" s="38" t="n">
        <v>2027</v>
      </c>
      <c r="C177" s="37" t="s">
        <v>73</v>
      </c>
      <c r="D177" s="38" t="n">
        <v>8</v>
      </c>
      <c r="E177" s="38" t="n">
        <v>255</v>
      </c>
      <c r="F177" s="38" t="n">
        <v>92</v>
      </c>
      <c r="G177" s="37" t="s">
        <v>317</v>
      </c>
      <c r="H177" s="37" t="s">
        <v>530</v>
      </c>
      <c r="I177" s="37" t="s">
        <v>592</v>
      </c>
    </row>
    <row r="178" customFormat="false" ht="26.25" hidden="false" customHeight="true" outlineLevel="0" collapsed="false">
      <c r="A178" s="37" t="s">
        <v>595</v>
      </c>
      <c r="B178" s="38" t="n">
        <v>2027</v>
      </c>
      <c r="C178" s="37" t="s">
        <v>73</v>
      </c>
      <c r="D178" s="38" t="n">
        <v>9</v>
      </c>
      <c r="E178" s="38" t="n">
        <v>255</v>
      </c>
      <c r="F178" s="38" t="n">
        <v>92</v>
      </c>
      <c r="G178" s="37" t="s">
        <v>317</v>
      </c>
      <c r="H178" s="37" t="s">
        <v>530</v>
      </c>
      <c r="I178" s="37" t="s">
        <v>592</v>
      </c>
    </row>
    <row r="179" customFormat="false" ht="26.25" hidden="false" customHeight="true" outlineLevel="0" collapsed="false">
      <c r="A179" s="37" t="s">
        <v>596</v>
      </c>
      <c r="B179" s="38" t="n">
        <v>2027</v>
      </c>
      <c r="C179" s="37" t="s">
        <v>73</v>
      </c>
      <c r="D179" s="38" t="n">
        <v>10</v>
      </c>
      <c r="E179" s="38" t="n">
        <v>255</v>
      </c>
      <c r="F179" s="38" t="n">
        <v>92</v>
      </c>
      <c r="G179" s="37" t="s">
        <v>317</v>
      </c>
      <c r="H179" s="37" t="s">
        <v>530</v>
      </c>
      <c r="I179" s="37" t="s">
        <v>597</v>
      </c>
    </row>
    <row r="180" customFormat="false" ht="26.25" hidden="false" customHeight="true" outlineLevel="0" collapsed="false">
      <c r="A180" s="37" t="s">
        <v>598</v>
      </c>
      <c r="B180" s="38" t="n">
        <v>2027</v>
      </c>
      <c r="C180" s="37" t="s">
        <v>73</v>
      </c>
      <c r="D180" s="38" t="n">
        <v>11</v>
      </c>
      <c r="E180" s="38" t="n">
        <v>188</v>
      </c>
      <c r="F180" s="38" t="n">
        <v>92</v>
      </c>
      <c r="G180" s="37" t="s">
        <v>317</v>
      </c>
      <c r="H180" s="37" t="s">
        <v>530</v>
      </c>
      <c r="I180" s="37" t="s">
        <v>586</v>
      </c>
    </row>
    <row r="181" customFormat="false" ht="26.25" hidden="false" customHeight="true" outlineLevel="0" collapsed="false">
      <c r="A181" s="37" t="s">
        <v>599</v>
      </c>
      <c r="B181" s="38" t="n">
        <v>2027</v>
      </c>
      <c r="C181" s="37" t="s">
        <v>73</v>
      </c>
      <c r="D181" s="38" t="n">
        <v>12</v>
      </c>
      <c r="E181" s="38" t="n">
        <v>188</v>
      </c>
      <c r="F181" s="38" t="n">
        <v>92</v>
      </c>
      <c r="G181" s="37" t="s">
        <v>317</v>
      </c>
      <c r="H181" s="37" t="s">
        <v>530</v>
      </c>
      <c r="I181" s="37" t="s">
        <v>586</v>
      </c>
    </row>
  </sheetData>
  <autoFilter ref="A1:I1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5" min="1" style="1" width="24"/>
    <col collapsed="false" customWidth="true" hidden="false" outlineLevel="0" max="6" min="6" style="1" width="85"/>
  </cols>
  <sheetData>
    <row r="1" customFormat="false" ht="15" hidden="false" customHeight="true" outlineLevel="0" collapsed="false">
      <c r="A1" s="36" t="s">
        <v>600</v>
      </c>
      <c r="B1" s="36" t="s">
        <v>601</v>
      </c>
      <c r="C1" s="36" t="s">
        <v>602</v>
      </c>
      <c r="D1" s="36" t="s">
        <v>603</v>
      </c>
      <c r="E1" s="36" t="s">
        <v>604</v>
      </c>
      <c r="F1" s="36" t="s">
        <v>605</v>
      </c>
    </row>
    <row r="2" customFormat="false" ht="26.25" hidden="false" customHeight="true" outlineLevel="0" collapsed="false">
      <c r="A2" s="38" t="n">
        <v>68</v>
      </c>
      <c r="B2" s="38" t="n">
        <v>16</v>
      </c>
      <c r="C2" s="38" t="n">
        <v>19</v>
      </c>
      <c r="D2" s="38" t="n">
        <v>28</v>
      </c>
      <c r="E2" s="38" t="n">
        <v>5</v>
      </c>
      <c r="F2" s="37" t="s">
        <v>606</v>
      </c>
    </row>
    <row r="3" customFormat="false" ht="26.25" hidden="false" customHeight="true" outlineLevel="0" collapsed="false">
      <c r="A3" s="38" t="n">
        <v>74</v>
      </c>
      <c r="B3" s="38" t="n">
        <v>18</v>
      </c>
      <c r="C3" s="38" t="n">
        <v>20</v>
      </c>
      <c r="D3" s="38" t="n">
        <v>31</v>
      </c>
      <c r="E3" s="38" t="n">
        <v>5</v>
      </c>
      <c r="F3" s="37" t="s">
        <v>606</v>
      </c>
    </row>
    <row r="4" customFormat="false" ht="26.25" hidden="false" customHeight="true" outlineLevel="0" collapsed="false">
      <c r="A4" s="38" t="n">
        <v>80</v>
      </c>
      <c r="B4" s="38" t="n">
        <v>20</v>
      </c>
      <c r="C4" s="38" t="n">
        <v>22</v>
      </c>
      <c r="D4" s="38" t="n">
        <v>33</v>
      </c>
      <c r="E4" s="38" t="n">
        <v>5</v>
      </c>
      <c r="F4" s="37" t="s">
        <v>606</v>
      </c>
    </row>
    <row r="5" customFormat="false" ht="26.25" hidden="false" customHeight="true" outlineLevel="0" collapsed="false">
      <c r="A5" s="38" t="n">
        <v>86</v>
      </c>
      <c r="B5" s="38" t="n">
        <v>22</v>
      </c>
      <c r="C5" s="38" t="n">
        <v>23</v>
      </c>
      <c r="D5" s="38" t="n">
        <v>36</v>
      </c>
      <c r="E5" s="38" t="n">
        <v>5</v>
      </c>
      <c r="F5" s="37" t="s">
        <v>606</v>
      </c>
    </row>
    <row r="6" customFormat="false" ht="26.25" hidden="false" customHeight="true" outlineLevel="0" collapsed="false">
      <c r="A6" s="38" t="n">
        <v>92</v>
      </c>
      <c r="B6" s="38" t="n">
        <v>23</v>
      </c>
      <c r="C6" s="38" t="n">
        <v>26</v>
      </c>
      <c r="D6" s="38" t="n">
        <v>38</v>
      </c>
      <c r="E6" s="38" t="n">
        <v>5</v>
      </c>
      <c r="F6" s="37" t="s">
        <v>606</v>
      </c>
    </row>
  </sheetData>
  <autoFilter ref="A1:F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9" min="1" style="1" width="24"/>
    <col collapsed="false" customWidth="true" hidden="false" outlineLevel="0" max="10" min="10" style="1" width="85"/>
  </cols>
  <sheetData>
    <row r="1" customFormat="false" ht="39" hidden="false" customHeight="true" outlineLevel="0" collapsed="false">
      <c r="A1" s="36" t="s">
        <v>44</v>
      </c>
      <c r="B1" s="36" t="s">
        <v>607</v>
      </c>
      <c r="C1" s="36" t="s">
        <v>608</v>
      </c>
      <c r="D1" s="36" t="s">
        <v>609</v>
      </c>
      <c r="E1" s="36" t="s">
        <v>610</v>
      </c>
      <c r="F1" s="36" t="s">
        <v>611</v>
      </c>
      <c r="G1" s="36" t="s">
        <v>612</v>
      </c>
      <c r="H1" s="36" t="s">
        <v>613</v>
      </c>
      <c r="I1" s="36" t="s">
        <v>614</v>
      </c>
      <c r="J1" s="36" t="s">
        <v>615</v>
      </c>
    </row>
    <row r="2" customFormat="false" ht="39" hidden="false" customHeight="true" outlineLevel="0" collapsed="false">
      <c r="A2" s="37" t="s">
        <v>56</v>
      </c>
      <c r="B2" s="37"/>
      <c r="C2" s="37"/>
      <c r="D2" s="37"/>
      <c r="E2" s="37"/>
      <c r="F2" s="37"/>
      <c r="G2" s="37"/>
      <c r="H2" s="38" t="n">
        <v>0</v>
      </c>
      <c r="I2" s="38" t="n">
        <v>0</v>
      </c>
      <c r="J2" s="37" t="s">
        <v>616</v>
      </c>
    </row>
    <row r="3" customFormat="false" ht="39" hidden="false" customHeight="true" outlineLevel="0" collapsed="false">
      <c r="A3" s="37" t="s">
        <v>61</v>
      </c>
      <c r="B3" s="37"/>
      <c r="C3" s="37"/>
      <c r="D3" s="37"/>
      <c r="E3" s="37"/>
      <c r="F3" s="37"/>
      <c r="G3" s="37"/>
      <c r="H3" s="38" t="n">
        <v>0</v>
      </c>
      <c r="I3" s="38" t="n">
        <v>0</v>
      </c>
      <c r="J3" s="37" t="s">
        <v>616</v>
      </c>
    </row>
    <row r="4" customFormat="false" ht="39" hidden="false" customHeight="true" outlineLevel="0" collapsed="false">
      <c r="A4" s="37" t="s">
        <v>65</v>
      </c>
      <c r="B4" s="37"/>
      <c r="C4" s="37"/>
      <c r="D4" s="37"/>
      <c r="E4" s="37"/>
      <c r="F4" s="37"/>
      <c r="G4" s="37"/>
      <c r="H4" s="38" t="n">
        <v>0</v>
      </c>
      <c r="I4" s="38" t="n">
        <v>0</v>
      </c>
      <c r="J4" s="37" t="s">
        <v>616</v>
      </c>
    </row>
    <row r="5" customFormat="false" ht="39" hidden="false" customHeight="true" outlineLevel="0" collapsed="false">
      <c r="A5" s="37" t="s">
        <v>70</v>
      </c>
      <c r="B5" s="37"/>
      <c r="C5" s="37"/>
      <c r="D5" s="37"/>
      <c r="E5" s="37"/>
      <c r="F5" s="37"/>
      <c r="G5" s="37"/>
      <c r="H5" s="38" t="n">
        <v>0</v>
      </c>
      <c r="I5" s="38" t="n">
        <v>0</v>
      </c>
      <c r="J5" s="37" t="s">
        <v>616</v>
      </c>
    </row>
    <row r="6" customFormat="false" ht="39" hidden="false" customHeight="true" outlineLevel="0" collapsed="false">
      <c r="A6" s="37" t="s">
        <v>73</v>
      </c>
      <c r="B6" s="37"/>
      <c r="C6" s="37"/>
      <c r="D6" s="37"/>
      <c r="E6" s="37"/>
      <c r="F6" s="37"/>
      <c r="G6" s="37"/>
      <c r="H6" s="38" t="n">
        <v>0</v>
      </c>
      <c r="I6" s="38" t="n">
        <v>0</v>
      </c>
      <c r="J6" s="37" t="s">
        <v>616</v>
      </c>
    </row>
  </sheetData>
  <autoFilter ref="A1:J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sheetData>
    <row r="1" customFormat="false" ht="15" hidden="false" customHeight="true" outlineLevel="0" collapsed="false">
      <c r="A1" s="24" t="s">
        <v>119</v>
      </c>
      <c r="B1" s="24" t="s">
        <v>617</v>
      </c>
      <c r="C1" s="24" t="s">
        <v>618</v>
      </c>
      <c r="D1" s="24" t="s">
        <v>619</v>
      </c>
      <c r="E1" s="24" t="s">
        <v>620</v>
      </c>
      <c r="F1" s="24" t="s">
        <v>621</v>
      </c>
      <c r="G1" s="24" t="s">
        <v>622</v>
      </c>
      <c r="H1" s="24" t="s">
        <v>623</v>
      </c>
      <c r="I1" s="24" t="s">
        <v>624</v>
      </c>
      <c r="J1" s="24" t="s">
        <v>625</v>
      </c>
      <c r="K1" s="24" t="s">
        <v>626</v>
      </c>
      <c r="L1" s="24" t="s">
        <v>627</v>
      </c>
      <c r="M1" s="24" t="s">
        <v>628</v>
      </c>
      <c r="N1" s="24" t="s">
        <v>629</v>
      </c>
      <c r="O1" s="24" t="s">
        <v>630</v>
      </c>
      <c r="P1" s="24" t="s">
        <v>631</v>
      </c>
      <c r="Q1" s="24" t="s">
        <v>632</v>
      </c>
      <c r="R1" s="24" t="s">
        <v>633</v>
      </c>
      <c r="S1" s="24" t="s">
        <v>634</v>
      </c>
      <c r="T1" s="24" t="s">
        <v>635</v>
      </c>
      <c r="U1" s="24" t="s">
        <v>636</v>
      </c>
      <c r="V1" s="24" t="s">
        <v>637</v>
      </c>
      <c r="W1" s="24" t="s">
        <v>638</v>
      </c>
      <c r="X1" s="24" t="s">
        <v>639</v>
      </c>
      <c r="Y1" s="24" t="s">
        <v>640</v>
      </c>
      <c r="Z1" s="24" t="s">
        <v>641</v>
      </c>
      <c r="AA1" s="24" t="s">
        <v>642</v>
      </c>
      <c r="AB1" s="24" t="s">
        <v>643</v>
      </c>
      <c r="AC1" s="24" t="s">
        <v>644</v>
      </c>
      <c r="AD1" s="24" t="s">
        <v>645</v>
      </c>
      <c r="AE1" s="24" t="s">
        <v>646</v>
      </c>
      <c r="AF1" s="24" t="s">
        <v>647</v>
      </c>
      <c r="AG1" s="24" t="s">
        <v>648</v>
      </c>
      <c r="AH1" s="24" t="s">
        <v>649</v>
      </c>
      <c r="AI1" s="24" t="s">
        <v>650</v>
      </c>
      <c r="AJ1" s="24" t="s">
        <v>651</v>
      </c>
      <c r="AK1" s="24" t="s">
        <v>652</v>
      </c>
      <c r="AL1" s="24" t="s">
        <v>653</v>
      </c>
      <c r="AM1" s="24" t="s">
        <v>654</v>
      </c>
      <c r="AN1" s="24" t="s">
        <v>655</v>
      </c>
      <c r="AO1" s="24" t="s">
        <v>656</v>
      </c>
    </row>
    <row r="2" customFormat="false" ht="15" hidden="false" customHeight="true" outlineLevel="0" collapsed="false">
      <c r="A2" s="23" t="n">
        <f aca="false">IF(AND(Parameters!$B$14&gt;=Parameters!$B$13,ROW()-2&lt;=Parameters!$B$14-Parameters!$B$13),Parameters!$B$13+ROW()-2,"")</f>
        <v>46354</v>
      </c>
      <c r="B2" s="14" t="n">
        <f aca="false">IF($A2="",0,IFERROR(VLOOKUP((YEAR($A2)+IF(MONTH($A2)&gt;=10,1,0))&amp;"|Boston|"&amp;MONTH($A2),Rates!$A$2:$I$181,6,FALSE()),0))</f>
        <v>92</v>
      </c>
      <c r="C2" s="14" t="n">
        <f aca="false">IF(B2=0,0,VLOOKUP(B2,MIE_Components!$A$2:$F$6,2,FALSE()))</f>
        <v>23</v>
      </c>
      <c r="D2" s="14" t="n">
        <f aca="false">IF(B2=0,0,VLOOKUP(B2,MIE_Components!$A$2:$F$6,3,FALSE()))</f>
        <v>26</v>
      </c>
      <c r="E2" s="14" t="n">
        <f aca="false">IF(B2=0,0,VLOOKUP(B2,MIE_Components!$A$2:$F$6,4,FALSE()))</f>
        <v>38</v>
      </c>
      <c r="F2" s="14" t="n">
        <f aca="false">IF(OR($A2="",B2=0),0,MAX(5,B2*IF(OR($A2=Parameters!$B$13,$A2=Parameters!$B$14),0.75,1)-(IF(AND($A2=DATE(2026,11,29),NOV29BF="Yes"),C2,0)+IF(OR($A2=DATE(2026,11,29),$A2=DATE(2026,11,30),$A2=DATE(2026,12,1),$A2=DATE(2026,12,2)),D2,0)+IF(OR($A2=DATE(2026,11,28),$A2=DATE(2026,12,1)),E2,0))))</f>
        <v>31</v>
      </c>
      <c r="G2" s="14" t="n">
        <f aca="false">IF(AND($A2&lt;&gt;"",$A2&lt;Parameters!$B$14),CityData!F3*(1+TAXRATE),0)</f>
        <v>120.96</v>
      </c>
      <c r="H2" s="14" t="n">
        <f aca="false">IF($A2="",0,IFERROR(VLOOKUP((YEAR($A2)+IF(MONTH($A2)&gt;=10,1,0))&amp;"|Boston|"&amp;MONTH($A2),Rates!$A$2:$I$181,5,FALSE()),0))</f>
        <v>213</v>
      </c>
      <c r="I2" s="14" t="n">
        <f aca="false">IF(OR($A2="",$A2&gt;=Parameters!$B$14),1,IF(AND(H2&gt;0,CityData!F3&lt;=H2),1,0))</f>
        <v>1</v>
      </c>
      <c r="J2" s="14" t="n">
        <f aca="false">IF($A2="",0,IFERROR(VLOOKUP((YEAR($A2)+IF(MONTH($A2)&gt;=10,1,0))&amp;"|Chicago|"&amp;MONTH($A2),Rates!$A$2:$I$181,6,FALSE()),0))</f>
        <v>92</v>
      </c>
      <c r="K2" s="14" t="n">
        <f aca="false">IF(J2=0,0,VLOOKUP(J2,MIE_Components!$A$2:$F$6,2,FALSE()))</f>
        <v>23</v>
      </c>
      <c r="L2" s="14" t="n">
        <f aca="false">IF(J2=0,0,VLOOKUP(J2,MIE_Components!$A$2:$F$6,3,FALSE()))</f>
        <v>26</v>
      </c>
      <c r="M2" s="14" t="n">
        <f aca="false">IF(J2=0,0,VLOOKUP(J2,MIE_Components!$A$2:$F$6,4,FALSE()))</f>
        <v>38</v>
      </c>
      <c r="N2" s="14" t="n">
        <f aca="false">IF(OR($A2="",J2=0),0,MAX(5,J2*IF(OR($A2=Parameters!$B$13,$A2=Parameters!$B$14),0.75,1)-(IF(AND($A2=DATE(2026,11,29),NOV29BF="Yes"),K2,0)+IF(OR($A2=DATE(2026,11,29),$A2=DATE(2026,11,30),$A2=DATE(2026,12,1),$A2=DATE(2026,12,2)),L2,0)+IF(OR($A2=DATE(2026,11,28),$A2=DATE(2026,12,1)),M2,0))))</f>
        <v>31</v>
      </c>
      <c r="O2" s="14" t="n">
        <f aca="false">IF(AND($A2&lt;&gt;"",$A2&lt;Parameters!$B$14),CityData!F4*(1+TAXRATE),0)</f>
        <v>176.96</v>
      </c>
      <c r="P2" s="14" t="n">
        <f aca="false">IF($A2="",0,IFERROR(VLOOKUP((YEAR($A2)+IF(MONTH($A2)&gt;=10,1,0))&amp;"|Chicago|"&amp;MONTH($A2),Rates!$A$2:$I$181,5,FALSE()),0))</f>
        <v>232</v>
      </c>
      <c r="Q2" s="14" t="n">
        <f aca="false">IF(OR($A2="",$A2&gt;=Parameters!$B$14),1,IF(AND(P2&gt;0,CityData!F4&lt;=P2),1,0))</f>
        <v>1</v>
      </c>
      <c r="R2" s="14" t="n">
        <f aca="false">IF($A2="",0,IFERROR(VLOOKUP((YEAR($A2)+IF(MONTH($A2)&gt;=10,1,0))&amp;"|Denver|"&amp;MONTH($A2),Rates!$A$2:$I$181,6,FALSE()),0))</f>
        <v>92</v>
      </c>
      <c r="S2" s="14" t="n">
        <f aca="false">IF(R2=0,0,VLOOKUP(R2,MIE_Components!$A$2:$F$6,2,FALSE()))</f>
        <v>23</v>
      </c>
      <c r="T2" s="14" t="n">
        <f aca="false">IF(R2=0,0,VLOOKUP(R2,MIE_Components!$A$2:$F$6,3,FALSE()))</f>
        <v>26</v>
      </c>
      <c r="U2" s="14" t="n">
        <f aca="false">IF(R2=0,0,VLOOKUP(R2,MIE_Components!$A$2:$F$6,4,FALSE()))</f>
        <v>38</v>
      </c>
      <c r="V2" s="14" t="n">
        <f aca="false">IF(OR($A2="",R2=0),0,MAX(5,R2*IF(OR($A2=Parameters!$B$13,$A2=Parameters!$B$14),0.75,1)-(IF(AND($A2=DATE(2026,11,29),NOV29BF="Yes"),S2,0)+IF(OR($A2=DATE(2026,11,29),$A2=DATE(2026,11,30),$A2=DATE(2026,12,1),$A2=DATE(2026,12,2)),T2,0)+IF(OR($A2=DATE(2026,11,28),$A2=DATE(2026,12,1)),U2,0))))</f>
        <v>31</v>
      </c>
      <c r="W2" s="14" t="n">
        <f aca="false">IF(AND($A2&lt;&gt;"",$A2&lt;Parameters!$B$14),CityData!F5*(1+TAXRATE),0)</f>
        <v>122.08</v>
      </c>
      <c r="X2" s="14" t="n">
        <f aca="false">IF($A2="",0,IFERROR(VLOOKUP((YEAR($A2)+IF(MONTH($A2)&gt;=10,1,0))&amp;"|Denver|"&amp;MONTH($A2),Rates!$A$2:$I$181,5,FALSE()),0))</f>
        <v>170</v>
      </c>
      <c r="Y2" s="14" t="n">
        <f aca="false">IF(OR($A2="",$A2&gt;=Parameters!$B$14),1,IF(AND(X2&gt;0,CityData!F5&lt;=X2),1,0))</f>
        <v>1</v>
      </c>
      <c r="Z2" s="14" t="n">
        <f aca="false">IF($A2="",0,IFERROR(VLOOKUP((YEAR($A2)+IF(MONTH($A2)&gt;=10,1,0))&amp;"|Phoenix|"&amp;MONTH($A2),Rates!$A$2:$I$181,6,FALSE()),0))</f>
        <v>86</v>
      </c>
      <c r="AA2" s="14" t="n">
        <f aca="false">IF(Z2=0,0,VLOOKUP(Z2,MIE_Components!$A$2:$F$6,2,FALSE()))</f>
        <v>22</v>
      </c>
      <c r="AB2" s="14" t="n">
        <f aca="false">IF(Z2=0,0,VLOOKUP(Z2,MIE_Components!$A$2:$F$6,3,FALSE()))</f>
        <v>23</v>
      </c>
      <c r="AC2" s="14" t="n">
        <f aca="false">IF(Z2=0,0,VLOOKUP(Z2,MIE_Components!$A$2:$F$6,4,FALSE()))</f>
        <v>36</v>
      </c>
      <c r="AD2" s="14" t="n">
        <f aca="false">IF(OR($A2="",Z2=0),0,MAX(5,Z2*IF(OR($A2=Parameters!$B$13,$A2=Parameters!$B$14),0.75,1)-(IF(AND($A2=DATE(2026,11,29),NOV29BF="Yes"),AA2,0)+IF(OR($A2=DATE(2026,11,29),$A2=DATE(2026,11,30),$A2=DATE(2026,12,1),$A2=DATE(2026,12,2)),AB2,0)+IF(OR($A2=DATE(2026,11,28),$A2=DATE(2026,12,1)),AC2,0))))</f>
        <v>28.5</v>
      </c>
      <c r="AE2" s="14" t="n">
        <f aca="false">IF(AND($A2&lt;&gt;"",$A2&lt;Parameters!$B$14),CityData!F6*(1+TAXRATE),0)</f>
        <v>168</v>
      </c>
      <c r="AF2" s="14" t="n">
        <f aca="false">IF($A2="",0,IFERROR(VLOOKUP((YEAR($A2)+IF(MONTH($A2)&gt;=10,1,0))&amp;"|Phoenix|"&amp;MONTH($A2),Rates!$A$2:$I$181,5,FALSE()),0))</f>
        <v>165</v>
      </c>
      <c r="AG2" s="14" t="n">
        <f aca="false">IF(OR($A2="",$A2&gt;=Parameters!$B$14),1,IF(AND(AF2&gt;0,CityData!F6&lt;=AF2),1,0))</f>
        <v>1</v>
      </c>
      <c r="AH2" s="14" t="n">
        <f aca="false">IF($A2="",0,IFERROR(VLOOKUP((YEAR($A2)+IF(MONTH($A2)&gt;=10,1,0))&amp;"|Seattle|"&amp;MONTH($A2),Rates!$A$2:$I$181,6,FALSE()),0))</f>
        <v>92</v>
      </c>
      <c r="AI2" s="14" t="n">
        <f aca="false">IF(AH2=0,0,VLOOKUP(AH2,MIE_Components!$A$2:$F$6,2,FALSE()))</f>
        <v>23</v>
      </c>
      <c r="AJ2" s="14" t="n">
        <f aca="false">IF(AH2=0,0,VLOOKUP(AH2,MIE_Components!$A$2:$F$6,3,FALSE()))</f>
        <v>26</v>
      </c>
      <c r="AK2" s="14" t="n">
        <f aca="false">IF(AH2=0,0,VLOOKUP(AH2,MIE_Components!$A$2:$F$6,4,FALSE()))</f>
        <v>38</v>
      </c>
      <c r="AL2" s="14" t="n">
        <f aca="false">IF(OR($A2="",AH2=0),0,MAX(5,AH2*IF(OR($A2=Parameters!$B$13,$A2=Parameters!$B$14),0.75,1)-(IF(AND($A2=DATE(2026,11,29),NOV29BF="Yes"),AI2,0)+IF(OR($A2=DATE(2026,11,29),$A2=DATE(2026,11,30),$A2=DATE(2026,12,1),$A2=DATE(2026,12,2)),AJ2,0)+IF(OR($A2=DATE(2026,11,28),$A2=DATE(2026,12,1)),AK2,0))))</f>
        <v>31</v>
      </c>
      <c r="AM2" s="14" t="n">
        <f aca="false">IF(AND($A2&lt;&gt;"",$A2&lt;Parameters!$B$14),CityData!F7*(1+TAXRATE),0)</f>
        <v>113.12</v>
      </c>
      <c r="AN2" s="14" t="n">
        <f aca="false">IF($A2="",0,IFERROR(VLOOKUP((YEAR($A2)+IF(MONTH($A2)&gt;=10,1,0))&amp;"|Seattle|"&amp;MONTH($A2),Rates!$A$2:$I$181,5,FALSE()),0))</f>
        <v>188</v>
      </c>
      <c r="AO2" s="14" t="n">
        <f aca="false">IF(OR($A2="",$A2&gt;=Parameters!$B$14),1,IF(AND(AN2&gt;0,CityData!F7&lt;=AN2),1,0))</f>
        <v>1</v>
      </c>
    </row>
    <row r="3" customFormat="false" ht="15" hidden="false" customHeight="true" outlineLevel="0" collapsed="false">
      <c r="A3" s="23" t="n">
        <f aca="false">IF(AND(Parameters!$B$14&gt;=Parameters!$B$13,ROW()-2&lt;=Parameters!$B$14-Parameters!$B$13),Parameters!$B$13+ROW()-2,"")</f>
        <v>46355</v>
      </c>
      <c r="B3" s="14" t="n">
        <f aca="false">IF($A3="",0,IFERROR(VLOOKUP((YEAR($A3)+IF(MONTH($A3)&gt;=10,1,0))&amp;"|Boston|"&amp;MONTH($A3),Rates!$A$2:$I$181,6,FALSE()),0))</f>
        <v>92</v>
      </c>
      <c r="C3" s="14" t="n">
        <f aca="false">IF(B3=0,0,VLOOKUP(B3,MIE_Components!$A$2:$F$6,2,FALSE()))</f>
        <v>23</v>
      </c>
      <c r="D3" s="14" t="n">
        <f aca="false">IF(B3=0,0,VLOOKUP(B3,MIE_Components!$A$2:$F$6,3,FALSE()))</f>
        <v>26</v>
      </c>
      <c r="E3" s="14" t="n">
        <f aca="false">IF(B3=0,0,VLOOKUP(B3,MIE_Components!$A$2:$F$6,4,FALSE()))</f>
        <v>38</v>
      </c>
      <c r="F3" s="14" t="n">
        <f aca="false">IF(OR($A3="",B3=0),0,MAX(5,B3*IF(OR($A3=Parameters!$B$13,$A3=Parameters!$B$14),0.75,1)-(IF(AND($A3=DATE(2026,11,29),NOV29BF="Yes"),C3,0)+IF(OR($A3=DATE(2026,11,29),$A3=DATE(2026,11,30),$A3=DATE(2026,12,1),$A3=DATE(2026,12,2)),D3,0)+IF(OR($A3=DATE(2026,11,28),$A3=DATE(2026,12,1)),E3,0))))</f>
        <v>66</v>
      </c>
      <c r="G3" s="14" t="n">
        <f aca="false">IF(AND($A3&lt;&gt;"",$A3&lt;Parameters!$B$14),CityData!F3*(1+TAXRATE),0)</f>
        <v>120.96</v>
      </c>
      <c r="H3" s="14" t="n">
        <f aca="false">IF($A3="",0,IFERROR(VLOOKUP((YEAR($A3)+IF(MONTH($A3)&gt;=10,1,0))&amp;"|Boston|"&amp;MONTH($A3),Rates!$A$2:$I$181,5,FALSE()),0))</f>
        <v>213</v>
      </c>
      <c r="I3" s="14" t="n">
        <f aca="false">IF(OR($A3="",$A3&gt;=Parameters!$B$14),1,IF(AND(H3&gt;0,CityData!F3&lt;=H3),1,0))</f>
        <v>1</v>
      </c>
      <c r="J3" s="14" t="n">
        <f aca="false">IF($A3="",0,IFERROR(VLOOKUP((YEAR($A3)+IF(MONTH($A3)&gt;=10,1,0))&amp;"|Chicago|"&amp;MONTH($A3),Rates!$A$2:$I$181,6,FALSE()),0))</f>
        <v>92</v>
      </c>
      <c r="K3" s="14" t="n">
        <f aca="false">IF(J3=0,0,VLOOKUP(J3,MIE_Components!$A$2:$F$6,2,FALSE()))</f>
        <v>23</v>
      </c>
      <c r="L3" s="14" t="n">
        <f aca="false">IF(J3=0,0,VLOOKUP(J3,MIE_Components!$A$2:$F$6,3,FALSE()))</f>
        <v>26</v>
      </c>
      <c r="M3" s="14" t="n">
        <f aca="false">IF(J3=0,0,VLOOKUP(J3,MIE_Components!$A$2:$F$6,4,FALSE()))</f>
        <v>38</v>
      </c>
      <c r="N3" s="14" t="n">
        <f aca="false">IF(OR($A3="",J3=0),0,MAX(5,J3*IF(OR($A3=Parameters!$B$13,$A3=Parameters!$B$14),0.75,1)-(IF(AND($A3=DATE(2026,11,29),NOV29BF="Yes"),K3,0)+IF(OR($A3=DATE(2026,11,29),$A3=DATE(2026,11,30),$A3=DATE(2026,12,1),$A3=DATE(2026,12,2)),L3,0)+IF(OR($A3=DATE(2026,11,28),$A3=DATE(2026,12,1)),M3,0))))</f>
        <v>66</v>
      </c>
      <c r="O3" s="14" t="n">
        <f aca="false">IF(AND($A3&lt;&gt;"",$A3&lt;Parameters!$B$14),CityData!F4*(1+TAXRATE),0)</f>
        <v>176.96</v>
      </c>
      <c r="P3" s="14" t="n">
        <f aca="false">IF($A3="",0,IFERROR(VLOOKUP((YEAR($A3)+IF(MONTH($A3)&gt;=10,1,0))&amp;"|Chicago|"&amp;MONTH($A3),Rates!$A$2:$I$181,5,FALSE()),0))</f>
        <v>232</v>
      </c>
      <c r="Q3" s="14" t="n">
        <f aca="false">IF(OR($A3="",$A3&gt;=Parameters!$B$14),1,IF(AND(P3&gt;0,CityData!F4&lt;=P3),1,0))</f>
        <v>1</v>
      </c>
      <c r="R3" s="14" t="n">
        <f aca="false">IF($A3="",0,IFERROR(VLOOKUP((YEAR($A3)+IF(MONTH($A3)&gt;=10,1,0))&amp;"|Denver|"&amp;MONTH($A3),Rates!$A$2:$I$181,6,FALSE()),0))</f>
        <v>92</v>
      </c>
      <c r="S3" s="14" t="n">
        <f aca="false">IF(R3=0,0,VLOOKUP(R3,MIE_Components!$A$2:$F$6,2,FALSE()))</f>
        <v>23</v>
      </c>
      <c r="T3" s="14" t="n">
        <f aca="false">IF(R3=0,0,VLOOKUP(R3,MIE_Components!$A$2:$F$6,3,FALSE()))</f>
        <v>26</v>
      </c>
      <c r="U3" s="14" t="n">
        <f aca="false">IF(R3=0,0,VLOOKUP(R3,MIE_Components!$A$2:$F$6,4,FALSE()))</f>
        <v>38</v>
      </c>
      <c r="V3" s="14" t="n">
        <f aca="false">IF(OR($A3="",R3=0),0,MAX(5,R3*IF(OR($A3=Parameters!$B$13,$A3=Parameters!$B$14),0.75,1)-(IF(AND($A3=DATE(2026,11,29),NOV29BF="Yes"),S3,0)+IF(OR($A3=DATE(2026,11,29),$A3=DATE(2026,11,30),$A3=DATE(2026,12,1),$A3=DATE(2026,12,2)),T3,0)+IF(OR($A3=DATE(2026,11,28),$A3=DATE(2026,12,1)),U3,0))))</f>
        <v>66</v>
      </c>
      <c r="W3" s="14" t="n">
        <f aca="false">IF(AND($A3&lt;&gt;"",$A3&lt;Parameters!$B$14),CityData!F5*(1+TAXRATE),0)</f>
        <v>122.08</v>
      </c>
      <c r="X3" s="14" t="n">
        <f aca="false">IF($A3="",0,IFERROR(VLOOKUP((YEAR($A3)+IF(MONTH($A3)&gt;=10,1,0))&amp;"|Denver|"&amp;MONTH($A3),Rates!$A$2:$I$181,5,FALSE()),0))</f>
        <v>170</v>
      </c>
      <c r="Y3" s="14" t="n">
        <f aca="false">IF(OR($A3="",$A3&gt;=Parameters!$B$14),1,IF(AND(X3&gt;0,CityData!F5&lt;=X3),1,0))</f>
        <v>1</v>
      </c>
      <c r="Z3" s="14" t="n">
        <f aca="false">IF($A3="",0,IFERROR(VLOOKUP((YEAR($A3)+IF(MONTH($A3)&gt;=10,1,0))&amp;"|Phoenix|"&amp;MONTH($A3),Rates!$A$2:$I$181,6,FALSE()),0))</f>
        <v>86</v>
      </c>
      <c r="AA3" s="14" t="n">
        <f aca="false">IF(Z3=0,0,VLOOKUP(Z3,MIE_Components!$A$2:$F$6,2,FALSE()))</f>
        <v>22</v>
      </c>
      <c r="AB3" s="14" t="n">
        <f aca="false">IF(Z3=0,0,VLOOKUP(Z3,MIE_Components!$A$2:$F$6,3,FALSE()))</f>
        <v>23</v>
      </c>
      <c r="AC3" s="14" t="n">
        <f aca="false">IF(Z3=0,0,VLOOKUP(Z3,MIE_Components!$A$2:$F$6,4,FALSE()))</f>
        <v>36</v>
      </c>
      <c r="AD3" s="14" t="n">
        <f aca="false">IF(OR($A3="",Z3=0),0,MAX(5,Z3*IF(OR($A3=Parameters!$B$13,$A3=Parameters!$B$14),0.75,1)-(IF(AND($A3=DATE(2026,11,29),NOV29BF="Yes"),AA3,0)+IF(OR($A3=DATE(2026,11,29),$A3=DATE(2026,11,30),$A3=DATE(2026,12,1),$A3=DATE(2026,12,2)),AB3,0)+IF(OR($A3=DATE(2026,11,28),$A3=DATE(2026,12,1)),AC3,0))))</f>
        <v>63</v>
      </c>
      <c r="AE3" s="14" t="n">
        <f aca="false">IF(AND($A3&lt;&gt;"",$A3&lt;Parameters!$B$14),CityData!F6*(1+TAXRATE),0)</f>
        <v>168</v>
      </c>
      <c r="AF3" s="14" t="n">
        <f aca="false">IF($A3="",0,IFERROR(VLOOKUP((YEAR($A3)+IF(MONTH($A3)&gt;=10,1,0))&amp;"|Phoenix|"&amp;MONTH($A3),Rates!$A$2:$I$181,5,FALSE()),0))</f>
        <v>165</v>
      </c>
      <c r="AG3" s="14" t="n">
        <f aca="false">IF(OR($A3="",$A3&gt;=Parameters!$B$14),1,IF(AND(AF3&gt;0,CityData!F6&lt;=AF3),1,0))</f>
        <v>1</v>
      </c>
      <c r="AH3" s="14" t="n">
        <f aca="false">IF($A3="",0,IFERROR(VLOOKUP((YEAR($A3)+IF(MONTH($A3)&gt;=10,1,0))&amp;"|Seattle|"&amp;MONTH($A3),Rates!$A$2:$I$181,6,FALSE()),0))</f>
        <v>92</v>
      </c>
      <c r="AI3" s="14" t="n">
        <f aca="false">IF(AH3=0,0,VLOOKUP(AH3,MIE_Components!$A$2:$F$6,2,FALSE()))</f>
        <v>23</v>
      </c>
      <c r="AJ3" s="14" t="n">
        <f aca="false">IF(AH3=0,0,VLOOKUP(AH3,MIE_Components!$A$2:$F$6,3,FALSE()))</f>
        <v>26</v>
      </c>
      <c r="AK3" s="14" t="n">
        <f aca="false">IF(AH3=0,0,VLOOKUP(AH3,MIE_Components!$A$2:$F$6,4,FALSE()))</f>
        <v>38</v>
      </c>
      <c r="AL3" s="14" t="n">
        <f aca="false">IF(OR($A3="",AH3=0),0,MAX(5,AH3*IF(OR($A3=Parameters!$B$13,$A3=Parameters!$B$14),0.75,1)-(IF(AND($A3=DATE(2026,11,29),NOV29BF="Yes"),AI3,0)+IF(OR($A3=DATE(2026,11,29),$A3=DATE(2026,11,30),$A3=DATE(2026,12,1),$A3=DATE(2026,12,2)),AJ3,0)+IF(OR($A3=DATE(2026,11,28),$A3=DATE(2026,12,1)),AK3,0))))</f>
        <v>66</v>
      </c>
      <c r="AM3" s="14" t="n">
        <f aca="false">IF(AND($A3&lt;&gt;"",$A3&lt;Parameters!$B$14),CityData!F7*(1+TAXRATE),0)</f>
        <v>113.12</v>
      </c>
      <c r="AN3" s="14" t="n">
        <f aca="false">IF($A3="",0,IFERROR(VLOOKUP((YEAR($A3)+IF(MONTH($A3)&gt;=10,1,0))&amp;"|Seattle|"&amp;MONTH($A3),Rates!$A$2:$I$181,5,FALSE()),0))</f>
        <v>188</v>
      </c>
      <c r="AO3" s="14" t="n">
        <f aca="false">IF(OR($A3="",$A3&gt;=Parameters!$B$14),1,IF(AND(AN3&gt;0,CityData!F7&lt;=AN3),1,0))</f>
        <v>1</v>
      </c>
    </row>
    <row r="4" customFormat="false" ht="15" hidden="false" customHeight="true" outlineLevel="0" collapsed="false">
      <c r="A4" s="23" t="n">
        <f aca="false">IF(AND(Parameters!$B$14&gt;=Parameters!$B$13,ROW()-2&lt;=Parameters!$B$14-Parameters!$B$13),Parameters!$B$13+ROW()-2,"")</f>
        <v>46356</v>
      </c>
      <c r="B4" s="14" t="n">
        <f aca="false">IF($A4="",0,IFERROR(VLOOKUP((YEAR($A4)+IF(MONTH($A4)&gt;=10,1,0))&amp;"|Boston|"&amp;MONTH($A4),Rates!$A$2:$I$181,6,FALSE()),0))</f>
        <v>92</v>
      </c>
      <c r="C4" s="14" t="n">
        <f aca="false">IF(B4=0,0,VLOOKUP(B4,MIE_Components!$A$2:$F$6,2,FALSE()))</f>
        <v>23</v>
      </c>
      <c r="D4" s="14" t="n">
        <f aca="false">IF(B4=0,0,VLOOKUP(B4,MIE_Components!$A$2:$F$6,3,FALSE()))</f>
        <v>26</v>
      </c>
      <c r="E4" s="14" t="n">
        <f aca="false">IF(B4=0,0,VLOOKUP(B4,MIE_Components!$A$2:$F$6,4,FALSE()))</f>
        <v>38</v>
      </c>
      <c r="F4" s="14" t="n">
        <f aca="false">IF(OR($A4="",B4=0),0,MAX(5,B4*IF(OR($A4=Parameters!$B$13,$A4=Parameters!$B$14),0.75,1)-(IF(AND($A4=DATE(2026,11,29),NOV29BF="Yes"),C4,0)+IF(OR($A4=DATE(2026,11,29),$A4=DATE(2026,11,30),$A4=DATE(2026,12,1),$A4=DATE(2026,12,2)),D4,0)+IF(OR($A4=DATE(2026,11,28),$A4=DATE(2026,12,1)),E4,0))))</f>
        <v>66</v>
      </c>
      <c r="G4" s="14" t="n">
        <f aca="false">IF(AND($A4&lt;&gt;"",$A4&lt;Parameters!$B$14),CityData!F3*(1+TAXRATE),0)</f>
        <v>120.96</v>
      </c>
      <c r="H4" s="14" t="n">
        <f aca="false">IF($A4="",0,IFERROR(VLOOKUP((YEAR($A4)+IF(MONTH($A4)&gt;=10,1,0))&amp;"|Boston|"&amp;MONTH($A4),Rates!$A$2:$I$181,5,FALSE()),0))</f>
        <v>213</v>
      </c>
      <c r="I4" s="14" t="n">
        <f aca="false">IF(OR($A4="",$A4&gt;=Parameters!$B$14),1,IF(AND(H4&gt;0,CityData!F3&lt;=H4),1,0))</f>
        <v>1</v>
      </c>
      <c r="J4" s="14" t="n">
        <f aca="false">IF($A4="",0,IFERROR(VLOOKUP((YEAR($A4)+IF(MONTH($A4)&gt;=10,1,0))&amp;"|Chicago|"&amp;MONTH($A4),Rates!$A$2:$I$181,6,FALSE()),0))</f>
        <v>92</v>
      </c>
      <c r="K4" s="14" t="n">
        <f aca="false">IF(J4=0,0,VLOOKUP(J4,MIE_Components!$A$2:$F$6,2,FALSE()))</f>
        <v>23</v>
      </c>
      <c r="L4" s="14" t="n">
        <f aca="false">IF(J4=0,0,VLOOKUP(J4,MIE_Components!$A$2:$F$6,3,FALSE()))</f>
        <v>26</v>
      </c>
      <c r="M4" s="14" t="n">
        <f aca="false">IF(J4=0,0,VLOOKUP(J4,MIE_Components!$A$2:$F$6,4,FALSE()))</f>
        <v>38</v>
      </c>
      <c r="N4" s="14" t="n">
        <f aca="false">IF(OR($A4="",J4=0),0,MAX(5,J4*IF(OR($A4=Parameters!$B$13,$A4=Parameters!$B$14),0.75,1)-(IF(AND($A4=DATE(2026,11,29),NOV29BF="Yes"),K4,0)+IF(OR($A4=DATE(2026,11,29),$A4=DATE(2026,11,30),$A4=DATE(2026,12,1),$A4=DATE(2026,12,2)),L4,0)+IF(OR($A4=DATE(2026,11,28),$A4=DATE(2026,12,1)),M4,0))))</f>
        <v>66</v>
      </c>
      <c r="O4" s="14" t="n">
        <f aca="false">IF(AND($A4&lt;&gt;"",$A4&lt;Parameters!$B$14),CityData!F4*(1+TAXRATE),0)</f>
        <v>176.96</v>
      </c>
      <c r="P4" s="14" t="n">
        <f aca="false">IF($A4="",0,IFERROR(VLOOKUP((YEAR($A4)+IF(MONTH($A4)&gt;=10,1,0))&amp;"|Chicago|"&amp;MONTH($A4),Rates!$A$2:$I$181,5,FALSE()),0))</f>
        <v>232</v>
      </c>
      <c r="Q4" s="14" t="n">
        <f aca="false">IF(OR($A4="",$A4&gt;=Parameters!$B$14),1,IF(AND(P4&gt;0,CityData!F4&lt;=P4),1,0))</f>
        <v>1</v>
      </c>
      <c r="R4" s="14" t="n">
        <f aca="false">IF($A4="",0,IFERROR(VLOOKUP((YEAR($A4)+IF(MONTH($A4)&gt;=10,1,0))&amp;"|Denver|"&amp;MONTH($A4),Rates!$A$2:$I$181,6,FALSE()),0))</f>
        <v>92</v>
      </c>
      <c r="S4" s="14" t="n">
        <f aca="false">IF(R4=0,0,VLOOKUP(R4,MIE_Components!$A$2:$F$6,2,FALSE()))</f>
        <v>23</v>
      </c>
      <c r="T4" s="14" t="n">
        <f aca="false">IF(R4=0,0,VLOOKUP(R4,MIE_Components!$A$2:$F$6,3,FALSE()))</f>
        <v>26</v>
      </c>
      <c r="U4" s="14" t="n">
        <f aca="false">IF(R4=0,0,VLOOKUP(R4,MIE_Components!$A$2:$F$6,4,FALSE()))</f>
        <v>38</v>
      </c>
      <c r="V4" s="14" t="n">
        <f aca="false">IF(OR($A4="",R4=0),0,MAX(5,R4*IF(OR($A4=Parameters!$B$13,$A4=Parameters!$B$14),0.75,1)-(IF(AND($A4=DATE(2026,11,29),NOV29BF="Yes"),S4,0)+IF(OR($A4=DATE(2026,11,29),$A4=DATE(2026,11,30),$A4=DATE(2026,12,1),$A4=DATE(2026,12,2)),T4,0)+IF(OR($A4=DATE(2026,11,28),$A4=DATE(2026,12,1)),U4,0))))</f>
        <v>66</v>
      </c>
      <c r="W4" s="14" t="n">
        <f aca="false">IF(AND($A4&lt;&gt;"",$A4&lt;Parameters!$B$14),CityData!F5*(1+TAXRATE),0)</f>
        <v>122.08</v>
      </c>
      <c r="X4" s="14" t="n">
        <f aca="false">IF($A4="",0,IFERROR(VLOOKUP((YEAR($A4)+IF(MONTH($A4)&gt;=10,1,0))&amp;"|Denver|"&amp;MONTH($A4),Rates!$A$2:$I$181,5,FALSE()),0))</f>
        <v>170</v>
      </c>
      <c r="Y4" s="14" t="n">
        <f aca="false">IF(OR($A4="",$A4&gt;=Parameters!$B$14),1,IF(AND(X4&gt;0,CityData!F5&lt;=X4),1,0))</f>
        <v>1</v>
      </c>
      <c r="Z4" s="14" t="n">
        <f aca="false">IF($A4="",0,IFERROR(VLOOKUP((YEAR($A4)+IF(MONTH($A4)&gt;=10,1,0))&amp;"|Phoenix|"&amp;MONTH($A4),Rates!$A$2:$I$181,6,FALSE()),0))</f>
        <v>86</v>
      </c>
      <c r="AA4" s="14" t="n">
        <f aca="false">IF(Z4=0,0,VLOOKUP(Z4,MIE_Components!$A$2:$F$6,2,FALSE()))</f>
        <v>22</v>
      </c>
      <c r="AB4" s="14" t="n">
        <f aca="false">IF(Z4=0,0,VLOOKUP(Z4,MIE_Components!$A$2:$F$6,3,FALSE()))</f>
        <v>23</v>
      </c>
      <c r="AC4" s="14" t="n">
        <f aca="false">IF(Z4=0,0,VLOOKUP(Z4,MIE_Components!$A$2:$F$6,4,FALSE()))</f>
        <v>36</v>
      </c>
      <c r="AD4" s="14" t="n">
        <f aca="false">IF(OR($A4="",Z4=0),0,MAX(5,Z4*IF(OR($A4=Parameters!$B$13,$A4=Parameters!$B$14),0.75,1)-(IF(AND($A4=DATE(2026,11,29),NOV29BF="Yes"),AA4,0)+IF(OR($A4=DATE(2026,11,29),$A4=DATE(2026,11,30),$A4=DATE(2026,12,1),$A4=DATE(2026,12,2)),AB4,0)+IF(OR($A4=DATE(2026,11,28),$A4=DATE(2026,12,1)),AC4,0))))</f>
        <v>63</v>
      </c>
      <c r="AE4" s="14" t="n">
        <f aca="false">IF(AND($A4&lt;&gt;"",$A4&lt;Parameters!$B$14),CityData!F6*(1+TAXRATE),0)</f>
        <v>168</v>
      </c>
      <c r="AF4" s="14" t="n">
        <f aca="false">IF($A4="",0,IFERROR(VLOOKUP((YEAR($A4)+IF(MONTH($A4)&gt;=10,1,0))&amp;"|Phoenix|"&amp;MONTH($A4),Rates!$A$2:$I$181,5,FALSE()),0))</f>
        <v>165</v>
      </c>
      <c r="AG4" s="14" t="n">
        <f aca="false">IF(OR($A4="",$A4&gt;=Parameters!$B$14),1,IF(AND(AF4&gt;0,CityData!F6&lt;=AF4),1,0))</f>
        <v>1</v>
      </c>
      <c r="AH4" s="14" t="n">
        <f aca="false">IF($A4="",0,IFERROR(VLOOKUP((YEAR($A4)+IF(MONTH($A4)&gt;=10,1,0))&amp;"|Seattle|"&amp;MONTH($A4),Rates!$A$2:$I$181,6,FALSE()),0))</f>
        <v>92</v>
      </c>
      <c r="AI4" s="14" t="n">
        <f aca="false">IF(AH4=0,0,VLOOKUP(AH4,MIE_Components!$A$2:$F$6,2,FALSE()))</f>
        <v>23</v>
      </c>
      <c r="AJ4" s="14" t="n">
        <f aca="false">IF(AH4=0,0,VLOOKUP(AH4,MIE_Components!$A$2:$F$6,3,FALSE()))</f>
        <v>26</v>
      </c>
      <c r="AK4" s="14" t="n">
        <f aca="false">IF(AH4=0,0,VLOOKUP(AH4,MIE_Components!$A$2:$F$6,4,FALSE()))</f>
        <v>38</v>
      </c>
      <c r="AL4" s="14" t="n">
        <f aca="false">IF(OR($A4="",AH4=0),0,MAX(5,AH4*IF(OR($A4=Parameters!$B$13,$A4=Parameters!$B$14),0.75,1)-(IF(AND($A4=DATE(2026,11,29),NOV29BF="Yes"),AI4,0)+IF(OR($A4=DATE(2026,11,29),$A4=DATE(2026,11,30),$A4=DATE(2026,12,1),$A4=DATE(2026,12,2)),AJ4,0)+IF(OR($A4=DATE(2026,11,28),$A4=DATE(2026,12,1)),AK4,0))))</f>
        <v>66</v>
      </c>
      <c r="AM4" s="14" t="n">
        <f aca="false">IF(AND($A4&lt;&gt;"",$A4&lt;Parameters!$B$14),CityData!F7*(1+TAXRATE),0)</f>
        <v>113.12</v>
      </c>
      <c r="AN4" s="14" t="n">
        <f aca="false">IF($A4="",0,IFERROR(VLOOKUP((YEAR($A4)+IF(MONTH($A4)&gt;=10,1,0))&amp;"|Seattle|"&amp;MONTH($A4),Rates!$A$2:$I$181,5,FALSE()),0))</f>
        <v>188</v>
      </c>
      <c r="AO4" s="14" t="n">
        <f aca="false">IF(OR($A4="",$A4&gt;=Parameters!$B$14),1,IF(AND(AN4&gt;0,CityData!F7&lt;=AN4),1,0))</f>
        <v>1</v>
      </c>
    </row>
    <row r="5" customFormat="false" ht="15" hidden="false" customHeight="true" outlineLevel="0" collapsed="false">
      <c r="A5" s="23" t="n">
        <f aca="false">IF(AND(Parameters!$B$14&gt;=Parameters!$B$13,ROW()-2&lt;=Parameters!$B$14-Parameters!$B$13),Parameters!$B$13+ROW()-2,"")</f>
        <v>46357</v>
      </c>
      <c r="B5" s="14" t="n">
        <f aca="false">IF($A5="",0,IFERROR(VLOOKUP((YEAR($A5)+IF(MONTH($A5)&gt;=10,1,0))&amp;"|Boston|"&amp;MONTH($A5),Rates!$A$2:$I$181,6,FALSE()),0))</f>
        <v>92</v>
      </c>
      <c r="C5" s="14" t="n">
        <f aca="false">IF(B5=0,0,VLOOKUP(B5,MIE_Components!$A$2:$F$6,2,FALSE()))</f>
        <v>23</v>
      </c>
      <c r="D5" s="14" t="n">
        <f aca="false">IF(B5=0,0,VLOOKUP(B5,MIE_Components!$A$2:$F$6,3,FALSE()))</f>
        <v>26</v>
      </c>
      <c r="E5" s="14" t="n">
        <f aca="false">IF(B5=0,0,VLOOKUP(B5,MIE_Components!$A$2:$F$6,4,FALSE()))</f>
        <v>38</v>
      </c>
      <c r="F5" s="14" t="n">
        <f aca="false">IF(OR($A5="",B5=0),0,MAX(5,B5*IF(OR($A5=Parameters!$B$13,$A5=Parameters!$B$14),0.75,1)-(IF(AND($A5=DATE(2026,11,29),NOV29BF="Yes"),C5,0)+IF(OR($A5=DATE(2026,11,29),$A5=DATE(2026,11,30),$A5=DATE(2026,12,1),$A5=DATE(2026,12,2)),D5,0)+IF(OR($A5=DATE(2026,11,28),$A5=DATE(2026,12,1)),E5,0))))</f>
        <v>28</v>
      </c>
      <c r="G5" s="14" t="n">
        <f aca="false">IF(AND($A5&lt;&gt;"",$A5&lt;Parameters!$B$14),CityData!F3*(1+TAXRATE),0)</f>
        <v>120.96</v>
      </c>
      <c r="H5" s="14" t="n">
        <f aca="false">IF($A5="",0,IFERROR(VLOOKUP((YEAR($A5)+IF(MONTH($A5)&gt;=10,1,0))&amp;"|Boston|"&amp;MONTH($A5),Rates!$A$2:$I$181,5,FALSE()),0))</f>
        <v>213</v>
      </c>
      <c r="I5" s="14" t="n">
        <f aca="false">IF(OR($A5="",$A5&gt;=Parameters!$B$14),1,IF(AND(H5&gt;0,CityData!F3&lt;=H5),1,0))</f>
        <v>1</v>
      </c>
      <c r="J5" s="14" t="n">
        <f aca="false">IF($A5="",0,IFERROR(VLOOKUP((YEAR($A5)+IF(MONTH($A5)&gt;=10,1,0))&amp;"|Chicago|"&amp;MONTH($A5),Rates!$A$2:$I$181,6,FALSE()),0))</f>
        <v>92</v>
      </c>
      <c r="K5" s="14" t="n">
        <f aca="false">IF(J5=0,0,VLOOKUP(J5,MIE_Components!$A$2:$F$6,2,FALSE()))</f>
        <v>23</v>
      </c>
      <c r="L5" s="14" t="n">
        <f aca="false">IF(J5=0,0,VLOOKUP(J5,MIE_Components!$A$2:$F$6,3,FALSE()))</f>
        <v>26</v>
      </c>
      <c r="M5" s="14" t="n">
        <f aca="false">IF(J5=0,0,VLOOKUP(J5,MIE_Components!$A$2:$F$6,4,FALSE()))</f>
        <v>38</v>
      </c>
      <c r="N5" s="14" t="n">
        <f aca="false">IF(OR($A5="",J5=0),0,MAX(5,J5*IF(OR($A5=Parameters!$B$13,$A5=Parameters!$B$14),0.75,1)-(IF(AND($A5=DATE(2026,11,29),NOV29BF="Yes"),K5,0)+IF(OR($A5=DATE(2026,11,29),$A5=DATE(2026,11,30),$A5=DATE(2026,12,1),$A5=DATE(2026,12,2)),L5,0)+IF(OR($A5=DATE(2026,11,28),$A5=DATE(2026,12,1)),M5,0))))</f>
        <v>28</v>
      </c>
      <c r="O5" s="14" t="n">
        <f aca="false">IF(AND($A5&lt;&gt;"",$A5&lt;Parameters!$B$14),CityData!F4*(1+TAXRATE),0)</f>
        <v>176.96</v>
      </c>
      <c r="P5" s="14" t="n">
        <f aca="false">IF($A5="",0,IFERROR(VLOOKUP((YEAR($A5)+IF(MONTH($A5)&gt;=10,1,0))&amp;"|Chicago|"&amp;MONTH($A5),Rates!$A$2:$I$181,5,FALSE()),0))</f>
        <v>148</v>
      </c>
      <c r="Q5" s="14" t="n">
        <f aca="false">IF(OR($A5="",$A5&gt;=Parameters!$B$14),1,IF(AND(P5&gt;0,CityData!F4&lt;=P5),1,0))</f>
        <v>0</v>
      </c>
      <c r="R5" s="14" t="n">
        <f aca="false">IF($A5="",0,IFERROR(VLOOKUP((YEAR($A5)+IF(MONTH($A5)&gt;=10,1,0))&amp;"|Denver|"&amp;MONTH($A5),Rates!$A$2:$I$181,6,FALSE()),0))</f>
        <v>92</v>
      </c>
      <c r="S5" s="14" t="n">
        <f aca="false">IF(R5=0,0,VLOOKUP(R5,MIE_Components!$A$2:$F$6,2,FALSE()))</f>
        <v>23</v>
      </c>
      <c r="T5" s="14" t="n">
        <f aca="false">IF(R5=0,0,VLOOKUP(R5,MIE_Components!$A$2:$F$6,3,FALSE()))</f>
        <v>26</v>
      </c>
      <c r="U5" s="14" t="n">
        <f aca="false">IF(R5=0,0,VLOOKUP(R5,MIE_Components!$A$2:$F$6,4,FALSE()))</f>
        <v>38</v>
      </c>
      <c r="V5" s="14" t="n">
        <f aca="false">IF(OR($A5="",R5=0),0,MAX(5,R5*IF(OR($A5=Parameters!$B$13,$A5=Parameters!$B$14),0.75,1)-(IF(AND($A5=DATE(2026,11,29),NOV29BF="Yes"),S5,0)+IF(OR($A5=DATE(2026,11,29),$A5=DATE(2026,11,30),$A5=DATE(2026,12,1),$A5=DATE(2026,12,2)),T5,0)+IF(OR($A5=DATE(2026,11,28),$A5=DATE(2026,12,1)),U5,0))))</f>
        <v>28</v>
      </c>
      <c r="W5" s="14" t="n">
        <f aca="false">IF(AND($A5&lt;&gt;"",$A5&lt;Parameters!$B$14),CityData!F5*(1+TAXRATE),0)</f>
        <v>122.08</v>
      </c>
      <c r="X5" s="14" t="n">
        <f aca="false">IF($A5="",0,IFERROR(VLOOKUP((YEAR($A5)+IF(MONTH($A5)&gt;=10,1,0))&amp;"|Denver|"&amp;MONTH($A5),Rates!$A$2:$I$181,5,FALSE()),0))</f>
        <v>170</v>
      </c>
      <c r="Y5" s="14" t="n">
        <f aca="false">IF(OR($A5="",$A5&gt;=Parameters!$B$14),1,IF(AND(X5&gt;0,CityData!F5&lt;=X5),1,0))</f>
        <v>1</v>
      </c>
      <c r="Z5" s="14" t="n">
        <f aca="false">IF($A5="",0,IFERROR(VLOOKUP((YEAR($A5)+IF(MONTH($A5)&gt;=10,1,0))&amp;"|Phoenix|"&amp;MONTH($A5),Rates!$A$2:$I$181,6,FALSE()),0))</f>
        <v>86</v>
      </c>
      <c r="AA5" s="14" t="n">
        <f aca="false">IF(Z5=0,0,VLOOKUP(Z5,MIE_Components!$A$2:$F$6,2,FALSE()))</f>
        <v>22</v>
      </c>
      <c r="AB5" s="14" t="n">
        <f aca="false">IF(Z5=0,0,VLOOKUP(Z5,MIE_Components!$A$2:$F$6,3,FALSE()))</f>
        <v>23</v>
      </c>
      <c r="AC5" s="14" t="n">
        <f aca="false">IF(Z5=0,0,VLOOKUP(Z5,MIE_Components!$A$2:$F$6,4,FALSE()))</f>
        <v>36</v>
      </c>
      <c r="AD5" s="14" t="n">
        <f aca="false">IF(OR($A5="",Z5=0),0,MAX(5,Z5*IF(OR($A5=Parameters!$B$13,$A5=Parameters!$B$14),0.75,1)-(IF(AND($A5=DATE(2026,11,29),NOV29BF="Yes"),AA5,0)+IF(OR($A5=DATE(2026,11,29),$A5=DATE(2026,11,30),$A5=DATE(2026,12,1),$A5=DATE(2026,12,2)),AB5,0)+IF(OR($A5=DATE(2026,11,28),$A5=DATE(2026,12,1)),AC5,0))))</f>
        <v>27</v>
      </c>
      <c r="AE5" s="14" t="n">
        <f aca="false">IF(AND($A5&lt;&gt;"",$A5&lt;Parameters!$B$14),CityData!F6*(1+TAXRATE),0)</f>
        <v>168</v>
      </c>
      <c r="AF5" s="14" t="n">
        <f aca="false">IF($A5="",0,IFERROR(VLOOKUP((YEAR($A5)+IF(MONTH($A5)&gt;=10,1,0))&amp;"|Phoenix|"&amp;MONTH($A5),Rates!$A$2:$I$181,5,FALSE()),0))</f>
        <v>165</v>
      </c>
      <c r="AG5" s="14" t="n">
        <f aca="false">IF(OR($A5="",$A5&gt;=Parameters!$B$14),1,IF(AND(AF5&gt;0,CityData!F6&lt;=AF5),1,0))</f>
        <v>1</v>
      </c>
      <c r="AH5" s="14" t="n">
        <f aca="false">IF($A5="",0,IFERROR(VLOOKUP((YEAR($A5)+IF(MONTH($A5)&gt;=10,1,0))&amp;"|Seattle|"&amp;MONTH($A5),Rates!$A$2:$I$181,6,FALSE()),0))</f>
        <v>92</v>
      </c>
      <c r="AI5" s="14" t="n">
        <f aca="false">IF(AH5=0,0,VLOOKUP(AH5,MIE_Components!$A$2:$F$6,2,FALSE()))</f>
        <v>23</v>
      </c>
      <c r="AJ5" s="14" t="n">
        <f aca="false">IF(AH5=0,0,VLOOKUP(AH5,MIE_Components!$A$2:$F$6,3,FALSE()))</f>
        <v>26</v>
      </c>
      <c r="AK5" s="14" t="n">
        <f aca="false">IF(AH5=0,0,VLOOKUP(AH5,MIE_Components!$A$2:$F$6,4,FALSE()))</f>
        <v>38</v>
      </c>
      <c r="AL5" s="14" t="n">
        <f aca="false">IF(OR($A5="",AH5=0),0,MAX(5,AH5*IF(OR($A5=Parameters!$B$13,$A5=Parameters!$B$14),0.75,1)-(IF(AND($A5=DATE(2026,11,29),NOV29BF="Yes"),AI5,0)+IF(OR($A5=DATE(2026,11,29),$A5=DATE(2026,11,30),$A5=DATE(2026,12,1),$A5=DATE(2026,12,2)),AJ5,0)+IF(OR($A5=DATE(2026,11,28),$A5=DATE(2026,12,1)),AK5,0))))</f>
        <v>28</v>
      </c>
      <c r="AM5" s="14" t="n">
        <f aca="false">IF(AND($A5&lt;&gt;"",$A5&lt;Parameters!$B$14),CityData!F7*(1+TAXRATE),0)</f>
        <v>113.12</v>
      </c>
      <c r="AN5" s="14" t="n">
        <f aca="false">IF($A5="",0,IFERROR(VLOOKUP((YEAR($A5)+IF(MONTH($A5)&gt;=10,1,0))&amp;"|Seattle|"&amp;MONTH($A5),Rates!$A$2:$I$181,5,FALSE()),0))</f>
        <v>188</v>
      </c>
      <c r="AO5" s="14" t="n">
        <f aca="false">IF(OR($A5="",$A5&gt;=Parameters!$B$14),1,IF(AND(AN5&gt;0,CityData!F7&lt;=AN5),1,0))</f>
        <v>1</v>
      </c>
    </row>
    <row r="6" customFormat="false" ht="15" hidden="false" customHeight="true" outlineLevel="0" collapsed="false">
      <c r="A6" s="23" t="n">
        <f aca="false">IF(AND(Parameters!$B$14&gt;=Parameters!$B$13,ROW()-2&lt;=Parameters!$B$14-Parameters!$B$13),Parameters!$B$13+ROW()-2,"")</f>
        <v>46358</v>
      </c>
      <c r="B6" s="14" t="n">
        <f aca="false">IF($A6="",0,IFERROR(VLOOKUP((YEAR($A6)+IF(MONTH($A6)&gt;=10,1,0))&amp;"|Boston|"&amp;MONTH($A6),Rates!$A$2:$I$181,6,FALSE()),0))</f>
        <v>92</v>
      </c>
      <c r="C6" s="14" t="n">
        <f aca="false">IF(B6=0,0,VLOOKUP(B6,MIE_Components!$A$2:$F$6,2,FALSE()))</f>
        <v>23</v>
      </c>
      <c r="D6" s="14" t="n">
        <f aca="false">IF(B6=0,0,VLOOKUP(B6,MIE_Components!$A$2:$F$6,3,FALSE()))</f>
        <v>26</v>
      </c>
      <c r="E6" s="14" t="n">
        <f aca="false">IF(B6=0,0,VLOOKUP(B6,MIE_Components!$A$2:$F$6,4,FALSE()))</f>
        <v>38</v>
      </c>
      <c r="F6" s="14" t="n">
        <f aca="false">IF(OR($A6="",B6=0),0,MAX(5,B6*IF(OR($A6=Parameters!$B$13,$A6=Parameters!$B$14),0.75,1)-(IF(AND($A6=DATE(2026,11,29),NOV29BF="Yes"),C6,0)+IF(OR($A6=DATE(2026,11,29),$A6=DATE(2026,11,30),$A6=DATE(2026,12,1),$A6=DATE(2026,12,2)),D6,0)+IF(OR($A6=DATE(2026,11,28),$A6=DATE(2026,12,1)),E6,0))))</f>
        <v>43</v>
      </c>
      <c r="G6" s="14" t="n">
        <f aca="false">IF(AND($A6&lt;&gt;"",$A6&lt;Parameters!$B$14),CityData!F3*(1+TAXRATE),0)</f>
        <v>0</v>
      </c>
      <c r="H6" s="14" t="n">
        <f aca="false">IF($A6="",0,IFERROR(VLOOKUP((YEAR($A6)+IF(MONTH($A6)&gt;=10,1,0))&amp;"|Boston|"&amp;MONTH($A6),Rates!$A$2:$I$181,5,FALSE()),0))</f>
        <v>213</v>
      </c>
      <c r="I6" s="14" t="n">
        <f aca="false">IF(OR($A6="",$A6&gt;=Parameters!$B$14),1,IF(AND(H6&gt;0,CityData!F3&lt;=H6),1,0))</f>
        <v>1</v>
      </c>
      <c r="J6" s="14" t="n">
        <f aca="false">IF($A6="",0,IFERROR(VLOOKUP((YEAR($A6)+IF(MONTH($A6)&gt;=10,1,0))&amp;"|Chicago|"&amp;MONTH($A6),Rates!$A$2:$I$181,6,FALSE()),0))</f>
        <v>92</v>
      </c>
      <c r="K6" s="14" t="n">
        <f aca="false">IF(J6=0,0,VLOOKUP(J6,MIE_Components!$A$2:$F$6,2,FALSE()))</f>
        <v>23</v>
      </c>
      <c r="L6" s="14" t="n">
        <f aca="false">IF(J6=0,0,VLOOKUP(J6,MIE_Components!$A$2:$F$6,3,FALSE()))</f>
        <v>26</v>
      </c>
      <c r="M6" s="14" t="n">
        <f aca="false">IF(J6=0,0,VLOOKUP(J6,MIE_Components!$A$2:$F$6,4,FALSE()))</f>
        <v>38</v>
      </c>
      <c r="N6" s="14" t="n">
        <f aca="false">IF(OR($A6="",J6=0),0,MAX(5,J6*IF(OR($A6=Parameters!$B$13,$A6=Parameters!$B$14),0.75,1)-(IF(AND($A6=DATE(2026,11,29),NOV29BF="Yes"),K6,0)+IF(OR($A6=DATE(2026,11,29),$A6=DATE(2026,11,30),$A6=DATE(2026,12,1),$A6=DATE(2026,12,2)),L6,0)+IF(OR($A6=DATE(2026,11,28),$A6=DATE(2026,12,1)),M6,0))))</f>
        <v>43</v>
      </c>
      <c r="O6" s="14" t="n">
        <f aca="false">IF(AND($A6&lt;&gt;"",$A6&lt;Parameters!$B$14),CityData!F4*(1+TAXRATE),0)</f>
        <v>0</v>
      </c>
      <c r="P6" s="14" t="n">
        <f aca="false">IF($A6="",0,IFERROR(VLOOKUP((YEAR($A6)+IF(MONTH($A6)&gt;=10,1,0))&amp;"|Chicago|"&amp;MONTH($A6),Rates!$A$2:$I$181,5,FALSE()),0))</f>
        <v>148</v>
      </c>
      <c r="Q6" s="14" t="n">
        <f aca="false">IF(OR($A6="",$A6&gt;=Parameters!$B$14),1,IF(AND(P6&gt;0,CityData!F4&lt;=P6),1,0))</f>
        <v>1</v>
      </c>
      <c r="R6" s="14" t="n">
        <f aca="false">IF($A6="",0,IFERROR(VLOOKUP((YEAR($A6)+IF(MONTH($A6)&gt;=10,1,0))&amp;"|Denver|"&amp;MONTH($A6),Rates!$A$2:$I$181,6,FALSE()),0))</f>
        <v>92</v>
      </c>
      <c r="S6" s="14" t="n">
        <f aca="false">IF(R6=0,0,VLOOKUP(R6,MIE_Components!$A$2:$F$6,2,FALSE()))</f>
        <v>23</v>
      </c>
      <c r="T6" s="14" t="n">
        <f aca="false">IF(R6=0,0,VLOOKUP(R6,MIE_Components!$A$2:$F$6,3,FALSE()))</f>
        <v>26</v>
      </c>
      <c r="U6" s="14" t="n">
        <f aca="false">IF(R6=0,0,VLOOKUP(R6,MIE_Components!$A$2:$F$6,4,FALSE()))</f>
        <v>38</v>
      </c>
      <c r="V6" s="14" t="n">
        <f aca="false">IF(OR($A6="",R6=0),0,MAX(5,R6*IF(OR($A6=Parameters!$B$13,$A6=Parameters!$B$14),0.75,1)-(IF(AND($A6=DATE(2026,11,29),NOV29BF="Yes"),S6,0)+IF(OR($A6=DATE(2026,11,29),$A6=DATE(2026,11,30),$A6=DATE(2026,12,1),$A6=DATE(2026,12,2)),T6,0)+IF(OR($A6=DATE(2026,11,28),$A6=DATE(2026,12,1)),U6,0))))</f>
        <v>43</v>
      </c>
      <c r="W6" s="14" t="n">
        <f aca="false">IF(AND($A6&lt;&gt;"",$A6&lt;Parameters!$B$14),CityData!F5*(1+TAXRATE),0)</f>
        <v>0</v>
      </c>
      <c r="X6" s="14" t="n">
        <f aca="false">IF($A6="",0,IFERROR(VLOOKUP((YEAR($A6)+IF(MONTH($A6)&gt;=10,1,0))&amp;"|Denver|"&amp;MONTH($A6),Rates!$A$2:$I$181,5,FALSE()),0))</f>
        <v>170</v>
      </c>
      <c r="Y6" s="14" t="n">
        <f aca="false">IF(OR($A6="",$A6&gt;=Parameters!$B$14),1,IF(AND(X6&gt;0,CityData!F5&lt;=X6),1,0))</f>
        <v>1</v>
      </c>
      <c r="Z6" s="14" t="n">
        <f aca="false">IF($A6="",0,IFERROR(VLOOKUP((YEAR($A6)+IF(MONTH($A6)&gt;=10,1,0))&amp;"|Phoenix|"&amp;MONTH($A6),Rates!$A$2:$I$181,6,FALSE()),0))</f>
        <v>86</v>
      </c>
      <c r="AA6" s="14" t="n">
        <f aca="false">IF(Z6=0,0,VLOOKUP(Z6,MIE_Components!$A$2:$F$6,2,FALSE()))</f>
        <v>22</v>
      </c>
      <c r="AB6" s="14" t="n">
        <f aca="false">IF(Z6=0,0,VLOOKUP(Z6,MIE_Components!$A$2:$F$6,3,FALSE()))</f>
        <v>23</v>
      </c>
      <c r="AC6" s="14" t="n">
        <f aca="false">IF(Z6=0,0,VLOOKUP(Z6,MIE_Components!$A$2:$F$6,4,FALSE()))</f>
        <v>36</v>
      </c>
      <c r="AD6" s="14" t="n">
        <f aca="false">IF(OR($A6="",Z6=0),0,MAX(5,Z6*IF(OR($A6=Parameters!$B$13,$A6=Parameters!$B$14),0.75,1)-(IF(AND($A6=DATE(2026,11,29),NOV29BF="Yes"),AA6,0)+IF(OR($A6=DATE(2026,11,29),$A6=DATE(2026,11,30),$A6=DATE(2026,12,1),$A6=DATE(2026,12,2)),AB6,0)+IF(OR($A6=DATE(2026,11,28),$A6=DATE(2026,12,1)),AC6,0))))</f>
        <v>41.5</v>
      </c>
      <c r="AE6" s="14" t="n">
        <f aca="false">IF(AND($A6&lt;&gt;"",$A6&lt;Parameters!$B$14),CityData!F6*(1+TAXRATE),0)</f>
        <v>0</v>
      </c>
      <c r="AF6" s="14" t="n">
        <f aca="false">IF($A6="",0,IFERROR(VLOOKUP((YEAR($A6)+IF(MONTH($A6)&gt;=10,1,0))&amp;"|Phoenix|"&amp;MONTH($A6),Rates!$A$2:$I$181,5,FALSE()),0))</f>
        <v>165</v>
      </c>
      <c r="AG6" s="14" t="n">
        <f aca="false">IF(OR($A6="",$A6&gt;=Parameters!$B$14),1,IF(AND(AF6&gt;0,CityData!F6&lt;=AF6),1,0))</f>
        <v>1</v>
      </c>
      <c r="AH6" s="14" t="n">
        <f aca="false">IF($A6="",0,IFERROR(VLOOKUP((YEAR($A6)+IF(MONTH($A6)&gt;=10,1,0))&amp;"|Seattle|"&amp;MONTH($A6),Rates!$A$2:$I$181,6,FALSE()),0))</f>
        <v>92</v>
      </c>
      <c r="AI6" s="14" t="n">
        <f aca="false">IF(AH6=0,0,VLOOKUP(AH6,MIE_Components!$A$2:$F$6,2,FALSE()))</f>
        <v>23</v>
      </c>
      <c r="AJ6" s="14" t="n">
        <f aca="false">IF(AH6=0,0,VLOOKUP(AH6,MIE_Components!$A$2:$F$6,3,FALSE()))</f>
        <v>26</v>
      </c>
      <c r="AK6" s="14" t="n">
        <f aca="false">IF(AH6=0,0,VLOOKUP(AH6,MIE_Components!$A$2:$F$6,4,FALSE()))</f>
        <v>38</v>
      </c>
      <c r="AL6" s="14" t="n">
        <f aca="false">IF(OR($A6="",AH6=0),0,MAX(5,AH6*IF(OR($A6=Parameters!$B$13,$A6=Parameters!$B$14),0.75,1)-(IF(AND($A6=DATE(2026,11,29),NOV29BF="Yes"),AI6,0)+IF(OR($A6=DATE(2026,11,29),$A6=DATE(2026,11,30),$A6=DATE(2026,12,1),$A6=DATE(2026,12,2)),AJ6,0)+IF(OR($A6=DATE(2026,11,28),$A6=DATE(2026,12,1)),AK6,0))))</f>
        <v>43</v>
      </c>
      <c r="AM6" s="14" t="n">
        <f aca="false">IF(AND($A6&lt;&gt;"",$A6&lt;Parameters!$B$14),CityData!F7*(1+TAXRATE),0)</f>
        <v>0</v>
      </c>
      <c r="AN6" s="14" t="n">
        <f aca="false">IF($A6="",0,IFERROR(VLOOKUP((YEAR($A6)+IF(MONTH($A6)&gt;=10,1,0))&amp;"|Seattle|"&amp;MONTH($A6),Rates!$A$2:$I$181,5,FALSE()),0))</f>
        <v>188</v>
      </c>
      <c r="AO6" s="14" t="n">
        <f aca="false">IF(OR($A6="",$A6&gt;=Parameters!$B$14),1,IF(AND(AN6&gt;0,CityData!F7&lt;=AN6),1,0))</f>
        <v>1</v>
      </c>
    </row>
    <row r="7" customFormat="false" ht="15" hidden="false" customHeight="true" outlineLevel="0" collapsed="false">
      <c r="A7" s="23" t="str">
        <f aca="false">IF(AND(Parameters!$B$14&gt;=Parameters!$B$13,ROW()-2&lt;=Parameters!$B$14-Parameters!$B$13),Parameters!$B$13+ROW()-2,"")</f>
        <v/>
      </c>
      <c r="B7" s="14" t="n">
        <f aca="false">IF($A7="",0,IFERROR(VLOOKUP((YEAR($A7)+IF(MONTH($A7)&gt;=10,1,0))&amp;"|Boston|"&amp;MONTH($A7),Rates!$A$2:$I$181,6,FALSE()),0))</f>
        <v>0</v>
      </c>
      <c r="C7" s="14" t="n">
        <f aca="false">IF(B7=0,0,VLOOKUP(B7,MIE_Components!$A$2:$F$6,2,FALSE()))</f>
        <v>0</v>
      </c>
      <c r="D7" s="14" t="n">
        <f aca="false">IF(B7=0,0,VLOOKUP(B7,MIE_Components!$A$2:$F$6,3,FALSE()))</f>
        <v>0</v>
      </c>
      <c r="E7" s="14" t="n">
        <f aca="false">IF(B7=0,0,VLOOKUP(B7,MIE_Components!$A$2:$F$6,4,FALSE()))</f>
        <v>0</v>
      </c>
      <c r="F7" s="14" t="n">
        <f aca="false">IF(OR($A7="",B7=0),0,MAX(5,B7*IF(OR($A7=Parameters!$B$13,$A7=Parameters!$B$14),0.75,1)-(IF(AND($A7=DATE(2026,11,29),NOV29BF="Yes"),C7,0)+IF(OR($A7=DATE(2026,11,29),$A7=DATE(2026,11,30),$A7=DATE(2026,12,1),$A7=DATE(2026,12,2)),D7,0)+IF(OR($A7=DATE(2026,11,28),$A7=DATE(2026,12,1)),E7,0))))</f>
        <v>0</v>
      </c>
      <c r="G7" s="14" t="n">
        <f aca="false">IF(AND($A7&lt;&gt;"",$A7&lt;Parameters!$B$14),CityData!F3*(1+TAXRATE),0)</f>
        <v>0</v>
      </c>
      <c r="H7" s="14" t="n">
        <f aca="false">IF($A7="",0,IFERROR(VLOOKUP((YEAR($A7)+IF(MONTH($A7)&gt;=10,1,0))&amp;"|Boston|"&amp;MONTH($A7),Rates!$A$2:$I$181,5,FALSE()),0))</f>
        <v>0</v>
      </c>
      <c r="I7" s="14" t="n">
        <f aca="false">IF(OR($A7="",$A7&gt;=Parameters!$B$14),1,IF(AND(H7&gt;0,CityData!F3&lt;=H7),1,0))</f>
        <v>1</v>
      </c>
      <c r="J7" s="14" t="n">
        <f aca="false">IF($A7="",0,IFERROR(VLOOKUP((YEAR($A7)+IF(MONTH($A7)&gt;=10,1,0))&amp;"|Chicago|"&amp;MONTH($A7),Rates!$A$2:$I$181,6,FALSE()),0))</f>
        <v>0</v>
      </c>
      <c r="K7" s="14" t="n">
        <f aca="false">IF(J7=0,0,VLOOKUP(J7,MIE_Components!$A$2:$F$6,2,FALSE()))</f>
        <v>0</v>
      </c>
      <c r="L7" s="14" t="n">
        <f aca="false">IF(J7=0,0,VLOOKUP(J7,MIE_Components!$A$2:$F$6,3,FALSE()))</f>
        <v>0</v>
      </c>
      <c r="M7" s="14" t="n">
        <f aca="false">IF(J7=0,0,VLOOKUP(J7,MIE_Components!$A$2:$F$6,4,FALSE()))</f>
        <v>0</v>
      </c>
      <c r="N7" s="14" t="n">
        <f aca="false">IF(OR($A7="",J7=0),0,MAX(5,J7*IF(OR($A7=Parameters!$B$13,$A7=Parameters!$B$14),0.75,1)-(IF(AND($A7=DATE(2026,11,29),NOV29BF="Yes"),K7,0)+IF(OR($A7=DATE(2026,11,29),$A7=DATE(2026,11,30),$A7=DATE(2026,12,1),$A7=DATE(2026,12,2)),L7,0)+IF(OR($A7=DATE(2026,11,28),$A7=DATE(2026,12,1)),M7,0))))</f>
        <v>0</v>
      </c>
      <c r="O7" s="14" t="n">
        <f aca="false">IF(AND($A7&lt;&gt;"",$A7&lt;Parameters!$B$14),CityData!F4*(1+TAXRATE),0)</f>
        <v>0</v>
      </c>
      <c r="P7" s="14" t="n">
        <f aca="false">IF($A7="",0,IFERROR(VLOOKUP((YEAR($A7)+IF(MONTH($A7)&gt;=10,1,0))&amp;"|Chicago|"&amp;MONTH($A7),Rates!$A$2:$I$181,5,FALSE()),0))</f>
        <v>0</v>
      </c>
      <c r="Q7" s="14" t="n">
        <f aca="false">IF(OR($A7="",$A7&gt;=Parameters!$B$14),1,IF(AND(P7&gt;0,CityData!F4&lt;=P7),1,0))</f>
        <v>1</v>
      </c>
      <c r="R7" s="14" t="n">
        <f aca="false">IF($A7="",0,IFERROR(VLOOKUP((YEAR($A7)+IF(MONTH($A7)&gt;=10,1,0))&amp;"|Denver|"&amp;MONTH($A7),Rates!$A$2:$I$181,6,FALSE()),0))</f>
        <v>0</v>
      </c>
      <c r="S7" s="14" t="n">
        <f aca="false">IF(R7=0,0,VLOOKUP(R7,MIE_Components!$A$2:$F$6,2,FALSE()))</f>
        <v>0</v>
      </c>
      <c r="T7" s="14" t="n">
        <f aca="false">IF(R7=0,0,VLOOKUP(R7,MIE_Components!$A$2:$F$6,3,FALSE()))</f>
        <v>0</v>
      </c>
      <c r="U7" s="14" t="n">
        <f aca="false">IF(R7=0,0,VLOOKUP(R7,MIE_Components!$A$2:$F$6,4,FALSE()))</f>
        <v>0</v>
      </c>
      <c r="V7" s="14" t="n">
        <f aca="false">IF(OR($A7="",R7=0),0,MAX(5,R7*IF(OR($A7=Parameters!$B$13,$A7=Parameters!$B$14),0.75,1)-(IF(AND($A7=DATE(2026,11,29),NOV29BF="Yes"),S7,0)+IF(OR($A7=DATE(2026,11,29),$A7=DATE(2026,11,30),$A7=DATE(2026,12,1),$A7=DATE(2026,12,2)),T7,0)+IF(OR($A7=DATE(2026,11,28),$A7=DATE(2026,12,1)),U7,0))))</f>
        <v>0</v>
      </c>
      <c r="W7" s="14" t="n">
        <f aca="false">IF(AND($A7&lt;&gt;"",$A7&lt;Parameters!$B$14),CityData!F5*(1+TAXRATE),0)</f>
        <v>0</v>
      </c>
      <c r="X7" s="14" t="n">
        <f aca="false">IF($A7="",0,IFERROR(VLOOKUP((YEAR($A7)+IF(MONTH($A7)&gt;=10,1,0))&amp;"|Denver|"&amp;MONTH($A7),Rates!$A$2:$I$181,5,FALSE()),0))</f>
        <v>0</v>
      </c>
      <c r="Y7" s="14" t="n">
        <f aca="false">IF(OR($A7="",$A7&gt;=Parameters!$B$14),1,IF(AND(X7&gt;0,CityData!F5&lt;=X7),1,0))</f>
        <v>1</v>
      </c>
      <c r="Z7" s="14" t="n">
        <f aca="false">IF($A7="",0,IFERROR(VLOOKUP((YEAR($A7)+IF(MONTH($A7)&gt;=10,1,0))&amp;"|Phoenix|"&amp;MONTH($A7),Rates!$A$2:$I$181,6,FALSE()),0))</f>
        <v>0</v>
      </c>
      <c r="AA7" s="14" t="n">
        <f aca="false">IF(Z7=0,0,VLOOKUP(Z7,MIE_Components!$A$2:$F$6,2,FALSE()))</f>
        <v>0</v>
      </c>
      <c r="AB7" s="14" t="n">
        <f aca="false">IF(Z7=0,0,VLOOKUP(Z7,MIE_Components!$A$2:$F$6,3,FALSE()))</f>
        <v>0</v>
      </c>
      <c r="AC7" s="14" t="n">
        <f aca="false">IF(Z7=0,0,VLOOKUP(Z7,MIE_Components!$A$2:$F$6,4,FALSE()))</f>
        <v>0</v>
      </c>
      <c r="AD7" s="14" t="n">
        <f aca="false">IF(OR($A7="",Z7=0),0,MAX(5,Z7*IF(OR($A7=Parameters!$B$13,$A7=Parameters!$B$14),0.75,1)-(IF(AND($A7=DATE(2026,11,29),NOV29BF="Yes"),AA7,0)+IF(OR($A7=DATE(2026,11,29),$A7=DATE(2026,11,30),$A7=DATE(2026,12,1),$A7=DATE(2026,12,2)),AB7,0)+IF(OR($A7=DATE(2026,11,28),$A7=DATE(2026,12,1)),AC7,0))))</f>
        <v>0</v>
      </c>
      <c r="AE7" s="14" t="n">
        <f aca="false">IF(AND($A7&lt;&gt;"",$A7&lt;Parameters!$B$14),CityData!F6*(1+TAXRATE),0)</f>
        <v>0</v>
      </c>
      <c r="AF7" s="14" t="n">
        <f aca="false">IF($A7="",0,IFERROR(VLOOKUP((YEAR($A7)+IF(MONTH($A7)&gt;=10,1,0))&amp;"|Phoenix|"&amp;MONTH($A7),Rates!$A$2:$I$181,5,FALSE()),0))</f>
        <v>0</v>
      </c>
      <c r="AG7" s="14" t="n">
        <f aca="false">IF(OR($A7="",$A7&gt;=Parameters!$B$14),1,IF(AND(AF7&gt;0,CityData!F6&lt;=AF7),1,0))</f>
        <v>1</v>
      </c>
      <c r="AH7" s="14" t="n">
        <f aca="false">IF($A7="",0,IFERROR(VLOOKUP((YEAR($A7)+IF(MONTH($A7)&gt;=10,1,0))&amp;"|Seattle|"&amp;MONTH($A7),Rates!$A$2:$I$181,6,FALSE()),0))</f>
        <v>0</v>
      </c>
      <c r="AI7" s="14" t="n">
        <f aca="false">IF(AH7=0,0,VLOOKUP(AH7,MIE_Components!$A$2:$F$6,2,FALSE()))</f>
        <v>0</v>
      </c>
      <c r="AJ7" s="14" t="n">
        <f aca="false">IF(AH7=0,0,VLOOKUP(AH7,MIE_Components!$A$2:$F$6,3,FALSE()))</f>
        <v>0</v>
      </c>
      <c r="AK7" s="14" t="n">
        <f aca="false">IF(AH7=0,0,VLOOKUP(AH7,MIE_Components!$A$2:$F$6,4,FALSE()))</f>
        <v>0</v>
      </c>
      <c r="AL7" s="14" t="n">
        <f aca="false">IF(OR($A7="",AH7=0),0,MAX(5,AH7*IF(OR($A7=Parameters!$B$13,$A7=Parameters!$B$14),0.75,1)-(IF(AND($A7=DATE(2026,11,29),NOV29BF="Yes"),AI7,0)+IF(OR($A7=DATE(2026,11,29),$A7=DATE(2026,11,30),$A7=DATE(2026,12,1),$A7=DATE(2026,12,2)),AJ7,0)+IF(OR($A7=DATE(2026,11,28),$A7=DATE(2026,12,1)),AK7,0))))</f>
        <v>0</v>
      </c>
      <c r="AM7" s="14" t="n">
        <f aca="false">IF(AND($A7&lt;&gt;"",$A7&lt;Parameters!$B$14),CityData!F7*(1+TAXRATE),0)</f>
        <v>0</v>
      </c>
      <c r="AN7" s="14" t="n">
        <f aca="false">IF($A7="",0,IFERROR(VLOOKUP((YEAR($A7)+IF(MONTH($A7)&gt;=10,1,0))&amp;"|Seattle|"&amp;MONTH($A7),Rates!$A$2:$I$181,5,FALSE()),0))</f>
        <v>0</v>
      </c>
      <c r="AO7" s="14" t="n">
        <f aca="false">IF(OR($A7="",$A7&gt;=Parameters!$B$14),1,IF(AND(AN7&gt;0,CityData!F7&lt;=AN7),1,0))</f>
        <v>1</v>
      </c>
    </row>
    <row r="8" customFormat="false" ht="15" hidden="false" customHeight="true" outlineLevel="0" collapsed="false">
      <c r="A8" s="23" t="str">
        <f aca="false">IF(AND(Parameters!$B$14&gt;=Parameters!$B$13,ROW()-2&lt;=Parameters!$B$14-Parameters!$B$13),Parameters!$B$13+ROW()-2,"")</f>
        <v/>
      </c>
      <c r="B8" s="14" t="n">
        <f aca="false">IF($A8="",0,IFERROR(VLOOKUP((YEAR($A8)+IF(MONTH($A8)&gt;=10,1,0))&amp;"|Boston|"&amp;MONTH($A8),Rates!$A$2:$I$181,6,FALSE()),0))</f>
        <v>0</v>
      </c>
      <c r="C8" s="14" t="n">
        <f aca="false">IF(B8=0,0,VLOOKUP(B8,MIE_Components!$A$2:$F$6,2,FALSE()))</f>
        <v>0</v>
      </c>
      <c r="D8" s="14" t="n">
        <f aca="false">IF(B8=0,0,VLOOKUP(B8,MIE_Components!$A$2:$F$6,3,FALSE()))</f>
        <v>0</v>
      </c>
      <c r="E8" s="14" t="n">
        <f aca="false">IF(B8=0,0,VLOOKUP(B8,MIE_Components!$A$2:$F$6,4,FALSE()))</f>
        <v>0</v>
      </c>
      <c r="F8" s="14" t="n">
        <f aca="false">IF(OR($A8="",B8=0),0,MAX(5,B8*IF(OR($A8=Parameters!$B$13,$A8=Parameters!$B$14),0.75,1)-(IF(AND($A8=DATE(2026,11,29),NOV29BF="Yes"),C8,0)+IF(OR($A8=DATE(2026,11,29),$A8=DATE(2026,11,30),$A8=DATE(2026,12,1),$A8=DATE(2026,12,2)),D8,0)+IF(OR($A8=DATE(2026,11,28),$A8=DATE(2026,12,1)),E8,0))))</f>
        <v>0</v>
      </c>
      <c r="G8" s="14" t="n">
        <f aca="false">IF(AND($A8&lt;&gt;"",$A8&lt;Parameters!$B$14),CityData!F3*(1+TAXRATE),0)</f>
        <v>0</v>
      </c>
      <c r="H8" s="14" t="n">
        <f aca="false">IF($A8="",0,IFERROR(VLOOKUP((YEAR($A8)+IF(MONTH($A8)&gt;=10,1,0))&amp;"|Boston|"&amp;MONTH($A8),Rates!$A$2:$I$181,5,FALSE()),0))</f>
        <v>0</v>
      </c>
      <c r="I8" s="14" t="n">
        <f aca="false">IF(OR($A8="",$A8&gt;=Parameters!$B$14),1,IF(AND(H8&gt;0,CityData!F3&lt;=H8),1,0))</f>
        <v>1</v>
      </c>
      <c r="J8" s="14" t="n">
        <f aca="false">IF($A8="",0,IFERROR(VLOOKUP((YEAR($A8)+IF(MONTH($A8)&gt;=10,1,0))&amp;"|Chicago|"&amp;MONTH($A8),Rates!$A$2:$I$181,6,FALSE()),0))</f>
        <v>0</v>
      </c>
      <c r="K8" s="14" t="n">
        <f aca="false">IF(J8=0,0,VLOOKUP(J8,MIE_Components!$A$2:$F$6,2,FALSE()))</f>
        <v>0</v>
      </c>
      <c r="L8" s="14" t="n">
        <f aca="false">IF(J8=0,0,VLOOKUP(J8,MIE_Components!$A$2:$F$6,3,FALSE()))</f>
        <v>0</v>
      </c>
      <c r="M8" s="14" t="n">
        <f aca="false">IF(J8=0,0,VLOOKUP(J8,MIE_Components!$A$2:$F$6,4,FALSE()))</f>
        <v>0</v>
      </c>
      <c r="N8" s="14" t="n">
        <f aca="false">IF(OR($A8="",J8=0),0,MAX(5,J8*IF(OR($A8=Parameters!$B$13,$A8=Parameters!$B$14),0.75,1)-(IF(AND($A8=DATE(2026,11,29),NOV29BF="Yes"),K8,0)+IF(OR($A8=DATE(2026,11,29),$A8=DATE(2026,11,30),$A8=DATE(2026,12,1),$A8=DATE(2026,12,2)),L8,0)+IF(OR($A8=DATE(2026,11,28),$A8=DATE(2026,12,1)),M8,0))))</f>
        <v>0</v>
      </c>
      <c r="O8" s="14" t="n">
        <f aca="false">IF(AND($A8&lt;&gt;"",$A8&lt;Parameters!$B$14),CityData!F4*(1+TAXRATE),0)</f>
        <v>0</v>
      </c>
      <c r="P8" s="14" t="n">
        <f aca="false">IF($A8="",0,IFERROR(VLOOKUP((YEAR($A8)+IF(MONTH($A8)&gt;=10,1,0))&amp;"|Chicago|"&amp;MONTH($A8),Rates!$A$2:$I$181,5,FALSE()),0))</f>
        <v>0</v>
      </c>
      <c r="Q8" s="14" t="n">
        <f aca="false">IF(OR($A8="",$A8&gt;=Parameters!$B$14),1,IF(AND(P8&gt;0,CityData!F4&lt;=P8),1,0))</f>
        <v>1</v>
      </c>
      <c r="R8" s="14" t="n">
        <f aca="false">IF($A8="",0,IFERROR(VLOOKUP((YEAR($A8)+IF(MONTH($A8)&gt;=10,1,0))&amp;"|Denver|"&amp;MONTH($A8),Rates!$A$2:$I$181,6,FALSE()),0))</f>
        <v>0</v>
      </c>
      <c r="S8" s="14" t="n">
        <f aca="false">IF(R8=0,0,VLOOKUP(R8,MIE_Components!$A$2:$F$6,2,FALSE()))</f>
        <v>0</v>
      </c>
      <c r="T8" s="14" t="n">
        <f aca="false">IF(R8=0,0,VLOOKUP(R8,MIE_Components!$A$2:$F$6,3,FALSE()))</f>
        <v>0</v>
      </c>
      <c r="U8" s="14" t="n">
        <f aca="false">IF(R8=0,0,VLOOKUP(R8,MIE_Components!$A$2:$F$6,4,FALSE()))</f>
        <v>0</v>
      </c>
      <c r="V8" s="14" t="n">
        <f aca="false">IF(OR($A8="",R8=0),0,MAX(5,R8*IF(OR($A8=Parameters!$B$13,$A8=Parameters!$B$14),0.75,1)-(IF(AND($A8=DATE(2026,11,29),NOV29BF="Yes"),S8,0)+IF(OR($A8=DATE(2026,11,29),$A8=DATE(2026,11,30),$A8=DATE(2026,12,1),$A8=DATE(2026,12,2)),T8,0)+IF(OR($A8=DATE(2026,11,28),$A8=DATE(2026,12,1)),U8,0))))</f>
        <v>0</v>
      </c>
      <c r="W8" s="14" t="n">
        <f aca="false">IF(AND($A8&lt;&gt;"",$A8&lt;Parameters!$B$14),CityData!F5*(1+TAXRATE),0)</f>
        <v>0</v>
      </c>
      <c r="X8" s="14" t="n">
        <f aca="false">IF($A8="",0,IFERROR(VLOOKUP((YEAR($A8)+IF(MONTH($A8)&gt;=10,1,0))&amp;"|Denver|"&amp;MONTH($A8),Rates!$A$2:$I$181,5,FALSE()),0))</f>
        <v>0</v>
      </c>
      <c r="Y8" s="14" t="n">
        <f aca="false">IF(OR($A8="",$A8&gt;=Parameters!$B$14),1,IF(AND(X8&gt;0,CityData!F5&lt;=X8),1,0))</f>
        <v>1</v>
      </c>
      <c r="Z8" s="14" t="n">
        <f aca="false">IF($A8="",0,IFERROR(VLOOKUP((YEAR($A8)+IF(MONTH($A8)&gt;=10,1,0))&amp;"|Phoenix|"&amp;MONTH($A8),Rates!$A$2:$I$181,6,FALSE()),0))</f>
        <v>0</v>
      </c>
      <c r="AA8" s="14" t="n">
        <f aca="false">IF(Z8=0,0,VLOOKUP(Z8,MIE_Components!$A$2:$F$6,2,FALSE()))</f>
        <v>0</v>
      </c>
      <c r="AB8" s="14" t="n">
        <f aca="false">IF(Z8=0,0,VLOOKUP(Z8,MIE_Components!$A$2:$F$6,3,FALSE()))</f>
        <v>0</v>
      </c>
      <c r="AC8" s="14" t="n">
        <f aca="false">IF(Z8=0,0,VLOOKUP(Z8,MIE_Components!$A$2:$F$6,4,FALSE()))</f>
        <v>0</v>
      </c>
      <c r="AD8" s="14" t="n">
        <f aca="false">IF(OR($A8="",Z8=0),0,MAX(5,Z8*IF(OR($A8=Parameters!$B$13,$A8=Parameters!$B$14),0.75,1)-(IF(AND($A8=DATE(2026,11,29),NOV29BF="Yes"),AA8,0)+IF(OR($A8=DATE(2026,11,29),$A8=DATE(2026,11,30),$A8=DATE(2026,12,1),$A8=DATE(2026,12,2)),AB8,0)+IF(OR($A8=DATE(2026,11,28),$A8=DATE(2026,12,1)),AC8,0))))</f>
        <v>0</v>
      </c>
      <c r="AE8" s="14" t="n">
        <f aca="false">IF(AND($A8&lt;&gt;"",$A8&lt;Parameters!$B$14),CityData!F6*(1+TAXRATE),0)</f>
        <v>0</v>
      </c>
      <c r="AF8" s="14" t="n">
        <f aca="false">IF($A8="",0,IFERROR(VLOOKUP((YEAR($A8)+IF(MONTH($A8)&gt;=10,1,0))&amp;"|Phoenix|"&amp;MONTH($A8),Rates!$A$2:$I$181,5,FALSE()),0))</f>
        <v>0</v>
      </c>
      <c r="AG8" s="14" t="n">
        <f aca="false">IF(OR($A8="",$A8&gt;=Parameters!$B$14),1,IF(AND(AF8&gt;0,CityData!F6&lt;=AF8),1,0))</f>
        <v>1</v>
      </c>
      <c r="AH8" s="14" t="n">
        <f aca="false">IF($A8="",0,IFERROR(VLOOKUP((YEAR($A8)+IF(MONTH($A8)&gt;=10,1,0))&amp;"|Seattle|"&amp;MONTH($A8),Rates!$A$2:$I$181,6,FALSE()),0))</f>
        <v>0</v>
      </c>
      <c r="AI8" s="14" t="n">
        <f aca="false">IF(AH8=0,0,VLOOKUP(AH8,MIE_Components!$A$2:$F$6,2,FALSE()))</f>
        <v>0</v>
      </c>
      <c r="AJ8" s="14" t="n">
        <f aca="false">IF(AH8=0,0,VLOOKUP(AH8,MIE_Components!$A$2:$F$6,3,FALSE()))</f>
        <v>0</v>
      </c>
      <c r="AK8" s="14" t="n">
        <f aca="false">IF(AH8=0,0,VLOOKUP(AH8,MIE_Components!$A$2:$F$6,4,FALSE()))</f>
        <v>0</v>
      </c>
      <c r="AL8" s="14" t="n">
        <f aca="false">IF(OR($A8="",AH8=0),0,MAX(5,AH8*IF(OR($A8=Parameters!$B$13,$A8=Parameters!$B$14),0.75,1)-(IF(AND($A8=DATE(2026,11,29),NOV29BF="Yes"),AI8,0)+IF(OR($A8=DATE(2026,11,29),$A8=DATE(2026,11,30),$A8=DATE(2026,12,1),$A8=DATE(2026,12,2)),AJ8,0)+IF(OR($A8=DATE(2026,11,28),$A8=DATE(2026,12,1)),AK8,0))))</f>
        <v>0</v>
      </c>
      <c r="AM8" s="14" t="n">
        <f aca="false">IF(AND($A8&lt;&gt;"",$A8&lt;Parameters!$B$14),CityData!F7*(1+TAXRATE),0)</f>
        <v>0</v>
      </c>
      <c r="AN8" s="14" t="n">
        <f aca="false">IF($A8="",0,IFERROR(VLOOKUP((YEAR($A8)+IF(MONTH($A8)&gt;=10,1,0))&amp;"|Seattle|"&amp;MONTH($A8),Rates!$A$2:$I$181,5,FALSE()),0))</f>
        <v>0</v>
      </c>
      <c r="AO8" s="14" t="n">
        <f aca="false">IF(OR($A8="",$A8&gt;=Parameters!$B$14),1,IF(AND(AN8&gt;0,CityData!F7&lt;=AN8),1,0))</f>
        <v>1</v>
      </c>
    </row>
    <row r="9" customFormat="false" ht="15" hidden="false" customHeight="true" outlineLevel="0" collapsed="false">
      <c r="A9" s="23" t="str">
        <f aca="false">IF(AND(Parameters!$B$14&gt;=Parameters!$B$13,ROW()-2&lt;=Parameters!$B$14-Parameters!$B$13),Parameters!$B$13+ROW()-2,"")</f>
        <v/>
      </c>
      <c r="B9" s="14" t="n">
        <f aca="false">IF($A9="",0,IFERROR(VLOOKUP((YEAR($A9)+IF(MONTH($A9)&gt;=10,1,0))&amp;"|Boston|"&amp;MONTH($A9),Rates!$A$2:$I$181,6,FALSE()),0))</f>
        <v>0</v>
      </c>
      <c r="C9" s="14" t="n">
        <f aca="false">IF(B9=0,0,VLOOKUP(B9,MIE_Components!$A$2:$F$6,2,FALSE()))</f>
        <v>0</v>
      </c>
      <c r="D9" s="14" t="n">
        <f aca="false">IF(B9=0,0,VLOOKUP(B9,MIE_Components!$A$2:$F$6,3,FALSE()))</f>
        <v>0</v>
      </c>
      <c r="E9" s="14" t="n">
        <f aca="false">IF(B9=0,0,VLOOKUP(B9,MIE_Components!$A$2:$F$6,4,FALSE()))</f>
        <v>0</v>
      </c>
      <c r="F9" s="14" t="n">
        <f aca="false">IF(OR($A9="",B9=0),0,MAX(5,B9*IF(OR($A9=Parameters!$B$13,$A9=Parameters!$B$14),0.75,1)-(IF(AND($A9=DATE(2026,11,29),NOV29BF="Yes"),C9,0)+IF(OR($A9=DATE(2026,11,29),$A9=DATE(2026,11,30),$A9=DATE(2026,12,1),$A9=DATE(2026,12,2)),D9,0)+IF(OR($A9=DATE(2026,11,28),$A9=DATE(2026,12,1)),E9,0))))</f>
        <v>0</v>
      </c>
      <c r="G9" s="14" t="n">
        <f aca="false">IF(AND($A9&lt;&gt;"",$A9&lt;Parameters!$B$14),CityData!F3*(1+TAXRATE),0)</f>
        <v>0</v>
      </c>
      <c r="H9" s="14" t="n">
        <f aca="false">IF($A9="",0,IFERROR(VLOOKUP((YEAR($A9)+IF(MONTH($A9)&gt;=10,1,0))&amp;"|Boston|"&amp;MONTH($A9),Rates!$A$2:$I$181,5,FALSE()),0))</f>
        <v>0</v>
      </c>
      <c r="I9" s="14" t="n">
        <f aca="false">IF(OR($A9="",$A9&gt;=Parameters!$B$14),1,IF(AND(H9&gt;0,CityData!F3&lt;=H9),1,0))</f>
        <v>1</v>
      </c>
      <c r="J9" s="14" t="n">
        <f aca="false">IF($A9="",0,IFERROR(VLOOKUP((YEAR($A9)+IF(MONTH($A9)&gt;=10,1,0))&amp;"|Chicago|"&amp;MONTH($A9),Rates!$A$2:$I$181,6,FALSE()),0))</f>
        <v>0</v>
      </c>
      <c r="K9" s="14" t="n">
        <f aca="false">IF(J9=0,0,VLOOKUP(J9,MIE_Components!$A$2:$F$6,2,FALSE()))</f>
        <v>0</v>
      </c>
      <c r="L9" s="14" t="n">
        <f aca="false">IF(J9=0,0,VLOOKUP(J9,MIE_Components!$A$2:$F$6,3,FALSE()))</f>
        <v>0</v>
      </c>
      <c r="M9" s="14" t="n">
        <f aca="false">IF(J9=0,0,VLOOKUP(J9,MIE_Components!$A$2:$F$6,4,FALSE()))</f>
        <v>0</v>
      </c>
      <c r="N9" s="14" t="n">
        <f aca="false">IF(OR($A9="",J9=0),0,MAX(5,J9*IF(OR($A9=Parameters!$B$13,$A9=Parameters!$B$14),0.75,1)-(IF(AND($A9=DATE(2026,11,29),NOV29BF="Yes"),K9,0)+IF(OR($A9=DATE(2026,11,29),$A9=DATE(2026,11,30),$A9=DATE(2026,12,1),$A9=DATE(2026,12,2)),L9,0)+IF(OR($A9=DATE(2026,11,28),$A9=DATE(2026,12,1)),M9,0))))</f>
        <v>0</v>
      </c>
      <c r="O9" s="14" t="n">
        <f aca="false">IF(AND($A9&lt;&gt;"",$A9&lt;Parameters!$B$14),CityData!F4*(1+TAXRATE),0)</f>
        <v>0</v>
      </c>
      <c r="P9" s="14" t="n">
        <f aca="false">IF($A9="",0,IFERROR(VLOOKUP((YEAR($A9)+IF(MONTH($A9)&gt;=10,1,0))&amp;"|Chicago|"&amp;MONTH($A9),Rates!$A$2:$I$181,5,FALSE()),0))</f>
        <v>0</v>
      </c>
      <c r="Q9" s="14" t="n">
        <f aca="false">IF(OR($A9="",$A9&gt;=Parameters!$B$14),1,IF(AND(P9&gt;0,CityData!F4&lt;=P9),1,0))</f>
        <v>1</v>
      </c>
      <c r="R9" s="14" t="n">
        <f aca="false">IF($A9="",0,IFERROR(VLOOKUP((YEAR($A9)+IF(MONTH($A9)&gt;=10,1,0))&amp;"|Denver|"&amp;MONTH($A9),Rates!$A$2:$I$181,6,FALSE()),0))</f>
        <v>0</v>
      </c>
      <c r="S9" s="14" t="n">
        <f aca="false">IF(R9=0,0,VLOOKUP(R9,MIE_Components!$A$2:$F$6,2,FALSE()))</f>
        <v>0</v>
      </c>
      <c r="T9" s="14" t="n">
        <f aca="false">IF(R9=0,0,VLOOKUP(R9,MIE_Components!$A$2:$F$6,3,FALSE()))</f>
        <v>0</v>
      </c>
      <c r="U9" s="14" t="n">
        <f aca="false">IF(R9=0,0,VLOOKUP(R9,MIE_Components!$A$2:$F$6,4,FALSE()))</f>
        <v>0</v>
      </c>
      <c r="V9" s="14" t="n">
        <f aca="false">IF(OR($A9="",R9=0),0,MAX(5,R9*IF(OR($A9=Parameters!$B$13,$A9=Parameters!$B$14),0.75,1)-(IF(AND($A9=DATE(2026,11,29),NOV29BF="Yes"),S9,0)+IF(OR($A9=DATE(2026,11,29),$A9=DATE(2026,11,30),$A9=DATE(2026,12,1),$A9=DATE(2026,12,2)),T9,0)+IF(OR($A9=DATE(2026,11,28),$A9=DATE(2026,12,1)),U9,0))))</f>
        <v>0</v>
      </c>
      <c r="W9" s="14" t="n">
        <f aca="false">IF(AND($A9&lt;&gt;"",$A9&lt;Parameters!$B$14),CityData!F5*(1+TAXRATE),0)</f>
        <v>0</v>
      </c>
      <c r="X9" s="14" t="n">
        <f aca="false">IF($A9="",0,IFERROR(VLOOKUP((YEAR($A9)+IF(MONTH($A9)&gt;=10,1,0))&amp;"|Denver|"&amp;MONTH($A9),Rates!$A$2:$I$181,5,FALSE()),0))</f>
        <v>0</v>
      </c>
      <c r="Y9" s="14" t="n">
        <f aca="false">IF(OR($A9="",$A9&gt;=Parameters!$B$14),1,IF(AND(X9&gt;0,CityData!F5&lt;=X9),1,0))</f>
        <v>1</v>
      </c>
      <c r="Z9" s="14" t="n">
        <f aca="false">IF($A9="",0,IFERROR(VLOOKUP((YEAR($A9)+IF(MONTH($A9)&gt;=10,1,0))&amp;"|Phoenix|"&amp;MONTH($A9),Rates!$A$2:$I$181,6,FALSE()),0))</f>
        <v>0</v>
      </c>
      <c r="AA9" s="14" t="n">
        <f aca="false">IF(Z9=0,0,VLOOKUP(Z9,MIE_Components!$A$2:$F$6,2,FALSE()))</f>
        <v>0</v>
      </c>
      <c r="AB9" s="14" t="n">
        <f aca="false">IF(Z9=0,0,VLOOKUP(Z9,MIE_Components!$A$2:$F$6,3,FALSE()))</f>
        <v>0</v>
      </c>
      <c r="AC9" s="14" t="n">
        <f aca="false">IF(Z9=0,0,VLOOKUP(Z9,MIE_Components!$A$2:$F$6,4,FALSE()))</f>
        <v>0</v>
      </c>
      <c r="AD9" s="14" t="n">
        <f aca="false">IF(OR($A9="",Z9=0),0,MAX(5,Z9*IF(OR($A9=Parameters!$B$13,$A9=Parameters!$B$14),0.75,1)-(IF(AND($A9=DATE(2026,11,29),NOV29BF="Yes"),AA9,0)+IF(OR($A9=DATE(2026,11,29),$A9=DATE(2026,11,30),$A9=DATE(2026,12,1),$A9=DATE(2026,12,2)),AB9,0)+IF(OR($A9=DATE(2026,11,28),$A9=DATE(2026,12,1)),AC9,0))))</f>
        <v>0</v>
      </c>
      <c r="AE9" s="14" t="n">
        <f aca="false">IF(AND($A9&lt;&gt;"",$A9&lt;Parameters!$B$14),CityData!F6*(1+TAXRATE),0)</f>
        <v>0</v>
      </c>
      <c r="AF9" s="14" t="n">
        <f aca="false">IF($A9="",0,IFERROR(VLOOKUP((YEAR($A9)+IF(MONTH($A9)&gt;=10,1,0))&amp;"|Phoenix|"&amp;MONTH($A9),Rates!$A$2:$I$181,5,FALSE()),0))</f>
        <v>0</v>
      </c>
      <c r="AG9" s="14" t="n">
        <f aca="false">IF(OR($A9="",$A9&gt;=Parameters!$B$14),1,IF(AND(AF9&gt;0,CityData!F6&lt;=AF9),1,0))</f>
        <v>1</v>
      </c>
      <c r="AH9" s="14" t="n">
        <f aca="false">IF($A9="",0,IFERROR(VLOOKUP((YEAR($A9)+IF(MONTH($A9)&gt;=10,1,0))&amp;"|Seattle|"&amp;MONTH($A9),Rates!$A$2:$I$181,6,FALSE()),0))</f>
        <v>0</v>
      </c>
      <c r="AI9" s="14" t="n">
        <f aca="false">IF(AH9=0,0,VLOOKUP(AH9,MIE_Components!$A$2:$F$6,2,FALSE()))</f>
        <v>0</v>
      </c>
      <c r="AJ9" s="14" t="n">
        <f aca="false">IF(AH9=0,0,VLOOKUP(AH9,MIE_Components!$A$2:$F$6,3,FALSE()))</f>
        <v>0</v>
      </c>
      <c r="AK9" s="14" t="n">
        <f aca="false">IF(AH9=0,0,VLOOKUP(AH9,MIE_Components!$A$2:$F$6,4,FALSE()))</f>
        <v>0</v>
      </c>
      <c r="AL9" s="14" t="n">
        <f aca="false">IF(OR($A9="",AH9=0),0,MAX(5,AH9*IF(OR($A9=Parameters!$B$13,$A9=Parameters!$B$14),0.75,1)-(IF(AND($A9=DATE(2026,11,29),NOV29BF="Yes"),AI9,0)+IF(OR($A9=DATE(2026,11,29),$A9=DATE(2026,11,30),$A9=DATE(2026,12,1),$A9=DATE(2026,12,2)),AJ9,0)+IF(OR($A9=DATE(2026,11,28),$A9=DATE(2026,12,1)),AK9,0))))</f>
        <v>0</v>
      </c>
      <c r="AM9" s="14" t="n">
        <f aca="false">IF(AND($A9&lt;&gt;"",$A9&lt;Parameters!$B$14),CityData!F7*(1+TAXRATE),0)</f>
        <v>0</v>
      </c>
      <c r="AN9" s="14" t="n">
        <f aca="false">IF($A9="",0,IFERROR(VLOOKUP((YEAR($A9)+IF(MONTH($A9)&gt;=10,1,0))&amp;"|Seattle|"&amp;MONTH($A9),Rates!$A$2:$I$181,5,FALSE()),0))</f>
        <v>0</v>
      </c>
      <c r="AO9" s="14" t="n">
        <f aca="false">IF(OR($A9="",$A9&gt;=Parameters!$B$14),1,IF(AND(AN9&gt;0,CityData!F7&lt;=AN9),1,0))</f>
        <v>1</v>
      </c>
    </row>
    <row r="10" customFormat="false" ht="15" hidden="false" customHeight="true" outlineLevel="0" collapsed="false">
      <c r="A10" s="23" t="str">
        <f aca="false">IF(AND(Parameters!$B$14&gt;=Parameters!$B$13,ROW()-2&lt;=Parameters!$B$14-Parameters!$B$13),Parameters!$B$13+ROW()-2,"")</f>
        <v/>
      </c>
      <c r="B10" s="14" t="n">
        <f aca="false">IF($A10="",0,IFERROR(VLOOKUP((YEAR($A10)+IF(MONTH($A10)&gt;=10,1,0))&amp;"|Boston|"&amp;MONTH($A10),Rates!$A$2:$I$181,6,FALSE()),0))</f>
        <v>0</v>
      </c>
      <c r="C10" s="14" t="n">
        <f aca="false">IF(B10=0,0,VLOOKUP(B10,MIE_Components!$A$2:$F$6,2,FALSE()))</f>
        <v>0</v>
      </c>
      <c r="D10" s="14" t="n">
        <f aca="false">IF(B10=0,0,VLOOKUP(B10,MIE_Components!$A$2:$F$6,3,FALSE()))</f>
        <v>0</v>
      </c>
      <c r="E10" s="14" t="n">
        <f aca="false">IF(B10=0,0,VLOOKUP(B10,MIE_Components!$A$2:$F$6,4,FALSE()))</f>
        <v>0</v>
      </c>
      <c r="F10" s="14" t="n">
        <f aca="false">IF(OR($A10="",B10=0),0,MAX(5,B10*IF(OR($A10=Parameters!$B$13,$A10=Parameters!$B$14),0.75,1)-(IF(AND($A10=DATE(2026,11,29),NOV29BF="Yes"),C10,0)+IF(OR($A10=DATE(2026,11,29),$A10=DATE(2026,11,30),$A10=DATE(2026,12,1),$A10=DATE(2026,12,2)),D10,0)+IF(OR($A10=DATE(2026,11,28),$A10=DATE(2026,12,1)),E10,0))))</f>
        <v>0</v>
      </c>
      <c r="G10" s="14" t="n">
        <f aca="false">IF(AND($A10&lt;&gt;"",$A10&lt;Parameters!$B$14),CityData!F3*(1+TAXRATE),0)</f>
        <v>0</v>
      </c>
      <c r="H10" s="14" t="n">
        <f aca="false">IF($A10="",0,IFERROR(VLOOKUP((YEAR($A10)+IF(MONTH($A10)&gt;=10,1,0))&amp;"|Boston|"&amp;MONTH($A10),Rates!$A$2:$I$181,5,FALSE()),0))</f>
        <v>0</v>
      </c>
      <c r="I10" s="14" t="n">
        <f aca="false">IF(OR($A10="",$A10&gt;=Parameters!$B$14),1,IF(AND(H10&gt;0,CityData!F3&lt;=H10),1,0))</f>
        <v>1</v>
      </c>
      <c r="J10" s="14" t="n">
        <f aca="false">IF($A10="",0,IFERROR(VLOOKUP((YEAR($A10)+IF(MONTH($A10)&gt;=10,1,0))&amp;"|Chicago|"&amp;MONTH($A10),Rates!$A$2:$I$181,6,FALSE()),0))</f>
        <v>0</v>
      </c>
      <c r="K10" s="14" t="n">
        <f aca="false">IF(J10=0,0,VLOOKUP(J10,MIE_Components!$A$2:$F$6,2,FALSE()))</f>
        <v>0</v>
      </c>
      <c r="L10" s="14" t="n">
        <f aca="false">IF(J10=0,0,VLOOKUP(J10,MIE_Components!$A$2:$F$6,3,FALSE()))</f>
        <v>0</v>
      </c>
      <c r="M10" s="14" t="n">
        <f aca="false">IF(J10=0,0,VLOOKUP(J10,MIE_Components!$A$2:$F$6,4,FALSE()))</f>
        <v>0</v>
      </c>
      <c r="N10" s="14" t="n">
        <f aca="false">IF(OR($A10="",J10=0),0,MAX(5,J10*IF(OR($A10=Parameters!$B$13,$A10=Parameters!$B$14),0.75,1)-(IF(AND($A10=DATE(2026,11,29),NOV29BF="Yes"),K10,0)+IF(OR($A10=DATE(2026,11,29),$A10=DATE(2026,11,30),$A10=DATE(2026,12,1),$A10=DATE(2026,12,2)),L10,0)+IF(OR($A10=DATE(2026,11,28),$A10=DATE(2026,12,1)),M10,0))))</f>
        <v>0</v>
      </c>
      <c r="O10" s="14" t="n">
        <f aca="false">IF(AND($A10&lt;&gt;"",$A10&lt;Parameters!$B$14),CityData!F4*(1+TAXRATE),0)</f>
        <v>0</v>
      </c>
      <c r="P10" s="14" t="n">
        <f aca="false">IF($A10="",0,IFERROR(VLOOKUP((YEAR($A10)+IF(MONTH($A10)&gt;=10,1,0))&amp;"|Chicago|"&amp;MONTH($A10),Rates!$A$2:$I$181,5,FALSE()),0))</f>
        <v>0</v>
      </c>
      <c r="Q10" s="14" t="n">
        <f aca="false">IF(OR($A10="",$A10&gt;=Parameters!$B$14),1,IF(AND(P10&gt;0,CityData!F4&lt;=P10),1,0))</f>
        <v>1</v>
      </c>
      <c r="R10" s="14" t="n">
        <f aca="false">IF($A10="",0,IFERROR(VLOOKUP((YEAR($A10)+IF(MONTH($A10)&gt;=10,1,0))&amp;"|Denver|"&amp;MONTH($A10),Rates!$A$2:$I$181,6,FALSE()),0))</f>
        <v>0</v>
      </c>
      <c r="S10" s="14" t="n">
        <f aca="false">IF(R10=0,0,VLOOKUP(R10,MIE_Components!$A$2:$F$6,2,FALSE()))</f>
        <v>0</v>
      </c>
      <c r="T10" s="14" t="n">
        <f aca="false">IF(R10=0,0,VLOOKUP(R10,MIE_Components!$A$2:$F$6,3,FALSE()))</f>
        <v>0</v>
      </c>
      <c r="U10" s="14" t="n">
        <f aca="false">IF(R10=0,0,VLOOKUP(R10,MIE_Components!$A$2:$F$6,4,FALSE()))</f>
        <v>0</v>
      </c>
      <c r="V10" s="14" t="n">
        <f aca="false">IF(OR($A10="",R10=0),0,MAX(5,R10*IF(OR($A10=Parameters!$B$13,$A10=Parameters!$B$14),0.75,1)-(IF(AND($A10=DATE(2026,11,29),NOV29BF="Yes"),S10,0)+IF(OR($A10=DATE(2026,11,29),$A10=DATE(2026,11,30),$A10=DATE(2026,12,1),$A10=DATE(2026,12,2)),T10,0)+IF(OR($A10=DATE(2026,11,28),$A10=DATE(2026,12,1)),U10,0))))</f>
        <v>0</v>
      </c>
      <c r="W10" s="14" t="n">
        <f aca="false">IF(AND($A10&lt;&gt;"",$A10&lt;Parameters!$B$14),CityData!F5*(1+TAXRATE),0)</f>
        <v>0</v>
      </c>
      <c r="X10" s="14" t="n">
        <f aca="false">IF($A10="",0,IFERROR(VLOOKUP((YEAR($A10)+IF(MONTH($A10)&gt;=10,1,0))&amp;"|Denver|"&amp;MONTH($A10),Rates!$A$2:$I$181,5,FALSE()),0))</f>
        <v>0</v>
      </c>
      <c r="Y10" s="14" t="n">
        <f aca="false">IF(OR($A10="",$A10&gt;=Parameters!$B$14),1,IF(AND(X10&gt;0,CityData!F5&lt;=X10),1,0))</f>
        <v>1</v>
      </c>
      <c r="Z10" s="14" t="n">
        <f aca="false">IF($A10="",0,IFERROR(VLOOKUP((YEAR($A10)+IF(MONTH($A10)&gt;=10,1,0))&amp;"|Phoenix|"&amp;MONTH($A10),Rates!$A$2:$I$181,6,FALSE()),0))</f>
        <v>0</v>
      </c>
      <c r="AA10" s="14" t="n">
        <f aca="false">IF(Z10=0,0,VLOOKUP(Z10,MIE_Components!$A$2:$F$6,2,FALSE()))</f>
        <v>0</v>
      </c>
      <c r="AB10" s="14" t="n">
        <f aca="false">IF(Z10=0,0,VLOOKUP(Z10,MIE_Components!$A$2:$F$6,3,FALSE()))</f>
        <v>0</v>
      </c>
      <c r="AC10" s="14" t="n">
        <f aca="false">IF(Z10=0,0,VLOOKUP(Z10,MIE_Components!$A$2:$F$6,4,FALSE()))</f>
        <v>0</v>
      </c>
      <c r="AD10" s="14" t="n">
        <f aca="false">IF(OR($A10="",Z10=0),0,MAX(5,Z10*IF(OR($A10=Parameters!$B$13,$A10=Parameters!$B$14),0.75,1)-(IF(AND($A10=DATE(2026,11,29),NOV29BF="Yes"),AA10,0)+IF(OR($A10=DATE(2026,11,29),$A10=DATE(2026,11,30),$A10=DATE(2026,12,1),$A10=DATE(2026,12,2)),AB10,0)+IF(OR($A10=DATE(2026,11,28),$A10=DATE(2026,12,1)),AC10,0))))</f>
        <v>0</v>
      </c>
      <c r="AE10" s="14" t="n">
        <f aca="false">IF(AND($A10&lt;&gt;"",$A10&lt;Parameters!$B$14),CityData!F6*(1+TAXRATE),0)</f>
        <v>0</v>
      </c>
      <c r="AF10" s="14" t="n">
        <f aca="false">IF($A10="",0,IFERROR(VLOOKUP((YEAR($A10)+IF(MONTH($A10)&gt;=10,1,0))&amp;"|Phoenix|"&amp;MONTH($A10),Rates!$A$2:$I$181,5,FALSE()),0))</f>
        <v>0</v>
      </c>
      <c r="AG10" s="14" t="n">
        <f aca="false">IF(OR($A10="",$A10&gt;=Parameters!$B$14),1,IF(AND(AF10&gt;0,CityData!F6&lt;=AF10),1,0))</f>
        <v>1</v>
      </c>
      <c r="AH10" s="14" t="n">
        <f aca="false">IF($A10="",0,IFERROR(VLOOKUP((YEAR($A10)+IF(MONTH($A10)&gt;=10,1,0))&amp;"|Seattle|"&amp;MONTH($A10),Rates!$A$2:$I$181,6,FALSE()),0))</f>
        <v>0</v>
      </c>
      <c r="AI10" s="14" t="n">
        <f aca="false">IF(AH10=0,0,VLOOKUP(AH10,MIE_Components!$A$2:$F$6,2,FALSE()))</f>
        <v>0</v>
      </c>
      <c r="AJ10" s="14" t="n">
        <f aca="false">IF(AH10=0,0,VLOOKUP(AH10,MIE_Components!$A$2:$F$6,3,FALSE()))</f>
        <v>0</v>
      </c>
      <c r="AK10" s="14" t="n">
        <f aca="false">IF(AH10=0,0,VLOOKUP(AH10,MIE_Components!$A$2:$F$6,4,FALSE()))</f>
        <v>0</v>
      </c>
      <c r="AL10" s="14" t="n">
        <f aca="false">IF(OR($A10="",AH10=0),0,MAX(5,AH10*IF(OR($A10=Parameters!$B$13,$A10=Parameters!$B$14),0.75,1)-(IF(AND($A10=DATE(2026,11,29),NOV29BF="Yes"),AI10,0)+IF(OR($A10=DATE(2026,11,29),$A10=DATE(2026,11,30),$A10=DATE(2026,12,1),$A10=DATE(2026,12,2)),AJ10,0)+IF(OR($A10=DATE(2026,11,28),$A10=DATE(2026,12,1)),AK10,0))))</f>
        <v>0</v>
      </c>
      <c r="AM10" s="14" t="n">
        <f aca="false">IF(AND($A10&lt;&gt;"",$A10&lt;Parameters!$B$14),CityData!F7*(1+TAXRATE),0)</f>
        <v>0</v>
      </c>
      <c r="AN10" s="14" t="n">
        <f aca="false">IF($A10="",0,IFERROR(VLOOKUP((YEAR($A10)+IF(MONTH($A10)&gt;=10,1,0))&amp;"|Seattle|"&amp;MONTH($A10),Rates!$A$2:$I$181,5,FALSE()),0))</f>
        <v>0</v>
      </c>
      <c r="AO10" s="14" t="n">
        <f aca="false">IF(OR($A10="",$A10&gt;=Parameters!$B$14),1,IF(AND(AN10&gt;0,CityData!F7&lt;=AN10),1,0))</f>
        <v>1</v>
      </c>
    </row>
    <row r="11" customFormat="false" ht="15" hidden="false" customHeight="true" outlineLevel="0" collapsed="false">
      <c r="A11" s="23" t="str">
        <f aca="false">IF(AND(Parameters!$B$14&gt;=Parameters!$B$13,ROW()-2&lt;=Parameters!$B$14-Parameters!$B$13),Parameters!$B$13+ROW()-2,"")</f>
        <v/>
      </c>
      <c r="B11" s="14" t="n">
        <f aca="false">IF($A11="",0,IFERROR(VLOOKUP((YEAR($A11)+IF(MONTH($A11)&gt;=10,1,0))&amp;"|Boston|"&amp;MONTH($A11),Rates!$A$2:$I$181,6,FALSE()),0))</f>
        <v>0</v>
      </c>
      <c r="C11" s="14" t="n">
        <f aca="false">IF(B11=0,0,VLOOKUP(B11,MIE_Components!$A$2:$F$6,2,FALSE()))</f>
        <v>0</v>
      </c>
      <c r="D11" s="14" t="n">
        <f aca="false">IF(B11=0,0,VLOOKUP(B11,MIE_Components!$A$2:$F$6,3,FALSE()))</f>
        <v>0</v>
      </c>
      <c r="E11" s="14" t="n">
        <f aca="false">IF(B11=0,0,VLOOKUP(B11,MIE_Components!$A$2:$F$6,4,FALSE()))</f>
        <v>0</v>
      </c>
      <c r="F11" s="14" t="n">
        <f aca="false">IF(OR($A11="",B11=0),0,MAX(5,B11*IF(OR($A11=Parameters!$B$13,$A11=Parameters!$B$14),0.75,1)-(IF(AND($A11=DATE(2026,11,29),NOV29BF="Yes"),C11,0)+IF(OR($A11=DATE(2026,11,29),$A11=DATE(2026,11,30),$A11=DATE(2026,12,1),$A11=DATE(2026,12,2)),D11,0)+IF(OR($A11=DATE(2026,11,28),$A11=DATE(2026,12,1)),E11,0))))</f>
        <v>0</v>
      </c>
      <c r="G11" s="14" t="n">
        <f aca="false">IF(AND($A11&lt;&gt;"",$A11&lt;Parameters!$B$14),CityData!F3*(1+TAXRATE),0)</f>
        <v>0</v>
      </c>
      <c r="H11" s="14" t="n">
        <f aca="false">IF($A11="",0,IFERROR(VLOOKUP((YEAR($A11)+IF(MONTH($A11)&gt;=10,1,0))&amp;"|Boston|"&amp;MONTH($A11),Rates!$A$2:$I$181,5,FALSE()),0))</f>
        <v>0</v>
      </c>
      <c r="I11" s="14" t="n">
        <f aca="false">IF(OR($A11="",$A11&gt;=Parameters!$B$14),1,IF(AND(H11&gt;0,CityData!F3&lt;=H11),1,0))</f>
        <v>1</v>
      </c>
      <c r="J11" s="14" t="n">
        <f aca="false">IF($A11="",0,IFERROR(VLOOKUP((YEAR($A11)+IF(MONTH($A11)&gt;=10,1,0))&amp;"|Chicago|"&amp;MONTH($A11),Rates!$A$2:$I$181,6,FALSE()),0))</f>
        <v>0</v>
      </c>
      <c r="K11" s="14" t="n">
        <f aca="false">IF(J11=0,0,VLOOKUP(J11,MIE_Components!$A$2:$F$6,2,FALSE()))</f>
        <v>0</v>
      </c>
      <c r="L11" s="14" t="n">
        <f aca="false">IF(J11=0,0,VLOOKUP(J11,MIE_Components!$A$2:$F$6,3,FALSE()))</f>
        <v>0</v>
      </c>
      <c r="M11" s="14" t="n">
        <f aca="false">IF(J11=0,0,VLOOKUP(J11,MIE_Components!$A$2:$F$6,4,FALSE()))</f>
        <v>0</v>
      </c>
      <c r="N11" s="14" t="n">
        <f aca="false">IF(OR($A11="",J11=0),0,MAX(5,J11*IF(OR($A11=Parameters!$B$13,$A11=Parameters!$B$14),0.75,1)-(IF(AND($A11=DATE(2026,11,29),NOV29BF="Yes"),K11,0)+IF(OR($A11=DATE(2026,11,29),$A11=DATE(2026,11,30),$A11=DATE(2026,12,1),$A11=DATE(2026,12,2)),L11,0)+IF(OR($A11=DATE(2026,11,28),$A11=DATE(2026,12,1)),M11,0))))</f>
        <v>0</v>
      </c>
      <c r="O11" s="14" t="n">
        <f aca="false">IF(AND($A11&lt;&gt;"",$A11&lt;Parameters!$B$14),CityData!F4*(1+TAXRATE),0)</f>
        <v>0</v>
      </c>
      <c r="P11" s="14" t="n">
        <f aca="false">IF($A11="",0,IFERROR(VLOOKUP((YEAR($A11)+IF(MONTH($A11)&gt;=10,1,0))&amp;"|Chicago|"&amp;MONTH($A11),Rates!$A$2:$I$181,5,FALSE()),0))</f>
        <v>0</v>
      </c>
      <c r="Q11" s="14" t="n">
        <f aca="false">IF(OR($A11="",$A11&gt;=Parameters!$B$14),1,IF(AND(P11&gt;0,CityData!F4&lt;=P11),1,0))</f>
        <v>1</v>
      </c>
      <c r="R11" s="14" t="n">
        <f aca="false">IF($A11="",0,IFERROR(VLOOKUP((YEAR($A11)+IF(MONTH($A11)&gt;=10,1,0))&amp;"|Denver|"&amp;MONTH($A11),Rates!$A$2:$I$181,6,FALSE()),0))</f>
        <v>0</v>
      </c>
      <c r="S11" s="14" t="n">
        <f aca="false">IF(R11=0,0,VLOOKUP(R11,MIE_Components!$A$2:$F$6,2,FALSE()))</f>
        <v>0</v>
      </c>
      <c r="T11" s="14" t="n">
        <f aca="false">IF(R11=0,0,VLOOKUP(R11,MIE_Components!$A$2:$F$6,3,FALSE()))</f>
        <v>0</v>
      </c>
      <c r="U11" s="14" t="n">
        <f aca="false">IF(R11=0,0,VLOOKUP(R11,MIE_Components!$A$2:$F$6,4,FALSE()))</f>
        <v>0</v>
      </c>
      <c r="V11" s="14" t="n">
        <f aca="false">IF(OR($A11="",R11=0),0,MAX(5,R11*IF(OR($A11=Parameters!$B$13,$A11=Parameters!$B$14),0.75,1)-(IF(AND($A11=DATE(2026,11,29),NOV29BF="Yes"),S11,0)+IF(OR($A11=DATE(2026,11,29),$A11=DATE(2026,11,30),$A11=DATE(2026,12,1),$A11=DATE(2026,12,2)),T11,0)+IF(OR($A11=DATE(2026,11,28),$A11=DATE(2026,12,1)),U11,0))))</f>
        <v>0</v>
      </c>
      <c r="W11" s="14" t="n">
        <f aca="false">IF(AND($A11&lt;&gt;"",$A11&lt;Parameters!$B$14),CityData!F5*(1+TAXRATE),0)</f>
        <v>0</v>
      </c>
      <c r="X11" s="14" t="n">
        <f aca="false">IF($A11="",0,IFERROR(VLOOKUP((YEAR($A11)+IF(MONTH($A11)&gt;=10,1,0))&amp;"|Denver|"&amp;MONTH($A11),Rates!$A$2:$I$181,5,FALSE()),0))</f>
        <v>0</v>
      </c>
      <c r="Y11" s="14" t="n">
        <f aca="false">IF(OR($A11="",$A11&gt;=Parameters!$B$14),1,IF(AND(X11&gt;0,CityData!F5&lt;=X11),1,0))</f>
        <v>1</v>
      </c>
      <c r="Z11" s="14" t="n">
        <f aca="false">IF($A11="",0,IFERROR(VLOOKUP((YEAR($A11)+IF(MONTH($A11)&gt;=10,1,0))&amp;"|Phoenix|"&amp;MONTH($A11),Rates!$A$2:$I$181,6,FALSE()),0))</f>
        <v>0</v>
      </c>
      <c r="AA11" s="14" t="n">
        <f aca="false">IF(Z11=0,0,VLOOKUP(Z11,MIE_Components!$A$2:$F$6,2,FALSE()))</f>
        <v>0</v>
      </c>
      <c r="AB11" s="14" t="n">
        <f aca="false">IF(Z11=0,0,VLOOKUP(Z11,MIE_Components!$A$2:$F$6,3,FALSE()))</f>
        <v>0</v>
      </c>
      <c r="AC11" s="14" t="n">
        <f aca="false">IF(Z11=0,0,VLOOKUP(Z11,MIE_Components!$A$2:$F$6,4,FALSE()))</f>
        <v>0</v>
      </c>
      <c r="AD11" s="14" t="n">
        <f aca="false">IF(OR($A11="",Z11=0),0,MAX(5,Z11*IF(OR($A11=Parameters!$B$13,$A11=Parameters!$B$14),0.75,1)-(IF(AND($A11=DATE(2026,11,29),NOV29BF="Yes"),AA11,0)+IF(OR($A11=DATE(2026,11,29),$A11=DATE(2026,11,30),$A11=DATE(2026,12,1),$A11=DATE(2026,12,2)),AB11,0)+IF(OR($A11=DATE(2026,11,28),$A11=DATE(2026,12,1)),AC11,0))))</f>
        <v>0</v>
      </c>
      <c r="AE11" s="14" t="n">
        <f aca="false">IF(AND($A11&lt;&gt;"",$A11&lt;Parameters!$B$14),CityData!F6*(1+TAXRATE),0)</f>
        <v>0</v>
      </c>
      <c r="AF11" s="14" t="n">
        <f aca="false">IF($A11="",0,IFERROR(VLOOKUP((YEAR($A11)+IF(MONTH($A11)&gt;=10,1,0))&amp;"|Phoenix|"&amp;MONTH($A11),Rates!$A$2:$I$181,5,FALSE()),0))</f>
        <v>0</v>
      </c>
      <c r="AG11" s="14" t="n">
        <f aca="false">IF(OR($A11="",$A11&gt;=Parameters!$B$14),1,IF(AND(AF11&gt;0,CityData!F6&lt;=AF11),1,0))</f>
        <v>1</v>
      </c>
      <c r="AH11" s="14" t="n">
        <f aca="false">IF($A11="",0,IFERROR(VLOOKUP((YEAR($A11)+IF(MONTH($A11)&gt;=10,1,0))&amp;"|Seattle|"&amp;MONTH($A11),Rates!$A$2:$I$181,6,FALSE()),0))</f>
        <v>0</v>
      </c>
      <c r="AI11" s="14" t="n">
        <f aca="false">IF(AH11=0,0,VLOOKUP(AH11,MIE_Components!$A$2:$F$6,2,FALSE()))</f>
        <v>0</v>
      </c>
      <c r="AJ11" s="14" t="n">
        <f aca="false">IF(AH11=0,0,VLOOKUP(AH11,MIE_Components!$A$2:$F$6,3,FALSE()))</f>
        <v>0</v>
      </c>
      <c r="AK11" s="14" t="n">
        <f aca="false">IF(AH11=0,0,VLOOKUP(AH11,MIE_Components!$A$2:$F$6,4,FALSE()))</f>
        <v>0</v>
      </c>
      <c r="AL11" s="14" t="n">
        <f aca="false">IF(OR($A11="",AH11=0),0,MAX(5,AH11*IF(OR($A11=Parameters!$B$13,$A11=Parameters!$B$14),0.75,1)-(IF(AND($A11=DATE(2026,11,29),NOV29BF="Yes"),AI11,0)+IF(OR($A11=DATE(2026,11,29),$A11=DATE(2026,11,30),$A11=DATE(2026,12,1),$A11=DATE(2026,12,2)),AJ11,0)+IF(OR($A11=DATE(2026,11,28),$A11=DATE(2026,12,1)),AK11,0))))</f>
        <v>0</v>
      </c>
      <c r="AM11" s="14" t="n">
        <f aca="false">IF(AND($A11&lt;&gt;"",$A11&lt;Parameters!$B$14),CityData!F7*(1+TAXRATE),0)</f>
        <v>0</v>
      </c>
      <c r="AN11" s="14" t="n">
        <f aca="false">IF($A11="",0,IFERROR(VLOOKUP((YEAR($A11)+IF(MONTH($A11)&gt;=10,1,0))&amp;"|Seattle|"&amp;MONTH($A11),Rates!$A$2:$I$181,5,FALSE()),0))</f>
        <v>0</v>
      </c>
      <c r="AO11" s="14" t="n">
        <f aca="false">IF(OR($A11="",$A11&gt;=Parameters!$B$14),1,IF(AND(AN11&gt;0,CityData!F7&lt;=AN11),1,0))</f>
        <v>1</v>
      </c>
    </row>
    <row r="12" customFormat="false" ht="15" hidden="false" customHeight="true" outlineLevel="0" collapsed="false">
      <c r="A12" s="23" t="str">
        <f aca="false">IF(AND(Parameters!$B$14&gt;=Parameters!$B$13,ROW()-2&lt;=Parameters!$B$14-Parameters!$B$13),Parameters!$B$13+ROW()-2,"")</f>
        <v/>
      </c>
      <c r="B12" s="14" t="n">
        <f aca="false">IF($A12="",0,IFERROR(VLOOKUP((YEAR($A12)+IF(MONTH($A12)&gt;=10,1,0))&amp;"|Boston|"&amp;MONTH($A12),Rates!$A$2:$I$181,6,FALSE()),0))</f>
        <v>0</v>
      </c>
      <c r="C12" s="14" t="n">
        <f aca="false">IF(B12=0,0,VLOOKUP(B12,MIE_Components!$A$2:$F$6,2,FALSE()))</f>
        <v>0</v>
      </c>
      <c r="D12" s="14" t="n">
        <f aca="false">IF(B12=0,0,VLOOKUP(B12,MIE_Components!$A$2:$F$6,3,FALSE()))</f>
        <v>0</v>
      </c>
      <c r="E12" s="14" t="n">
        <f aca="false">IF(B12=0,0,VLOOKUP(B12,MIE_Components!$A$2:$F$6,4,FALSE()))</f>
        <v>0</v>
      </c>
      <c r="F12" s="14" t="n">
        <f aca="false">IF(OR($A12="",B12=0),0,MAX(5,B12*IF(OR($A12=Parameters!$B$13,$A12=Parameters!$B$14),0.75,1)-(IF(AND($A12=DATE(2026,11,29),NOV29BF="Yes"),C12,0)+IF(OR($A12=DATE(2026,11,29),$A12=DATE(2026,11,30),$A12=DATE(2026,12,1),$A12=DATE(2026,12,2)),D12,0)+IF(OR($A12=DATE(2026,11,28),$A12=DATE(2026,12,1)),E12,0))))</f>
        <v>0</v>
      </c>
      <c r="G12" s="14" t="n">
        <f aca="false">IF(AND($A12&lt;&gt;"",$A12&lt;Parameters!$B$14),CityData!F3*(1+TAXRATE),0)</f>
        <v>0</v>
      </c>
      <c r="H12" s="14" t="n">
        <f aca="false">IF($A12="",0,IFERROR(VLOOKUP((YEAR($A12)+IF(MONTH($A12)&gt;=10,1,0))&amp;"|Boston|"&amp;MONTH($A12),Rates!$A$2:$I$181,5,FALSE()),0))</f>
        <v>0</v>
      </c>
      <c r="I12" s="14" t="n">
        <f aca="false">IF(OR($A12="",$A12&gt;=Parameters!$B$14),1,IF(AND(H12&gt;0,CityData!F3&lt;=H12),1,0))</f>
        <v>1</v>
      </c>
      <c r="J12" s="14" t="n">
        <f aca="false">IF($A12="",0,IFERROR(VLOOKUP((YEAR($A12)+IF(MONTH($A12)&gt;=10,1,0))&amp;"|Chicago|"&amp;MONTH($A12),Rates!$A$2:$I$181,6,FALSE()),0))</f>
        <v>0</v>
      </c>
      <c r="K12" s="14" t="n">
        <f aca="false">IF(J12=0,0,VLOOKUP(J12,MIE_Components!$A$2:$F$6,2,FALSE()))</f>
        <v>0</v>
      </c>
      <c r="L12" s="14" t="n">
        <f aca="false">IF(J12=0,0,VLOOKUP(J12,MIE_Components!$A$2:$F$6,3,FALSE()))</f>
        <v>0</v>
      </c>
      <c r="M12" s="14" t="n">
        <f aca="false">IF(J12=0,0,VLOOKUP(J12,MIE_Components!$A$2:$F$6,4,FALSE()))</f>
        <v>0</v>
      </c>
      <c r="N12" s="14" t="n">
        <f aca="false">IF(OR($A12="",J12=0),0,MAX(5,J12*IF(OR($A12=Parameters!$B$13,$A12=Parameters!$B$14),0.75,1)-(IF(AND($A12=DATE(2026,11,29),NOV29BF="Yes"),K12,0)+IF(OR($A12=DATE(2026,11,29),$A12=DATE(2026,11,30),$A12=DATE(2026,12,1),$A12=DATE(2026,12,2)),L12,0)+IF(OR($A12=DATE(2026,11,28),$A12=DATE(2026,12,1)),M12,0))))</f>
        <v>0</v>
      </c>
      <c r="O12" s="14" t="n">
        <f aca="false">IF(AND($A12&lt;&gt;"",$A12&lt;Parameters!$B$14),CityData!F4*(1+TAXRATE),0)</f>
        <v>0</v>
      </c>
      <c r="P12" s="14" t="n">
        <f aca="false">IF($A12="",0,IFERROR(VLOOKUP((YEAR($A12)+IF(MONTH($A12)&gt;=10,1,0))&amp;"|Chicago|"&amp;MONTH($A12),Rates!$A$2:$I$181,5,FALSE()),0))</f>
        <v>0</v>
      </c>
      <c r="Q12" s="14" t="n">
        <f aca="false">IF(OR($A12="",$A12&gt;=Parameters!$B$14),1,IF(AND(P12&gt;0,CityData!F4&lt;=P12),1,0))</f>
        <v>1</v>
      </c>
      <c r="R12" s="14" t="n">
        <f aca="false">IF($A12="",0,IFERROR(VLOOKUP((YEAR($A12)+IF(MONTH($A12)&gt;=10,1,0))&amp;"|Denver|"&amp;MONTH($A12),Rates!$A$2:$I$181,6,FALSE()),0))</f>
        <v>0</v>
      </c>
      <c r="S12" s="14" t="n">
        <f aca="false">IF(R12=0,0,VLOOKUP(R12,MIE_Components!$A$2:$F$6,2,FALSE()))</f>
        <v>0</v>
      </c>
      <c r="T12" s="14" t="n">
        <f aca="false">IF(R12=0,0,VLOOKUP(R12,MIE_Components!$A$2:$F$6,3,FALSE()))</f>
        <v>0</v>
      </c>
      <c r="U12" s="14" t="n">
        <f aca="false">IF(R12=0,0,VLOOKUP(R12,MIE_Components!$A$2:$F$6,4,FALSE()))</f>
        <v>0</v>
      </c>
      <c r="V12" s="14" t="n">
        <f aca="false">IF(OR($A12="",R12=0),0,MAX(5,R12*IF(OR($A12=Parameters!$B$13,$A12=Parameters!$B$14),0.75,1)-(IF(AND($A12=DATE(2026,11,29),NOV29BF="Yes"),S12,0)+IF(OR($A12=DATE(2026,11,29),$A12=DATE(2026,11,30),$A12=DATE(2026,12,1),$A12=DATE(2026,12,2)),T12,0)+IF(OR($A12=DATE(2026,11,28),$A12=DATE(2026,12,1)),U12,0))))</f>
        <v>0</v>
      </c>
      <c r="W12" s="14" t="n">
        <f aca="false">IF(AND($A12&lt;&gt;"",$A12&lt;Parameters!$B$14),CityData!F5*(1+TAXRATE),0)</f>
        <v>0</v>
      </c>
      <c r="X12" s="14" t="n">
        <f aca="false">IF($A12="",0,IFERROR(VLOOKUP((YEAR($A12)+IF(MONTH($A12)&gt;=10,1,0))&amp;"|Denver|"&amp;MONTH($A12),Rates!$A$2:$I$181,5,FALSE()),0))</f>
        <v>0</v>
      </c>
      <c r="Y12" s="14" t="n">
        <f aca="false">IF(OR($A12="",$A12&gt;=Parameters!$B$14),1,IF(AND(X12&gt;0,CityData!F5&lt;=X12),1,0))</f>
        <v>1</v>
      </c>
      <c r="Z12" s="14" t="n">
        <f aca="false">IF($A12="",0,IFERROR(VLOOKUP((YEAR($A12)+IF(MONTH($A12)&gt;=10,1,0))&amp;"|Phoenix|"&amp;MONTH($A12),Rates!$A$2:$I$181,6,FALSE()),0))</f>
        <v>0</v>
      </c>
      <c r="AA12" s="14" t="n">
        <f aca="false">IF(Z12=0,0,VLOOKUP(Z12,MIE_Components!$A$2:$F$6,2,FALSE()))</f>
        <v>0</v>
      </c>
      <c r="AB12" s="14" t="n">
        <f aca="false">IF(Z12=0,0,VLOOKUP(Z12,MIE_Components!$A$2:$F$6,3,FALSE()))</f>
        <v>0</v>
      </c>
      <c r="AC12" s="14" t="n">
        <f aca="false">IF(Z12=0,0,VLOOKUP(Z12,MIE_Components!$A$2:$F$6,4,FALSE()))</f>
        <v>0</v>
      </c>
      <c r="AD12" s="14" t="n">
        <f aca="false">IF(OR($A12="",Z12=0),0,MAX(5,Z12*IF(OR($A12=Parameters!$B$13,$A12=Parameters!$B$14),0.75,1)-(IF(AND($A12=DATE(2026,11,29),NOV29BF="Yes"),AA12,0)+IF(OR($A12=DATE(2026,11,29),$A12=DATE(2026,11,30),$A12=DATE(2026,12,1),$A12=DATE(2026,12,2)),AB12,0)+IF(OR($A12=DATE(2026,11,28),$A12=DATE(2026,12,1)),AC12,0))))</f>
        <v>0</v>
      </c>
      <c r="AE12" s="14" t="n">
        <f aca="false">IF(AND($A12&lt;&gt;"",$A12&lt;Parameters!$B$14),CityData!F6*(1+TAXRATE),0)</f>
        <v>0</v>
      </c>
      <c r="AF12" s="14" t="n">
        <f aca="false">IF($A12="",0,IFERROR(VLOOKUP((YEAR($A12)+IF(MONTH($A12)&gt;=10,1,0))&amp;"|Phoenix|"&amp;MONTH($A12),Rates!$A$2:$I$181,5,FALSE()),0))</f>
        <v>0</v>
      </c>
      <c r="AG12" s="14" t="n">
        <f aca="false">IF(OR($A12="",$A12&gt;=Parameters!$B$14),1,IF(AND(AF12&gt;0,CityData!F6&lt;=AF12),1,0))</f>
        <v>1</v>
      </c>
      <c r="AH12" s="14" t="n">
        <f aca="false">IF($A12="",0,IFERROR(VLOOKUP((YEAR($A12)+IF(MONTH($A12)&gt;=10,1,0))&amp;"|Seattle|"&amp;MONTH($A12),Rates!$A$2:$I$181,6,FALSE()),0))</f>
        <v>0</v>
      </c>
      <c r="AI12" s="14" t="n">
        <f aca="false">IF(AH12=0,0,VLOOKUP(AH12,MIE_Components!$A$2:$F$6,2,FALSE()))</f>
        <v>0</v>
      </c>
      <c r="AJ12" s="14" t="n">
        <f aca="false">IF(AH12=0,0,VLOOKUP(AH12,MIE_Components!$A$2:$F$6,3,FALSE()))</f>
        <v>0</v>
      </c>
      <c r="AK12" s="14" t="n">
        <f aca="false">IF(AH12=0,0,VLOOKUP(AH12,MIE_Components!$A$2:$F$6,4,FALSE()))</f>
        <v>0</v>
      </c>
      <c r="AL12" s="14" t="n">
        <f aca="false">IF(OR($A12="",AH12=0),0,MAX(5,AH12*IF(OR($A12=Parameters!$B$13,$A12=Parameters!$B$14),0.75,1)-(IF(AND($A12=DATE(2026,11,29),NOV29BF="Yes"),AI12,0)+IF(OR($A12=DATE(2026,11,29),$A12=DATE(2026,11,30),$A12=DATE(2026,12,1),$A12=DATE(2026,12,2)),AJ12,0)+IF(OR($A12=DATE(2026,11,28),$A12=DATE(2026,12,1)),AK12,0))))</f>
        <v>0</v>
      </c>
      <c r="AM12" s="14" t="n">
        <f aca="false">IF(AND($A12&lt;&gt;"",$A12&lt;Parameters!$B$14),CityData!F7*(1+TAXRATE),0)</f>
        <v>0</v>
      </c>
      <c r="AN12" s="14" t="n">
        <f aca="false">IF($A12="",0,IFERROR(VLOOKUP((YEAR($A12)+IF(MONTH($A12)&gt;=10,1,0))&amp;"|Seattle|"&amp;MONTH($A12),Rates!$A$2:$I$181,5,FALSE()),0))</f>
        <v>0</v>
      </c>
      <c r="AO12" s="14" t="n">
        <f aca="false">IF(OR($A12="",$A12&gt;=Parameters!$B$14),1,IF(AND(AN12&gt;0,CityData!F7&lt;=AN12),1,0))</f>
        <v>1</v>
      </c>
    </row>
    <row r="13" customFormat="false" ht="15" hidden="false" customHeight="true" outlineLevel="0" collapsed="false">
      <c r="A13" s="23" t="str">
        <f aca="false">IF(AND(Parameters!$B$14&gt;=Parameters!$B$13,ROW()-2&lt;=Parameters!$B$14-Parameters!$B$13),Parameters!$B$13+ROW()-2,"")</f>
        <v/>
      </c>
      <c r="B13" s="14" t="n">
        <f aca="false">IF($A13="",0,IFERROR(VLOOKUP((YEAR($A13)+IF(MONTH($A13)&gt;=10,1,0))&amp;"|Boston|"&amp;MONTH($A13),Rates!$A$2:$I$181,6,FALSE()),0))</f>
        <v>0</v>
      </c>
      <c r="C13" s="14" t="n">
        <f aca="false">IF(B13=0,0,VLOOKUP(B13,MIE_Components!$A$2:$F$6,2,FALSE()))</f>
        <v>0</v>
      </c>
      <c r="D13" s="14" t="n">
        <f aca="false">IF(B13=0,0,VLOOKUP(B13,MIE_Components!$A$2:$F$6,3,FALSE()))</f>
        <v>0</v>
      </c>
      <c r="E13" s="14" t="n">
        <f aca="false">IF(B13=0,0,VLOOKUP(B13,MIE_Components!$A$2:$F$6,4,FALSE()))</f>
        <v>0</v>
      </c>
      <c r="F13" s="14" t="n">
        <f aca="false">IF(OR($A13="",B13=0),0,MAX(5,B13*IF(OR($A13=Parameters!$B$13,$A13=Parameters!$B$14),0.75,1)-(IF(AND($A13=DATE(2026,11,29),NOV29BF="Yes"),C13,0)+IF(OR($A13=DATE(2026,11,29),$A13=DATE(2026,11,30),$A13=DATE(2026,12,1),$A13=DATE(2026,12,2)),D13,0)+IF(OR($A13=DATE(2026,11,28),$A13=DATE(2026,12,1)),E13,0))))</f>
        <v>0</v>
      </c>
      <c r="G13" s="14" t="n">
        <f aca="false">IF(AND($A13&lt;&gt;"",$A13&lt;Parameters!$B$14),CityData!F3*(1+TAXRATE),0)</f>
        <v>0</v>
      </c>
      <c r="H13" s="14" t="n">
        <f aca="false">IF($A13="",0,IFERROR(VLOOKUP((YEAR($A13)+IF(MONTH($A13)&gt;=10,1,0))&amp;"|Boston|"&amp;MONTH($A13),Rates!$A$2:$I$181,5,FALSE()),0))</f>
        <v>0</v>
      </c>
      <c r="I13" s="14" t="n">
        <f aca="false">IF(OR($A13="",$A13&gt;=Parameters!$B$14),1,IF(AND(H13&gt;0,CityData!F3&lt;=H13),1,0))</f>
        <v>1</v>
      </c>
      <c r="J13" s="14" t="n">
        <f aca="false">IF($A13="",0,IFERROR(VLOOKUP((YEAR($A13)+IF(MONTH($A13)&gt;=10,1,0))&amp;"|Chicago|"&amp;MONTH($A13),Rates!$A$2:$I$181,6,FALSE()),0))</f>
        <v>0</v>
      </c>
      <c r="K13" s="14" t="n">
        <f aca="false">IF(J13=0,0,VLOOKUP(J13,MIE_Components!$A$2:$F$6,2,FALSE()))</f>
        <v>0</v>
      </c>
      <c r="L13" s="14" t="n">
        <f aca="false">IF(J13=0,0,VLOOKUP(J13,MIE_Components!$A$2:$F$6,3,FALSE()))</f>
        <v>0</v>
      </c>
      <c r="M13" s="14" t="n">
        <f aca="false">IF(J13=0,0,VLOOKUP(J13,MIE_Components!$A$2:$F$6,4,FALSE()))</f>
        <v>0</v>
      </c>
      <c r="N13" s="14" t="n">
        <f aca="false">IF(OR($A13="",J13=0),0,MAX(5,J13*IF(OR($A13=Parameters!$B$13,$A13=Parameters!$B$14),0.75,1)-(IF(AND($A13=DATE(2026,11,29),NOV29BF="Yes"),K13,0)+IF(OR($A13=DATE(2026,11,29),$A13=DATE(2026,11,30),$A13=DATE(2026,12,1),$A13=DATE(2026,12,2)),L13,0)+IF(OR($A13=DATE(2026,11,28),$A13=DATE(2026,12,1)),M13,0))))</f>
        <v>0</v>
      </c>
      <c r="O13" s="14" t="n">
        <f aca="false">IF(AND($A13&lt;&gt;"",$A13&lt;Parameters!$B$14),CityData!F4*(1+TAXRATE),0)</f>
        <v>0</v>
      </c>
      <c r="P13" s="14" t="n">
        <f aca="false">IF($A13="",0,IFERROR(VLOOKUP((YEAR($A13)+IF(MONTH($A13)&gt;=10,1,0))&amp;"|Chicago|"&amp;MONTH($A13),Rates!$A$2:$I$181,5,FALSE()),0))</f>
        <v>0</v>
      </c>
      <c r="Q13" s="14" t="n">
        <f aca="false">IF(OR($A13="",$A13&gt;=Parameters!$B$14),1,IF(AND(P13&gt;0,CityData!F4&lt;=P13),1,0))</f>
        <v>1</v>
      </c>
      <c r="R13" s="14" t="n">
        <f aca="false">IF($A13="",0,IFERROR(VLOOKUP((YEAR($A13)+IF(MONTH($A13)&gt;=10,1,0))&amp;"|Denver|"&amp;MONTH($A13),Rates!$A$2:$I$181,6,FALSE()),0))</f>
        <v>0</v>
      </c>
      <c r="S13" s="14" t="n">
        <f aca="false">IF(R13=0,0,VLOOKUP(R13,MIE_Components!$A$2:$F$6,2,FALSE()))</f>
        <v>0</v>
      </c>
      <c r="T13" s="14" t="n">
        <f aca="false">IF(R13=0,0,VLOOKUP(R13,MIE_Components!$A$2:$F$6,3,FALSE()))</f>
        <v>0</v>
      </c>
      <c r="U13" s="14" t="n">
        <f aca="false">IF(R13=0,0,VLOOKUP(R13,MIE_Components!$A$2:$F$6,4,FALSE()))</f>
        <v>0</v>
      </c>
      <c r="V13" s="14" t="n">
        <f aca="false">IF(OR($A13="",R13=0),0,MAX(5,R13*IF(OR($A13=Parameters!$B$13,$A13=Parameters!$B$14),0.75,1)-(IF(AND($A13=DATE(2026,11,29),NOV29BF="Yes"),S13,0)+IF(OR($A13=DATE(2026,11,29),$A13=DATE(2026,11,30),$A13=DATE(2026,12,1),$A13=DATE(2026,12,2)),T13,0)+IF(OR($A13=DATE(2026,11,28),$A13=DATE(2026,12,1)),U13,0))))</f>
        <v>0</v>
      </c>
      <c r="W13" s="14" t="n">
        <f aca="false">IF(AND($A13&lt;&gt;"",$A13&lt;Parameters!$B$14),CityData!F5*(1+TAXRATE),0)</f>
        <v>0</v>
      </c>
      <c r="X13" s="14" t="n">
        <f aca="false">IF($A13="",0,IFERROR(VLOOKUP((YEAR($A13)+IF(MONTH($A13)&gt;=10,1,0))&amp;"|Denver|"&amp;MONTH($A13),Rates!$A$2:$I$181,5,FALSE()),0))</f>
        <v>0</v>
      </c>
      <c r="Y13" s="14" t="n">
        <f aca="false">IF(OR($A13="",$A13&gt;=Parameters!$B$14),1,IF(AND(X13&gt;0,CityData!F5&lt;=X13),1,0))</f>
        <v>1</v>
      </c>
      <c r="Z13" s="14" t="n">
        <f aca="false">IF($A13="",0,IFERROR(VLOOKUP((YEAR($A13)+IF(MONTH($A13)&gt;=10,1,0))&amp;"|Phoenix|"&amp;MONTH($A13),Rates!$A$2:$I$181,6,FALSE()),0))</f>
        <v>0</v>
      </c>
      <c r="AA13" s="14" t="n">
        <f aca="false">IF(Z13=0,0,VLOOKUP(Z13,MIE_Components!$A$2:$F$6,2,FALSE()))</f>
        <v>0</v>
      </c>
      <c r="AB13" s="14" t="n">
        <f aca="false">IF(Z13=0,0,VLOOKUP(Z13,MIE_Components!$A$2:$F$6,3,FALSE()))</f>
        <v>0</v>
      </c>
      <c r="AC13" s="14" t="n">
        <f aca="false">IF(Z13=0,0,VLOOKUP(Z13,MIE_Components!$A$2:$F$6,4,FALSE()))</f>
        <v>0</v>
      </c>
      <c r="AD13" s="14" t="n">
        <f aca="false">IF(OR($A13="",Z13=0),0,MAX(5,Z13*IF(OR($A13=Parameters!$B$13,$A13=Parameters!$B$14),0.75,1)-(IF(AND($A13=DATE(2026,11,29),NOV29BF="Yes"),AA13,0)+IF(OR($A13=DATE(2026,11,29),$A13=DATE(2026,11,30),$A13=DATE(2026,12,1),$A13=DATE(2026,12,2)),AB13,0)+IF(OR($A13=DATE(2026,11,28),$A13=DATE(2026,12,1)),AC13,0))))</f>
        <v>0</v>
      </c>
      <c r="AE13" s="14" t="n">
        <f aca="false">IF(AND($A13&lt;&gt;"",$A13&lt;Parameters!$B$14),CityData!F6*(1+TAXRATE),0)</f>
        <v>0</v>
      </c>
      <c r="AF13" s="14" t="n">
        <f aca="false">IF($A13="",0,IFERROR(VLOOKUP((YEAR($A13)+IF(MONTH($A13)&gt;=10,1,0))&amp;"|Phoenix|"&amp;MONTH($A13),Rates!$A$2:$I$181,5,FALSE()),0))</f>
        <v>0</v>
      </c>
      <c r="AG13" s="14" t="n">
        <f aca="false">IF(OR($A13="",$A13&gt;=Parameters!$B$14),1,IF(AND(AF13&gt;0,CityData!F6&lt;=AF13),1,0))</f>
        <v>1</v>
      </c>
      <c r="AH13" s="14" t="n">
        <f aca="false">IF($A13="",0,IFERROR(VLOOKUP((YEAR($A13)+IF(MONTH($A13)&gt;=10,1,0))&amp;"|Seattle|"&amp;MONTH($A13),Rates!$A$2:$I$181,6,FALSE()),0))</f>
        <v>0</v>
      </c>
      <c r="AI13" s="14" t="n">
        <f aca="false">IF(AH13=0,0,VLOOKUP(AH13,MIE_Components!$A$2:$F$6,2,FALSE()))</f>
        <v>0</v>
      </c>
      <c r="AJ13" s="14" t="n">
        <f aca="false">IF(AH13=0,0,VLOOKUP(AH13,MIE_Components!$A$2:$F$6,3,FALSE()))</f>
        <v>0</v>
      </c>
      <c r="AK13" s="14" t="n">
        <f aca="false">IF(AH13=0,0,VLOOKUP(AH13,MIE_Components!$A$2:$F$6,4,FALSE()))</f>
        <v>0</v>
      </c>
      <c r="AL13" s="14" t="n">
        <f aca="false">IF(OR($A13="",AH13=0),0,MAX(5,AH13*IF(OR($A13=Parameters!$B$13,$A13=Parameters!$B$14),0.75,1)-(IF(AND($A13=DATE(2026,11,29),NOV29BF="Yes"),AI13,0)+IF(OR($A13=DATE(2026,11,29),$A13=DATE(2026,11,30),$A13=DATE(2026,12,1),$A13=DATE(2026,12,2)),AJ13,0)+IF(OR($A13=DATE(2026,11,28),$A13=DATE(2026,12,1)),AK13,0))))</f>
        <v>0</v>
      </c>
      <c r="AM13" s="14" t="n">
        <f aca="false">IF(AND($A13&lt;&gt;"",$A13&lt;Parameters!$B$14),CityData!F7*(1+TAXRATE),0)</f>
        <v>0</v>
      </c>
      <c r="AN13" s="14" t="n">
        <f aca="false">IF($A13="",0,IFERROR(VLOOKUP((YEAR($A13)+IF(MONTH($A13)&gt;=10,1,0))&amp;"|Seattle|"&amp;MONTH($A13),Rates!$A$2:$I$181,5,FALSE()),0))</f>
        <v>0</v>
      </c>
      <c r="AO13" s="14" t="n">
        <f aca="false">IF(OR($A13="",$A13&gt;=Parameters!$B$14),1,IF(AND(AN13&gt;0,CityData!F7&lt;=AN13),1,0))</f>
        <v>1</v>
      </c>
    </row>
    <row r="14" customFormat="false" ht="15" hidden="false" customHeight="true" outlineLevel="0" collapsed="false">
      <c r="A14" s="23" t="str">
        <f aca="false">IF(AND(Parameters!$B$14&gt;=Parameters!$B$13,ROW()-2&lt;=Parameters!$B$14-Parameters!$B$13),Parameters!$B$13+ROW()-2,"")</f>
        <v/>
      </c>
      <c r="B14" s="14" t="n">
        <f aca="false">IF($A14="",0,IFERROR(VLOOKUP((YEAR($A14)+IF(MONTH($A14)&gt;=10,1,0))&amp;"|Boston|"&amp;MONTH($A14),Rates!$A$2:$I$181,6,FALSE()),0))</f>
        <v>0</v>
      </c>
      <c r="C14" s="14" t="n">
        <f aca="false">IF(B14=0,0,VLOOKUP(B14,MIE_Components!$A$2:$F$6,2,FALSE()))</f>
        <v>0</v>
      </c>
      <c r="D14" s="14" t="n">
        <f aca="false">IF(B14=0,0,VLOOKUP(B14,MIE_Components!$A$2:$F$6,3,FALSE()))</f>
        <v>0</v>
      </c>
      <c r="E14" s="14" t="n">
        <f aca="false">IF(B14=0,0,VLOOKUP(B14,MIE_Components!$A$2:$F$6,4,FALSE()))</f>
        <v>0</v>
      </c>
      <c r="F14" s="14" t="n">
        <f aca="false">IF(OR($A14="",B14=0),0,MAX(5,B14*IF(OR($A14=Parameters!$B$13,$A14=Parameters!$B$14),0.75,1)-(IF(AND($A14=DATE(2026,11,29),NOV29BF="Yes"),C14,0)+IF(OR($A14=DATE(2026,11,29),$A14=DATE(2026,11,30),$A14=DATE(2026,12,1),$A14=DATE(2026,12,2)),D14,0)+IF(OR($A14=DATE(2026,11,28),$A14=DATE(2026,12,1)),E14,0))))</f>
        <v>0</v>
      </c>
      <c r="G14" s="14" t="n">
        <f aca="false">IF(AND($A14&lt;&gt;"",$A14&lt;Parameters!$B$14),CityData!F3*(1+TAXRATE),0)</f>
        <v>0</v>
      </c>
      <c r="H14" s="14" t="n">
        <f aca="false">IF($A14="",0,IFERROR(VLOOKUP((YEAR($A14)+IF(MONTH($A14)&gt;=10,1,0))&amp;"|Boston|"&amp;MONTH($A14),Rates!$A$2:$I$181,5,FALSE()),0))</f>
        <v>0</v>
      </c>
      <c r="I14" s="14" t="n">
        <f aca="false">IF(OR($A14="",$A14&gt;=Parameters!$B$14),1,IF(AND(H14&gt;0,CityData!F3&lt;=H14),1,0))</f>
        <v>1</v>
      </c>
      <c r="J14" s="14" t="n">
        <f aca="false">IF($A14="",0,IFERROR(VLOOKUP((YEAR($A14)+IF(MONTH($A14)&gt;=10,1,0))&amp;"|Chicago|"&amp;MONTH($A14),Rates!$A$2:$I$181,6,FALSE()),0))</f>
        <v>0</v>
      </c>
      <c r="K14" s="14" t="n">
        <f aca="false">IF(J14=0,0,VLOOKUP(J14,MIE_Components!$A$2:$F$6,2,FALSE()))</f>
        <v>0</v>
      </c>
      <c r="L14" s="14" t="n">
        <f aca="false">IF(J14=0,0,VLOOKUP(J14,MIE_Components!$A$2:$F$6,3,FALSE()))</f>
        <v>0</v>
      </c>
      <c r="M14" s="14" t="n">
        <f aca="false">IF(J14=0,0,VLOOKUP(J14,MIE_Components!$A$2:$F$6,4,FALSE()))</f>
        <v>0</v>
      </c>
      <c r="N14" s="14" t="n">
        <f aca="false">IF(OR($A14="",J14=0),0,MAX(5,J14*IF(OR($A14=Parameters!$B$13,$A14=Parameters!$B$14),0.75,1)-(IF(AND($A14=DATE(2026,11,29),NOV29BF="Yes"),K14,0)+IF(OR($A14=DATE(2026,11,29),$A14=DATE(2026,11,30),$A14=DATE(2026,12,1),$A14=DATE(2026,12,2)),L14,0)+IF(OR($A14=DATE(2026,11,28),$A14=DATE(2026,12,1)),M14,0))))</f>
        <v>0</v>
      </c>
      <c r="O14" s="14" t="n">
        <f aca="false">IF(AND($A14&lt;&gt;"",$A14&lt;Parameters!$B$14),CityData!F4*(1+TAXRATE),0)</f>
        <v>0</v>
      </c>
      <c r="P14" s="14" t="n">
        <f aca="false">IF($A14="",0,IFERROR(VLOOKUP((YEAR($A14)+IF(MONTH($A14)&gt;=10,1,0))&amp;"|Chicago|"&amp;MONTH($A14),Rates!$A$2:$I$181,5,FALSE()),0))</f>
        <v>0</v>
      </c>
      <c r="Q14" s="14" t="n">
        <f aca="false">IF(OR($A14="",$A14&gt;=Parameters!$B$14),1,IF(AND(P14&gt;0,CityData!F4&lt;=P14),1,0))</f>
        <v>1</v>
      </c>
      <c r="R14" s="14" t="n">
        <f aca="false">IF($A14="",0,IFERROR(VLOOKUP((YEAR($A14)+IF(MONTH($A14)&gt;=10,1,0))&amp;"|Denver|"&amp;MONTH($A14),Rates!$A$2:$I$181,6,FALSE()),0))</f>
        <v>0</v>
      </c>
      <c r="S14" s="14" t="n">
        <f aca="false">IF(R14=0,0,VLOOKUP(R14,MIE_Components!$A$2:$F$6,2,FALSE()))</f>
        <v>0</v>
      </c>
      <c r="T14" s="14" t="n">
        <f aca="false">IF(R14=0,0,VLOOKUP(R14,MIE_Components!$A$2:$F$6,3,FALSE()))</f>
        <v>0</v>
      </c>
      <c r="U14" s="14" t="n">
        <f aca="false">IF(R14=0,0,VLOOKUP(R14,MIE_Components!$A$2:$F$6,4,FALSE()))</f>
        <v>0</v>
      </c>
      <c r="V14" s="14" t="n">
        <f aca="false">IF(OR($A14="",R14=0),0,MAX(5,R14*IF(OR($A14=Parameters!$B$13,$A14=Parameters!$B$14),0.75,1)-(IF(AND($A14=DATE(2026,11,29),NOV29BF="Yes"),S14,0)+IF(OR($A14=DATE(2026,11,29),$A14=DATE(2026,11,30),$A14=DATE(2026,12,1),$A14=DATE(2026,12,2)),T14,0)+IF(OR($A14=DATE(2026,11,28),$A14=DATE(2026,12,1)),U14,0))))</f>
        <v>0</v>
      </c>
      <c r="W14" s="14" t="n">
        <f aca="false">IF(AND($A14&lt;&gt;"",$A14&lt;Parameters!$B$14),CityData!F5*(1+TAXRATE),0)</f>
        <v>0</v>
      </c>
      <c r="X14" s="14" t="n">
        <f aca="false">IF($A14="",0,IFERROR(VLOOKUP((YEAR($A14)+IF(MONTH($A14)&gt;=10,1,0))&amp;"|Denver|"&amp;MONTH($A14),Rates!$A$2:$I$181,5,FALSE()),0))</f>
        <v>0</v>
      </c>
      <c r="Y14" s="14" t="n">
        <f aca="false">IF(OR($A14="",$A14&gt;=Parameters!$B$14),1,IF(AND(X14&gt;0,CityData!F5&lt;=X14),1,0))</f>
        <v>1</v>
      </c>
      <c r="Z14" s="14" t="n">
        <f aca="false">IF($A14="",0,IFERROR(VLOOKUP((YEAR($A14)+IF(MONTH($A14)&gt;=10,1,0))&amp;"|Phoenix|"&amp;MONTH($A14),Rates!$A$2:$I$181,6,FALSE()),0))</f>
        <v>0</v>
      </c>
      <c r="AA14" s="14" t="n">
        <f aca="false">IF(Z14=0,0,VLOOKUP(Z14,MIE_Components!$A$2:$F$6,2,FALSE()))</f>
        <v>0</v>
      </c>
      <c r="AB14" s="14" t="n">
        <f aca="false">IF(Z14=0,0,VLOOKUP(Z14,MIE_Components!$A$2:$F$6,3,FALSE()))</f>
        <v>0</v>
      </c>
      <c r="AC14" s="14" t="n">
        <f aca="false">IF(Z14=0,0,VLOOKUP(Z14,MIE_Components!$A$2:$F$6,4,FALSE()))</f>
        <v>0</v>
      </c>
      <c r="AD14" s="14" t="n">
        <f aca="false">IF(OR($A14="",Z14=0),0,MAX(5,Z14*IF(OR($A14=Parameters!$B$13,$A14=Parameters!$B$14),0.75,1)-(IF(AND($A14=DATE(2026,11,29),NOV29BF="Yes"),AA14,0)+IF(OR($A14=DATE(2026,11,29),$A14=DATE(2026,11,30),$A14=DATE(2026,12,1),$A14=DATE(2026,12,2)),AB14,0)+IF(OR($A14=DATE(2026,11,28),$A14=DATE(2026,12,1)),AC14,0))))</f>
        <v>0</v>
      </c>
      <c r="AE14" s="14" t="n">
        <f aca="false">IF(AND($A14&lt;&gt;"",$A14&lt;Parameters!$B$14),CityData!F6*(1+TAXRATE),0)</f>
        <v>0</v>
      </c>
      <c r="AF14" s="14" t="n">
        <f aca="false">IF($A14="",0,IFERROR(VLOOKUP((YEAR($A14)+IF(MONTH($A14)&gt;=10,1,0))&amp;"|Phoenix|"&amp;MONTH($A14),Rates!$A$2:$I$181,5,FALSE()),0))</f>
        <v>0</v>
      </c>
      <c r="AG14" s="14" t="n">
        <f aca="false">IF(OR($A14="",$A14&gt;=Parameters!$B$14),1,IF(AND(AF14&gt;0,CityData!F6&lt;=AF14),1,0))</f>
        <v>1</v>
      </c>
      <c r="AH14" s="14" t="n">
        <f aca="false">IF($A14="",0,IFERROR(VLOOKUP((YEAR($A14)+IF(MONTH($A14)&gt;=10,1,0))&amp;"|Seattle|"&amp;MONTH($A14),Rates!$A$2:$I$181,6,FALSE()),0))</f>
        <v>0</v>
      </c>
      <c r="AI14" s="14" t="n">
        <f aca="false">IF(AH14=0,0,VLOOKUP(AH14,MIE_Components!$A$2:$F$6,2,FALSE()))</f>
        <v>0</v>
      </c>
      <c r="AJ14" s="14" t="n">
        <f aca="false">IF(AH14=0,0,VLOOKUP(AH14,MIE_Components!$A$2:$F$6,3,FALSE()))</f>
        <v>0</v>
      </c>
      <c r="AK14" s="14" t="n">
        <f aca="false">IF(AH14=0,0,VLOOKUP(AH14,MIE_Components!$A$2:$F$6,4,FALSE()))</f>
        <v>0</v>
      </c>
      <c r="AL14" s="14" t="n">
        <f aca="false">IF(OR($A14="",AH14=0),0,MAX(5,AH14*IF(OR($A14=Parameters!$B$13,$A14=Parameters!$B$14),0.75,1)-(IF(AND($A14=DATE(2026,11,29),NOV29BF="Yes"),AI14,0)+IF(OR($A14=DATE(2026,11,29),$A14=DATE(2026,11,30),$A14=DATE(2026,12,1),$A14=DATE(2026,12,2)),AJ14,0)+IF(OR($A14=DATE(2026,11,28),$A14=DATE(2026,12,1)),AK14,0))))</f>
        <v>0</v>
      </c>
      <c r="AM14" s="14" t="n">
        <f aca="false">IF(AND($A14&lt;&gt;"",$A14&lt;Parameters!$B$14),CityData!F7*(1+TAXRATE),0)</f>
        <v>0</v>
      </c>
      <c r="AN14" s="14" t="n">
        <f aca="false">IF($A14="",0,IFERROR(VLOOKUP((YEAR($A14)+IF(MONTH($A14)&gt;=10,1,0))&amp;"|Seattle|"&amp;MONTH($A14),Rates!$A$2:$I$181,5,FALSE()),0))</f>
        <v>0</v>
      </c>
      <c r="AO14" s="14" t="n">
        <f aca="false">IF(OR($A14="",$A14&gt;=Parameters!$B$14),1,IF(AND(AN14&gt;0,CityData!F7&lt;=AN14),1,0))</f>
        <v>1</v>
      </c>
    </row>
    <row r="15" customFormat="false" ht="15" hidden="false" customHeight="true" outlineLevel="0" collapsed="false">
      <c r="A15" s="23" t="str">
        <f aca="false">IF(AND(Parameters!$B$14&gt;=Parameters!$B$13,ROW()-2&lt;=Parameters!$B$14-Parameters!$B$13),Parameters!$B$13+ROW()-2,"")</f>
        <v/>
      </c>
      <c r="B15" s="14" t="n">
        <f aca="false">IF($A15="",0,IFERROR(VLOOKUP((YEAR($A15)+IF(MONTH($A15)&gt;=10,1,0))&amp;"|Boston|"&amp;MONTH($A15),Rates!$A$2:$I$181,6,FALSE()),0))</f>
        <v>0</v>
      </c>
      <c r="C15" s="14" t="n">
        <f aca="false">IF(B15=0,0,VLOOKUP(B15,MIE_Components!$A$2:$F$6,2,FALSE()))</f>
        <v>0</v>
      </c>
      <c r="D15" s="14" t="n">
        <f aca="false">IF(B15=0,0,VLOOKUP(B15,MIE_Components!$A$2:$F$6,3,FALSE()))</f>
        <v>0</v>
      </c>
      <c r="E15" s="14" t="n">
        <f aca="false">IF(B15=0,0,VLOOKUP(B15,MIE_Components!$A$2:$F$6,4,FALSE()))</f>
        <v>0</v>
      </c>
      <c r="F15" s="14" t="n">
        <f aca="false">IF(OR($A15="",B15=0),0,MAX(5,B15*IF(OR($A15=Parameters!$B$13,$A15=Parameters!$B$14),0.75,1)-(IF(AND($A15=DATE(2026,11,29),NOV29BF="Yes"),C15,0)+IF(OR($A15=DATE(2026,11,29),$A15=DATE(2026,11,30),$A15=DATE(2026,12,1),$A15=DATE(2026,12,2)),D15,0)+IF(OR($A15=DATE(2026,11,28),$A15=DATE(2026,12,1)),E15,0))))</f>
        <v>0</v>
      </c>
      <c r="G15" s="14" t="n">
        <f aca="false">IF(AND($A15&lt;&gt;"",$A15&lt;Parameters!$B$14),CityData!F3*(1+TAXRATE),0)</f>
        <v>0</v>
      </c>
      <c r="H15" s="14" t="n">
        <f aca="false">IF($A15="",0,IFERROR(VLOOKUP((YEAR($A15)+IF(MONTH($A15)&gt;=10,1,0))&amp;"|Boston|"&amp;MONTH($A15),Rates!$A$2:$I$181,5,FALSE()),0))</f>
        <v>0</v>
      </c>
      <c r="I15" s="14" t="n">
        <f aca="false">IF(OR($A15="",$A15&gt;=Parameters!$B$14),1,IF(AND(H15&gt;0,CityData!F3&lt;=H15),1,0))</f>
        <v>1</v>
      </c>
      <c r="J15" s="14" t="n">
        <f aca="false">IF($A15="",0,IFERROR(VLOOKUP((YEAR($A15)+IF(MONTH($A15)&gt;=10,1,0))&amp;"|Chicago|"&amp;MONTH($A15),Rates!$A$2:$I$181,6,FALSE()),0))</f>
        <v>0</v>
      </c>
      <c r="K15" s="14" t="n">
        <f aca="false">IF(J15=0,0,VLOOKUP(J15,MIE_Components!$A$2:$F$6,2,FALSE()))</f>
        <v>0</v>
      </c>
      <c r="L15" s="14" t="n">
        <f aca="false">IF(J15=0,0,VLOOKUP(J15,MIE_Components!$A$2:$F$6,3,FALSE()))</f>
        <v>0</v>
      </c>
      <c r="M15" s="14" t="n">
        <f aca="false">IF(J15=0,0,VLOOKUP(J15,MIE_Components!$A$2:$F$6,4,FALSE()))</f>
        <v>0</v>
      </c>
      <c r="N15" s="14" t="n">
        <f aca="false">IF(OR($A15="",J15=0),0,MAX(5,J15*IF(OR($A15=Parameters!$B$13,$A15=Parameters!$B$14),0.75,1)-(IF(AND($A15=DATE(2026,11,29),NOV29BF="Yes"),K15,0)+IF(OR($A15=DATE(2026,11,29),$A15=DATE(2026,11,30),$A15=DATE(2026,12,1),$A15=DATE(2026,12,2)),L15,0)+IF(OR($A15=DATE(2026,11,28),$A15=DATE(2026,12,1)),M15,0))))</f>
        <v>0</v>
      </c>
      <c r="O15" s="14" t="n">
        <f aca="false">IF(AND($A15&lt;&gt;"",$A15&lt;Parameters!$B$14),CityData!F4*(1+TAXRATE),0)</f>
        <v>0</v>
      </c>
      <c r="P15" s="14" t="n">
        <f aca="false">IF($A15="",0,IFERROR(VLOOKUP((YEAR($A15)+IF(MONTH($A15)&gt;=10,1,0))&amp;"|Chicago|"&amp;MONTH($A15),Rates!$A$2:$I$181,5,FALSE()),0))</f>
        <v>0</v>
      </c>
      <c r="Q15" s="14" t="n">
        <f aca="false">IF(OR($A15="",$A15&gt;=Parameters!$B$14),1,IF(AND(P15&gt;0,CityData!F4&lt;=P15),1,0))</f>
        <v>1</v>
      </c>
      <c r="R15" s="14" t="n">
        <f aca="false">IF($A15="",0,IFERROR(VLOOKUP((YEAR($A15)+IF(MONTH($A15)&gt;=10,1,0))&amp;"|Denver|"&amp;MONTH($A15),Rates!$A$2:$I$181,6,FALSE()),0))</f>
        <v>0</v>
      </c>
      <c r="S15" s="14" t="n">
        <f aca="false">IF(R15=0,0,VLOOKUP(R15,MIE_Components!$A$2:$F$6,2,FALSE()))</f>
        <v>0</v>
      </c>
      <c r="T15" s="14" t="n">
        <f aca="false">IF(R15=0,0,VLOOKUP(R15,MIE_Components!$A$2:$F$6,3,FALSE()))</f>
        <v>0</v>
      </c>
      <c r="U15" s="14" t="n">
        <f aca="false">IF(R15=0,0,VLOOKUP(R15,MIE_Components!$A$2:$F$6,4,FALSE()))</f>
        <v>0</v>
      </c>
      <c r="V15" s="14" t="n">
        <f aca="false">IF(OR($A15="",R15=0),0,MAX(5,R15*IF(OR($A15=Parameters!$B$13,$A15=Parameters!$B$14),0.75,1)-(IF(AND($A15=DATE(2026,11,29),NOV29BF="Yes"),S15,0)+IF(OR($A15=DATE(2026,11,29),$A15=DATE(2026,11,30),$A15=DATE(2026,12,1),$A15=DATE(2026,12,2)),T15,0)+IF(OR($A15=DATE(2026,11,28),$A15=DATE(2026,12,1)),U15,0))))</f>
        <v>0</v>
      </c>
      <c r="W15" s="14" t="n">
        <f aca="false">IF(AND($A15&lt;&gt;"",$A15&lt;Parameters!$B$14),CityData!F5*(1+TAXRATE),0)</f>
        <v>0</v>
      </c>
      <c r="X15" s="14" t="n">
        <f aca="false">IF($A15="",0,IFERROR(VLOOKUP((YEAR($A15)+IF(MONTH($A15)&gt;=10,1,0))&amp;"|Denver|"&amp;MONTH($A15),Rates!$A$2:$I$181,5,FALSE()),0))</f>
        <v>0</v>
      </c>
      <c r="Y15" s="14" t="n">
        <f aca="false">IF(OR($A15="",$A15&gt;=Parameters!$B$14),1,IF(AND(X15&gt;0,CityData!F5&lt;=X15),1,0))</f>
        <v>1</v>
      </c>
      <c r="Z15" s="14" t="n">
        <f aca="false">IF($A15="",0,IFERROR(VLOOKUP((YEAR($A15)+IF(MONTH($A15)&gt;=10,1,0))&amp;"|Phoenix|"&amp;MONTH($A15),Rates!$A$2:$I$181,6,FALSE()),0))</f>
        <v>0</v>
      </c>
      <c r="AA15" s="14" t="n">
        <f aca="false">IF(Z15=0,0,VLOOKUP(Z15,MIE_Components!$A$2:$F$6,2,FALSE()))</f>
        <v>0</v>
      </c>
      <c r="AB15" s="14" t="n">
        <f aca="false">IF(Z15=0,0,VLOOKUP(Z15,MIE_Components!$A$2:$F$6,3,FALSE()))</f>
        <v>0</v>
      </c>
      <c r="AC15" s="14" t="n">
        <f aca="false">IF(Z15=0,0,VLOOKUP(Z15,MIE_Components!$A$2:$F$6,4,FALSE()))</f>
        <v>0</v>
      </c>
      <c r="AD15" s="14" t="n">
        <f aca="false">IF(OR($A15="",Z15=0),0,MAX(5,Z15*IF(OR($A15=Parameters!$B$13,$A15=Parameters!$B$14),0.75,1)-(IF(AND($A15=DATE(2026,11,29),NOV29BF="Yes"),AA15,0)+IF(OR($A15=DATE(2026,11,29),$A15=DATE(2026,11,30),$A15=DATE(2026,12,1),$A15=DATE(2026,12,2)),AB15,0)+IF(OR($A15=DATE(2026,11,28),$A15=DATE(2026,12,1)),AC15,0))))</f>
        <v>0</v>
      </c>
      <c r="AE15" s="14" t="n">
        <f aca="false">IF(AND($A15&lt;&gt;"",$A15&lt;Parameters!$B$14),CityData!F6*(1+TAXRATE),0)</f>
        <v>0</v>
      </c>
      <c r="AF15" s="14" t="n">
        <f aca="false">IF($A15="",0,IFERROR(VLOOKUP((YEAR($A15)+IF(MONTH($A15)&gt;=10,1,0))&amp;"|Phoenix|"&amp;MONTH($A15),Rates!$A$2:$I$181,5,FALSE()),0))</f>
        <v>0</v>
      </c>
      <c r="AG15" s="14" t="n">
        <f aca="false">IF(OR($A15="",$A15&gt;=Parameters!$B$14),1,IF(AND(AF15&gt;0,CityData!F6&lt;=AF15),1,0))</f>
        <v>1</v>
      </c>
      <c r="AH15" s="14" t="n">
        <f aca="false">IF($A15="",0,IFERROR(VLOOKUP((YEAR($A15)+IF(MONTH($A15)&gt;=10,1,0))&amp;"|Seattle|"&amp;MONTH($A15),Rates!$A$2:$I$181,6,FALSE()),0))</f>
        <v>0</v>
      </c>
      <c r="AI15" s="14" t="n">
        <f aca="false">IF(AH15=0,0,VLOOKUP(AH15,MIE_Components!$A$2:$F$6,2,FALSE()))</f>
        <v>0</v>
      </c>
      <c r="AJ15" s="14" t="n">
        <f aca="false">IF(AH15=0,0,VLOOKUP(AH15,MIE_Components!$A$2:$F$6,3,FALSE()))</f>
        <v>0</v>
      </c>
      <c r="AK15" s="14" t="n">
        <f aca="false">IF(AH15=0,0,VLOOKUP(AH15,MIE_Components!$A$2:$F$6,4,FALSE()))</f>
        <v>0</v>
      </c>
      <c r="AL15" s="14" t="n">
        <f aca="false">IF(OR($A15="",AH15=0),0,MAX(5,AH15*IF(OR($A15=Parameters!$B$13,$A15=Parameters!$B$14),0.75,1)-(IF(AND($A15=DATE(2026,11,29),NOV29BF="Yes"),AI15,0)+IF(OR($A15=DATE(2026,11,29),$A15=DATE(2026,11,30),$A15=DATE(2026,12,1),$A15=DATE(2026,12,2)),AJ15,0)+IF(OR($A15=DATE(2026,11,28),$A15=DATE(2026,12,1)),AK15,0))))</f>
        <v>0</v>
      </c>
      <c r="AM15" s="14" t="n">
        <f aca="false">IF(AND($A15&lt;&gt;"",$A15&lt;Parameters!$B$14),CityData!F7*(1+TAXRATE),0)</f>
        <v>0</v>
      </c>
      <c r="AN15" s="14" t="n">
        <f aca="false">IF($A15="",0,IFERROR(VLOOKUP((YEAR($A15)+IF(MONTH($A15)&gt;=10,1,0))&amp;"|Seattle|"&amp;MONTH($A15),Rates!$A$2:$I$181,5,FALSE()),0))</f>
        <v>0</v>
      </c>
      <c r="AO15" s="14" t="n">
        <f aca="false">IF(OR($A15="",$A15&gt;=Parameters!$B$14),1,IF(AND(AN15&gt;0,CityData!F7&lt;=AN15),1,0))</f>
        <v>1</v>
      </c>
    </row>
    <row r="16" customFormat="false" ht="15" hidden="false" customHeight="true" outlineLevel="0" collapsed="false">
      <c r="A16" s="23" t="str">
        <f aca="false">IF(AND(Parameters!$B$14&gt;=Parameters!$B$13,ROW()-2&lt;=Parameters!$B$14-Parameters!$B$13),Parameters!$B$13+ROW()-2,"")</f>
        <v/>
      </c>
      <c r="B16" s="14" t="n">
        <f aca="false">IF($A16="",0,IFERROR(VLOOKUP((YEAR($A16)+IF(MONTH($A16)&gt;=10,1,0))&amp;"|Boston|"&amp;MONTH($A16),Rates!$A$2:$I$181,6,FALSE()),0))</f>
        <v>0</v>
      </c>
      <c r="C16" s="14" t="n">
        <f aca="false">IF(B16=0,0,VLOOKUP(B16,MIE_Components!$A$2:$F$6,2,FALSE()))</f>
        <v>0</v>
      </c>
      <c r="D16" s="14" t="n">
        <f aca="false">IF(B16=0,0,VLOOKUP(B16,MIE_Components!$A$2:$F$6,3,FALSE()))</f>
        <v>0</v>
      </c>
      <c r="E16" s="14" t="n">
        <f aca="false">IF(B16=0,0,VLOOKUP(B16,MIE_Components!$A$2:$F$6,4,FALSE()))</f>
        <v>0</v>
      </c>
      <c r="F16" s="14" t="n">
        <f aca="false">IF(OR($A16="",B16=0),0,MAX(5,B16*IF(OR($A16=Parameters!$B$13,$A16=Parameters!$B$14),0.75,1)-(IF(AND($A16=DATE(2026,11,29),NOV29BF="Yes"),C16,0)+IF(OR($A16=DATE(2026,11,29),$A16=DATE(2026,11,30),$A16=DATE(2026,12,1),$A16=DATE(2026,12,2)),D16,0)+IF(OR($A16=DATE(2026,11,28),$A16=DATE(2026,12,1)),E16,0))))</f>
        <v>0</v>
      </c>
      <c r="G16" s="14" t="n">
        <f aca="false">IF(AND($A16&lt;&gt;"",$A16&lt;Parameters!$B$14),CityData!F3*(1+TAXRATE),0)</f>
        <v>0</v>
      </c>
      <c r="H16" s="14" t="n">
        <f aca="false">IF($A16="",0,IFERROR(VLOOKUP((YEAR($A16)+IF(MONTH($A16)&gt;=10,1,0))&amp;"|Boston|"&amp;MONTH($A16),Rates!$A$2:$I$181,5,FALSE()),0))</f>
        <v>0</v>
      </c>
      <c r="I16" s="14" t="n">
        <f aca="false">IF(OR($A16="",$A16&gt;=Parameters!$B$14),1,IF(AND(H16&gt;0,CityData!F3&lt;=H16),1,0))</f>
        <v>1</v>
      </c>
      <c r="J16" s="14" t="n">
        <f aca="false">IF($A16="",0,IFERROR(VLOOKUP((YEAR($A16)+IF(MONTH($A16)&gt;=10,1,0))&amp;"|Chicago|"&amp;MONTH($A16),Rates!$A$2:$I$181,6,FALSE()),0))</f>
        <v>0</v>
      </c>
      <c r="K16" s="14" t="n">
        <f aca="false">IF(J16=0,0,VLOOKUP(J16,MIE_Components!$A$2:$F$6,2,FALSE()))</f>
        <v>0</v>
      </c>
      <c r="L16" s="14" t="n">
        <f aca="false">IF(J16=0,0,VLOOKUP(J16,MIE_Components!$A$2:$F$6,3,FALSE()))</f>
        <v>0</v>
      </c>
      <c r="M16" s="14" t="n">
        <f aca="false">IF(J16=0,0,VLOOKUP(J16,MIE_Components!$A$2:$F$6,4,FALSE()))</f>
        <v>0</v>
      </c>
      <c r="N16" s="14" t="n">
        <f aca="false">IF(OR($A16="",J16=0),0,MAX(5,J16*IF(OR($A16=Parameters!$B$13,$A16=Parameters!$B$14),0.75,1)-(IF(AND($A16=DATE(2026,11,29),NOV29BF="Yes"),K16,0)+IF(OR($A16=DATE(2026,11,29),$A16=DATE(2026,11,30),$A16=DATE(2026,12,1),$A16=DATE(2026,12,2)),L16,0)+IF(OR($A16=DATE(2026,11,28),$A16=DATE(2026,12,1)),M16,0))))</f>
        <v>0</v>
      </c>
      <c r="O16" s="14" t="n">
        <f aca="false">IF(AND($A16&lt;&gt;"",$A16&lt;Parameters!$B$14),CityData!F4*(1+TAXRATE),0)</f>
        <v>0</v>
      </c>
      <c r="P16" s="14" t="n">
        <f aca="false">IF($A16="",0,IFERROR(VLOOKUP((YEAR($A16)+IF(MONTH($A16)&gt;=10,1,0))&amp;"|Chicago|"&amp;MONTH($A16),Rates!$A$2:$I$181,5,FALSE()),0))</f>
        <v>0</v>
      </c>
      <c r="Q16" s="14" t="n">
        <f aca="false">IF(OR($A16="",$A16&gt;=Parameters!$B$14),1,IF(AND(P16&gt;0,CityData!F4&lt;=P16),1,0))</f>
        <v>1</v>
      </c>
      <c r="R16" s="14" t="n">
        <f aca="false">IF($A16="",0,IFERROR(VLOOKUP((YEAR($A16)+IF(MONTH($A16)&gt;=10,1,0))&amp;"|Denver|"&amp;MONTH($A16),Rates!$A$2:$I$181,6,FALSE()),0))</f>
        <v>0</v>
      </c>
      <c r="S16" s="14" t="n">
        <f aca="false">IF(R16=0,0,VLOOKUP(R16,MIE_Components!$A$2:$F$6,2,FALSE()))</f>
        <v>0</v>
      </c>
      <c r="T16" s="14" t="n">
        <f aca="false">IF(R16=0,0,VLOOKUP(R16,MIE_Components!$A$2:$F$6,3,FALSE()))</f>
        <v>0</v>
      </c>
      <c r="U16" s="14" t="n">
        <f aca="false">IF(R16=0,0,VLOOKUP(R16,MIE_Components!$A$2:$F$6,4,FALSE()))</f>
        <v>0</v>
      </c>
      <c r="V16" s="14" t="n">
        <f aca="false">IF(OR($A16="",R16=0),0,MAX(5,R16*IF(OR($A16=Parameters!$B$13,$A16=Parameters!$B$14),0.75,1)-(IF(AND($A16=DATE(2026,11,29),NOV29BF="Yes"),S16,0)+IF(OR($A16=DATE(2026,11,29),$A16=DATE(2026,11,30),$A16=DATE(2026,12,1),$A16=DATE(2026,12,2)),T16,0)+IF(OR($A16=DATE(2026,11,28),$A16=DATE(2026,12,1)),U16,0))))</f>
        <v>0</v>
      </c>
      <c r="W16" s="14" t="n">
        <f aca="false">IF(AND($A16&lt;&gt;"",$A16&lt;Parameters!$B$14),CityData!F5*(1+TAXRATE),0)</f>
        <v>0</v>
      </c>
      <c r="X16" s="14" t="n">
        <f aca="false">IF($A16="",0,IFERROR(VLOOKUP((YEAR($A16)+IF(MONTH($A16)&gt;=10,1,0))&amp;"|Denver|"&amp;MONTH($A16),Rates!$A$2:$I$181,5,FALSE()),0))</f>
        <v>0</v>
      </c>
      <c r="Y16" s="14" t="n">
        <f aca="false">IF(OR($A16="",$A16&gt;=Parameters!$B$14),1,IF(AND(X16&gt;0,CityData!F5&lt;=X16),1,0))</f>
        <v>1</v>
      </c>
      <c r="Z16" s="14" t="n">
        <f aca="false">IF($A16="",0,IFERROR(VLOOKUP((YEAR($A16)+IF(MONTH($A16)&gt;=10,1,0))&amp;"|Phoenix|"&amp;MONTH($A16),Rates!$A$2:$I$181,6,FALSE()),0))</f>
        <v>0</v>
      </c>
      <c r="AA16" s="14" t="n">
        <f aca="false">IF(Z16=0,0,VLOOKUP(Z16,MIE_Components!$A$2:$F$6,2,FALSE()))</f>
        <v>0</v>
      </c>
      <c r="AB16" s="14" t="n">
        <f aca="false">IF(Z16=0,0,VLOOKUP(Z16,MIE_Components!$A$2:$F$6,3,FALSE()))</f>
        <v>0</v>
      </c>
      <c r="AC16" s="14" t="n">
        <f aca="false">IF(Z16=0,0,VLOOKUP(Z16,MIE_Components!$A$2:$F$6,4,FALSE()))</f>
        <v>0</v>
      </c>
      <c r="AD16" s="14" t="n">
        <f aca="false">IF(OR($A16="",Z16=0),0,MAX(5,Z16*IF(OR($A16=Parameters!$B$13,$A16=Parameters!$B$14),0.75,1)-(IF(AND($A16=DATE(2026,11,29),NOV29BF="Yes"),AA16,0)+IF(OR($A16=DATE(2026,11,29),$A16=DATE(2026,11,30),$A16=DATE(2026,12,1),$A16=DATE(2026,12,2)),AB16,0)+IF(OR($A16=DATE(2026,11,28),$A16=DATE(2026,12,1)),AC16,0))))</f>
        <v>0</v>
      </c>
      <c r="AE16" s="14" t="n">
        <f aca="false">IF(AND($A16&lt;&gt;"",$A16&lt;Parameters!$B$14),CityData!F6*(1+TAXRATE),0)</f>
        <v>0</v>
      </c>
      <c r="AF16" s="14" t="n">
        <f aca="false">IF($A16="",0,IFERROR(VLOOKUP((YEAR($A16)+IF(MONTH($A16)&gt;=10,1,0))&amp;"|Phoenix|"&amp;MONTH($A16),Rates!$A$2:$I$181,5,FALSE()),0))</f>
        <v>0</v>
      </c>
      <c r="AG16" s="14" t="n">
        <f aca="false">IF(OR($A16="",$A16&gt;=Parameters!$B$14),1,IF(AND(AF16&gt;0,CityData!F6&lt;=AF16),1,0))</f>
        <v>1</v>
      </c>
      <c r="AH16" s="14" t="n">
        <f aca="false">IF($A16="",0,IFERROR(VLOOKUP((YEAR($A16)+IF(MONTH($A16)&gt;=10,1,0))&amp;"|Seattle|"&amp;MONTH($A16),Rates!$A$2:$I$181,6,FALSE()),0))</f>
        <v>0</v>
      </c>
      <c r="AI16" s="14" t="n">
        <f aca="false">IF(AH16=0,0,VLOOKUP(AH16,MIE_Components!$A$2:$F$6,2,FALSE()))</f>
        <v>0</v>
      </c>
      <c r="AJ16" s="14" t="n">
        <f aca="false">IF(AH16=0,0,VLOOKUP(AH16,MIE_Components!$A$2:$F$6,3,FALSE()))</f>
        <v>0</v>
      </c>
      <c r="AK16" s="14" t="n">
        <f aca="false">IF(AH16=0,0,VLOOKUP(AH16,MIE_Components!$A$2:$F$6,4,FALSE()))</f>
        <v>0</v>
      </c>
      <c r="AL16" s="14" t="n">
        <f aca="false">IF(OR($A16="",AH16=0),0,MAX(5,AH16*IF(OR($A16=Parameters!$B$13,$A16=Parameters!$B$14),0.75,1)-(IF(AND($A16=DATE(2026,11,29),NOV29BF="Yes"),AI16,0)+IF(OR($A16=DATE(2026,11,29),$A16=DATE(2026,11,30),$A16=DATE(2026,12,1),$A16=DATE(2026,12,2)),AJ16,0)+IF(OR($A16=DATE(2026,11,28),$A16=DATE(2026,12,1)),AK16,0))))</f>
        <v>0</v>
      </c>
      <c r="AM16" s="14" t="n">
        <f aca="false">IF(AND($A16&lt;&gt;"",$A16&lt;Parameters!$B$14),CityData!F7*(1+TAXRATE),0)</f>
        <v>0</v>
      </c>
      <c r="AN16" s="14" t="n">
        <f aca="false">IF($A16="",0,IFERROR(VLOOKUP((YEAR($A16)+IF(MONTH($A16)&gt;=10,1,0))&amp;"|Seattle|"&amp;MONTH($A16),Rates!$A$2:$I$181,5,FALSE()),0))</f>
        <v>0</v>
      </c>
      <c r="AO16" s="14" t="n">
        <f aca="false">IF(OR($A16="",$A16&gt;=Parameters!$B$14),1,IF(AND(AN16&gt;0,CityData!F7&lt;=AN16),1,0))</f>
        <v>1</v>
      </c>
    </row>
    <row r="17" customFormat="false" ht="15" hidden="false" customHeight="true" outlineLevel="0" collapsed="false">
      <c r="A17" s="23" t="str">
        <f aca="false">IF(AND(Parameters!$B$14&gt;=Parameters!$B$13,ROW()-2&lt;=Parameters!$B$14-Parameters!$B$13),Parameters!$B$13+ROW()-2,"")</f>
        <v/>
      </c>
      <c r="B17" s="14" t="n">
        <f aca="false">IF($A17="",0,IFERROR(VLOOKUP((YEAR($A17)+IF(MONTH($A17)&gt;=10,1,0))&amp;"|Boston|"&amp;MONTH($A17),Rates!$A$2:$I$181,6,FALSE()),0))</f>
        <v>0</v>
      </c>
      <c r="C17" s="14" t="n">
        <f aca="false">IF(B17=0,0,VLOOKUP(B17,MIE_Components!$A$2:$F$6,2,FALSE()))</f>
        <v>0</v>
      </c>
      <c r="D17" s="14" t="n">
        <f aca="false">IF(B17=0,0,VLOOKUP(B17,MIE_Components!$A$2:$F$6,3,FALSE()))</f>
        <v>0</v>
      </c>
      <c r="E17" s="14" t="n">
        <f aca="false">IF(B17=0,0,VLOOKUP(B17,MIE_Components!$A$2:$F$6,4,FALSE()))</f>
        <v>0</v>
      </c>
      <c r="F17" s="14" t="n">
        <f aca="false">IF(OR($A17="",B17=0),0,MAX(5,B17*IF(OR($A17=Parameters!$B$13,$A17=Parameters!$B$14),0.75,1)-(IF(AND($A17=DATE(2026,11,29),NOV29BF="Yes"),C17,0)+IF(OR($A17=DATE(2026,11,29),$A17=DATE(2026,11,30),$A17=DATE(2026,12,1),$A17=DATE(2026,12,2)),D17,0)+IF(OR($A17=DATE(2026,11,28),$A17=DATE(2026,12,1)),E17,0))))</f>
        <v>0</v>
      </c>
      <c r="G17" s="14" t="n">
        <f aca="false">IF(AND($A17&lt;&gt;"",$A17&lt;Parameters!$B$14),CityData!F3*(1+TAXRATE),0)</f>
        <v>0</v>
      </c>
      <c r="H17" s="14" t="n">
        <f aca="false">IF($A17="",0,IFERROR(VLOOKUP((YEAR($A17)+IF(MONTH($A17)&gt;=10,1,0))&amp;"|Boston|"&amp;MONTH($A17),Rates!$A$2:$I$181,5,FALSE()),0))</f>
        <v>0</v>
      </c>
      <c r="I17" s="14" t="n">
        <f aca="false">IF(OR($A17="",$A17&gt;=Parameters!$B$14),1,IF(AND(H17&gt;0,CityData!F3&lt;=H17),1,0))</f>
        <v>1</v>
      </c>
      <c r="J17" s="14" t="n">
        <f aca="false">IF($A17="",0,IFERROR(VLOOKUP((YEAR($A17)+IF(MONTH($A17)&gt;=10,1,0))&amp;"|Chicago|"&amp;MONTH($A17),Rates!$A$2:$I$181,6,FALSE()),0))</f>
        <v>0</v>
      </c>
      <c r="K17" s="14" t="n">
        <f aca="false">IF(J17=0,0,VLOOKUP(J17,MIE_Components!$A$2:$F$6,2,FALSE()))</f>
        <v>0</v>
      </c>
      <c r="L17" s="14" t="n">
        <f aca="false">IF(J17=0,0,VLOOKUP(J17,MIE_Components!$A$2:$F$6,3,FALSE()))</f>
        <v>0</v>
      </c>
      <c r="M17" s="14" t="n">
        <f aca="false">IF(J17=0,0,VLOOKUP(J17,MIE_Components!$A$2:$F$6,4,FALSE()))</f>
        <v>0</v>
      </c>
      <c r="N17" s="14" t="n">
        <f aca="false">IF(OR($A17="",J17=0),0,MAX(5,J17*IF(OR($A17=Parameters!$B$13,$A17=Parameters!$B$14),0.75,1)-(IF(AND($A17=DATE(2026,11,29),NOV29BF="Yes"),K17,0)+IF(OR($A17=DATE(2026,11,29),$A17=DATE(2026,11,30),$A17=DATE(2026,12,1),$A17=DATE(2026,12,2)),L17,0)+IF(OR($A17=DATE(2026,11,28),$A17=DATE(2026,12,1)),M17,0))))</f>
        <v>0</v>
      </c>
      <c r="O17" s="14" t="n">
        <f aca="false">IF(AND($A17&lt;&gt;"",$A17&lt;Parameters!$B$14),CityData!F4*(1+TAXRATE),0)</f>
        <v>0</v>
      </c>
      <c r="P17" s="14" t="n">
        <f aca="false">IF($A17="",0,IFERROR(VLOOKUP((YEAR($A17)+IF(MONTH($A17)&gt;=10,1,0))&amp;"|Chicago|"&amp;MONTH($A17),Rates!$A$2:$I$181,5,FALSE()),0))</f>
        <v>0</v>
      </c>
      <c r="Q17" s="14" t="n">
        <f aca="false">IF(OR($A17="",$A17&gt;=Parameters!$B$14),1,IF(AND(P17&gt;0,CityData!F4&lt;=P17),1,0))</f>
        <v>1</v>
      </c>
      <c r="R17" s="14" t="n">
        <f aca="false">IF($A17="",0,IFERROR(VLOOKUP((YEAR($A17)+IF(MONTH($A17)&gt;=10,1,0))&amp;"|Denver|"&amp;MONTH($A17),Rates!$A$2:$I$181,6,FALSE()),0))</f>
        <v>0</v>
      </c>
      <c r="S17" s="14" t="n">
        <f aca="false">IF(R17=0,0,VLOOKUP(R17,MIE_Components!$A$2:$F$6,2,FALSE()))</f>
        <v>0</v>
      </c>
      <c r="T17" s="14" t="n">
        <f aca="false">IF(R17=0,0,VLOOKUP(R17,MIE_Components!$A$2:$F$6,3,FALSE()))</f>
        <v>0</v>
      </c>
      <c r="U17" s="14" t="n">
        <f aca="false">IF(R17=0,0,VLOOKUP(R17,MIE_Components!$A$2:$F$6,4,FALSE()))</f>
        <v>0</v>
      </c>
      <c r="V17" s="14" t="n">
        <f aca="false">IF(OR($A17="",R17=0),0,MAX(5,R17*IF(OR($A17=Parameters!$B$13,$A17=Parameters!$B$14),0.75,1)-(IF(AND($A17=DATE(2026,11,29),NOV29BF="Yes"),S17,0)+IF(OR($A17=DATE(2026,11,29),$A17=DATE(2026,11,30),$A17=DATE(2026,12,1),$A17=DATE(2026,12,2)),T17,0)+IF(OR($A17=DATE(2026,11,28),$A17=DATE(2026,12,1)),U17,0))))</f>
        <v>0</v>
      </c>
      <c r="W17" s="14" t="n">
        <f aca="false">IF(AND($A17&lt;&gt;"",$A17&lt;Parameters!$B$14),CityData!F5*(1+TAXRATE),0)</f>
        <v>0</v>
      </c>
      <c r="X17" s="14" t="n">
        <f aca="false">IF($A17="",0,IFERROR(VLOOKUP((YEAR($A17)+IF(MONTH($A17)&gt;=10,1,0))&amp;"|Denver|"&amp;MONTH($A17),Rates!$A$2:$I$181,5,FALSE()),0))</f>
        <v>0</v>
      </c>
      <c r="Y17" s="14" t="n">
        <f aca="false">IF(OR($A17="",$A17&gt;=Parameters!$B$14),1,IF(AND(X17&gt;0,CityData!F5&lt;=X17),1,0))</f>
        <v>1</v>
      </c>
      <c r="Z17" s="14" t="n">
        <f aca="false">IF($A17="",0,IFERROR(VLOOKUP((YEAR($A17)+IF(MONTH($A17)&gt;=10,1,0))&amp;"|Phoenix|"&amp;MONTH($A17),Rates!$A$2:$I$181,6,FALSE()),0))</f>
        <v>0</v>
      </c>
      <c r="AA17" s="14" t="n">
        <f aca="false">IF(Z17=0,0,VLOOKUP(Z17,MIE_Components!$A$2:$F$6,2,FALSE()))</f>
        <v>0</v>
      </c>
      <c r="AB17" s="14" t="n">
        <f aca="false">IF(Z17=0,0,VLOOKUP(Z17,MIE_Components!$A$2:$F$6,3,FALSE()))</f>
        <v>0</v>
      </c>
      <c r="AC17" s="14" t="n">
        <f aca="false">IF(Z17=0,0,VLOOKUP(Z17,MIE_Components!$A$2:$F$6,4,FALSE()))</f>
        <v>0</v>
      </c>
      <c r="AD17" s="14" t="n">
        <f aca="false">IF(OR($A17="",Z17=0),0,MAX(5,Z17*IF(OR($A17=Parameters!$B$13,$A17=Parameters!$B$14),0.75,1)-(IF(AND($A17=DATE(2026,11,29),NOV29BF="Yes"),AA17,0)+IF(OR($A17=DATE(2026,11,29),$A17=DATE(2026,11,30),$A17=DATE(2026,12,1),$A17=DATE(2026,12,2)),AB17,0)+IF(OR($A17=DATE(2026,11,28),$A17=DATE(2026,12,1)),AC17,0))))</f>
        <v>0</v>
      </c>
      <c r="AE17" s="14" t="n">
        <f aca="false">IF(AND($A17&lt;&gt;"",$A17&lt;Parameters!$B$14),CityData!F6*(1+TAXRATE),0)</f>
        <v>0</v>
      </c>
      <c r="AF17" s="14" t="n">
        <f aca="false">IF($A17="",0,IFERROR(VLOOKUP((YEAR($A17)+IF(MONTH($A17)&gt;=10,1,0))&amp;"|Phoenix|"&amp;MONTH($A17),Rates!$A$2:$I$181,5,FALSE()),0))</f>
        <v>0</v>
      </c>
      <c r="AG17" s="14" t="n">
        <f aca="false">IF(OR($A17="",$A17&gt;=Parameters!$B$14),1,IF(AND(AF17&gt;0,CityData!F6&lt;=AF17),1,0))</f>
        <v>1</v>
      </c>
      <c r="AH17" s="14" t="n">
        <f aca="false">IF($A17="",0,IFERROR(VLOOKUP((YEAR($A17)+IF(MONTH($A17)&gt;=10,1,0))&amp;"|Seattle|"&amp;MONTH($A17),Rates!$A$2:$I$181,6,FALSE()),0))</f>
        <v>0</v>
      </c>
      <c r="AI17" s="14" t="n">
        <f aca="false">IF(AH17=0,0,VLOOKUP(AH17,MIE_Components!$A$2:$F$6,2,FALSE()))</f>
        <v>0</v>
      </c>
      <c r="AJ17" s="14" t="n">
        <f aca="false">IF(AH17=0,0,VLOOKUP(AH17,MIE_Components!$A$2:$F$6,3,FALSE()))</f>
        <v>0</v>
      </c>
      <c r="AK17" s="14" t="n">
        <f aca="false">IF(AH17=0,0,VLOOKUP(AH17,MIE_Components!$A$2:$F$6,4,FALSE()))</f>
        <v>0</v>
      </c>
      <c r="AL17" s="14" t="n">
        <f aca="false">IF(OR($A17="",AH17=0),0,MAX(5,AH17*IF(OR($A17=Parameters!$B$13,$A17=Parameters!$B$14),0.75,1)-(IF(AND($A17=DATE(2026,11,29),NOV29BF="Yes"),AI17,0)+IF(OR($A17=DATE(2026,11,29),$A17=DATE(2026,11,30),$A17=DATE(2026,12,1),$A17=DATE(2026,12,2)),AJ17,0)+IF(OR($A17=DATE(2026,11,28),$A17=DATE(2026,12,1)),AK17,0))))</f>
        <v>0</v>
      </c>
      <c r="AM17" s="14" t="n">
        <f aca="false">IF(AND($A17&lt;&gt;"",$A17&lt;Parameters!$B$14),CityData!F7*(1+TAXRATE),0)</f>
        <v>0</v>
      </c>
      <c r="AN17" s="14" t="n">
        <f aca="false">IF($A17="",0,IFERROR(VLOOKUP((YEAR($A17)+IF(MONTH($A17)&gt;=10,1,0))&amp;"|Seattle|"&amp;MONTH($A17),Rates!$A$2:$I$181,5,FALSE()),0))</f>
        <v>0</v>
      </c>
      <c r="AO17" s="14" t="n">
        <f aca="false">IF(OR($A17="",$A17&gt;=Parameters!$B$14),1,IF(AND(AN17&gt;0,CityData!F7&lt;=AN17),1,0))</f>
        <v>1</v>
      </c>
    </row>
    <row r="18" customFormat="false" ht="15" hidden="false" customHeight="true" outlineLevel="0" collapsed="false">
      <c r="A18" s="23" t="str">
        <f aca="false">IF(AND(Parameters!$B$14&gt;=Parameters!$B$13,ROW()-2&lt;=Parameters!$B$14-Parameters!$B$13),Parameters!$B$13+ROW()-2,"")</f>
        <v/>
      </c>
      <c r="B18" s="14" t="n">
        <f aca="false">IF($A18="",0,IFERROR(VLOOKUP((YEAR($A18)+IF(MONTH($A18)&gt;=10,1,0))&amp;"|Boston|"&amp;MONTH($A18),Rates!$A$2:$I$181,6,FALSE()),0))</f>
        <v>0</v>
      </c>
      <c r="C18" s="14" t="n">
        <f aca="false">IF(B18=0,0,VLOOKUP(B18,MIE_Components!$A$2:$F$6,2,FALSE()))</f>
        <v>0</v>
      </c>
      <c r="D18" s="14" t="n">
        <f aca="false">IF(B18=0,0,VLOOKUP(B18,MIE_Components!$A$2:$F$6,3,FALSE()))</f>
        <v>0</v>
      </c>
      <c r="E18" s="14" t="n">
        <f aca="false">IF(B18=0,0,VLOOKUP(B18,MIE_Components!$A$2:$F$6,4,FALSE()))</f>
        <v>0</v>
      </c>
      <c r="F18" s="14" t="n">
        <f aca="false">IF(OR($A18="",B18=0),0,MAX(5,B18*IF(OR($A18=Parameters!$B$13,$A18=Parameters!$B$14),0.75,1)-(IF(AND($A18=DATE(2026,11,29),NOV29BF="Yes"),C18,0)+IF(OR($A18=DATE(2026,11,29),$A18=DATE(2026,11,30),$A18=DATE(2026,12,1),$A18=DATE(2026,12,2)),D18,0)+IF(OR($A18=DATE(2026,11,28),$A18=DATE(2026,12,1)),E18,0))))</f>
        <v>0</v>
      </c>
      <c r="G18" s="14" t="n">
        <f aca="false">IF(AND($A18&lt;&gt;"",$A18&lt;Parameters!$B$14),CityData!F3*(1+TAXRATE),0)</f>
        <v>0</v>
      </c>
      <c r="H18" s="14" t="n">
        <f aca="false">IF($A18="",0,IFERROR(VLOOKUP((YEAR($A18)+IF(MONTH($A18)&gt;=10,1,0))&amp;"|Boston|"&amp;MONTH($A18),Rates!$A$2:$I$181,5,FALSE()),0))</f>
        <v>0</v>
      </c>
      <c r="I18" s="14" t="n">
        <f aca="false">IF(OR($A18="",$A18&gt;=Parameters!$B$14),1,IF(AND(H18&gt;0,CityData!F3&lt;=H18),1,0))</f>
        <v>1</v>
      </c>
      <c r="J18" s="14" t="n">
        <f aca="false">IF($A18="",0,IFERROR(VLOOKUP((YEAR($A18)+IF(MONTH($A18)&gt;=10,1,0))&amp;"|Chicago|"&amp;MONTH($A18),Rates!$A$2:$I$181,6,FALSE()),0))</f>
        <v>0</v>
      </c>
      <c r="K18" s="14" t="n">
        <f aca="false">IF(J18=0,0,VLOOKUP(J18,MIE_Components!$A$2:$F$6,2,FALSE()))</f>
        <v>0</v>
      </c>
      <c r="L18" s="14" t="n">
        <f aca="false">IF(J18=0,0,VLOOKUP(J18,MIE_Components!$A$2:$F$6,3,FALSE()))</f>
        <v>0</v>
      </c>
      <c r="M18" s="14" t="n">
        <f aca="false">IF(J18=0,0,VLOOKUP(J18,MIE_Components!$A$2:$F$6,4,FALSE()))</f>
        <v>0</v>
      </c>
      <c r="N18" s="14" t="n">
        <f aca="false">IF(OR($A18="",J18=0),0,MAX(5,J18*IF(OR($A18=Parameters!$B$13,$A18=Parameters!$B$14),0.75,1)-(IF(AND($A18=DATE(2026,11,29),NOV29BF="Yes"),K18,0)+IF(OR($A18=DATE(2026,11,29),$A18=DATE(2026,11,30),$A18=DATE(2026,12,1),$A18=DATE(2026,12,2)),L18,0)+IF(OR($A18=DATE(2026,11,28),$A18=DATE(2026,12,1)),M18,0))))</f>
        <v>0</v>
      </c>
      <c r="O18" s="14" t="n">
        <f aca="false">IF(AND($A18&lt;&gt;"",$A18&lt;Parameters!$B$14),CityData!F4*(1+TAXRATE),0)</f>
        <v>0</v>
      </c>
      <c r="P18" s="14" t="n">
        <f aca="false">IF($A18="",0,IFERROR(VLOOKUP((YEAR($A18)+IF(MONTH($A18)&gt;=10,1,0))&amp;"|Chicago|"&amp;MONTH($A18),Rates!$A$2:$I$181,5,FALSE()),0))</f>
        <v>0</v>
      </c>
      <c r="Q18" s="14" t="n">
        <f aca="false">IF(OR($A18="",$A18&gt;=Parameters!$B$14),1,IF(AND(P18&gt;0,CityData!F4&lt;=P18),1,0))</f>
        <v>1</v>
      </c>
      <c r="R18" s="14" t="n">
        <f aca="false">IF($A18="",0,IFERROR(VLOOKUP((YEAR($A18)+IF(MONTH($A18)&gt;=10,1,0))&amp;"|Denver|"&amp;MONTH($A18),Rates!$A$2:$I$181,6,FALSE()),0))</f>
        <v>0</v>
      </c>
      <c r="S18" s="14" t="n">
        <f aca="false">IF(R18=0,0,VLOOKUP(R18,MIE_Components!$A$2:$F$6,2,FALSE()))</f>
        <v>0</v>
      </c>
      <c r="T18" s="14" t="n">
        <f aca="false">IF(R18=0,0,VLOOKUP(R18,MIE_Components!$A$2:$F$6,3,FALSE()))</f>
        <v>0</v>
      </c>
      <c r="U18" s="14" t="n">
        <f aca="false">IF(R18=0,0,VLOOKUP(R18,MIE_Components!$A$2:$F$6,4,FALSE()))</f>
        <v>0</v>
      </c>
      <c r="V18" s="14" t="n">
        <f aca="false">IF(OR($A18="",R18=0),0,MAX(5,R18*IF(OR($A18=Parameters!$B$13,$A18=Parameters!$B$14),0.75,1)-(IF(AND($A18=DATE(2026,11,29),NOV29BF="Yes"),S18,0)+IF(OR($A18=DATE(2026,11,29),$A18=DATE(2026,11,30),$A18=DATE(2026,12,1),$A18=DATE(2026,12,2)),T18,0)+IF(OR($A18=DATE(2026,11,28),$A18=DATE(2026,12,1)),U18,0))))</f>
        <v>0</v>
      </c>
      <c r="W18" s="14" t="n">
        <f aca="false">IF(AND($A18&lt;&gt;"",$A18&lt;Parameters!$B$14),CityData!F5*(1+TAXRATE),0)</f>
        <v>0</v>
      </c>
      <c r="X18" s="14" t="n">
        <f aca="false">IF($A18="",0,IFERROR(VLOOKUP((YEAR($A18)+IF(MONTH($A18)&gt;=10,1,0))&amp;"|Denver|"&amp;MONTH($A18),Rates!$A$2:$I$181,5,FALSE()),0))</f>
        <v>0</v>
      </c>
      <c r="Y18" s="14" t="n">
        <f aca="false">IF(OR($A18="",$A18&gt;=Parameters!$B$14),1,IF(AND(X18&gt;0,CityData!F5&lt;=X18),1,0))</f>
        <v>1</v>
      </c>
      <c r="Z18" s="14" t="n">
        <f aca="false">IF($A18="",0,IFERROR(VLOOKUP((YEAR($A18)+IF(MONTH($A18)&gt;=10,1,0))&amp;"|Phoenix|"&amp;MONTH($A18),Rates!$A$2:$I$181,6,FALSE()),0))</f>
        <v>0</v>
      </c>
      <c r="AA18" s="14" t="n">
        <f aca="false">IF(Z18=0,0,VLOOKUP(Z18,MIE_Components!$A$2:$F$6,2,FALSE()))</f>
        <v>0</v>
      </c>
      <c r="AB18" s="14" t="n">
        <f aca="false">IF(Z18=0,0,VLOOKUP(Z18,MIE_Components!$A$2:$F$6,3,FALSE()))</f>
        <v>0</v>
      </c>
      <c r="AC18" s="14" t="n">
        <f aca="false">IF(Z18=0,0,VLOOKUP(Z18,MIE_Components!$A$2:$F$6,4,FALSE()))</f>
        <v>0</v>
      </c>
      <c r="AD18" s="14" t="n">
        <f aca="false">IF(OR($A18="",Z18=0),0,MAX(5,Z18*IF(OR($A18=Parameters!$B$13,$A18=Parameters!$B$14),0.75,1)-(IF(AND($A18=DATE(2026,11,29),NOV29BF="Yes"),AA18,0)+IF(OR($A18=DATE(2026,11,29),$A18=DATE(2026,11,30),$A18=DATE(2026,12,1),$A18=DATE(2026,12,2)),AB18,0)+IF(OR($A18=DATE(2026,11,28),$A18=DATE(2026,12,1)),AC18,0))))</f>
        <v>0</v>
      </c>
      <c r="AE18" s="14" t="n">
        <f aca="false">IF(AND($A18&lt;&gt;"",$A18&lt;Parameters!$B$14),CityData!F6*(1+TAXRATE),0)</f>
        <v>0</v>
      </c>
      <c r="AF18" s="14" t="n">
        <f aca="false">IF($A18="",0,IFERROR(VLOOKUP((YEAR($A18)+IF(MONTH($A18)&gt;=10,1,0))&amp;"|Phoenix|"&amp;MONTH($A18),Rates!$A$2:$I$181,5,FALSE()),0))</f>
        <v>0</v>
      </c>
      <c r="AG18" s="14" t="n">
        <f aca="false">IF(OR($A18="",$A18&gt;=Parameters!$B$14),1,IF(AND(AF18&gt;0,CityData!F6&lt;=AF18),1,0))</f>
        <v>1</v>
      </c>
      <c r="AH18" s="14" t="n">
        <f aca="false">IF($A18="",0,IFERROR(VLOOKUP((YEAR($A18)+IF(MONTH($A18)&gt;=10,1,0))&amp;"|Seattle|"&amp;MONTH($A18),Rates!$A$2:$I$181,6,FALSE()),0))</f>
        <v>0</v>
      </c>
      <c r="AI18" s="14" t="n">
        <f aca="false">IF(AH18=0,0,VLOOKUP(AH18,MIE_Components!$A$2:$F$6,2,FALSE()))</f>
        <v>0</v>
      </c>
      <c r="AJ18" s="14" t="n">
        <f aca="false">IF(AH18=0,0,VLOOKUP(AH18,MIE_Components!$A$2:$F$6,3,FALSE()))</f>
        <v>0</v>
      </c>
      <c r="AK18" s="14" t="n">
        <f aca="false">IF(AH18=0,0,VLOOKUP(AH18,MIE_Components!$A$2:$F$6,4,FALSE()))</f>
        <v>0</v>
      </c>
      <c r="AL18" s="14" t="n">
        <f aca="false">IF(OR($A18="",AH18=0),0,MAX(5,AH18*IF(OR($A18=Parameters!$B$13,$A18=Parameters!$B$14),0.75,1)-(IF(AND($A18=DATE(2026,11,29),NOV29BF="Yes"),AI18,0)+IF(OR($A18=DATE(2026,11,29),$A18=DATE(2026,11,30),$A18=DATE(2026,12,1),$A18=DATE(2026,12,2)),AJ18,0)+IF(OR($A18=DATE(2026,11,28),$A18=DATE(2026,12,1)),AK18,0))))</f>
        <v>0</v>
      </c>
      <c r="AM18" s="14" t="n">
        <f aca="false">IF(AND($A18&lt;&gt;"",$A18&lt;Parameters!$B$14),CityData!F7*(1+TAXRATE),0)</f>
        <v>0</v>
      </c>
      <c r="AN18" s="14" t="n">
        <f aca="false">IF($A18="",0,IFERROR(VLOOKUP((YEAR($A18)+IF(MONTH($A18)&gt;=10,1,0))&amp;"|Seattle|"&amp;MONTH($A18),Rates!$A$2:$I$181,5,FALSE()),0))</f>
        <v>0</v>
      </c>
      <c r="AO18" s="14" t="n">
        <f aca="false">IF(OR($A18="",$A18&gt;=Parameters!$B$14),1,IF(AND(AN18&gt;0,CityData!F7&lt;=AN18),1,0))</f>
        <v>1</v>
      </c>
    </row>
    <row r="19" customFormat="false" ht="15" hidden="false" customHeight="true" outlineLevel="0" collapsed="false">
      <c r="A19" s="23" t="str">
        <f aca="false">IF(AND(Parameters!$B$14&gt;=Parameters!$B$13,ROW()-2&lt;=Parameters!$B$14-Parameters!$B$13),Parameters!$B$13+ROW()-2,"")</f>
        <v/>
      </c>
      <c r="B19" s="14" t="n">
        <f aca="false">IF($A19="",0,IFERROR(VLOOKUP((YEAR($A19)+IF(MONTH($A19)&gt;=10,1,0))&amp;"|Boston|"&amp;MONTH($A19),Rates!$A$2:$I$181,6,FALSE()),0))</f>
        <v>0</v>
      </c>
      <c r="C19" s="14" t="n">
        <f aca="false">IF(B19=0,0,VLOOKUP(B19,MIE_Components!$A$2:$F$6,2,FALSE()))</f>
        <v>0</v>
      </c>
      <c r="D19" s="14" t="n">
        <f aca="false">IF(B19=0,0,VLOOKUP(B19,MIE_Components!$A$2:$F$6,3,FALSE()))</f>
        <v>0</v>
      </c>
      <c r="E19" s="14" t="n">
        <f aca="false">IF(B19=0,0,VLOOKUP(B19,MIE_Components!$A$2:$F$6,4,FALSE()))</f>
        <v>0</v>
      </c>
      <c r="F19" s="14" t="n">
        <f aca="false">IF(OR($A19="",B19=0),0,MAX(5,B19*IF(OR($A19=Parameters!$B$13,$A19=Parameters!$B$14),0.75,1)-(IF(AND($A19=DATE(2026,11,29),NOV29BF="Yes"),C19,0)+IF(OR($A19=DATE(2026,11,29),$A19=DATE(2026,11,30),$A19=DATE(2026,12,1),$A19=DATE(2026,12,2)),D19,0)+IF(OR($A19=DATE(2026,11,28),$A19=DATE(2026,12,1)),E19,0))))</f>
        <v>0</v>
      </c>
      <c r="G19" s="14" t="n">
        <f aca="false">IF(AND($A19&lt;&gt;"",$A19&lt;Parameters!$B$14),CityData!F3*(1+TAXRATE),0)</f>
        <v>0</v>
      </c>
      <c r="H19" s="14" t="n">
        <f aca="false">IF($A19="",0,IFERROR(VLOOKUP((YEAR($A19)+IF(MONTH($A19)&gt;=10,1,0))&amp;"|Boston|"&amp;MONTH($A19),Rates!$A$2:$I$181,5,FALSE()),0))</f>
        <v>0</v>
      </c>
      <c r="I19" s="14" t="n">
        <f aca="false">IF(OR($A19="",$A19&gt;=Parameters!$B$14),1,IF(AND(H19&gt;0,CityData!F3&lt;=H19),1,0))</f>
        <v>1</v>
      </c>
      <c r="J19" s="14" t="n">
        <f aca="false">IF($A19="",0,IFERROR(VLOOKUP((YEAR($A19)+IF(MONTH($A19)&gt;=10,1,0))&amp;"|Chicago|"&amp;MONTH($A19),Rates!$A$2:$I$181,6,FALSE()),0))</f>
        <v>0</v>
      </c>
      <c r="K19" s="14" t="n">
        <f aca="false">IF(J19=0,0,VLOOKUP(J19,MIE_Components!$A$2:$F$6,2,FALSE()))</f>
        <v>0</v>
      </c>
      <c r="L19" s="14" t="n">
        <f aca="false">IF(J19=0,0,VLOOKUP(J19,MIE_Components!$A$2:$F$6,3,FALSE()))</f>
        <v>0</v>
      </c>
      <c r="M19" s="14" t="n">
        <f aca="false">IF(J19=0,0,VLOOKUP(J19,MIE_Components!$A$2:$F$6,4,FALSE()))</f>
        <v>0</v>
      </c>
      <c r="N19" s="14" t="n">
        <f aca="false">IF(OR($A19="",J19=0),0,MAX(5,J19*IF(OR($A19=Parameters!$B$13,$A19=Parameters!$B$14),0.75,1)-(IF(AND($A19=DATE(2026,11,29),NOV29BF="Yes"),K19,0)+IF(OR($A19=DATE(2026,11,29),$A19=DATE(2026,11,30),$A19=DATE(2026,12,1),$A19=DATE(2026,12,2)),L19,0)+IF(OR($A19=DATE(2026,11,28),$A19=DATE(2026,12,1)),M19,0))))</f>
        <v>0</v>
      </c>
      <c r="O19" s="14" t="n">
        <f aca="false">IF(AND($A19&lt;&gt;"",$A19&lt;Parameters!$B$14),CityData!F4*(1+TAXRATE),0)</f>
        <v>0</v>
      </c>
      <c r="P19" s="14" t="n">
        <f aca="false">IF($A19="",0,IFERROR(VLOOKUP((YEAR($A19)+IF(MONTH($A19)&gt;=10,1,0))&amp;"|Chicago|"&amp;MONTH($A19),Rates!$A$2:$I$181,5,FALSE()),0))</f>
        <v>0</v>
      </c>
      <c r="Q19" s="14" t="n">
        <f aca="false">IF(OR($A19="",$A19&gt;=Parameters!$B$14),1,IF(AND(P19&gt;0,CityData!F4&lt;=P19),1,0))</f>
        <v>1</v>
      </c>
      <c r="R19" s="14" t="n">
        <f aca="false">IF($A19="",0,IFERROR(VLOOKUP((YEAR($A19)+IF(MONTH($A19)&gt;=10,1,0))&amp;"|Denver|"&amp;MONTH($A19),Rates!$A$2:$I$181,6,FALSE()),0))</f>
        <v>0</v>
      </c>
      <c r="S19" s="14" t="n">
        <f aca="false">IF(R19=0,0,VLOOKUP(R19,MIE_Components!$A$2:$F$6,2,FALSE()))</f>
        <v>0</v>
      </c>
      <c r="T19" s="14" t="n">
        <f aca="false">IF(R19=0,0,VLOOKUP(R19,MIE_Components!$A$2:$F$6,3,FALSE()))</f>
        <v>0</v>
      </c>
      <c r="U19" s="14" t="n">
        <f aca="false">IF(R19=0,0,VLOOKUP(R19,MIE_Components!$A$2:$F$6,4,FALSE()))</f>
        <v>0</v>
      </c>
      <c r="V19" s="14" t="n">
        <f aca="false">IF(OR($A19="",R19=0),0,MAX(5,R19*IF(OR($A19=Parameters!$B$13,$A19=Parameters!$B$14),0.75,1)-(IF(AND($A19=DATE(2026,11,29),NOV29BF="Yes"),S19,0)+IF(OR($A19=DATE(2026,11,29),$A19=DATE(2026,11,30),$A19=DATE(2026,12,1),$A19=DATE(2026,12,2)),T19,0)+IF(OR($A19=DATE(2026,11,28),$A19=DATE(2026,12,1)),U19,0))))</f>
        <v>0</v>
      </c>
      <c r="W19" s="14" t="n">
        <f aca="false">IF(AND($A19&lt;&gt;"",$A19&lt;Parameters!$B$14),CityData!F5*(1+TAXRATE),0)</f>
        <v>0</v>
      </c>
      <c r="X19" s="14" t="n">
        <f aca="false">IF($A19="",0,IFERROR(VLOOKUP((YEAR($A19)+IF(MONTH($A19)&gt;=10,1,0))&amp;"|Denver|"&amp;MONTH($A19),Rates!$A$2:$I$181,5,FALSE()),0))</f>
        <v>0</v>
      </c>
      <c r="Y19" s="14" t="n">
        <f aca="false">IF(OR($A19="",$A19&gt;=Parameters!$B$14),1,IF(AND(X19&gt;0,CityData!F5&lt;=X19),1,0))</f>
        <v>1</v>
      </c>
      <c r="Z19" s="14" t="n">
        <f aca="false">IF($A19="",0,IFERROR(VLOOKUP((YEAR($A19)+IF(MONTH($A19)&gt;=10,1,0))&amp;"|Phoenix|"&amp;MONTH($A19),Rates!$A$2:$I$181,6,FALSE()),0))</f>
        <v>0</v>
      </c>
      <c r="AA19" s="14" t="n">
        <f aca="false">IF(Z19=0,0,VLOOKUP(Z19,MIE_Components!$A$2:$F$6,2,FALSE()))</f>
        <v>0</v>
      </c>
      <c r="AB19" s="14" t="n">
        <f aca="false">IF(Z19=0,0,VLOOKUP(Z19,MIE_Components!$A$2:$F$6,3,FALSE()))</f>
        <v>0</v>
      </c>
      <c r="AC19" s="14" t="n">
        <f aca="false">IF(Z19=0,0,VLOOKUP(Z19,MIE_Components!$A$2:$F$6,4,FALSE()))</f>
        <v>0</v>
      </c>
      <c r="AD19" s="14" t="n">
        <f aca="false">IF(OR($A19="",Z19=0),0,MAX(5,Z19*IF(OR($A19=Parameters!$B$13,$A19=Parameters!$B$14),0.75,1)-(IF(AND($A19=DATE(2026,11,29),NOV29BF="Yes"),AA19,0)+IF(OR($A19=DATE(2026,11,29),$A19=DATE(2026,11,30),$A19=DATE(2026,12,1),$A19=DATE(2026,12,2)),AB19,0)+IF(OR($A19=DATE(2026,11,28),$A19=DATE(2026,12,1)),AC19,0))))</f>
        <v>0</v>
      </c>
      <c r="AE19" s="14" t="n">
        <f aca="false">IF(AND($A19&lt;&gt;"",$A19&lt;Parameters!$B$14),CityData!F6*(1+TAXRATE),0)</f>
        <v>0</v>
      </c>
      <c r="AF19" s="14" t="n">
        <f aca="false">IF($A19="",0,IFERROR(VLOOKUP((YEAR($A19)+IF(MONTH($A19)&gt;=10,1,0))&amp;"|Phoenix|"&amp;MONTH($A19),Rates!$A$2:$I$181,5,FALSE()),0))</f>
        <v>0</v>
      </c>
      <c r="AG19" s="14" t="n">
        <f aca="false">IF(OR($A19="",$A19&gt;=Parameters!$B$14),1,IF(AND(AF19&gt;0,CityData!F6&lt;=AF19),1,0))</f>
        <v>1</v>
      </c>
      <c r="AH19" s="14" t="n">
        <f aca="false">IF($A19="",0,IFERROR(VLOOKUP((YEAR($A19)+IF(MONTH($A19)&gt;=10,1,0))&amp;"|Seattle|"&amp;MONTH($A19),Rates!$A$2:$I$181,6,FALSE()),0))</f>
        <v>0</v>
      </c>
      <c r="AI19" s="14" t="n">
        <f aca="false">IF(AH19=0,0,VLOOKUP(AH19,MIE_Components!$A$2:$F$6,2,FALSE()))</f>
        <v>0</v>
      </c>
      <c r="AJ19" s="14" t="n">
        <f aca="false">IF(AH19=0,0,VLOOKUP(AH19,MIE_Components!$A$2:$F$6,3,FALSE()))</f>
        <v>0</v>
      </c>
      <c r="AK19" s="14" t="n">
        <f aca="false">IF(AH19=0,0,VLOOKUP(AH19,MIE_Components!$A$2:$F$6,4,FALSE()))</f>
        <v>0</v>
      </c>
      <c r="AL19" s="14" t="n">
        <f aca="false">IF(OR($A19="",AH19=0),0,MAX(5,AH19*IF(OR($A19=Parameters!$B$13,$A19=Parameters!$B$14),0.75,1)-(IF(AND($A19=DATE(2026,11,29),NOV29BF="Yes"),AI19,0)+IF(OR($A19=DATE(2026,11,29),$A19=DATE(2026,11,30),$A19=DATE(2026,12,1),$A19=DATE(2026,12,2)),AJ19,0)+IF(OR($A19=DATE(2026,11,28),$A19=DATE(2026,12,1)),AK19,0))))</f>
        <v>0</v>
      </c>
      <c r="AM19" s="14" t="n">
        <f aca="false">IF(AND($A19&lt;&gt;"",$A19&lt;Parameters!$B$14),CityData!F7*(1+TAXRATE),0)</f>
        <v>0</v>
      </c>
      <c r="AN19" s="14" t="n">
        <f aca="false">IF($A19="",0,IFERROR(VLOOKUP((YEAR($A19)+IF(MONTH($A19)&gt;=10,1,0))&amp;"|Seattle|"&amp;MONTH($A19),Rates!$A$2:$I$181,5,FALSE()),0))</f>
        <v>0</v>
      </c>
      <c r="AO19" s="14" t="n">
        <f aca="false">IF(OR($A19="",$A19&gt;=Parameters!$B$14),1,IF(AND(AN19&gt;0,CityData!F7&lt;=AN19),1,0))</f>
        <v>1</v>
      </c>
    </row>
    <row r="20" customFormat="false" ht="15" hidden="false" customHeight="true" outlineLevel="0" collapsed="false">
      <c r="A20" s="23" t="str">
        <f aca="false">IF(AND(Parameters!$B$14&gt;=Parameters!$B$13,ROW()-2&lt;=Parameters!$B$14-Parameters!$B$13),Parameters!$B$13+ROW()-2,"")</f>
        <v/>
      </c>
      <c r="B20" s="14" t="n">
        <f aca="false">IF($A20="",0,IFERROR(VLOOKUP((YEAR($A20)+IF(MONTH($A20)&gt;=10,1,0))&amp;"|Boston|"&amp;MONTH($A20),Rates!$A$2:$I$181,6,FALSE()),0))</f>
        <v>0</v>
      </c>
      <c r="C20" s="14" t="n">
        <f aca="false">IF(B20=0,0,VLOOKUP(B20,MIE_Components!$A$2:$F$6,2,FALSE()))</f>
        <v>0</v>
      </c>
      <c r="D20" s="14" t="n">
        <f aca="false">IF(B20=0,0,VLOOKUP(B20,MIE_Components!$A$2:$F$6,3,FALSE()))</f>
        <v>0</v>
      </c>
      <c r="E20" s="14" t="n">
        <f aca="false">IF(B20=0,0,VLOOKUP(B20,MIE_Components!$A$2:$F$6,4,FALSE()))</f>
        <v>0</v>
      </c>
      <c r="F20" s="14" t="n">
        <f aca="false">IF(OR($A20="",B20=0),0,MAX(5,B20*IF(OR($A20=Parameters!$B$13,$A20=Parameters!$B$14),0.75,1)-(IF(AND($A20=DATE(2026,11,29),NOV29BF="Yes"),C20,0)+IF(OR($A20=DATE(2026,11,29),$A20=DATE(2026,11,30),$A20=DATE(2026,12,1),$A20=DATE(2026,12,2)),D20,0)+IF(OR($A20=DATE(2026,11,28),$A20=DATE(2026,12,1)),E20,0))))</f>
        <v>0</v>
      </c>
      <c r="G20" s="14" t="n">
        <f aca="false">IF(AND($A20&lt;&gt;"",$A20&lt;Parameters!$B$14),CityData!F3*(1+TAXRATE),0)</f>
        <v>0</v>
      </c>
      <c r="H20" s="14" t="n">
        <f aca="false">IF($A20="",0,IFERROR(VLOOKUP((YEAR($A20)+IF(MONTH($A20)&gt;=10,1,0))&amp;"|Boston|"&amp;MONTH($A20),Rates!$A$2:$I$181,5,FALSE()),0))</f>
        <v>0</v>
      </c>
      <c r="I20" s="14" t="n">
        <f aca="false">IF(OR($A20="",$A20&gt;=Parameters!$B$14),1,IF(AND(H20&gt;0,CityData!F3&lt;=H20),1,0))</f>
        <v>1</v>
      </c>
      <c r="J20" s="14" t="n">
        <f aca="false">IF($A20="",0,IFERROR(VLOOKUP((YEAR($A20)+IF(MONTH($A20)&gt;=10,1,0))&amp;"|Chicago|"&amp;MONTH($A20),Rates!$A$2:$I$181,6,FALSE()),0))</f>
        <v>0</v>
      </c>
      <c r="K20" s="14" t="n">
        <f aca="false">IF(J20=0,0,VLOOKUP(J20,MIE_Components!$A$2:$F$6,2,FALSE()))</f>
        <v>0</v>
      </c>
      <c r="L20" s="14" t="n">
        <f aca="false">IF(J20=0,0,VLOOKUP(J20,MIE_Components!$A$2:$F$6,3,FALSE()))</f>
        <v>0</v>
      </c>
      <c r="M20" s="14" t="n">
        <f aca="false">IF(J20=0,0,VLOOKUP(J20,MIE_Components!$A$2:$F$6,4,FALSE()))</f>
        <v>0</v>
      </c>
      <c r="N20" s="14" t="n">
        <f aca="false">IF(OR($A20="",J20=0),0,MAX(5,J20*IF(OR($A20=Parameters!$B$13,$A20=Parameters!$B$14),0.75,1)-(IF(AND($A20=DATE(2026,11,29),NOV29BF="Yes"),K20,0)+IF(OR($A20=DATE(2026,11,29),$A20=DATE(2026,11,30),$A20=DATE(2026,12,1),$A20=DATE(2026,12,2)),L20,0)+IF(OR($A20=DATE(2026,11,28),$A20=DATE(2026,12,1)),M20,0))))</f>
        <v>0</v>
      </c>
      <c r="O20" s="14" t="n">
        <f aca="false">IF(AND($A20&lt;&gt;"",$A20&lt;Parameters!$B$14),CityData!F4*(1+TAXRATE),0)</f>
        <v>0</v>
      </c>
      <c r="P20" s="14" t="n">
        <f aca="false">IF($A20="",0,IFERROR(VLOOKUP((YEAR($A20)+IF(MONTH($A20)&gt;=10,1,0))&amp;"|Chicago|"&amp;MONTH($A20),Rates!$A$2:$I$181,5,FALSE()),0))</f>
        <v>0</v>
      </c>
      <c r="Q20" s="14" t="n">
        <f aca="false">IF(OR($A20="",$A20&gt;=Parameters!$B$14),1,IF(AND(P20&gt;0,CityData!F4&lt;=P20),1,0))</f>
        <v>1</v>
      </c>
      <c r="R20" s="14" t="n">
        <f aca="false">IF($A20="",0,IFERROR(VLOOKUP((YEAR($A20)+IF(MONTH($A20)&gt;=10,1,0))&amp;"|Denver|"&amp;MONTH($A20),Rates!$A$2:$I$181,6,FALSE()),0))</f>
        <v>0</v>
      </c>
      <c r="S20" s="14" t="n">
        <f aca="false">IF(R20=0,0,VLOOKUP(R20,MIE_Components!$A$2:$F$6,2,FALSE()))</f>
        <v>0</v>
      </c>
      <c r="T20" s="14" t="n">
        <f aca="false">IF(R20=0,0,VLOOKUP(R20,MIE_Components!$A$2:$F$6,3,FALSE()))</f>
        <v>0</v>
      </c>
      <c r="U20" s="14" t="n">
        <f aca="false">IF(R20=0,0,VLOOKUP(R20,MIE_Components!$A$2:$F$6,4,FALSE()))</f>
        <v>0</v>
      </c>
      <c r="V20" s="14" t="n">
        <f aca="false">IF(OR($A20="",R20=0),0,MAX(5,R20*IF(OR($A20=Parameters!$B$13,$A20=Parameters!$B$14),0.75,1)-(IF(AND($A20=DATE(2026,11,29),NOV29BF="Yes"),S20,0)+IF(OR($A20=DATE(2026,11,29),$A20=DATE(2026,11,30),$A20=DATE(2026,12,1),$A20=DATE(2026,12,2)),T20,0)+IF(OR($A20=DATE(2026,11,28),$A20=DATE(2026,12,1)),U20,0))))</f>
        <v>0</v>
      </c>
      <c r="W20" s="14" t="n">
        <f aca="false">IF(AND($A20&lt;&gt;"",$A20&lt;Parameters!$B$14),CityData!F5*(1+TAXRATE),0)</f>
        <v>0</v>
      </c>
      <c r="X20" s="14" t="n">
        <f aca="false">IF($A20="",0,IFERROR(VLOOKUP((YEAR($A20)+IF(MONTH($A20)&gt;=10,1,0))&amp;"|Denver|"&amp;MONTH($A20),Rates!$A$2:$I$181,5,FALSE()),0))</f>
        <v>0</v>
      </c>
      <c r="Y20" s="14" t="n">
        <f aca="false">IF(OR($A20="",$A20&gt;=Parameters!$B$14),1,IF(AND(X20&gt;0,CityData!F5&lt;=X20),1,0))</f>
        <v>1</v>
      </c>
      <c r="Z20" s="14" t="n">
        <f aca="false">IF($A20="",0,IFERROR(VLOOKUP((YEAR($A20)+IF(MONTH($A20)&gt;=10,1,0))&amp;"|Phoenix|"&amp;MONTH($A20),Rates!$A$2:$I$181,6,FALSE()),0))</f>
        <v>0</v>
      </c>
      <c r="AA20" s="14" t="n">
        <f aca="false">IF(Z20=0,0,VLOOKUP(Z20,MIE_Components!$A$2:$F$6,2,FALSE()))</f>
        <v>0</v>
      </c>
      <c r="AB20" s="14" t="n">
        <f aca="false">IF(Z20=0,0,VLOOKUP(Z20,MIE_Components!$A$2:$F$6,3,FALSE()))</f>
        <v>0</v>
      </c>
      <c r="AC20" s="14" t="n">
        <f aca="false">IF(Z20=0,0,VLOOKUP(Z20,MIE_Components!$A$2:$F$6,4,FALSE()))</f>
        <v>0</v>
      </c>
      <c r="AD20" s="14" t="n">
        <f aca="false">IF(OR($A20="",Z20=0),0,MAX(5,Z20*IF(OR($A20=Parameters!$B$13,$A20=Parameters!$B$14),0.75,1)-(IF(AND($A20=DATE(2026,11,29),NOV29BF="Yes"),AA20,0)+IF(OR($A20=DATE(2026,11,29),$A20=DATE(2026,11,30),$A20=DATE(2026,12,1),$A20=DATE(2026,12,2)),AB20,0)+IF(OR($A20=DATE(2026,11,28),$A20=DATE(2026,12,1)),AC20,0))))</f>
        <v>0</v>
      </c>
      <c r="AE20" s="14" t="n">
        <f aca="false">IF(AND($A20&lt;&gt;"",$A20&lt;Parameters!$B$14),CityData!F6*(1+TAXRATE),0)</f>
        <v>0</v>
      </c>
      <c r="AF20" s="14" t="n">
        <f aca="false">IF($A20="",0,IFERROR(VLOOKUP((YEAR($A20)+IF(MONTH($A20)&gt;=10,1,0))&amp;"|Phoenix|"&amp;MONTH($A20),Rates!$A$2:$I$181,5,FALSE()),0))</f>
        <v>0</v>
      </c>
      <c r="AG20" s="14" t="n">
        <f aca="false">IF(OR($A20="",$A20&gt;=Parameters!$B$14),1,IF(AND(AF20&gt;0,CityData!F6&lt;=AF20),1,0))</f>
        <v>1</v>
      </c>
      <c r="AH20" s="14" t="n">
        <f aca="false">IF($A20="",0,IFERROR(VLOOKUP((YEAR($A20)+IF(MONTH($A20)&gt;=10,1,0))&amp;"|Seattle|"&amp;MONTH($A20),Rates!$A$2:$I$181,6,FALSE()),0))</f>
        <v>0</v>
      </c>
      <c r="AI20" s="14" t="n">
        <f aca="false">IF(AH20=0,0,VLOOKUP(AH20,MIE_Components!$A$2:$F$6,2,FALSE()))</f>
        <v>0</v>
      </c>
      <c r="AJ20" s="14" t="n">
        <f aca="false">IF(AH20=0,0,VLOOKUP(AH20,MIE_Components!$A$2:$F$6,3,FALSE()))</f>
        <v>0</v>
      </c>
      <c r="AK20" s="14" t="n">
        <f aca="false">IF(AH20=0,0,VLOOKUP(AH20,MIE_Components!$A$2:$F$6,4,FALSE()))</f>
        <v>0</v>
      </c>
      <c r="AL20" s="14" t="n">
        <f aca="false">IF(OR($A20="",AH20=0),0,MAX(5,AH20*IF(OR($A20=Parameters!$B$13,$A20=Parameters!$B$14),0.75,1)-(IF(AND($A20=DATE(2026,11,29),NOV29BF="Yes"),AI20,0)+IF(OR($A20=DATE(2026,11,29),$A20=DATE(2026,11,30),$A20=DATE(2026,12,1),$A20=DATE(2026,12,2)),AJ20,0)+IF(OR($A20=DATE(2026,11,28),$A20=DATE(2026,12,1)),AK20,0))))</f>
        <v>0</v>
      </c>
      <c r="AM20" s="14" t="n">
        <f aca="false">IF(AND($A20&lt;&gt;"",$A20&lt;Parameters!$B$14),CityData!F7*(1+TAXRATE),0)</f>
        <v>0</v>
      </c>
      <c r="AN20" s="14" t="n">
        <f aca="false">IF($A20="",0,IFERROR(VLOOKUP((YEAR($A20)+IF(MONTH($A20)&gt;=10,1,0))&amp;"|Seattle|"&amp;MONTH($A20),Rates!$A$2:$I$181,5,FALSE()),0))</f>
        <v>0</v>
      </c>
      <c r="AO20" s="14" t="n">
        <f aca="false">IF(OR($A20="",$A20&gt;=Parameters!$B$14),1,IF(AND(AN20&gt;0,CityData!F7&lt;=AN20),1,0))</f>
        <v>1</v>
      </c>
    </row>
    <row r="21" customFormat="false" ht="15" hidden="false" customHeight="true" outlineLevel="0" collapsed="false">
      <c r="A21" s="23" t="str">
        <f aca="false">IF(AND(Parameters!$B$14&gt;=Parameters!$B$13,ROW()-2&lt;=Parameters!$B$14-Parameters!$B$13),Parameters!$B$13+ROW()-2,"")</f>
        <v/>
      </c>
      <c r="B21" s="14" t="n">
        <f aca="false">IF($A21="",0,IFERROR(VLOOKUP((YEAR($A21)+IF(MONTH($A21)&gt;=10,1,0))&amp;"|Boston|"&amp;MONTH($A21),Rates!$A$2:$I$181,6,FALSE()),0))</f>
        <v>0</v>
      </c>
      <c r="C21" s="14" t="n">
        <f aca="false">IF(B21=0,0,VLOOKUP(B21,MIE_Components!$A$2:$F$6,2,FALSE()))</f>
        <v>0</v>
      </c>
      <c r="D21" s="14" t="n">
        <f aca="false">IF(B21=0,0,VLOOKUP(B21,MIE_Components!$A$2:$F$6,3,FALSE()))</f>
        <v>0</v>
      </c>
      <c r="E21" s="14" t="n">
        <f aca="false">IF(B21=0,0,VLOOKUP(B21,MIE_Components!$A$2:$F$6,4,FALSE()))</f>
        <v>0</v>
      </c>
      <c r="F21" s="14" t="n">
        <f aca="false">IF(OR($A21="",B21=0),0,MAX(5,B21*IF(OR($A21=Parameters!$B$13,$A21=Parameters!$B$14),0.75,1)-(IF(AND($A21=DATE(2026,11,29),NOV29BF="Yes"),C21,0)+IF(OR($A21=DATE(2026,11,29),$A21=DATE(2026,11,30),$A21=DATE(2026,12,1),$A21=DATE(2026,12,2)),D21,0)+IF(OR($A21=DATE(2026,11,28),$A21=DATE(2026,12,1)),E21,0))))</f>
        <v>0</v>
      </c>
      <c r="G21" s="14" t="n">
        <f aca="false">IF(AND($A21&lt;&gt;"",$A21&lt;Parameters!$B$14),CityData!F3*(1+TAXRATE),0)</f>
        <v>0</v>
      </c>
      <c r="H21" s="14" t="n">
        <f aca="false">IF($A21="",0,IFERROR(VLOOKUP((YEAR($A21)+IF(MONTH($A21)&gt;=10,1,0))&amp;"|Boston|"&amp;MONTH($A21),Rates!$A$2:$I$181,5,FALSE()),0))</f>
        <v>0</v>
      </c>
      <c r="I21" s="14" t="n">
        <f aca="false">IF(OR($A21="",$A21&gt;=Parameters!$B$14),1,IF(AND(H21&gt;0,CityData!F3&lt;=H21),1,0))</f>
        <v>1</v>
      </c>
      <c r="J21" s="14" t="n">
        <f aca="false">IF($A21="",0,IFERROR(VLOOKUP((YEAR($A21)+IF(MONTH($A21)&gt;=10,1,0))&amp;"|Chicago|"&amp;MONTH($A21),Rates!$A$2:$I$181,6,FALSE()),0))</f>
        <v>0</v>
      </c>
      <c r="K21" s="14" t="n">
        <f aca="false">IF(J21=0,0,VLOOKUP(J21,MIE_Components!$A$2:$F$6,2,FALSE()))</f>
        <v>0</v>
      </c>
      <c r="L21" s="14" t="n">
        <f aca="false">IF(J21=0,0,VLOOKUP(J21,MIE_Components!$A$2:$F$6,3,FALSE()))</f>
        <v>0</v>
      </c>
      <c r="M21" s="14" t="n">
        <f aca="false">IF(J21=0,0,VLOOKUP(J21,MIE_Components!$A$2:$F$6,4,FALSE()))</f>
        <v>0</v>
      </c>
      <c r="N21" s="14" t="n">
        <f aca="false">IF(OR($A21="",J21=0),0,MAX(5,J21*IF(OR($A21=Parameters!$B$13,$A21=Parameters!$B$14),0.75,1)-(IF(AND($A21=DATE(2026,11,29),NOV29BF="Yes"),K21,0)+IF(OR($A21=DATE(2026,11,29),$A21=DATE(2026,11,30),$A21=DATE(2026,12,1),$A21=DATE(2026,12,2)),L21,0)+IF(OR($A21=DATE(2026,11,28),$A21=DATE(2026,12,1)),M21,0))))</f>
        <v>0</v>
      </c>
      <c r="O21" s="14" t="n">
        <f aca="false">IF(AND($A21&lt;&gt;"",$A21&lt;Parameters!$B$14),CityData!F4*(1+TAXRATE),0)</f>
        <v>0</v>
      </c>
      <c r="P21" s="14" t="n">
        <f aca="false">IF($A21="",0,IFERROR(VLOOKUP((YEAR($A21)+IF(MONTH($A21)&gt;=10,1,0))&amp;"|Chicago|"&amp;MONTH($A21),Rates!$A$2:$I$181,5,FALSE()),0))</f>
        <v>0</v>
      </c>
      <c r="Q21" s="14" t="n">
        <f aca="false">IF(OR($A21="",$A21&gt;=Parameters!$B$14),1,IF(AND(P21&gt;0,CityData!F4&lt;=P21),1,0))</f>
        <v>1</v>
      </c>
      <c r="R21" s="14" t="n">
        <f aca="false">IF($A21="",0,IFERROR(VLOOKUP((YEAR($A21)+IF(MONTH($A21)&gt;=10,1,0))&amp;"|Denver|"&amp;MONTH($A21),Rates!$A$2:$I$181,6,FALSE()),0))</f>
        <v>0</v>
      </c>
      <c r="S21" s="14" t="n">
        <f aca="false">IF(R21=0,0,VLOOKUP(R21,MIE_Components!$A$2:$F$6,2,FALSE()))</f>
        <v>0</v>
      </c>
      <c r="T21" s="14" t="n">
        <f aca="false">IF(R21=0,0,VLOOKUP(R21,MIE_Components!$A$2:$F$6,3,FALSE()))</f>
        <v>0</v>
      </c>
      <c r="U21" s="14" t="n">
        <f aca="false">IF(R21=0,0,VLOOKUP(R21,MIE_Components!$A$2:$F$6,4,FALSE()))</f>
        <v>0</v>
      </c>
      <c r="V21" s="14" t="n">
        <f aca="false">IF(OR($A21="",R21=0),0,MAX(5,R21*IF(OR($A21=Parameters!$B$13,$A21=Parameters!$B$14),0.75,1)-(IF(AND($A21=DATE(2026,11,29),NOV29BF="Yes"),S21,0)+IF(OR($A21=DATE(2026,11,29),$A21=DATE(2026,11,30),$A21=DATE(2026,12,1),$A21=DATE(2026,12,2)),T21,0)+IF(OR($A21=DATE(2026,11,28),$A21=DATE(2026,12,1)),U21,0))))</f>
        <v>0</v>
      </c>
      <c r="W21" s="14" t="n">
        <f aca="false">IF(AND($A21&lt;&gt;"",$A21&lt;Parameters!$B$14),CityData!F5*(1+TAXRATE),0)</f>
        <v>0</v>
      </c>
      <c r="X21" s="14" t="n">
        <f aca="false">IF($A21="",0,IFERROR(VLOOKUP((YEAR($A21)+IF(MONTH($A21)&gt;=10,1,0))&amp;"|Denver|"&amp;MONTH($A21),Rates!$A$2:$I$181,5,FALSE()),0))</f>
        <v>0</v>
      </c>
      <c r="Y21" s="14" t="n">
        <f aca="false">IF(OR($A21="",$A21&gt;=Parameters!$B$14),1,IF(AND(X21&gt;0,CityData!F5&lt;=X21),1,0))</f>
        <v>1</v>
      </c>
      <c r="Z21" s="14" t="n">
        <f aca="false">IF($A21="",0,IFERROR(VLOOKUP((YEAR($A21)+IF(MONTH($A21)&gt;=10,1,0))&amp;"|Phoenix|"&amp;MONTH($A21),Rates!$A$2:$I$181,6,FALSE()),0))</f>
        <v>0</v>
      </c>
      <c r="AA21" s="14" t="n">
        <f aca="false">IF(Z21=0,0,VLOOKUP(Z21,MIE_Components!$A$2:$F$6,2,FALSE()))</f>
        <v>0</v>
      </c>
      <c r="AB21" s="14" t="n">
        <f aca="false">IF(Z21=0,0,VLOOKUP(Z21,MIE_Components!$A$2:$F$6,3,FALSE()))</f>
        <v>0</v>
      </c>
      <c r="AC21" s="14" t="n">
        <f aca="false">IF(Z21=0,0,VLOOKUP(Z21,MIE_Components!$A$2:$F$6,4,FALSE()))</f>
        <v>0</v>
      </c>
      <c r="AD21" s="14" t="n">
        <f aca="false">IF(OR($A21="",Z21=0),0,MAX(5,Z21*IF(OR($A21=Parameters!$B$13,$A21=Parameters!$B$14),0.75,1)-(IF(AND($A21=DATE(2026,11,29),NOV29BF="Yes"),AA21,0)+IF(OR($A21=DATE(2026,11,29),$A21=DATE(2026,11,30),$A21=DATE(2026,12,1),$A21=DATE(2026,12,2)),AB21,0)+IF(OR($A21=DATE(2026,11,28),$A21=DATE(2026,12,1)),AC21,0))))</f>
        <v>0</v>
      </c>
      <c r="AE21" s="14" t="n">
        <f aca="false">IF(AND($A21&lt;&gt;"",$A21&lt;Parameters!$B$14),CityData!F6*(1+TAXRATE),0)</f>
        <v>0</v>
      </c>
      <c r="AF21" s="14" t="n">
        <f aca="false">IF($A21="",0,IFERROR(VLOOKUP((YEAR($A21)+IF(MONTH($A21)&gt;=10,1,0))&amp;"|Phoenix|"&amp;MONTH($A21),Rates!$A$2:$I$181,5,FALSE()),0))</f>
        <v>0</v>
      </c>
      <c r="AG21" s="14" t="n">
        <f aca="false">IF(OR($A21="",$A21&gt;=Parameters!$B$14),1,IF(AND(AF21&gt;0,CityData!F6&lt;=AF21),1,0))</f>
        <v>1</v>
      </c>
      <c r="AH21" s="14" t="n">
        <f aca="false">IF($A21="",0,IFERROR(VLOOKUP((YEAR($A21)+IF(MONTH($A21)&gt;=10,1,0))&amp;"|Seattle|"&amp;MONTH($A21),Rates!$A$2:$I$181,6,FALSE()),0))</f>
        <v>0</v>
      </c>
      <c r="AI21" s="14" t="n">
        <f aca="false">IF(AH21=0,0,VLOOKUP(AH21,MIE_Components!$A$2:$F$6,2,FALSE()))</f>
        <v>0</v>
      </c>
      <c r="AJ21" s="14" t="n">
        <f aca="false">IF(AH21=0,0,VLOOKUP(AH21,MIE_Components!$A$2:$F$6,3,FALSE()))</f>
        <v>0</v>
      </c>
      <c r="AK21" s="14" t="n">
        <f aca="false">IF(AH21=0,0,VLOOKUP(AH21,MIE_Components!$A$2:$F$6,4,FALSE()))</f>
        <v>0</v>
      </c>
      <c r="AL21" s="14" t="n">
        <f aca="false">IF(OR($A21="",AH21=0),0,MAX(5,AH21*IF(OR($A21=Parameters!$B$13,$A21=Parameters!$B$14),0.75,1)-(IF(AND($A21=DATE(2026,11,29),NOV29BF="Yes"),AI21,0)+IF(OR($A21=DATE(2026,11,29),$A21=DATE(2026,11,30),$A21=DATE(2026,12,1),$A21=DATE(2026,12,2)),AJ21,0)+IF(OR($A21=DATE(2026,11,28),$A21=DATE(2026,12,1)),AK21,0))))</f>
        <v>0</v>
      </c>
      <c r="AM21" s="14" t="n">
        <f aca="false">IF(AND($A21&lt;&gt;"",$A21&lt;Parameters!$B$14),CityData!F7*(1+TAXRATE),0)</f>
        <v>0</v>
      </c>
      <c r="AN21" s="14" t="n">
        <f aca="false">IF($A21="",0,IFERROR(VLOOKUP((YEAR($A21)+IF(MONTH($A21)&gt;=10,1,0))&amp;"|Seattle|"&amp;MONTH($A21),Rates!$A$2:$I$181,5,FALSE()),0))</f>
        <v>0</v>
      </c>
      <c r="AO21" s="14" t="n">
        <f aca="false">IF(OR($A21="",$A21&gt;=Parameters!$B$14),1,IF(AND(AN21&gt;0,CityData!F7&lt;=AN21),1,0))</f>
        <v>1</v>
      </c>
    </row>
    <row r="22" customFormat="false" ht="15" hidden="false" customHeight="true" outlineLevel="0" collapsed="false">
      <c r="A22" s="23" t="str">
        <f aca="false">IF(AND(Parameters!$B$14&gt;=Parameters!$B$13,ROW()-2&lt;=Parameters!$B$14-Parameters!$B$13),Parameters!$B$13+ROW()-2,"")</f>
        <v/>
      </c>
      <c r="B22" s="14" t="n">
        <f aca="false">IF($A22="",0,IFERROR(VLOOKUP((YEAR($A22)+IF(MONTH($A22)&gt;=10,1,0))&amp;"|Boston|"&amp;MONTH($A22),Rates!$A$2:$I$181,6,FALSE()),0))</f>
        <v>0</v>
      </c>
      <c r="C22" s="14" t="n">
        <f aca="false">IF(B22=0,0,VLOOKUP(B22,MIE_Components!$A$2:$F$6,2,FALSE()))</f>
        <v>0</v>
      </c>
      <c r="D22" s="14" t="n">
        <f aca="false">IF(B22=0,0,VLOOKUP(B22,MIE_Components!$A$2:$F$6,3,FALSE()))</f>
        <v>0</v>
      </c>
      <c r="E22" s="14" t="n">
        <f aca="false">IF(B22=0,0,VLOOKUP(B22,MIE_Components!$A$2:$F$6,4,FALSE()))</f>
        <v>0</v>
      </c>
      <c r="F22" s="14" t="n">
        <f aca="false">IF(OR($A22="",B22=0),0,MAX(5,B22*IF(OR($A22=Parameters!$B$13,$A22=Parameters!$B$14),0.75,1)-(IF(AND($A22=DATE(2026,11,29),NOV29BF="Yes"),C22,0)+IF(OR($A22=DATE(2026,11,29),$A22=DATE(2026,11,30),$A22=DATE(2026,12,1),$A22=DATE(2026,12,2)),D22,0)+IF(OR($A22=DATE(2026,11,28),$A22=DATE(2026,12,1)),E22,0))))</f>
        <v>0</v>
      </c>
      <c r="G22" s="14" t="n">
        <f aca="false">IF(AND($A22&lt;&gt;"",$A22&lt;Parameters!$B$14),CityData!F3*(1+TAXRATE),0)</f>
        <v>0</v>
      </c>
      <c r="H22" s="14" t="n">
        <f aca="false">IF($A22="",0,IFERROR(VLOOKUP((YEAR($A22)+IF(MONTH($A22)&gt;=10,1,0))&amp;"|Boston|"&amp;MONTH($A22),Rates!$A$2:$I$181,5,FALSE()),0))</f>
        <v>0</v>
      </c>
      <c r="I22" s="14" t="n">
        <f aca="false">IF(OR($A22="",$A22&gt;=Parameters!$B$14),1,IF(AND(H22&gt;0,CityData!F3&lt;=H22),1,0))</f>
        <v>1</v>
      </c>
      <c r="J22" s="14" t="n">
        <f aca="false">IF($A22="",0,IFERROR(VLOOKUP((YEAR($A22)+IF(MONTH($A22)&gt;=10,1,0))&amp;"|Chicago|"&amp;MONTH($A22),Rates!$A$2:$I$181,6,FALSE()),0))</f>
        <v>0</v>
      </c>
      <c r="K22" s="14" t="n">
        <f aca="false">IF(J22=0,0,VLOOKUP(J22,MIE_Components!$A$2:$F$6,2,FALSE()))</f>
        <v>0</v>
      </c>
      <c r="L22" s="14" t="n">
        <f aca="false">IF(J22=0,0,VLOOKUP(J22,MIE_Components!$A$2:$F$6,3,FALSE()))</f>
        <v>0</v>
      </c>
      <c r="M22" s="14" t="n">
        <f aca="false">IF(J22=0,0,VLOOKUP(J22,MIE_Components!$A$2:$F$6,4,FALSE()))</f>
        <v>0</v>
      </c>
      <c r="N22" s="14" t="n">
        <f aca="false">IF(OR($A22="",J22=0),0,MAX(5,J22*IF(OR($A22=Parameters!$B$13,$A22=Parameters!$B$14),0.75,1)-(IF(AND($A22=DATE(2026,11,29),NOV29BF="Yes"),K22,0)+IF(OR($A22=DATE(2026,11,29),$A22=DATE(2026,11,30),$A22=DATE(2026,12,1),$A22=DATE(2026,12,2)),L22,0)+IF(OR($A22=DATE(2026,11,28),$A22=DATE(2026,12,1)),M22,0))))</f>
        <v>0</v>
      </c>
      <c r="O22" s="14" t="n">
        <f aca="false">IF(AND($A22&lt;&gt;"",$A22&lt;Parameters!$B$14),CityData!F4*(1+TAXRATE),0)</f>
        <v>0</v>
      </c>
      <c r="P22" s="14" t="n">
        <f aca="false">IF($A22="",0,IFERROR(VLOOKUP((YEAR($A22)+IF(MONTH($A22)&gt;=10,1,0))&amp;"|Chicago|"&amp;MONTH($A22),Rates!$A$2:$I$181,5,FALSE()),0))</f>
        <v>0</v>
      </c>
      <c r="Q22" s="14" t="n">
        <f aca="false">IF(OR($A22="",$A22&gt;=Parameters!$B$14),1,IF(AND(P22&gt;0,CityData!F4&lt;=P22),1,0))</f>
        <v>1</v>
      </c>
      <c r="R22" s="14" t="n">
        <f aca="false">IF($A22="",0,IFERROR(VLOOKUP((YEAR($A22)+IF(MONTH($A22)&gt;=10,1,0))&amp;"|Denver|"&amp;MONTH($A22),Rates!$A$2:$I$181,6,FALSE()),0))</f>
        <v>0</v>
      </c>
      <c r="S22" s="14" t="n">
        <f aca="false">IF(R22=0,0,VLOOKUP(R22,MIE_Components!$A$2:$F$6,2,FALSE()))</f>
        <v>0</v>
      </c>
      <c r="T22" s="14" t="n">
        <f aca="false">IF(R22=0,0,VLOOKUP(R22,MIE_Components!$A$2:$F$6,3,FALSE()))</f>
        <v>0</v>
      </c>
      <c r="U22" s="14" t="n">
        <f aca="false">IF(R22=0,0,VLOOKUP(R22,MIE_Components!$A$2:$F$6,4,FALSE()))</f>
        <v>0</v>
      </c>
      <c r="V22" s="14" t="n">
        <f aca="false">IF(OR($A22="",R22=0),0,MAX(5,R22*IF(OR($A22=Parameters!$B$13,$A22=Parameters!$B$14),0.75,1)-(IF(AND($A22=DATE(2026,11,29),NOV29BF="Yes"),S22,0)+IF(OR($A22=DATE(2026,11,29),$A22=DATE(2026,11,30),$A22=DATE(2026,12,1),$A22=DATE(2026,12,2)),T22,0)+IF(OR($A22=DATE(2026,11,28),$A22=DATE(2026,12,1)),U22,0))))</f>
        <v>0</v>
      </c>
      <c r="W22" s="14" t="n">
        <f aca="false">IF(AND($A22&lt;&gt;"",$A22&lt;Parameters!$B$14),CityData!F5*(1+TAXRATE),0)</f>
        <v>0</v>
      </c>
      <c r="X22" s="14" t="n">
        <f aca="false">IF($A22="",0,IFERROR(VLOOKUP((YEAR($A22)+IF(MONTH($A22)&gt;=10,1,0))&amp;"|Denver|"&amp;MONTH($A22),Rates!$A$2:$I$181,5,FALSE()),0))</f>
        <v>0</v>
      </c>
      <c r="Y22" s="14" t="n">
        <f aca="false">IF(OR($A22="",$A22&gt;=Parameters!$B$14),1,IF(AND(X22&gt;0,CityData!F5&lt;=X22),1,0))</f>
        <v>1</v>
      </c>
      <c r="Z22" s="14" t="n">
        <f aca="false">IF($A22="",0,IFERROR(VLOOKUP((YEAR($A22)+IF(MONTH($A22)&gt;=10,1,0))&amp;"|Phoenix|"&amp;MONTH($A22),Rates!$A$2:$I$181,6,FALSE()),0))</f>
        <v>0</v>
      </c>
      <c r="AA22" s="14" t="n">
        <f aca="false">IF(Z22=0,0,VLOOKUP(Z22,MIE_Components!$A$2:$F$6,2,FALSE()))</f>
        <v>0</v>
      </c>
      <c r="AB22" s="14" t="n">
        <f aca="false">IF(Z22=0,0,VLOOKUP(Z22,MIE_Components!$A$2:$F$6,3,FALSE()))</f>
        <v>0</v>
      </c>
      <c r="AC22" s="14" t="n">
        <f aca="false">IF(Z22=0,0,VLOOKUP(Z22,MIE_Components!$A$2:$F$6,4,FALSE()))</f>
        <v>0</v>
      </c>
      <c r="AD22" s="14" t="n">
        <f aca="false">IF(OR($A22="",Z22=0),0,MAX(5,Z22*IF(OR($A22=Parameters!$B$13,$A22=Parameters!$B$14),0.75,1)-(IF(AND($A22=DATE(2026,11,29),NOV29BF="Yes"),AA22,0)+IF(OR($A22=DATE(2026,11,29),$A22=DATE(2026,11,30),$A22=DATE(2026,12,1),$A22=DATE(2026,12,2)),AB22,0)+IF(OR($A22=DATE(2026,11,28),$A22=DATE(2026,12,1)),AC22,0))))</f>
        <v>0</v>
      </c>
      <c r="AE22" s="14" t="n">
        <f aca="false">IF(AND($A22&lt;&gt;"",$A22&lt;Parameters!$B$14),CityData!F6*(1+TAXRATE),0)</f>
        <v>0</v>
      </c>
      <c r="AF22" s="14" t="n">
        <f aca="false">IF($A22="",0,IFERROR(VLOOKUP((YEAR($A22)+IF(MONTH($A22)&gt;=10,1,0))&amp;"|Phoenix|"&amp;MONTH($A22),Rates!$A$2:$I$181,5,FALSE()),0))</f>
        <v>0</v>
      </c>
      <c r="AG22" s="14" t="n">
        <f aca="false">IF(OR($A22="",$A22&gt;=Parameters!$B$14),1,IF(AND(AF22&gt;0,CityData!F6&lt;=AF22),1,0))</f>
        <v>1</v>
      </c>
      <c r="AH22" s="14" t="n">
        <f aca="false">IF($A22="",0,IFERROR(VLOOKUP((YEAR($A22)+IF(MONTH($A22)&gt;=10,1,0))&amp;"|Seattle|"&amp;MONTH($A22),Rates!$A$2:$I$181,6,FALSE()),0))</f>
        <v>0</v>
      </c>
      <c r="AI22" s="14" t="n">
        <f aca="false">IF(AH22=0,0,VLOOKUP(AH22,MIE_Components!$A$2:$F$6,2,FALSE()))</f>
        <v>0</v>
      </c>
      <c r="AJ22" s="14" t="n">
        <f aca="false">IF(AH22=0,0,VLOOKUP(AH22,MIE_Components!$A$2:$F$6,3,FALSE()))</f>
        <v>0</v>
      </c>
      <c r="AK22" s="14" t="n">
        <f aca="false">IF(AH22=0,0,VLOOKUP(AH22,MIE_Components!$A$2:$F$6,4,FALSE()))</f>
        <v>0</v>
      </c>
      <c r="AL22" s="14" t="n">
        <f aca="false">IF(OR($A22="",AH22=0),0,MAX(5,AH22*IF(OR($A22=Parameters!$B$13,$A22=Parameters!$B$14),0.75,1)-(IF(AND($A22=DATE(2026,11,29),NOV29BF="Yes"),AI22,0)+IF(OR($A22=DATE(2026,11,29),$A22=DATE(2026,11,30),$A22=DATE(2026,12,1),$A22=DATE(2026,12,2)),AJ22,0)+IF(OR($A22=DATE(2026,11,28),$A22=DATE(2026,12,1)),AK22,0))))</f>
        <v>0</v>
      </c>
      <c r="AM22" s="14" t="n">
        <f aca="false">IF(AND($A22&lt;&gt;"",$A22&lt;Parameters!$B$14),CityData!F7*(1+TAXRATE),0)</f>
        <v>0</v>
      </c>
      <c r="AN22" s="14" t="n">
        <f aca="false">IF($A22="",0,IFERROR(VLOOKUP((YEAR($A22)+IF(MONTH($A22)&gt;=10,1,0))&amp;"|Seattle|"&amp;MONTH($A22),Rates!$A$2:$I$181,5,FALSE()),0))</f>
        <v>0</v>
      </c>
      <c r="AO22" s="14" t="n">
        <f aca="false">IF(OR($A22="",$A22&gt;=Parameters!$B$14),1,IF(AND(AN22&gt;0,CityData!F7&lt;=AN22),1,0))</f>
        <v>1</v>
      </c>
    </row>
    <row r="23" customFormat="false" ht="15" hidden="false" customHeight="true" outlineLevel="0" collapsed="false">
      <c r="A23" s="23" t="str">
        <f aca="false">IF(AND(Parameters!$B$14&gt;=Parameters!$B$13,ROW()-2&lt;=Parameters!$B$14-Parameters!$B$13),Parameters!$B$13+ROW()-2,"")</f>
        <v/>
      </c>
      <c r="B23" s="14" t="n">
        <f aca="false">IF($A23="",0,IFERROR(VLOOKUP((YEAR($A23)+IF(MONTH($A23)&gt;=10,1,0))&amp;"|Boston|"&amp;MONTH($A23),Rates!$A$2:$I$181,6,FALSE()),0))</f>
        <v>0</v>
      </c>
      <c r="C23" s="14" t="n">
        <f aca="false">IF(B23=0,0,VLOOKUP(B23,MIE_Components!$A$2:$F$6,2,FALSE()))</f>
        <v>0</v>
      </c>
      <c r="D23" s="14" t="n">
        <f aca="false">IF(B23=0,0,VLOOKUP(B23,MIE_Components!$A$2:$F$6,3,FALSE()))</f>
        <v>0</v>
      </c>
      <c r="E23" s="14" t="n">
        <f aca="false">IF(B23=0,0,VLOOKUP(B23,MIE_Components!$A$2:$F$6,4,FALSE()))</f>
        <v>0</v>
      </c>
      <c r="F23" s="14" t="n">
        <f aca="false">IF(OR($A23="",B23=0),0,MAX(5,B23*IF(OR($A23=Parameters!$B$13,$A23=Parameters!$B$14),0.75,1)-(IF(AND($A23=DATE(2026,11,29),NOV29BF="Yes"),C23,0)+IF(OR($A23=DATE(2026,11,29),$A23=DATE(2026,11,30),$A23=DATE(2026,12,1),$A23=DATE(2026,12,2)),D23,0)+IF(OR($A23=DATE(2026,11,28),$A23=DATE(2026,12,1)),E23,0))))</f>
        <v>0</v>
      </c>
      <c r="G23" s="14" t="n">
        <f aca="false">IF(AND($A23&lt;&gt;"",$A23&lt;Parameters!$B$14),CityData!F3*(1+TAXRATE),0)</f>
        <v>0</v>
      </c>
      <c r="H23" s="14" t="n">
        <f aca="false">IF($A23="",0,IFERROR(VLOOKUP((YEAR($A23)+IF(MONTH($A23)&gt;=10,1,0))&amp;"|Boston|"&amp;MONTH($A23),Rates!$A$2:$I$181,5,FALSE()),0))</f>
        <v>0</v>
      </c>
      <c r="I23" s="14" t="n">
        <f aca="false">IF(OR($A23="",$A23&gt;=Parameters!$B$14),1,IF(AND(H23&gt;0,CityData!F3&lt;=H23),1,0))</f>
        <v>1</v>
      </c>
      <c r="J23" s="14" t="n">
        <f aca="false">IF($A23="",0,IFERROR(VLOOKUP((YEAR($A23)+IF(MONTH($A23)&gt;=10,1,0))&amp;"|Chicago|"&amp;MONTH($A23),Rates!$A$2:$I$181,6,FALSE()),0))</f>
        <v>0</v>
      </c>
      <c r="K23" s="14" t="n">
        <f aca="false">IF(J23=0,0,VLOOKUP(J23,MIE_Components!$A$2:$F$6,2,FALSE()))</f>
        <v>0</v>
      </c>
      <c r="L23" s="14" t="n">
        <f aca="false">IF(J23=0,0,VLOOKUP(J23,MIE_Components!$A$2:$F$6,3,FALSE()))</f>
        <v>0</v>
      </c>
      <c r="M23" s="14" t="n">
        <f aca="false">IF(J23=0,0,VLOOKUP(J23,MIE_Components!$A$2:$F$6,4,FALSE()))</f>
        <v>0</v>
      </c>
      <c r="N23" s="14" t="n">
        <f aca="false">IF(OR($A23="",J23=0),0,MAX(5,J23*IF(OR($A23=Parameters!$B$13,$A23=Parameters!$B$14),0.75,1)-(IF(AND($A23=DATE(2026,11,29),NOV29BF="Yes"),K23,0)+IF(OR($A23=DATE(2026,11,29),$A23=DATE(2026,11,30),$A23=DATE(2026,12,1),$A23=DATE(2026,12,2)),L23,0)+IF(OR($A23=DATE(2026,11,28),$A23=DATE(2026,12,1)),M23,0))))</f>
        <v>0</v>
      </c>
      <c r="O23" s="14" t="n">
        <f aca="false">IF(AND($A23&lt;&gt;"",$A23&lt;Parameters!$B$14),CityData!F4*(1+TAXRATE),0)</f>
        <v>0</v>
      </c>
      <c r="P23" s="14" t="n">
        <f aca="false">IF($A23="",0,IFERROR(VLOOKUP((YEAR($A23)+IF(MONTH($A23)&gt;=10,1,0))&amp;"|Chicago|"&amp;MONTH($A23),Rates!$A$2:$I$181,5,FALSE()),0))</f>
        <v>0</v>
      </c>
      <c r="Q23" s="14" t="n">
        <f aca="false">IF(OR($A23="",$A23&gt;=Parameters!$B$14),1,IF(AND(P23&gt;0,CityData!F4&lt;=P23),1,0))</f>
        <v>1</v>
      </c>
      <c r="R23" s="14" t="n">
        <f aca="false">IF($A23="",0,IFERROR(VLOOKUP((YEAR($A23)+IF(MONTH($A23)&gt;=10,1,0))&amp;"|Denver|"&amp;MONTH($A23),Rates!$A$2:$I$181,6,FALSE()),0))</f>
        <v>0</v>
      </c>
      <c r="S23" s="14" t="n">
        <f aca="false">IF(R23=0,0,VLOOKUP(R23,MIE_Components!$A$2:$F$6,2,FALSE()))</f>
        <v>0</v>
      </c>
      <c r="T23" s="14" t="n">
        <f aca="false">IF(R23=0,0,VLOOKUP(R23,MIE_Components!$A$2:$F$6,3,FALSE()))</f>
        <v>0</v>
      </c>
      <c r="U23" s="14" t="n">
        <f aca="false">IF(R23=0,0,VLOOKUP(R23,MIE_Components!$A$2:$F$6,4,FALSE()))</f>
        <v>0</v>
      </c>
      <c r="V23" s="14" t="n">
        <f aca="false">IF(OR($A23="",R23=0),0,MAX(5,R23*IF(OR($A23=Parameters!$B$13,$A23=Parameters!$B$14),0.75,1)-(IF(AND($A23=DATE(2026,11,29),NOV29BF="Yes"),S23,0)+IF(OR($A23=DATE(2026,11,29),$A23=DATE(2026,11,30),$A23=DATE(2026,12,1),$A23=DATE(2026,12,2)),T23,0)+IF(OR($A23=DATE(2026,11,28),$A23=DATE(2026,12,1)),U23,0))))</f>
        <v>0</v>
      </c>
      <c r="W23" s="14" t="n">
        <f aca="false">IF(AND($A23&lt;&gt;"",$A23&lt;Parameters!$B$14),CityData!F5*(1+TAXRATE),0)</f>
        <v>0</v>
      </c>
      <c r="X23" s="14" t="n">
        <f aca="false">IF($A23="",0,IFERROR(VLOOKUP((YEAR($A23)+IF(MONTH($A23)&gt;=10,1,0))&amp;"|Denver|"&amp;MONTH($A23),Rates!$A$2:$I$181,5,FALSE()),0))</f>
        <v>0</v>
      </c>
      <c r="Y23" s="14" t="n">
        <f aca="false">IF(OR($A23="",$A23&gt;=Parameters!$B$14),1,IF(AND(X23&gt;0,CityData!F5&lt;=X23),1,0))</f>
        <v>1</v>
      </c>
      <c r="Z23" s="14" t="n">
        <f aca="false">IF($A23="",0,IFERROR(VLOOKUP((YEAR($A23)+IF(MONTH($A23)&gt;=10,1,0))&amp;"|Phoenix|"&amp;MONTH($A23),Rates!$A$2:$I$181,6,FALSE()),0))</f>
        <v>0</v>
      </c>
      <c r="AA23" s="14" t="n">
        <f aca="false">IF(Z23=0,0,VLOOKUP(Z23,MIE_Components!$A$2:$F$6,2,FALSE()))</f>
        <v>0</v>
      </c>
      <c r="AB23" s="14" t="n">
        <f aca="false">IF(Z23=0,0,VLOOKUP(Z23,MIE_Components!$A$2:$F$6,3,FALSE()))</f>
        <v>0</v>
      </c>
      <c r="AC23" s="14" t="n">
        <f aca="false">IF(Z23=0,0,VLOOKUP(Z23,MIE_Components!$A$2:$F$6,4,FALSE()))</f>
        <v>0</v>
      </c>
      <c r="AD23" s="14" t="n">
        <f aca="false">IF(OR($A23="",Z23=0),0,MAX(5,Z23*IF(OR($A23=Parameters!$B$13,$A23=Parameters!$B$14),0.75,1)-(IF(AND($A23=DATE(2026,11,29),NOV29BF="Yes"),AA23,0)+IF(OR($A23=DATE(2026,11,29),$A23=DATE(2026,11,30),$A23=DATE(2026,12,1),$A23=DATE(2026,12,2)),AB23,0)+IF(OR($A23=DATE(2026,11,28),$A23=DATE(2026,12,1)),AC23,0))))</f>
        <v>0</v>
      </c>
      <c r="AE23" s="14" t="n">
        <f aca="false">IF(AND($A23&lt;&gt;"",$A23&lt;Parameters!$B$14),CityData!F6*(1+TAXRATE),0)</f>
        <v>0</v>
      </c>
      <c r="AF23" s="14" t="n">
        <f aca="false">IF($A23="",0,IFERROR(VLOOKUP((YEAR($A23)+IF(MONTH($A23)&gt;=10,1,0))&amp;"|Phoenix|"&amp;MONTH($A23),Rates!$A$2:$I$181,5,FALSE()),0))</f>
        <v>0</v>
      </c>
      <c r="AG23" s="14" t="n">
        <f aca="false">IF(OR($A23="",$A23&gt;=Parameters!$B$14),1,IF(AND(AF23&gt;0,CityData!F6&lt;=AF23),1,0))</f>
        <v>1</v>
      </c>
      <c r="AH23" s="14" t="n">
        <f aca="false">IF($A23="",0,IFERROR(VLOOKUP((YEAR($A23)+IF(MONTH($A23)&gt;=10,1,0))&amp;"|Seattle|"&amp;MONTH($A23),Rates!$A$2:$I$181,6,FALSE()),0))</f>
        <v>0</v>
      </c>
      <c r="AI23" s="14" t="n">
        <f aca="false">IF(AH23=0,0,VLOOKUP(AH23,MIE_Components!$A$2:$F$6,2,FALSE()))</f>
        <v>0</v>
      </c>
      <c r="AJ23" s="14" t="n">
        <f aca="false">IF(AH23=0,0,VLOOKUP(AH23,MIE_Components!$A$2:$F$6,3,FALSE()))</f>
        <v>0</v>
      </c>
      <c r="AK23" s="14" t="n">
        <f aca="false">IF(AH23=0,0,VLOOKUP(AH23,MIE_Components!$A$2:$F$6,4,FALSE()))</f>
        <v>0</v>
      </c>
      <c r="AL23" s="14" t="n">
        <f aca="false">IF(OR($A23="",AH23=0),0,MAX(5,AH23*IF(OR($A23=Parameters!$B$13,$A23=Parameters!$B$14),0.75,1)-(IF(AND($A23=DATE(2026,11,29),NOV29BF="Yes"),AI23,0)+IF(OR($A23=DATE(2026,11,29),$A23=DATE(2026,11,30),$A23=DATE(2026,12,1),$A23=DATE(2026,12,2)),AJ23,0)+IF(OR($A23=DATE(2026,11,28),$A23=DATE(2026,12,1)),AK23,0))))</f>
        <v>0</v>
      </c>
      <c r="AM23" s="14" t="n">
        <f aca="false">IF(AND($A23&lt;&gt;"",$A23&lt;Parameters!$B$14),CityData!F7*(1+TAXRATE),0)</f>
        <v>0</v>
      </c>
      <c r="AN23" s="14" t="n">
        <f aca="false">IF($A23="",0,IFERROR(VLOOKUP((YEAR($A23)+IF(MONTH($A23)&gt;=10,1,0))&amp;"|Seattle|"&amp;MONTH($A23),Rates!$A$2:$I$181,5,FALSE()),0))</f>
        <v>0</v>
      </c>
      <c r="AO23" s="14" t="n">
        <f aca="false">IF(OR($A23="",$A23&gt;=Parameters!$B$14),1,IF(AND(AN23&gt;0,CityData!F7&lt;=AN23),1,0))</f>
        <v>1</v>
      </c>
    </row>
    <row r="24" customFormat="false" ht="15" hidden="false" customHeight="true" outlineLevel="0" collapsed="false">
      <c r="A24" s="23" t="str">
        <f aca="false">IF(AND(Parameters!$B$14&gt;=Parameters!$B$13,ROW()-2&lt;=Parameters!$B$14-Parameters!$B$13),Parameters!$B$13+ROW()-2,"")</f>
        <v/>
      </c>
      <c r="B24" s="14" t="n">
        <f aca="false">IF($A24="",0,IFERROR(VLOOKUP((YEAR($A24)+IF(MONTH($A24)&gt;=10,1,0))&amp;"|Boston|"&amp;MONTH($A24),Rates!$A$2:$I$181,6,FALSE()),0))</f>
        <v>0</v>
      </c>
      <c r="C24" s="14" t="n">
        <f aca="false">IF(B24=0,0,VLOOKUP(B24,MIE_Components!$A$2:$F$6,2,FALSE()))</f>
        <v>0</v>
      </c>
      <c r="D24" s="14" t="n">
        <f aca="false">IF(B24=0,0,VLOOKUP(B24,MIE_Components!$A$2:$F$6,3,FALSE()))</f>
        <v>0</v>
      </c>
      <c r="E24" s="14" t="n">
        <f aca="false">IF(B24=0,0,VLOOKUP(B24,MIE_Components!$A$2:$F$6,4,FALSE()))</f>
        <v>0</v>
      </c>
      <c r="F24" s="14" t="n">
        <f aca="false">IF(OR($A24="",B24=0),0,MAX(5,B24*IF(OR($A24=Parameters!$B$13,$A24=Parameters!$B$14),0.75,1)-(IF(AND($A24=DATE(2026,11,29),NOV29BF="Yes"),C24,0)+IF(OR($A24=DATE(2026,11,29),$A24=DATE(2026,11,30),$A24=DATE(2026,12,1),$A24=DATE(2026,12,2)),D24,0)+IF(OR($A24=DATE(2026,11,28),$A24=DATE(2026,12,1)),E24,0))))</f>
        <v>0</v>
      </c>
      <c r="G24" s="14" t="n">
        <f aca="false">IF(AND($A24&lt;&gt;"",$A24&lt;Parameters!$B$14),CityData!F3*(1+TAXRATE),0)</f>
        <v>0</v>
      </c>
      <c r="H24" s="14" t="n">
        <f aca="false">IF($A24="",0,IFERROR(VLOOKUP((YEAR($A24)+IF(MONTH($A24)&gt;=10,1,0))&amp;"|Boston|"&amp;MONTH($A24),Rates!$A$2:$I$181,5,FALSE()),0))</f>
        <v>0</v>
      </c>
      <c r="I24" s="14" t="n">
        <f aca="false">IF(OR($A24="",$A24&gt;=Parameters!$B$14),1,IF(AND(H24&gt;0,CityData!F3&lt;=H24),1,0))</f>
        <v>1</v>
      </c>
      <c r="J24" s="14" t="n">
        <f aca="false">IF($A24="",0,IFERROR(VLOOKUP((YEAR($A24)+IF(MONTH($A24)&gt;=10,1,0))&amp;"|Chicago|"&amp;MONTH($A24),Rates!$A$2:$I$181,6,FALSE()),0))</f>
        <v>0</v>
      </c>
      <c r="K24" s="14" t="n">
        <f aca="false">IF(J24=0,0,VLOOKUP(J24,MIE_Components!$A$2:$F$6,2,FALSE()))</f>
        <v>0</v>
      </c>
      <c r="L24" s="14" t="n">
        <f aca="false">IF(J24=0,0,VLOOKUP(J24,MIE_Components!$A$2:$F$6,3,FALSE()))</f>
        <v>0</v>
      </c>
      <c r="M24" s="14" t="n">
        <f aca="false">IF(J24=0,0,VLOOKUP(J24,MIE_Components!$A$2:$F$6,4,FALSE()))</f>
        <v>0</v>
      </c>
      <c r="N24" s="14" t="n">
        <f aca="false">IF(OR($A24="",J24=0),0,MAX(5,J24*IF(OR($A24=Parameters!$B$13,$A24=Parameters!$B$14),0.75,1)-(IF(AND($A24=DATE(2026,11,29),NOV29BF="Yes"),K24,0)+IF(OR($A24=DATE(2026,11,29),$A24=DATE(2026,11,30),$A24=DATE(2026,12,1),$A24=DATE(2026,12,2)),L24,0)+IF(OR($A24=DATE(2026,11,28),$A24=DATE(2026,12,1)),M24,0))))</f>
        <v>0</v>
      </c>
      <c r="O24" s="14" t="n">
        <f aca="false">IF(AND($A24&lt;&gt;"",$A24&lt;Parameters!$B$14),CityData!F4*(1+TAXRATE),0)</f>
        <v>0</v>
      </c>
      <c r="P24" s="14" t="n">
        <f aca="false">IF($A24="",0,IFERROR(VLOOKUP((YEAR($A24)+IF(MONTH($A24)&gt;=10,1,0))&amp;"|Chicago|"&amp;MONTH($A24),Rates!$A$2:$I$181,5,FALSE()),0))</f>
        <v>0</v>
      </c>
      <c r="Q24" s="14" t="n">
        <f aca="false">IF(OR($A24="",$A24&gt;=Parameters!$B$14),1,IF(AND(P24&gt;0,CityData!F4&lt;=P24),1,0))</f>
        <v>1</v>
      </c>
      <c r="R24" s="14" t="n">
        <f aca="false">IF($A24="",0,IFERROR(VLOOKUP((YEAR($A24)+IF(MONTH($A24)&gt;=10,1,0))&amp;"|Denver|"&amp;MONTH($A24),Rates!$A$2:$I$181,6,FALSE()),0))</f>
        <v>0</v>
      </c>
      <c r="S24" s="14" t="n">
        <f aca="false">IF(R24=0,0,VLOOKUP(R24,MIE_Components!$A$2:$F$6,2,FALSE()))</f>
        <v>0</v>
      </c>
      <c r="T24" s="14" t="n">
        <f aca="false">IF(R24=0,0,VLOOKUP(R24,MIE_Components!$A$2:$F$6,3,FALSE()))</f>
        <v>0</v>
      </c>
      <c r="U24" s="14" t="n">
        <f aca="false">IF(R24=0,0,VLOOKUP(R24,MIE_Components!$A$2:$F$6,4,FALSE()))</f>
        <v>0</v>
      </c>
      <c r="V24" s="14" t="n">
        <f aca="false">IF(OR($A24="",R24=0),0,MAX(5,R24*IF(OR($A24=Parameters!$B$13,$A24=Parameters!$B$14),0.75,1)-(IF(AND($A24=DATE(2026,11,29),NOV29BF="Yes"),S24,0)+IF(OR($A24=DATE(2026,11,29),$A24=DATE(2026,11,30),$A24=DATE(2026,12,1),$A24=DATE(2026,12,2)),T24,0)+IF(OR($A24=DATE(2026,11,28),$A24=DATE(2026,12,1)),U24,0))))</f>
        <v>0</v>
      </c>
      <c r="W24" s="14" t="n">
        <f aca="false">IF(AND($A24&lt;&gt;"",$A24&lt;Parameters!$B$14),CityData!F5*(1+TAXRATE),0)</f>
        <v>0</v>
      </c>
      <c r="X24" s="14" t="n">
        <f aca="false">IF($A24="",0,IFERROR(VLOOKUP((YEAR($A24)+IF(MONTH($A24)&gt;=10,1,0))&amp;"|Denver|"&amp;MONTH($A24),Rates!$A$2:$I$181,5,FALSE()),0))</f>
        <v>0</v>
      </c>
      <c r="Y24" s="14" t="n">
        <f aca="false">IF(OR($A24="",$A24&gt;=Parameters!$B$14),1,IF(AND(X24&gt;0,CityData!F5&lt;=X24),1,0))</f>
        <v>1</v>
      </c>
      <c r="Z24" s="14" t="n">
        <f aca="false">IF($A24="",0,IFERROR(VLOOKUP((YEAR($A24)+IF(MONTH($A24)&gt;=10,1,0))&amp;"|Phoenix|"&amp;MONTH($A24),Rates!$A$2:$I$181,6,FALSE()),0))</f>
        <v>0</v>
      </c>
      <c r="AA24" s="14" t="n">
        <f aca="false">IF(Z24=0,0,VLOOKUP(Z24,MIE_Components!$A$2:$F$6,2,FALSE()))</f>
        <v>0</v>
      </c>
      <c r="AB24" s="14" t="n">
        <f aca="false">IF(Z24=0,0,VLOOKUP(Z24,MIE_Components!$A$2:$F$6,3,FALSE()))</f>
        <v>0</v>
      </c>
      <c r="AC24" s="14" t="n">
        <f aca="false">IF(Z24=0,0,VLOOKUP(Z24,MIE_Components!$A$2:$F$6,4,FALSE()))</f>
        <v>0</v>
      </c>
      <c r="AD24" s="14" t="n">
        <f aca="false">IF(OR($A24="",Z24=0),0,MAX(5,Z24*IF(OR($A24=Parameters!$B$13,$A24=Parameters!$B$14),0.75,1)-(IF(AND($A24=DATE(2026,11,29),NOV29BF="Yes"),AA24,0)+IF(OR($A24=DATE(2026,11,29),$A24=DATE(2026,11,30),$A24=DATE(2026,12,1),$A24=DATE(2026,12,2)),AB24,0)+IF(OR($A24=DATE(2026,11,28),$A24=DATE(2026,12,1)),AC24,0))))</f>
        <v>0</v>
      </c>
      <c r="AE24" s="14" t="n">
        <f aca="false">IF(AND($A24&lt;&gt;"",$A24&lt;Parameters!$B$14),CityData!F6*(1+TAXRATE),0)</f>
        <v>0</v>
      </c>
      <c r="AF24" s="14" t="n">
        <f aca="false">IF($A24="",0,IFERROR(VLOOKUP((YEAR($A24)+IF(MONTH($A24)&gt;=10,1,0))&amp;"|Phoenix|"&amp;MONTH($A24),Rates!$A$2:$I$181,5,FALSE()),0))</f>
        <v>0</v>
      </c>
      <c r="AG24" s="14" t="n">
        <f aca="false">IF(OR($A24="",$A24&gt;=Parameters!$B$14),1,IF(AND(AF24&gt;0,CityData!F6&lt;=AF24),1,0))</f>
        <v>1</v>
      </c>
      <c r="AH24" s="14" t="n">
        <f aca="false">IF($A24="",0,IFERROR(VLOOKUP((YEAR($A24)+IF(MONTH($A24)&gt;=10,1,0))&amp;"|Seattle|"&amp;MONTH($A24),Rates!$A$2:$I$181,6,FALSE()),0))</f>
        <v>0</v>
      </c>
      <c r="AI24" s="14" t="n">
        <f aca="false">IF(AH24=0,0,VLOOKUP(AH24,MIE_Components!$A$2:$F$6,2,FALSE()))</f>
        <v>0</v>
      </c>
      <c r="AJ24" s="14" t="n">
        <f aca="false">IF(AH24=0,0,VLOOKUP(AH24,MIE_Components!$A$2:$F$6,3,FALSE()))</f>
        <v>0</v>
      </c>
      <c r="AK24" s="14" t="n">
        <f aca="false">IF(AH24=0,0,VLOOKUP(AH24,MIE_Components!$A$2:$F$6,4,FALSE()))</f>
        <v>0</v>
      </c>
      <c r="AL24" s="14" t="n">
        <f aca="false">IF(OR($A24="",AH24=0),0,MAX(5,AH24*IF(OR($A24=Parameters!$B$13,$A24=Parameters!$B$14),0.75,1)-(IF(AND($A24=DATE(2026,11,29),NOV29BF="Yes"),AI24,0)+IF(OR($A24=DATE(2026,11,29),$A24=DATE(2026,11,30),$A24=DATE(2026,12,1),$A24=DATE(2026,12,2)),AJ24,0)+IF(OR($A24=DATE(2026,11,28),$A24=DATE(2026,12,1)),AK24,0))))</f>
        <v>0</v>
      </c>
      <c r="AM24" s="14" t="n">
        <f aca="false">IF(AND($A24&lt;&gt;"",$A24&lt;Parameters!$B$14),CityData!F7*(1+TAXRATE),0)</f>
        <v>0</v>
      </c>
      <c r="AN24" s="14" t="n">
        <f aca="false">IF($A24="",0,IFERROR(VLOOKUP((YEAR($A24)+IF(MONTH($A24)&gt;=10,1,0))&amp;"|Seattle|"&amp;MONTH($A24),Rates!$A$2:$I$181,5,FALSE()),0))</f>
        <v>0</v>
      </c>
      <c r="AO24" s="14" t="n">
        <f aca="false">IF(OR($A24="",$A24&gt;=Parameters!$B$14),1,IF(AND(AN24&gt;0,CityData!F7&lt;=AN24),1,0))</f>
        <v>1</v>
      </c>
    </row>
    <row r="25" customFormat="false" ht="15" hidden="false" customHeight="true" outlineLevel="0" collapsed="false">
      <c r="A25" s="23" t="str">
        <f aca="false">IF(AND(Parameters!$B$14&gt;=Parameters!$B$13,ROW()-2&lt;=Parameters!$B$14-Parameters!$B$13),Parameters!$B$13+ROW()-2,"")</f>
        <v/>
      </c>
      <c r="B25" s="14" t="n">
        <f aca="false">IF($A25="",0,IFERROR(VLOOKUP((YEAR($A25)+IF(MONTH($A25)&gt;=10,1,0))&amp;"|Boston|"&amp;MONTH($A25),Rates!$A$2:$I$181,6,FALSE()),0))</f>
        <v>0</v>
      </c>
      <c r="C25" s="14" t="n">
        <f aca="false">IF(B25=0,0,VLOOKUP(B25,MIE_Components!$A$2:$F$6,2,FALSE()))</f>
        <v>0</v>
      </c>
      <c r="D25" s="14" t="n">
        <f aca="false">IF(B25=0,0,VLOOKUP(B25,MIE_Components!$A$2:$F$6,3,FALSE()))</f>
        <v>0</v>
      </c>
      <c r="E25" s="14" t="n">
        <f aca="false">IF(B25=0,0,VLOOKUP(B25,MIE_Components!$A$2:$F$6,4,FALSE()))</f>
        <v>0</v>
      </c>
      <c r="F25" s="14" t="n">
        <f aca="false">IF(OR($A25="",B25=0),0,MAX(5,B25*IF(OR($A25=Parameters!$B$13,$A25=Parameters!$B$14),0.75,1)-(IF(AND($A25=DATE(2026,11,29),NOV29BF="Yes"),C25,0)+IF(OR($A25=DATE(2026,11,29),$A25=DATE(2026,11,30),$A25=DATE(2026,12,1),$A25=DATE(2026,12,2)),D25,0)+IF(OR($A25=DATE(2026,11,28),$A25=DATE(2026,12,1)),E25,0))))</f>
        <v>0</v>
      </c>
      <c r="G25" s="14" t="n">
        <f aca="false">IF(AND($A25&lt;&gt;"",$A25&lt;Parameters!$B$14),CityData!F3*(1+TAXRATE),0)</f>
        <v>0</v>
      </c>
      <c r="H25" s="14" t="n">
        <f aca="false">IF($A25="",0,IFERROR(VLOOKUP((YEAR($A25)+IF(MONTH($A25)&gt;=10,1,0))&amp;"|Boston|"&amp;MONTH($A25),Rates!$A$2:$I$181,5,FALSE()),0))</f>
        <v>0</v>
      </c>
      <c r="I25" s="14" t="n">
        <f aca="false">IF(OR($A25="",$A25&gt;=Parameters!$B$14),1,IF(AND(H25&gt;0,CityData!F3&lt;=H25),1,0))</f>
        <v>1</v>
      </c>
      <c r="J25" s="14" t="n">
        <f aca="false">IF($A25="",0,IFERROR(VLOOKUP((YEAR($A25)+IF(MONTH($A25)&gt;=10,1,0))&amp;"|Chicago|"&amp;MONTH($A25),Rates!$A$2:$I$181,6,FALSE()),0))</f>
        <v>0</v>
      </c>
      <c r="K25" s="14" t="n">
        <f aca="false">IF(J25=0,0,VLOOKUP(J25,MIE_Components!$A$2:$F$6,2,FALSE()))</f>
        <v>0</v>
      </c>
      <c r="L25" s="14" t="n">
        <f aca="false">IF(J25=0,0,VLOOKUP(J25,MIE_Components!$A$2:$F$6,3,FALSE()))</f>
        <v>0</v>
      </c>
      <c r="M25" s="14" t="n">
        <f aca="false">IF(J25=0,0,VLOOKUP(J25,MIE_Components!$A$2:$F$6,4,FALSE()))</f>
        <v>0</v>
      </c>
      <c r="N25" s="14" t="n">
        <f aca="false">IF(OR($A25="",J25=0),0,MAX(5,J25*IF(OR($A25=Parameters!$B$13,$A25=Parameters!$B$14),0.75,1)-(IF(AND($A25=DATE(2026,11,29),NOV29BF="Yes"),K25,0)+IF(OR($A25=DATE(2026,11,29),$A25=DATE(2026,11,30),$A25=DATE(2026,12,1),$A25=DATE(2026,12,2)),L25,0)+IF(OR($A25=DATE(2026,11,28),$A25=DATE(2026,12,1)),M25,0))))</f>
        <v>0</v>
      </c>
      <c r="O25" s="14" t="n">
        <f aca="false">IF(AND($A25&lt;&gt;"",$A25&lt;Parameters!$B$14),CityData!F4*(1+TAXRATE),0)</f>
        <v>0</v>
      </c>
      <c r="P25" s="14" t="n">
        <f aca="false">IF($A25="",0,IFERROR(VLOOKUP((YEAR($A25)+IF(MONTH($A25)&gt;=10,1,0))&amp;"|Chicago|"&amp;MONTH($A25),Rates!$A$2:$I$181,5,FALSE()),0))</f>
        <v>0</v>
      </c>
      <c r="Q25" s="14" t="n">
        <f aca="false">IF(OR($A25="",$A25&gt;=Parameters!$B$14),1,IF(AND(P25&gt;0,CityData!F4&lt;=P25),1,0))</f>
        <v>1</v>
      </c>
      <c r="R25" s="14" t="n">
        <f aca="false">IF($A25="",0,IFERROR(VLOOKUP((YEAR($A25)+IF(MONTH($A25)&gt;=10,1,0))&amp;"|Denver|"&amp;MONTH($A25),Rates!$A$2:$I$181,6,FALSE()),0))</f>
        <v>0</v>
      </c>
      <c r="S25" s="14" t="n">
        <f aca="false">IF(R25=0,0,VLOOKUP(R25,MIE_Components!$A$2:$F$6,2,FALSE()))</f>
        <v>0</v>
      </c>
      <c r="T25" s="14" t="n">
        <f aca="false">IF(R25=0,0,VLOOKUP(R25,MIE_Components!$A$2:$F$6,3,FALSE()))</f>
        <v>0</v>
      </c>
      <c r="U25" s="14" t="n">
        <f aca="false">IF(R25=0,0,VLOOKUP(R25,MIE_Components!$A$2:$F$6,4,FALSE()))</f>
        <v>0</v>
      </c>
      <c r="V25" s="14" t="n">
        <f aca="false">IF(OR($A25="",R25=0),0,MAX(5,R25*IF(OR($A25=Parameters!$B$13,$A25=Parameters!$B$14),0.75,1)-(IF(AND($A25=DATE(2026,11,29),NOV29BF="Yes"),S25,0)+IF(OR($A25=DATE(2026,11,29),$A25=DATE(2026,11,30),$A25=DATE(2026,12,1),$A25=DATE(2026,12,2)),T25,0)+IF(OR($A25=DATE(2026,11,28),$A25=DATE(2026,12,1)),U25,0))))</f>
        <v>0</v>
      </c>
      <c r="W25" s="14" t="n">
        <f aca="false">IF(AND($A25&lt;&gt;"",$A25&lt;Parameters!$B$14),CityData!F5*(1+TAXRATE),0)</f>
        <v>0</v>
      </c>
      <c r="X25" s="14" t="n">
        <f aca="false">IF($A25="",0,IFERROR(VLOOKUP((YEAR($A25)+IF(MONTH($A25)&gt;=10,1,0))&amp;"|Denver|"&amp;MONTH($A25),Rates!$A$2:$I$181,5,FALSE()),0))</f>
        <v>0</v>
      </c>
      <c r="Y25" s="14" t="n">
        <f aca="false">IF(OR($A25="",$A25&gt;=Parameters!$B$14),1,IF(AND(X25&gt;0,CityData!F5&lt;=X25),1,0))</f>
        <v>1</v>
      </c>
      <c r="Z25" s="14" t="n">
        <f aca="false">IF($A25="",0,IFERROR(VLOOKUP((YEAR($A25)+IF(MONTH($A25)&gt;=10,1,0))&amp;"|Phoenix|"&amp;MONTH($A25),Rates!$A$2:$I$181,6,FALSE()),0))</f>
        <v>0</v>
      </c>
      <c r="AA25" s="14" t="n">
        <f aca="false">IF(Z25=0,0,VLOOKUP(Z25,MIE_Components!$A$2:$F$6,2,FALSE()))</f>
        <v>0</v>
      </c>
      <c r="AB25" s="14" t="n">
        <f aca="false">IF(Z25=0,0,VLOOKUP(Z25,MIE_Components!$A$2:$F$6,3,FALSE()))</f>
        <v>0</v>
      </c>
      <c r="AC25" s="14" t="n">
        <f aca="false">IF(Z25=0,0,VLOOKUP(Z25,MIE_Components!$A$2:$F$6,4,FALSE()))</f>
        <v>0</v>
      </c>
      <c r="AD25" s="14" t="n">
        <f aca="false">IF(OR($A25="",Z25=0),0,MAX(5,Z25*IF(OR($A25=Parameters!$B$13,$A25=Parameters!$B$14),0.75,1)-(IF(AND($A25=DATE(2026,11,29),NOV29BF="Yes"),AA25,0)+IF(OR($A25=DATE(2026,11,29),$A25=DATE(2026,11,30),$A25=DATE(2026,12,1),$A25=DATE(2026,12,2)),AB25,0)+IF(OR($A25=DATE(2026,11,28),$A25=DATE(2026,12,1)),AC25,0))))</f>
        <v>0</v>
      </c>
      <c r="AE25" s="14" t="n">
        <f aca="false">IF(AND($A25&lt;&gt;"",$A25&lt;Parameters!$B$14),CityData!F6*(1+TAXRATE),0)</f>
        <v>0</v>
      </c>
      <c r="AF25" s="14" t="n">
        <f aca="false">IF($A25="",0,IFERROR(VLOOKUP((YEAR($A25)+IF(MONTH($A25)&gt;=10,1,0))&amp;"|Phoenix|"&amp;MONTH($A25),Rates!$A$2:$I$181,5,FALSE()),0))</f>
        <v>0</v>
      </c>
      <c r="AG25" s="14" t="n">
        <f aca="false">IF(OR($A25="",$A25&gt;=Parameters!$B$14),1,IF(AND(AF25&gt;0,CityData!F6&lt;=AF25),1,0))</f>
        <v>1</v>
      </c>
      <c r="AH25" s="14" t="n">
        <f aca="false">IF($A25="",0,IFERROR(VLOOKUP((YEAR($A25)+IF(MONTH($A25)&gt;=10,1,0))&amp;"|Seattle|"&amp;MONTH($A25),Rates!$A$2:$I$181,6,FALSE()),0))</f>
        <v>0</v>
      </c>
      <c r="AI25" s="14" t="n">
        <f aca="false">IF(AH25=0,0,VLOOKUP(AH25,MIE_Components!$A$2:$F$6,2,FALSE()))</f>
        <v>0</v>
      </c>
      <c r="AJ25" s="14" t="n">
        <f aca="false">IF(AH25=0,0,VLOOKUP(AH25,MIE_Components!$A$2:$F$6,3,FALSE()))</f>
        <v>0</v>
      </c>
      <c r="AK25" s="14" t="n">
        <f aca="false">IF(AH25=0,0,VLOOKUP(AH25,MIE_Components!$A$2:$F$6,4,FALSE()))</f>
        <v>0</v>
      </c>
      <c r="AL25" s="14" t="n">
        <f aca="false">IF(OR($A25="",AH25=0),0,MAX(5,AH25*IF(OR($A25=Parameters!$B$13,$A25=Parameters!$B$14),0.75,1)-(IF(AND($A25=DATE(2026,11,29),NOV29BF="Yes"),AI25,0)+IF(OR($A25=DATE(2026,11,29),$A25=DATE(2026,11,30),$A25=DATE(2026,12,1),$A25=DATE(2026,12,2)),AJ25,0)+IF(OR($A25=DATE(2026,11,28),$A25=DATE(2026,12,1)),AK25,0))))</f>
        <v>0</v>
      </c>
      <c r="AM25" s="14" t="n">
        <f aca="false">IF(AND($A25&lt;&gt;"",$A25&lt;Parameters!$B$14),CityData!F7*(1+TAXRATE),0)</f>
        <v>0</v>
      </c>
      <c r="AN25" s="14" t="n">
        <f aca="false">IF($A25="",0,IFERROR(VLOOKUP((YEAR($A25)+IF(MONTH($A25)&gt;=10,1,0))&amp;"|Seattle|"&amp;MONTH($A25),Rates!$A$2:$I$181,5,FALSE()),0))</f>
        <v>0</v>
      </c>
      <c r="AO25" s="14" t="n">
        <f aca="false">IF(OR($A25="",$A25&gt;=Parameters!$B$14),1,IF(AND(AN25&gt;0,CityData!F7&lt;=AN25),1,0))</f>
        <v>1</v>
      </c>
    </row>
    <row r="26" customFormat="false" ht="15" hidden="false" customHeight="true" outlineLevel="0" collapsed="false">
      <c r="A26" s="23" t="str">
        <f aca="false">IF(AND(Parameters!$B$14&gt;=Parameters!$B$13,ROW()-2&lt;=Parameters!$B$14-Parameters!$B$13),Parameters!$B$13+ROW()-2,"")</f>
        <v/>
      </c>
      <c r="B26" s="14" t="n">
        <f aca="false">IF($A26="",0,IFERROR(VLOOKUP((YEAR($A26)+IF(MONTH($A26)&gt;=10,1,0))&amp;"|Boston|"&amp;MONTH($A26),Rates!$A$2:$I$181,6,FALSE()),0))</f>
        <v>0</v>
      </c>
      <c r="C26" s="14" t="n">
        <f aca="false">IF(B26=0,0,VLOOKUP(B26,MIE_Components!$A$2:$F$6,2,FALSE()))</f>
        <v>0</v>
      </c>
      <c r="D26" s="14" t="n">
        <f aca="false">IF(B26=0,0,VLOOKUP(B26,MIE_Components!$A$2:$F$6,3,FALSE()))</f>
        <v>0</v>
      </c>
      <c r="E26" s="14" t="n">
        <f aca="false">IF(B26=0,0,VLOOKUP(B26,MIE_Components!$A$2:$F$6,4,FALSE()))</f>
        <v>0</v>
      </c>
      <c r="F26" s="14" t="n">
        <f aca="false">IF(OR($A26="",B26=0),0,MAX(5,B26*IF(OR($A26=Parameters!$B$13,$A26=Parameters!$B$14),0.75,1)-(IF(AND($A26=DATE(2026,11,29),NOV29BF="Yes"),C26,0)+IF(OR($A26=DATE(2026,11,29),$A26=DATE(2026,11,30),$A26=DATE(2026,12,1),$A26=DATE(2026,12,2)),D26,0)+IF(OR($A26=DATE(2026,11,28),$A26=DATE(2026,12,1)),E26,0))))</f>
        <v>0</v>
      </c>
      <c r="G26" s="14" t="n">
        <f aca="false">IF(AND($A26&lt;&gt;"",$A26&lt;Parameters!$B$14),CityData!F3*(1+TAXRATE),0)</f>
        <v>0</v>
      </c>
      <c r="H26" s="14" t="n">
        <f aca="false">IF($A26="",0,IFERROR(VLOOKUP((YEAR($A26)+IF(MONTH($A26)&gt;=10,1,0))&amp;"|Boston|"&amp;MONTH($A26),Rates!$A$2:$I$181,5,FALSE()),0))</f>
        <v>0</v>
      </c>
      <c r="I26" s="14" t="n">
        <f aca="false">IF(OR($A26="",$A26&gt;=Parameters!$B$14),1,IF(AND(H26&gt;0,CityData!F3&lt;=H26),1,0))</f>
        <v>1</v>
      </c>
      <c r="J26" s="14" t="n">
        <f aca="false">IF($A26="",0,IFERROR(VLOOKUP((YEAR($A26)+IF(MONTH($A26)&gt;=10,1,0))&amp;"|Chicago|"&amp;MONTH($A26),Rates!$A$2:$I$181,6,FALSE()),0))</f>
        <v>0</v>
      </c>
      <c r="K26" s="14" t="n">
        <f aca="false">IF(J26=0,0,VLOOKUP(J26,MIE_Components!$A$2:$F$6,2,FALSE()))</f>
        <v>0</v>
      </c>
      <c r="L26" s="14" t="n">
        <f aca="false">IF(J26=0,0,VLOOKUP(J26,MIE_Components!$A$2:$F$6,3,FALSE()))</f>
        <v>0</v>
      </c>
      <c r="M26" s="14" t="n">
        <f aca="false">IF(J26=0,0,VLOOKUP(J26,MIE_Components!$A$2:$F$6,4,FALSE()))</f>
        <v>0</v>
      </c>
      <c r="N26" s="14" t="n">
        <f aca="false">IF(OR($A26="",J26=0),0,MAX(5,J26*IF(OR($A26=Parameters!$B$13,$A26=Parameters!$B$14),0.75,1)-(IF(AND($A26=DATE(2026,11,29),NOV29BF="Yes"),K26,0)+IF(OR($A26=DATE(2026,11,29),$A26=DATE(2026,11,30),$A26=DATE(2026,12,1),$A26=DATE(2026,12,2)),L26,0)+IF(OR($A26=DATE(2026,11,28),$A26=DATE(2026,12,1)),M26,0))))</f>
        <v>0</v>
      </c>
      <c r="O26" s="14" t="n">
        <f aca="false">IF(AND($A26&lt;&gt;"",$A26&lt;Parameters!$B$14),CityData!F4*(1+TAXRATE),0)</f>
        <v>0</v>
      </c>
      <c r="P26" s="14" t="n">
        <f aca="false">IF($A26="",0,IFERROR(VLOOKUP((YEAR($A26)+IF(MONTH($A26)&gt;=10,1,0))&amp;"|Chicago|"&amp;MONTH($A26),Rates!$A$2:$I$181,5,FALSE()),0))</f>
        <v>0</v>
      </c>
      <c r="Q26" s="14" t="n">
        <f aca="false">IF(OR($A26="",$A26&gt;=Parameters!$B$14),1,IF(AND(P26&gt;0,CityData!F4&lt;=P26),1,0))</f>
        <v>1</v>
      </c>
      <c r="R26" s="14" t="n">
        <f aca="false">IF($A26="",0,IFERROR(VLOOKUP((YEAR($A26)+IF(MONTH($A26)&gt;=10,1,0))&amp;"|Denver|"&amp;MONTH($A26),Rates!$A$2:$I$181,6,FALSE()),0))</f>
        <v>0</v>
      </c>
      <c r="S26" s="14" t="n">
        <f aca="false">IF(R26=0,0,VLOOKUP(R26,MIE_Components!$A$2:$F$6,2,FALSE()))</f>
        <v>0</v>
      </c>
      <c r="T26" s="14" t="n">
        <f aca="false">IF(R26=0,0,VLOOKUP(R26,MIE_Components!$A$2:$F$6,3,FALSE()))</f>
        <v>0</v>
      </c>
      <c r="U26" s="14" t="n">
        <f aca="false">IF(R26=0,0,VLOOKUP(R26,MIE_Components!$A$2:$F$6,4,FALSE()))</f>
        <v>0</v>
      </c>
      <c r="V26" s="14" t="n">
        <f aca="false">IF(OR($A26="",R26=0),0,MAX(5,R26*IF(OR($A26=Parameters!$B$13,$A26=Parameters!$B$14),0.75,1)-(IF(AND($A26=DATE(2026,11,29),NOV29BF="Yes"),S26,0)+IF(OR($A26=DATE(2026,11,29),$A26=DATE(2026,11,30),$A26=DATE(2026,12,1),$A26=DATE(2026,12,2)),T26,0)+IF(OR($A26=DATE(2026,11,28),$A26=DATE(2026,12,1)),U26,0))))</f>
        <v>0</v>
      </c>
      <c r="W26" s="14" t="n">
        <f aca="false">IF(AND($A26&lt;&gt;"",$A26&lt;Parameters!$B$14),CityData!F5*(1+TAXRATE),0)</f>
        <v>0</v>
      </c>
      <c r="X26" s="14" t="n">
        <f aca="false">IF($A26="",0,IFERROR(VLOOKUP((YEAR($A26)+IF(MONTH($A26)&gt;=10,1,0))&amp;"|Denver|"&amp;MONTH($A26),Rates!$A$2:$I$181,5,FALSE()),0))</f>
        <v>0</v>
      </c>
      <c r="Y26" s="14" t="n">
        <f aca="false">IF(OR($A26="",$A26&gt;=Parameters!$B$14),1,IF(AND(X26&gt;0,CityData!F5&lt;=X26),1,0))</f>
        <v>1</v>
      </c>
      <c r="Z26" s="14" t="n">
        <f aca="false">IF($A26="",0,IFERROR(VLOOKUP((YEAR($A26)+IF(MONTH($A26)&gt;=10,1,0))&amp;"|Phoenix|"&amp;MONTH($A26),Rates!$A$2:$I$181,6,FALSE()),0))</f>
        <v>0</v>
      </c>
      <c r="AA26" s="14" t="n">
        <f aca="false">IF(Z26=0,0,VLOOKUP(Z26,MIE_Components!$A$2:$F$6,2,FALSE()))</f>
        <v>0</v>
      </c>
      <c r="AB26" s="14" t="n">
        <f aca="false">IF(Z26=0,0,VLOOKUP(Z26,MIE_Components!$A$2:$F$6,3,FALSE()))</f>
        <v>0</v>
      </c>
      <c r="AC26" s="14" t="n">
        <f aca="false">IF(Z26=0,0,VLOOKUP(Z26,MIE_Components!$A$2:$F$6,4,FALSE()))</f>
        <v>0</v>
      </c>
      <c r="AD26" s="14" t="n">
        <f aca="false">IF(OR($A26="",Z26=0),0,MAX(5,Z26*IF(OR($A26=Parameters!$B$13,$A26=Parameters!$B$14),0.75,1)-(IF(AND($A26=DATE(2026,11,29),NOV29BF="Yes"),AA26,0)+IF(OR($A26=DATE(2026,11,29),$A26=DATE(2026,11,30),$A26=DATE(2026,12,1),$A26=DATE(2026,12,2)),AB26,0)+IF(OR($A26=DATE(2026,11,28),$A26=DATE(2026,12,1)),AC26,0))))</f>
        <v>0</v>
      </c>
      <c r="AE26" s="14" t="n">
        <f aca="false">IF(AND($A26&lt;&gt;"",$A26&lt;Parameters!$B$14),CityData!F6*(1+TAXRATE),0)</f>
        <v>0</v>
      </c>
      <c r="AF26" s="14" t="n">
        <f aca="false">IF($A26="",0,IFERROR(VLOOKUP((YEAR($A26)+IF(MONTH($A26)&gt;=10,1,0))&amp;"|Phoenix|"&amp;MONTH($A26),Rates!$A$2:$I$181,5,FALSE()),0))</f>
        <v>0</v>
      </c>
      <c r="AG26" s="14" t="n">
        <f aca="false">IF(OR($A26="",$A26&gt;=Parameters!$B$14),1,IF(AND(AF26&gt;0,CityData!F6&lt;=AF26),1,0))</f>
        <v>1</v>
      </c>
      <c r="AH26" s="14" t="n">
        <f aca="false">IF($A26="",0,IFERROR(VLOOKUP((YEAR($A26)+IF(MONTH($A26)&gt;=10,1,0))&amp;"|Seattle|"&amp;MONTH($A26),Rates!$A$2:$I$181,6,FALSE()),0))</f>
        <v>0</v>
      </c>
      <c r="AI26" s="14" t="n">
        <f aca="false">IF(AH26=0,0,VLOOKUP(AH26,MIE_Components!$A$2:$F$6,2,FALSE()))</f>
        <v>0</v>
      </c>
      <c r="AJ26" s="14" t="n">
        <f aca="false">IF(AH26=0,0,VLOOKUP(AH26,MIE_Components!$A$2:$F$6,3,FALSE()))</f>
        <v>0</v>
      </c>
      <c r="AK26" s="14" t="n">
        <f aca="false">IF(AH26=0,0,VLOOKUP(AH26,MIE_Components!$A$2:$F$6,4,FALSE()))</f>
        <v>0</v>
      </c>
      <c r="AL26" s="14" t="n">
        <f aca="false">IF(OR($A26="",AH26=0),0,MAX(5,AH26*IF(OR($A26=Parameters!$B$13,$A26=Parameters!$B$14),0.75,1)-(IF(AND($A26=DATE(2026,11,29),NOV29BF="Yes"),AI26,0)+IF(OR($A26=DATE(2026,11,29),$A26=DATE(2026,11,30),$A26=DATE(2026,12,1),$A26=DATE(2026,12,2)),AJ26,0)+IF(OR($A26=DATE(2026,11,28),$A26=DATE(2026,12,1)),AK26,0))))</f>
        <v>0</v>
      </c>
      <c r="AM26" s="14" t="n">
        <f aca="false">IF(AND($A26&lt;&gt;"",$A26&lt;Parameters!$B$14),CityData!F7*(1+TAXRATE),0)</f>
        <v>0</v>
      </c>
      <c r="AN26" s="14" t="n">
        <f aca="false">IF($A26="",0,IFERROR(VLOOKUP((YEAR($A26)+IF(MONTH($A26)&gt;=10,1,0))&amp;"|Seattle|"&amp;MONTH($A26),Rates!$A$2:$I$181,5,FALSE()),0))</f>
        <v>0</v>
      </c>
      <c r="AO26" s="14" t="n">
        <f aca="false">IF(OR($A26="",$A26&gt;=Parameters!$B$14),1,IF(AND(AN26&gt;0,CityData!F7&lt;=AN26),1,0))</f>
        <v>1</v>
      </c>
    </row>
    <row r="27" customFormat="false" ht="15" hidden="false" customHeight="true" outlineLevel="0" collapsed="false">
      <c r="A27" s="23" t="str">
        <f aca="false">IF(AND(Parameters!$B$14&gt;=Parameters!$B$13,ROW()-2&lt;=Parameters!$B$14-Parameters!$B$13),Parameters!$B$13+ROW()-2,"")</f>
        <v/>
      </c>
      <c r="B27" s="14" t="n">
        <f aca="false">IF($A27="",0,IFERROR(VLOOKUP((YEAR($A27)+IF(MONTH($A27)&gt;=10,1,0))&amp;"|Boston|"&amp;MONTH($A27),Rates!$A$2:$I$181,6,FALSE()),0))</f>
        <v>0</v>
      </c>
      <c r="C27" s="14" t="n">
        <f aca="false">IF(B27=0,0,VLOOKUP(B27,MIE_Components!$A$2:$F$6,2,FALSE()))</f>
        <v>0</v>
      </c>
      <c r="D27" s="14" t="n">
        <f aca="false">IF(B27=0,0,VLOOKUP(B27,MIE_Components!$A$2:$F$6,3,FALSE()))</f>
        <v>0</v>
      </c>
      <c r="E27" s="14" t="n">
        <f aca="false">IF(B27=0,0,VLOOKUP(B27,MIE_Components!$A$2:$F$6,4,FALSE()))</f>
        <v>0</v>
      </c>
      <c r="F27" s="14" t="n">
        <f aca="false">IF(OR($A27="",B27=0),0,MAX(5,B27*IF(OR($A27=Parameters!$B$13,$A27=Parameters!$B$14),0.75,1)-(IF(AND($A27=DATE(2026,11,29),NOV29BF="Yes"),C27,0)+IF(OR($A27=DATE(2026,11,29),$A27=DATE(2026,11,30),$A27=DATE(2026,12,1),$A27=DATE(2026,12,2)),D27,0)+IF(OR($A27=DATE(2026,11,28),$A27=DATE(2026,12,1)),E27,0))))</f>
        <v>0</v>
      </c>
      <c r="G27" s="14" t="n">
        <f aca="false">IF(AND($A27&lt;&gt;"",$A27&lt;Parameters!$B$14),CityData!F3*(1+TAXRATE),0)</f>
        <v>0</v>
      </c>
      <c r="H27" s="14" t="n">
        <f aca="false">IF($A27="",0,IFERROR(VLOOKUP((YEAR($A27)+IF(MONTH($A27)&gt;=10,1,0))&amp;"|Boston|"&amp;MONTH($A27),Rates!$A$2:$I$181,5,FALSE()),0))</f>
        <v>0</v>
      </c>
      <c r="I27" s="14" t="n">
        <f aca="false">IF(OR($A27="",$A27&gt;=Parameters!$B$14),1,IF(AND(H27&gt;0,CityData!F3&lt;=H27),1,0))</f>
        <v>1</v>
      </c>
      <c r="J27" s="14" t="n">
        <f aca="false">IF($A27="",0,IFERROR(VLOOKUP((YEAR($A27)+IF(MONTH($A27)&gt;=10,1,0))&amp;"|Chicago|"&amp;MONTH($A27),Rates!$A$2:$I$181,6,FALSE()),0))</f>
        <v>0</v>
      </c>
      <c r="K27" s="14" t="n">
        <f aca="false">IF(J27=0,0,VLOOKUP(J27,MIE_Components!$A$2:$F$6,2,FALSE()))</f>
        <v>0</v>
      </c>
      <c r="L27" s="14" t="n">
        <f aca="false">IF(J27=0,0,VLOOKUP(J27,MIE_Components!$A$2:$F$6,3,FALSE()))</f>
        <v>0</v>
      </c>
      <c r="M27" s="14" t="n">
        <f aca="false">IF(J27=0,0,VLOOKUP(J27,MIE_Components!$A$2:$F$6,4,FALSE()))</f>
        <v>0</v>
      </c>
      <c r="N27" s="14" t="n">
        <f aca="false">IF(OR($A27="",J27=0),0,MAX(5,J27*IF(OR($A27=Parameters!$B$13,$A27=Parameters!$B$14),0.75,1)-(IF(AND($A27=DATE(2026,11,29),NOV29BF="Yes"),K27,0)+IF(OR($A27=DATE(2026,11,29),$A27=DATE(2026,11,30),$A27=DATE(2026,12,1),$A27=DATE(2026,12,2)),L27,0)+IF(OR($A27=DATE(2026,11,28),$A27=DATE(2026,12,1)),M27,0))))</f>
        <v>0</v>
      </c>
      <c r="O27" s="14" t="n">
        <f aca="false">IF(AND($A27&lt;&gt;"",$A27&lt;Parameters!$B$14),CityData!F4*(1+TAXRATE),0)</f>
        <v>0</v>
      </c>
      <c r="P27" s="14" t="n">
        <f aca="false">IF($A27="",0,IFERROR(VLOOKUP((YEAR($A27)+IF(MONTH($A27)&gt;=10,1,0))&amp;"|Chicago|"&amp;MONTH($A27),Rates!$A$2:$I$181,5,FALSE()),0))</f>
        <v>0</v>
      </c>
      <c r="Q27" s="14" t="n">
        <f aca="false">IF(OR($A27="",$A27&gt;=Parameters!$B$14),1,IF(AND(P27&gt;0,CityData!F4&lt;=P27),1,0))</f>
        <v>1</v>
      </c>
      <c r="R27" s="14" t="n">
        <f aca="false">IF($A27="",0,IFERROR(VLOOKUP((YEAR($A27)+IF(MONTH($A27)&gt;=10,1,0))&amp;"|Denver|"&amp;MONTH($A27),Rates!$A$2:$I$181,6,FALSE()),0))</f>
        <v>0</v>
      </c>
      <c r="S27" s="14" t="n">
        <f aca="false">IF(R27=0,0,VLOOKUP(R27,MIE_Components!$A$2:$F$6,2,FALSE()))</f>
        <v>0</v>
      </c>
      <c r="T27" s="14" t="n">
        <f aca="false">IF(R27=0,0,VLOOKUP(R27,MIE_Components!$A$2:$F$6,3,FALSE()))</f>
        <v>0</v>
      </c>
      <c r="U27" s="14" t="n">
        <f aca="false">IF(R27=0,0,VLOOKUP(R27,MIE_Components!$A$2:$F$6,4,FALSE()))</f>
        <v>0</v>
      </c>
      <c r="V27" s="14" t="n">
        <f aca="false">IF(OR($A27="",R27=0),0,MAX(5,R27*IF(OR($A27=Parameters!$B$13,$A27=Parameters!$B$14),0.75,1)-(IF(AND($A27=DATE(2026,11,29),NOV29BF="Yes"),S27,0)+IF(OR($A27=DATE(2026,11,29),$A27=DATE(2026,11,30),$A27=DATE(2026,12,1),$A27=DATE(2026,12,2)),T27,0)+IF(OR($A27=DATE(2026,11,28),$A27=DATE(2026,12,1)),U27,0))))</f>
        <v>0</v>
      </c>
      <c r="W27" s="14" t="n">
        <f aca="false">IF(AND($A27&lt;&gt;"",$A27&lt;Parameters!$B$14),CityData!F5*(1+TAXRATE),0)</f>
        <v>0</v>
      </c>
      <c r="X27" s="14" t="n">
        <f aca="false">IF($A27="",0,IFERROR(VLOOKUP((YEAR($A27)+IF(MONTH($A27)&gt;=10,1,0))&amp;"|Denver|"&amp;MONTH($A27),Rates!$A$2:$I$181,5,FALSE()),0))</f>
        <v>0</v>
      </c>
      <c r="Y27" s="14" t="n">
        <f aca="false">IF(OR($A27="",$A27&gt;=Parameters!$B$14),1,IF(AND(X27&gt;0,CityData!F5&lt;=X27),1,0))</f>
        <v>1</v>
      </c>
      <c r="Z27" s="14" t="n">
        <f aca="false">IF($A27="",0,IFERROR(VLOOKUP((YEAR($A27)+IF(MONTH($A27)&gt;=10,1,0))&amp;"|Phoenix|"&amp;MONTH($A27),Rates!$A$2:$I$181,6,FALSE()),0))</f>
        <v>0</v>
      </c>
      <c r="AA27" s="14" t="n">
        <f aca="false">IF(Z27=0,0,VLOOKUP(Z27,MIE_Components!$A$2:$F$6,2,FALSE()))</f>
        <v>0</v>
      </c>
      <c r="AB27" s="14" t="n">
        <f aca="false">IF(Z27=0,0,VLOOKUP(Z27,MIE_Components!$A$2:$F$6,3,FALSE()))</f>
        <v>0</v>
      </c>
      <c r="AC27" s="14" t="n">
        <f aca="false">IF(Z27=0,0,VLOOKUP(Z27,MIE_Components!$A$2:$F$6,4,FALSE()))</f>
        <v>0</v>
      </c>
      <c r="AD27" s="14" t="n">
        <f aca="false">IF(OR($A27="",Z27=0),0,MAX(5,Z27*IF(OR($A27=Parameters!$B$13,$A27=Parameters!$B$14),0.75,1)-(IF(AND($A27=DATE(2026,11,29),NOV29BF="Yes"),AA27,0)+IF(OR($A27=DATE(2026,11,29),$A27=DATE(2026,11,30),$A27=DATE(2026,12,1),$A27=DATE(2026,12,2)),AB27,0)+IF(OR($A27=DATE(2026,11,28),$A27=DATE(2026,12,1)),AC27,0))))</f>
        <v>0</v>
      </c>
      <c r="AE27" s="14" t="n">
        <f aca="false">IF(AND($A27&lt;&gt;"",$A27&lt;Parameters!$B$14),CityData!F6*(1+TAXRATE),0)</f>
        <v>0</v>
      </c>
      <c r="AF27" s="14" t="n">
        <f aca="false">IF($A27="",0,IFERROR(VLOOKUP((YEAR($A27)+IF(MONTH($A27)&gt;=10,1,0))&amp;"|Phoenix|"&amp;MONTH($A27),Rates!$A$2:$I$181,5,FALSE()),0))</f>
        <v>0</v>
      </c>
      <c r="AG27" s="14" t="n">
        <f aca="false">IF(OR($A27="",$A27&gt;=Parameters!$B$14),1,IF(AND(AF27&gt;0,CityData!F6&lt;=AF27),1,0))</f>
        <v>1</v>
      </c>
      <c r="AH27" s="14" t="n">
        <f aca="false">IF($A27="",0,IFERROR(VLOOKUP((YEAR($A27)+IF(MONTH($A27)&gt;=10,1,0))&amp;"|Seattle|"&amp;MONTH($A27),Rates!$A$2:$I$181,6,FALSE()),0))</f>
        <v>0</v>
      </c>
      <c r="AI27" s="14" t="n">
        <f aca="false">IF(AH27=0,0,VLOOKUP(AH27,MIE_Components!$A$2:$F$6,2,FALSE()))</f>
        <v>0</v>
      </c>
      <c r="AJ27" s="14" t="n">
        <f aca="false">IF(AH27=0,0,VLOOKUP(AH27,MIE_Components!$A$2:$F$6,3,FALSE()))</f>
        <v>0</v>
      </c>
      <c r="AK27" s="14" t="n">
        <f aca="false">IF(AH27=0,0,VLOOKUP(AH27,MIE_Components!$A$2:$F$6,4,FALSE()))</f>
        <v>0</v>
      </c>
      <c r="AL27" s="14" t="n">
        <f aca="false">IF(OR($A27="",AH27=0),0,MAX(5,AH27*IF(OR($A27=Parameters!$B$13,$A27=Parameters!$B$14),0.75,1)-(IF(AND($A27=DATE(2026,11,29),NOV29BF="Yes"),AI27,0)+IF(OR($A27=DATE(2026,11,29),$A27=DATE(2026,11,30),$A27=DATE(2026,12,1),$A27=DATE(2026,12,2)),AJ27,0)+IF(OR($A27=DATE(2026,11,28),$A27=DATE(2026,12,1)),AK27,0))))</f>
        <v>0</v>
      </c>
      <c r="AM27" s="14" t="n">
        <f aca="false">IF(AND($A27&lt;&gt;"",$A27&lt;Parameters!$B$14),CityData!F7*(1+TAXRATE),0)</f>
        <v>0</v>
      </c>
      <c r="AN27" s="14" t="n">
        <f aca="false">IF($A27="",0,IFERROR(VLOOKUP((YEAR($A27)+IF(MONTH($A27)&gt;=10,1,0))&amp;"|Seattle|"&amp;MONTH($A27),Rates!$A$2:$I$181,5,FALSE()),0))</f>
        <v>0</v>
      </c>
      <c r="AO27" s="14" t="n">
        <f aca="false">IF(OR($A27="",$A27&gt;=Parameters!$B$14),1,IF(AND(AN27&gt;0,CityData!F7&lt;=AN27),1,0))</f>
        <v>1</v>
      </c>
    </row>
    <row r="28" customFormat="false" ht="15" hidden="false" customHeight="true" outlineLevel="0" collapsed="false">
      <c r="A28" s="23" t="str">
        <f aca="false">IF(AND(Parameters!$B$14&gt;=Parameters!$B$13,ROW()-2&lt;=Parameters!$B$14-Parameters!$B$13),Parameters!$B$13+ROW()-2,"")</f>
        <v/>
      </c>
      <c r="B28" s="14" t="n">
        <f aca="false">IF($A28="",0,IFERROR(VLOOKUP((YEAR($A28)+IF(MONTH($A28)&gt;=10,1,0))&amp;"|Boston|"&amp;MONTH($A28),Rates!$A$2:$I$181,6,FALSE()),0))</f>
        <v>0</v>
      </c>
      <c r="C28" s="14" t="n">
        <f aca="false">IF(B28=0,0,VLOOKUP(B28,MIE_Components!$A$2:$F$6,2,FALSE()))</f>
        <v>0</v>
      </c>
      <c r="D28" s="14" t="n">
        <f aca="false">IF(B28=0,0,VLOOKUP(B28,MIE_Components!$A$2:$F$6,3,FALSE()))</f>
        <v>0</v>
      </c>
      <c r="E28" s="14" t="n">
        <f aca="false">IF(B28=0,0,VLOOKUP(B28,MIE_Components!$A$2:$F$6,4,FALSE()))</f>
        <v>0</v>
      </c>
      <c r="F28" s="14" t="n">
        <f aca="false">IF(OR($A28="",B28=0),0,MAX(5,B28*IF(OR($A28=Parameters!$B$13,$A28=Parameters!$B$14),0.75,1)-(IF(AND($A28=DATE(2026,11,29),NOV29BF="Yes"),C28,0)+IF(OR($A28=DATE(2026,11,29),$A28=DATE(2026,11,30),$A28=DATE(2026,12,1),$A28=DATE(2026,12,2)),D28,0)+IF(OR($A28=DATE(2026,11,28),$A28=DATE(2026,12,1)),E28,0))))</f>
        <v>0</v>
      </c>
      <c r="G28" s="14" t="n">
        <f aca="false">IF(AND($A28&lt;&gt;"",$A28&lt;Parameters!$B$14),CityData!F3*(1+TAXRATE),0)</f>
        <v>0</v>
      </c>
      <c r="H28" s="14" t="n">
        <f aca="false">IF($A28="",0,IFERROR(VLOOKUP((YEAR($A28)+IF(MONTH($A28)&gt;=10,1,0))&amp;"|Boston|"&amp;MONTH($A28),Rates!$A$2:$I$181,5,FALSE()),0))</f>
        <v>0</v>
      </c>
      <c r="I28" s="14" t="n">
        <f aca="false">IF(OR($A28="",$A28&gt;=Parameters!$B$14),1,IF(AND(H28&gt;0,CityData!F3&lt;=H28),1,0))</f>
        <v>1</v>
      </c>
      <c r="J28" s="14" t="n">
        <f aca="false">IF($A28="",0,IFERROR(VLOOKUP((YEAR($A28)+IF(MONTH($A28)&gt;=10,1,0))&amp;"|Chicago|"&amp;MONTH($A28),Rates!$A$2:$I$181,6,FALSE()),0))</f>
        <v>0</v>
      </c>
      <c r="K28" s="14" t="n">
        <f aca="false">IF(J28=0,0,VLOOKUP(J28,MIE_Components!$A$2:$F$6,2,FALSE()))</f>
        <v>0</v>
      </c>
      <c r="L28" s="14" t="n">
        <f aca="false">IF(J28=0,0,VLOOKUP(J28,MIE_Components!$A$2:$F$6,3,FALSE()))</f>
        <v>0</v>
      </c>
      <c r="M28" s="14" t="n">
        <f aca="false">IF(J28=0,0,VLOOKUP(J28,MIE_Components!$A$2:$F$6,4,FALSE()))</f>
        <v>0</v>
      </c>
      <c r="N28" s="14" t="n">
        <f aca="false">IF(OR($A28="",J28=0),0,MAX(5,J28*IF(OR($A28=Parameters!$B$13,$A28=Parameters!$B$14),0.75,1)-(IF(AND($A28=DATE(2026,11,29),NOV29BF="Yes"),K28,0)+IF(OR($A28=DATE(2026,11,29),$A28=DATE(2026,11,30),$A28=DATE(2026,12,1),$A28=DATE(2026,12,2)),L28,0)+IF(OR($A28=DATE(2026,11,28),$A28=DATE(2026,12,1)),M28,0))))</f>
        <v>0</v>
      </c>
      <c r="O28" s="14" t="n">
        <f aca="false">IF(AND($A28&lt;&gt;"",$A28&lt;Parameters!$B$14),CityData!F4*(1+TAXRATE),0)</f>
        <v>0</v>
      </c>
      <c r="P28" s="14" t="n">
        <f aca="false">IF($A28="",0,IFERROR(VLOOKUP((YEAR($A28)+IF(MONTH($A28)&gt;=10,1,0))&amp;"|Chicago|"&amp;MONTH($A28),Rates!$A$2:$I$181,5,FALSE()),0))</f>
        <v>0</v>
      </c>
      <c r="Q28" s="14" t="n">
        <f aca="false">IF(OR($A28="",$A28&gt;=Parameters!$B$14),1,IF(AND(P28&gt;0,CityData!F4&lt;=P28),1,0))</f>
        <v>1</v>
      </c>
      <c r="R28" s="14" t="n">
        <f aca="false">IF($A28="",0,IFERROR(VLOOKUP((YEAR($A28)+IF(MONTH($A28)&gt;=10,1,0))&amp;"|Denver|"&amp;MONTH($A28),Rates!$A$2:$I$181,6,FALSE()),0))</f>
        <v>0</v>
      </c>
      <c r="S28" s="14" t="n">
        <f aca="false">IF(R28=0,0,VLOOKUP(R28,MIE_Components!$A$2:$F$6,2,FALSE()))</f>
        <v>0</v>
      </c>
      <c r="T28" s="14" t="n">
        <f aca="false">IF(R28=0,0,VLOOKUP(R28,MIE_Components!$A$2:$F$6,3,FALSE()))</f>
        <v>0</v>
      </c>
      <c r="U28" s="14" t="n">
        <f aca="false">IF(R28=0,0,VLOOKUP(R28,MIE_Components!$A$2:$F$6,4,FALSE()))</f>
        <v>0</v>
      </c>
      <c r="V28" s="14" t="n">
        <f aca="false">IF(OR($A28="",R28=0),0,MAX(5,R28*IF(OR($A28=Parameters!$B$13,$A28=Parameters!$B$14),0.75,1)-(IF(AND($A28=DATE(2026,11,29),NOV29BF="Yes"),S28,0)+IF(OR($A28=DATE(2026,11,29),$A28=DATE(2026,11,30),$A28=DATE(2026,12,1),$A28=DATE(2026,12,2)),T28,0)+IF(OR($A28=DATE(2026,11,28),$A28=DATE(2026,12,1)),U28,0))))</f>
        <v>0</v>
      </c>
      <c r="W28" s="14" t="n">
        <f aca="false">IF(AND($A28&lt;&gt;"",$A28&lt;Parameters!$B$14),CityData!F5*(1+TAXRATE),0)</f>
        <v>0</v>
      </c>
      <c r="X28" s="14" t="n">
        <f aca="false">IF($A28="",0,IFERROR(VLOOKUP((YEAR($A28)+IF(MONTH($A28)&gt;=10,1,0))&amp;"|Denver|"&amp;MONTH($A28),Rates!$A$2:$I$181,5,FALSE()),0))</f>
        <v>0</v>
      </c>
      <c r="Y28" s="14" t="n">
        <f aca="false">IF(OR($A28="",$A28&gt;=Parameters!$B$14),1,IF(AND(X28&gt;0,CityData!F5&lt;=X28),1,0))</f>
        <v>1</v>
      </c>
      <c r="Z28" s="14" t="n">
        <f aca="false">IF($A28="",0,IFERROR(VLOOKUP((YEAR($A28)+IF(MONTH($A28)&gt;=10,1,0))&amp;"|Phoenix|"&amp;MONTH($A28),Rates!$A$2:$I$181,6,FALSE()),0))</f>
        <v>0</v>
      </c>
      <c r="AA28" s="14" t="n">
        <f aca="false">IF(Z28=0,0,VLOOKUP(Z28,MIE_Components!$A$2:$F$6,2,FALSE()))</f>
        <v>0</v>
      </c>
      <c r="AB28" s="14" t="n">
        <f aca="false">IF(Z28=0,0,VLOOKUP(Z28,MIE_Components!$A$2:$F$6,3,FALSE()))</f>
        <v>0</v>
      </c>
      <c r="AC28" s="14" t="n">
        <f aca="false">IF(Z28=0,0,VLOOKUP(Z28,MIE_Components!$A$2:$F$6,4,FALSE()))</f>
        <v>0</v>
      </c>
      <c r="AD28" s="14" t="n">
        <f aca="false">IF(OR($A28="",Z28=0),0,MAX(5,Z28*IF(OR($A28=Parameters!$B$13,$A28=Parameters!$B$14),0.75,1)-(IF(AND($A28=DATE(2026,11,29),NOV29BF="Yes"),AA28,0)+IF(OR($A28=DATE(2026,11,29),$A28=DATE(2026,11,30),$A28=DATE(2026,12,1),$A28=DATE(2026,12,2)),AB28,0)+IF(OR($A28=DATE(2026,11,28),$A28=DATE(2026,12,1)),AC28,0))))</f>
        <v>0</v>
      </c>
      <c r="AE28" s="14" t="n">
        <f aca="false">IF(AND($A28&lt;&gt;"",$A28&lt;Parameters!$B$14),CityData!F6*(1+TAXRATE),0)</f>
        <v>0</v>
      </c>
      <c r="AF28" s="14" t="n">
        <f aca="false">IF($A28="",0,IFERROR(VLOOKUP((YEAR($A28)+IF(MONTH($A28)&gt;=10,1,0))&amp;"|Phoenix|"&amp;MONTH($A28),Rates!$A$2:$I$181,5,FALSE()),0))</f>
        <v>0</v>
      </c>
      <c r="AG28" s="14" t="n">
        <f aca="false">IF(OR($A28="",$A28&gt;=Parameters!$B$14),1,IF(AND(AF28&gt;0,CityData!F6&lt;=AF28),1,0))</f>
        <v>1</v>
      </c>
      <c r="AH28" s="14" t="n">
        <f aca="false">IF($A28="",0,IFERROR(VLOOKUP((YEAR($A28)+IF(MONTH($A28)&gt;=10,1,0))&amp;"|Seattle|"&amp;MONTH($A28),Rates!$A$2:$I$181,6,FALSE()),0))</f>
        <v>0</v>
      </c>
      <c r="AI28" s="14" t="n">
        <f aca="false">IF(AH28=0,0,VLOOKUP(AH28,MIE_Components!$A$2:$F$6,2,FALSE()))</f>
        <v>0</v>
      </c>
      <c r="AJ28" s="14" t="n">
        <f aca="false">IF(AH28=0,0,VLOOKUP(AH28,MIE_Components!$A$2:$F$6,3,FALSE()))</f>
        <v>0</v>
      </c>
      <c r="AK28" s="14" t="n">
        <f aca="false">IF(AH28=0,0,VLOOKUP(AH28,MIE_Components!$A$2:$F$6,4,FALSE()))</f>
        <v>0</v>
      </c>
      <c r="AL28" s="14" t="n">
        <f aca="false">IF(OR($A28="",AH28=0),0,MAX(5,AH28*IF(OR($A28=Parameters!$B$13,$A28=Parameters!$B$14),0.75,1)-(IF(AND($A28=DATE(2026,11,29),NOV29BF="Yes"),AI28,0)+IF(OR($A28=DATE(2026,11,29),$A28=DATE(2026,11,30),$A28=DATE(2026,12,1),$A28=DATE(2026,12,2)),AJ28,0)+IF(OR($A28=DATE(2026,11,28),$A28=DATE(2026,12,1)),AK28,0))))</f>
        <v>0</v>
      </c>
      <c r="AM28" s="14" t="n">
        <f aca="false">IF(AND($A28&lt;&gt;"",$A28&lt;Parameters!$B$14),CityData!F7*(1+TAXRATE),0)</f>
        <v>0</v>
      </c>
      <c r="AN28" s="14" t="n">
        <f aca="false">IF($A28="",0,IFERROR(VLOOKUP((YEAR($A28)+IF(MONTH($A28)&gt;=10,1,0))&amp;"|Seattle|"&amp;MONTH($A28),Rates!$A$2:$I$181,5,FALSE()),0))</f>
        <v>0</v>
      </c>
      <c r="AO28" s="14" t="n">
        <f aca="false">IF(OR($A28="",$A28&gt;=Parameters!$B$14),1,IF(AND(AN28&gt;0,CityData!F7&lt;=AN28),1,0))</f>
        <v>1</v>
      </c>
    </row>
    <row r="29" customFormat="false" ht="15" hidden="false" customHeight="true" outlineLevel="0" collapsed="false">
      <c r="A29" s="23" t="str">
        <f aca="false">IF(AND(Parameters!$B$14&gt;=Parameters!$B$13,ROW()-2&lt;=Parameters!$B$14-Parameters!$B$13),Parameters!$B$13+ROW()-2,"")</f>
        <v/>
      </c>
      <c r="B29" s="14" t="n">
        <f aca="false">IF($A29="",0,IFERROR(VLOOKUP((YEAR($A29)+IF(MONTH($A29)&gt;=10,1,0))&amp;"|Boston|"&amp;MONTH($A29),Rates!$A$2:$I$181,6,FALSE()),0))</f>
        <v>0</v>
      </c>
      <c r="C29" s="14" t="n">
        <f aca="false">IF(B29=0,0,VLOOKUP(B29,MIE_Components!$A$2:$F$6,2,FALSE()))</f>
        <v>0</v>
      </c>
      <c r="D29" s="14" t="n">
        <f aca="false">IF(B29=0,0,VLOOKUP(B29,MIE_Components!$A$2:$F$6,3,FALSE()))</f>
        <v>0</v>
      </c>
      <c r="E29" s="14" t="n">
        <f aca="false">IF(B29=0,0,VLOOKUP(B29,MIE_Components!$A$2:$F$6,4,FALSE()))</f>
        <v>0</v>
      </c>
      <c r="F29" s="14" t="n">
        <f aca="false">IF(OR($A29="",B29=0),0,MAX(5,B29*IF(OR($A29=Parameters!$B$13,$A29=Parameters!$B$14),0.75,1)-(IF(AND($A29=DATE(2026,11,29),NOV29BF="Yes"),C29,0)+IF(OR($A29=DATE(2026,11,29),$A29=DATE(2026,11,30),$A29=DATE(2026,12,1),$A29=DATE(2026,12,2)),D29,0)+IF(OR($A29=DATE(2026,11,28),$A29=DATE(2026,12,1)),E29,0))))</f>
        <v>0</v>
      </c>
      <c r="G29" s="14" t="n">
        <f aca="false">IF(AND($A29&lt;&gt;"",$A29&lt;Parameters!$B$14),CityData!F3*(1+TAXRATE),0)</f>
        <v>0</v>
      </c>
      <c r="H29" s="14" t="n">
        <f aca="false">IF($A29="",0,IFERROR(VLOOKUP((YEAR($A29)+IF(MONTH($A29)&gt;=10,1,0))&amp;"|Boston|"&amp;MONTH($A29),Rates!$A$2:$I$181,5,FALSE()),0))</f>
        <v>0</v>
      </c>
      <c r="I29" s="14" t="n">
        <f aca="false">IF(OR($A29="",$A29&gt;=Parameters!$B$14),1,IF(AND(H29&gt;0,CityData!F3&lt;=H29),1,0))</f>
        <v>1</v>
      </c>
      <c r="J29" s="14" t="n">
        <f aca="false">IF($A29="",0,IFERROR(VLOOKUP((YEAR($A29)+IF(MONTH($A29)&gt;=10,1,0))&amp;"|Chicago|"&amp;MONTH($A29),Rates!$A$2:$I$181,6,FALSE()),0))</f>
        <v>0</v>
      </c>
      <c r="K29" s="14" t="n">
        <f aca="false">IF(J29=0,0,VLOOKUP(J29,MIE_Components!$A$2:$F$6,2,FALSE()))</f>
        <v>0</v>
      </c>
      <c r="L29" s="14" t="n">
        <f aca="false">IF(J29=0,0,VLOOKUP(J29,MIE_Components!$A$2:$F$6,3,FALSE()))</f>
        <v>0</v>
      </c>
      <c r="M29" s="14" t="n">
        <f aca="false">IF(J29=0,0,VLOOKUP(J29,MIE_Components!$A$2:$F$6,4,FALSE()))</f>
        <v>0</v>
      </c>
      <c r="N29" s="14" t="n">
        <f aca="false">IF(OR($A29="",J29=0),0,MAX(5,J29*IF(OR($A29=Parameters!$B$13,$A29=Parameters!$B$14),0.75,1)-(IF(AND($A29=DATE(2026,11,29),NOV29BF="Yes"),K29,0)+IF(OR($A29=DATE(2026,11,29),$A29=DATE(2026,11,30),$A29=DATE(2026,12,1),$A29=DATE(2026,12,2)),L29,0)+IF(OR($A29=DATE(2026,11,28),$A29=DATE(2026,12,1)),M29,0))))</f>
        <v>0</v>
      </c>
      <c r="O29" s="14" t="n">
        <f aca="false">IF(AND($A29&lt;&gt;"",$A29&lt;Parameters!$B$14),CityData!F4*(1+TAXRATE),0)</f>
        <v>0</v>
      </c>
      <c r="P29" s="14" t="n">
        <f aca="false">IF($A29="",0,IFERROR(VLOOKUP((YEAR($A29)+IF(MONTH($A29)&gt;=10,1,0))&amp;"|Chicago|"&amp;MONTH($A29),Rates!$A$2:$I$181,5,FALSE()),0))</f>
        <v>0</v>
      </c>
      <c r="Q29" s="14" t="n">
        <f aca="false">IF(OR($A29="",$A29&gt;=Parameters!$B$14),1,IF(AND(P29&gt;0,CityData!F4&lt;=P29),1,0))</f>
        <v>1</v>
      </c>
      <c r="R29" s="14" t="n">
        <f aca="false">IF($A29="",0,IFERROR(VLOOKUP((YEAR($A29)+IF(MONTH($A29)&gt;=10,1,0))&amp;"|Denver|"&amp;MONTH($A29),Rates!$A$2:$I$181,6,FALSE()),0))</f>
        <v>0</v>
      </c>
      <c r="S29" s="14" t="n">
        <f aca="false">IF(R29=0,0,VLOOKUP(R29,MIE_Components!$A$2:$F$6,2,FALSE()))</f>
        <v>0</v>
      </c>
      <c r="T29" s="14" t="n">
        <f aca="false">IF(R29=0,0,VLOOKUP(R29,MIE_Components!$A$2:$F$6,3,FALSE()))</f>
        <v>0</v>
      </c>
      <c r="U29" s="14" t="n">
        <f aca="false">IF(R29=0,0,VLOOKUP(R29,MIE_Components!$A$2:$F$6,4,FALSE()))</f>
        <v>0</v>
      </c>
      <c r="V29" s="14" t="n">
        <f aca="false">IF(OR($A29="",R29=0),0,MAX(5,R29*IF(OR($A29=Parameters!$B$13,$A29=Parameters!$B$14),0.75,1)-(IF(AND($A29=DATE(2026,11,29),NOV29BF="Yes"),S29,0)+IF(OR($A29=DATE(2026,11,29),$A29=DATE(2026,11,30),$A29=DATE(2026,12,1),$A29=DATE(2026,12,2)),T29,0)+IF(OR($A29=DATE(2026,11,28),$A29=DATE(2026,12,1)),U29,0))))</f>
        <v>0</v>
      </c>
      <c r="W29" s="14" t="n">
        <f aca="false">IF(AND($A29&lt;&gt;"",$A29&lt;Parameters!$B$14),CityData!F5*(1+TAXRATE),0)</f>
        <v>0</v>
      </c>
      <c r="X29" s="14" t="n">
        <f aca="false">IF($A29="",0,IFERROR(VLOOKUP((YEAR($A29)+IF(MONTH($A29)&gt;=10,1,0))&amp;"|Denver|"&amp;MONTH($A29),Rates!$A$2:$I$181,5,FALSE()),0))</f>
        <v>0</v>
      </c>
      <c r="Y29" s="14" t="n">
        <f aca="false">IF(OR($A29="",$A29&gt;=Parameters!$B$14),1,IF(AND(X29&gt;0,CityData!F5&lt;=X29),1,0))</f>
        <v>1</v>
      </c>
      <c r="Z29" s="14" t="n">
        <f aca="false">IF($A29="",0,IFERROR(VLOOKUP((YEAR($A29)+IF(MONTH($A29)&gt;=10,1,0))&amp;"|Phoenix|"&amp;MONTH($A29),Rates!$A$2:$I$181,6,FALSE()),0))</f>
        <v>0</v>
      </c>
      <c r="AA29" s="14" t="n">
        <f aca="false">IF(Z29=0,0,VLOOKUP(Z29,MIE_Components!$A$2:$F$6,2,FALSE()))</f>
        <v>0</v>
      </c>
      <c r="AB29" s="14" t="n">
        <f aca="false">IF(Z29=0,0,VLOOKUP(Z29,MIE_Components!$A$2:$F$6,3,FALSE()))</f>
        <v>0</v>
      </c>
      <c r="AC29" s="14" t="n">
        <f aca="false">IF(Z29=0,0,VLOOKUP(Z29,MIE_Components!$A$2:$F$6,4,FALSE()))</f>
        <v>0</v>
      </c>
      <c r="AD29" s="14" t="n">
        <f aca="false">IF(OR($A29="",Z29=0),0,MAX(5,Z29*IF(OR($A29=Parameters!$B$13,$A29=Parameters!$B$14),0.75,1)-(IF(AND($A29=DATE(2026,11,29),NOV29BF="Yes"),AA29,0)+IF(OR($A29=DATE(2026,11,29),$A29=DATE(2026,11,30),$A29=DATE(2026,12,1),$A29=DATE(2026,12,2)),AB29,0)+IF(OR($A29=DATE(2026,11,28),$A29=DATE(2026,12,1)),AC29,0))))</f>
        <v>0</v>
      </c>
      <c r="AE29" s="14" t="n">
        <f aca="false">IF(AND($A29&lt;&gt;"",$A29&lt;Parameters!$B$14),CityData!F6*(1+TAXRATE),0)</f>
        <v>0</v>
      </c>
      <c r="AF29" s="14" t="n">
        <f aca="false">IF($A29="",0,IFERROR(VLOOKUP((YEAR($A29)+IF(MONTH($A29)&gt;=10,1,0))&amp;"|Phoenix|"&amp;MONTH($A29),Rates!$A$2:$I$181,5,FALSE()),0))</f>
        <v>0</v>
      </c>
      <c r="AG29" s="14" t="n">
        <f aca="false">IF(OR($A29="",$A29&gt;=Parameters!$B$14),1,IF(AND(AF29&gt;0,CityData!F6&lt;=AF29),1,0))</f>
        <v>1</v>
      </c>
      <c r="AH29" s="14" t="n">
        <f aca="false">IF($A29="",0,IFERROR(VLOOKUP((YEAR($A29)+IF(MONTH($A29)&gt;=10,1,0))&amp;"|Seattle|"&amp;MONTH($A29),Rates!$A$2:$I$181,6,FALSE()),0))</f>
        <v>0</v>
      </c>
      <c r="AI29" s="14" t="n">
        <f aca="false">IF(AH29=0,0,VLOOKUP(AH29,MIE_Components!$A$2:$F$6,2,FALSE()))</f>
        <v>0</v>
      </c>
      <c r="AJ29" s="14" t="n">
        <f aca="false">IF(AH29=0,0,VLOOKUP(AH29,MIE_Components!$A$2:$F$6,3,FALSE()))</f>
        <v>0</v>
      </c>
      <c r="AK29" s="14" t="n">
        <f aca="false">IF(AH29=0,0,VLOOKUP(AH29,MIE_Components!$A$2:$F$6,4,FALSE()))</f>
        <v>0</v>
      </c>
      <c r="AL29" s="14" t="n">
        <f aca="false">IF(OR($A29="",AH29=0),0,MAX(5,AH29*IF(OR($A29=Parameters!$B$13,$A29=Parameters!$B$14),0.75,1)-(IF(AND($A29=DATE(2026,11,29),NOV29BF="Yes"),AI29,0)+IF(OR($A29=DATE(2026,11,29),$A29=DATE(2026,11,30),$A29=DATE(2026,12,1),$A29=DATE(2026,12,2)),AJ29,0)+IF(OR($A29=DATE(2026,11,28),$A29=DATE(2026,12,1)),AK29,0))))</f>
        <v>0</v>
      </c>
      <c r="AM29" s="14" t="n">
        <f aca="false">IF(AND($A29&lt;&gt;"",$A29&lt;Parameters!$B$14),CityData!F7*(1+TAXRATE),0)</f>
        <v>0</v>
      </c>
      <c r="AN29" s="14" t="n">
        <f aca="false">IF($A29="",0,IFERROR(VLOOKUP((YEAR($A29)+IF(MONTH($A29)&gt;=10,1,0))&amp;"|Seattle|"&amp;MONTH($A29),Rates!$A$2:$I$181,5,FALSE()),0))</f>
        <v>0</v>
      </c>
      <c r="AO29" s="14" t="n">
        <f aca="false">IF(OR($A29="",$A29&gt;=Parameters!$B$14),1,IF(AND(AN29&gt;0,CityData!F7&lt;=AN29),1,0))</f>
        <v>1</v>
      </c>
    </row>
    <row r="30" customFormat="false" ht="15" hidden="false" customHeight="true" outlineLevel="0" collapsed="false">
      <c r="A30" s="23" t="str">
        <f aca="false">IF(AND(Parameters!$B$14&gt;=Parameters!$B$13,ROW()-2&lt;=Parameters!$B$14-Parameters!$B$13),Parameters!$B$13+ROW()-2,"")</f>
        <v/>
      </c>
      <c r="B30" s="14" t="n">
        <f aca="false">IF($A30="",0,IFERROR(VLOOKUP((YEAR($A30)+IF(MONTH($A30)&gt;=10,1,0))&amp;"|Boston|"&amp;MONTH($A30),Rates!$A$2:$I$181,6,FALSE()),0))</f>
        <v>0</v>
      </c>
      <c r="C30" s="14" t="n">
        <f aca="false">IF(B30=0,0,VLOOKUP(B30,MIE_Components!$A$2:$F$6,2,FALSE()))</f>
        <v>0</v>
      </c>
      <c r="D30" s="14" t="n">
        <f aca="false">IF(B30=0,0,VLOOKUP(B30,MIE_Components!$A$2:$F$6,3,FALSE()))</f>
        <v>0</v>
      </c>
      <c r="E30" s="14" t="n">
        <f aca="false">IF(B30=0,0,VLOOKUP(B30,MIE_Components!$A$2:$F$6,4,FALSE()))</f>
        <v>0</v>
      </c>
      <c r="F30" s="14" t="n">
        <f aca="false">IF(OR($A30="",B30=0),0,MAX(5,B30*IF(OR($A30=Parameters!$B$13,$A30=Parameters!$B$14),0.75,1)-(IF(AND($A30=DATE(2026,11,29),NOV29BF="Yes"),C30,0)+IF(OR($A30=DATE(2026,11,29),$A30=DATE(2026,11,30),$A30=DATE(2026,12,1),$A30=DATE(2026,12,2)),D30,0)+IF(OR($A30=DATE(2026,11,28),$A30=DATE(2026,12,1)),E30,0))))</f>
        <v>0</v>
      </c>
      <c r="G30" s="14" t="n">
        <f aca="false">IF(AND($A30&lt;&gt;"",$A30&lt;Parameters!$B$14),CityData!F3*(1+TAXRATE),0)</f>
        <v>0</v>
      </c>
      <c r="H30" s="14" t="n">
        <f aca="false">IF($A30="",0,IFERROR(VLOOKUP((YEAR($A30)+IF(MONTH($A30)&gt;=10,1,0))&amp;"|Boston|"&amp;MONTH($A30),Rates!$A$2:$I$181,5,FALSE()),0))</f>
        <v>0</v>
      </c>
      <c r="I30" s="14" t="n">
        <f aca="false">IF(OR($A30="",$A30&gt;=Parameters!$B$14),1,IF(AND(H30&gt;0,CityData!F3&lt;=H30),1,0))</f>
        <v>1</v>
      </c>
      <c r="J30" s="14" t="n">
        <f aca="false">IF($A30="",0,IFERROR(VLOOKUP((YEAR($A30)+IF(MONTH($A30)&gt;=10,1,0))&amp;"|Chicago|"&amp;MONTH($A30),Rates!$A$2:$I$181,6,FALSE()),0))</f>
        <v>0</v>
      </c>
      <c r="K30" s="14" t="n">
        <f aca="false">IF(J30=0,0,VLOOKUP(J30,MIE_Components!$A$2:$F$6,2,FALSE()))</f>
        <v>0</v>
      </c>
      <c r="L30" s="14" t="n">
        <f aca="false">IF(J30=0,0,VLOOKUP(J30,MIE_Components!$A$2:$F$6,3,FALSE()))</f>
        <v>0</v>
      </c>
      <c r="M30" s="14" t="n">
        <f aca="false">IF(J30=0,0,VLOOKUP(J30,MIE_Components!$A$2:$F$6,4,FALSE()))</f>
        <v>0</v>
      </c>
      <c r="N30" s="14" t="n">
        <f aca="false">IF(OR($A30="",J30=0),0,MAX(5,J30*IF(OR($A30=Parameters!$B$13,$A30=Parameters!$B$14),0.75,1)-(IF(AND($A30=DATE(2026,11,29),NOV29BF="Yes"),K30,0)+IF(OR($A30=DATE(2026,11,29),$A30=DATE(2026,11,30),$A30=DATE(2026,12,1),$A30=DATE(2026,12,2)),L30,0)+IF(OR($A30=DATE(2026,11,28),$A30=DATE(2026,12,1)),M30,0))))</f>
        <v>0</v>
      </c>
      <c r="O30" s="14" t="n">
        <f aca="false">IF(AND($A30&lt;&gt;"",$A30&lt;Parameters!$B$14),CityData!F4*(1+TAXRATE),0)</f>
        <v>0</v>
      </c>
      <c r="P30" s="14" t="n">
        <f aca="false">IF($A30="",0,IFERROR(VLOOKUP((YEAR($A30)+IF(MONTH($A30)&gt;=10,1,0))&amp;"|Chicago|"&amp;MONTH($A30),Rates!$A$2:$I$181,5,FALSE()),0))</f>
        <v>0</v>
      </c>
      <c r="Q30" s="14" t="n">
        <f aca="false">IF(OR($A30="",$A30&gt;=Parameters!$B$14),1,IF(AND(P30&gt;0,CityData!F4&lt;=P30),1,0))</f>
        <v>1</v>
      </c>
      <c r="R30" s="14" t="n">
        <f aca="false">IF($A30="",0,IFERROR(VLOOKUP((YEAR($A30)+IF(MONTH($A30)&gt;=10,1,0))&amp;"|Denver|"&amp;MONTH($A30),Rates!$A$2:$I$181,6,FALSE()),0))</f>
        <v>0</v>
      </c>
      <c r="S30" s="14" t="n">
        <f aca="false">IF(R30=0,0,VLOOKUP(R30,MIE_Components!$A$2:$F$6,2,FALSE()))</f>
        <v>0</v>
      </c>
      <c r="T30" s="14" t="n">
        <f aca="false">IF(R30=0,0,VLOOKUP(R30,MIE_Components!$A$2:$F$6,3,FALSE()))</f>
        <v>0</v>
      </c>
      <c r="U30" s="14" t="n">
        <f aca="false">IF(R30=0,0,VLOOKUP(R30,MIE_Components!$A$2:$F$6,4,FALSE()))</f>
        <v>0</v>
      </c>
      <c r="V30" s="14" t="n">
        <f aca="false">IF(OR($A30="",R30=0),0,MAX(5,R30*IF(OR($A30=Parameters!$B$13,$A30=Parameters!$B$14),0.75,1)-(IF(AND($A30=DATE(2026,11,29),NOV29BF="Yes"),S30,0)+IF(OR($A30=DATE(2026,11,29),$A30=DATE(2026,11,30),$A30=DATE(2026,12,1),$A30=DATE(2026,12,2)),T30,0)+IF(OR($A30=DATE(2026,11,28),$A30=DATE(2026,12,1)),U30,0))))</f>
        <v>0</v>
      </c>
      <c r="W30" s="14" t="n">
        <f aca="false">IF(AND($A30&lt;&gt;"",$A30&lt;Parameters!$B$14),CityData!F5*(1+TAXRATE),0)</f>
        <v>0</v>
      </c>
      <c r="X30" s="14" t="n">
        <f aca="false">IF($A30="",0,IFERROR(VLOOKUP((YEAR($A30)+IF(MONTH($A30)&gt;=10,1,0))&amp;"|Denver|"&amp;MONTH($A30),Rates!$A$2:$I$181,5,FALSE()),0))</f>
        <v>0</v>
      </c>
      <c r="Y30" s="14" t="n">
        <f aca="false">IF(OR($A30="",$A30&gt;=Parameters!$B$14),1,IF(AND(X30&gt;0,CityData!F5&lt;=X30),1,0))</f>
        <v>1</v>
      </c>
      <c r="Z30" s="14" t="n">
        <f aca="false">IF($A30="",0,IFERROR(VLOOKUP((YEAR($A30)+IF(MONTH($A30)&gt;=10,1,0))&amp;"|Phoenix|"&amp;MONTH($A30),Rates!$A$2:$I$181,6,FALSE()),0))</f>
        <v>0</v>
      </c>
      <c r="AA30" s="14" t="n">
        <f aca="false">IF(Z30=0,0,VLOOKUP(Z30,MIE_Components!$A$2:$F$6,2,FALSE()))</f>
        <v>0</v>
      </c>
      <c r="AB30" s="14" t="n">
        <f aca="false">IF(Z30=0,0,VLOOKUP(Z30,MIE_Components!$A$2:$F$6,3,FALSE()))</f>
        <v>0</v>
      </c>
      <c r="AC30" s="14" t="n">
        <f aca="false">IF(Z30=0,0,VLOOKUP(Z30,MIE_Components!$A$2:$F$6,4,FALSE()))</f>
        <v>0</v>
      </c>
      <c r="AD30" s="14" t="n">
        <f aca="false">IF(OR($A30="",Z30=0),0,MAX(5,Z30*IF(OR($A30=Parameters!$B$13,$A30=Parameters!$B$14),0.75,1)-(IF(AND($A30=DATE(2026,11,29),NOV29BF="Yes"),AA30,0)+IF(OR($A30=DATE(2026,11,29),$A30=DATE(2026,11,30),$A30=DATE(2026,12,1),$A30=DATE(2026,12,2)),AB30,0)+IF(OR($A30=DATE(2026,11,28),$A30=DATE(2026,12,1)),AC30,0))))</f>
        <v>0</v>
      </c>
      <c r="AE30" s="14" t="n">
        <f aca="false">IF(AND($A30&lt;&gt;"",$A30&lt;Parameters!$B$14),CityData!F6*(1+TAXRATE),0)</f>
        <v>0</v>
      </c>
      <c r="AF30" s="14" t="n">
        <f aca="false">IF($A30="",0,IFERROR(VLOOKUP((YEAR($A30)+IF(MONTH($A30)&gt;=10,1,0))&amp;"|Phoenix|"&amp;MONTH($A30),Rates!$A$2:$I$181,5,FALSE()),0))</f>
        <v>0</v>
      </c>
      <c r="AG30" s="14" t="n">
        <f aca="false">IF(OR($A30="",$A30&gt;=Parameters!$B$14),1,IF(AND(AF30&gt;0,CityData!F6&lt;=AF30),1,0))</f>
        <v>1</v>
      </c>
      <c r="AH30" s="14" t="n">
        <f aca="false">IF($A30="",0,IFERROR(VLOOKUP((YEAR($A30)+IF(MONTH($A30)&gt;=10,1,0))&amp;"|Seattle|"&amp;MONTH($A30),Rates!$A$2:$I$181,6,FALSE()),0))</f>
        <v>0</v>
      </c>
      <c r="AI30" s="14" t="n">
        <f aca="false">IF(AH30=0,0,VLOOKUP(AH30,MIE_Components!$A$2:$F$6,2,FALSE()))</f>
        <v>0</v>
      </c>
      <c r="AJ30" s="14" t="n">
        <f aca="false">IF(AH30=0,0,VLOOKUP(AH30,MIE_Components!$A$2:$F$6,3,FALSE()))</f>
        <v>0</v>
      </c>
      <c r="AK30" s="14" t="n">
        <f aca="false">IF(AH30=0,0,VLOOKUP(AH30,MIE_Components!$A$2:$F$6,4,FALSE()))</f>
        <v>0</v>
      </c>
      <c r="AL30" s="14" t="n">
        <f aca="false">IF(OR($A30="",AH30=0),0,MAX(5,AH30*IF(OR($A30=Parameters!$B$13,$A30=Parameters!$B$14),0.75,1)-(IF(AND($A30=DATE(2026,11,29),NOV29BF="Yes"),AI30,0)+IF(OR($A30=DATE(2026,11,29),$A30=DATE(2026,11,30),$A30=DATE(2026,12,1),$A30=DATE(2026,12,2)),AJ30,0)+IF(OR($A30=DATE(2026,11,28),$A30=DATE(2026,12,1)),AK30,0))))</f>
        <v>0</v>
      </c>
      <c r="AM30" s="14" t="n">
        <f aca="false">IF(AND($A30&lt;&gt;"",$A30&lt;Parameters!$B$14),CityData!F7*(1+TAXRATE),0)</f>
        <v>0</v>
      </c>
      <c r="AN30" s="14" t="n">
        <f aca="false">IF($A30="",0,IFERROR(VLOOKUP((YEAR($A30)+IF(MONTH($A30)&gt;=10,1,0))&amp;"|Seattle|"&amp;MONTH($A30),Rates!$A$2:$I$181,5,FALSE()),0))</f>
        <v>0</v>
      </c>
      <c r="AO30" s="14" t="n">
        <f aca="false">IF(OR($A30="",$A30&gt;=Parameters!$B$14),1,IF(AND(AN30&gt;0,CityData!F7&lt;=AN30),1,0))</f>
        <v>1</v>
      </c>
    </row>
    <row r="31" customFormat="false" ht="15" hidden="false" customHeight="true" outlineLevel="0" collapsed="false">
      <c r="A31" s="23" t="str">
        <f aca="false">IF(AND(Parameters!$B$14&gt;=Parameters!$B$13,ROW()-2&lt;=Parameters!$B$14-Parameters!$B$13),Parameters!$B$13+ROW()-2,"")</f>
        <v/>
      </c>
      <c r="B31" s="14" t="n">
        <f aca="false">IF($A31="",0,IFERROR(VLOOKUP((YEAR($A31)+IF(MONTH($A31)&gt;=10,1,0))&amp;"|Boston|"&amp;MONTH($A31),Rates!$A$2:$I$181,6,FALSE()),0))</f>
        <v>0</v>
      </c>
      <c r="C31" s="14" t="n">
        <f aca="false">IF(B31=0,0,VLOOKUP(B31,MIE_Components!$A$2:$F$6,2,FALSE()))</f>
        <v>0</v>
      </c>
      <c r="D31" s="14" t="n">
        <f aca="false">IF(B31=0,0,VLOOKUP(B31,MIE_Components!$A$2:$F$6,3,FALSE()))</f>
        <v>0</v>
      </c>
      <c r="E31" s="14" t="n">
        <f aca="false">IF(B31=0,0,VLOOKUP(B31,MIE_Components!$A$2:$F$6,4,FALSE()))</f>
        <v>0</v>
      </c>
      <c r="F31" s="14" t="n">
        <f aca="false">IF(OR($A31="",B31=0),0,MAX(5,B31*IF(OR($A31=Parameters!$B$13,$A31=Parameters!$B$14),0.75,1)-(IF(AND($A31=DATE(2026,11,29),NOV29BF="Yes"),C31,0)+IF(OR($A31=DATE(2026,11,29),$A31=DATE(2026,11,30),$A31=DATE(2026,12,1),$A31=DATE(2026,12,2)),D31,0)+IF(OR($A31=DATE(2026,11,28),$A31=DATE(2026,12,1)),E31,0))))</f>
        <v>0</v>
      </c>
      <c r="G31" s="14" t="n">
        <f aca="false">IF(AND($A31&lt;&gt;"",$A31&lt;Parameters!$B$14),CityData!F3*(1+TAXRATE),0)</f>
        <v>0</v>
      </c>
      <c r="H31" s="14" t="n">
        <f aca="false">IF($A31="",0,IFERROR(VLOOKUP((YEAR($A31)+IF(MONTH($A31)&gt;=10,1,0))&amp;"|Boston|"&amp;MONTH($A31),Rates!$A$2:$I$181,5,FALSE()),0))</f>
        <v>0</v>
      </c>
      <c r="I31" s="14" t="n">
        <f aca="false">IF(OR($A31="",$A31&gt;=Parameters!$B$14),1,IF(AND(H31&gt;0,CityData!F3&lt;=H31),1,0))</f>
        <v>1</v>
      </c>
      <c r="J31" s="14" t="n">
        <f aca="false">IF($A31="",0,IFERROR(VLOOKUP((YEAR($A31)+IF(MONTH($A31)&gt;=10,1,0))&amp;"|Chicago|"&amp;MONTH($A31),Rates!$A$2:$I$181,6,FALSE()),0))</f>
        <v>0</v>
      </c>
      <c r="K31" s="14" t="n">
        <f aca="false">IF(J31=0,0,VLOOKUP(J31,MIE_Components!$A$2:$F$6,2,FALSE()))</f>
        <v>0</v>
      </c>
      <c r="L31" s="14" t="n">
        <f aca="false">IF(J31=0,0,VLOOKUP(J31,MIE_Components!$A$2:$F$6,3,FALSE()))</f>
        <v>0</v>
      </c>
      <c r="M31" s="14" t="n">
        <f aca="false">IF(J31=0,0,VLOOKUP(J31,MIE_Components!$A$2:$F$6,4,FALSE()))</f>
        <v>0</v>
      </c>
      <c r="N31" s="14" t="n">
        <f aca="false">IF(OR($A31="",J31=0),0,MAX(5,J31*IF(OR($A31=Parameters!$B$13,$A31=Parameters!$B$14),0.75,1)-(IF(AND($A31=DATE(2026,11,29),NOV29BF="Yes"),K31,0)+IF(OR($A31=DATE(2026,11,29),$A31=DATE(2026,11,30),$A31=DATE(2026,12,1),$A31=DATE(2026,12,2)),L31,0)+IF(OR($A31=DATE(2026,11,28),$A31=DATE(2026,12,1)),M31,0))))</f>
        <v>0</v>
      </c>
      <c r="O31" s="14" t="n">
        <f aca="false">IF(AND($A31&lt;&gt;"",$A31&lt;Parameters!$B$14),CityData!F4*(1+TAXRATE),0)</f>
        <v>0</v>
      </c>
      <c r="P31" s="14" t="n">
        <f aca="false">IF($A31="",0,IFERROR(VLOOKUP((YEAR($A31)+IF(MONTH($A31)&gt;=10,1,0))&amp;"|Chicago|"&amp;MONTH($A31),Rates!$A$2:$I$181,5,FALSE()),0))</f>
        <v>0</v>
      </c>
      <c r="Q31" s="14" t="n">
        <f aca="false">IF(OR($A31="",$A31&gt;=Parameters!$B$14),1,IF(AND(P31&gt;0,CityData!F4&lt;=P31),1,0))</f>
        <v>1</v>
      </c>
      <c r="R31" s="14" t="n">
        <f aca="false">IF($A31="",0,IFERROR(VLOOKUP((YEAR($A31)+IF(MONTH($A31)&gt;=10,1,0))&amp;"|Denver|"&amp;MONTH($A31),Rates!$A$2:$I$181,6,FALSE()),0))</f>
        <v>0</v>
      </c>
      <c r="S31" s="14" t="n">
        <f aca="false">IF(R31=0,0,VLOOKUP(R31,MIE_Components!$A$2:$F$6,2,FALSE()))</f>
        <v>0</v>
      </c>
      <c r="T31" s="14" t="n">
        <f aca="false">IF(R31=0,0,VLOOKUP(R31,MIE_Components!$A$2:$F$6,3,FALSE()))</f>
        <v>0</v>
      </c>
      <c r="U31" s="14" t="n">
        <f aca="false">IF(R31=0,0,VLOOKUP(R31,MIE_Components!$A$2:$F$6,4,FALSE()))</f>
        <v>0</v>
      </c>
      <c r="V31" s="14" t="n">
        <f aca="false">IF(OR($A31="",R31=0),0,MAX(5,R31*IF(OR($A31=Parameters!$B$13,$A31=Parameters!$B$14),0.75,1)-(IF(AND($A31=DATE(2026,11,29),NOV29BF="Yes"),S31,0)+IF(OR($A31=DATE(2026,11,29),$A31=DATE(2026,11,30),$A31=DATE(2026,12,1),$A31=DATE(2026,12,2)),T31,0)+IF(OR($A31=DATE(2026,11,28),$A31=DATE(2026,12,1)),U31,0))))</f>
        <v>0</v>
      </c>
      <c r="W31" s="14" t="n">
        <f aca="false">IF(AND($A31&lt;&gt;"",$A31&lt;Parameters!$B$14),CityData!F5*(1+TAXRATE),0)</f>
        <v>0</v>
      </c>
      <c r="X31" s="14" t="n">
        <f aca="false">IF($A31="",0,IFERROR(VLOOKUP((YEAR($A31)+IF(MONTH($A31)&gt;=10,1,0))&amp;"|Denver|"&amp;MONTH($A31),Rates!$A$2:$I$181,5,FALSE()),0))</f>
        <v>0</v>
      </c>
      <c r="Y31" s="14" t="n">
        <f aca="false">IF(OR($A31="",$A31&gt;=Parameters!$B$14),1,IF(AND(X31&gt;0,CityData!F5&lt;=X31),1,0))</f>
        <v>1</v>
      </c>
      <c r="Z31" s="14" t="n">
        <f aca="false">IF($A31="",0,IFERROR(VLOOKUP((YEAR($A31)+IF(MONTH($A31)&gt;=10,1,0))&amp;"|Phoenix|"&amp;MONTH($A31),Rates!$A$2:$I$181,6,FALSE()),0))</f>
        <v>0</v>
      </c>
      <c r="AA31" s="14" t="n">
        <f aca="false">IF(Z31=0,0,VLOOKUP(Z31,MIE_Components!$A$2:$F$6,2,FALSE()))</f>
        <v>0</v>
      </c>
      <c r="AB31" s="14" t="n">
        <f aca="false">IF(Z31=0,0,VLOOKUP(Z31,MIE_Components!$A$2:$F$6,3,FALSE()))</f>
        <v>0</v>
      </c>
      <c r="AC31" s="14" t="n">
        <f aca="false">IF(Z31=0,0,VLOOKUP(Z31,MIE_Components!$A$2:$F$6,4,FALSE()))</f>
        <v>0</v>
      </c>
      <c r="AD31" s="14" t="n">
        <f aca="false">IF(OR($A31="",Z31=0),0,MAX(5,Z31*IF(OR($A31=Parameters!$B$13,$A31=Parameters!$B$14),0.75,1)-(IF(AND($A31=DATE(2026,11,29),NOV29BF="Yes"),AA31,0)+IF(OR($A31=DATE(2026,11,29),$A31=DATE(2026,11,30),$A31=DATE(2026,12,1),$A31=DATE(2026,12,2)),AB31,0)+IF(OR($A31=DATE(2026,11,28),$A31=DATE(2026,12,1)),AC31,0))))</f>
        <v>0</v>
      </c>
      <c r="AE31" s="14" t="n">
        <f aca="false">IF(AND($A31&lt;&gt;"",$A31&lt;Parameters!$B$14),CityData!F6*(1+TAXRATE),0)</f>
        <v>0</v>
      </c>
      <c r="AF31" s="14" t="n">
        <f aca="false">IF($A31="",0,IFERROR(VLOOKUP((YEAR($A31)+IF(MONTH($A31)&gt;=10,1,0))&amp;"|Phoenix|"&amp;MONTH($A31),Rates!$A$2:$I$181,5,FALSE()),0))</f>
        <v>0</v>
      </c>
      <c r="AG31" s="14" t="n">
        <f aca="false">IF(OR($A31="",$A31&gt;=Parameters!$B$14),1,IF(AND(AF31&gt;0,CityData!F6&lt;=AF31),1,0))</f>
        <v>1</v>
      </c>
      <c r="AH31" s="14" t="n">
        <f aca="false">IF($A31="",0,IFERROR(VLOOKUP((YEAR($A31)+IF(MONTH($A31)&gt;=10,1,0))&amp;"|Seattle|"&amp;MONTH($A31),Rates!$A$2:$I$181,6,FALSE()),0))</f>
        <v>0</v>
      </c>
      <c r="AI31" s="14" t="n">
        <f aca="false">IF(AH31=0,0,VLOOKUP(AH31,MIE_Components!$A$2:$F$6,2,FALSE()))</f>
        <v>0</v>
      </c>
      <c r="AJ31" s="14" t="n">
        <f aca="false">IF(AH31=0,0,VLOOKUP(AH31,MIE_Components!$A$2:$F$6,3,FALSE()))</f>
        <v>0</v>
      </c>
      <c r="AK31" s="14" t="n">
        <f aca="false">IF(AH31=0,0,VLOOKUP(AH31,MIE_Components!$A$2:$F$6,4,FALSE()))</f>
        <v>0</v>
      </c>
      <c r="AL31" s="14" t="n">
        <f aca="false">IF(OR($A31="",AH31=0),0,MAX(5,AH31*IF(OR($A31=Parameters!$B$13,$A31=Parameters!$B$14),0.75,1)-(IF(AND($A31=DATE(2026,11,29),NOV29BF="Yes"),AI31,0)+IF(OR($A31=DATE(2026,11,29),$A31=DATE(2026,11,30),$A31=DATE(2026,12,1),$A31=DATE(2026,12,2)),AJ31,0)+IF(OR($A31=DATE(2026,11,28),$A31=DATE(2026,12,1)),AK31,0))))</f>
        <v>0</v>
      </c>
      <c r="AM31" s="14" t="n">
        <f aca="false">IF(AND($A31&lt;&gt;"",$A31&lt;Parameters!$B$14),CityData!F7*(1+TAXRATE),0)</f>
        <v>0</v>
      </c>
      <c r="AN31" s="14" t="n">
        <f aca="false">IF($A31="",0,IFERROR(VLOOKUP((YEAR($A31)+IF(MONTH($A31)&gt;=10,1,0))&amp;"|Seattle|"&amp;MONTH($A31),Rates!$A$2:$I$181,5,FALSE()),0))</f>
        <v>0</v>
      </c>
      <c r="AO31" s="14" t="n">
        <f aca="false">IF(OR($A31="",$A31&gt;=Parameters!$B$14),1,IF(AND(AN31&gt;0,CityData!F7&lt;=AN31),1,0))</f>
        <v>1</v>
      </c>
    </row>
    <row r="32" customFormat="false" ht="15" hidden="false" customHeight="true" outlineLevel="0" collapsed="false">
      <c r="A32" s="23" t="str">
        <f aca="false">IF(AND(Parameters!$B$14&gt;=Parameters!$B$13,ROW()-2&lt;=Parameters!$B$14-Parameters!$B$13),Parameters!$B$13+ROW()-2,"")</f>
        <v/>
      </c>
      <c r="B32" s="14" t="n">
        <f aca="false">IF($A32="",0,IFERROR(VLOOKUP((YEAR($A32)+IF(MONTH($A32)&gt;=10,1,0))&amp;"|Boston|"&amp;MONTH($A32),Rates!$A$2:$I$181,6,FALSE()),0))</f>
        <v>0</v>
      </c>
      <c r="C32" s="14" t="n">
        <f aca="false">IF(B32=0,0,VLOOKUP(B32,MIE_Components!$A$2:$F$6,2,FALSE()))</f>
        <v>0</v>
      </c>
      <c r="D32" s="14" t="n">
        <f aca="false">IF(B32=0,0,VLOOKUP(B32,MIE_Components!$A$2:$F$6,3,FALSE()))</f>
        <v>0</v>
      </c>
      <c r="E32" s="14" t="n">
        <f aca="false">IF(B32=0,0,VLOOKUP(B32,MIE_Components!$A$2:$F$6,4,FALSE()))</f>
        <v>0</v>
      </c>
      <c r="F32" s="14" t="n">
        <f aca="false">IF(OR($A32="",B32=0),0,MAX(5,B32*IF(OR($A32=Parameters!$B$13,$A32=Parameters!$B$14),0.75,1)-(IF(AND($A32=DATE(2026,11,29),NOV29BF="Yes"),C32,0)+IF(OR($A32=DATE(2026,11,29),$A32=DATE(2026,11,30),$A32=DATE(2026,12,1),$A32=DATE(2026,12,2)),D32,0)+IF(OR($A32=DATE(2026,11,28),$A32=DATE(2026,12,1)),E32,0))))</f>
        <v>0</v>
      </c>
      <c r="G32" s="14" t="n">
        <f aca="false">IF(AND($A32&lt;&gt;"",$A32&lt;Parameters!$B$14),CityData!F3*(1+TAXRATE),0)</f>
        <v>0</v>
      </c>
      <c r="H32" s="14" t="n">
        <f aca="false">IF($A32="",0,IFERROR(VLOOKUP((YEAR($A32)+IF(MONTH($A32)&gt;=10,1,0))&amp;"|Boston|"&amp;MONTH($A32),Rates!$A$2:$I$181,5,FALSE()),0))</f>
        <v>0</v>
      </c>
      <c r="I32" s="14" t="n">
        <f aca="false">IF(OR($A32="",$A32&gt;=Parameters!$B$14),1,IF(AND(H32&gt;0,CityData!F3&lt;=H32),1,0))</f>
        <v>1</v>
      </c>
      <c r="J32" s="14" t="n">
        <f aca="false">IF($A32="",0,IFERROR(VLOOKUP((YEAR($A32)+IF(MONTH($A32)&gt;=10,1,0))&amp;"|Chicago|"&amp;MONTH($A32),Rates!$A$2:$I$181,6,FALSE()),0))</f>
        <v>0</v>
      </c>
      <c r="K32" s="14" t="n">
        <f aca="false">IF(J32=0,0,VLOOKUP(J32,MIE_Components!$A$2:$F$6,2,FALSE()))</f>
        <v>0</v>
      </c>
      <c r="L32" s="14" t="n">
        <f aca="false">IF(J32=0,0,VLOOKUP(J32,MIE_Components!$A$2:$F$6,3,FALSE()))</f>
        <v>0</v>
      </c>
      <c r="M32" s="14" t="n">
        <f aca="false">IF(J32=0,0,VLOOKUP(J32,MIE_Components!$A$2:$F$6,4,FALSE()))</f>
        <v>0</v>
      </c>
      <c r="N32" s="14" t="n">
        <f aca="false">IF(OR($A32="",J32=0),0,MAX(5,J32*IF(OR($A32=Parameters!$B$13,$A32=Parameters!$B$14),0.75,1)-(IF(AND($A32=DATE(2026,11,29),NOV29BF="Yes"),K32,0)+IF(OR($A32=DATE(2026,11,29),$A32=DATE(2026,11,30),$A32=DATE(2026,12,1),$A32=DATE(2026,12,2)),L32,0)+IF(OR($A32=DATE(2026,11,28),$A32=DATE(2026,12,1)),M32,0))))</f>
        <v>0</v>
      </c>
      <c r="O32" s="14" t="n">
        <f aca="false">IF(AND($A32&lt;&gt;"",$A32&lt;Parameters!$B$14),CityData!F4*(1+TAXRATE),0)</f>
        <v>0</v>
      </c>
      <c r="P32" s="14" t="n">
        <f aca="false">IF($A32="",0,IFERROR(VLOOKUP((YEAR($A32)+IF(MONTH($A32)&gt;=10,1,0))&amp;"|Chicago|"&amp;MONTH($A32),Rates!$A$2:$I$181,5,FALSE()),0))</f>
        <v>0</v>
      </c>
      <c r="Q32" s="14" t="n">
        <f aca="false">IF(OR($A32="",$A32&gt;=Parameters!$B$14),1,IF(AND(P32&gt;0,CityData!F4&lt;=P32),1,0))</f>
        <v>1</v>
      </c>
      <c r="R32" s="14" t="n">
        <f aca="false">IF($A32="",0,IFERROR(VLOOKUP((YEAR($A32)+IF(MONTH($A32)&gt;=10,1,0))&amp;"|Denver|"&amp;MONTH($A32),Rates!$A$2:$I$181,6,FALSE()),0))</f>
        <v>0</v>
      </c>
      <c r="S32" s="14" t="n">
        <f aca="false">IF(R32=0,0,VLOOKUP(R32,MIE_Components!$A$2:$F$6,2,FALSE()))</f>
        <v>0</v>
      </c>
      <c r="T32" s="14" t="n">
        <f aca="false">IF(R32=0,0,VLOOKUP(R32,MIE_Components!$A$2:$F$6,3,FALSE()))</f>
        <v>0</v>
      </c>
      <c r="U32" s="14" t="n">
        <f aca="false">IF(R32=0,0,VLOOKUP(R32,MIE_Components!$A$2:$F$6,4,FALSE()))</f>
        <v>0</v>
      </c>
      <c r="V32" s="14" t="n">
        <f aca="false">IF(OR($A32="",R32=0),0,MAX(5,R32*IF(OR($A32=Parameters!$B$13,$A32=Parameters!$B$14),0.75,1)-(IF(AND($A32=DATE(2026,11,29),NOV29BF="Yes"),S32,0)+IF(OR($A32=DATE(2026,11,29),$A32=DATE(2026,11,30),$A32=DATE(2026,12,1),$A32=DATE(2026,12,2)),T32,0)+IF(OR($A32=DATE(2026,11,28),$A32=DATE(2026,12,1)),U32,0))))</f>
        <v>0</v>
      </c>
      <c r="W32" s="14" t="n">
        <f aca="false">IF(AND($A32&lt;&gt;"",$A32&lt;Parameters!$B$14),CityData!F5*(1+TAXRATE),0)</f>
        <v>0</v>
      </c>
      <c r="X32" s="14" t="n">
        <f aca="false">IF($A32="",0,IFERROR(VLOOKUP((YEAR($A32)+IF(MONTH($A32)&gt;=10,1,0))&amp;"|Denver|"&amp;MONTH($A32),Rates!$A$2:$I$181,5,FALSE()),0))</f>
        <v>0</v>
      </c>
      <c r="Y32" s="14" t="n">
        <f aca="false">IF(OR($A32="",$A32&gt;=Parameters!$B$14),1,IF(AND(X32&gt;0,CityData!F5&lt;=X32),1,0))</f>
        <v>1</v>
      </c>
      <c r="Z32" s="14" t="n">
        <f aca="false">IF($A32="",0,IFERROR(VLOOKUP((YEAR($A32)+IF(MONTH($A32)&gt;=10,1,0))&amp;"|Phoenix|"&amp;MONTH($A32),Rates!$A$2:$I$181,6,FALSE()),0))</f>
        <v>0</v>
      </c>
      <c r="AA32" s="14" t="n">
        <f aca="false">IF(Z32=0,0,VLOOKUP(Z32,MIE_Components!$A$2:$F$6,2,FALSE()))</f>
        <v>0</v>
      </c>
      <c r="AB32" s="14" t="n">
        <f aca="false">IF(Z32=0,0,VLOOKUP(Z32,MIE_Components!$A$2:$F$6,3,FALSE()))</f>
        <v>0</v>
      </c>
      <c r="AC32" s="14" t="n">
        <f aca="false">IF(Z32=0,0,VLOOKUP(Z32,MIE_Components!$A$2:$F$6,4,FALSE()))</f>
        <v>0</v>
      </c>
      <c r="AD32" s="14" t="n">
        <f aca="false">IF(OR($A32="",Z32=0),0,MAX(5,Z32*IF(OR($A32=Parameters!$B$13,$A32=Parameters!$B$14),0.75,1)-(IF(AND($A32=DATE(2026,11,29),NOV29BF="Yes"),AA32,0)+IF(OR($A32=DATE(2026,11,29),$A32=DATE(2026,11,30),$A32=DATE(2026,12,1),$A32=DATE(2026,12,2)),AB32,0)+IF(OR($A32=DATE(2026,11,28),$A32=DATE(2026,12,1)),AC32,0))))</f>
        <v>0</v>
      </c>
      <c r="AE32" s="14" t="n">
        <f aca="false">IF(AND($A32&lt;&gt;"",$A32&lt;Parameters!$B$14),CityData!F6*(1+TAXRATE),0)</f>
        <v>0</v>
      </c>
      <c r="AF32" s="14" t="n">
        <f aca="false">IF($A32="",0,IFERROR(VLOOKUP((YEAR($A32)+IF(MONTH($A32)&gt;=10,1,0))&amp;"|Phoenix|"&amp;MONTH($A32),Rates!$A$2:$I$181,5,FALSE()),0))</f>
        <v>0</v>
      </c>
      <c r="AG32" s="14" t="n">
        <f aca="false">IF(OR($A32="",$A32&gt;=Parameters!$B$14),1,IF(AND(AF32&gt;0,CityData!F6&lt;=AF32),1,0))</f>
        <v>1</v>
      </c>
      <c r="AH32" s="14" t="n">
        <f aca="false">IF($A32="",0,IFERROR(VLOOKUP((YEAR($A32)+IF(MONTH($A32)&gt;=10,1,0))&amp;"|Seattle|"&amp;MONTH($A32),Rates!$A$2:$I$181,6,FALSE()),0))</f>
        <v>0</v>
      </c>
      <c r="AI32" s="14" t="n">
        <f aca="false">IF(AH32=0,0,VLOOKUP(AH32,MIE_Components!$A$2:$F$6,2,FALSE()))</f>
        <v>0</v>
      </c>
      <c r="AJ32" s="14" t="n">
        <f aca="false">IF(AH32=0,0,VLOOKUP(AH32,MIE_Components!$A$2:$F$6,3,FALSE()))</f>
        <v>0</v>
      </c>
      <c r="AK32" s="14" t="n">
        <f aca="false">IF(AH32=0,0,VLOOKUP(AH32,MIE_Components!$A$2:$F$6,4,FALSE()))</f>
        <v>0</v>
      </c>
      <c r="AL32" s="14" t="n">
        <f aca="false">IF(OR($A32="",AH32=0),0,MAX(5,AH32*IF(OR($A32=Parameters!$B$13,$A32=Parameters!$B$14),0.75,1)-(IF(AND($A32=DATE(2026,11,29),NOV29BF="Yes"),AI32,0)+IF(OR($A32=DATE(2026,11,29),$A32=DATE(2026,11,30),$A32=DATE(2026,12,1),$A32=DATE(2026,12,2)),AJ32,0)+IF(OR($A32=DATE(2026,11,28),$A32=DATE(2026,12,1)),AK32,0))))</f>
        <v>0</v>
      </c>
      <c r="AM32" s="14" t="n">
        <f aca="false">IF(AND($A32&lt;&gt;"",$A32&lt;Parameters!$B$14),CityData!F7*(1+TAXRATE),0)</f>
        <v>0</v>
      </c>
      <c r="AN32" s="14" t="n">
        <f aca="false">IF($A32="",0,IFERROR(VLOOKUP((YEAR($A32)+IF(MONTH($A32)&gt;=10,1,0))&amp;"|Seattle|"&amp;MONTH($A32),Rates!$A$2:$I$181,5,FALSE()),0))</f>
        <v>0</v>
      </c>
      <c r="AO32" s="14" t="n">
        <f aca="false">IF(OR($A32="",$A32&gt;=Parameters!$B$14),1,IF(AND(AN32&gt;0,CityData!F7&lt;=AN32),1,0))</f>
        <v>1</v>
      </c>
    </row>
    <row r="33" customFormat="false" ht="15" hidden="false" customHeight="true" outlineLevel="0" collapsed="false">
      <c r="A33" s="23" t="str">
        <f aca="false">IF(AND(Parameters!$B$14&gt;=Parameters!$B$13,ROW()-2&lt;=Parameters!$B$14-Parameters!$B$13),Parameters!$B$13+ROW()-2,"")</f>
        <v/>
      </c>
      <c r="B33" s="14" t="n">
        <f aca="false">IF($A33="",0,IFERROR(VLOOKUP((YEAR($A33)+IF(MONTH($A33)&gt;=10,1,0))&amp;"|Boston|"&amp;MONTH($A33),Rates!$A$2:$I$181,6,FALSE()),0))</f>
        <v>0</v>
      </c>
      <c r="C33" s="14" t="n">
        <f aca="false">IF(B33=0,0,VLOOKUP(B33,MIE_Components!$A$2:$F$6,2,FALSE()))</f>
        <v>0</v>
      </c>
      <c r="D33" s="14" t="n">
        <f aca="false">IF(B33=0,0,VLOOKUP(B33,MIE_Components!$A$2:$F$6,3,FALSE()))</f>
        <v>0</v>
      </c>
      <c r="E33" s="14" t="n">
        <f aca="false">IF(B33=0,0,VLOOKUP(B33,MIE_Components!$A$2:$F$6,4,FALSE()))</f>
        <v>0</v>
      </c>
      <c r="F33" s="14" t="n">
        <f aca="false">IF(OR($A33="",B33=0),0,MAX(5,B33*IF(OR($A33=Parameters!$B$13,$A33=Parameters!$B$14),0.75,1)-(IF(AND($A33=DATE(2026,11,29),NOV29BF="Yes"),C33,0)+IF(OR($A33=DATE(2026,11,29),$A33=DATE(2026,11,30),$A33=DATE(2026,12,1),$A33=DATE(2026,12,2)),D33,0)+IF(OR($A33=DATE(2026,11,28),$A33=DATE(2026,12,1)),E33,0))))</f>
        <v>0</v>
      </c>
      <c r="G33" s="14" t="n">
        <f aca="false">IF(AND($A33&lt;&gt;"",$A33&lt;Parameters!$B$14),CityData!F3*(1+TAXRATE),0)</f>
        <v>0</v>
      </c>
      <c r="H33" s="14" t="n">
        <f aca="false">IF($A33="",0,IFERROR(VLOOKUP((YEAR($A33)+IF(MONTH($A33)&gt;=10,1,0))&amp;"|Boston|"&amp;MONTH($A33),Rates!$A$2:$I$181,5,FALSE()),0))</f>
        <v>0</v>
      </c>
      <c r="I33" s="14" t="n">
        <f aca="false">IF(OR($A33="",$A33&gt;=Parameters!$B$14),1,IF(AND(H33&gt;0,CityData!F3&lt;=H33),1,0))</f>
        <v>1</v>
      </c>
      <c r="J33" s="14" t="n">
        <f aca="false">IF($A33="",0,IFERROR(VLOOKUP((YEAR($A33)+IF(MONTH($A33)&gt;=10,1,0))&amp;"|Chicago|"&amp;MONTH($A33),Rates!$A$2:$I$181,6,FALSE()),0))</f>
        <v>0</v>
      </c>
      <c r="K33" s="14" t="n">
        <f aca="false">IF(J33=0,0,VLOOKUP(J33,MIE_Components!$A$2:$F$6,2,FALSE()))</f>
        <v>0</v>
      </c>
      <c r="L33" s="14" t="n">
        <f aca="false">IF(J33=0,0,VLOOKUP(J33,MIE_Components!$A$2:$F$6,3,FALSE()))</f>
        <v>0</v>
      </c>
      <c r="M33" s="14" t="n">
        <f aca="false">IF(J33=0,0,VLOOKUP(J33,MIE_Components!$A$2:$F$6,4,FALSE()))</f>
        <v>0</v>
      </c>
      <c r="N33" s="14" t="n">
        <f aca="false">IF(OR($A33="",J33=0),0,MAX(5,J33*IF(OR($A33=Parameters!$B$13,$A33=Parameters!$B$14),0.75,1)-(IF(AND($A33=DATE(2026,11,29),NOV29BF="Yes"),K33,0)+IF(OR($A33=DATE(2026,11,29),$A33=DATE(2026,11,30),$A33=DATE(2026,12,1),$A33=DATE(2026,12,2)),L33,0)+IF(OR($A33=DATE(2026,11,28),$A33=DATE(2026,12,1)),M33,0))))</f>
        <v>0</v>
      </c>
      <c r="O33" s="14" t="n">
        <f aca="false">IF(AND($A33&lt;&gt;"",$A33&lt;Parameters!$B$14),CityData!F4*(1+TAXRATE),0)</f>
        <v>0</v>
      </c>
      <c r="P33" s="14" t="n">
        <f aca="false">IF($A33="",0,IFERROR(VLOOKUP((YEAR($A33)+IF(MONTH($A33)&gt;=10,1,0))&amp;"|Chicago|"&amp;MONTH($A33),Rates!$A$2:$I$181,5,FALSE()),0))</f>
        <v>0</v>
      </c>
      <c r="Q33" s="14" t="n">
        <f aca="false">IF(OR($A33="",$A33&gt;=Parameters!$B$14),1,IF(AND(P33&gt;0,CityData!F4&lt;=P33),1,0))</f>
        <v>1</v>
      </c>
      <c r="R33" s="14" t="n">
        <f aca="false">IF($A33="",0,IFERROR(VLOOKUP((YEAR($A33)+IF(MONTH($A33)&gt;=10,1,0))&amp;"|Denver|"&amp;MONTH($A33),Rates!$A$2:$I$181,6,FALSE()),0))</f>
        <v>0</v>
      </c>
      <c r="S33" s="14" t="n">
        <f aca="false">IF(R33=0,0,VLOOKUP(R33,MIE_Components!$A$2:$F$6,2,FALSE()))</f>
        <v>0</v>
      </c>
      <c r="T33" s="14" t="n">
        <f aca="false">IF(R33=0,0,VLOOKUP(R33,MIE_Components!$A$2:$F$6,3,FALSE()))</f>
        <v>0</v>
      </c>
      <c r="U33" s="14" t="n">
        <f aca="false">IF(R33=0,0,VLOOKUP(R33,MIE_Components!$A$2:$F$6,4,FALSE()))</f>
        <v>0</v>
      </c>
      <c r="V33" s="14" t="n">
        <f aca="false">IF(OR($A33="",R33=0),0,MAX(5,R33*IF(OR($A33=Parameters!$B$13,$A33=Parameters!$B$14),0.75,1)-(IF(AND($A33=DATE(2026,11,29),NOV29BF="Yes"),S33,0)+IF(OR($A33=DATE(2026,11,29),$A33=DATE(2026,11,30),$A33=DATE(2026,12,1),$A33=DATE(2026,12,2)),T33,0)+IF(OR($A33=DATE(2026,11,28),$A33=DATE(2026,12,1)),U33,0))))</f>
        <v>0</v>
      </c>
      <c r="W33" s="14" t="n">
        <f aca="false">IF(AND($A33&lt;&gt;"",$A33&lt;Parameters!$B$14),CityData!F5*(1+TAXRATE),0)</f>
        <v>0</v>
      </c>
      <c r="X33" s="14" t="n">
        <f aca="false">IF($A33="",0,IFERROR(VLOOKUP((YEAR($A33)+IF(MONTH($A33)&gt;=10,1,0))&amp;"|Denver|"&amp;MONTH($A33),Rates!$A$2:$I$181,5,FALSE()),0))</f>
        <v>0</v>
      </c>
      <c r="Y33" s="14" t="n">
        <f aca="false">IF(OR($A33="",$A33&gt;=Parameters!$B$14),1,IF(AND(X33&gt;0,CityData!F5&lt;=X33),1,0))</f>
        <v>1</v>
      </c>
      <c r="Z33" s="14" t="n">
        <f aca="false">IF($A33="",0,IFERROR(VLOOKUP((YEAR($A33)+IF(MONTH($A33)&gt;=10,1,0))&amp;"|Phoenix|"&amp;MONTH($A33),Rates!$A$2:$I$181,6,FALSE()),0))</f>
        <v>0</v>
      </c>
      <c r="AA33" s="14" t="n">
        <f aca="false">IF(Z33=0,0,VLOOKUP(Z33,MIE_Components!$A$2:$F$6,2,FALSE()))</f>
        <v>0</v>
      </c>
      <c r="AB33" s="14" t="n">
        <f aca="false">IF(Z33=0,0,VLOOKUP(Z33,MIE_Components!$A$2:$F$6,3,FALSE()))</f>
        <v>0</v>
      </c>
      <c r="AC33" s="14" t="n">
        <f aca="false">IF(Z33=0,0,VLOOKUP(Z33,MIE_Components!$A$2:$F$6,4,FALSE()))</f>
        <v>0</v>
      </c>
      <c r="AD33" s="14" t="n">
        <f aca="false">IF(OR($A33="",Z33=0),0,MAX(5,Z33*IF(OR($A33=Parameters!$B$13,$A33=Parameters!$B$14),0.75,1)-(IF(AND($A33=DATE(2026,11,29),NOV29BF="Yes"),AA33,0)+IF(OR($A33=DATE(2026,11,29),$A33=DATE(2026,11,30),$A33=DATE(2026,12,1),$A33=DATE(2026,12,2)),AB33,0)+IF(OR($A33=DATE(2026,11,28),$A33=DATE(2026,12,1)),AC33,0))))</f>
        <v>0</v>
      </c>
      <c r="AE33" s="14" t="n">
        <f aca="false">IF(AND($A33&lt;&gt;"",$A33&lt;Parameters!$B$14),CityData!F6*(1+TAXRATE),0)</f>
        <v>0</v>
      </c>
      <c r="AF33" s="14" t="n">
        <f aca="false">IF($A33="",0,IFERROR(VLOOKUP((YEAR($A33)+IF(MONTH($A33)&gt;=10,1,0))&amp;"|Phoenix|"&amp;MONTH($A33),Rates!$A$2:$I$181,5,FALSE()),0))</f>
        <v>0</v>
      </c>
      <c r="AG33" s="14" t="n">
        <f aca="false">IF(OR($A33="",$A33&gt;=Parameters!$B$14),1,IF(AND(AF33&gt;0,CityData!F6&lt;=AF33),1,0))</f>
        <v>1</v>
      </c>
      <c r="AH33" s="14" t="n">
        <f aca="false">IF($A33="",0,IFERROR(VLOOKUP((YEAR($A33)+IF(MONTH($A33)&gt;=10,1,0))&amp;"|Seattle|"&amp;MONTH($A33),Rates!$A$2:$I$181,6,FALSE()),0))</f>
        <v>0</v>
      </c>
      <c r="AI33" s="14" t="n">
        <f aca="false">IF(AH33=0,0,VLOOKUP(AH33,MIE_Components!$A$2:$F$6,2,FALSE()))</f>
        <v>0</v>
      </c>
      <c r="AJ33" s="14" t="n">
        <f aca="false">IF(AH33=0,0,VLOOKUP(AH33,MIE_Components!$A$2:$F$6,3,FALSE()))</f>
        <v>0</v>
      </c>
      <c r="AK33" s="14" t="n">
        <f aca="false">IF(AH33=0,0,VLOOKUP(AH33,MIE_Components!$A$2:$F$6,4,FALSE()))</f>
        <v>0</v>
      </c>
      <c r="AL33" s="14" t="n">
        <f aca="false">IF(OR($A33="",AH33=0),0,MAX(5,AH33*IF(OR($A33=Parameters!$B$13,$A33=Parameters!$B$14),0.75,1)-(IF(AND($A33=DATE(2026,11,29),NOV29BF="Yes"),AI33,0)+IF(OR($A33=DATE(2026,11,29),$A33=DATE(2026,11,30),$A33=DATE(2026,12,1),$A33=DATE(2026,12,2)),AJ33,0)+IF(OR($A33=DATE(2026,11,28),$A33=DATE(2026,12,1)),AK33,0))))</f>
        <v>0</v>
      </c>
      <c r="AM33" s="14" t="n">
        <f aca="false">IF(AND($A33&lt;&gt;"",$A33&lt;Parameters!$B$14),CityData!F7*(1+TAXRATE),0)</f>
        <v>0</v>
      </c>
      <c r="AN33" s="14" t="n">
        <f aca="false">IF($A33="",0,IFERROR(VLOOKUP((YEAR($A33)+IF(MONTH($A33)&gt;=10,1,0))&amp;"|Seattle|"&amp;MONTH($A33),Rates!$A$2:$I$181,5,FALSE()),0))</f>
        <v>0</v>
      </c>
      <c r="AO33" s="14" t="n">
        <f aca="false">IF(OR($A33="",$A33&gt;=Parameters!$B$14),1,IF(AND(AN33&gt;0,CityData!F7&lt;=AN33),1,0))</f>
        <v>1</v>
      </c>
    </row>
    <row r="34" customFormat="false" ht="15" hidden="false" customHeight="true" outlineLevel="0" collapsed="false">
      <c r="A34" s="23" t="str">
        <f aca="false">IF(AND(Parameters!$B$14&gt;=Parameters!$B$13,ROW()-2&lt;=Parameters!$B$14-Parameters!$B$13),Parameters!$B$13+ROW()-2,"")</f>
        <v/>
      </c>
      <c r="B34" s="14" t="n">
        <f aca="false">IF($A34="",0,IFERROR(VLOOKUP((YEAR($A34)+IF(MONTH($A34)&gt;=10,1,0))&amp;"|Boston|"&amp;MONTH($A34),Rates!$A$2:$I$181,6,FALSE()),0))</f>
        <v>0</v>
      </c>
      <c r="C34" s="14" t="n">
        <f aca="false">IF(B34=0,0,VLOOKUP(B34,MIE_Components!$A$2:$F$6,2,FALSE()))</f>
        <v>0</v>
      </c>
      <c r="D34" s="14" t="n">
        <f aca="false">IF(B34=0,0,VLOOKUP(B34,MIE_Components!$A$2:$F$6,3,FALSE()))</f>
        <v>0</v>
      </c>
      <c r="E34" s="14" t="n">
        <f aca="false">IF(B34=0,0,VLOOKUP(B34,MIE_Components!$A$2:$F$6,4,FALSE()))</f>
        <v>0</v>
      </c>
      <c r="F34" s="14" t="n">
        <f aca="false">IF(OR($A34="",B34=0),0,MAX(5,B34*IF(OR($A34=Parameters!$B$13,$A34=Parameters!$B$14),0.75,1)-(IF(AND($A34=DATE(2026,11,29),NOV29BF="Yes"),C34,0)+IF(OR($A34=DATE(2026,11,29),$A34=DATE(2026,11,30),$A34=DATE(2026,12,1),$A34=DATE(2026,12,2)),D34,0)+IF(OR($A34=DATE(2026,11,28),$A34=DATE(2026,12,1)),E34,0))))</f>
        <v>0</v>
      </c>
      <c r="G34" s="14" t="n">
        <f aca="false">IF(AND($A34&lt;&gt;"",$A34&lt;Parameters!$B$14),CityData!F3*(1+TAXRATE),0)</f>
        <v>0</v>
      </c>
      <c r="H34" s="14" t="n">
        <f aca="false">IF($A34="",0,IFERROR(VLOOKUP((YEAR($A34)+IF(MONTH($A34)&gt;=10,1,0))&amp;"|Boston|"&amp;MONTH($A34),Rates!$A$2:$I$181,5,FALSE()),0))</f>
        <v>0</v>
      </c>
      <c r="I34" s="14" t="n">
        <f aca="false">IF(OR($A34="",$A34&gt;=Parameters!$B$14),1,IF(AND(H34&gt;0,CityData!F3&lt;=H34),1,0))</f>
        <v>1</v>
      </c>
      <c r="J34" s="14" t="n">
        <f aca="false">IF($A34="",0,IFERROR(VLOOKUP((YEAR($A34)+IF(MONTH($A34)&gt;=10,1,0))&amp;"|Chicago|"&amp;MONTH($A34),Rates!$A$2:$I$181,6,FALSE()),0))</f>
        <v>0</v>
      </c>
      <c r="K34" s="14" t="n">
        <f aca="false">IF(J34=0,0,VLOOKUP(J34,MIE_Components!$A$2:$F$6,2,FALSE()))</f>
        <v>0</v>
      </c>
      <c r="L34" s="14" t="n">
        <f aca="false">IF(J34=0,0,VLOOKUP(J34,MIE_Components!$A$2:$F$6,3,FALSE()))</f>
        <v>0</v>
      </c>
      <c r="M34" s="14" t="n">
        <f aca="false">IF(J34=0,0,VLOOKUP(J34,MIE_Components!$A$2:$F$6,4,FALSE()))</f>
        <v>0</v>
      </c>
      <c r="N34" s="14" t="n">
        <f aca="false">IF(OR($A34="",J34=0),0,MAX(5,J34*IF(OR($A34=Parameters!$B$13,$A34=Parameters!$B$14),0.75,1)-(IF(AND($A34=DATE(2026,11,29),NOV29BF="Yes"),K34,0)+IF(OR($A34=DATE(2026,11,29),$A34=DATE(2026,11,30),$A34=DATE(2026,12,1),$A34=DATE(2026,12,2)),L34,0)+IF(OR($A34=DATE(2026,11,28),$A34=DATE(2026,12,1)),M34,0))))</f>
        <v>0</v>
      </c>
      <c r="O34" s="14" t="n">
        <f aca="false">IF(AND($A34&lt;&gt;"",$A34&lt;Parameters!$B$14),CityData!F4*(1+TAXRATE),0)</f>
        <v>0</v>
      </c>
      <c r="P34" s="14" t="n">
        <f aca="false">IF($A34="",0,IFERROR(VLOOKUP((YEAR($A34)+IF(MONTH($A34)&gt;=10,1,0))&amp;"|Chicago|"&amp;MONTH($A34),Rates!$A$2:$I$181,5,FALSE()),0))</f>
        <v>0</v>
      </c>
      <c r="Q34" s="14" t="n">
        <f aca="false">IF(OR($A34="",$A34&gt;=Parameters!$B$14),1,IF(AND(P34&gt;0,CityData!F4&lt;=P34),1,0))</f>
        <v>1</v>
      </c>
      <c r="R34" s="14" t="n">
        <f aca="false">IF($A34="",0,IFERROR(VLOOKUP((YEAR($A34)+IF(MONTH($A34)&gt;=10,1,0))&amp;"|Denver|"&amp;MONTH($A34),Rates!$A$2:$I$181,6,FALSE()),0))</f>
        <v>0</v>
      </c>
      <c r="S34" s="14" t="n">
        <f aca="false">IF(R34=0,0,VLOOKUP(R34,MIE_Components!$A$2:$F$6,2,FALSE()))</f>
        <v>0</v>
      </c>
      <c r="T34" s="14" t="n">
        <f aca="false">IF(R34=0,0,VLOOKUP(R34,MIE_Components!$A$2:$F$6,3,FALSE()))</f>
        <v>0</v>
      </c>
      <c r="U34" s="14" t="n">
        <f aca="false">IF(R34=0,0,VLOOKUP(R34,MIE_Components!$A$2:$F$6,4,FALSE()))</f>
        <v>0</v>
      </c>
      <c r="V34" s="14" t="n">
        <f aca="false">IF(OR($A34="",R34=0),0,MAX(5,R34*IF(OR($A34=Parameters!$B$13,$A34=Parameters!$B$14),0.75,1)-(IF(AND($A34=DATE(2026,11,29),NOV29BF="Yes"),S34,0)+IF(OR($A34=DATE(2026,11,29),$A34=DATE(2026,11,30),$A34=DATE(2026,12,1),$A34=DATE(2026,12,2)),T34,0)+IF(OR($A34=DATE(2026,11,28),$A34=DATE(2026,12,1)),U34,0))))</f>
        <v>0</v>
      </c>
      <c r="W34" s="14" t="n">
        <f aca="false">IF(AND($A34&lt;&gt;"",$A34&lt;Parameters!$B$14),CityData!F5*(1+TAXRATE),0)</f>
        <v>0</v>
      </c>
      <c r="X34" s="14" t="n">
        <f aca="false">IF($A34="",0,IFERROR(VLOOKUP((YEAR($A34)+IF(MONTH($A34)&gt;=10,1,0))&amp;"|Denver|"&amp;MONTH($A34),Rates!$A$2:$I$181,5,FALSE()),0))</f>
        <v>0</v>
      </c>
      <c r="Y34" s="14" t="n">
        <f aca="false">IF(OR($A34="",$A34&gt;=Parameters!$B$14),1,IF(AND(X34&gt;0,CityData!F5&lt;=X34),1,0))</f>
        <v>1</v>
      </c>
      <c r="Z34" s="14" t="n">
        <f aca="false">IF($A34="",0,IFERROR(VLOOKUP((YEAR($A34)+IF(MONTH($A34)&gt;=10,1,0))&amp;"|Phoenix|"&amp;MONTH($A34),Rates!$A$2:$I$181,6,FALSE()),0))</f>
        <v>0</v>
      </c>
      <c r="AA34" s="14" t="n">
        <f aca="false">IF(Z34=0,0,VLOOKUP(Z34,MIE_Components!$A$2:$F$6,2,FALSE()))</f>
        <v>0</v>
      </c>
      <c r="AB34" s="14" t="n">
        <f aca="false">IF(Z34=0,0,VLOOKUP(Z34,MIE_Components!$A$2:$F$6,3,FALSE()))</f>
        <v>0</v>
      </c>
      <c r="AC34" s="14" t="n">
        <f aca="false">IF(Z34=0,0,VLOOKUP(Z34,MIE_Components!$A$2:$F$6,4,FALSE()))</f>
        <v>0</v>
      </c>
      <c r="AD34" s="14" t="n">
        <f aca="false">IF(OR($A34="",Z34=0),0,MAX(5,Z34*IF(OR($A34=Parameters!$B$13,$A34=Parameters!$B$14),0.75,1)-(IF(AND($A34=DATE(2026,11,29),NOV29BF="Yes"),AA34,0)+IF(OR($A34=DATE(2026,11,29),$A34=DATE(2026,11,30),$A34=DATE(2026,12,1),$A34=DATE(2026,12,2)),AB34,0)+IF(OR($A34=DATE(2026,11,28),$A34=DATE(2026,12,1)),AC34,0))))</f>
        <v>0</v>
      </c>
      <c r="AE34" s="14" t="n">
        <f aca="false">IF(AND($A34&lt;&gt;"",$A34&lt;Parameters!$B$14),CityData!F6*(1+TAXRATE),0)</f>
        <v>0</v>
      </c>
      <c r="AF34" s="14" t="n">
        <f aca="false">IF($A34="",0,IFERROR(VLOOKUP((YEAR($A34)+IF(MONTH($A34)&gt;=10,1,0))&amp;"|Phoenix|"&amp;MONTH($A34),Rates!$A$2:$I$181,5,FALSE()),0))</f>
        <v>0</v>
      </c>
      <c r="AG34" s="14" t="n">
        <f aca="false">IF(OR($A34="",$A34&gt;=Parameters!$B$14),1,IF(AND(AF34&gt;0,CityData!F6&lt;=AF34),1,0))</f>
        <v>1</v>
      </c>
      <c r="AH34" s="14" t="n">
        <f aca="false">IF($A34="",0,IFERROR(VLOOKUP((YEAR($A34)+IF(MONTH($A34)&gt;=10,1,0))&amp;"|Seattle|"&amp;MONTH($A34),Rates!$A$2:$I$181,6,FALSE()),0))</f>
        <v>0</v>
      </c>
      <c r="AI34" s="14" t="n">
        <f aca="false">IF(AH34=0,0,VLOOKUP(AH34,MIE_Components!$A$2:$F$6,2,FALSE()))</f>
        <v>0</v>
      </c>
      <c r="AJ34" s="14" t="n">
        <f aca="false">IF(AH34=0,0,VLOOKUP(AH34,MIE_Components!$A$2:$F$6,3,FALSE()))</f>
        <v>0</v>
      </c>
      <c r="AK34" s="14" t="n">
        <f aca="false">IF(AH34=0,0,VLOOKUP(AH34,MIE_Components!$A$2:$F$6,4,FALSE()))</f>
        <v>0</v>
      </c>
      <c r="AL34" s="14" t="n">
        <f aca="false">IF(OR($A34="",AH34=0),0,MAX(5,AH34*IF(OR($A34=Parameters!$B$13,$A34=Parameters!$B$14),0.75,1)-(IF(AND($A34=DATE(2026,11,29),NOV29BF="Yes"),AI34,0)+IF(OR($A34=DATE(2026,11,29),$A34=DATE(2026,11,30),$A34=DATE(2026,12,1),$A34=DATE(2026,12,2)),AJ34,0)+IF(OR($A34=DATE(2026,11,28),$A34=DATE(2026,12,1)),AK34,0))))</f>
        <v>0</v>
      </c>
      <c r="AM34" s="14" t="n">
        <f aca="false">IF(AND($A34&lt;&gt;"",$A34&lt;Parameters!$B$14),CityData!F7*(1+TAXRATE),0)</f>
        <v>0</v>
      </c>
      <c r="AN34" s="14" t="n">
        <f aca="false">IF($A34="",0,IFERROR(VLOOKUP((YEAR($A34)+IF(MONTH($A34)&gt;=10,1,0))&amp;"|Seattle|"&amp;MONTH($A34),Rates!$A$2:$I$181,5,FALSE()),0))</f>
        <v>0</v>
      </c>
      <c r="AO34" s="14" t="n">
        <f aca="false">IF(OR($A34="",$A34&gt;=Parameters!$B$14),1,IF(AND(AN34&gt;0,CityData!F7&lt;=AN34),1,0))</f>
        <v>1</v>
      </c>
    </row>
    <row r="35" customFormat="false" ht="15" hidden="false" customHeight="true" outlineLevel="0" collapsed="false">
      <c r="A35" s="23" t="str">
        <f aca="false">IF(AND(Parameters!$B$14&gt;=Parameters!$B$13,ROW()-2&lt;=Parameters!$B$14-Parameters!$B$13),Parameters!$B$13+ROW()-2,"")</f>
        <v/>
      </c>
      <c r="B35" s="14" t="n">
        <f aca="false">IF($A35="",0,IFERROR(VLOOKUP((YEAR($A35)+IF(MONTH($A35)&gt;=10,1,0))&amp;"|Boston|"&amp;MONTH($A35),Rates!$A$2:$I$181,6,FALSE()),0))</f>
        <v>0</v>
      </c>
      <c r="C35" s="14" t="n">
        <f aca="false">IF(B35=0,0,VLOOKUP(B35,MIE_Components!$A$2:$F$6,2,FALSE()))</f>
        <v>0</v>
      </c>
      <c r="D35" s="14" t="n">
        <f aca="false">IF(B35=0,0,VLOOKUP(B35,MIE_Components!$A$2:$F$6,3,FALSE()))</f>
        <v>0</v>
      </c>
      <c r="E35" s="14" t="n">
        <f aca="false">IF(B35=0,0,VLOOKUP(B35,MIE_Components!$A$2:$F$6,4,FALSE()))</f>
        <v>0</v>
      </c>
      <c r="F35" s="14" t="n">
        <f aca="false">IF(OR($A35="",B35=0),0,MAX(5,B35*IF(OR($A35=Parameters!$B$13,$A35=Parameters!$B$14),0.75,1)-(IF(AND($A35=DATE(2026,11,29),NOV29BF="Yes"),C35,0)+IF(OR($A35=DATE(2026,11,29),$A35=DATE(2026,11,30),$A35=DATE(2026,12,1),$A35=DATE(2026,12,2)),D35,0)+IF(OR($A35=DATE(2026,11,28),$A35=DATE(2026,12,1)),E35,0))))</f>
        <v>0</v>
      </c>
      <c r="G35" s="14" t="n">
        <f aca="false">IF(AND($A35&lt;&gt;"",$A35&lt;Parameters!$B$14),CityData!F3*(1+TAXRATE),0)</f>
        <v>0</v>
      </c>
      <c r="H35" s="14" t="n">
        <f aca="false">IF($A35="",0,IFERROR(VLOOKUP((YEAR($A35)+IF(MONTH($A35)&gt;=10,1,0))&amp;"|Boston|"&amp;MONTH($A35),Rates!$A$2:$I$181,5,FALSE()),0))</f>
        <v>0</v>
      </c>
      <c r="I35" s="14" t="n">
        <f aca="false">IF(OR($A35="",$A35&gt;=Parameters!$B$14),1,IF(AND(H35&gt;0,CityData!F3&lt;=H35),1,0))</f>
        <v>1</v>
      </c>
      <c r="J35" s="14" t="n">
        <f aca="false">IF($A35="",0,IFERROR(VLOOKUP((YEAR($A35)+IF(MONTH($A35)&gt;=10,1,0))&amp;"|Chicago|"&amp;MONTH($A35),Rates!$A$2:$I$181,6,FALSE()),0))</f>
        <v>0</v>
      </c>
      <c r="K35" s="14" t="n">
        <f aca="false">IF(J35=0,0,VLOOKUP(J35,MIE_Components!$A$2:$F$6,2,FALSE()))</f>
        <v>0</v>
      </c>
      <c r="L35" s="14" t="n">
        <f aca="false">IF(J35=0,0,VLOOKUP(J35,MIE_Components!$A$2:$F$6,3,FALSE()))</f>
        <v>0</v>
      </c>
      <c r="M35" s="14" t="n">
        <f aca="false">IF(J35=0,0,VLOOKUP(J35,MIE_Components!$A$2:$F$6,4,FALSE()))</f>
        <v>0</v>
      </c>
      <c r="N35" s="14" t="n">
        <f aca="false">IF(OR($A35="",J35=0),0,MAX(5,J35*IF(OR($A35=Parameters!$B$13,$A35=Parameters!$B$14),0.75,1)-(IF(AND($A35=DATE(2026,11,29),NOV29BF="Yes"),K35,0)+IF(OR($A35=DATE(2026,11,29),$A35=DATE(2026,11,30),$A35=DATE(2026,12,1),$A35=DATE(2026,12,2)),L35,0)+IF(OR($A35=DATE(2026,11,28),$A35=DATE(2026,12,1)),M35,0))))</f>
        <v>0</v>
      </c>
      <c r="O35" s="14" t="n">
        <f aca="false">IF(AND($A35&lt;&gt;"",$A35&lt;Parameters!$B$14),CityData!F4*(1+TAXRATE),0)</f>
        <v>0</v>
      </c>
      <c r="P35" s="14" t="n">
        <f aca="false">IF($A35="",0,IFERROR(VLOOKUP((YEAR($A35)+IF(MONTH($A35)&gt;=10,1,0))&amp;"|Chicago|"&amp;MONTH($A35),Rates!$A$2:$I$181,5,FALSE()),0))</f>
        <v>0</v>
      </c>
      <c r="Q35" s="14" t="n">
        <f aca="false">IF(OR($A35="",$A35&gt;=Parameters!$B$14),1,IF(AND(P35&gt;0,CityData!F4&lt;=P35),1,0))</f>
        <v>1</v>
      </c>
      <c r="R35" s="14" t="n">
        <f aca="false">IF($A35="",0,IFERROR(VLOOKUP((YEAR($A35)+IF(MONTH($A35)&gt;=10,1,0))&amp;"|Denver|"&amp;MONTH($A35),Rates!$A$2:$I$181,6,FALSE()),0))</f>
        <v>0</v>
      </c>
      <c r="S35" s="14" t="n">
        <f aca="false">IF(R35=0,0,VLOOKUP(R35,MIE_Components!$A$2:$F$6,2,FALSE()))</f>
        <v>0</v>
      </c>
      <c r="T35" s="14" t="n">
        <f aca="false">IF(R35=0,0,VLOOKUP(R35,MIE_Components!$A$2:$F$6,3,FALSE()))</f>
        <v>0</v>
      </c>
      <c r="U35" s="14" t="n">
        <f aca="false">IF(R35=0,0,VLOOKUP(R35,MIE_Components!$A$2:$F$6,4,FALSE()))</f>
        <v>0</v>
      </c>
      <c r="V35" s="14" t="n">
        <f aca="false">IF(OR($A35="",R35=0),0,MAX(5,R35*IF(OR($A35=Parameters!$B$13,$A35=Parameters!$B$14),0.75,1)-(IF(AND($A35=DATE(2026,11,29),NOV29BF="Yes"),S35,0)+IF(OR($A35=DATE(2026,11,29),$A35=DATE(2026,11,30),$A35=DATE(2026,12,1),$A35=DATE(2026,12,2)),T35,0)+IF(OR($A35=DATE(2026,11,28),$A35=DATE(2026,12,1)),U35,0))))</f>
        <v>0</v>
      </c>
      <c r="W35" s="14" t="n">
        <f aca="false">IF(AND($A35&lt;&gt;"",$A35&lt;Parameters!$B$14),CityData!F5*(1+TAXRATE),0)</f>
        <v>0</v>
      </c>
      <c r="X35" s="14" t="n">
        <f aca="false">IF($A35="",0,IFERROR(VLOOKUP((YEAR($A35)+IF(MONTH($A35)&gt;=10,1,0))&amp;"|Denver|"&amp;MONTH($A35),Rates!$A$2:$I$181,5,FALSE()),0))</f>
        <v>0</v>
      </c>
      <c r="Y35" s="14" t="n">
        <f aca="false">IF(OR($A35="",$A35&gt;=Parameters!$B$14),1,IF(AND(X35&gt;0,CityData!F5&lt;=X35),1,0))</f>
        <v>1</v>
      </c>
      <c r="Z35" s="14" t="n">
        <f aca="false">IF($A35="",0,IFERROR(VLOOKUP((YEAR($A35)+IF(MONTH($A35)&gt;=10,1,0))&amp;"|Phoenix|"&amp;MONTH($A35),Rates!$A$2:$I$181,6,FALSE()),0))</f>
        <v>0</v>
      </c>
      <c r="AA35" s="14" t="n">
        <f aca="false">IF(Z35=0,0,VLOOKUP(Z35,MIE_Components!$A$2:$F$6,2,FALSE()))</f>
        <v>0</v>
      </c>
      <c r="AB35" s="14" t="n">
        <f aca="false">IF(Z35=0,0,VLOOKUP(Z35,MIE_Components!$A$2:$F$6,3,FALSE()))</f>
        <v>0</v>
      </c>
      <c r="AC35" s="14" t="n">
        <f aca="false">IF(Z35=0,0,VLOOKUP(Z35,MIE_Components!$A$2:$F$6,4,FALSE()))</f>
        <v>0</v>
      </c>
      <c r="AD35" s="14" t="n">
        <f aca="false">IF(OR($A35="",Z35=0),0,MAX(5,Z35*IF(OR($A35=Parameters!$B$13,$A35=Parameters!$B$14),0.75,1)-(IF(AND($A35=DATE(2026,11,29),NOV29BF="Yes"),AA35,0)+IF(OR($A35=DATE(2026,11,29),$A35=DATE(2026,11,30),$A35=DATE(2026,12,1),$A35=DATE(2026,12,2)),AB35,0)+IF(OR($A35=DATE(2026,11,28),$A35=DATE(2026,12,1)),AC35,0))))</f>
        <v>0</v>
      </c>
      <c r="AE35" s="14" t="n">
        <f aca="false">IF(AND($A35&lt;&gt;"",$A35&lt;Parameters!$B$14),CityData!F6*(1+TAXRATE),0)</f>
        <v>0</v>
      </c>
      <c r="AF35" s="14" t="n">
        <f aca="false">IF($A35="",0,IFERROR(VLOOKUP((YEAR($A35)+IF(MONTH($A35)&gt;=10,1,0))&amp;"|Phoenix|"&amp;MONTH($A35),Rates!$A$2:$I$181,5,FALSE()),0))</f>
        <v>0</v>
      </c>
      <c r="AG35" s="14" t="n">
        <f aca="false">IF(OR($A35="",$A35&gt;=Parameters!$B$14),1,IF(AND(AF35&gt;0,CityData!F6&lt;=AF35),1,0))</f>
        <v>1</v>
      </c>
      <c r="AH35" s="14" t="n">
        <f aca="false">IF($A35="",0,IFERROR(VLOOKUP((YEAR($A35)+IF(MONTH($A35)&gt;=10,1,0))&amp;"|Seattle|"&amp;MONTH($A35),Rates!$A$2:$I$181,6,FALSE()),0))</f>
        <v>0</v>
      </c>
      <c r="AI35" s="14" t="n">
        <f aca="false">IF(AH35=0,0,VLOOKUP(AH35,MIE_Components!$A$2:$F$6,2,FALSE()))</f>
        <v>0</v>
      </c>
      <c r="AJ35" s="14" t="n">
        <f aca="false">IF(AH35=0,0,VLOOKUP(AH35,MIE_Components!$A$2:$F$6,3,FALSE()))</f>
        <v>0</v>
      </c>
      <c r="AK35" s="14" t="n">
        <f aca="false">IF(AH35=0,0,VLOOKUP(AH35,MIE_Components!$A$2:$F$6,4,FALSE()))</f>
        <v>0</v>
      </c>
      <c r="AL35" s="14" t="n">
        <f aca="false">IF(OR($A35="",AH35=0),0,MAX(5,AH35*IF(OR($A35=Parameters!$B$13,$A35=Parameters!$B$14),0.75,1)-(IF(AND($A35=DATE(2026,11,29),NOV29BF="Yes"),AI35,0)+IF(OR($A35=DATE(2026,11,29),$A35=DATE(2026,11,30),$A35=DATE(2026,12,1),$A35=DATE(2026,12,2)),AJ35,0)+IF(OR($A35=DATE(2026,11,28),$A35=DATE(2026,12,1)),AK35,0))))</f>
        <v>0</v>
      </c>
      <c r="AM35" s="14" t="n">
        <f aca="false">IF(AND($A35&lt;&gt;"",$A35&lt;Parameters!$B$14),CityData!F7*(1+TAXRATE),0)</f>
        <v>0</v>
      </c>
      <c r="AN35" s="14" t="n">
        <f aca="false">IF($A35="",0,IFERROR(VLOOKUP((YEAR($A35)+IF(MONTH($A35)&gt;=10,1,0))&amp;"|Seattle|"&amp;MONTH($A35),Rates!$A$2:$I$181,5,FALSE()),0))</f>
        <v>0</v>
      </c>
      <c r="AO35" s="14" t="n">
        <f aca="false">IF(OR($A35="",$A35&gt;=Parameters!$B$14),1,IF(AND(AN35&gt;0,CityData!F7&lt;=AN35),1,0))</f>
        <v>1</v>
      </c>
    </row>
    <row r="36" customFormat="false" ht="15" hidden="false" customHeight="true" outlineLevel="0" collapsed="false">
      <c r="A36" s="23" t="str">
        <f aca="false">IF(AND(Parameters!$B$14&gt;=Parameters!$B$13,ROW()-2&lt;=Parameters!$B$14-Parameters!$B$13),Parameters!$B$13+ROW()-2,"")</f>
        <v/>
      </c>
      <c r="B36" s="14" t="n">
        <f aca="false">IF($A36="",0,IFERROR(VLOOKUP((YEAR($A36)+IF(MONTH($A36)&gt;=10,1,0))&amp;"|Boston|"&amp;MONTH($A36),Rates!$A$2:$I$181,6,FALSE()),0))</f>
        <v>0</v>
      </c>
      <c r="C36" s="14" t="n">
        <f aca="false">IF(B36=0,0,VLOOKUP(B36,MIE_Components!$A$2:$F$6,2,FALSE()))</f>
        <v>0</v>
      </c>
      <c r="D36" s="14" t="n">
        <f aca="false">IF(B36=0,0,VLOOKUP(B36,MIE_Components!$A$2:$F$6,3,FALSE()))</f>
        <v>0</v>
      </c>
      <c r="E36" s="14" t="n">
        <f aca="false">IF(B36=0,0,VLOOKUP(B36,MIE_Components!$A$2:$F$6,4,FALSE()))</f>
        <v>0</v>
      </c>
      <c r="F36" s="14" t="n">
        <f aca="false">IF(OR($A36="",B36=0),0,MAX(5,B36*IF(OR($A36=Parameters!$B$13,$A36=Parameters!$B$14),0.75,1)-(IF(AND($A36=DATE(2026,11,29),NOV29BF="Yes"),C36,0)+IF(OR($A36=DATE(2026,11,29),$A36=DATE(2026,11,30),$A36=DATE(2026,12,1),$A36=DATE(2026,12,2)),D36,0)+IF(OR($A36=DATE(2026,11,28),$A36=DATE(2026,12,1)),E36,0))))</f>
        <v>0</v>
      </c>
      <c r="G36" s="14" t="n">
        <f aca="false">IF(AND($A36&lt;&gt;"",$A36&lt;Parameters!$B$14),CityData!F3*(1+TAXRATE),0)</f>
        <v>0</v>
      </c>
      <c r="H36" s="14" t="n">
        <f aca="false">IF($A36="",0,IFERROR(VLOOKUP((YEAR($A36)+IF(MONTH($A36)&gt;=10,1,0))&amp;"|Boston|"&amp;MONTH($A36),Rates!$A$2:$I$181,5,FALSE()),0))</f>
        <v>0</v>
      </c>
      <c r="I36" s="14" t="n">
        <f aca="false">IF(OR($A36="",$A36&gt;=Parameters!$B$14),1,IF(AND(H36&gt;0,CityData!F3&lt;=H36),1,0))</f>
        <v>1</v>
      </c>
      <c r="J36" s="14" t="n">
        <f aca="false">IF($A36="",0,IFERROR(VLOOKUP((YEAR($A36)+IF(MONTH($A36)&gt;=10,1,0))&amp;"|Chicago|"&amp;MONTH($A36),Rates!$A$2:$I$181,6,FALSE()),0))</f>
        <v>0</v>
      </c>
      <c r="K36" s="14" t="n">
        <f aca="false">IF(J36=0,0,VLOOKUP(J36,MIE_Components!$A$2:$F$6,2,FALSE()))</f>
        <v>0</v>
      </c>
      <c r="L36" s="14" t="n">
        <f aca="false">IF(J36=0,0,VLOOKUP(J36,MIE_Components!$A$2:$F$6,3,FALSE()))</f>
        <v>0</v>
      </c>
      <c r="M36" s="14" t="n">
        <f aca="false">IF(J36=0,0,VLOOKUP(J36,MIE_Components!$A$2:$F$6,4,FALSE()))</f>
        <v>0</v>
      </c>
      <c r="N36" s="14" t="n">
        <f aca="false">IF(OR($A36="",J36=0),0,MAX(5,J36*IF(OR($A36=Parameters!$B$13,$A36=Parameters!$B$14),0.75,1)-(IF(AND($A36=DATE(2026,11,29),NOV29BF="Yes"),K36,0)+IF(OR($A36=DATE(2026,11,29),$A36=DATE(2026,11,30),$A36=DATE(2026,12,1),$A36=DATE(2026,12,2)),L36,0)+IF(OR($A36=DATE(2026,11,28),$A36=DATE(2026,12,1)),M36,0))))</f>
        <v>0</v>
      </c>
      <c r="O36" s="14" t="n">
        <f aca="false">IF(AND($A36&lt;&gt;"",$A36&lt;Parameters!$B$14),CityData!F4*(1+TAXRATE),0)</f>
        <v>0</v>
      </c>
      <c r="P36" s="14" t="n">
        <f aca="false">IF($A36="",0,IFERROR(VLOOKUP((YEAR($A36)+IF(MONTH($A36)&gt;=10,1,0))&amp;"|Chicago|"&amp;MONTH($A36),Rates!$A$2:$I$181,5,FALSE()),0))</f>
        <v>0</v>
      </c>
      <c r="Q36" s="14" t="n">
        <f aca="false">IF(OR($A36="",$A36&gt;=Parameters!$B$14),1,IF(AND(P36&gt;0,CityData!F4&lt;=P36),1,0))</f>
        <v>1</v>
      </c>
      <c r="R36" s="14" t="n">
        <f aca="false">IF($A36="",0,IFERROR(VLOOKUP((YEAR($A36)+IF(MONTH($A36)&gt;=10,1,0))&amp;"|Denver|"&amp;MONTH($A36),Rates!$A$2:$I$181,6,FALSE()),0))</f>
        <v>0</v>
      </c>
      <c r="S36" s="14" t="n">
        <f aca="false">IF(R36=0,0,VLOOKUP(R36,MIE_Components!$A$2:$F$6,2,FALSE()))</f>
        <v>0</v>
      </c>
      <c r="T36" s="14" t="n">
        <f aca="false">IF(R36=0,0,VLOOKUP(R36,MIE_Components!$A$2:$F$6,3,FALSE()))</f>
        <v>0</v>
      </c>
      <c r="U36" s="14" t="n">
        <f aca="false">IF(R36=0,0,VLOOKUP(R36,MIE_Components!$A$2:$F$6,4,FALSE()))</f>
        <v>0</v>
      </c>
      <c r="V36" s="14" t="n">
        <f aca="false">IF(OR($A36="",R36=0),0,MAX(5,R36*IF(OR($A36=Parameters!$B$13,$A36=Parameters!$B$14),0.75,1)-(IF(AND($A36=DATE(2026,11,29),NOV29BF="Yes"),S36,0)+IF(OR($A36=DATE(2026,11,29),$A36=DATE(2026,11,30),$A36=DATE(2026,12,1),$A36=DATE(2026,12,2)),T36,0)+IF(OR($A36=DATE(2026,11,28),$A36=DATE(2026,12,1)),U36,0))))</f>
        <v>0</v>
      </c>
      <c r="W36" s="14" t="n">
        <f aca="false">IF(AND($A36&lt;&gt;"",$A36&lt;Parameters!$B$14),CityData!F5*(1+TAXRATE),0)</f>
        <v>0</v>
      </c>
      <c r="X36" s="14" t="n">
        <f aca="false">IF($A36="",0,IFERROR(VLOOKUP((YEAR($A36)+IF(MONTH($A36)&gt;=10,1,0))&amp;"|Denver|"&amp;MONTH($A36),Rates!$A$2:$I$181,5,FALSE()),0))</f>
        <v>0</v>
      </c>
      <c r="Y36" s="14" t="n">
        <f aca="false">IF(OR($A36="",$A36&gt;=Parameters!$B$14),1,IF(AND(X36&gt;0,CityData!F5&lt;=X36),1,0))</f>
        <v>1</v>
      </c>
      <c r="Z36" s="14" t="n">
        <f aca="false">IF($A36="",0,IFERROR(VLOOKUP((YEAR($A36)+IF(MONTH($A36)&gt;=10,1,0))&amp;"|Phoenix|"&amp;MONTH($A36),Rates!$A$2:$I$181,6,FALSE()),0))</f>
        <v>0</v>
      </c>
      <c r="AA36" s="14" t="n">
        <f aca="false">IF(Z36=0,0,VLOOKUP(Z36,MIE_Components!$A$2:$F$6,2,FALSE()))</f>
        <v>0</v>
      </c>
      <c r="AB36" s="14" t="n">
        <f aca="false">IF(Z36=0,0,VLOOKUP(Z36,MIE_Components!$A$2:$F$6,3,FALSE()))</f>
        <v>0</v>
      </c>
      <c r="AC36" s="14" t="n">
        <f aca="false">IF(Z36=0,0,VLOOKUP(Z36,MIE_Components!$A$2:$F$6,4,FALSE()))</f>
        <v>0</v>
      </c>
      <c r="AD36" s="14" t="n">
        <f aca="false">IF(OR($A36="",Z36=0),0,MAX(5,Z36*IF(OR($A36=Parameters!$B$13,$A36=Parameters!$B$14),0.75,1)-(IF(AND($A36=DATE(2026,11,29),NOV29BF="Yes"),AA36,0)+IF(OR($A36=DATE(2026,11,29),$A36=DATE(2026,11,30),$A36=DATE(2026,12,1),$A36=DATE(2026,12,2)),AB36,0)+IF(OR($A36=DATE(2026,11,28),$A36=DATE(2026,12,1)),AC36,0))))</f>
        <v>0</v>
      </c>
      <c r="AE36" s="14" t="n">
        <f aca="false">IF(AND($A36&lt;&gt;"",$A36&lt;Parameters!$B$14),CityData!F6*(1+TAXRATE),0)</f>
        <v>0</v>
      </c>
      <c r="AF36" s="14" t="n">
        <f aca="false">IF($A36="",0,IFERROR(VLOOKUP((YEAR($A36)+IF(MONTH($A36)&gt;=10,1,0))&amp;"|Phoenix|"&amp;MONTH($A36),Rates!$A$2:$I$181,5,FALSE()),0))</f>
        <v>0</v>
      </c>
      <c r="AG36" s="14" t="n">
        <f aca="false">IF(OR($A36="",$A36&gt;=Parameters!$B$14),1,IF(AND(AF36&gt;0,CityData!F6&lt;=AF36),1,0))</f>
        <v>1</v>
      </c>
      <c r="AH36" s="14" t="n">
        <f aca="false">IF($A36="",0,IFERROR(VLOOKUP((YEAR($A36)+IF(MONTH($A36)&gt;=10,1,0))&amp;"|Seattle|"&amp;MONTH($A36),Rates!$A$2:$I$181,6,FALSE()),0))</f>
        <v>0</v>
      </c>
      <c r="AI36" s="14" t="n">
        <f aca="false">IF(AH36=0,0,VLOOKUP(AH36,MIE_Components!$A$2:$F$6,2,FALSE()))</f>
        <v>0</v>
      </c>
      <c r="AJ36" s="14" t="n">
        <f aca="false">IF(AH36=0,0,VLOOKUP(AH36,MIE_Components!$A$2:$F$6,3,FALSE()))</f>
        <v>0</v>
      </c>
      <c r="AK36" s="14" t="n">
        <f aca="false">IF(AH36=0,0,VLOOKUP(AH36,MIE_Components!$A$2:$F$6,4,FALSE()))</f>
        <v>0</v>
      </c>
      <c r="AL36" s="14" t="n">
        <f aca="false">IF(OR($A36="",AH36=0),0,MAX(5,AH36*IF(OR($A36=Parameters!$B$13,$A36=Parameters!$B$14),0.75,1)-(IF(AND($A36=DATE(2026,11,29),NOV29BF="Yes"),AI36,0)+IF(OR($A36=DATE(2026,11,29),$A36=DATE(2026,11,30),$A36=DATE(2026,12,1),$A36=DATE(2026,12,2)),AJ36,0)+IF(OR($A36=DATE(2026,11,28),$A36=DATE(2026,12,1)),AK36,0))))</f>
        <v>0</v>
      </c>
      <c r="AM36" s="14" t="n">
        <f aca="false">IF(AND($A36&lt;&gt;"",$A36&lt;Parameters!$B$14),CityData!F7*(1+TAXRATE),0)</f>
        <v>0</v>
      </c>
      <c r="AN36" s="14" t="n">
        <f aca="false">IF($A36="",0,IFERROR(VLOOKUP((YEAR($A36)+IF(MONTH($A36)&gt;=10,1,0))&amp;"|Seattle|"&amp;MONTH($A36),Rates!$A$2:$I$181,5,FALSE()),0))</f>
        <v>0</v>
      </c>
      <c r="AO36" s="14" t="n">
        <f aca="false">IF(OR($A36="",$A36&gt;=Parameters!$B$14),1,IF(AND(AN36&gt;0,CityData!F7&lt;=AN36),1,0))</f>
        <v>1</v>
      </c>
    </row>
    <row r="37" customFormat="false" ht="15" hidden="false" customHeight="true" outlineLevel="0" collapsed="false">
      <c r="A37" s="23" t="str">
        <f aca="false">IF(AND(Parameters!$B$14&gt;=Parameters!$B$13,ROW()-2&lt;=Parameters!$B$14-Parameters!$B$13),Parameters!$B$13+ROW()-2,"")</f>
        <v/>
      </c>
      <c r="B37" s="14" t="n">
        <f aca="false">IF($A37="",0,IFERROR(VLOOKUP((YEAR($A37)+IF(MONTH($A37)&gt;=10,1,0))&amp;"|Boston|"&amp;MONTH($A37),Rates!$A$2:$I$181,6,FALSE()),0))</f>
        <v>0</v>
      </c>
      <c r="C37" s="14" t="n">
        <f aca="false">IF(B37=0,0,VLOOKUP(B37,MIE_Components!$A$2:$F$6,2,FALSE()))</f>
        <v>0</v>
      </c>
      <c r="D37" s="14" t="n">
        <f aca="false">IF(B37=0,0,VLOOKUP(B37,MIE_Components!$A$2:$F$6,3,FALSE()))</f>
        <v>0</v>
      </c>
      <c r="E37" s="14" t="n">
        <f aca="false">IF(B37=0,0,VLOOKUP(B37,MIE_Components!$A$2:$F$6,4,FALSE()))</f>
        <v>0</v>
      </c>
      <c r="F37" s="14" t="n">
        <f aca="false">IF(OR($A37="",B37=0),0,MAX(5,B37*IF(OR($A37=Parameters!$B$13,$A37=Parameters!$B$14),0.75,1)-(IF(AND($A37=DATE(2026,11,29),NOV29BF="Yes"),C37,0)+IF(OR($A37=DATE(2026,11,29),$A37=DATE(2026,11,30),$A37=DATE(2026,12,1),$A37=DATE(2026,12,2)),D37,0)+IF(OR($A37=DATE(2026,11,28),$A37=DATE(2026,12,1)),E37,0))))</f>
        <v>0</v>
      </c>
      <c r="G37" s="14" t="n">
        <f aca="false">IF(AND($A37&lt;&gt;"",$A37&lt;Parameters!$B$14),CityData!F3*(1+TAXRATE),0)</f>
        <v>0</v>
      </c>
      <c r="H37" s="14" t="n">
        <f aca="false">IF($A37="",0,IFERROR(VLOOKUP((YEAR($A37)+IF(MONTH($A37)&gt;=10,1,0))&amp;"|Boston|"&amp;MONTH($A37),Rates!$A$2:$I$181,5,FALSE()),0))</f>
        <v>0</v>
      </c>
      <c r="I37" s="14" t="n">
        <f aca="false">IF(OR($A37="",$A37&gt;=Parameters!$B$14),1,IF(AND(H37&gt;0,CityData!F3&lt;=H37),1,0))</f>
        <v>1</v>
      </c>
      <c r="J37" s="14" t="n">
        <f aca="false">IF($A37="",0,IFERROR(VLOOKUP((YEAR($A37)+IF(MONTH($A37)&gt;=10,1,0))&amp;"|Chicago|"&amp;MONTH($A37),Rates!$A$2:$I$181,6,FALSE()),0))</f>
        <v>0</v>
      </c>
      <c r="K37" s="14" t="n">
        <f aca="false">IF(J37=0,0,VLOOKUP(J37,MIE_Components!$A$2:$F$6,2,FALSE()))</f>
        <v>0</v>
      </c>
      <c r="L37" s="14" t="n">
        <f aca="false">IF(J37=0,0,VLOOKUP(J37,MIE_Components!$A$2:$F$6,3,FALSE()))</f>
        <v>0</v>
      </c>
      <c r="M37" s="14" t="n">
        <f aca="false">IF(J37=0,0,VLOOKUP(J37,MIE_Components!$A$2:$F$6,4,FALSE()))</f>
        <v>0</v>
      </c>
      <c r="N37" s="14" t="n">
        <f aca="false">IF(OR($A37="",J37=0),0,MAX(5,J37*IF(OR($A37=Parameters!$B$13,$A37=Parameters!$B$14),0.75,1)-(IF(AND($A37=DATE(2026,11,29),NOV29BF="Yes"),K37,0)+IF(OR($A37=DATE(2026,11,29),$A37=DATE(2026,11,30),$A37=DATE(2026,12,1),$A37=DATE(2026,12,2)),L37,0)+IF(OR($A37=DATE(2026,11,28),$A37=DATE(2026,12,1)),M37,0))))</f>
        <v>0</v>
      </c>
      <c r="O37" s="14" t="n">
        <f aca="false">IF(AND($A37&lt;&gt;"",$A37&lt;Parameters!$B$14),CityData!F4*(1+TAXRATE),0)</f>
        <v>0</v>
      </c>
      <c r="P37" s="14" t="n">
        <f aca="false">IF($A37="",0,IFERROR(VLOOKUP((YEAR($A37)+IF(MONTH($A37)&gt;=10,1,0))&amp;"|Chicago|"&amp;MONTH($A37),Rates!$A$2:$I$181,5,FALSE()),0))</f>
        <v>0</v>
      </c>
      <c r="Q37" s="14" t="n">
        <f aca="false">IF(OR($A37="",$A37&gt;=Parameters!$B$14),1,IF(AND(P37&gt;0,CityData!F4&lt;=P37),1,0))</f>
        <v>1</v>
      </c>
      <c r="R37" s="14" t="n">
        <f aca="false">IF($A37="",0,IFERROR(VLOOKUP((YEAR($A37)+IF(MONTH($A37)&gt;=10,1,0))&amp;"|Denver|"&amp;MONTH($A37),Rates!$A$2:$I$181,6,FALSE()),0))</f>
        <v>0</v>
      </c>
      <c r="S37" s="14" t="n">
        <f aca="false">IF(R37=0,0,VLOOKUP(R37,MIE_Components!$A$2:$F$6,2,FALSE()))</f>
        <v>0</v>
      </c>
      <c r="T37" s="14" t="n">
        <f aca="false">IF(R37=0,0,VLOOKUP(R37,MIE_Components!$A$2:$F$6,3,FALSE()))</f>
        <v>0</v>
      </c>
      <c r="U37" s="14" t="n">
        <f aca="false">IF(R37=0,0,VLOOKUP(R37,MIE_Components!$A$2:$F$6,4,FALSE()))</f>
        <v>0</v>
      </c>
      <c r="V37" s="14" t="n">
        <f aca="false">IF(OR($A37="",R37=0),0,MAX(5,R37*IF(OR($A37=Parameters!$B$13,$A37=Parameters!$B$14),0.75,1)-(IF(AND($A37=DATE(2026,11,29),NOV29BF="Yes"),S37,0)+IF(OR($A37=DATE(2026,11,29),$A37=DATE(2026,11,30),$A37=DATE(2026,12,1),$A37=DATE(2026,12,2)),T37,0)+IF(OR($A37=DATE(2026,11,28),$A37=DATE(2026,12,1)),U37,0))))</f>
        <v>0</v>
      </c>
      <c r="W37" s="14" t="n">
        <f aca="false">IF(AND($A37&lt;&gt;"",$A37&lt;Parameters!$B$14),CityData!F5*(1+TAXRATE),0)</f>
        <v>0</v>
      </c>
      <c r="X37" s="14" t="n">
        <f aca="false">IF($A37="",0,IFERROR(VLOOKUP((YEAR($A37)+IF(MONTH($A37)&gt;=10,1,0))&amp;"|Denver|"&amp;MONTH($A37),Rates!$A$2:$I$181,5,FALSE()),0))</f>
        <v>0</v>
      </c>
      <c r="Y37" s="14" t="n">
        <f aca="false">IF(OR($A37="",$A37&gt;=Parameters!$B$14),1,IF(AND(X37&gt;0,CityData!F5&lt;=X37),1,0))</f>
        <v>1</v>
      </c>
      <c r="Z37" s="14" t="n">
        <f aca="false">IF($A37="",0,IFERROR(VLOOKUP((YEAR($A37)+IF(MONTH($A37)&gt;=10,1,0))&amp;"|Phoenix|"&amp;MONTH($A37),Rates!$A$2:$I$181,6,FALSE()),0))</f>
        <v>0</v>
      </c>
      <c r="AA37" s="14" t="n">
        <f aca="false">IF(Z37=0,0,VLOOKUP(Z37,MIE_Components!$A$2:$F$6,2,FALSE()))</f>
        <v>0</v>
      </c>
      <c r="AB37" s="14" t="n">
        <f aca="false">IF(Z37=0,0,VLOOKUP(Z37,MIE_Components!$A$2:$F$6,3,FALSE()))</f>
        <v>0</v>
      </c>
      <c r="AC37" s="14" t="n">
        <f aca="false">IF(Z37=0,0,VLOOKUP(Z37,MIE_Components!$A$2:$F$6,4,FALSE()))</f>
        <v>0</v>
      </c>
      <c r="AD37" s="14" t="n">
        <f aca="false">IF(OR($A37="",Z37=0),0,MAX(5,Z37*IF(OR($A37=Parameters!$B$13,$A37=Parameters!$B$14),0.75,1)-(IF(AND($A37=DATE(2026,11,29),NOV29BF="Yes"),AA37,0)+IF(OR($A37=DATE(2026,11,29),$A37=DATE(2026,11,30),$A37=DATE(2026,12,1),$A37=DATE(2026,12,2)),AB37,0)+IF(OR($A37=DATE(2026,11,28),$A37=DATE(2026,12,1)),AC37,0))))</f>
        <v>0</v>
      </c>
      <c r="AE37" s="14" t="n">
        <f aca="false">IF(AND($A37&lt;&gt;"",$A37&lt;Parameters!$B$14),CityData!F6*(1+TAXRATE),0)</f>
        <v>0</v>
      </c>
      <c r="AF37" s="14" t="n">
        <f aca="false">IF($A37="",0,IFERROR(VLOOKUP((YEAR($A37)+IF(MONTH($A37)&gt;=10,1,0))&amp;"|Phoenix|"&amp;MONTH($A37),Rates!$A$2:$I$181,5,FALSE()),0))</f>
        <v>0</v>
      </c>
      <c r="AG37" s="14" t="n">
        <f aca="false">IF(OR($A37="",$A37&gt;=Parameters!$B$14),1,IF(AND(AF37&gt;0,CityData!F6&lt;=AF37),1,0))</f>
        <v>1</v>
      </c>
      <c r="AH37" s="14" t="n">
        <f aca="false">IF($A37="",0,IFERROR(VLOOKUP((YEAR($A37)+IF(MONTH($A37)&gt;=10,1,0))&amp;"|Seattle|"&amp;MONTH($A37),Rates!$A$2:$I$181,6,FALSE()),0))</f>
        <v>0</v>
      </c>
      <c r="AI37" s="14" t="n">
        <f aca="false">IF(AH37=0,0,VLOOKUP(AH37,MIE_Components!$A$2:$F$6,2,FALSE()))</f>
        <v>0</v>
      </c>
      <c r="AJ37" s="14" t="n">
        <f aca="false">IF(AH37=0,0,VLOOKUP(AH37,MIE_Components!$A$2:$F$6,3,FALSE()))</f>
        <v>0</v>
      </c>
      <c r="AK37" s="14" t="n">
        <f aca="false">IF(AH37=0,0,VLOOKUP(AH37,MIE_Components!$A$2:$F$6,4,FALSE()))</f>
        <v>0</v>
      </c>
      <c r="AL37" s="14" t="n">
        <f aca="false">IF(OR($A37="",AH37=0),0,MAX(5,AH37*IF(OR($A37=Parameters!$B$13,$A37=Parameters!$B$14),0.75,1)-(IF(AND($A37=DATE(2026,11,29),NOV29BF="Yes"),AI37,0)+IF(OR($A37=DATE(2026,11,29),$A37=DATE(2026,11,30),$A37=DATE(2026,12,1),$A37=DATE(2026,12,2)),AJ37,0)+IF(OR($A37=DATE(2026,11,28),$A37=DATE(2026,12,1)),AK37,0))))</f>
        <v>0</v>
      </c>
      <c r="AM37" s="14" t="n">
        <f aca="false">IF(AND($A37&lt;&gt;"",$A37&lt;Parameters!$B$14),CityData!F7*(1+TAXRATE),0)</f>
        <v>0</v>
      </c>
      <c r="AN37" s="14" t="n">
        <f aca="false">IF($A37="",0,IFERROR(VLOOKUP((YEAR($A37)+IF(MONTH($A37)&gt;=10,1,0))&amp;"|Seattle|"&amp;MONTH($A37),Rates!$A$2:$I$181,5,FALSE()),0))</f>
        <v>0</v>
      </c>
      <c r="AO37" s="14" t="n">
        <f aca="false">IF(OR($A37="",$A37&gt;=Parameters!$B$14),1,IF(AND(AN37&gt;0,CityData!F7&lt;=AN37),1,0))</f>
        <v>1</v>
      </c>
    </row>
    <row r="38" customFormat="false" ht="15" hidden="false" customHeight="true" outlineLevel="0" collapsed="false">
      <c r="A38" s="23" t="str">
        <f aca="false">IF(AND(Parameters!$B$14&gt;=Parameters!$B$13,ROW()-2&lt;=Parameters!$B$14-Parameters!$B$13),Parameters!$B$13+ROW()-2,"")</f>
        <v/>
      </c>
      <c r="B38" s="14" t="n">
        <f aca="false">IF($A38="",0,IFERROR(VLOOKUP((YEAR($A38)+IF(MONTH($A38)&gt;=10,1,0))&amp;"|Boston|"&amp;MONTH($A38),Rates!$A$2:$I$181,6,FALSE()),0))</f>
        <v>0</v>
      </c>
      <c r="C38" s="14" t="n">
        <f aca="false">IF(B38=0,0,VLOOKUP(B38,MIE_Components!$A$2:$F$6,2,FALSE()))</f>
        <v>0</v>
      </c>
      <c r="D38" s="14" t="n">
        <f aca="false">IF(B38=0,0,VLOOKUP(B38,MIE_Components!$A$2:$F$6,3,FALSE()))</f>
        <v>0</v>
      </c>
      <c r="E38" s="14" t="n">
        <f aca="false">IF(B38=0,0,VLOOKUP(B38,MIE_Components!$A$2:$F$6,4,FALSE()))</f>
        <v>0</v>
      </c>
      <c r="F38" s="14" t="n">
        <f aca="false">IF(OR($A38="",B38=0),0,MAX(5,B38*IF(OR($A38=Parameters!$B$13,$A38=Parameters!$B$14),0.75,1)-(IF(AND($A38=DATE(2026,11,29),NOV29BF="Yes"),C38,0)+IF(OR($A38=DATE(2026,11,29),$A38=DATE(2026,11,30),$A38=DATE(2026,12,1),$A38=DATE(2026,12,2)),D38,0)+IF(OR($A38=DATE(2026,11,28),$A38=DATE(2026,12,1)),E38,0))))</f>
        <v>0</v>
      </c>
      <c r="G38" s="14" t="n">
        <f aca="false">IF(AND($A38&lt;&gt;"",$A38&lt;Parameters!$B$14),CityData!F3*(1+TAXRATE),0)</f>
        <v>0</v>
      </c>
      <c r="H38" s="14" t="n">
        <f aca="false">IF($A38="",0,IFERROR(VLOOKUP((YEAR($A38)+IF(MONTH($A38)&gt;=10,1,0))&amp;"|Boston|"&amp;MONTH($A38),Rates!$A$2:$I$181,5,FALSE()),0))</f>
        <v>0</v>
      </c>
      <c r="I38" s="14" t="n">
        <f aca="false">IF(OR($A38="",$A38&gt;=Parameters!$B$14),1,IF(AND(H38&gt;0,CityData!F3&lt;=H38),1,0))</f>
        <v>1</v>
      </c>
      <c r="J38" s="14" t="n">
        <f aca="false">IF($A38="",0,IFERROR(VLOOKUP((YEAR($A38)+IF(MONTH($A38)&gt;=10,1,0))&amp;"|Chicago|"&amp;MONTH($A38),Rates!$A$2:$I$181,6,FALSE()),0))</f>
        <v>0</v>
      </c>
      <c r="K38" s="14" t="n">
        <f aca="false">IF(J38=0,0,VLOOKUP(J38,MIE_Components!$A$2:$F$6,2,FALSE()))</f>
        <v>0</v>
      </c>
      <c r="L38" s="14" t="n">
        <f aca="false">IF(J38=0,0,VLOOKUP(J38,MIE_Components!$A$2:$F$6,3,FALSE()))</f>
        <v>0</v>
      </c>
      <c r="M38" s="14" t="n">
        <f aca="false">IF(J38=0,0,VLOOKUP(J38,MIE_Components!$A$2:$F$6,4,FALSE()))</f>
        <v>0</v>
      </c>
      <c r="N38" s="14" t="n">
        <f aca="false">IF(OR($A38="",J38=0),0,MAX(5,J38*IF(OR($A38=Parameters!$B$13,$A38=Parameters!$B$14),0.75,1)-(IF(AND($A38=DATE(2026,11,29),NOV29BF="Yes"),K38,0)+IF(OR($A38=DATE(2026,11,29),$A38=DATE(2026,11,30),$A38=DATE(2026,12,1),$A38=DATE(2026,12,2)),L38,0)+IF(OR($A38=DATE(2026,11,28),$A38=DATE(2026,12,1)),M38,0))))</f>
        <v>0</v>
      </c>
      <c r="O38" s="14" t="n">
        <f aca="false">IF(AND($A38&lt;&gt;"",$A38&lt;Parameters!$B$14),CityData!F4*(1+TAXRATE),0)</f>
        <v>0</v>
      </c>
      <c r="P38" s="14" t="n">
        <f aca="false">IF($A38="",0,IFERROR(VLOOKUP((YEAR($A38)+IF(MONTH($A38)&gt;=10,1,0))&amp;"|Chicago|"&amp;MONTH($A38),Rates!$A$2:$I$181,5,FALSE()),0))</f>
        <v>0</v>
      </c>
      <c r="Q38" s="14" t="n">
        <f aca="false">IF(OR($A38="",$A38&gt;=Parameters!$B$14),1,IF(AND(P38&gt;0,CityData!F4&lt;=P38),1,0))</f>
        <v>1</v>
      </c>
      <c r="R38" s="14" t="n">
        <f aca="false">IF($A38="",0,IFERROR(VLOOKUP((YEAR($A38)+IF(MONTH($A38)&gt;=10,1,0))&amp;"|Denver|"&amp;MONTH($A38),Rates!$A$2:$I$181,6,FALSE()),0))</f>
        <v>0</v>
      </c>
      <c r="S38" s="14" t="n">
        <f aca="false">IF(R38=0,0,VLOOKUP(R38,MIE_Components!$A$2:$F$6,2,FALSE()))</f>
        <v>0</v>
      </c>
      <c r="T38" s="14" t="n">
        <f aca="false">IF(R38=0,0,VLOOKUP(R38,MIE_Components!$A$2:$F$6,3,FALSE()))</f>
        <v>0</v>
      </c>
      <c r="U38" s="14" t="n">
        <f aca="false">IF(R38=0,0,VLOOKUP(R38,MIE_Components!$A$2:$F$6,4,FALSE()))</f>
        <v>0</v>
      </c>
      <c r="V38" s="14" t="n">
        <f aca="false">IF(OR($A38="",R38=0),0,MAX(5,R38*IF(OR($A38=Parameters!$B$13,$A38=Parameters!$B$14),0.75,1)-(IF(AND($A38=DATE(2026,11,29),NOV29BF="Yes"),S38,0)+IF(OR($A38=DATE(2026,11,29),$A38=DATE(2026,11,30),$A38=DATE(2026,12,1),$A38=DATE(2026,12,2)),T38,0)+IF(OR($A38=DATE(2026,11,28),$A38=DATE(2026,12,1)),U38,0))))</f>
        <v>0</v>
      </c>
      <c r="W38" s="14" t="n">
        <f aca="false">IF(AND($A38&lt;&gt;"",$A38&lt;Parameters!$B$14),CityData!F5*(1+TAXRATE),0)</f>
        <v>0</v>
      </c>
      <c r="X38" s="14" t="n">
        <f aca="false">IF($A38="",0,IFERROR(VLOOKUP((YEAR($A38)+IF(MONTH($A38)&gt;=10,1,0))&amp;"|Denver|"&amp;MONTH($A38),Rates!$A$2:$I$181,5,FALSE()),0))</f>
        <v>0</v>
      </c>
      <c r="Y38" s="14" t="n">
        <f aca="false">IF(OR($A38="",$A38&gt;=Parameters!$B$14),1,IF(AND(X38&gt;0,CityData!F5&lt;=X38),1,0))</f>
        <v>1</v>
      </c>
      <c r="Z38" s="14" t="n">
        <f aca="false">IF($A38="",0,IFERROR(VLOOKUP((YEAR($A38)+IF(MONTH($A38)&gt;=10,1,0))&amp;"|Phoenix|"&amp;MONTH($A38),Rates!$A$2:$I$181,6,FALSE()),0))</f>
        <v>0</v>
      </c>
      <c r="AA38" s="14" t="n">
        <f aca="false">IF(Z38=0,0,VLOOKUP(Z38,MIE_Components!$A$2:$F$6,2,FALSE()))</f>
        <v>0</v>
      </c>
      <c r="AB38" s="14" t="n">
        <f aca="false">IF(Z38=0,0,VLOOKUP(Z38,MIE_Components!$A$2:$F$6,3,FALSE()))</f>
        <v>0</v>
      </c>
      <c r="AC38" s="14" t="n">
        <f aca="false">IF(Z38=0,0,VLOOKUP(Z38,MIE_Components!$A$2:$F$6,4,FALSE()))</f>
        <v>0</v>
      </c>
      <c r="AD38" s="14" t="n">
        <f aca="false">IF(OR($A38="",Z38=0),0,MAX(5,Z38*IF(OR($A38=Parameters!$B$13,$A38=Parameters!$B$14),0.75,1)-(IF(AND($A38=DATE(2026,11,29),NOV29BF="Yes"),AA38,0)+IF(OR($A38=DATE(2026,11,29),$A38=DATE(2026,11,30),$A38=DATE(2026,12,1),$A38=DATE(2026,12,2)),AB38,0)+IF(OR($A38=DATE(2026,11,28),$A38=DATE(2026,12,1)),AC38,0))))</f>
        <v>0</v>
      </c>
      <c r="AE38" s="14" t="n">
        <f aca="false">IF(AND($A38&lt;&gt;"",$A38&lt;Parameters!$B$14),CityData!F6*(1+TAXRATE),0)</f>
        <v>0</v>
      </c>
      <c r="AF38" s="14" t="n">
        <f aca="false">IF($A38="",0,IFERROR(VLOOKUP((YEAR($A38)+IF(MONTH($A38)&gt;=10,1,0))&amp;"|Phoenix|"&amp;MONTH($A38),Rates!$A$2:$I$181,5,FALSE()),0))</f>
        <v>0</v>
      </c>
      <c r="AG38" s="14" t="n">
        <f aca="false">IF(OR($A38="",$A38&gt;=Parameters!$B$14),1,IF(AND(AF38&gt;0,CityData!F6&lt;=AF38),1,0))</f>
        <v>1</v>
      </c>
      <c r="AH38" s="14" t="n">
        <f aca="false">IF($A38="",0,IFERROR(VLOOKUP((YEAR($A38)+IF(MONTH($A38)&gt;=10,1,0))&amp;"|Seattle|"&amp;MONTH($A38),Rates!$A$2:$I$181,6,FALSE()),0))</f>
        <v>0</v>
      </c>
      <c r="AI38" s="14" t="n">
        <f aca="false">IF(AH38=0,0,VLOOKUP(AH38,MIE_Components!$A$2:$F$6,2,FALSE()))</f>
        <v>0</v>
      </c>
      <c r="AJ38" s="14" t="n">
        <f aca="false">IF(AH38=0,0,VLOOKUP(AH38,MIE_Components!$A$2:$F$6,3,FALSE()))</f>
        <v>0</v>
      </c>
      <c r="AK38" s="14" t="n">
        <f aca="false">IF(AH38=0,0,VLOOKUP(AH38,MIE_Components!$A$2:$F$6,4,FALSE()))</f>
        <v>0</v>
      </c>
      <c r="AL38" s="14" t="n">
        <f aca="false">IF(OR($A38="",AH38=0),0,MAX(5,AH38*IF(OR($A38=Parameters!$B$13,$A38=Parameters!$B$14),0.75,1)-(IF(AND($A38=DATE(2026,11,29),NOV29BF="Yes"),AI38,0)+IF(OR($A38=DATE(2026,11,29),$A38=DATE(2026,11,30),$A38=DATE(2026,12,1),$A38=DATE(2026,12,2)),AJ38,0)+IF(OR($A38=DATE(2026,11,28),$A38=DATE(2026,12,1)),AK38,0))))</f>
        <v>0</v>
      </c>
      <c r="AM38" s="14" t="n">
        <f aca="false">IF(AND($A38&lt;&gt;"",$A38&lt;Parameters!$B$14),CityData!F7*(1+TAXRATE),0)</f>
        <v>0</v>
      </c>
      <c r="AN38" s="14" t="n">
        <f aca="false">IF($A38="",0,IFERROR(VLOOKUP((YEAR($A38)+IF(MONTH($A38)&gt;=10,1,0))&amp;"|Seattle|"&amp;MONTH($A38),Rates!$A$2:$I$181,5,FALSE()),0))</f>
        <v>0</v>
      </c>
      <c r="AO38" s="14" t="n">
        <f aca="false">IF(OR($A38="",$A38&gt;=Parameters!$B$14),1,IF(AND(AN38&gt;0,CityData!F7&lt;=AN38),1,0))</f>
        <v>1</v>
      </c>
    </row>
    <row r="39" customFormat="false" ht="15" hidden="false" customHeight="true" outlineLevel="0" collapsed="false">
      <c r="A39" s="23" t="str">
        <f aca="false">IF(AND(Parameters!$B$14&gt;=Parameters!$B$13,ROW()-2&lt;=Parameters!$B$14-Parameters!$B$13),Parameters!$B$13+ROW()-2,"")</f>
        <v/>
      </c>
      <c r="B39" s="14" t="n">
        <f aca="false">IF($A39="",0,IFERROR(VLOOKUP((YEAR($A39)+IF(MONTH($A39)&gt;=10,1,0))&amp;"|Boston|"&amp;MONTH($A39),Rates!$A$2:$I$181,6,FALSE()),0))</f>
        <v>0</v>
      </c>
      <c r="C39" s="14" t="n">
        <f aca="false">IF(B39=0,0,VLOOKUP(B39,MIE_Components!$A$2:$F$6,2,FALSE()))</f>
        <v>0</v>
      </c>
      <c r="D39" s="14" t="n">
        <f aca="false">IF(B39=0,0,VLOOKUP(B39,MIE_Components!$A$2:$F$6,3,FALSE()))</f>
        <v>0</v>
      </c>
      <c r="E39" s="14" t="n">
        <f aca="false">IF(B39=0,0,VLOOKUP(B39,MIE_Components!$A$2:$F$6,4,FALSE()))</f>
        <v>0</v>
      </c>
      <c r="F39" s="14" t="n">
        <f aca="false">IF(OR($A39="",B39=0),0,MAX(5,B39*IF(OR($A39=Parameters!$B$13,$A39=Parameters!$B$14),0.75,1)-(IF(AND($A39=DATE(2026,11,29),NOV29BF="Yes"),C39,0)+IF(OR($A39=DATE(2026,11,29),$A39=DATE(2026,11,30),$A39=DATE(2026,12,1),$A39=DATE(2026,12,2)),D39,0)+IF(OR($A39=DATE(2026,11,28),$A39=DATE(2026,12,1)),E39,0))))</f>
        <v>0</v>
      </c>
      <c r="G39" s="14" t="n">
        <f aca="false">IF(AND($A39&lt;&gt;"",$A39&lt;Parameters!$B$14),CityData!F3*(1+TAXRATE),0)</f>
        <v>0</v>
      </c>
      <c r="H39" s="14" t="n">
        <f aca="false">IF($A39="",0,IFERROR(VLOOKUP((YEAR($A39)+IF(MONTH($A39)&gt;=10,1,0))&amp;"|Boston|"&amp;MONTH($A39),Rates!$A$2:$I$181,5,FALSE()),0))</f>
        <v>0</v>
      </c>
      <c r="I39" s="14" t="n">
        <f aca="false">IF(OR($A39="",$A39&gt;=Parameters!$B$14),1,IF(AND(H39&gt;0,CityData!F3&lt;=H39),1,0))</f>
        <v>1</v>
      </c>
      <c r="J39" s="14" t="n">
        <f aca="false">IF($A39="",0,IFERROR(VLOOKUP((YEAR($A39)+IF(MONTH($A39)&gt;=10,1,0))&amp;"|Chicago|"&amp;MONTH($A39),Rates!$A$2:$I$181,6,FALSE()),0))</f>
        <v>0</v>
      </c>
      <c r="K39" s="14" t="n">
        <f aca="false">IF(J39=0,0,VLOOKUP(J39,MIE_Components!$A$2:$F$6,2,FALSE()))</f>
        <v>0</v>
      </c>
      <c r="L39" s="14" t="n">
        <f aca="false">IF(J39=0,0,VLOOKUP(J39,MIE_Components!$A$2:$F$6,3,FALSE()))</f>
        <v>0</v>
      </c>
      <c r="M39" s="14" t="n">
        <f aca="false">IF(J39=0,0,VLOOKUP(J39,MIE_Components!$A$2:$F$6,4,FALSE()))</f>
        <v>0</v>
      </c>
      <c r="N39" s="14" t="n">
        <f aca="false">IF(OR($A39="",J39=0),0,MAX(5,J39*IF(OR($A39=Parameters!$B$13,$A39=Parameters!$B$14),0.75,1)-(IF(AND($A39=DATE(2026,11,29),NOV29BF="Yes"),K39,0)+IF(OR($A39=DATE(2026,11,29),$A39=DATE(2026,11,30),$A39=DATE(2026,12,1),$A39=DATE(2026,12,2)),L39,0)+IF(OR($A39=DATE(2026,11,28),$A39=DATE(2026,12,1)),M39,0))))</f>
        <v>0</v>
      </c>
      <c r="O39" s="14" t="n">
        <f aca="false">IF(AND($A39&lt;&gt;"",$A39&lt;Parameters!$B$14),CityData!F4*(1+TAXRATE),0)</f>
        <v>0</v>
      </c>
      <c r="P39" s="14" t="n">
        <f aca="false">IF($A39="",0,IFERROR(VLOOKUP((YEAR($A39)+IF(MONTH($A39)&gt;=10,1,0))&amp;"|Chicago|"&amp;MONTH($A39),Rates!$A$2:$I$181,5,FALSE()),0))</f>
        <v>0</v>
      </c>
      <c r="Q39" s="14" t="n">
        <f aca="false">IF(OR($A39="",$A39&gt;=Parameters!$B$14),1,IF(AND(P39&gt;0,CityData!F4&lt;=P39),1,0))</f>
        <v>1</v>
      </c>
      <c r="R39" s="14" t="n">
        <f aca="false">IF($A39="",0,IFERROR(VLOOKUP((YEAR($A39)+IF(MONTH($A39)&gt;=10,1,0))&amp;"|Denver|"&amp;MONTH($A39),Rates!$A$2:$I$181,6,FALSE()),0))</f>
        <v>0</v>
      </c>
      <c r="S39" s="14" t="n">
        <f aca="false">IF(R39=0,0,VLOOKUP(R39,MIE_Components!$A$2:$F$6,2,FALSE()))</f>
        <v>0</v>
      </c>
      <c r="T39" s="14" t="n">
        <f aca="false">IF(R39=0,0,VLOOKUP(R39,MIE_Components!$A$2:$F$6,3,FALSE()))</f>
        <v>0</v>
      </c>
      <c r="U39" s="14" t="n">
        <f aca="false">IF(R39=0,0,VLOOKUP(R39,MIE_Components!$A$2:$F$6,4,FALSE()))</f>
        <v>0</v>
      </c>
      <c r="V39" s="14" t="n">
        <f aca="false">IF(OR($A39="",R39=0),0,MAX(5,R39*IF(OR($A39=Parameters!$B$13,$A39=Parameters!$B$14),0.75,1)-(IF(AND($A39=DATE(2026,11,29),NOV29BF="Yes"),S39,0)+IF(OR($A39=DATE(2026,11,29),$A39=DATE(2026,11,30),$A39=DATE(2026,12,1),$A39=DATE(2026,12,2)),T39,0)+IF(OR($A39=DATE(2026,11,28),$A39=DATE(2026,12,1)),U39,0))))</f>
        <v>0</v>
      </c>
      <c r="W39" s="14" t="n">
        <f aca="false">IF(AND($A39&lt;&gt;"",$A39&lt;Parameters!$B$14),CityData!F5*(1+TAXRATE),0)</f>
        <v>0</v>
      </c>
      <c r="X39" s="14" t="n">
        <f aca="false">IF($A39="",0,IFERROR(VLOOKUP((YEAR($A39)+IF(MONTH($A39)&gt;=10,1,0))&amp;"|Denver|"&amp;MONTH($A39),Rates!$A$2:$I$181,5,FALSE()),0))</f>
        <v>0</v>
      </c>
      <c r="Y39" s="14" t="n">
        <f aca="false">IF(OR($A39="",$A39&gt;=Parameters!$B$14),1,IF(AND(X39&gt;0,CityData!F5&lt;=X39),1,0))</f>
        <v>1</v>
      </c>
      <c r="Z39" s="14" t="n">
        <f aca="false">IF($A39="",0,IFERROR(VLOOKUP((YEAR($A39)+IF(MONTH($A39)&gt;=10,1,0))&amp;"|Phoenix|"&amp;MONTH($A39),Rates!$A$2:$I$181,6,FALSE()),0))</f>
        <v>0</v>
      </c>
      <c r="AA39" s="14" t="n">
        <f aca="false">IF(Z39=0,0,VLOOKUP(Z39,MIE_Components!$A$2:$F$6,2,FALSE()))</f>
        <v>0</v>
      </c>
      <c r="AB39" s="14" t="n">
        <f aca="false">IF(Z39=0,0,VLOOKUP(Z39,MIE_Components!$A$2:$F$6,3,FALSE()))</f>
        <v>0</v>
      </c>
      <c r="AC39" s="14" t="n">
        <f aca="false">IF(Z39=0,0,VLOOKUP(Z39,MIE_Components!$A$2:$F$6,4,FALSE()))</f>
        <v>0</v>
      </c>
      <c r="AD39" s="14" t="n">
        <f aca="false">IF(OR($A39="",Z39=0),0,MAX(5,Z39*IF(OR($A39=Parameters!$B$13,$A39=Parameters!$B$14),0.75,1)-(IF(AND($A39=DATE(2026,11,29),NOV29BF="Yes"),AA39,0)+IF(OR($A39=DATE(2026,11,29),$A39=DATE(2026,11,30),$A39=DATE(2026,12,1),$A39=DATE(2026,12,2)),AB39,0)+IF(OR($A39=DATE(2026,11,28),$A39=DATE(2026,12,1)),AC39,0))))</f>
        <v>0</v>
      </c>
      <c r="AE39" s="14" t="n">
        <f aca="false">IF(AND($A39&lt;&gt;"",$A39&lt;Parameters!$B$14),CityData!F6*(1+TAXRATE),0)</f>
        <v>0</v>
      </c>
      <c r="AF39" s="14" t="n">
        <f aca="false">IF($A39="",0,IFERROR(VLOOKUP((YEAR($A39)+IF(MONTH($A39)&gt;=10,1,0))&amp;"|Phoenix|"&amp;MONTH($A39),Rates!$A$2:$I$181,5,FALSE()),0))</f>
        <v>0</v>
      </c>
      <c r="AG39" s="14" t="n">
        <f aca="false">IF(OR($A39="",$A39&gt;=Parameters!$B$14),1,IF(AND(AF39&gt;0,CityData!F6&lt;=AF39),1,0))</f>
        <v>1</v>
      </c>
      <c r="AH39" s="14" t="n">
        <f aca="false">IF($A39="",0,IFERROR(VLOOKUP((YEAR($A39)+IF(MONTH($A39)&gt;=10,1,0))&amp;"|Seattle|"&amp;MONTH($A39),Rates!$A$2:$I$181,6,FALSE()),0))</f>
        <v>0</v>
      </c>
      <c r="AI39" s="14" t="n">
        <f aca="false">IF(AH39=0,0,VLOOKUP(AH39,MIE_Components!$A$2:$F$6,2,FALSE()))</f>
        <v>0</v>
      </c>
      <c r="AJ39" s="14" t="n">
        <f aca="false">IF(AH39=0,0,VLOOKUP(AH39,MIE_Components!$A$2:$F$6,3,FALSE()))</f>
        <v>0</v>
      </c>
      <c r="AK39" s="14" t="n">
        <f aca="false">IF(AH39=0,0,VLOOKUP(AH39,MIE_Components!$A$2:$F$6,4,FALSE()))</f>
        <v>0</v>
      </c>
      <c r="AL39" s="14" t="n">
        <f aca="false">IF(OR($A39="",AH39=0),0,MAX(5,AH39*IF(OR($A39=Parameters!$B$13,$A39=Parameters!$B$14),0.75,1)-(IF(AND($A39=DATE(2026,11,29),NOV29BF="Yes"),AI39,0)+IF(OR($A39=DATE(2026,11,29),$A39=DATE(2026,11,30),$A39=DATE(2026,12,1),$A39=DATE(2026,12,2)),AJ39,0)+IF(OR($A39=DATE(2026,11,28),$A39=DATE(2026,12,1)),AK39,0))))</f>
        <v>0</v>
      </c>
      <c r="AM39" s="14" t="n">
        <f aca="false">IF(AND($A39&lt;&gt;"",$A39&lt;Parameters!$B$14),CityData!F7*(1+TAXRATE),0)</f>
        <v>0</v>
      </c>
      <c r="AN39" s="14" t="n">
        <f aca="false">IF($A39="",0,IFERROR(VLOOKUP((YEAR($A39)+IF(MONTH($A39)&gt;=10,1,0))&amp;"|Seattle|"&amp;MONTH($A39),Rates!$A$2:$I$181,5,FALSE()),0))</f>
        <v>0</v>
      </c>
      <c r="AO39" s="14" t="n">
        <f aca="false">IF(OR($A39="",$A39&gt;=Parameters!$B$14),1,IF(AND(AN39&gt;0,CityData!F7&lt;=AN39),1,0))</f>
        <v>1</v>
      </c>
    </row>
    <row r="40" customFormat="false" ht="15" hidden="false" customHeight="true" outlineLevel="0" collapsed="false">
      <c r="A40" s="23" t="str">
        <f aca="false">IF(AND(Parameters!$B$14&gt;=Parameters!$B$13,ROW()-2&lt;=Parameters!$B$14-Parameters!$B$13),Parameters!$B$13+ROW()-2,"")</f>
        <v/>
      </c>
      <c r="B40" s="14" t="n">
        <f aca="false">IF($A40="",0,IFERROR(VLOOKUP((YEAR($A40)+IF(MONTH($A40)&gt;=10,1,0))&amp;"|Boston|"&amp;MONTH($A40),Rates!$A$2:$I$181,6,FALSE()),0))</f>
        <v>0</v>
      </c>
      <c r="C40" s="14" t="n">
        <f aca="false">IF(B40=0,0,VLOOKUP(B40,MIE_Components!$A$2:$F$6,2,FALSE()))</f>
        <v>0</v>
      </c>
      <c r="D40" s="14" t="n">
        <f aca="false">IF(B40=0,0,VLOOKUP(B40,MIE_Components!$A$2:$F$6,3,FALSE()))</f>
        <v>0</v>
      </c>
      <c r="E40" s="14" t="n">
        <f aca="false">IF(B40=0,0,VLOOKUP(B40,MIE_Components!$A$2:$F$6,4,FALSE()))</f>
        <v>0</v>
      </c>
      <c r="F40" s="14" t="n">
        <f aca="false">IF(OR($A40="",B40=0),0,MAX(5,B40*IF(OR($A40=Parameters!$B$13,$A40=Parameters!$B$14),0.75,1)-(IF(AND($A40=DATE(2026,11,29),NOV29BF="Yes"),C40,0)+IF(OR($A40=DATE(2026,11,29),$A40=DATE(2026,11,30),$A40=DATE(2026,12,1),$A40=DATE(2026,12,2)),D40,0)+IF(OR($A40=DATE(2026,11,28),$A40=DATE(2026,12,1)),E40,0))))</f>
        <v>0</v>
      </c>
      <c r="G40" s="14" t="n">
        <f aca="false">IF(AND($A40&lt;&gt;"",$A40&lt;Parameters!$B$14),CityData!F3*(1+TAXRATE),0)</f>
        <v>0</v>
      </c>
      <c r="H40" s="14" t="n">
        <f aca="false">IF($A40="",0,IFERROR(VLOOKUP((YEAR($A40)+IF(MONTH($A40)&gt;=10,1,0))&amp;"|Boston|"&amp;MONTH($A40),Rates!$A$2:$I$181,5,FALSE()),0))</f>
        <v>0</v>
      </c>
      <c r="I40" s="14" t="n">
        <f aca="false">IF(OR($A40="",$A40&gt;=Parameters!$B$14),1,IF(AND(H40&gt;0,CityData!F3&lt;=H40),1,0))</f>
        <v>1</v>
      </c>
      <c r="J40" s="14" t="n">
        <f aca="false">IF($A40="",0,IFERROR(VLOOKUP((YEAR($A40)+IF(MONTH($A40)&gt;=10,1,0))&amp;"|Chicago|"&amp;MONTH($A40),Rates!$A$2:$I$181,6,FALSE()),0))</f>
        <v>0</v>
      </c>
      <c r="K40" s="14" t="n">
        <f aca="false">IF(J40=0,0,VLOOKUP(J40,MIE_Components!$A$2:$F$6,2,FALSE()))</f>
        <v>0</v>
      </c>
      <c r="L40" s="14" t="n">
        <f aca="false">IF(J40=0,0,VLOOKUP(J40,MIE_Components!$A$2:$F$6,3,FALSE()))</f>
        <v>0</v>
      </c>
      <c r="M40" s="14" t="n">
        <f aca="false">IF(J40=0,0,VLOOKUP(J40,MIE_Components!$A$2:$F$6,4,FALSE()))</f>
        <v>0</v>
      </c>
      <c r="N40" s="14" t="n">
        <f aca="false">IF(OR($A40="",J40=0),0,MAX(5,J40*IF(OR($A40=Parameters!$B$13,$A40=Parameters!$B$14),0.75,1)-(IF(AND($A40=DATE(2026,11,29),NOV29BF="Yes"),K40,0)+IF(OR($A40=DATE(2026,11,29),$A40=DATE(2026,11,30),$A40=DATE(2026,12,1),$A40=DATE(2026,12,2)),L40,0)+IF(OR($A40=DATE(2026,11,28),$A40=DATE(2026,12,1)),M40,0))))</f>
        <v>0</v>
      </c>
      <c r="O40" s="14" t="n">
        <f aca="false">IF(AND($A40&lt;&gt;"",$A40&lt;Parameters!$B$14),CityData!F4*(1+TAXRATE),0)</f>
        <v>0</v>
      </c>
      <c r="P40" s="14" t="n">
        <f aca="false">IF($A40="",0,IFERROR(VLOOKUP((YEAR($A40)+IF(MONTH($A40)&gt;=10,1,0))&amp;"|Chicago|"&amp;MONTH($A40),Rates!$A$2:$I$181,5,FALSE()),0))</f>
        <v>0</v>
      </c>
      <c r="Q40" s="14" t="n">
        <f aca="false">IF(OR($A40="",$A40&gt;=Parameters!$B$14),1,IF(AND(P40&gt;0,CityData!F4&lt;=P40),1,0))</f>
        <v>1</v>
      </c>
      <c r="R40" s="14" t="n">
        <f aca="false">IF($A40="",0,IFERROR(VLOOKUP((YEAR($A40)+IF(MONTH($A40)&gt;=10,1,0))&amp;"|Denver|"&amp;MONTH($A40),Rates!$A$2:$I$181,6,FALSE()),0))</f>
        <v>0</v>
      </c>
      <c r="S40" s="14" t="n">
        <f aca="false">IF(R40=0,0,VLOOKUP(R40,MIE_Components!$A$2:$F$6,2,FALSE()))</f>
        <v>0</v>
      </c>
      <c r="T40" s="14" t="n">
        <f aca="false">IF(R40=0,0,VLOOKUP(R40,MIE_Components!$A$2:$F$6,3,FALSE()))</f>
        <v>0</v>
      </c>
      <c r="U40" s="14" t="n">
        <f aca="false">IF(R40=0,0,VLOOKUP(R40,MIE_Components!$A$2:$F$6,4,FALSE()))</f>
        <v>0</v>
      </c>
      <c r="V40" s="14" t="n">
        <f aca="false">IF(OR($A40="",R40=0),0,MAX(5,R40*IF(OR($A40=Parameters!$B$13,$A40=Parameters!$B$14),0.75,1)-(IF(AND($A40=DATE(2026,11,29),NOV29BF="Yes"),S40,0)+IF(OR($A40=DATE(2026,11,29),$A40=DATE(2026,11,30),$A40=DATE(2026,12,1),$A40=DATE(2026,12,2)),T40,0)+IF(OR($A40=DATE(2026,11,28),$A40=DATE(2026,12,1)),U40,0))))</f>
        <v>0</v>
      </c>
      <c r="W40" s="14" t="n">
        <f aca="false">IF(AND($A40&lt;&gt;"",$A40&lt;Parameters!$B$14),CityData!F5*(1+TAXRATE),0)</f>
        <v>0</v>
      </c>
      <c r="X40" s="14" t="n">
        <f aca="false">IF($A40="",0,IFERROR(VLOOKUP((YEAR($A40)+IF(MONTH($A40)&gt;=10,1,0))&amp;"|Denver|"&amp;MONTH($A40),Rates!$A$2:$I$181,5,FALSE()),0))</f>
        <v>0</v>
      </c>
      <c r="Y40" s="14" t="n">
        <f aca="false">IF(OR($A40="",$A40&gt;=Parameters!$B$14),1,IF(AND(X40&gt;0,CityData!F5&lt;=X40),1,0))</f>
        <v>1</v>
      </c>
      <c r="Z40" s="14" t="n">
        <f aca="false">IF($A40="",0,IFERROR(VLOOKUP((YEAR($A40)+IF(MONTH($A40)&gt;=10,1,0))&amp;"|Phoenix|"&amp;MONTH($A40),Rates!$A$2:$I$181,6,FALSE()),0))</f>
        <v>0</v>
      </c>
      <c r="AA40" s="14" t="n">
        <f aca="false">IF(Z40=0,0,VLOOKUP(Z40,MIE_Components!$A$2:$F$6,2,FALSE()))</f>
        <v>0</v>
      </c>
      <c r="AB40" s="14" t="n">
        <f aca="false">IF(Z40=0,0,VLOOKUP(Z40,MIE_Components!$A$2:$F$6,3,FALSE()))</f>
        <v>0</v>
      </c>
      <c r="AC40" s="14" t="n">
        <f aca="false">IF(Z40=0,0,VLOOKUP(Z40,MIE_Components!$A$2:$F$6,4,FALSE()))</f>
        <v>0</v>
      </c>
      <c r="AD40" s="14" t="n">
        <f aca="false">IF(OR($A40="",Z40=0),0,MAX(5,Z40*IF(OR($A40=Parameters!$B$13,$A40=Parameters!$B$14),0.75,1)-(IF(AND($A40=DATE(2026,11,29),NOV29BF="Yes"),AA40,0)+IF(OR($A40=DATE(2026,11,29),$A40=DATE(2026,11,30),$A40=DATE(2026,12,1),$A40=DATE(2026,12,2)),AB40,0)+IF(OR($A40=DATE(2026,11,28),$A40=DATE(2026,12,1)),AC40,0))))</f>
        <v>0</v>
      </c>
      <c r="AE40" s="14" t="n">
        <f aca="false">IF(AND($A40&lt;&gt;"",$A40&lt;Parameters!$B$14),CityData!F6*(1+TAXRATE),0)</f>
        <v>0</v>
      </c>
      <c r="AF40" s="14" t="n">
        <f aca="false">IF($A40="",0,IFERROR(VLOOKUP((YEAR($A40)+IF(MONTH($A40)&gt;=10,1,0))&amp;"|Phoenix|"&amp;MONTH($A40),Rates!$A$2:$I$181,5,FALSE()),0))</f>
        <v>0</v>
      </c>
      <c r="AG40" s="14" t="n">
        <f aca="false">IF(OR($A40="",$A40&gt;=Parameters!$B$14),1,IF(AND(AF40&gt;0,CityData!F6&lt;=AF40),1,0))</f>
        <v>1</v>
      </c>
      <c r="AH40" s="14" t="n">
        <f aca="false">IF($A40="",0,IFERROR(VLOOKUP((YEAR($A40)+IF(MONTH($A40)&gt;=10,1,0))&amp;"|Seattle|"&amp;MONTH($A40),Rates!$A$2:$I$181,6,FALSE()),0))</f>
        <v>0</v>
      </c>
      <c r="AI40" s="14" t="n">
        <f aca="false">IF(AH40=0,0,VLOOKUP(AH40,MIE_Components!$A$2:$F$6,2,FALSE()))</f>
        <v>0</v>
      </c>
      <c r="AJ40" s="14" t="n">
        <f aca="false">IF(AH40=0,0,VLOOKUP(AH40,MIE_Components!$A$2:$F$6,3,FALSE()))</f>
        <v>0</v>
      </c>
      <c r="AK40" s="14" t="n">
        <f aca="false">IF(AH40=0,0,VLOOKUP(AH40,MIE_Components!$A$2:$F$6,4,FALSE()))</f>
        <v>0</v>
      </c>
      <c r="AL40" s="14" t="n">
        <f aca="false">IF(OR($A40="",AH40=0),0,MAX(5,AH40*IF(OR($A40=Parameters!$B$13,$A40=Parameters!$B$14),0.75,1)-(IF(AND($A40=DATE(2026,11,29),NOV29BF="Yes"),AI40,0)+IF(OR($A40=DATE(2026,11,29),$A40=DATE(2026,11,30),$A40=DATE(2026,12,1),$A40=DATE(2026,12,2)),AJ40,0)+IF(OR($A40=DATE(2026,11,28),$A40=DATE(2026,12,1)),AK40,0))))</f>
        <v>0</v>
      </c>
      <c r="AM40" s="14" t="n">
        <f aca="false">IF(AND($A40&lt;&gt;"",$A40&lt;Parameters!$B$14),CityData!F7*(1+TAXRATE),0)</f>
        <v>0</v>
      </c>
      <c r="AN40" s="14" t="n">
        <f aca="false">IF($A40="",0,IFERROR(VLOOKUP((YEAR($A40)+IF(MONTH($A40)&gt;=10,1,0))&amp;"|Seattle|"&amp;MONTH($A40),Rates!$A$2:$I$181,5,FALSE()),0))</f>
        <v>0</v>
      </c>
      <c r="AO40" s="14" t="n">
        <f aca="false">IF(OR($A40="",$A40&gt;=Parameters!$B$14),1,IF(AND(AN40&gt;0,CityData!F7&lt;=AN40),1,0))</f>
        <v>1</v>
      </c>
    </row>
    <row r="41" customFormat="false" ht="15" hidden="false" customHeight="true" outlineLevel="0" collapsed="false">
      <c r="A41" s="23" t="str">
        <f aca="false">IF(AND(Parameters!$B$14&gt;=Parameters!$B$13,ROW()-2&lt;=Parameters!$B$14-Parameters!$B$13),Parameters!$B$13+ROW()-2,"")</f>
        <v/>
      </c>
      <c r="B41" s="14" t="n">
        <f aca="false">IF($A41="",0,IFERROR(VLOOKUP((YEAR($A41)+IF(MONTH($A41)&gt;=10,1,0))&amp;"|Boston|"&amp;MONTH($A41),Rates!$A$2:$I$181,6,FALSE()),0))</f>
        <v>0</v>
      </c>
      <c r="C41" s="14" t="n">
        <f aca="false">IF(B41=0,0,VLOOKUP(B41,MIE_Components!$A$2:$F$6,2,FALSE()))</f>
        <v>0</v>
      </c>
      <c r="D41" s="14" t="n">
        <f aca="false">IF(B41=0,0,VLOOKUP(B41,MIE_Components!$A$2:$F$6,3,FALSE()))</f>
        <v>0</v>
      </c>
      <c r="E41" s="14" t="n">
        <f aca="false">IF(B41=0,0,VLOOKUP(B41,MIE_Components!$A$2:$F$6,4,FALSE()))</f>
        <v>0</v>
      </c>
      <c r="F41" s="14" t="n">
        <f aca="false">IF(OR($A41="",B41=0),0,MAX(5,B41*IF(OR($A41=Parameters!$B$13,$A41=Parameters!$B$14),0.75,1)-(IF(AND($A41=DATE(2026,11,29),NOV29BF="Yes"),C41,0)+IF(OR($A41=DATE(2026,11,29),$A41=DATE(2026,11,30),$A41=DATE(2026,12,1),$A41=DATE(2026,12,2)),D41,0)+IF(OR($A41=DATE(2026,11,28),$A41=DATE(2026,12,1)),E41,0))))</f>
        <v>0</v>
      </c>
      <c r="G41" s="14" t="n">
        <f aca="false">IF(AND($A41&lt;&gt;"",$A41&lt;Parameters!$B$14),CityData!F3*(1+TAXRATE),0)</f>
        <v>0</v>
      </c>
      <c r="H41" s="14" t="n">
        <f aca="false">IF($A41="",0,IFERROR(VLOOKUP((YEAR($A41)+IF(MONTH($A41)&gt;=10,1,0))&amp;"|Boston|"&amp;MONTH($A41),Rates!$A$2:$I$181,5,FALSE()),0))</f>
        <v>0</v>
      </c>
      <c r="I41" s="14" t="n">
        <f aca="false">IF(OR($A41="",$A41&gt;=Parameters!$B$14),1,IF(AND(H41&gt;0,CityData!F3&lt;=H41),1,0))</f>
        <v>1</v>
      </c>
      <c r="J41" s="14" t="n">
        <f aca="false">IF($A41="",0,IFERROR(VLOOKUP((YEAR($A41)+IF(MONTH($A41)&gt;=10,1,0))&amp;"|Chicago|"&amp;MONTH($A41),Rates!$A$2:$I$181,6,FALSE()),0))</f>
        <v>0</v>
      </c>
      <c r="K41" s="14" t="n">
        <f aca="false">IF(J41=0,0,VLOOKUP(J41,MIE_Components!$A$2:$F$6,2,FALSE()))</f>
        <v>0</v>
      </c>
      <c r="L41" s="14" t="n">
        <f aca="false">IF(J41=0,0,VLOOKUP(J41,MIE_Components!$A$2:$F$6,3,FALSE()))</f>
        <v>0</v>
      </c>
      <c r="M41" s="14" t="n">
        <f aca="false">IF(J41=0,0,VLOOKUP(J41,MIE_Components!$A$2:$F$6,4,FALSE()))</f>
        <v>0</v>
      </c>
      <c r="N41" s="14" t="n">
        <f aca="false">IF(OR($A41="",J41=0),0,MAX(5,J41*IF(OR($A41=Parameters!$B$13,$A41=Parameters!$B$14),0.75,1)-(IF(AND($A41=DATE(2026,11,29),NOV29BF="Yes"),K41,0)+IF(OR($A41=DATE(2026,11,29),$A41=DATE(2026,11,30),$A41=DATE(2026,12,1),$A41=DATE(2026,12,2)),L41,0)+IF(OR($A41=DATE(2026,11,28),$A41=DATE(2026,12,1)),M41,0))))</f>
        <v>0</v>
      </c>
      <c r="O41" s="14" t="n">
        <f aca="false">IF(AND($A41&lt;&gt;"",$A41&lt;Parameters!$B$14),CityData!F4*(1+TAXRATE),0)</f>
        <v>0</v>
      </c>
      <c r="P41" s="14" t="n">
        <f aca="false">IF($A41="",0,IFERROR(VLOOKUP((YEAR($A41)+IF(MONTH($A41)&gt;=10,1,0))&amp;"|Chicago|"&amp;MONTH($A41),Rates!$A$2:$I$181,5,FALSE()),0))</f>
        <v>0</v>
      </c>
      <c r="Q41" s="14" t="n">
        <f aca="false">IF(OR($A41="",$A41&gt;=Parameters!$B$14),1,IF(AND(P41&gt;0,CityData!F4&lt;=P41),1,0))</f>
        <v>1</v>
      </c>
      <c r="R41" s="14" t="n">
        <f aca="false">IF($A41="",0,IFERROR(VLOOKUP((YEAR($A41)+IF(MONTH($A41)&gt;=10,1,0))&amp;"|Denver|"&amp;MONTH($A41),Rates!$A$2:$I$181,6,FALSE()),0))</f>
        <v>0</v>
      </c>
      <c r="S41" s="14" t="n">
        <f aca="false">IF(R41=0,0,VLOOKUP(R41,MIE_Components!$A$2:$F$6,2,FALSE()))</f>
        <v>0</v>
      </c>
      <c r="T41" s="14" t="n">
        <f aca="false">IF(R41=0,0,VLOOKUP(R41,MIE_Components!$A$2:$F$6,3,FALSE()))</f>
        <v>0</v>
      </c>
      <c r="U41" s="14" t="n">
        <f aca="false">IF(R41=0,0,VLOOKUP(R41,MIE_Components!$A$2:$F$6,4,FALSE()))</f>
        <v>0</v>
      </c>
      <c r="V41" s="14" t="n">
        <f aca="false">IF(OR($A41="",R41=0),0,MAX(5,R41*IF(OR($A41=Parameters!$B$13,$A41=Parameters!$B$14),0.75,1)-(IF(AND($A41=DATE(2026,11,29),NOV29BF="Yes"),S41,0)+IF(OR($A41=DATE(2026,11,29),$A41=DATE(2026,11,30),$A41=DATE(2026,12,1),$A41=DATE(2026,12,2)),T41,0)+IF(OR($A41=DATE(2026,11,28),$A41=DATE(2026,12,1)),U41,0))))</f>
        <v>0</v>
      </c>
      <c r="W41" s="14" t="n">
        <f aca="false">IF(AND($A41&lt;&gt;"",$A41&lt;Parameters!$B$14),CityData!F5*(1+TAXRATE),0)</f>
        <v>0</v>
      </c>
      <c r="X41" s="14" t="n">
        <f aca="false">IF($A41="",0,IFERROR(VLOOKUP((YEAR($A41)+IF(MONTH($A41)&gt;=10,1,0))&amp;"|Denver|"&amp;MONTH($A41),Rates!$A$2:$I$181,5,FALSE()),0))</f>
        <v>0</v>
      </c>
      <c r="Y41" s="14" t="n">
        <f aca="false">IF(OR($A41="",$A41&gt;=Parameters!$B$14),1,IF(AND(X41&gt;0,CityData!F5&lt;=X41),1,0))</f>
        <v>1</v>
      </c>
      <c r="Z41" s="14" t="n">
        <f aca="false">IF($A41="",0,IFERROR(VLOOKUP((YEAR($A41)+IF(MONTH($A41)&gt;=10,1,0))&amp;"|Phoenix|"&amp;MONTH($A41),Rates!$A$2:$I$181,6,FALSE()),0))</f>
        <v>0</v>
      </c>
      <c r="AA41" s="14" t="n">
        <f aca="false">IF(Z41=0,0,VLOOKUP(Z41,MIE_Components!$A$2:$F$6,2,FALSE()))</f>
        <v>0</v>
      </c>
      <c r="AB41" s="14" t="n">
        <f aca="false">IF(Z41=0,0,VLOOKUP(Z41,MIE_Components!$A$2:$F$6,3,FALSE()))</f>
        <v>0</v>
      </c>
      <c r="AC41" s="14" t="n">
        <f aca="false">IF(Z41=0,0,VLOOKUP(Z41,MIE_Components!$A$2:$F$6,4,FALSE()))</f>
        <v>0</v>
      </c>
      <c r="AD41" s="14" t="n">
        <f aca="false">IF(OR($A41="",Z41=0),0,MAX(5,Z41*IF(OR($A41=Parameters!$B$13,$A41=Parameters!$B$14),0.75,1)-(IF(AND($A41=DATE(2026,11,29),NOV29BF="Yes"),AA41,0)+IF(OR($A41=DATE(2026,11,29),$A41=DATE(2026,11,30),$A41=DATE(2026,12,1),$A41=DATE(2026,12,2)),AB41,0)+IF(OR($A41=DATE(2026,11,28),$A41=DATE(2026,12,1)),AC41,0))))</f>
        <v>0</v>
      </c>
      <c r="AE41" s="14" t="n">
        <f aca="false">IF(AND($A41&lt;&gt;"",$A41&lt;Parameters!$B$14),CityData!F6*(1+TAXRATE),0)</f>
        <v>0</v>
      </c>
      <c r="AF41" s="14" t="n">
        <f aca="false">IF($A41="",0,IFERROR(VLOOKUP((YEAR($A41)+IF(MONTH($A41)&gt;=10,1,0))&amp;"|Phoenix|"&amp;MONTH($A41),Rates!$A$2:$I$181,5,FALSE()),0))</f>
        <v>0</v>
      </c>
      <c r="AG41" s="14" t="n">
        <f aca="false">IF(OR($A41="",$A41&gt;=Parameters!$B$14),1,IF(AND(AF41&gt;0,CityData!F6&lt;=AF41),1,0))</f>
        <v>1</v>
      </c>
      <c r="AH41" s="14" t="n">
        <f aca="false">IF($A41="",0,IFERROR(VLOOKUP((YEAR($A41)+IF(MONTH($A41)&gt;=10,1,0))&amp;"|Seattle|"&amp;MONTH($A41),Rates!$A$2:$I$181,6,FALSE()),0))</f>
        <v>0</v>
      </c>
      <c r="AI41" s="14" t="n">
        <f aca="false">IF(AH41=0,0,VLOOKUP(AH41,MIE_Components!$A$2:$F$6,2,FALSE()))</f>
        <v>0</v>
      </c>
      <c r="AJ41" s="14" t="n">
        <f aca="false">IF(AH41=0,0,VLOOKUP(AH41,MIE_Components!$A$2:$F$6,3,FALSE()))</f>
        <v>0</v>
      </c>
      <c r="AK41" s="14" t="n">
        <f aca="false">IF(AH41=0,0,VLOOKUP(AH41,MIE_Components!$A$2:$F$6,4,FALSE()))</f>
        <v>0</v>
      </c>
      <c r="AL41" s="14" t="n">
        <f aca="false">IF(OR($A41="",AH41=0),0,MAX(5,AH41*IF(OR($A41=Parameters!$B$13,$A41=Parameters!$B$14),0.75,1)-(IF(AND($A41=DATE(2026,11,29),NOV29BF="Yes"),AI41,0)+IF(OR($A41=DATE(2026,11,29),$A41=DATE(2026,11,30),$A41=DATE(2026,12,1),$A41=DATE(2026,12,2)),AJ41,0)+IF(OR($A41=DATE(2026,11,28),$A41=DATE(2026,12,1)),AK41,0))))</f>
        <v>0</v>
      </c>
      <c r="AM41" s="14" t="n">
        <f aca="false">IF(AND($A41&lt;&gt;"",$A41&lt;Parameters!$B$14),CityData!F7*(1+TAXRATE),0)</f>
        <v>0</v>
      </c>
      <c r="AN41" s="14" t="n">
        <f aca="false">IF($A41="",0,IFERROR(VLOOKUP((YEAR($A41)+IF(MONTH($A41)&gt;=10,1,0))&amp;"|Seattle|"&amp;MONTH($A41),Rates!$A$2:$I$181,5,FALSE()),0))</f>
        <v>0</v>
      </c>
      <c r="AO41" s="14" t="n">
        <f aca="false">IF(OR($A41="",$A41&gt;=Parameters!$B$14),1,IF(AND(AN41&gt;0,CityData!F7&lt;=AN41),1,0))</f>
        <v>1</v>
      </c>
    </row>
    <row r="42" customFormat="false" ht="15" hidden="false" customHeight="true" outlineLevel="0" collapsed="false">
      <c r="A42" s="23" t="str">
        <f aca="false">IF(AND(Parameters!$B$14&gt;=Parameters!$B$13,ROW()-2&lt;=Parameters!$B$14-Parameters!$B$13),Parameters!$B$13+ROW()-2,"")</f>
        <v/>
      </c>
      <c r="B42" s="14" t="n">
        <f aca="false">IF($A42="",0,IFERROR(VLOOKUP((YEAR($A42)+IF(MONTH($A42)&gt;=10,1,0))&amp;"|Boston|"&amp;MONTH($A42),Rates!$A$2:$I$181,6,FALSE()),0))</f>
        <v>0</v>
      </c>
      <c r="C42" s="14" t="n">
        <f aca="false">IF(B42=0,0,VLOOKUP(B42,MIE_Components!$A$2:$F$6,2,FALSE()))</f>
        <v>0</v>
      </c>
      <c r="D42" s="14" t="n">
        <f aca="false">IF(B42=0,0,VLOOKUP(B42,MIE_Components!$A$2:$F$6,3,FALSE()))</f>
        <v>0</v>
      </c>
      <c r="E42" s="14" t="n">
        <f aca="false">IF(B42=0,0,VLOOKUP(B42,MIE_Components!$A$2:$F$6,4,FALSE()))</f>
        <v>0</v>
      </c>
      <c r="F42" s="14" t="n">
        <f aca="false">IF(OR($A42="",B42=0),0,MAX(5,B42*IF(OR($A42=Parameters!$B$13,$A42=Parameters!$B$14),0.75,1)-(IF(AND($A42=DATE(2026,11,29),NOV29BF="Yes"),C42,0)+IF(OR($A42=DATE(2026,11,29),$A42=DATE(2026,11,30),$A42=DATE(2026,12,1),$A42=DATE(2026,12,2)),D42,0)+IF(OR($A42=DATE(2026,11,28),$A42=DATE(2026,12,1)),E42,0))))</f>
        <v>0</v>
      </c>
      <c r="G42" s="14" t="n">
        <f aca="false">IF(AND($A42&lt;&gt;"",$A42&lt;Parameters!$B$14),CityData!F3*(1+TAXRATE),0)</f>
        <v>0</v>
      </c>
      <c r="H42" s="14" t="n">
        <f aca="false">IF($A42="",0,IFERROR(VLOOKUP((YEAR($A42)+IF(MONTH($A42)&gt;=10,1,0))&amp;"|Boston|"&amp;MONTH($A42),Rates!$A$2:$I$181,5,FALSE()),0))</f>
        <v>0</v>
      </c>
      <c r="I42" s="14" t="n">
        <f aca="false">IF(OR($A42="",$A42&gt;=Parameters!$B$14),1,IF(AND(H42&gt;0,CityData!F3&lt;=H42),1,0))</f>
        <v>1</v>
      </c>
      <c r="J42" s="14" t="n">
        <f aca="false">IF($A42="",0,IFERROR(VLOOKUP((YEAR($A42)+IF(MONTH($A42)&gt;=10,1,0))&amp;"|Chicago|"&amp;MONTH($A42),Rates!$A$2:$I$181,6,FALSE()),0))</f>
        <v>0</v>
      </c>
      <c r="K42" s="14" t="n">
        <f aca="false">IF(J42=0,0,VLOOKUP(J42,MIE_Components!$A$2:$F$6,2,FALSE()))</f>
        <v>0</v>
      </c>
      <c r="L42" s="14" t="n">
        <f aca="false">IF(J42=0,0,VLOOKUP(J42,MIE_Components!$A$2:$F$6,3,FALSE()))</f>
        <v>0</v>
      </c>
      <c r="M42" s="14" t="n">
        <f aca="false">IF(J42=0,0,VLOOKUP(J42,MIE_Components!$A$2:$F$6,4,FALSE()))</f>
        <v>0</v>
      </c>
      <c r="N42" s="14" t="n">
        <f aca="false">IF(OR($A42="",J42=0),0,MAX(5,J42*IF(OR($A42=Parameters!$B$13,$A42=Parameters!$B$14),0.75,1)-(IF(AND($A42=DATE(2026,11,29),NOV29BF="Yes"),K42,0)+IF(OR($A42=DATE(2026,11,29),$A42=DATE(2026,11,30),$A42=DATE(2026,12,1),$A42=DATE(2026,12,2)),L42,0)+IF(OR($A42=DATE(2026,11,28),$A42=DATE(2026,12,1)),M42,0))))</f>
        <v>0</v>
      </c>
      <c r="O42" s="14" t="n">
        <f aca="false">IF(AND($A42&lt;&gt;"",$A42&lt;Parameters!$B$14),CityData!F4*(1+TAXRATE),0)</f>
        <v>0</v>
      </c>
      <c r="P42" s="14" t="n">
        <f aca="false">IF($A42="",0,IFERROR(VLOOKUP((YEAR($A42)+IF(MONTH($A42)&gt;=10,1,0))&amp;"|Chicago|"&amp;MONTH($A42),Rates!$A$2:$I$181,5,FALSE()),0))</f>
        <v>0</v>
      </c>
      <c r="Q42" s="14" t="n">
        <f aca="false">IF(OR($A42="",$A42&gt;=Parameters!$B$14),1,IF(AND(P42&gt;0,CityData!F4&lt;=P42),1,0))</f>
        <v>1</v>
      </c>
      <c r="R42" s="14" t="n">
        <f aca="false">IF($A42="",0,IFERROR(VLOOKUP((YEAR($A42)+IF(MONTH($A42)&gt;=10,1,0))&amp;"|Denver|"&amp;MONTH($A42),Rates!$A$2:$I$181,6,FALSE()),0))</f>
        <v>0</v>
      </c>
      <c r="S42" s="14" t="n">
        <f aca="false">IF(R42=0,0,VLOOKUP(R42,MIE_Components!$A$2:$F$6,2,FALSE()))</f>
        <v>0</v>
      </c>
      <c r="T42" s="14" t="n">
        <f aca="false">IF(R42=0,0,VLOOKUP(R42,MIE_Components!$A$2:$F$6,3,FALSE()))</f>
        <v>0</v>
      </c>
      <c r="U42" s="14" t="n">
        <f aca="false">IF(R42=0,0,VLOOKUP(R42,MIE_Components!$A$2:$F$6,4,FALSE()))</f>
        <v>0</v>
      </c>
      <c r="V42" s="14" t="n">
        <f aca="false">IF(OR($A42="",R42=0),0,MAX(5,R42*IF(OR($A42=Parameters!$B$13,$A42=Parameters!$B$14),0.75,1)-(IF(AND($A42=DATE(2026,11,29),NOV29BF="Yes"),S42,0)+IF(OR($A42=DATE(2026,11,29),$A42=DATE(2026,11,30),$A42=DATE(2026,12,1),$A42=DATE(2026,12,2)),T42,0)+IF(OR($A42=DATE(2026,11,28),$A42=DATE(2026,12,1)),U42,0))))</f>
        <v>0</v>
      </c>
      <c r="W42" s="14" t="n">
        <f aca="false">IF(AND($A42&lt;&gt;"",$A42&lt;Parameters!$B$14),CityData!F5*(1+TAXRATE),0)</f>
        <v>0</v>
      </c>
      <c r="X42" s="14" t="n">
        <f aca="false">IF($A42="",0,IFERROR(VLOOKUP((YEAR($A42)+IF(MONTH($A42)&gt;=10,1,0))&amp;"|Denver|"&amp;MONTH($A42),Rates!$A$2:$I$181,5,FALSE()),0))</f>
        <v>0</v>
      </c>
      <c r="Y42" s="14" t="n">
        <f aca="false">IF(OR($A42="",$A42&gt;=Parameters!$B$14),1,IF(AND(X42&gt;0,CityData!F5&lt;=X42),1,0))</f>
        <v>1</v>
      </c>
      <c r="Z42" s="14" t="n">
        <f aca="false">IF($A42="",0,IFERROR(VLOOKUP((YEAR($A42)+IF(MONTH($A42)&gt;=10,1,0))&amp;"|Phoenix|"&amp;MONTH($A42),Rates!$A$2:$I$181,6,FALSE()),0))</f>
        <v>0</v>
      </c>
      <c r="AA42" s="14" t="n">
        <f aca="false">IF(Z42=0,0,VLOOKUP(Z42,MIE_Components!$A$2:$F$6,2,FALSE()))</f>
        <v>0</v>
      </c>
      <c r="AB42" s="14" t="n">
        <f aca="false">IF(Z42=0,0,VLOOKUP(Z42,MIE_Components!$A$2:$F$6,3,FALSE()))</f>
        <v>0</v>
      </c>
      <c r="AC42" s="14" t="n">
        <f aca="false">IF(Z42=0,0,VLOOKUP(Z42,MIE_Components!$A$2:$F$6,4,FALSE()))</f>
        <v>0</v>
      </c>
      <c r="AD42" s="14" t="n">
        <f aca="false">IF(OR($A42="",Z42=0),0,MAX(5,Z42*IF(OR($A42=Parameters!$B$13,$A42=Parameters!$B$14),0.75,1)-(IF(AND($A42=DATE(2026,11,29),NOV29BF="Yes"),AA42,0)+IF(OR($A42=DATE(2026,11,29),$A42=DATE(2026,11,30),$A42=DATE(2026,12,1),$A42=DATE(2026,12,2)),AB42,0)+IF(OR($A42=DATE(2026,11,28),$A42=DATE(2026,12,1)),AC42,0))))</f>
        <v>0</v>
      </c>
      <c r="AE42" s="14" t="n">
        <f aca="false">IF(AND($A42&lt;&gt;"",$A42&lt;Parameters!$B$14),CityData!F6*(1+TAXRATE),0)</f>
        <v>0</v>
      </c>
      <c r="AF42" s="14" t="n">
        <f aca="false">IF($A42="",0,IFERROR(VLOOKUP((YEAR($A42)+IF(MONTH($A42)&gt;=10,1,0))&amp;"|Phoenix|"&amp;MONTH($A42),Rates!$A$2:$I$181,5,FALSE()),0))</f>
        <v>0</v>
      </c>
      <c r="AG42" s="14" t="n">
        <f aca="false">IF(OR($A42="",$A42&gt;=Parameters!$B$14),1,IF(AND(AF42&gt;0,CityData!F6&lt;=AF42),1,0))</f>
        <v>1</v>
      </c>
      <c r="AH42" s="14" t="n">
        <f aca="false">IF($A42="",0,IFERROR(VLOOKUP((YEAR($A42)+IF(MONTH($A42)&gt;=10,1,0))&amp;"|Seattle|"&amp;MONTH($A42),Rates!$A$2:$I$181,6,FALSE()),0))</f>
        <v>0</v>
      </c>
      <c r="AI42" s="14" t="n">
        <f aca="false">IF(AH42=0,0,VLOOKUP(AH42,MIE_Components!$A$2:$F$6,2,FALSE()))</f>
        <v>0</v>
      </c>
      <c r="AJ42" s="14" t="n">
        <f aca="false">IF(AH42=0,0,VLOOKUP(AH42,MIE_Components!$A$2:$F$6,3,FALSE()))</f>
        <v>0</v>
      </c>
      <c r="AK42" s="14" t="n">
        <f aca="false">IF(AH42=0,0,VLOOKUP(AH42,MIE_Components!$A$2:$F$6,4,FALSE()))</f>
        <v>0</v>
      </c>
      <c r="AL42" s="14" t="n">
        <f aca="false">IF(OR($A42="",AH42=0),0,MAX(5,AH42*IF(OR($A42=Parameters!$B$13,$A42=Parameters!$B$14),0.75,1)-(IF(AND($A42=DATE(2026,11,29),NOV29BF="Yes"),AI42,0)+IF(OR($A42=DATE(2026,11,29),$A42=DATE(2026,11,30),$A42=DATE(2026,12,1),$A42=DATE(2026,12,2)),AJ42,0)+IF(OR($A42=DATE(2026,11,28),$A42=DATE(2026,12,1)),AK42,0))))</f>
        <v>0</v>
      </c>
      <c r="AM42" s="14" t="n">
        <f aca="false">IF(AND($A42&lt;&gt;"",$A42&lt;Parameters!$B$14),CityData!F7*(1+TAXRATE),0)</f>
        <v>0</v>
      </c>
      <c r="AN42" s="14" t="n">
        <f aca="false">IF($A42="",0,IFERROR(VLOOKUP((YEAR($A42)+IF(MONTH($A42)&gt;=10,1,0))&amp;"|Seattle|"&amp;MONTH($A42),Rates!$A$2:$I$181,5,FALSE()),0))</f>
        <v>0</v>
      </c>
      <c r="AO42" s="14" t="n">
        <f aca="false">IF(OR($A42="",$A42&gt;=Parameters!$B$14),1,IF(AND(AN42&gt;0,CityData!F7&lt;=AN42),1,0))</f>
        <v>1</v>
      </c>
    </row>
    <row r="43" customFormat="false" ht="15" hidden="false" customHeight="true" outlineLevel="0" collapsed="false">
      <c r="A43" s="23" t="str">
        <f aca="false">IF(AND(Parameters!$B$14&gt;=Parameters!$B$13,ROW()-2&lt;=Parameters!$B$14-Parameters!$B$13),Parameters!$B$13+ROW()-2,"")</f>
        <v/>
      </c>
      <c r="B43" s="14" t="n">
        <f aca="false">IF($A43="",0,IFERROR(VLOOKUP((YEAR($A43)+IF(MONTH($A43)&gt;=10,1,0))&amp;"|Boston|"&amp;MONTH($A43),Rates!$A$2:$I$181,6,FALSE()),0))</f>
        <v>0</v>
      </c>
      <c r="C43" s="14" t="n">
        <f aca="false">IF(B43=0,0,VLOOKUP(B43,MIE_Components!$A$2:$F$6,2,FALSE()))</f>
        <v>0</v>
      </c>
      <c r="D43" s="14" t="n">
        <f aca="false">IF(B43=0,0,VLOOKUP(B43,MIE_Components!$A$2:$F$6,3,FALSE()))</f>
        <v>0</v>
      </c>
      <c r="E43" s="14" t="n">
        <f aca="false">IF(B43=0,0,VLOOKUP(B43,MIE_Components!$A$2:$F$6,4,FALSE()))</f>
        <v>0</v>
      </c>
      <c r="F43" s="14" t="n">
        <f aca="false">IF(OR($A43="",B43=0),0,MAX(5,B43*IF(OR($A43=Parameters!$B$13,$A43=Parameters!$B$14),0.75,1)-(IF(AND($A43=DATE(2026,11,29),NOV29BF="Yes"),C43,0)+IF(OR($A43=DATE(2026,11,29),$A43=DATE(2026,11,30),$A43=DATE(2026,12,1),$A43=DATE(2026,12,2)),D43,0)+IF(OR($A43=DATE(2026,11,28),$A43=DATE(2026,12,1)),E43,0))))</f>
        <v>0</v>
      </c>
      <c r="G43" s="14" t="n">
        <f aca="false">IF(AND($A43&lt;&gt;"",$A43&lt;Parameters!$B$14),CityData!F3*(1+TAXRATE),0)</f>
        <v>0</v>
      </c>
      <c r="H43" s="14" t="n">
        <f aca="false">IF($A43="",0,IFERROR(VLOOKUP((YEAR($A43)+IF(MONTH($A43)&gt;=10,1,0))&amp;"|Boston|"&amp;MONTH($A43),Rates!$A$2:$I$181,5,FALSE()),0))</f>
        <v>0</v>
      </c>
      <c r="I43" s="14" t="n">
        <f aca="false">IF(OR($A43="",$A43&gt;=Parameters!$B$14),1,IF(AND(H43&gt;0,CityData!F3&lt;=H43),1,0))</f>
        <v>1</v>
      </c>
      <c r="J43" s="14" t="n">
        <f aca="false">IF($A43="",0,IFERROR(VLOOKUP((YEAR($A43)+IF(MONTH($A43)&gt;=10,1,0))&amp;"|Chicago|"&amp;MONTH($A43),Rates!$A$2:$I$181,6,FALSE()),0))</f>
        <v>0</v>
      </c>
      <c r="K43" s="14" t="n">
        <f aca="false">IF(J43=0,0,VLOOKUP(J43,MIE_Components!$A$2:$F$6,2,FALSE()))</f>
        <v>0</v>
      </c>
      <c r="L43" s="14" t="n">
        <f aca="false">IF(J43=0,0,VLOOKUP(J43,MIE_Components!$A$2:$F$6,3,FALSE()))</f>
        <v>0</v>
      </c>
      <c r="M43" s="14" t="n">
        <f aca="false">IF(J43=0,0,VLOOKUP(J43,MIE_Components!$A$2:$F$6,4,FALSE()))</f>
        <v>0</v>
      </c>
      <c r="N43" s="14" t="n">
        <f aca="false">IF(OR($A43="",J43=0),0,MAX(5,J43*IF(OR($A43=Parameters!$B$13,$A43=Parameters!$B$14),0.75,1)-(IF(AND($A43=DATE(2026,11,29),NOV29BF="Yes"),K43,0)+IF(OR($A43=DATE(2026,11,29),$A43=DATE(2026,11,30),$A43=DATE(2026,12,1),$A43=DATE(2026,12,2)),L43,0)+IF(OR($A43=DATE(2026,11,28),$A43=DATE(2026,12,1)),M43,0))))</f>
        <v>0</v>
      </c>
      <c r="O43" s="14" t="n">
        <f aca="false">IF(AND($A43&lt;&gt;"",$A43&lt;Parameters!$B$14),CityData!F4*(1+TAXRATE),0)</f>
        <v>0</v>
      </c>
      <c r="P43" s="14" t="n">
        <f aca="false">IF($A43="",0,IFERROR(VLOOKUP((YEAR($A43)+IF(MONTH($A43)&gt;=10,1,0))&amp;"|Chicago|"&amp;MONTH($A43),Rates!$A$2:$I$181,5,FALSE()),0))</f>
        <v>0</v>
      </c>
      <c r="Q43" s="14" t="n">
        <f aca="false">IF(OR($A43="",$A43&gt;=Parameters!$B$14),1,IF(AND(P43&gt;0,CityData!F4&lt;=P43),1,0))</f>
        <v>1</v>
      </c>
      <c r="R43" s="14" t="n">
        <f aca="false">IF($A43="",0,IFERROR(VLOOKUP((YEAR($A43)+IF(MONTH($A43)&gt;=10,1,0))&amp;"|Denver|"&amp;MONTH($A43),Rates!$A$2:$I$181,6,FALSE()),0))</f>
        <v>0</v>
      </c>
      <c r="S43" s="14" t="n">
        <f aca="false">IF(R43=0,0,VLOOKUP(R43,MIE_Components!$A$2:$F$6,2,FALSE()))</f>
        <v>0</v>
      </c>
      <c r="T43" s="14" t="n">
        <f aca="false">IF(R43=0,0,VLOOKUP(R43,MIE_Components!$A$2:$F$6,3,FALSE()))</f>
        <v>0</v>
      </c>
      <c r="U43" s="14" t="n">
        <f aca="false">IF(R43=0,0,VLOOKUP(R43,MIE_Components!$A$2:$F$6,4,FALSE()))</f>
        <v>0</v>
      </c>
      <c r="V43" s="14" t="n">
        <f aca="false">IF(OR($A43="",R43=0),0,MAX(5,R43*IF(OR($A43=Parameters!$B$13,$A43=Parameters!$B$14),0.75,1)-(IF(AND($A43=DATE(2026,11,29),NOV29BF="Yes"),S43,0)+IF(OR($A43=DATE(2026,11,29),$A43=DATE(2026,11,30),$A43=DATE(2026,12,1),$A43=DATE(2026,12,2)),T43,0)+IF(OR($A43=DATE(2026,11,28),$A43=DATE(2026,12,1)),U43,0))))</f>
        <v>0</v>
      </c>
      <c r="W43" s="14" t="n">
        <f aca="false">IF(AND($A43&lt;&gt;"",$A43&lt;Parameters!$B$14),CityData!F5*(1+TAXRATE),0)</f>
        <v>0</v>
      </c>
      <c r="X43" s="14" t="n">
        <f aca="false">IF($A43="",0,IFERROR(VLOOKUP((YEAR($A43)+IF(MONTH($A43)&gt;=10,1,0))&amp;"|Denver|"&amp;MONTH($A43),Rates!$A$2:$I$181,5,FALSE()),0))</f>
        <v>0</v>
      </c>
      <c r="Y43" s="14" t="n">
        <f aca="false">IF(OR($A43="",$A43&gt;=Parameters!$B$14),1,IF(AND(X43&gt;0,CityData!F5&lt;=X43),1,0))</f>
        <v>1</v>
      </c>
      <c r="Z43" s="14" t="n">
        <f aca="false">IF($A43="",0,IFERROR(VLOOKUP((YEAR($A43)+IF(MONTH($A43)&gt;=10,1,0))&amp;"|Phoenix|"&amp;MONTH($A43),Rates!$A$2:$I$181,6,FALSE()),0))</f>
        <v>0</v>
      </c>
      <c r="AA43" s="14" t="n">
        <f aca="false">IF(Z43=0,0,VLOOKUP(Z43,MIE_Components!$A$2:$F$6,2,FALSE()))</f>
        <v>0</v>
      </c>
      <c r="AB43" s="14" t="n">
        <f aca="false">IF(Z43=0,0,VLOOKUP(Z43,MIE_Components!$A$2:$F$6,3,FALSE()))</f>
        <v>0</v>
      </c>
      <c r="AC43" s="14" t="n">
        <f aca="false">IF(Z43=0,0,VLOOKUP(Z43,MIE_Components!$A$2:$F$6,4,FALSE()))</f>
        <v>0</v>
      </c>
      <c r="AD43" s="14" t="n">
        <f aca="false">IF(OR($A43="",Z43=0),0,MAX(5,Z43*IF(OR($A43=Parameters!$B$13,$A43=Parameters!$B$14),0.75,1)-(IF(AND($A43=DATE(2026,11,29),NOV29BF="Yes"),AA43,0)+IF(OR($A43=DATE(2026,11,29),$A43=DATE(2026,11,30),$A43=DATE(2026,12,1),$A43=DATE(2026,12,2)),AB43,0)+IF(OR($A43=DATE(2026,11,28),$A43=DATE(2026,12,1)),AC43,0))))</f>
        <v>0</v>
      </c>
      <c r="AE43" s="14" t="n">
        <f aca="false">IF(AND($A43&lt;&gt;"",$A43&lt;Parameters!$B$14),CityData!F6*(1+TAXRATE),0)</f>
        <v>0</v>
      </c>
      <c r="AF43" s="14" t="n">
        <f aca="false">IF($A43="",0,IFERROR(VLOOKUP((YEAR($A43)+IF(MONTH($A43)&gt;=10,1,0))&amp;"|Phoenix|"&amp;MONTH($A43),Rates!$A$2:$I$181,5,FALSE()),0))</f>
        <v>0</v>
      </c>
      <c r="AG43" s="14" t="n">
        <f aca="false">IF(OR($A43="",$A43&gt;=Parameters!$B$14),1,IF(AND(AF43&gt;0,CityData!F6&lt;=AF43),1,0))</f>
        <v>1</v>
      </c>
      <c r="AH43" s="14" t="n">
        <f aca="false">IF($A43="",0,IFERROR(VLOOKUP((YEAR($A43)+IF(MONTH($A43)&gt;=10,1,0))&amp;"|Seattle|"&amp;MONTH($A43),Rates!$A$2:$I$181,6,FALSE()),0))</f>
        <v>0</v>
      </c>
      <c r="AI43" s="14" t="n">
        <f aca="false">IF(AH43=0,0,VLOOKUP(AH43,MIE_Components!$A$2:$F$6,2,FALSE()))</f>
        <v>0</v>
      </c>
      <c r="AJ43" s="14" t="n">
        <f aca="false">IF(AH43=0,0,VLOOKUP(AH43,MIE_Components!$A$2:$F$6,3,FALSE()))</f>
        <v>0</v>
      </c>
      <c r="AK43" s="14" t="n">
        <f aca="false">IF(AH43=0,0,VLOOKUP(AH43,MIE_Components!$A$2:$F$6,4,FALSE()))</f>
        <v>0</v>
      </c>
      <c r="AL43" s="14" t="n">
        <f aca="false">IF(OR($A43="",AH43=0),0,MAX(5,AH43*IF(OR($A43=Parameters!$B$13,$A43=Parameters!$B$14),0.75,1)-(IF(AND($A43=DATE(2026,11,29),NOV29BF="Yes"),AI43,0)+IF(OR($A43=DATE(2026,11,29),$A43=DATE(2026,11,30),$A43=DATE(2026,12,1),$A43=DATE(2026,12,2)),AJ43,0)+IF(OR($A43=DATE(2026,11,28),$A43=DATE(2026,12,1)),AK43,0))))</f>
        <v>0</v>
      </c>
      <c r="AM43" s="14" t="n">
        <f aca="false">IF(AND($A43&lt;&gt;"",$A43&lt;Parameters!$B$14),CityData!F7*(1+TAXRATE),0)</f>
        <v>0</v>
      </c>
      <c r="AN43" s="14" t="n">
        <f aca="false">IF($A43="",0,IFERROR(VLOOKUP((YEAR($A43)+IF(MONTH($A43)&gt;=10,1,0))&amp;"|Seattle|"&amp;MONTH($A43),Rates!$A$2:$I$181,5,FALSE()),0))</f>
        <v>0</v>
      </c>
      <c r="AO43" s="14" t="n">
        <f aca="false">IF(OR($A43="",$A43&gt;=Parameters!$B$14),1,IF(AND(AN43&gt;0,CityData!F7&lt;=AN43),1,0))</f>
        <v>1</v>
      </c>
    </row>
    <row r="44" customFormat="false" ht="15" hidden="false" customHeight="true" outlineLevel="0" collapsed="false">
      <c r="A44" s="23" t="str">
        <f aca="false">IF(AND(Parameters!$B$14&gt;=Parameters!$B$13,ROW()-2&lt;=Parameters!$B$14-Parameters!$B$13),Parameters!$B$13+ROW()-2,"")</f>
        <v/>
      </c>
      <c r="B44" s="14" t="n">
        <f aca="false">IF($A44="",0,IFERROR(VLOOKUP((YEAR($A44)+IF(MONTH($A44)&gt;=10,1,0))&amp;"|Boston|"&amp;MONTH($A44),Rates!$A$2:$I$181,6,FALSE()),0))</f>
        <v>0</v>
      </c>
      <c r="C44" s="14" t="n">
        <f aca="false">IF(B44=0,0,VLOOKUP(B44,MIE_Components!$A$2:$F$6,2,FALSE()))</f>
        <v>0</v>
      </c>
      <c r="D44" s="14" t="n">
        <f aca="false">IF(B44=0,0,VLOOKUP(B44,MIE_Components!$A$2:$F$6,3,FALSE()))</f>
        <v>0</v>
      </c>
      <c r="E44" s="14" t="n">
        <f aca="false">IF(B44=0,0,VLOOKUP(B44,MIE_Components!$A$2:$F$6,4,FALSE()))</f>
        <v>0</v>
      </c>
      <c r="F44" s="14" t="n">
        <f aca="false">IF(OR($A44="",B44=0),0,MAX(5,B44*IF(OR($A44=Parameters!$B$13,$A44=Parameters!$B$14),0.75,1)-(IF(AND($A44=DATE(2026,11,29),NOV29BF="Yes"),C44,0)+IF(OR($A44=DATE(2026,11,29),$A44=DATE(2026,11,30),$A44=DATE(2026,12,1),$A44=DATE(2026,12,2)),D44,0)+IF(OR($A44=DATE(2026,11,28),$A44=DATE(2026,12,1)),E44,0))))</f>
        <v>0</v>
      </c>
      <c r="G44" s="14" t="n">
        <f aca="false">IF(AND($A44&lt;&gt;"",$A44&lt;Parameters!$B$14),CityData!F3*(1+TAXRATE),0)</f>
        <v>0</v>
      </c>
      <c r="H44" s="14" t="n">
        <f aca="false">IF($A44="",0,IFERROR(VLOOKUP((YEAR($A44)+IF(MONTH($A44)&gt;=10,1,0))&amp;"|Boston|"&amp;MONTH($A44),Rates!$A$2:$I$181,5,FALSE()),0))</f>
        <v>0</v>
      </c>
      <c r="I44" s="14" t="n">
        <f aca="false">IF(OR($A44="",$A44&gt;=Parameters!$B$14),1,IF(AND(H44&gt;0,CityData!F3&lt;=H44),1,0))</f>
        <v>1</v>
      </c>
      <c r="J44" s="14" t="n">
        <f aca="false">IF($A44="",0,IFERROR(VLOOKUP((YEAR($A44)+IF(MONTH($A44)&gt;=10,1,0))&amp;"|Chicago|"&amp;MONTH($A44),Rates!$A$2:$I$181,6,FALSE()),0))</f>
        <v>0</v>
      </c>
      <c r="K44" s="14" t="n">
        <f aca="false">IF(J44=0,0,VLOOKUP(J44,MIE_Components!$A$2:$F$6,2,FALSE()))</f>
        <v>0</v>
      </c>
      <c r="L44" s="14" t="n">
        <f aca="false">IF(J44=0,0,VLOOKUP(J44,MIE_Components!$A$2:$F$6,3,FALSE()))</f>
        <v>0</v>
      </c>
      <c r="M44" s="14" t="n">
        <f aca="false">IF(J44=0,0,VLOOKUP(J44,MIE_Components!$A$2:$F$6,4,FALSE()))</f>
        <v>0</v>
      </c>
      <c r="N44" s="14" t="n">
        <f aca="false">IF(OR($A44="",J44=0),0,MAX(5,J44*IF(OR($A44=Parameters!$B$13,$A44=Parameters!$B$14),0.75,1)-(IF(AND($A44=DATE(2026,11,29),NOV29BF="Yes"),K44,0)+IF(OR($A44=DATE(2026,11,29),$A44=DATE(2026,11,30),$A44=DATE(2026,12,1),$A44=DATE(2026,12,2)),L44,0)+IF(OR($A44=DATE(2026,11,28),$A44=DATE(2026,12,1)),M44,0))))</f>
        <v>0</v>
      </c>
      <c r="O44" s="14" t="n">
        <f aca="false">IF(AND($A44&lt;&gt;"",$A44&lt;Parameters!$B$14),CityData!F4*(1+TAXRATE),0)</f>
        <v>0</v>
      </c>
      <c r="P44" s="14" t="n">
        <f aca="false">IF($A44="",0,IFERROR(VLOOKUP((YEAR($A44)+IF(MONTH($A44)&gt;=10,1,0))&amp;"|Chicago|"&amp;MONTH($A44),Rates!$A$2:$I$181,5,FALSE()),0))</f>
        <v>0</v>
      </c>
      <c r="Q44" s="14" t="n">
        <f aca="false">IF(OR($A44="",$A44&gt;=Parameters!$B$14),1,IF(AND(P44&gt;0,CityData!F4&lt;=P44),1,0))</f>
        <v>1</v>
      </c>
      <c r="R44" s="14" t="n">
        <f aca="false">IF($A44="",0,IFERROR(VLOOKUP((YEAR($A44)+IF(MONTH($A44)&gt;=10,1,0))&amp;"|Denver|"&amp;MONTH($A44),Rates!$A$2:$I$181,6,FALSE()),0))</f>
        <v>0</v>
      </c>
      <c r="S44" s="14" t="n">
        <f aca="false">IF(R44=0,0,VLOOKUP(R44,MIE_Components!$A$2:$F$6,2,FALSE()))</f>
        <v>0</v>
      </c>
      <c r="T44" s="14" t="n">
        <f aca="false">IF(R44=0,0,VLOOKUP(R44,MIE_Components!$A$2:$F$6,3,FALSE()))</f>
        <v>0</v>
      </c>
      <c r="U44" s="14" t="n">
        <f aca="false">IF(R44=0,0,VLOOKUP(R44,MIE_Components!$A$2:$F$6,4,FALSE()))</f>
        <v>0</v>
      </c>
      <c r="V44" s="14" t="n">
        <f aca="false">IF(OR($A44="",R44=0),0,MAX(5,R44*IF(OR($A44=Parameters!$B$13,$A44=Parameters!$B$14),0.75,1)-(IF(AND($A44=DATE(2026,11,29),NOV29BF="Yes"),S44,0)+IF(OR($A44=DATE(2026,11,29),$A44=DATE(2026,11,30),$A44=DATE(2026,12,1),$A44=DATE(2026,12,2)),T44,0)+IF(OR($A44=DATE(2026,11,28),$A44=DATE(2026,12,1)),U44,0))))</f>
        <v>0</v>
      </c>
      <c r="W44" s="14" t="n">
        <f aca="false">IF(AND($A44&lt;&gt;"",$A44&lt;Parameters!$B$14),CityData!F5*(1+TAXRATE),0)</f>
        <v>0</v>
      </c>
      <c r="X44" s="14" t="n">
        <f aca="false">IF($A44="",0,IFERROR(VLOOKUP((YEAR($A44)+IF(MONTH($A44)&gt;=10,1,0))&amp;"|Denver|"&amp;MONTH($A44),Rates!$A$2:$I$181,5,FALSE()),0))</f>
        <v>0</v>
      </c>
      <c r="Y44" s="14" t="n">
        <f aca="false">IF(OR($A44="",$A44&gt;=Parameters!$B$14),1,IF(AND(X44&gt;0,CityData!F5&lt;=X44),1,0))</f>
        <v>1</v>
      </c>
      <c r="Z44" s="14" t="n">
        <f aca="false">IF($A44="",0,IFERROR(VLOOKUP((YEAR($A44)+IF(MONTH($A44)&gt;=10,1,0))&amp;"|Phoenix|"&amp;MONTH($A44),Rates!$A$2:$I$181,6,FALSE()),0))</f>
        <v>0</v>
      </c>
      <c r="AA44" s="14" t="n">
        <f aca="false">IF(Z44=0,0,VLOOKUP(Z44,MIE_Components!$A$2:$F$6,2,FALSE()))</f>
        <v>0</v>
      </c>
      <c r="AB44" s="14" t="n">
        <f aca="false">IF(Z44=0,0,VLOOKUP(Z44,MIE_Components!$A$2:$F$6,3,FALSE()))</f>
        <v>0</v>
      </c>
      <c r="AC44" s="14" t="n">
        <f aca="false">IF(Z44=0,0,VLOOKUP(Z44,MIE_Components!$A$2:$F$6,4,FALSE()))</f>
        <v>0</v>
      </c>
      <c r="AD44" s="14" t="n">
        <f aca="false">IF(OR($A44="",Z44=0),0,MAX(5,Z44*IF(OR($A44=Parameters!$B$13,$A44=Parameters!$B$14),0.75,1)-(IF(AND($A44=DATE(2026,11,29),NOV29BF="Yes"),AA44,0)+IF(OR($A44=DATE(2026,11,29),$A44=DATE(2026,11,30),$A44=DATE(2026,12,1),$A44=DATE(2026,12,2)),AB44,0)+IF(OR($A44=DATE(2026,11,28),$A44=DATE(2026,12,1)),AC44,0))))</f>
        <v>0</v>
      </c>
      <c r="AE44" s="14" t="n">
        <f aca="false">IF(AND($A44&lt;&gt;"",$A44&lt;Parameters!$B$14),CityData!F6*(1+TAXRATE),0)</f>
        <v>0</v>
      </c>
      <c r="AF44" s="14" t="n">
        <f aca="false">IF($A44="",0,IFERROR(VLOOKUP((YEAR($A44)+IF(MONTH($A44)&gt;=10,1,0))&amp;"|Phoenix|"&amp;MONTH($A44),Rates!$A$2:$I$181,5,FALSE()),0))</f>
        <v>0</v>
      </c>
      <c r="AG44" s="14" t="n">
        <f aca="false">IF(OR($A44="",$A44&gt;=Parameters!$B$14),1,IF(AND(AF44&gt;0,CityData!F6&lt;=AF44),1,0))</f>
        <v>1</v>
      </c>
      <c r="AH44" s="14" t="n">
        <f aca="false">IF($A44="",0,IFERROR(VLOOKUP((YEAR($A44)+IF(MONTH($A44)&gt;=10,1,0))&amp;"|Seattle|"&amp;MONTH($A44),Rates!$A$2:$I$181,6,FALSE()),0))</f>
        <v>0</v>
      </c>
      <c r="AI44" s="14" t="n">
        <f aca="false">IF(AH44=0,0,VLOOKUP(AH44,MIE_Components!$A$2:$F$6,2,FALSE()))</f>
        <v>0</v>
      </c>
      <c r="AJ44" s="14" t="n">
        <f aca="false">IF(AH44=0,0,VLOOKUP(AH44,MIE_Components!$A$2:$F$6,3,FALSE()))</f>
        <v>0</v>
      </c>
      <c r="AK44" s="14" t="n">
        <f aca="false">IF(AH44=0,0,VLOOKUP(AH44,MIE_Components!$A$2:$F$6,4,FALSE()))</f>
        <v>0</v>
      </c>
      <c r="AL44" s="14" t="n">
        <f aca="false">IF(OR($A44="",AH44=0),0,MAX(5,AH44*IF(OR($A44=Parameters!$B$13,$A44=Parameters!$B$14),0.75,1)-(IF(AND($A44=DATE(2026,11,29),NOV29BF="Yes"),AI44,0)+IF(OR($A44=DATE(2026,11,29),$A44=DATE(2026,11,30),$A44=DATE(2026,12,1),$A44=DATE(2026,12,2)),AJ44,0)+IF(OR($A44=DATE(2026,11,28),$A44=DATE(2026,12,1)),AK44,0))))</f>
        <v>0</v>
      </c>
      <c r="AM44" s="14" t="n">
        <f aca="false">IF(AND($A44&lt;&gt;"",$A44&lt;Parameters!$B$14),CityData!F7*(1+TAXRATE),0)</f>
        <v>0</v>
      </c>
      <c r="AN44" s="14" t="n">
        <f aca="false">IF($A44="",0,IFERROR(VLOOKUP((YEAR($A44)+IF(MONTH($A44)&gt;=10,1,0))&amp;"|Seattle|"&amp;MONTH($A44),Rates!$A$2:$I$181,5,FALSE()),0))</f>
        <v>0</v>
      </c>
      <c r="AO44" s="14" t="n">
        <f aca="false">IF(OR($A44="",$A44&gt;=Parameters!$B$14),1,IF(AND(AN44&gt;0,CityData!F7&lt;=AN44),1,0))</f>
        <v>1</v>
      </c>
    </row>
    <row r="45" customFormat="false" ht="15" hidden="false" customHeight="true" outlineLevel="0" collapsed="false">
      <c r="A45" s="23" t="str">
        <f aca="false">IF(AND(Parameters!$B$14&gt;=Parameters!$B$13,ROW()-2&lt;=Parameters!$B$14-Parameters!$B$13),Parameters!$B$13+ROW()-2,"")</f>
        <v/>
      </c>
      <c r="B45" s="14" t="n">
        <f aca="false">IF($A45="",0,IFERROR(VLOOKUP((YEAR($A45)+IF(MONTH($A45)&gt;=10,1,0))&amp;"|Boston|"&amp;MONTH($A45),Rates!$A$2:$I$181,6,FALSE()),0))</f>
        <v>0</v>
      </c>
      <c r="C45" s="14" t="n">
        <f aca="false">IF(B45=0,0,VLOOKUP(B45,MIE_Components!$A$2:$F$6,2,FALSE()))</f>
        <v>0</v>
      </c>
      <c r="D45" s="14" t="n">
        <f aca="false">IF(B45=0,0,VLOOKUP(B45,MIE_Components!$A$2:$F$6,3,FALSE()))</f>
        <v>0</v>
      </c>
      <c r="E45" s="14" t="n">
        <f aca="false">IF(B45=0,0,VLOOKUP(B45,MIE_Components!$A$2:$F$6,4,FALSE()))</f>
        <v>0</v>
      </c>
      <c r="F45" s="14" t="n">
        <f aca="false">IF(OR($A45="",B45=0),0,MAX(5,B45*IF(OR($A45=Parameters!$B$13,$A45=Parameters!$B$14),0.75,1)-(IF(AND($A45=DATE(2026,11,29),NOV29BF="Yes"),C45,0)+IF(OR($A45=DATE(2026,11,29),$A45=DATE(2026,11,30),$A45=DATE(2026,12,1),$A45=DATE(2026,12,2)),D45,0)+IF(OR($A45=DATE(2026,11,28),$A45=DATE(2026,12,1)),E45,0))))</f>
        <v>0</v>
      </c>
      <c r="G45" s="14" t="n">
        <f aca="false">IF(AND($A45&lt;&gt;"",$A45&lt;Parameters!$B$14),CityData!F3*(1+TAXRATE),0)</f>
        <v>0</v>
      </c>
      <c r="H45" s="14" t="n">
        <f aca="false">IF($A45="",0,IFERROR(VLOOKUP((YEAR($A45)+IF(MONTH($A45)&gt;=10,1,0))&amp;"|Boston|"&amp;MONTH($A45),Rates!$A$2:$I$181,5,FALSE()),0))</f>
        <v>0</v>
      </c>
      <c r="I45" s="14" t="n">
        <f aca="false">IF(OR($A45="",$A45&gt;=Parameters!$B$14),1,IF(AND(H45&gt;0,CityData!F3&lt;=H45),1,0))</f>
        <v>1</v>
      </c>
      <c r="J45" s="14" t="n">
        <f aca="false">IF($A45="",0,IFERROR(VLOOKUP((YEAR($A45)+IF(MONTH($A45)&gt;=10,1,0))&amp;"|Chicago|"&amp;MONTH($A45),Rates!$A$2:$I$181,6,FALSE()),0))</f>
        <v>0</v>
      </c>
      <c r="K45" s="14" t="n">
        <f aca="false">IF(J45=0,0,VLOOKUP(J45,MIE_Components!$A$2:$F$6,2,FALSE()))</f>
        <v>0</v>
      </c>
      <c r="L45" s="14" t="n">
        <f aca="false">IF(J45=0,0,VLOOKUP(J45,MIE_Components!$A$2:$F$6,3,FALSE()))</f>
        <v>0</v>
      </c>
      <c r="M45" s="14" t="n">
        <f aca="false">IF(J45=0,0,VLOOKUP(J45,MIE_Components!$A$2:$F$6,4,FALSE()))</f>
        <v>0</v>
      </c>
      <c r="N45" s="14" t="n">
        <f aca="false">IF(OR($A45="",J45=0),0,MAX(5,J45*IF(OR($A45=Parameters!$B$13,$A45=Parameters!$B$14),0.75,1)-(IF(AND($A45=DATE(2026,11,29),NOV29BF="Yes"),K45,0)+IF(OR($A45=DATE(2026,11,29),$A45=DATE(2026,11,30),$A45=DATE(2026,12,1),$A45=DATE(2026,12,2)),L45,0)+IF(OR($A45=DATE(2026,11,28),$A45=DATE(2026,12,1)),M45,0))))</f>
        <v>0</v>
      </c>
      <c r="O45" s="14" t="n">
        <f aca="false">IF(AND($A45&lt;&gt;"",$A45&lt;Parameters!$B$14),CityData!F4*(1+TAXRATE),0)</f>
        <v>0</v>
      </c>
      <c r="P45" s="14" t="n">
        <f aca="false">IF($A45="",0,IFERROR(VLOOKUP((YEAR($A45)+IF(MONTH($A45)&gt;=10,1,0))&amp;"|Chicago|"&amp;MONTH($A45),Rates!$A$2:$I$181,5,FALSE()),0))</f>
        <v>0</v>
      </c>
      <c r="Q45" s="14" t="n">
        <f aca="false">IF(OR($A45="",$A45&gt;=Parameters!$B$14),1,IF(AND(P45&gt;0,CityData!F4&lt;=P45),1,0))</f>
        <v>1</v>
      </c>
      <c r="R45" s="14" t="n">
        <f aca="false">IF($A45="",0,IFERROR(VLOOKUP((YEAR($A45)+IF(MONTH($A45)&gt;=10,1,0))&amp;"|Denver|"&amp;MONTH($A45),Rates!$A$2:$I$181,6,FALSE()),0))</f>
        <v>0</v>
      </c>
      <c r="S45" s="14" t="n">
        <f aca="false">IF(R45=0,0,VLOOKUP(R45,MIE_Components!$A$2:$F$6,2,FALSE()))</f>
        <v>0</v>
      </c>
      <c r="T45" s="14" t="n">
        <f aca="false">IF(R45=0,0,VLOOKUP(R45,MIE_Components!$A$2:$F$6,3,FALSE()))</f>
        <v>0</v>
      </c>
      <c r="U45" s="14" t="n">
        <f aca="false">IF(R45=0,0,VLOOKUP(R45,MIE_Components!$A$2:$F$6,4,FALSE()))</f>
        <v>0</v>
      </c>
      <c r="V45" s="14" t="n">
        <f aca="false">IF(OR($A45="",R45=0),0,MAX(5,R45*IF(OR($A45=Parameters!$B$13,$A45=Parameters!$B$14),0.75,1)-(IF(AND($A45=DATE(2026,11,29),NOV29BF="Yes"),S45,0)+IF(OR($A45=DATE(2026,11,29),$A45=DATE(2026,11,30),$A45=DATE(2026,12,1),$A45=DATE(2026,12,2)),T45,0)+IF(OR($A45=DATE(2026,11,28),$A45=DATE(2026,12,1)),U45,0))))</f>
        <v>0</v>
      </c>
      <c r="W45" s="14" t="n">
        <f aca="false">IF(AND($A45&lt;&gt;"",$A45&lt;Parameters!$B$14),CityData!F5*(1+TAXRATE),0)</f>
        <v>0</v>
      </c>
      <c r="X45" s="14" t="n">
        <f aca="false">IF($A45="",0,IFERROR(VLOOKUP((YEAR($A45)+IF(MONTH($A45)&gt;=10,1,0))&amp;"|Denver|"&amp;MONTH($A45),Rates!$A$2:$I$181,5,FALSE()),0))</f>
        <v>0</v>
      </c>
      <c r="Y45" s="14" t="n">
        <f aca="false">IF(OR($A45="",$A45&gt;=Parameters!$B$14),1,IF(AND(X45&gt;0,CityData!F5&lt;=X45),1,0))</f>
        <v>1</v>
      </c>
      <c r="Z45" s="14" t="n">
        <f aca="false">IF($A45="",0,IFERROR(VLOOKUP((YEAR($A45)+IF(MONTH($A45)&gt;=10,1,0))&amp;"|Phoenix|"&amp;MONTH($A45),Rates!$A$2:$I$181,6,FALSE()),0))</f>
        <v>0</v>
      </c>
      <c r="AA45" s="14" t="n">
        <f aca="false">IF(Z45=0,0,VLOOKUP(Z45,MIE_Components!$A$2:$F$6,2,FALSE()))</f>
        <v>0</v>
      </c>
      <c r="AB45" s="14" t="n">
        <f aca="false">IF(Z45=0,0,VLOOKUP(Z45,MIE_Components!$A$2:$F$6,3,FALSE()))</f>
        <v>0</v>
      </c>
      <c r="AC45" s="14" t="n">
        <f aca="false">IF(Z45=0,0,VLOOKUP(Z45,MIE_Components!$A$2:$F$6,4,FALSE()))</f>
        <v>0</v>
      </c>
      <c r="AD45" s="14" t="n">
        <f aca="false">IF(OR($A45="",Z45=0),0,MAX(5,Z45*IF(OR($A45=Parameters!$B$13,$A45=Parameters!$B$14),0.75,1)-(IF(AND($A45=DATE(2026,11,29),NOV29BF="Yes"),AA45,0)+IF(OR($A45=DATE(2026,11,29),$A45=DATE(2026,11,30),$A45=DATE(2026,12,1),$A45=DATE(2026,12,2)),AB45,0)+IF(OR($A45=DATE(2026,11,28),$A45=DATE(2026,12,1)),AC45,0))))</f>
        <v>0</v>
      </c>
      <c r="AE45" s="14" t="n">
        <f aca="false">IF(AND($A45&lt;&gt;"",$A45&lt;Parameters!$B$14),CityData!F6*(1+TAXRATE),0)</f>
        <v>0</v>
      </c>
      <c r="AF45" s="14" t="n">
        <f aca="false">IF($A45="",0,IFERROR(VLOOKUP((YEAR($A45)+IF(MONTH($A45)&gt;=10,1,0))&amp;"|Phoenix|"&amp;MONTH($A45),Rates!$A$2:$I$181,5,FALSE()),0))</f>
        <v>0</v>
      </c>
      <c r="AG45" s="14" t="n">
        <f aca="false">IF(OR($A45="",$A45&gt;=Parameters!$B$14),1,IF(AND(AF45&gt;0,CityData!F6&lt;=AF45),1,0))</f>
        <v>1</v>
      </c>
      <c r="AH45" s="14" t="n">
        <f aca="false">IF($A45="",0,IFERROR(VLOOKUP((YEAR($A45)+IF(MONTH($A45)&gt;=10,1,0))&amp;"|Seattle|"&amp;MONTH($A45),Rates!$A$2:$I$181,6,FALSE()),0))</f>
        <v>0</v>
      </c>
      <c r="AI45" s="14" t="n">
        <f aca="false">IF(AH45=0,0,VLOOKUP(AH45,MIE_Components!$A$2:$F$6,2,FALSE()))</f>
        <v>0</v>
      </c>
      <c r="AJ45" s="14" t="n">
        <f aca="false">IF(AH45=0,0,VLOOKUP(AH45,MIE_Components!$A$2:$F$6,3,FALSE()))</f>
        <v>0</v>
      </c>
      <c r="AK45" s="14" t="n">
        <f aca="false">IF(AH45=0,0,VLOOKUP(AH45,MIE_Components!$A$2:$F$6,4,FALSE()))</f>
        <v>0</v>
      </c>
      <c r="AL45" s="14" t="n">
        <f aca="false">IF(OR($A45="",AH45=0),0,MAX(5,AH45*IF(OR($A45=Parameters!$B$13,$A45=Parameters!$B$14),0.75,1)-(IF(AND($A45=DATE(2026,11,29),NOV29BF="Yes"),AI45,0)+IF(OR($A45=DATE(2026,11,29),$A45=DATE(2026,11,30),$A45=DATE(2026,12,1),$A45=DATE(2026,12,2)),AJ45,0)+IF(OR($A45=DATE(2026,11,28),$A45=DATE(2026,12,1)),AK45,0))))</f>
        <v>0</v>
      </c>
      <c r="AM45" s="14" t="n">
        <f aca="false">IF(AND($A45&lt;&gt;"",$A45&lt;Parameters!$B$14),CityData!F7*(1+TAXRATE),0)</f>
        <v>0</v>
      </c>
      <c r="AN45" s="14" t="n">
        <f aca="false">IF($A45="",0,IFERROR(VLOOKUP((YEAR($A45)+IF(MONTH($A45)&gt;=10,1,0))&amp;"|Seattle|"&amp;MONTH($A45),Rates!$A$2:$I$181,5,FALSE()),0))</f>
        <v>0</v>
      </c>
      <c r="AO45" s="14" t="n">
        <f aca="false">IF(OR($A45="",$A45&gt;=Parameters!$B$14),1,IF(AND(AN45&gt;0,CityData!F7&lt;=AN45),1,0))</f>
        <v>1</v>
      </c>
    </row>
    <row r="46" customFormat="false" ht="15" hidden="false" customHeight="true" outlineLevel="0" collapsed="false">
      <c r="A46" s="23" t="str">
        <f aca="false">IF(AND(Parameters!$B$14&gt;=Parameters!$B$13,ROW()-2&lt;=Parameters!$B$14-Parameters!$B$13),Parameters!$B$13+ROW()-2,"")</f>
        <v/>
      </c>
      <c r="B46" s="14" t="n">
        <f aca="false">IF($A46="",0,IFERROR(VLOOKUP((YEAR($A46)+IF(MONTH($A46)&gt;=10,1,0))&amp;"|Boston|"&amp;MONTH($A46),Rates!$A$2:$I$181,6,FALSE()),0))</f>
        <v>0</v>
      </c>
      <c r="C46" s="14" t="n">
        <f aca="false">IF(B46=0,0,VLOOKUP(B46,MIE_Components!$A$2:$F$6,2,FALSE()))</f>
        <v>0</v>
      </c>
      <c r="D46" s="14" t="n">
        <f aca="false">IF(B46=0,0,VLOOKUP(B46,MIE_Components!$A$2:$F$6,3,FALSE()))</f>
        <v>0</v>
      </c>
      <c r="E46" s="14" t="n">
        <f aca="false">IF(B46=0,0,VLOOKUP(B46,MIE_Components!$A$2:$F$6,4,FALSE()))</f>
        <v>0</v>
      </c>
      <c r="F46" s="14" t="n">
        <f aca="false">IF(OR($A46="",B46=0),0,MAX(5,B46*IF(OR($A46=Parameters!$B$13,$A46=Parameters!$B$14),0.75,1)-(IF(AND($A46=DATE(2026,11,29),NOV29BF="Yes"),C46,0)+IF(OR($A46=DATE(2026,11,29),$A46=DATE(2026,11,30),$A46=DATE(2026,12,1),$A46=DATE(2026,12,2)),D46,0)+IF(OR($A46=DATE(2026,11,28),$A46=DATE(2026,12,1)),E46,0))))</f>
        <v>0</v>
      </c>
      <c r="G46" s="14" t="n">
        <f aca="false">IF(AND($A46&lt;&gt;"",$A46&lt;Parameters!$B$14),CityData!F3*(1+TAXRATE),0)</f>
        <v>0</v>
      </c>
      <c r="H46" s="14" t="n">
        <f aca="false">IF($A46="",0,IFERROR(VLOOKUP((YEAR($A46)+IF(MONTH($A46)&gt;=10,1,0))&amp;"|Boston|"&amp;MONTH($A46),Rates!$A$2:$I$181,5,FALSE()),0))</f>
        <v>0</v>
      </c>
      <c r="I46" s="14" t="n">
        <f aca="false">IF(OR($A46="",$A46&gt;=Parameters!$B$14),1,IF(AND(H46&gt;0,CityData!F3&lt;=H46),1,0))</f>
        <v>1</v>
      </c>
      <c r="J46" s="14" t="n">
        <f aca="false">IF($A46="",0,IFERROR(VLOOKUP((YEAR($A46)+IF(MONTH($A46)&gt;=10,1,0))&amp;"|Chicago|"&amp;MONTH($A46),Rates!$A$2:$I$181,6,FALSE()),0))</f>
        <v>0</v>
      </c>
      <c r="K46" s="14" t="n">
        <f aca="false">IF(J46=0,0,VLOOKUP(J46,MIE_Components!$A$2:$F$6,2,FALSE()))</f>
        <v>0</v>
      </c>
      <c r="L46" s="14" t="n">
        <f aca="false">IF(J46=0,0,VLOOKUP(J46,MIE_Components!$A$2:$F$6,3,FALSE()))</f>
        <v>0</v>
      </c>
      <c r="M46" s="14" t="n">
        <f aca="false">IF(J46=0,0,VLOOKUP(J46,MIE_Components!$A$2:$F$6,4,FALSE()))</f>
        <v>0</v>
      </c>
      <c r="N46" s="14" t="n">
        <f aca="false">IF(OR($A46="",J46=0),0,MAX(5,J46*IF(OR($A46=Parameters!$B$13,$A46=Parameters!$B$14),0.75,1)-(IF(AND($A46=DATE(2026,11,29),NOV29BF="Yes"),K46,0)+IF(OR($A46=DATE(2026,11,29),$A46=DATE(2026,11,30),$A46=DATE(2026,12,1),$A46=DATE(2026,12,2)),L46,0)+IF(OR($A46=DATE(2026,11,28),$A46=DATE(2026,12,1)),M46,0))))</f>
        <v>0</v>
      </c>
      <c r="O46" s="14" t="n">
        <f aca="false">IF(AND($A46&lt;&gt;"",$A46&lt;Parameters!$B$14),CityData!F4*(1+TAXRATE),0)</f>
        <v>0</v>
      </c>
      <c r="P46" s="14" t="n">
        <f aca="false">IF($A46="",0,IFERROR(VLOOKUP((YEAR($A46)+IF(MONTH($A46)&gt;=10,1,0))&amp;"|Chicago|"&amp;MONTH($A46),Rates!$A$2:$I$181,5,FALSE()),0))</f>
        <v>0</v>
      </c>
      <c r="Q46" s="14" t="n">
        <f aca="false">IF(OR($A46="",$A46&gt;=Parameters!$B$14),1,IF(AND(P46&gt;0,CityData!F4&lt;=P46),1,0))</f>
        <v>1</v>
      </c>
      <c r="R46" s="14" t="n">
        <f aca="false">IF($A46="",0,IFERROR(VLOOKUP((YEAR($A46)+IF(MONTH($A46)&gt;=10,1,0))&amp;"|Denver|"&amp;MONTH($A46),Rates!$A$2:$I$181,6,FALSE()),0))</f>
        <v>0</v>
      </c>
      <c r="S46" s="14" t="n">
        <f aca="false">IF(R46=0,0,VLOOKUP(R46,MIE_Components!$A$2:$F$6,2,FALSE()))</f>
        <v>0</v>
      </c>
      <c r="T46" s="14" t="n">
        <f aca="false">IF(R46=0,0,VLOOKUP(R46,MIE_Components!$A$2:$F$6,3,FALSE()))</f>
        <v>0</v>
      </c>
      <c r="U46" s="14" t="n">
        <f aca="false">IF(R46=0,0,VLOOKUP(R46,MIE_Components!$A$2:$F$6,4,FALSE()))</f>
        <v>0</v>
      </c>
      <c r="V46" s="14" t="n">
        <f aca="false">IF(OR($A46="",R46=0),0,MAX(5,R46*IF(OR($A46=Parameters!$B$13,$A46=Parameters!$B$14),0.75,1)-(IF(AND($A46=DATE(2026,11,29),NOV29BF="Yes"),S46,0)+IF(OR($A46=DATE(2026,11,29),$A46=DATE(2026,11,30),$A46=DATE(2026,12,1),$A46=DATE(2026,12,2)),T46,0)+IF(OR($A46=DATE(2026,11,28),$A46=DATE(2026,12,1)),U46,0))))</f>
        <v>0</v>
      </c>
      <c r="W46" s="14" t="n">
        <f aca="false">IF(AND($A46&lt;&gt;"",$A46&lt;Parameters!$B$14),CityData!F5*(1+TAXRATE),0)</f>
        <v>0</v>
      </c>
      <c r="X46" s="14" t="n">
        <f aca="false">IF($A46="",0,IFERROR(VLOOKUP((YEAR($A46)+IF(MONTH($A46)&gt;=10,1,0))&amp;"|Denver|"&amp;MONTH($A46),Rates!$A$2:$I$181,5,FALSE()),0))</f>
        <v>0</v>
      </c>
      <c r="Y46" s="14" t="n">
        <f aca="false">IF(OR($A46="",$A46&gt;=Parameters!$B$14),1,IF(AND(X46&gt;0,CityData!F5&lt;=X46),1,0))</f>
        <v>1</v>
      </c>
      <c r="Z46" s="14" t="n">
        <f aca="false">IF($A46="",0,IFERROR(VLOOKUP((YEAR($A46)+IF(MONTH($A46)&gt;=10,1,0))&amp;"|Phoenix|"&amp;MONTH($A46),Rates!$A$2:$I$181,6,FALSE()),0))</f>
        <v>0</v>
      </c>
      <c r="AA46" s="14" t="n">
        <f aca="false">IF(Z46=0,0,VLOOKUP(Z46,MIE_Components!$A$2:$F$6,2,FALSE()))</f>
        <v>0</v>
      </c>
      <c r="AB46" s="14" t="n">
        <f aca="false">IF(Z46=0,0,VLOOKUP(Z46,MIE_Components!$A$2:$F$6,3,FALSE()))</f>
        <v>0</v>
      </c>
      <c r="AC46" s="14" t="n">
        <f aca="false">IF(Z46=0,0,VLOOKUP(Z46,MIE_Components!$A$2:$F$6,4,FALSE()))</f>
        <v>0</v>
      </c>
      <c r="AD46" s="14" t="n">
        <f aca="false">IF(OR($A46="",Z46=0),0,MAX(5,Z46*IF(OR($A46=Parameters!$B$13,$A46=Parameters!$B$14),0.75,1)-(IF(AND($A46=DATE(2026,11,29),NOV29BF="Yes"),AA46,0)+IF(OR($A46=DATE(2026,11,29),$A46=DATE(2026,11,30),$A46=DATE(2026,12,1),$A46=DATE(2026,12,2)),AB46,0)+IF(OR($A46=DATE(2026,11,28),$A46=DATE(2026,12,1)),AC46,0))))</f>
        <v>0</v>
      </c>
      <c r="AE46" s="14" t="n">
        <f aca="false">IF(AND($A46&lt;&gt;"",$A46&lt;Parameters!$B$14),CityData!F6*(1+TAXRATE),0)</f>
        <v>0</v>
      </c>
      <c r="AF46" s="14" t="n">
        <f aca="false">IF($A46="",0,IFERROR(VLOOKUP((YEAR($A46)+IF(MONTH($A46)&gt;=10,1,0))&amp;"|Phoenix|"&amp;MONTH($A46),Rates!$A$2:$I$181,5,FALSE()),0))</f>
        <v>0</v>
      </c>
      <c r="AG46" s="14" t="n">
        <f aca="false">IF(OR($A46="",$A46&gt;=Parameters!$B$14),1,IF(AND(AF46&gt;0,CityData!F6&lt;=AF46),1,0))</f>
        <v>1</v>
      </c>
      <c r="AH46" s="14" t="n">
        <f aca="false">IF($A46="",0,IFERROR(VLOOKUP((YEAR($A46)+IF(MONTH($A46)&gt;=10,1,0))&amp;"|Seattle|"&amp;MONTH($A46),Rates!$A$2:$I$181,6,FALSE()),0))</f>
        <v>0</v>
      </c>
      <c r="AI46" s="14" t="n">
        <f aca="false">IF(AH46=0,0,VLOOKUP(AH46,MIE_Components!$A$2:$F$6,2,FALSE()))</f>
        <v>0</v>
      </c>
      <c r="AJ46" s="14" t="n">
        <f aca="false">IF(AH46=0,0,VLOOKUP(AH46,MIE_Components!$A$2:$F$6,3,FALSE()))</f>
        <v>0</v>
      </c>
      <c r="AK46" s="14" t="n">
        <f aca="false">IF(AH46=0,0,VLOOKUP(AH46,MIE_Components!$A$2:$F$6,4,FALSE()))</f>
        <v>0</v>
      </c>
      <c r="AL46" s="14" t="n">
        <f aca="false">IF(OR($A46="",AH46=0),0,MAX(5,AH46*IF(OR($A46=Parameters!$B$13,$A46=Parameters!$B$14),0.75,1)-(IF(AND($A46=DATE(2026,11,29),NOV29BF="Yes"),AI46,0)+IF(OR($A46=DATE(2026,11,29),$A46=DATE(2026,11,30),$A46=DATE(2026,12,1),$A46=DATE(2026,12,2)),AJ46,0)+IF(OR($A46=DATE(2026,11,28),$A46=DATE(2026,12,1)),AK46,0))))</f>
        <v>0</v>
      </c>
      <c r="AM46" s="14" t="n">
        <f aca="false">IF(AND($A46&lt;&gt;"",$A46&lt;Parameters!$B$14),CityData!F7*(1+TAXRATE),0)</f>
        <v>0</v>
      </c>
      <c r="AN46" s="14" t="n">
        <f aca="false">IF($A46="",0,IFERROR(VLOOKUP((YEAR($A46)+IF(MONTH($A46)&gt;=10,1,0))&amp;"|Seattle|"&amp;MONTH($A46),Rates!$A$2:$I$181,5,FALSE()),0))</f>
        <v>0</v>
      </c>
      <c r="AO46" s="14" t="n">
        <f aca="false">IF(OR($A46="",$A46&gt;=Parameters!$B$14),1,IF(AND(AN46&gt;0,CityData!F7&lt;=AN46),1,0))</f>
        <v>1</v>
      </c>
    </row>
    <row r="47" customFormat="false" ht="15" hidden="false" customHeight="true" outlineLevel="0" collapsed="false">
      <c r="A47" s="23" t="str">
        <f aca="false">IF(AND(Parameters!$B$14&gt;=Parameters!$B$13,ROW()-2&lt;=Parameters!$B$14-Parameters!$B$13),Parameters!$B$13+ROW()-2,"")</f>
        <v/>
      </c>
      <c r="B47" s="14" t="n">
        <f aca="false">IF($A47="",0,IFERROR(VLOOKUP((YEAR($A47)+IF(MONTH($A47)&gt;=10,1,0))&amp;"|Boston|"&amp;MONTH($A47),Rates!$A$2:$I$181,6,FALSE()),0))</f>
        <v>0</v>
      </c>
      <c r="C47" s="14" t="n">
        <f aca="false">IF(B47=0,0,VLOOKUP(B47,MIE_Components!$A$2:$F$6,2,FALSE()))</f>
        <v>0</v>
      </c>
      <c r="D47" s="14" t="n">
        <f aca="false">IF(B47=0,0,VLOOKUP(B47,MIE_Components!$A$2:$F$6,3,FALSE()))</f>
        <v>0</v>
      </c>
      <c r="E47" s="14" t="n">
        <f aca="false">IF(B47=0,0,VLOOKUP(B47,MIE_Components!$A$2:$F$6,4,FALSE()))</f>
        <v>0</v>
      </c>
      <c r="F47" s="14" t="n">
        <f aca="false">IF(OR($A47="",B47=0),0,MAX(5,B47*IF(OR($A47=Parameters!$B$13,$A47=Parameters!$B$14),0.75,1)-(IF(AND($A47=DATE(2026,11,29),NOV29BF="Yes"),C47,0)+IF(OR($A47=DATE(2026,11,29),$A47=DATE(2026,11,30),$A47=DATE(2026,12,1),$A47=DATE(2026,12,2)),D47,0)+IF(OR($A47=DATE(2026,11,28),$A47=DATE(2026,12,1)),E47,0))))</f>
        <v>0</v>
      </c>
      <c r="G47" s="14" t="n">
        <f aca="false">IF(AND($A47&lt;&gt;"",$A47&lt;Parameters!$B$14),CityData!F3*(1+TAXRATE),0)</f>
        <v>0</v>
      </c>
      <c r="H47" s="14" t="n">
        <f aca="false">IF($A47="",0,IFERROR(VLOOKUP((YEAR($A47)+IF(MONTH($A47)&gt;=10,1,0))&amp;"|Boston|"&amp;MONTH($A47),Rates!$A$2:$I$181,5,FALSE()),0))</f>
        <v>0</v>
      </c>
      <c r="I47" s="14" t="n">
        <f aca="false">IF(OR($A47="",$A47&gt;=Parameters!$B$14),1,IF(AND(H47&gt;0,CityData!F3&lt;=H47),1,0))</f>
        <v>1</v>
      </c>
      <c r="J47" s="14" t="n">
        <f aca="false">IF($A47="",0,IFERROR(VLOOKUP((YEAR($A47)+IF(MONTH($A47)&gt;=10,1,0))&amp;"|Chicago|"&amp;MONTH($A47),Rates!$A$2:$I$181,6,FALSE()),0))</f>
        <v>0</v>
      </c>
      <c r="K47" s="14" t="n">
        <f aca="false">IF(J47=0,0,VLOOKUP(J47,MIE_Components!$A$2:$F$6,2,FALSE()))</f>
        <v>0</v>
      </c>
      <c r="L47" s="14" t="n">
        <f aca="false">IF(J47=0,0,VLOOKUP(J47,MIE_Components!$A$2:$F$6,3,FALSE()))</f>
        <v>0</v>
      </c>
      <c r="M47" s="14" t="n">
        <f aca="false">IF(J47=0,0,VLOOKUP(J47,MIE_Components!$A$2:$F$6,4,FALSE()))</f>
        <v>0</v>
      </c>
      <c r="N47" s="14" t="n">
        <f aca="false">IF(OR($A47="",J47=0),0,MAX(5,J47*IF(OR($A47=Parameters!$B$13,$A47=Parameters!$B$14),0.75,1)-(IF(AND($A47=DATE(2026,11,29),NOV29BF="Yes"),K47,0)+IF(OR($A47=DATE(2026,11,29),$A47=DATE(2026,11,30),$A47=DATE(2026,12,1),$A47=DATE(2026,12,2)),L47,0)+IF(OR($A47=DATE(2026,11,28),$A47=DATE(2026,12,1)),M47,0))))</f>
        <v>0</v>
      </c>
      <c r="O47" s="14" t="n">
        <f aca="false">IF(AND($A47&lt;&gt;"",$A47&lt;Parameters!$B$14),CityData!F4*(1+TAXRATE),0)</f>
        <v>0</v>
      </c>
      <c r="P47" s="14" t="n">
        <f aca="false">IF($A47="",0,IFERROR(VLOOKUP((YEAR($A47)+IF(MONTH($A47)&gt;=10,1,0))&amp;"|Chicago|"&amp;MONTH($A47),Rates!$A$2:$I$181,5,FALSE()),0))</f>
        <v>0</v>
      </c>
      <c r="Q47" s="14" t="n">
        <f aca="false">IF(OR($A47="",$A47&gt;=Parameters!$B$14),1,IF(AND(P47&gt;0,CityData!F4&lt;=P47),1,0))</f>
        <v>1</v>
      </c>
      <c r="R47" s="14" t="n">
        <f aca="false">IF($A47="",0,IFERROR(VLOOKUP((YEAR($A47)+IF(MONTH($A47)&gt;=10,1,0))&amp;"|Denver|"&amp;MONTH($A47),Rates!$A$2:$I$181,6,FALSE()),0))</f>
        <v>0</v>
      </c>
      <c r="S47" s="14" t="n">
        <f aca="false">IF(R47=0,0,VLOOKUP(R47,MIE_Components!$A$2:$F$6,2,FALSE()))</f>
        <v>0</v>
      </c>
      <c r="T47" s="14" t="n">
        <f aca="false">IF(R47=0,0,VLOOKUP(R47,MIE_Components!$A$2:$F$6,3,FALSE()))</f>
        <v>0</v>
      </c>
      <c r="U47" s="14" t="n">
        <f aca="false">IF(R47=0,0,VLOOKUP(R47,MIE_Components!$A$2:$F$6,4,FALSE()))</f>
        <v>0</v>
      </c>
      <c r="V47" s="14" t="n">
        <f aca="false">IF(OR($A47="",R47=0),0,MAX(5,R47*IF(OR($A47=Parameters!$B$13,$A47=Parameters!$B$14),0.75,1)-(IF(AND($A47=DATE(2026,11,29),NOV29BF="Yes"),S47,0)+IF(OR($A47=DATE(2026,11,29),$A47=DATE(2026,11,30),$A47=DATE(2026,12,1),$A47=DATE(2026,12,2)),T47,0)+IF(OR($A47=DATE(2026,11,28),$A47=DATE(2026,12,1)),U47,0))))</f>
        <v>0</v>
      </c>
      <c r="W47" s="14" t="n">
        <f aca="false">IF(AND($A47&lt;&gt;"",$A47&lt;Parameters!$B$14),CityData!F5*(1+TAXRATE),0)</f>
        <v>0</v>
      </c>
      <c r="X47" s="14" t="n">
        <f aca="false">IF($A47="",0,IFERROR(VLOOKUP((YEAR($A47)+IF(MONTH($A47)&gt;=10,1,0))&amp;"|Denver|"&amp;MONTH($A47),Rates!$A$2:$I$181,5,FALSE()),0))</f>
        <v>0</v>
      </c>
      <c r="Y47" s="14" t="n">
        <f aca="false">IF(OR($A47="",$A47&gt;=Parameters!$B$14),1,IF(AND(X47&gt;0,CityData!F5&lt;=X47),1,0))</f>
        <v>1</v>
      </c>
      <c r="Z47" s="14" t="n">
        <f aca="false">IF($A47="",0,IFERROR(VLOOKUP((YEAR($A47)+IF(MONTH($A47)&gt;=10,1,0))&amp;"|Phoenix|"&amp;MONTH($A47),Rates!$A$2:$I$181,6,FALSE()),0))</f>
        <v>0</v>
      </c>
      <c r="AA47" s="14" t="n">
        <f aca="false">IF(Z47=0,0,VLOOKUP(Z47,MIE_Components!$A$2:$F$6,2,FALSE()))</f>
        <v>0</v>
      </c>
      <c r="AB47" s="14" t="n">
        <f aca="false">IF(Z47=0,0,VLOOKUP(Z47,MIE_Components!$A$2:$F$6,3,FALSE()))</f>
        <v>0</v>
      </c>
      <c r="AC47" s="14" t="n">
        <f aca="false">IF(Z47=0,0,VLOOKUP(Z47,MIE_Components!$A$2:$F$6,4,FALSE()))</f>
        <v>0</v>
      </c>
      <c r="AD47" s="14" t="n">
        <f aca="false">IF(OR($A47="",Z47=0),0,MAX(5,Z47*IF(OR($A47=Parameters!$B$13,$A47=Parameters!$B$14),0.75,1)-(IF(AND($A47=DATE(2026,11,29),NOV29BF="Yes"),AA47,0)+IF(OR($A47=DATE(2026,11,29),$A47=DATE(2026,11,30),$A47=DATE(2026,12,1),$A47=DATE(2026,12,2)),AB47,0)+IF(OR($A47=DATE(2026,11,28),$A47=DATE(2026,12,1)),AC47,0))))</f>
        <v>0</v>
      </c>
      <c r="AE47" s="14" t="n">
        <f aca="false">IF(AND($A47&lt;&gt;"",$A47&lt;Parameters!$B$14),CityData!F6*(1+TAXRATE),0)</f>
        <v>0</v>
      </c>
      <c r="AF47" s="14" t="n">
        <f aca="false">IF($A47="",0,IFERROR(VLOOKUP((YEAR($A47)+IF(MONTH($A47)&gt;=10,1,0))&amp;"|Phoenix|"&amp;MONTH($A47),Rates!$A$2:$I$181,5,FALSE()),0))</f>
        <v>0</v>
      </c>
      <c r="AG47" s="14" t="n">
        <f aca="false">IF(OR($A47="",$A47&gt;=Parameters!$B$14),1,IF(AND(AF47&gt;0,CityData!F6&lt;=AF47),1,0))</f>
        <v>1</v>
      </c>
      <c r="AH47" s="14" t="n">
        <f aca="false">IF($A47="",0,IFERROR(VLOOKUP((YEAR($A47)+IF(MONTH($A47)&gt;=10,1,0))&amp;"|Seattle|"&amp;MONTH($A47),Rates!$A$2:$I$181,6,FALSE()),0))</f>
        <v>0</v>
      </c>
      <c r="AI47" s="14" t="n">
        <f aca="false">IF(AH47=0,0,VLOOKUP(AH47,MIE_Components!$A$2:$F$6,2,FALSE()))</f>
        <v>0</v>
      </c>
      <c r="AJ47" s="14" t="n">
        <f aca="false">IF(AH47=0,0,VLOOKUP(AH47,MIE_Components!$A$2:$F$6,3,FALSE()))</f>
        <v>0</v>
      </c>
      <c r="AK47" s="14" t="n">
        <f aca="false">IF(AH47=0,0,VLOOKUP(AH47,MIE_Components!$A$2:$F$6,4,FALSE()))</f>
        <v>0</v>
      </c>
      <c r="AL47" s="14" t="n">
        <f aca="false">IF(OR($A47="",AH47=0),0,MAX(5,AH47*IF(OR($A47=Parameters!$B$13,$A47=Parameters!$B$14),0.75,1)-(IF(AND($A47=DATE(2026,11,29),NOV29BF="Yes"),AI47,0)+IF(OR($A47=DATE(2026,11,29),$A47=DATE(2026,11,30),$A47=DATE(2026,12,1),$A47=DATE(2026,12,2)),AJ47,0)+IF(OR($A47=DATE(2026,11,28),$A47=DATE(2026,12,1)),AK47,0))))</f>
        <v>0</v>
      </c>
      <c r="AM47" s="14" t="n">
        <f aca="false">IF(AND($A47&lt;&gt;"",$A47&lt;Parameters!$B$14),CityData!F7*(1+TAXRATE),0)</f>
        <v>0</v>
      </c>
      <c r="AN47" s="14" t="n">
        <f aca="false">IF($A47="",0,IFERROR(VLOOKUP((YEAR($A47)+IF(MONTH($A47)&gt;=10,1,0))&amp;"|Seattle|"&amp;MONTH($A47),Rates!$A$2:$I$181,5,FALSE()),0))</f>
        <v>0</v>
      </c>
      <c r="AO47" s="14" t="n">
        <f aca="false">IF(OR($A47="",$A47&gt;=Parameters!$B$14),1,IF(AND(AN47&gt;0,CityData!F7&lt;=AN47),1,0))</f>
        <v>1</v>
      </c>
    </row>
    <row r="48" customFormat="false" ht="15" hidden="false" customHeight="true" outlineLevel="0" collapsed="false">
      <c r="A48" s="23" t="str">
        <f aca="false">IF(AND(Parameters!$B$14&gt;=Parameters!$B$13,ROW()-2&lt;=Parameters!$B$14-Parameters!$B$13),Parameters!$B$13+ROW()-2,"")</f>
        <v/>
      </c>
      <c r="B48" s="14" t="n">
        <f aca="false">IF($A48="",0,IFERROR(VLOOKUP((YEAR($A48)+IF(MONTH($A48)&gt;=10,1,0))&amp;"|Boston|"&amp;MONTH($A48),Rates!$A$2:$I$181,6,FALSE()),0))</f>
        <v>0</v>
      </c>
      <c r="C48" s="14" t="n">
        <f aca="false">IF(B48=0,0,VLOOKUP(B48,MIE_Components!$A$2:$F$6,2,FALSE()))</f>
        <v>0</v>
      </c>
      <c r="D48" s="14" t="n">
        <f aca="false">IF(B48=0,0,VLOOKUP(B48,MIE_Components!$A$2:$F$6,3,FALSE()))</f>
        <v>0</v>
      </c>
      <c r="E48" s="14" t="n">
        <f aca="false">IF(B48=0,0,VLOOKUP(B48,MIE_Components!$A$2:$F$6,4,FALSE()))</f>
        <v>0</v>
      </c>
      <c r="F48" s="14" t="n">
        <f aca="false">IF(OR($A48="",B48=0),0,MAX(5,B48*IF(OR($A48=Parameters!$B$13,$A48=Parameters!$B$14),0.75,1)-(IF(AND($A48=DATE(2026,11,29),NOV29BF="Yes"),C48,0)+IF(OR($A48=DATE(2026,11,29),$A48=DATE(2026,11,30),$A48=DATE(2026,12,1),$A48=DATE(2026,12,2)),D48,0)+IF(OR($A48=DATE(2026,11,28),$A48=DATE(2026,12,1)),E48,0))))</f>
        <v>0</v>
      </c>
      <c r="G48" s="14" t="n">
        <f aca="false">IF(AND($A48&lt;&gt;"",$A48&lt;Parameters!$B$14),CityData!F3*(1+TAXRATE),0)</f>
        <v>0</v>
      </c>
      <c r="H48" s="14" t="n">
        <f aca="false">IF($A48="",0,IFERROR(VLOOKUP((YEAR($A48)+IF(MONTH($A48)&gt;=10,1,0))&amp;"|Boston|"&amp;MONTH($A48),Rates!$A$2:$I$181,5,FALSE()),0))</f>
        <v>0</v>
      </c>
      <c r="I48" s="14" t="n">
        <f aca="false">IF(OR($A48="",$A48&gt;=Parameters!$B$14),1,IF(AND(H48&gt;0,CityData!F3&lt;=H48),1,0))</f>
        <v>1</v>
      </c>
      <c r="J48" s="14" t="n">
        <f aca="false">IF($A48="",0,IFERROR(VLOOKUP((YEAR($A48)+IF(MONTH($A48)&gt;=10,1,0))&amp;"|Chicago|"&amp;MONTH($A48),Rates!$A$2:$I$181,6,FALSE()),0))</f>
        <v>0</v>
      </c>
      <c r="K48" s="14" t="n">
        <f aca="false">IF(J48=0,0,VLOOKUP(J48,MIE_Components!$A$2:$F$6,2,FALSE()))</f>
        <v>0</v>
      </c>
      <c r="L48" s="14" t="n">
        <f aca="false">IF(J48=0,0,VLOOKUP(J48,MIE_Components!$A$2:$F$6,3,FALSE()))</f>
        <v>0</v>
      </c>
      <c r="M48" s="14" t="n">
        <f aca="false">IF(J48=0,0,VLOOKUP(J48,MIE_Components!$A$2:$F$6,4,FALSE()))</f>
        <v>0</v>
      </c>
      <c r="N48" s="14" t="n">
        <f aca="false">IF(OR($A48="",J48=0),0,MAX(5,J48*IF(OR($A48=Parameters!$B$13,$A48=Parameters!$B$14),0.75,1)-(IF(AND($A48=DATE(2026,11,29),NOV29BF="Yes"),K48,0)+IF(OR($A48=DATE(2026,11,29),$A48=DATE(2026,11,30),$A48=DATE(2026,12,1),$A48=DATE(2026,12,2)),L48,0)+IF(OR($A48=DATE(2026,11,28),$A48=DATE(2026,12,1)),M48,0))))</f>
        <v>0</v>
      </c>
      <c r="O48" s="14" t="n">
        <f aca="false">IF(AND($A48&lt;&gt;"",$A48&lt;Parameters!$B$14),CityData!F4*(1+TAXRATE),0)</f>
        <v>0</v>
      </c>
      <c r="P48" s="14" t="n">
        <f aca="false">IF($A48="",0,IFERROR(VLOOKUP((YEAR($A48)+IF(MONTH($A48)&gt;=10,1,0))&amp;"|Chicago|"&amp;MONTH($A48),Rates!$A$2:$I$181,5,FALSE()),0))</f>
        <v>0</v>
      </c>
      <c r="Q48" s="14" t="n">
        <f aca="false">IF(OR($A48="",$A48&gt;=Parameters!$B$14),1,IF(AND(P48&gt;0,CityData!F4&lt;=P48),1,0))</f>
        <v>1</v>
      </c>
      <c r="R48" s="14" t="n">
        <f aca="false">IF($A48="",0,IFERROR(VLOOKUP((YEAR($A48)+IF(MONTH($A48)&gt;=10,1,0))&amp;"|Denver|"&amp;MONTH($A48),Rates!$A$2:$I$181,6,FALSE()),0))</f>
        <v>0</v>
      </c>
      <c r="S48" s="14" t="n">
        <f aca="false">IF(R48=0,0,VLOOKUP(R48,MIE_Components!$A$2:$F$6,2,FALSE()))</f>
        <v>0</v>
      </c>
      <c r="T48" s="14" t="n">
        <f aca="false">IF(R48=0,0,VLOOKUP(R48,MIE_Components!$A$2:$F$6,3,FALSE()))</f>
        <v>0</v>
      </c>
      <c r="U48" s="14" t="n">
        <f aca="false">IF(R48=0,0,VLOOKUP(R48,MIE_Components!$A$2:$F$6,4,FALSE()))</f>
        <v>0</v>
      </c>
      <c r="V48" s="14" t="n">
        <f aca="false">IF(OR($A48="",R48=0),0,MAX(5,R48*IF(OR($A48=Parameters!$B$13,$A48=Parameters!$B$14),0.75,1)-(IF(AND($A48=DATE(2026,11,29),NOV29BF="Yes"),S48,0)+IF(OR($A48=DATE(2026,11,29),$A48=DATE(2026,11,30),$A48=DATE(2026,12,1),$A48=DATE(2026,12,2)),T48,0)+IF(OR($A48=DATE(2026,11,28),$A48=DATE(2026,12,1)),U48,0))))</f>
        <v>0</v>
      </c>
      <c r="W48" s="14" t="n">
        <f aca="false">IF(AND($A48&lt;&gt;"",$A48&lt;Parameters!$B$14),CityData!F5*(1+TAXRATE),0)</f>
        <v>0</v>
      </c>
      <c r="X48" s="14" t="n">
        <f aca="false">IF($A48="",0,IFERROR(VLOOKUP((YEAR($A48)+IF(MONTH($A48)&gt;=10,1,0))&amp;"|Denver|"&amp;MONTH($A48),Rates!$A$2:$I$181,5,FALSE()),0))</f>
        <v>0</v>
      </c>
      <c r="Y48" s="14" t="n">
        <f aca="false">IF(OR($A48="",$A48&gt;=Parameters!$B$14),1,IF(AND(X48&gt;0,CityData!F5&lt;=X48),1,0))</f>
        <v>1</v>
      </c>
      <c r="Z48" s="14" t="n">
        <f aca="false">IF($A48="",0,IFERROR(VLOOKUP((YEAR($A48)+IF(MONTH($A48)&gt;=10,1,0))&amp;"|Phoenix|"&amp;MONTH($A48),Rates!$A$2:$I$181,6,FALSE()),0))</f>
        <v>0</v>
      </c>
      <c r="AA48" s="14" t="n">
        <f aca="false">IF(Z48=0,0,VLOOKUP(Z48,MIE_Components!$A$2:$F$6,2,FALSE()))</f>
        <v>0</v>
      </c>
      <c r="AB48" s="14" t="n">
        <f aca="false">IF(Z48=0,0,VLOOKUP(Z48,MIE_Components!$A$2:$F$6,3,FALSE()))</f>
        <v>0</v>
      </c>
      <c r="AC48" s="14" t="n">
        <f aca="false">IF(Z48=0,0,VLOOKUP(Z48,MIE_Components!$A$2:$F$6,4,FALSE()))</f>
        <v>0</v>
      </c>
      <c r="AD48" s="14" t="n">
        <f aca="false">IF(OR($A48="",Z48=0),0,MAX(5,Z48*IF(OR($A48=Parameters!$B$13,$A48=Parameters!$B$14),0.75,1)-(IF(AND($A48=DATE(2026,11,29),NOV29BF="Yes"),AA48,0)+IF(OR($A48=DATE(2026,11,29),$A48=DATE(2026,11,30),$A48=DATE(2026,12,1),$A48=DATE(2026,12,2)),AB48,0)+IF(OR($A48=DATE(2026,11,28),$A48=DATE(2026,12,1)),AC48,0))))</f>
        <v>0</v>
      </c>
      <c r="AE48" s="14" t="n">
        <f aca="false">IF(AND($A48&lt;&gt;"",$A48&lt;Parameters!$B$14),CityData!F6*(1+TAXRATE),0)</f>
        <v>0</v>
      </c>
      <c r="AF48" s="14" t="n">
        <f aca="false">IF($A48="",0,IFERROR(VLOOKUP((YEAR($A48)+IF(MONTH($A48)&gt;=10,1,0))&amp;"|Phoenix|"&amp;MONTH($A48),Rates!$A$2:$I$181,5,FALSE()),0))</f>
        <v>0</v>
      </c>
      <c r="AG48" s="14" t="n">
        <f aca="false">IF(OR($A48="",$A48&gt;=Parameters!$B$14),1,IF(AND(AF48&gt;0,CityData!F6&lt;=AF48),1,0))</f>
        <v>1</v>
      </c>
      <c r="AH48" s="14" t="n">
        <f aca="false">IF($A48="",0,IFERROR(VLOOKUP((YEAR($A48)+IF(MONTH($A48)&gt;=10,1,0))&amp;"|Seattle|"&amp;MONTH($A48),Rates!$A$2:$I$181,6,FALSE()),0))</f>
        <v>0</v>
      </c>
      <c r="AI48" s="14" t="n">
        <f aca="false">IF(AH48=0,0,VLOOKUP(AH48,MIE_Components!$A$2:$F$6,2,FALSE()))</f>
        <v>0</v>
      </c>
      <c r="AJ48" s="14" t="n">
        <f aca="false">IF(AH48=0,0,VLOOKUP(AH48,MIE_Components!$A$2:$F$6,3,FALSE()))</f>
        <v>0</v>
      </c>
      <c r="AK48" s="14" t="n">
        <f aca="false">IF(AH48=0,0,VLOOKUP(AH48,MIE_Components!$A$2:$F$6,4,FALSE()))</f>
        <v>0</v>
      </c>
      <c r="AL48" s="14" t="n">
        <f aca="false">IF(OR($A48="",AH48=0),0,MAX(5,AH48*IF(OR($A48=Parameters!$B$13,$A48=Parameters!$B$14),0.75,1)-(IF(AND($A48=DATE(2026,11,29),NOV29BF="Yes"),AI48,0)+IF(OR($A48=DATE(2026,11,29),$A48=DATE(2026,11,30),$A48=DATE(2026,12,1),$A48=DATE(2026,12,2)),AJ48,0)+IF(OR($A48=DATE(2026,11,28),$A48=DATE(2026,12,1)),AK48,0))))</f>
        <v>0</v>
      </c>
      <c r="AM48" s="14" t="n">
        <f aca="false">IF(AND($A48&lt;&gt;"",$A48&lt;Parameters!$B$14),CityData!F7*(1+TAXRATE),0)</f>
        <v>0</v>
      </c>
      <c r="AN48" s="14" t="n">
        <f aca="false">IF($A48="",0,IFERROR(VLOOKUP((YEAR($A48)+IF(MONTH($A48)&gt;=10,1,0))&amp;"|Seattle|"&amp;MONTH($A48),Rates!$A$2:$I$181,5,FALSE()),0))</f>
        <v>0</v>
      </c>
      <c r="AO48" s="14" t="n">
        <f aca="false">IF(OR($A48="",$A48&gt;=Parameters!$B$14),1,IF(AND(AN48&gt;0,CityData!F7&lt;=AN48),1,0))</f>
        <v>1</v>
      </c>
    </row>
    <row r="49" customFormat="false" ht="15" hidden="false" customHeight="true" outlineLevel="0" collapsed="false">
      <c r="A49" s="23" t="str">
        <f aca="false">IF(AND(Parameters!$B$14&gt;=Parameters!$B$13,ROW()-2&lt;=Parameters!$B$14-Parameters!$B$13),Parameters!$B$13+ROW()-2,"")</f>
        <v/>
      </c>
      <c r="B49" s="14" t="n">
        <f aca="false">IF($A49="",0,IFERROR(VLOOKUP((YEAR($A49)+IF(MONTH($A49)&gt;=10,1,0))&amp;"|Boston|"&amp;MONTH($A49),Rates!$A$2:$I$181,6,FALSE()),0))</f>
        <v>0</v>
      </c>
      <c r="C49" s="14" t="n">
        <f aca="false">IF(B49=0,0,VLOOKUP(B49,MIE_Components!$A$2:$F$6,2,FALSE()))</f>
        <v>0</v>
      </c>
      <c r="D49" s="14" t="n">
        <f aca="false">IF(B49=0,0,VLOOKUP(B49,MIE_Components!$A$2:$F$6,3,FALSE()))</f>
        <v>0</v>
      </c>
      <c r="E49" s="14" t="n">
        <f aca="false">IF(B49=0,0,VLOOKUP(B49,MIE_Components!$A$2:$F$6,4,FALSE()))</f>
        <v>0</v>
      </c>
      <c r="F49" s="14" t="n">
        <f aca="false">IF(OR($A49="",B49=0),0,MAX(5,B49*IF(OR($A49=Parameters!$B$13,$A49=Parameters!$B$14),0.75,1)-(IF(AND($A49=DATE(2026,11,29),NOV29BF="Yes"),C49,0)+IF(OR($A49=DATE(2026,11,29),$A49=DATE(2026,11,30),$A49=DATE(2026,12,1),$A49=DATE(2026,12,2)),D49,0)+IF(OR($A49=DATE(2026,11,28),$A49=DATE(2026,12,1)),E49,0))))</f>
        <v>0</v>
      </c>
      <c r="G49" s="14" t="n">
        <f aca="false">IF(AND($A49&lt;&gt;"",$A49&lt;Parameters!$B$14),CityData!F3*(1+TAXRATE),0)</f>
        <v>0</v>
      </c>
      <c r="H49" s="14" t="n">
        <f aca="false">IF($A49="",0,IFERROR(VLOOKUP((YEAR($A49)+IF(MONTH($A49)&gt;=10,1,0))&amp;"|Boston|"&amp;MONTH($A49),Rates!$A$2:$I$181,5,FALSE()),0))</f>
        <v>0</v>
      </c>
      <c r="I49" s="14" t="n">
        <f aca="false">IF(OR($A49="",$A49&gt;=Parameters!$B$14),1,IF(AND(H49&gt;0,CityData!F3&lt;=H49),1,0))</f>
        <v>1</v>
      </c>
      <c r="J49" s="14" t="n">
        <f aca="false">IF($A49="",0,IFERROR(VLOOKUP((YEAR($A49)+IF(MONTH($A49)&gt;=10,1,0))&amp;"|Chicago|"&amp;MONTH($A49),Rates!$A$2:$I$181,6,FALSE()),0))</f>
        <v>0</v>
      </c>
      <c r="K49" s="14" t="n">
        <f aca="false">IF(J49=0,0,VLOOKUP(J49,MIE_Components!$A$2:$F$6,2,FALSE()))</f>
        <v>0</v>
      </c>
      <c r="L49" s="14" t="n">
        <f aca="false">IF(J49=0,0,VLOOKUP(J49,MIE_Components!$A$2:$F$6,3,FALSE()))</f>
        <v>0</v>
      </c>
      <c r="M49" s="14" t="n">
        <f aca="false">IF(J49=0,0,VLOOKUP(J49,MIE_Components!$A$2:$F$6,4,FALSE()))</f>
        <v>0</v>
      </c>
      <c r="N49" s="14" t="n">
        <f aca="false">IF(OR($A49="",J49=0),0,MAX(5,J49*IF(OR($A49=Parameters!$B$13,$A49=Parameters!$B$14),0.75,1)-(IF(AND($A49=DATE(2026,11,29),NOV29BF="Yes"),K49,0)+IF(OR($A49=DATE(2026,11,29),$A49=DATE(2026,11,30),$A49=DATE(2026,12,1),$A49=DATE(2026,12,2)),L49,0)+IF(OR($A49=DATE(2026,11,28),$A49=DATE(2026,12,1)),M49,0))))</f>
        <v>0</v>
      </c>
      <c r="O49" s="14" t="n">
        <f aca="false">IF(AND($A49&lt;&gt;"",$A49&lt;Parameters!$B$14),CityData!F4*(1+TAXRATE),0)</f>
        <v>0</v>
      </c>
      <c r="P49" s="14" t="n">
        <f aca="false">IF($A49="",0,IFERROR(VLOOKUP((YEAR($A49)+IF(MONTH($A49)&gt;=10,1,0))&amp;"|Chicago|"&amp;MONTH($A49),Rates!$A$2:$I$181,5,FALSE()),0))</f>
        <v>0</v>
      </c>
      <c r="Q49" s="14" t="n">
        <f aca="false">IF(OR($A49="",$A49&gt;=Parameters!$B$14),1,IF(AND(P49&gt;0,CityData!F4&lt;=P49),1,0))</f>
        <v>1</v>
      </c>
      <c r="R49" s="14" t="n">
        <f aca="false">IF($A49="",0,IFERROR(VLOOKUP((YEAR($A49)+IF(MONTH($A49)&gt;=10,1,0))&amp;"|Denver|"&amp;MONTH($A49),Rates!$A$2:$I$181,6,FALSE()),0))</f>
        <v>0</v>
      </c>
      <c r="S49" s="14" t="n">
        <f aca="false">IF(R49=0,0,VLOOKUP(R49,MIE_Components!$A$2:$F$6,2,FALSE()))</f>
        <v>0</v>
      </c>
      <c r="T49" s="14" t="n">
        <f aca="false">IF(R49=0,0,VLOOKUP(R49,MIE_Components!$A$2:$F$6,3,FALSE()))</f>
        <v>0</v>
      </c>
      <c r="U49" s="14" t="n">
        <f aca="false">IF(R49=0,0,VLOOKUP(R49,MIE_Components!$A$2:$F$6,4,FALSE()))</f>
        <v>0</v>
      </c>
      <c r="V49" s="14" t="n">
        <f aca="false">IF(OR($A49="",R49=0),0,MAX(5,R49*IF(OR($A49=Parameters!$B$13,$A49=Parameters!$B$14),0.75,1)-(IF(AND($A49=DATE(2026,11,29),NOV29BF="Yes"),S49,0)+IF(OR($A49=DATE(2026,11,29),$A49=DATE(2026,11,30),$A49=DATE(2026,12,1),$A49=DATE(2026,12,2)),T49,0)+IF(OR($A49=DATE(2026,11,28),$A49=DATE(2026,12,1)),U49,0))))</f>
        <v>0</v>
      </c>
      <c r="W49" s="14" t="n">
        <f aca="false">IF(AND($A49&lt;&gt;"",$A49&lt;Parameters!$B$14),CityData!F5*(1+TAXRATE),0)</f>
        <v>0</v>
      </c>
      <c r="X49" s="14" t="n">
        <f aca="false">IF($A49="",0,IFERROR(VLOOKUP((YEAR($A49)+IF(MONTH($A49)&gt;=10,1,0))&amp;"|Denver|"&amp;MONTH($A49),Rates!$A$2:$I$181,5,FALSE()),0))</f>
        <v>0</v>
      </c>
      <c r="Y49" s="14" t="n">
        <f aca="false">IF(OR($A49="",$A49&gt;=Parameters!$B$14),1,IF(AND(X49&gt;0,CityData!F5&lt;=X49),1,0))</f>
        <v>1</v>
      </c>
      <c r="Z49" s="14" t="n">
        <f aca="false">IF($A49="",0,IFERROR(VLOOKUP((YEAR($A49)+IF(MONTH($A49)&gt;=10,1,0))&amp;"|Phoenix|"&amp;MONTH($A49),Rates!$A$2:$I$181,6,FALSE()),0))</f>
        <v>0</v>
      </c>
      <c r="AA49" s="14" t="n">
        <f aca="false">IF(Z49=0,0,VLOOKUP(Z49,MIE_Components!$A$2:$F$6,2,FALSE()))</f>
        <v>0</v>
      </c>
      <c r="AB49" s="14" t="n">
        <f aca="false">IF(Z49=0,0,VLOOKUP(Z49,MIE_Components!$A$2:$F$6,3,FALSE()))</f>
        <v>0</v>
      </c>
      <c r="AC49" s="14" t="n">
        <f aca="false">IF(Z49=0,0,VLOOKUP(Z49,MIE_Components!$A$2:$F$6,4,FALSE()))</f>
        <v>0</v>
      </c>
      <c r="AD49" s="14" t="n">
        <f aca="false">IF(OR($A49="",Z49=0),0,MAX(5,Z49*IF(OR($A49=Parameters!$B$13,$A49=Parameters!$B$14),0.75,1)-(IF(AND($A49=DATE(2026,11,29),NOV29BF="Yes"),AA49,0)+IF(OR($A49=DATE(2026,11,29),$A49=DATE(2026,11,30),$A49=DATE(2026,12,1),$A49=DATE(2026,12,2)),AB49,0)+IF(OR($A49=DATE(2026,11,28),$A49=DATE(2026,12,1)),AC49,0))))</f>
        <v>0</v>
      </c>
      <c r="AE49" s="14" t="n">
        <f aca="false">IF(AND($A49&lt;&gt;"",$A49&lt;Parameters!$B$14),CityData!F6*(1+TAXRATE),0)</f>
        <v>0</v>
      </c>
      <c r="AF49" s="14" t="n">
        <f aca="false">IF($A49="",0,IFERROR(VLOOKUP((YEAR($A49)+IF(MONTH($A49)&gt;=10,1,0))&amp;"|Phoenix|"&amp;MONTH($A49),Rates!$A$2:$I$181,5,FALSE()),0))</f>
        <v>0</v>
      </c>
      <c r="AG49" s="14" t="n">
        <f aca="false">IF(OR($A49="",$A49&gt;=Parameters!$B$14),1,IF(AND(AF49&gt;0,CityData!F6&lt;=AF49),1,0))</f>
        <v>1</v>
      </c>
      <c r="AH49" s="14" t="n">
        <f aca="false">IF($A49="",0,IFERROR(VLOOKUP((YEAR($A49)+IF(MONTH($A49)&gt;=10,1,0))&amp;"|Seattle|"&amp;MONTH($A49),Rates!$A$2:$I$181,6,FALSE()),0))</f>
        <v>0</v>
      </c>
      <c r="AI49" s="14" t="n">
        <f aca="false">IF(AH49=0,0,VLOOKUP(AH49,MIE_Components!$A$2:$F$6,2,FALSE()))</f>
        <v>0</v>
      </c>
      <c r="AJ49" s="14" t="n">
        <f aca="false">IF(AH49=0,0,VLOOKUP(AH49,MIE_Components!$A$2:$F$6,3,FALSE()))</f>
        <v>0</v>
      </c>
      <c r="AK49" s="14" t="n">
        <f aca="false">IF(AH49=0,0,VLOOKUP(AH49,MIE_Components!$A$2:$F$6,4,FALSE()))</f>
        <v>0</v>
      </c>
      <c r="AL49" s="14" t="n">
        <f aca="false">IF(OR($A49="",AH49=0),0,MAX(5,AH49*IF(OR($A49=Parameters!$B$13,$A49=Parameters!$B$14),0.75,1)-(IF(AND($A49=DATE(2026,11,29),NOV29BF="Yes"),AI49,0)+IF(OR($A49=DATE(2026,11,29),$A49=DATE(2026,11,30),$A49=DATE(2026,12,1),$A49=DATE(2026,12,2)),AJ49,0)+IF(OR($A49=DATE(2026,11,28),$A49=DATE(2026,12,1)),AK49,0))))</f>
        <v>0</v>
      </c>
      <c r="AM49" s="14" t="n">
        <f aca="false">IF(AND($A49&lt;&gt;"",$A49&lt;Parameters!$B$14),CityData!F7*(1+TAXRATE),0)</f>
        <v>0</v>
      </c>
      <c r="AN49" s="14" t="n">
        <f aca="false">IF($A49="",0,IFERROR(VLOOKUP((YEAR($A49)+IF(MONTH($A49)&gt;=10,1,0))&amp;"|Seattle|"&amp;MONTH($A49),Rates!$A$2:$I$181,5,FALSE()),0))</f>
        <v>0</v>
      </c>
      <c r="AO49" s="14" t="n">
        <f aca="false">IF(OR($A49="",$A49&gt;=Parameters!$B$14),1,IF(AND(AN49&gt;0,CityData!F7&lt;=AN49),1,0))</f>
        <v>1</v>
      </c>
    </row>
    <row r="50" customFormat="false" ht="15" hidden="false" customHeight="true" outlineLevel="0" collapsed="false">
      <c r="A50" s="23" t="str">
        <f aca="false">IF(AND(Parameters!$B$14&gt;=Parameters!$B$13,ROW()-2&lt;=Parameters!$B$14-Parameters!$B$13),Parameters!$B$13+ROW()-2,"")</f>
        <v/>
      </c>
      <c r="B50" s="14" t="n">
        <f aca="false">IF($A50="",0,IFERROR(VLOOKUP((YEAR($A50)+IF(MONTH($A50)&gt;=10,1,0))&amp;"|Boston|"&amp;MONTH($A50),Rates!$A$2:$I$181,6,FALSE()),0))</f>
        <v>0</v>
      </c>
      <c r="C50" s="14" t="n">
        <f aca="false">IF(B50=0,0,VLOOKUP(B50,MIE_Components!$A$2:$F$6,2,FALSE()))</f>
        <v>0</v>
      </c>
      <c r="D50" s="14" t="n">
        <f aca="false">IF(B50=0,0,VLOOKUP(B50,MIE_Components!$A$2:$F$6,3,FALSE()))</f>
        <v>0</v>
      </c>
      <c r="E50" s="14" t="n">
        <f aca="false">IF(B50=0,0,VLOOKUP(B50,MIE_Components!$A$2:$F$6,4,FALSE()))</f>
        <v>0</v>
      </c>
      <c r="F50" s="14" t="n">
        <f aca="false">IF(OR($A50="",B50=0),0,MAX(5,B50*IF(OR($A50=Parameters!$B$13,$A50=Parameters!$B$14),0.75,1)-(IF(AND($A50=DATE(2026,11,29),NOV29BF="Yes"),C50,0)+IF(OR($A50=DATE(2026,11,29),$A50=DATE(2026,11,30),$A50=DATE(2026,12,1),$A50=DATE(2026,12,2)),D50,0)+IF(OR($A50=DATE(2026,11,28),$A50=DATE(2026,12,1)),E50,0))))</f>
        <v>0</v>
      </c>
      <c r="G50" s="14" t="n">
        <f aca="false">IF(AND($A50&lt;&gt;"",$A50&lt;Parameters!$B$14),CityData!F3*(1+TAXRATE),0)</f>
        <v>0</v>
      </c>
      <c r="H50" s="14" t="n">
        <f aca="false">IF($A50="",0,IFERROR(VLOOKUP((YEAR($A50)+IF(MONTH($A50)&gt;=10,1,0))&amp;"|Boston|"&amp;MONTH($A50),Rates!$A$2:$I$181,5,FALSE()),0))</f>
        <v>0</v>
      </c>
      <c r="I50" s="14" t="n">
        <f aca="false">IF(OR($A50="",$A50&gt;=Parameters!$B$14),1,IF(AND(H50&gt;0,CityData!F3&lt;=H50),1,0))</f>
        <v>1</v>
      </c>
      <c r="J50" s="14" t="n">
        <f aca="false">IF($A50="",0,IFERROR(VLOOKUP((YEAR($A50)+IF(MONTH($A50)&gt;=10,1,0))&amp;"|Chicago|"&amp;MONTH($A50),Rates!$A$2:$I$181,6,FALSE()),0))</f>
        <v>0</v>
      </c>
      <c r="K50" s="14" t="n">
        <f aca="false">IF(J50=0,0,VLOOKUP(J50,MIE_Components!$A$2:$F$6,2,FALSE()))</f>
        <v>0</v>
      </c>
      <c r="L50" s="14" t="n">
        <f aca="false">IF(J50=0,0,VLOOKUP(J50,MIE_Components!$A$2:$F$6,3,FALSE()))</f>
        <v>0</v>
      </c>
      <c r="M50" s="14" t="n">
        <f aca="false">IF(J50=0,0,VLOOKUP(J50,MIE_Components!$A$2:$F$6,4,FALSE()))</f>
        <v>0</v>
      </c>
      <c r="N50" s="14" t="n">
        <f aca="false">IF(OR($A50="",J50=0),0,MAX(5,J50*IF(OR($A50=Parameters!$B$13,$A50=Parameters!$B$14),0.75,1)-(IF(AND($A50=DATE(2026,11,29),NOV29BF="Yes"),K50,0)+IF(OR($A50=DATE(2026,11,29),$A50=DATE(2026,11,30),$A50=DATE(2026,12,1),$A50=DATE(2026,12,2)),L50,0)+IF(OR($A50=DATE(2026,11,28),$A50=DATE(2026,12,1)),M50,0))))</f>
        <v>0</v>
      </c>
      <c r="O50" s="14" t="n">
        <f aca="false">IF(AND($A50&lt;&gt;"",$A50&lt;Parameters!$B$14),CityData!F4*(1+TAXRATE),0)</f>
        <v>0</v>
      </c>
      <c r="P50" s="14" t="n">
        <f aca="false">IF($A50="",0,IFERROR(VLOOKUP((YEAR($A50)+IF(MONTH($A50)&gt;=10,1,0))&amp;"|Chicago|"&amp;MONTH($A50),Rates!$A$2:$I$181,5,FALSE()),0))</f>
        <v>0</v>
      </c>
      <c r="Q50" s="14" t="n">
        <f aca="false">IF(OR($A50="",$A50&gt;=Parameters!$B$14),1,IF(AND(P50&gt;0,CityData!F4&lt;=P50),1,0))</f>
        <v>1</v>
      </c>
      <c r="R50" s="14" t="n">
        <f aca="false">IF($A50="",0,IFERROR(VLOOKUP((YEAR($A50)+IF(MONTH($A50)&gt;=10,1,0))&amp;"|Denver|"&amp;MONTH($A50),Rates!$A$2:$I$181,6,FALSE()),0))</f>
        <v>0</v>
      </c>
      <c r="S50" s="14" t="n">
        <f aca="false">IF(R50=0,0,VLOOKUP(R50,MIE_Components!$A$2:$F$6,2,FALSE()))</f>
        <v>0</v>
      </c>
      <c r="T50" s="14" t="n">
        <f aca="false">IF(R50=0,0,VLOOKUP(R50,MIE_Components!$A$2:$F$6,3,FALSE()))</f>
        <v>0</v>
      </c>
      <c r="U50" s="14" t="n">
        <f aca="false">IF(R50=0,0,VLOOKUP(R50,MIE_Components!$A$2:$F$6,4,FALSE()))</f>
        <v>0</v>
      </c>
      <c r="V50" s="14" t="n">
        <f aca="false">IF(OR($A50="",R50=0),0,MAX(5,R50*IF(OR($A50=Parameters!$B$13,$A50=Parameters!$B$14),0.75,1)-(IF(AND($A50=DATE(2026,11,29),NOV29BF="Yes"),S50,0)+IF(OR($A50=DATE(2026,11,29),$A50=DATE(2026,11,30),$A50=DATE(2026,12,1),$A50=DATE(2026,12,2)),T50,0)+IF(OR($A50=DATE(2026,11,28),$A50=DATE(2026,12,1)),U50,0))))</f>
        <v>0</v>
      </c>
      <c r="W50" s="14" t="n">
        <f aca="false">IF(AND($A50&lt;&gt;"",$A50&lt;Parameters!$B$14),CityData!F5*(1+TAXRATE),0)</f>
        <v>0</v>
      </c>
      <c r="X50" s="14" t="n">
        <f aca="false">IF($A50="",0,IFERROR(VLOOKUP((YEAR($A50)+IF(MONTH($A50)&gt;=10,1,0))&amp;"|Denver|"&amp;MONTH($A50),Rates!$A$2:$I$181,5,FALSE()),0))</f>
        <v>0</v>
      </c>
      <c r="Y50" s="14" t="n">
        <f aca="false">IF(OR($A50="",$A50&gt;=Parameters!$B$14),1,IF(AND(X50&gt;0,CityData!F5&lt;=X50),1,0))</f>
        <v>1</v>
      </c>
      <c r="Z50" s="14" t="n">
        <f aca="false">IF($A50="",0,IFERROR(VLOOKUP((YEAR($A50)+IF(MONTH($A50)&gt;=10,1,0))&amp;"|Phoenix|"&amp;MONTH($A50),Rates!$A$2:$I$181,6,FALSE()),0))</f>
        <v>0</v>
      </c>
      <c r="AA50" s="14" t="n">
        <f aca="false">IF(Z50=0,0,VLOOKUP(Z50,MIE_Components!$A$2:$F$6,2,FALSE()))</f>
        <v>0</v>
      </c>
      <c r="AB50" s="14" t="n">
        <f aca="false">IF(Z50=0,0,VLOOKUP(Z50,MIE_Components!$A$2:$F$6,3,FALSE()))</f>
        <v>0</v>
      </c>
      <c r="AC50" s="14" t="n">
        <f aca="false">IF(Z50=0,0,VLOOKUP(Z50,MIE_Components!$A$2:$F$6,4,FALSE()))</f>
        <v>0</v>
      </c>
      <c r="AD50" s="14" t="n">
        <f aca="false">IF(OR($A50="",Z50=0),0,MAX(5,Z50*IF(OR($A50=Parameters!$B$13,$A50=Parameters!$B$14),0.75,1)-(IF(AND($A50=DATE(2026,11,29),NOV29BF="Yes"),AA50,0)+IF(OR($A50=DATE(2026,11,29),$A50=DATE(2026,11,30),$A50=DATE(2026,12,1),$A50=DATE(2026,12,2)),AB50,0)+IF(OR($A50=DATE(2026,11,28),$A50=DATE(2026,12,1)),AC50,0))))</f>
        <v>0</v>
      </c>
      <c r="AE50" s="14" t="n">
        <f aca="false">IF(AND($A50&lt;&gt;"",$A50&lt;Parameters!$B$14),CityData!F6*(1+TAXRATE),0)</f>
        <v>0</v>
      </c>
      <c r="AF50" s="14" t="n">
        <f aca="false">IF($A50="",0,IFERROR(VLOOKUP((YEAR($A50)+IF(MONTH($A50)&gt;=10,1,0))&amp;"|Phoenix|"&amp;MONTH($A50),Rates!$A$2:$I$181,5,FALSE()),0))</f>
        <v>0</v>
      </c>
      <c r="AG50" s="14" t="n">
        <f aca="false">IF(OR($A50="",$A50&gt;=Parameters!$B$14),1,IF(AND(AF50&gt;0,CityData!F6&lt;=AF50),1,0))</f>
        <v>1</v>
      </c>
      <c r="AH50" s="14" t="n">
        <f aca="false">IF($A50="",0,IFERROR(VLOOKUP((YEAR($A50)+IF(MONTH($A50)&gt;=10,1,0))&amp;"|Seattle|"&amp;MONTH($A50),Rates!$A$2:$I$181,6,FALSE()),0))</f>
        <v>0</v>
      </c>
      <c r="AI50" s="14" t="n">
        <f aca="false">IF(AH50=0,0,VLOOKUP(AH50,MIE_Components!$A$2:$F$6,2,FALSE()))</f>
        <v>0</v>
      </c>
      <c r="AJ50" s="14" t="n">
        <f aca="false">IF(AH50=0,0,VLOOKUP(AH50,MIE_Components!$A$2:$F$6,3,FALSE()))</f>
        <v>0</v>
      </c>
      <c r="AK50" s="14" t="n">
        <f aca="false">IF(AH50=0,0,VLOOKUP(AH50,MIE_Components!$A$2:$F$6,4,FALSE()))</f>
        <v>0</v>
      </c>
      <c r="AL50" s="14" t="n">
        <f aca="false">IF(OR($A50="",AH50=0),0,MAX(5,AH50*IF(OR($A50=Parameters!$B$13,$A50=Parameters!$B$14),0.75,1)-(IF(AND($A50=DATE(2026,11,29),NOV29BF="Yes"),AI50,0)+IF(OR($A50=DATE(2026,11,29),$A50=DATE(2026,11,30),$A50=DATE(2026,12,1),$A50=DATE(2026,12,2)),AJ50,0)+IF(OR($A50=DATE(2026,11,28),$A50=DATE(2026,12,1)),AK50,0))))</f>
        <v>0</v>
      </c>
      <c r="AM50" s="14" t="n">
        <f aca="false">IF(AND($A50&lt;&gt;"",$A50&lt;Parameters!$B$14),CityData!F7*(1+TAXRATE),0)</f>
        <v>0</v>
      </c>
      <c r="AN50" s="14" t="n">
        <f aca="false">IF($A50="",0,IFERROR(VLOOKUP((YEAR($A50)+IF(MONTH($A50)&gt;=10,1,0))&amp;"|Seattle|"&amp;MONTH($A50),Rates!$A$2:$I$181,5,FALSE()),0))</f>
        <v>0</v>
      </c>
      <c r="AO50" s="14" t="n">
        <f aca="false">IF(OR($A50="",$A50&gt;=Parameters!$B$14),1,IF(AND(AN50&gt;0,CityData!F7&lt;=AN50),1,0))</f>
        <v>1</v>
      </c>
    </row>
    <row r="51" customFormat="false" ht="15" hidden="false" customHeight="true" outlineLevel="0" collapsed="false">
      <c r="A51" s="23" t="str">
        <f aca="false">IF(AND(Parameters!$B$14&gt;=Parameters!$B$13,ROW()-2&lt;=Parameters!$B$14-Parameters!$B$13),Parameters!$B$13+ROW()-2,"")</f>
        <v/>
      </c>
      <c r="B51" s="14" t="n">
        <f aca="false">IF($A51="",0,IFERROR(VLOOKUP((YEAR($A51)+IF(MONTH($A51)&gt;=10,1,0))&amp;"|Boston|"&amp;MONTH($A51),Rates!$A$2:$I$181,6,FALSE()),0))</f>
        <v>0</v>
      </c>
      <c r="C51" s="14" t="n">
        <f aca="false">IF(B51=0,0,VLOOKUP(B51,MIE_Components!$A$2:$F$6,2,FALSE()))</f>
        <v>0</v>
      </c>
      <c r="D51" s="14" t="n">
        <f aca="false">IF(B51=0,0,VLOOKUP(B51,MIE_Components!$A$2:$F$6,3,FALSE()))</f>
        <v>0</v>
      </c>
      <c r="E51" s="14" t="n">
        <f aca="false">IF(B51=0,0,VLOOKUP(B51,MIE_Components!$A$2:$F$6,4,FALSE()))</f>
        <v>0</v>
      </c>
      <c r="F51" s="14" t="n">
        <f aca="false">IF(OR($A51="",B51=0),0,MAX(5,B51*IF(OR($A51=Parameters!$B$13,$A51=Parameters!$B$14),0.75,1)-(IF(AND($A51=DATE(2026,11,29),NOV29BF="Yes"),C51,0)+IF(OR($A51=DATE(2026,11,29),$A51=DATE(2026,11,30),$A51=DATE(2026,12,1),$A51=DATE(2026,12,2)),D51,0)+IF(OR($A51=DATE(2026,11,28),$A51=DATE(2026,12,1)),E51,0))))</f>
        <v>0</v>
      </c>
      <c r="G51" s="14" t="n">
        <f aca="false">IF(AND($A51&lt;&gt;"",$A51&lt;Parameters!$B$14),CityData!F3*(1+TAXRATE),0)</f>
        <v>0</v>
      </c>
      <c r="H51" s="14" t="n">
        <f aca="false">IF($A51="",0,IFERROR(VLOOKUP((YEAR($A51)+IF(MONTH($A51)&gt;=10,1,0))&amp;"|Boston|"&amp;MONTH($A51),Rates!$A$2:$I$181,5,FALSE()),0))</f>
        <v>0</v>
      </c>
      <c r="I51" s="14" t="n">
        <f aca="false">IF(OR($A51="",$A51&gt;=Parameters!$B$14),1,IF(AND(H51&gt;0,CityData!F3&lt;=H51),1,0))</f>
        <v>1</v>
      </c>
      <c r="J51" s="14" t="n">
        <f aca="false">IF($A51="",0,IFERROR(VLOOKUP((YEAR($A51)+IF(MONTH($A51)&gt;=10,1,0))&amp;"|Chicago|"&amp;MONTH($A51),Rates!$A$2:$I$181,6,FALSE()),0))</f>
        <v>0</v>
      </c>
      <c r="K51" s="14" t="n">
        <f aca="false">IF(J51=0,0,VLOOKUP(J51,MIE_Components!$A$2:$F$6,2,FALSE()))</f>
        <v>0</v>
      </c>
      <c r="L51" s="14" t="n">
        <f aca="false">IF(J51=0,0,VLOOKUP(J51,MIE_Components!$A$2:$F$6,3,FALSE()))</f>
        <v>0</v>
      </c>
      <c r="M51" s="14" t="n">
        <f aca="false">IF(J51=0,0,VLOOKUP(J51,MIE_Components!$A$2:$F$6,4,FALSE()))</f>
        <v>0</v>
      </c>
      <c r="N51" s="14" t="n">
        <f aca="false">IF(OR($A51="",J51=0),0,MAX(5,J51*IF(OR($A51=Parameters!$B$13,$A51=Parameters!$B$14),0.75,1)-(IF(AND($A51=DATE(2026,11,29),NOV29BF="Yes"),K51,0)+IF(OR($A51=DATE(2026,11,29),$A51=DATE(2026,11,30),$A51=DATE(2026,12,1),$A51=DATE(2026,12,2)),L51,0)+IF(OR($A51=DATE(2026,11,28),$A51=DATE(2026,12,1)),M51,0))))</f>
        <v>0</v>
      </c>
      <c r="O51" s="14" t="n">
        <f aca="false">IF(AND($A51&lt;&gt;"",$A51&lt;Parameters!$B$14),CityData!F4*(1+TAXRATE),0)</f>
        <v>0</v>
      </c>
      <c r="P51" s="14" t="n">
        <f aca="false">IF($A51="",0,IFERROR(VLOOKUP((YEAR($A51)+IF(MONTH($A51)&gt;=10,1,0))&amp;"|Chicago|"&amp;MONTH($A51),Rates!$A$2:$I$181,5,FALSE()),0))</f>
        <v>0</v>
      </c>
      <c r="Q51" s="14" t="n">
        <f aca="false">IF(OR($A51="",$A51&gt;=Parameters!$B$14),1,IF(AND(P51&gt;0,CityData!F4&lt;=P51),1,0))</f>
        <v>1</v>
      </c>
      <c r="R51" s="14" t="n">
        <f aca="false">IF($A51="",0,IFERROR(VLOOKUP((YEAR($A51)+IF(MONTH($A51)&gt;=10,1,0))&amp;"|Denver|"&amp;MONTH($A51),Rates!$A$2:$I$181,6,FALSE()),0))</f>
        <v>0</v>
      </c>
      <c r="S51" s="14" t="n">
        <f aca="false">IF(R51=0,0,VLOOKUP(R51,MIE_Components!$A$2:$F$6,2,FALSE()))</f>
        <v>0</v>
      </c>
      <c r="T51" s="14" t="n">
        <f aca="false">IF(R51=0,0,VLOOKUP(R51,MIE_Components!$A$2:$F$6,3,FALSE()))</f>
        <v>0</v>
      </c>
      <c r="U51" s="14" t="n">
        <f aca="false">IF(R51=0,0,VLOOKUP(R51,MIE_Components!$A$2:$F$6,4,FALSE()))</f>
        <v>0</v>
      </c>
      <c r="V51" s="14" t="n">
        <f aca="false">IF(OR($A51="",R51=0),0,MAX(5,R51*IF(OR($A51=Parameters!$B$13,$A51=Parameters!$B$14),0.75,1)-(IF(AND($A51=DATE(2026,11,29),NOV29BF="Yes"),S51,0)+IF(OR($A51=DATE(2026,11,29),$A51=DATE(2026,11,30),$A51=DATE(2026,12,1),$A51=DATE(2026,12,2)),T51,0)+IF(OR($A51=DATE(2026,11,28),$A51=DATE(2026,12,1)),U51,0))))</f>
        <v>0</v>
      </c>
      <c r="W51" s="14" t="n">
        <f aca="false">IF(AND($A51&lt;&gt;"",$A51&lt;Parameters!$B$14),CityData!F5*(1+TAXRATE),0)</f>
        <v>0</v>
      </c>
      <c r="X51" s="14" t="n">
        <f aca="false">IF($A51="",0,IFERROR(VLOOKUP((YEAR($A51)+IF(MONTH($A51)&gt;=10,1,0))&amp;"|Denver|"&amp;MONTH($A51),Rates!$A$2:$I$181,5,FALSE()),0))</f>
        <v>0</v>
      </c>
      <c r="Y51" s="14" t="n">
        <f aca="false">IF(OR($A51="",$A51&gt;=Parameters!$B$14),1,IF(AND(X51&gt;0,CityData!F5&lt;=X51),1,0))</f>
        <v>1</v>
      </c>
      <c r="Z51" s="14" t="n">
        <f aca="false">IF($A51="",0,IFERROR(VLOOKUP((YEAR($A51)+IF(MONTH($A51)&gt;=10,1,0))&amp;"|Phoenix|"&amp;MONTH($A51),Rates!$A$2:$I$181,6,FALSE()),0))</f>
        <v>0</v>
      </c>
      <c r="AA51" s="14" t="n">
        <f aca="false">IF(Z51=0,0,VLOOKUP(Z51,MIE_Components!$A$2:$F$6,2,FALSE()))</f>
        <v>0</v>
      </c>
      <c r="AB51" s="14" t="n">
        <f aca="false">IF(Z51=0,0,VLOOKUP(Z51,MIE_Components!$A$2:$F$6,3,FALSE()))</f>
        <v>0</v>
      </c>
      <c r="AC51" s="14" t="n">
        <f aca="false">IF(Z51=0,0,VLOOKUP(Z51,MIE_Components!$A$2:$F$6,4,FALSE()))</f>
        <v>0</v>
      </c>
      <c r="AD51" s="14" t="n">
        <f aca="false">IF(OR($A51="",Z51=0),0,MAX(5,Z51*IF(OR($A51=Parameters!$B$13,$A51=Parameters!$B$14),0.75,1)-(IF(AND($A51=DATE(2026,11,29),NOV29BF="Yes"),AA51,0)+IF(OR($A51=DATE(2026,11,29),$A51=DATE(2026,11,30),$A51=DATE(2026,12,1),$A51=DATE(2026,12,2)),AB51,0)+IF(OR($A51=DATE(2026,11,28),$A51=DATE(2026,12,1)),AC51,0))))</f>
        <v>0</v>
      </c>
      <c r="AE51" s="14" t="n">
        <f aca="false">IF(AND($A51&lt;&gt;"",$A51&lt;Parameters!$B$14),CityData!F6*(1+TAXRATE),0)</f>
        <v>0</v>
      </c>
      <c r="AF51" s="14" t="n">
        <f aca="false">IF($A51="",0,IFERROR(VLOOKUP((YEAR($A51)+IF(MONTH($A51)&gt;=10,1,0))&amp;"|Phoenix|"&amp;MONTH($A51),Rates!$A$2:$I$181,5,FALSE()),0))</f>
        <v>0</v>
      </c>
      <c r="AG51" s="14" t="n">
        <f aca="false">IF(OR($A51="",$A51&gt;=Parameters!$B$14),1,IF(AND(AF51&gt;0,CityData!F6&lt;=AF51),1,0))</f>
        <v>1</v>
      </c>
      <c r="AH51" s="14" t="n">
        <f aca="false">IF($A51="",0,IFERROR(VLOOKUP((YEAR($A51)+IF(MONTH($A51)&gt;=10,1,0))&amp;"|Seattle|"&amp;MONTH($A51),Rates!$A$2:$I$181,6,FALSE()),0))</f>
        <v>0</v>
      </c>
      <c r="AI51" s="14" t="n">
        <f aca="false">IF(AH51=0,0,VLOOKUP(AH51,MIE_Components!$A$2:$F$6,2,FALSE()))</f>
        <v>0</v>
      </c>
      <c r="AJ51" s="14" t="n">
        <f aca="false">IF(AH51=0,0,VLOOKUP(AH51,MIE_Components!$A$2:$F$6,3,FALSE()))</f>
        <v>0</v>
      </c>
      <c r="AK51" s="14" t="n">
        <f aca="false">IF(AH51=0,0,VLOOKUP(AH51,MIE_Components!$A$2:$F$6,4,FALSE()))</f>
        <v>0</v>
      </c>
      <c r="AL51" s="14" t="n">
        <f aca="false">IF(OR($A51="",AH51=0),0,MAX(5,AH51*IF(OR($A51=Parameters!$B$13,$A51=Parameters!$B$14),0.75,1)-(IF(AND($A51=DATE(2026,11,29),NOV29BF="Yes"),AI51,0)+IF(OR($A51=DATE(2026,11,29),$A51=DATE(2026,11,30),$A51=DATE(2026,12,1),$A51=DATE(2026,12,2)),AJ51,0)+IF(OR($A51=DATE(2026,11,28),$A51=DATE(2026,12,1)),AK51,0))))</f>
        <v>0</v>
      </c>
      <c r="AM51" s="14" t="n">
        <f aca="false">IF(AND($A51&lt;&gt;"",$A51&lt;Parameters!$B$14),CityData!F7*(1+TAXRATE),0)</f>
        <v>0</v>
      </c>
      <c r="AN51" s="14" t="n">
        <f aca="false">IF($A51="",0,IFERROR(VLOOKUP((YEAR($A51)+IF(MONTH($A51)&gt;=10,1,0))&amp;"|Seattle|"&amp;MONTH($A51),Rates!$A$2:$I$181,5,FALSE()),0))</f>
        <v>0</v>
      </c>
      <c r="AO51" s="14" t="n">
        <f aca="false">IF(OR($A51="",$A51&gt;=Parameters!$B$14),1,IF(AND(AN51&gt;0,CityData!F7&lt;=AN51),1,0))</f>
        <v>1</v>
      </c>
    </row>
    <row r="52" customFormat="false" ht="15" hidden="false" customHeight="true" outlineLevel="0" collapsed="false">
      <c r="A52" s="23" t="str">
        <f aca="false">IF(AND(Parameters!$B$14&gt;=Parameters!$B$13,ROW()-2&lt;=Parameters!$B$14-Parameters!$B$13),Parameters!$B$13+ROW()-2,"")</f>
        <v/>
      </c>
      <c r="B52" s="14" t="n">
        <f aca="false">IF($A52="",0,IFERROR(VLOOKUP((YEAR($A52)+IF(MONTH($A52)&gt;=10,1,0))&amp;"|Boston|"&amp;MONTH($A52),Rates!$A$2:$I$181,6,FALSE()),0))</f>
        <v>0</v>
      </c>
      <c r="C52" s="14" t="n">
        <f aca="false">IF(B52=0,0,VLOOKUP(B52,MIE_Components!$A$2:$F$6,2,FALSE()))</f>
        <v>0</v>
      </c>
      <c r="D52" s="14" t="n">
        <f aca="false">IF(B52=0,0,VLOOKUP(B52,MIE_Components!$A$2:$F$6,3,FALSE()))</f>
        <v>0</v>
      </c>
      <c r="E52" s="14" t="n">
        <f aca="false">IF(B52=0,0,VLOOKUP(B52,MIE_Components!$A$2:$F$6,4,FALSE()))</f>
        <v>0</v>
      </c>
      <c r="F52" s="14" t="n">
        <f aca="false">IF(OR($A52="",B52=0),0,MAX(5,B52*IF(OR($A52=Parameters!$B$13,$A52=Parameters!$B$14),0.75,1)-(IF(AND($A52=DATE(2026,11,29),NOV29BF="Yes"),C52,0)+IF(OR($A52=DATE(2026,11,29),$A52=DATE(2026,11,30),$A52=DATE(2026,12,1),$A52=DATE(2026,12,2)),D52,0)+IF(OR($A52=DATE(2026,11,28),$A52=DATE(2026,12,1)),E52,0))))</f>
        <v>0</v>
      </c>
      <c r="G52" s="14" t="n">
        <f aca="false">IF(AND($A52&lt;&gt;"",$A52&lt;Parameters!$B$14),CityData!F3*(1+TAXRATE),0)</f>
        <v>0</v>
      </c>
      <c r="H52" s="14" t="n">
        <f aca="false">IF($A52="",0,IFERROR(VLOOKUP((YEAR($A52)+IF(MONTH($A52)&gt;=10,1,0))&amp;"|Boston|"&amp;MONTH($A52),Rates!$A$2:$I$181,5,FALSE()),0))</f>
        <v>0</v>
      </c>
      <c r="I52" s="14" t="n">
        <f aca="false">IF(OR($A52="",$A52&gt;=Parameters!$B$14),1,IF(AND(H52&gt;0,CityData!F3&lt;=H52),1,0))</f>
        <v>1</v>
      </c>
      <c r="J52" s="14" t="n">
        <f aca="false">IF($A52="",0,IFERROR(VLOOKUP((YEAR($A52)+IF(MONTH($A52)&gt;=10,1,0))&amp;"|Chicago|"&amp;MONTH($A52),Rates!$A$2:$I$181,6,FALSE()),0))</f>
        <v>0</v>
      </c>
      <c r="K52" s="14" t="n">
        <f aca="false">IF(J52=0,0,VLOOKUP(J52,MIE_Components!$A$2:$F$6,2,FALSE()))</f>
        <v>0</v>
      </c>
      <c r="L52" s="14" t="n">
        <f aca="false">IF(J52=0,0,VLOOKUP(J52,MIE_Components!$A$2:$F$6,3,FALSE()))</f>
        <v>0</v>
      </c>
      <c r="M52" s="14" t="n">
        <f aca="false">IF(J52=0,0,VLOOKUP(J52,MIE_Components!$A$2:$F$6,4,FALSE()))</f>
        <v>0</v>
      </c>
      <c r="N52" s="14" t="n">
        <f aca="false">IF(OR($A52="",J52=0),0,MAX(5,J52*IF(OR($A52=Parameters!$B$13,$A52=Parameters!$B$14),0.75,1)-(IF(AND($A52=DATE(2026,11,29),NOV29BF="Yes"),K52,0)+IF(OR($A52=DATE(2026,11,29),$A52=DATE(2026,11,30),$A52=DATE(2026,12,1),$A52=DATE(2026,12,2)),L52,0)+IF(OR($A52=DATE(2026,11,28),$A52=DATE(2026,12,1)),M52,0))))</f>
        <v>0</v>
      </c>
      <c r="O52" s="14" t="n">
        <f aca="false">IF(AND($A52&lt;&gt;"",$A52&lt;Parameters!$B$14),CityData!F4*(1+TAXRATE),0)</f>
        <v>0</v>
      </c>
      <c r="P52" s="14" t="n">
        <f aca="false">IF($A52="",0,IFERROR(VLOOKUP((YEAR($A52)+IF(MONTH($A52)&gt;=10,1,0))&amp;"|Chicago|"&amp;MONTH($A52),Rates!$A$2:$I$181,5,FALSE()),0))</f>
        <v>0</v>
      </c>
      <c r="Q52" s="14" t="n">
        <f aca="false">IF(OR($A52="",$A52&gt;=Parameters!$B$14),1,IF(AND(P52&gt;0,CityData!F4&lt;=P52),1,0))</f>
        <v>1</v>
      </c>
      <c r="R52" s="14" t="n">
        <f aca="false">IF($A52="",0,IFERROR(VLOOKUP((YEAR($A52)+IF(MONTH($A52)&gt;=10,1,0))&amp;"|Denver|"&amp;MONTH($A52),Rates!$A$2:$I$181,6,FALSE()),0))</f>
        <v>0</v>
      </c>
      <c r="S52" s="14" t="n">
        <f aca="false">IF(R52=0,0,VLOOKUP(R52,MIE_Components!$A$2:$F$6,2,FALSE()))</f>
        <v>0</v>
      </c>
      <c r="T52" s="14" t="n">
        <f aca="false">IF(R52=0,0,VLOOKUP(R52,MIE_Components!$A$2:$F$6,3,FALSE()))</f>
        <v>0</v>
      </c>
      <c r="U52" s="14" t="n">
        <f aca="false">IF(R52=0,0,VLOOKUP(R52,MIE_Components!$A$2:$F$6,4,FALSE()))</f>
        <v>0</v>
      </c>
      <c r="V52" s="14" t="n">
        <f aca="false">IF(OR($A52="",R52=0),0,MAX(5,R52*IF(OR($A52=Parameters!$B$13,$A52=Parameters!$B$14),0.75,1)-(IF(AND($A52=DATE(2026,11,29),NOV29BF="Yes"),S52,0)+IF(OR($A52=DATE(2026,11,29),$A52=DATE(2026,11,30),$A52=DATE(2026,12,1),$A52=DATE(2026,12,2)),T52,0)+IF(OR($A52=DATE(2026,11,28),$A52=DATE(2026,12,1)),U52,0))))</f>
        <v>0</v>
      </c>
      <c r="W52" s="14" t="n">
        <f aca="false">IF(AND($A52&lt;&gt;"",$A52&lt;Parameters!$B$14),CityData!F5*(1+TAXRATE),0)</f>
        <v>0</v>
      </c>
      <c r="X52" s="14" t="n">
        <f aca="false">IF($A52="",0,IFERROR(VLOOKUP((YEAR($A52)+IF(MONTH($A52)&gt;=10,1,0))&amp;"|Denver|"&amp;MONTH($A52),Rates!$A$2:$I$181,5,FALSE()),0))</f>
        <v>0</v>
      </c>
      <c r="Y52" s="14" t="n">
        <f aca="false">IF(OR($A52="",$A52&gt;=Parameters!$B$14),1,IF(AND(X52&gt;0,CityData!F5&lt;=X52),1,0))</f>
        <v>1</v>
      </c>
      <c r="Z52" s="14" t="n">
        <f aca="false">IF($A52="",0,IFERROR(VLOOKUP((YEAR($A52)+IF(MONTH($A52)&gt;=10,1,0))&amp;"|Phoenix|"&amp;MONTH($A52),Rates!$A$2:$I$181,6,FALSE()),0))</f>
        <v>0</v>
      </c>
      <c r="AA52" s="14" t="n">
        <f aca="false">IF(Z52=0,0,VLOOKUP(Z52,MIE_Components!$A$2:$F$6,2,FALSE()))</f>
        <v>0</v>
      </c>
      <c r="AB52" s="14" t="n">
        <f aca="false">IF(Z52=0,0,VLOOKUP(Z52,MIE_Components!$A$2:$F$6,3,FALSE()))</f>
        <v>0</v>
      </c>
      <c r="AC52" s="14" t="n">
        <f aca="false">IF(Z52=0,0,VLOOKUP(Z52,MIE_Components!$A$2:$F$6,4,FALSE()))</f>
        <v>0</v>
      </c>
      <c r="AD52" s="14" t="n">
        <f aca="false">IF(OR($A52="",Z52=0),0,MAX(5,Z52*IF(OR($A52=Parameters!$B$13,$A52=Parameters!$B$14),0.75,1)-(IF(AND($A52=DATE(2026,11,29),NOV29BF="Yes"),AA52,0)+IF(OR($A52=DATE(2026,11,29),$A52=DATE(2026,11,30),$A52=DATE(2026,12,1),$A52=DATE(2026,12,2)),AB52,0)+IF(OR($A52=DATE(2026,11,28),$A52=DATE(2026,12,1)),AC52,0))))</f>
        <v>0</v>
      </c>
      <c r="AE52" s="14" t="n">
        <f aca="false">IF(AND($A52&lt;&gt;"",$A52&lt;Parameters!$B$14),CityData!F6*(1+TAXRATE),0)</f>
        <v>0</v>
      </c>
      <c r="AF52" s="14" t="n">
        <f aca="false">IF($A52="",0,IFERROR(VLOOKUP((YEAR($A52)+IF(MONTH($A52)&gt;=10,1,0))&amp;"|Phoenix|"&amp;MONTH($A52),Rates!$A$2:$I$181,5,FALSE()),0))</f>
        <v>0</v>
      </c>
      <c r="AG52" s="14" t="n">
        <f aca="false">IF(OR($A52="",$A52&gt;=Parameters!$B$14),1,IF(AND(AF52&gt;0,CityData!F6&lt;=AF52),1,0))</f>
        <v>1</v>
      </c>
      <c r="AH52" s="14" t="n">
        <f aca="false">IF($A52="",0,IFERROR(VLOOKUP((YEAR($A52)+IF(MONTH($A52)&gt;=10,1,0))&amp;"|Seattle|"&amp;MONTH($A52),Rates!$A$2:$I$181,6,FALSE()),0))</f>
        <v>0</v>
      </c>
      <c r="AI52" s="14" t="n">
        <f aca="false">IF(AH52=0,0,VLOOKUP(AH52,MIE_Components!$A$2:$F$6,2,FALSE()))</f>
        <v>0</v>
      </c>
      <c r="AJ52" s="14" t="n">
        <f aca="false">IF(AH52=0,0,VLOOKUP(AH52,MIE_Components!$A$2:$F$6,3,FALSE()))</f>
        <v>0</v>
      </c>
      <c r="AK52" s="14" t="n">
        <f aca="false">IF(AH52=0,0,VLOOKUP(AH52,MIE_Components!$A$2:$F$6,4,FALSE()))</f>
        <v>0</v>
      </c>
      <c r="AL52" s="14" t="n">
        <f aca="false">IF(OR($A52="",AH52=0),0,MAX(5,AH52*IF(OR($A52=Parameters!$B$13,$A52=Parameters!$B$14),0.75,1)-(IF(AND($A52=DATE(2026,11,29),NOV29BF="Yes"),AI52,0)+IF(OR($A52=DATE(2026,11,29),$A52=DATE(2026,11,30),$A52=DATE(2026,12,1),$A52=DATE(2026,12,2)),AJ52,0)+IF(OR($A52=DATE(2026,11,28),$A52=DATE(2026,12,1)),AK52,0))))</f>
        <v>0</v>
      </c>
      <c r="AM52" s="14" t="n">
        <f aca="false">IF(AND($A52&lt;&gt;"",$A52&lt;Parameters!$B$14),CityData!F7*(1+TAXRATE),0)</f>
        <v>0</v>
      </c>
      <c r="AN52" s="14" t="n">
        <f aca="false">IF($A52="",0,IFERROR(VLOOKUP((YEAR($A52)+IF(MONTH($A52)&gt;=10,1,0))&amp;"|Seattle|"&amp;MONTH($A52),Rates!$A$2:$I$181,5,FALSE()),0))</f>
        <v>0</v>
      </c>
      <c r="AO52" s="14" t="n">
        <f aca="false">IF(OR($A52="",$A52&gt;=Parameters!$B$14),1,IF(AND(AN52&gt;0,CityData!F7&lt;=AN52),1,0))</f>
        <v>1</v>
      </c>
    </row>
    <row r="53" customFormat="false" ht="15" hidden="false" customHeight="true" outlineLevel="0" collapsed="false">
      <c r="A53" s="23" t="str">
        <f aca="false">IF(AND(Parameters!$B$14&gt;=Parameters!$B$13,ROW()-2&lt;=Parameters!$B$14-Parameters!$B$13),Parameters!$B$13+ROW()-2,"")</f>
        <v/>
      </c>
      <c r="B53" s="14" t="n">
        <f aca="false">IF($A53="",0,IFERROR(VLOOKUP((YEAR($A53)+IF(MONTH($A53)&gt;=10,1,0))&amp;"|Boston|"&amp;MONTH($A53),Rates!$A$2:$I$181,6,FALSE()),0))</f>
        <v>0</v>
      </c>
      <c r="C53" s="14" t="n">
        <f aca="false">IF(B53=0,0,VLOOKUP(B53,MIE_Components!$A$2:$F$6,2,FALSE()))</f>
        <v>0</v>
      </c>
      <c r="D53" s="14" t="n">
        <f aca="false">IF(B53=0,0,VLOOKUP(B53,MIE_Components!$A$2:$F$6,3,FALSE()))</f>
        <v>0</v>
      </c>
      <c r="E53" s="14" t="n">
        <f aca="false">IF(B53=0,0,VLOOKUP(B53,MIE_Components!$A$2:$F$6,4,FALSE()))</f>
        <v>0</v>
      </c>
      <c r="F53" s="14" t="n">
        <f aca="false">IF(OR($A53="",B53=0),0,MAX(5,B53*IF(OR($A53=Parameters!$B$13,$A53=Parameters!$B$14),0.75,1)-(IF(AND($A53=DATE(2026,11,29),NOV29BF="Yes"),C53,0)+IF(OR($A53=DATE(2026,11,29),$A53=DATE(2026,11,30),$A53=DATE(2026,12,1),$A53=DATE(2026,12,2)),D53,0)+IF(OR($A53=DATE(2026,11,28),$A53=DATE(2026,12,1)),E53,0))))</f>
        <v>0</v>
      </c>
      <c r="G53" s="14" t="n">
        <f aca="false">IF(AND($A53&lt;&gt;"",$A53&lt;Parameters!$B$14),CityData!F3*(1+TAXRATE),0)</f>
        <v>0</v>
      </c>
      <c r="H53" s="14" t="n">
        <f aca="false">IF($A53="",0,IFERROR(VLOOKUP((YEAR($A53)+IF(MONTH($A53)&gt;=10,1,0))&amp;"|Boston|"&amp;MONTH($A53),Rates!$A$2:$I$181,5,FALSE()),0))</f>
        <v>0</v>
      </c>
      <c r="I53" s="14" t="n">
        <f aca="false">IF(OR($A53="",$A53&gt;=Parameters!$B$14),1,IF(AND(H53&gt;0,CityData!F3&lt;=H53),1,0))</f>
        <v>1</v>
      </c>
      <c r="J53" s="14" t="n">
        <f aca="false">IF($A53="",0,IFERROR(VLOOKUP((YEAR($A53)+IF(MONTH($A53)&gt;=10,1,0))&amp;"|Chicago|"&amp;MONTH($A53),Rates!$A$2:$I$181,6,FALSE()),0))</f>
        <v>0</v>
      </c>
      <c r="K53" s="14" t="n">
        <f aca="false">IF(J53=0,0,VLOOKUP(J53,MIE_Components!$A$2:$F$6,2,FALSE()))</f>
        <v>0</v>
      </c>
      <c r="L53" s="14" t="n">
        <f aca="false">IF(J53=0,0,VLOOKUP(J53,MIE_Components!$A$2:$F$6,3,FALSE()))</f>
        <v>0</v>
      </c>
      <c r="M53" s="14" t="n">
        <f aca="false">IF(J53=0,0,VLOOKUP(J53,MIE_Components!$A$2:$F$6,4,FALSE()))</f>
        <v>0</v>
      </c>
      <c r="N53" s="14" t="n">
        <f aca="false">IF(OR($A53="",J53=0),0,MAX(5,J53*IF(OR($A53=Parameters!$B$13,$A53=Parameters!$B$14),0.75,1)-(IF(AND($A53=DATE(2026,11,29),NOV29BF="Yes"),K53,0)+IF(OR($A53=DATE(2026,11,29),$A53=DATE(2026,11,30),$A53=DATE(2026,12,1),$A53=DATE(2026,12,2)),L53,0)+IF(OR($A53=DATE(2026,11,28),$A53=DATE(2026,12,1)),M53,0))))</f>
        <v>0</v>
      </c>
      <c r="O53" s="14" t="n">
        <f aca="false">IF(AND($A53&lt;&gt;"",$A53&lt;Parameters!$B$14),CityData!F4*(1+TAXRATE),0)</f>
        <v>0</v>
      </c>
      <c r="P53" s="14" t="n">
        <f aca="false">IF($A53="",0,IFERROR(VLOOKUP((YEAR($A53)+IF(MONTH($A53)&gt;=10,1,0))&amp;"|Chicago|"&amp;MONTH($A53),Rates!$A$2:$I$181,5,FALSE()),0))</f>
        <v>0</v>
      </c>
      <c r="Q53" s="14" t="n">
        <f aca="false">IF(OR($A53="",$A53&gt;=Parameters!$B$14),1,IF(AND(P53&gt;0,CityData!F4&lt;=P53),1,0))</f>
        <v>1</v>
      </c>
      <c r="R53" s="14" t="n">
        <f aca="false">IF($A53="",0,IFERROR(VLOOKUP((YEAR($A53)+IF(MONTH($A53)&gt;=10,1,0))&amp;"|Denver|"&amp;MONTH($A53),Rates!$A$2:$I$181,6,FALSE()),0))</f>
        <v>0</v>
      </c>
      <c r="S53" s="14" t="n">
        <f aca="false">IF(R53=0,0,VLOOKUP(R53,MIE_Components!$A$2:$F$6,2,FALSE()))</f>
        <v>0</v>
      </c>
      <c r="T53" s="14" t="n">
        <f aca="false">IF(R53=0,0,VLOOKUP(R53,MIE_Components!$A$2:$F$6,3,FALSE()))</f>
        <v>0</v>
      </c>
      <c r="U53" s="14" t="n">
        <f aca="false">IF(R53=0,0,VLOOKUP(R53,MIE_Components!$A$2:$F$6,4,FALSE()))</f>
        <v>0</v>
      </c>
      <c r="V53" s="14" t="n">
        <f aca="false">IF(OR($A53="",R53=0),0,MAX(5,R53*IF(OR($A53=Parameters!$B$13,$A53=Parameters!$B$14),0.75,1)-(IF(AND($A53=DATE(2026,11,29),NOV29BF="Yes"),S53,0)+IF(OR($A53=DATE(2026,11,29),$A53=DATE(2026,11,30),$A53=DATE(2026,12,1),$A53=DATE(2026,12,2)),T53,0)+IF(OR($A53=DATE(2026,11,28),$A53=DATE(2026,12,1)),U53,0))))</f>
        <v>0</v>
      </c>
      <c r="W53" s="14" t="n">
        <f aca="false">IF(AND($A53&lt;&gt;"",$A53&lt;Parameters!$B$14),CityData!F5*(1+TAXRATE),0)</f>
        <v>0</v>
      </c>
      <c r="X53" s="14" t="n">
        <f aca="false">IF($A53="",0,IFERROR(VLOOKUP((YEAR($A53)+IF(MONTH($A53)&gt;=10,1,0))&amp;"|Denver|"&amp;MONTH($A53),Rates!$A$2:$I$181,5,FALSE()),0))</f>
        <v>0</v>
      </c>
      <c r="Y53" s="14" t="n">
        <f aca="false">IF(OR($A53="",$A53&gt;=Parameters!$B$14),1,IF(AND(X53&gt;0,CityData!F5&lt;=X53),1,0))</f>
        <v>1</v>
      </c>
      <c r="Z53" s="14" t="n">
        <f aca="false">IF($A53="",0,IFERROR(VLOOKUP((YEAR($A53)+IF(MONTH($A53)&gt;=10,1,0))&amp;"|Phoenix|"&amp;MONTH($A53),Rates!$A$2:$I$181,6,FALSE()),0))</f>
        <v>0</v>
      </c>
      <c r="AA53" s="14" t="n">
        <f aca="false">IF(Z53=0,0,VLOOKUP(Z53,MIE_Components!$A$2:$F$6,2,FALSE()))</f>
        <v>0</v>
      </c>
      <c r="AB53" s="14" t="n">
        <f aca="false">IF(Z53=0,0,VLOOKUP(Z53,MIE_Components!$A$2:$F$6,3,FALSE()))</f>
        <v>0</v>
      </c>
      <c r="AC53" s="14" t="n">
        <f aca="false">IF(Z53=0,0,VLOOKUP(Z53,MIE_Components!$A$2:$F$6,4,FALSE()))</f>
        <v>0</v>
      </c>
      <c r="AD53" s="14" t="n">
        <f aca="false">IF(OR($A53="",Z53=0),0,MAX(5,Z53*IF(OR($A53=Parameters!$B$13,$A53=Parameters!$B$14),0.75,1)-(IF(AND($A53=DATE(2026,11,29),NOV29BF="Yes"),AA53,0)+IF(OR($A53=DATE(2026,11,29),$A53=DATE(2026,11,30),$A53=DATE(2026,12,1),$A53=DATE(2026,12,2)),AB53,0)+IF(OR($A53=DATE(2026,11,28),$A53=DATE(2026,12,1)),AC53,0))))</f>
        <v>0</v>
      </c>
      <c r="AE53" s="14" t="n">
        <f aca="false">IF(AND($A53&lt;&gt;"",$A53&lt;Parameters!$B$14),CityData!F6*(1+TAXRATE),0)</f>
        <v>0</v>
      </c>
      <c r="AF53" s="14" t="n">
        <f aca="false">IF($A53="",0,IFERROR(VLOOKUP((YEAR($A53)+IF(MONTH($A53)&gt;=10,1,0))&amp;"|Phoenix|"&amp;MONTH($A53),Rates!$A$2:$I$181,5,FALSE()),0))</f>
        <v>0</v>
      </c>
      <c r="AG53" s="14" t="n">
        <f aca="false">IF(OR($A53="",$A53&gt;=Parameters!$B$14),1,IF(AND(AF53&gt;0,CityData!F6&lt;=AF53),1,0))</f>
        <v>1</v>
      </c>
      <c r="AH53" s="14" t="n">
        <f aca="false">IF($A53="",0,IFERROR(VLOOKUP((YEAR($A53)+IF(MONTH($A53)&gt;=10,1,0))&amp;"|Seattle|"&amp;MONTH($A53),Rates!$A$2:$I$181,6,FALSE()),0))</f>
        <v>0</v>
      </c>
      <c r="AI53" s="14" t="n">
        <f aca="false">IF(AH53=0,0,VLOOKUP(AH53,MIE_Components!$A$2:$F$6,2,FALSE()))</f>
        <v>0</v>
      </c>
      <c r="AJ53" s="14" t="n">
        <f aca="false">IF(AH53=0,0,VLOOKUP(AH53,MIE_Components!$A$2:$F$6,3,FALSE()))</f>
        <v>0</v>
      </c>
      <c r="AK53" s="14" t="n">
        <f aca="false">IF(AH53=0,0,VLOOKUP(AH53,MIE_Components!$A$2:$F$6,4,FALSE()))</f>
        <v>0</v>
      </c>
      <c r="AL53" s="14" t="n">
        <f aca="false">IF(OR($A53="",AH53=0),0,MAX(5,AH53*IF(OR($A53=Parameters!$B$13,$A53=Parameters!$B$14),0.75,1)-(IF(AND($A53=DATE(2026,11,29),NOV29BF="Yes"),AI53,0)+IF(OR($A53=DATE(2026,11,29),$A53=DATE(2026,11,30),$A53=DATE(2026,12,1),$A53=DATE(2026,12,2)),AJ53,0)+IF(OR($A53=DATE(2026,11,28),$A53=DATE(2026,12,1)),AK53,0))))</f>
        <v>0</v>
      </c>
      <c r="AM53" s="14" t="n">
        <f aca="false">IF(AND($A53&lt;&gt;"",$A53&lt;Parameters!$B$14),CityData!F7*(1+TAXRATE),0)</f>
        <v>0</v>
      </c>
      <c r="AN53" s="14" t="n">
        <f aca="false">IF($A53="",0,IFERROR(VLOOKUP((YEAR($A53)+IF(MONTH($A53)&gt;=10,1,0))&amp;"|Seattle|"&amp;MONTH($A53),Rates!$A$2:$I$181,5,FALSE()),0))</f>
        <v>0</v>
      </c>
      <c r="AO53" s="14" t="n">
        <f aca="false">IF(OR($A53="",$A53&gt;=Parameters!$B$14),1,IF(AND(AN53&gt;0,CityData!F7&lt;=AN53),1,0))</f>
        <v>1</v>
      </c>
    </row>
    <row r="54" customFormat="false" ht="15" hidden="false" customHeight="true" outlineLevel="0" collapsed="false">
      <c r="A54" s="23" t="str">
        <f aca="false">IF(AND(Parameters!$B$14&gt;=Parameters!$B$13,ROW()-2&lt;=Parameters!$B$14-Parameters!$B$13),Parameters!$B$13+ROW()-2,"")</f>
        <v/>
      </c>
      <c r="B54" s="14" t="n">
        <f aca="false">IF($A54="",0,IFERROR(VLOOKUP((YEAR($A54)+IF(MONTH($A54)&gt;=10,1,0))&amp;"|Boston|"&amp;MONTH($A54),Rates!$A$2:$I$181,6,FALSE()),0))</f>
        <v>0</v>
      </c>
      <c r="C54" s="14" t="n">
        <f aca="false">IF(B54=0,0,VLOOKUP(B54,MIE_Components!$A$2:$F$6,2,FALSE()))</f>
        <v>0</v>
      </c>
      <c r="D54" s="14" t="n">
        <f aca="false">IF(B54=0,0,VLOOKUP(B54,MIE_Components!$A$2:$F$6,3,FALSE()))</f>
        <v>0</v>
      </c>
      <c r="E54" s="14" t="n">
        <f aca="false">IF(B54=0,0,VLOOKUP(B54,MIE_Components!$A$2:$F$6,4,FALSE()))</f>
        <v>0</v>
      </c>
      <c r="F54" s="14" t="n">
        <f aca="false">IF(OR($A54="",B54=0),0,MAX(5,B54*IF(OR($A54=Parameters!$B$13,$A54=Parameters!$B$14),0.75,1)-(IF(AND($A54=DATE(2026,11,29),NOV29BF="Yes"),C54,0)+IF(OR($A54=DATE(2026,11,29),$A54=DATE(2026,11,30),$A54=DATE(2026,12,1),$A54=DATE(2026,12,2)),D54,0)+IF(OR($A54=DATE(2026,11,28),$A54=DATE(2026,12,1)),E54,0))))</f>
        <v>0</v>
      </c>
      <c r="G54" s="14" t="n">
        <f aca="false">IF(AND($A54&lt;&gt;"",$A54&lt;Parameters!$B$14),CityData!F3*(1+TAXRATE),0)</f>
        <v>0</v>
      </c>
      <c r="H54" s="14" t="n">
        <f aca="false">IF($A54="",0,IFERROR(VLOOKUP((YEAR($A54)+IF(MONTH($A54)&gt;=10,1,0))&amp;"|Boston|"&amp;MONTH($A54),Rates!$A$2:$I$181,5,FALSE()),0))</f>
        <v>0</v>
      </c>
      <c r="I54" s="14" t="n">
        <f aca="false">IF(OR($A54="",$A54&gt;=Parameters!$B$14),1,IF(AND(H54&gt;0,CityData!F3&lt;=H54),1,0))</f>
        <v>1</v>
      </c>
      <c r="J54" s="14" t="n">
        <f aca="false">IF($A54="",0,IFERROR(VLOOKUP((YEAR($A54)+IF(MONTH($A54)&gt;=10,1,0))&amp;"|Chicago|"&amp;MONTH($A54),Rates!$A$2:$I$181,6,FALSE()),0))</f>
        <v>0</v>
      </c>
      <c r="K54" s="14" t="n">
        <f aca="false">IF(J54=0,0,VLOOKUP(J54,MIE_Components!$A$2:$F$6,2,FALSE()))</f>
        <v>0</v>
      </c>
      <c r="L54" s="14" t="n">
        <f aca="false">IF(J54=0,0,VLOOKUP(J54,MIE_Components!$A$2:$F$6,3,FALSE()))</f>
        <v>0</v>
      </c>
      <c r="M54" s="14" t="n">
        <f aca="false">IF(J54=0,0,VLOOKUP(J54,MIE_Components!$A$2:$F$6,4,FALSE()))</f>
        <v>0</v>
      </c>
      <c r="N54" s="14" t="n">
        <f aca="false">IF(OR($A54="",J54=0),0,MAX(5,J54*IF(OR($A54=Parameters!$B$13,$A54=Parameters!$B$14),0.75,1)-(IF(AND($A54=DATE(2026,11,29),NOV29BF="Yes"),K54,0)+IF(OR($A54=DATE(2026,11,29),$A54=DATE(2026,11,30),$A54=DATE(2026,12,1),$A54=DATE(2026,12,2)),L54,0)+IF(OR($A54=DATE(2026,11,28),$A54=DATE(2026,12,1)),M54,0))))</f>
        <v>0</v>
      </c>
      <c r="O54" s="14" t="n">
        <f aca="false">IF(AND($A54&lt;&gt;"",$A54&lt;Parameters!$B$14),CityData!F4*(1+TAXRATE),0)</f>
        <v>0</v>
      </c>
      <c r="P54" s="14" t="n">
        <f aca="false">IF($A54="",0,IFERROR(VLOOKUP((YEAR($A54)+IF(MONTH($A54)&gt;=10,1,0))&amp;"|Chicago|"&amp;MONTH($A54),Rates!$A$2:$I$181,5,FALSE()),0))</f>
        <v>0</v>
      </c>
      <c r="Q54" s="14" t="n">
        <f aca="false">IF(OR($A54="",$A54&gt;=Parameters!$B$14),1,IF(AND(P54&gt;0,CityData!F4&lt;=P54),1,0))</f>
        <v>1</v>
      </c>
      <c r="R54" s="14" t="n">
        <f aca="false">IF($A54="",0,IFERROR(VLOOKUP((YEAR($A54)+IF(MONTH($A54)&gt;=10,1,0))&amp;"|Denver|"&amp;MONTH($A54),Rates!$A$2:$I$181,6,FALSE()),0))</f>
        <v>0</v>
      </c>
      <c r="S54" s="14" t="n">
        <f aca="false">IF(R54=0,0,VLOOKUP(R54,MIE_Components!$A$2:$F$6,2,FALSE()))</f>
        <v>0</v>
      </c>
      <c r="T54" s="14" t="n">
        <f aca="false">IF(R54=0,0,VLOOKUP(R54,MIE_Components!$A$2:$F$6,3,FALSE()))</f>
        <v>0</v>
      </c>
      <c r="U54" s="14" t="n">
        <f aca="false">IF(R54=0,0,VLOOKUP(R54,MIE_Components!$A$2:$F$6,4,FALSE()))</f>
        <v>0</v>
      </c>
      <c r="V54" s="14" t="n">
        <f aca="false">IF(OR($A54="",R54=0),0,MAX(5,R54*IF(OR($A54=Parameters!$B$13,$A54=Parameters!$B$14),0.75,1)-(IF(AND($A54=DATE(2026,11,29),NOV29BF="Yes"),S54,0)+IF(OR($A54=DATE(2026,11,29),$A54=DATE(2026,11,30),$A54=DATE(2026,12,1),$A54=DATE(2026,12,2)),T54,0)+IF(OR($A54=DATE(2026,11,28),$A54=DATE(2026,12,1)),U54,0))))</f>
        <v>0</v>
      </c>
      <c r="W54" s="14" t="n">
        <f aca="false">IF(AND($A54&lt;&gt;"",$A54&lt;Parameters!$B$14),CityData!F5*(1+TAXRATE),0)</f>
        <v>0</v>
      </c>
      <c r="X54" s="14" t="n">
        <f aca="false">IF($A54="",0,IFERROR(VLOOKUP((YEAR($A54)+IF(MONTH($A54)&gt;=10,1,0))&amp;"|Denver|"&amp;MONTH($A54),Rates!$A$2:$I$181,5,FALSE()),0))</f>
        <v>0</v>
      </c>
      <c r="Y54" s="14" t="n">
        <f aca="false">IF(OR($A54="",$A54&gt;=Parameters!$B$14),1,IF(AND(X54&gt;0,CityData!F5&lt;=X54),1,0))</f>
        <v>1</v>
      </c>
      <c r="Z54" s="14" t="n">
        <f aca="false">IF($A54="",0,IFERROR(VLOOKUP((YEAR($A54)+IF(MONTH($A54)&gt;=10,1,0))&amp;"|Phoenix|"&amp;MONTH($A54),Rates!$A$2:$I$181,6,FALSE()),0))</f>
        <v>0</v>
      </c>
      <c r="AA54" s="14" t="n">
        <f aca="false">IF(Z54=0,0,VLOOKUP(Z54,MIE_Components!$A$2:$F$6,2,FALSE()))</f>
        <v>0</v>
      </c>
      <c r="AB54" s="14" t="n">
        <f aca="false">IF(Z54=0,0,VLOOKUP(Z54,MIE_Components!$A$2:$F$6,3,FALSE()))</f>
        <v>0</v>
      </c>
      <c r="AC54" s="14" t="n">
        <f aca="false">IF(Z54=0,0,VLOOKUP(Z54,MIE_Components!$A$2:$F$6,4,FALSE()))</f>
        <v>0</v>
      </c>
      <c r="AD54" s="14" t="n">
        <f aca="false">IF(OR($A54="",Z54=0),0,MAX(5,Z54*IF(OR($A54=Parameters!$B$13,$A54=Parameters!$B$14),0.75,1)-(IF(AND($A54=DATE(2026,11,29),NOV29BF="Yes"),AA54,0)+IF(OR($A54=DATE(2026,11,29),$A54=DATE(2026,11,30),$A54=DATE(2026,12,1),$A54=DATE(2026,12,2)),AB54,0)+IF(OR($A54=DATE(2026,11,28),$A54=DATE(2026,12,1)),AC54,0))))</f>
        <v>0</v>
      </c>
      <c r="AE54" s="14" t="n">
        <f aca="false">IF(AND($A54&lt;&gt;"",$A54&lt;Parameters!$B$14),CityData!F6*(1+TAXRATE),0)</f>
        <v>0</v>
      </c>
      <c r="AF54" s="14" t="n">
        <f aca="false">IF($A54="",0,IFERROR(VLOOKUP((YEAR($A54)+IF(MONTH($A54)&gt;=10,1,0))&amp;"|Phoenix|"&amp;MONTH($A54),Rates!$A$2:$I$181,5,FALSE()),0))</f>
        <v>0</v>
      </c>
      <c r="AG54" s="14" t="n">
        <f aca="false">IF(OR($A54="",$A54&gt;=Parameters!$B$14),1,IF(AND(AF54&gt;0,CityData!F6&lt;=AF54),1,0))</f>
        <v>1</v>
      </c>
      <c r="AH54" s="14" t="n">
        <f aca="false">IF($A54="",0,IFERROR(VLOOKUP((YEAR($A54)+IF(MONTH($A54)&gt;=10,1,0))&amp;"|Seattle|"&amp;MONTH($A54),Rates!$A$2:$I$181,6,FALSE()),0))</f>
        <v>0</v>
      </c>
      <c r="AI54" s="14" t="n">
        <f aca="false">IF(AH54=0,0,VLOOKUP(AH54,MIE_Components!$A$2:$F$6,2,FALSE()))</f>
        <v>0</v>
      </c>
      <c r="AJ54" s="14" t="n">
        <f aca="false">IF(AH54=0,0,VLOOKUP(AH54,MIE_Components!$A$2:$F$6,3,FALSE()))</f>
        <v>0</v>
      </c>
      <c r="AK54" s="14" t="n">
        <f aca="false">IF(AH54=0,0,VLOOKUP(AH54,MIE_Components!$A$2:$F$6,4,FALSE()))</f>
        <v>0</v>
      </c>
      <c r="AL54" s="14" t="n">
        <f aca="false">IF(OR($A54="",AH54=0),0,MAX(5,AH54*IF(OR($A54=Parameters!$B$13,$A54=Parameters!$B$14),0.75,1)-(IF(AND($A54=DATE(2026,11,29),NOV29BF="Yes"),AI54,0)+IF(OR($A54=DATE(2026,11,29),$A54=DATE(2026,11,30),$A54=DATE(2026,12,1),$A54=DATE(2026,12,2)),AJ54,0)+IF(OR($A54=DATE(2026,11,28),$A54=DATE(2026,12,1)),AK54,0))))</f>
        <v>0</v>
      </c>
      <c r="AM54" s="14" t="n">
        <f aca="false">IF(AND($A54&lt;&gt;"",$A54&lt;Parameters!$B$14),CityData!F7*(1+TAXRATE),0)</f>
        <v>0</v>
      </c>
      <c r="AN54" s="14" t="n">
        <f aca="false">IF($A54="",0,IFERROR(VLOOKUP((YEAR($A54)+IF(MONTH($A54)&gt;=10,1,0))&amp;"|Seattle|"&amp;MONTH($A54),Rates!$A$2:$I$181,5,FALSE()),0))</f>
        <v>0</v>
      </c>
      <c r="AO54" s="14" t="n">
        <f aca="false">IF(OR($A54="",$A54&gt;=Parameters!$B$14),1,IF(AND(AN54&gt;0,CityData!F7&lt;=AN54),1,0))</f>
        <v>1</v>
      </c>
    </row>
    <row r="55" customFormat="false" ht="15" hidden="false" customHeight="true" outlineLevel="0" collapsed="false">
      <c r="A55" s="23" t="str">
        <f aca="false">IF(AND(Parameters!$B$14&gt;=Parameters!$B$13,ROW()-2&lt;=Parameters!$B$14-Parameters!$B$13),Parameters!$B$13+ROW()-2,"")</f>
        <v/>
      </c>
      <c r="B55" s="14" t="n">
        <f aca="false">IF($A55="",0,IFERROR(VLOOKUP((YEAR($A55)+IF(MONTH($A55)&gt;=10,1,0))&amp;"|Boston|"&amp;MONTH($A55),Rates!$A$2:$I$181,6,FALSE()),0))</f>
        <v>0</v>
      </c>
      <c r="C55" s="14" t="n">
        <f aca="false">IF(B55=0,0,VLOOKUP(B55,MIE_Components!$A$2:$F$6,2,FALSE()))</f>
        <v>0</v>
      </c>
      <c r="D55" s="14" t="n">
        <f aca="false">IF(B55=0,0,VLOOKUP(B55,MIE_Components!$A$2:$F$6,3,FALSE()))</f>
        <v>0</v>
      </c>
      <c r="E55" s="14" t="n">
        <f aca="false">IF(B55=0,0,VLOOKUP(B55,MIE_Components!$A$2:$F$6,4,FALSE()))</f>
        <v>0</v>
      </c>
      <c r="F55" s="14" t="n">
        <f aca="false">IF(OR($A55="",B55=0),0,MAX(5,B55*IF(OR($A55=Parameters!$B$13,$A55=Parameters!$B$14),0.75,1)-(IF(AND($A55=DATE(2026,11,29),NOV29BF="Yes"),C55,0)+IF(OR($A55=DATE(2026,11,29),$A55=DATE(2026,11,30),$A55=DATE(2026,12,1),$A55=DATE(2026,12,2)),D55,0)+IF(OR($A55=DATE(2026,11,28),$A55=DATE(2026,12,1)),E55,0))))</f>
        <v>0</v>
      </c>
      <c r="G55" s="14" t="n">
        <f aca="false">IF(AND($A55&lt;&gt;"",$A55&lt;Parameters!$B$14),CityData!F3*(1+TAXRATE),0)</f>
        <v>0</v>
      </c>
      <c r="H55" s="14" t="n">
        <f aca="false">IF($A55="",0,IFERROR(VLOOKUP((YEAR($A55)+IF(MONTH($A55)&gt;=10,1,0))&amp;"|Boston|"&amp;MONTH($A55),Rates!$A$2:$I$181,5,FALSE()),0))</f>
        <v>0</v>
      </c>
      <c r="I55" s="14" t="n">
        <f aca="false">IF(OR($A55="",$A55&gt;=Parameters!$B$14),1,IF(AND(H55&gt;0,CityData!F3&lt;=H55),1,0))</f>
        <v>1</v>
      </c>
      <c r="J55" s="14" t="n">
        <f aca="false">IF($A55="",0,IFERROR(VLOOKUP((YEAR($A55)+IF(MONTH($A55)&gt;=10,1,0))&amp;"|Chicago|"&amp;MONTH($A55),Rates!$A$2:$I$181,6,FALSE()),0))</f>
        <v>0</v>
      </c>
      <c r="K55" s="14" t="n">
        <f aca="false">IF(J55=0,0,VLOOKUP(J55,MIE_Components!$A$2:$F$6,2,FALSE()))</f>
        <v>0</v>
      </c>
      <c r="L55" s="14" t="n">
        <f aca="false">IF(J55=0,0,VLOOKUP(J55,MIE_Components!$A$2:$F$6,3,FALSE()))</f>
        <v>0</v>
      </c>
      <c r="M55" s="14" t="n">
        <f aca="false">IF(J55=0,0,VLOOKUP(J55,MIE_Components!$A$2:$F$6,4,FALSE()))</f>
        <v>0</v>
      </c>
      <c r="N55" s="14" t="n">
        <f aca="false">IF(OR($A55="",J55=0),0,MAX(5,J55*IF(OR($A55=Parameters!$B$13,$A55=Parameters!$B$14),0.75,1)-(IF(AND($A55=DATE(2026,11,29),NOV29BF="Yes"),K55,0)+IF(OR($A55=DATE(2026,11,29),$A55=DATE(2026,11,30),$A55=DATE(2026,12,1),$A55=DATE(2026,12,2)),L55,0)+IF(OR($A55=DATE(2026,11,28),$A55=DATE(2026,12,1)),M55,0))))</f>
        <v>0</v>
      </c>
      <c r="O55" s="14" t="n">
        <f aca="false">IF(AND($A55&lt;&gt;"",$A55&lt;Parameters!$B$14),CityData!F4*(1+TAXRATE),0)</f>
        <v>0</v>
      </c>
      <c r="P55" s="14" t="n">
        <f aca="false">IF($A55="",0,IFERROR(VLOOKUP((YEAR($A55)+IF(MONTH($A55)&gt;=10,1,0))&amp;"|Chicago|"&amp;MONTH($A55),Rates!$A$2:$I$181,5,FALSE()),0))</f>
        <v>0</v>
      </c>
      <c r="Q55" s="14" t="n">
        <f aca="false">IF(OR($A55="",$A55&gt;=Parameters!$B$14),1,IF(AND(P55&gt;0,CityData!F4&lt;=P55),1,0))</f>
        <v>1</v>
      </c>
      <c r="R55" s="14" t="n">
        <f aca="false">IF($A55="",0,IFERROR(VLOOKUP((YEAR($A55)+IF(MONTH($A55)&gt;=10,1,0))&amp;"|Denver|"&amp;MONTH($A55),Rates!$A$2:$I$181,6,FALSE()),0))</f>
        <v>0</v>
      </c>
      <c r="S55" s="14" t="n">
        <f aca="false">IF(R55=0,0,VLOOKUP(R55,MIE_Components!$A$2:$F$6,2,FALSE()))</f>
        <v>0</v>
      </c>
      <c r="T55" s="14" t="n">
        <f aca="false">IF(R55=0,0,VLOOKUP(R55,MIE_Components!$A$2:$F$6,3,FALSE()))</f>
        <v>0</v>
      </c>
      <c r="U55" s="14" t="n">
        <f aca="false">IF(R55=0,0,VLOOKUP(R55,MIE_Components!$A$2:$F$6,4,FALSE()))</f>
        <v>0</v>
      </c>
      <c r="V55" s="14" t="n">
        <f aca="false">IF(OR($A55="",R55=0),0,MAX(5,R55*IF(OR($A55=Parameters!$B$13,$A55=Parameters!$B$14),0.75,1)-(IF(AND($A55=DATE(2026,11,29),NOV29BF="Yes"),S55,0)+IF(OR($A55=DATE(2026,11,29),$A55=DATE(2026,11,30),$A55=DATE(2026,12,1),$A55=DATE(2026,12,2)),T55,0)+IF(OR($A55=DATE(2026,11,28),$A55=DATE(2026,12,1)),U55,0))))</f>
        <v>0</v>
      </c>
      <c r="W55" s="14" t="n">
        <f aca="false">IF(AND($A55&lt;&gt;"",$A55&lt;Parameters!$B$14),CityData!F5*(1+TAXRATE),0)</f>
        <v>0</v>
      </c>
      <c r="X55" s="14" t="n">
        <f aca="false">IF($A55="",0,IFERROR(VLOOKUP((YEAR($A55)+IF(MONTH($A55)&gt;=10,1,0))&amp;"|Denver|"&amp;MONTH($A55),Rates!$A$2:$I$181,5,FALSE()),0))</f>
        <v>0</v>
      </c>
      <c r="Y55" s="14" t="n">
        <f aca="false">IF(OR($A55="",$A55&gt;=Parameters!$B$14),1,IF(AND(X55&gt;0,CityData!F5&lt;=X55),1,0))</f>
        <v>1</v>
      </c>
      <c r="Z55" s="14" t="n">
        <f aca="false">IF($A55="",0,IFERROR(VLOOKUP((YEAR($A55)+IF(MONTH($A55)&gt;=10,1,0))&amp;"|Phoenix|"&amp;MONTH($A55),Rates!$A$2:$I$181,6,FALSE()),0))</f>
        <v>0</v>
      </c>
      <c r="AA55" s="14" t="n">
        <f aca="false">IF(Z55=0,0,VLOOKUP(Z55,MIE_Components!$A$2:$F$6,2,FALSE()))</f>
        <v>0</v>
      </c>
      <c r="AB55" s="14" t="n">
        <f aca="false">IF(Z55=0,0,VLOOKUP(Z55,MIE_Components!$A$2:$F$6,3,FALSE()))</f>
        <v>0</v>
      </c>
      <c r="AC55" s="14" t="n">
        <f aca="false">IF(Z55=0,0,VLOOKUP(Z55,MIE_Components!$A$2:$F$6,4,FALSE()))</f>
        <v>0</v>
      </c>
      <c r="AD55" s="14" t="n">
        <f aca="false">IF(OR($A55="",Z55=0),0,MAX(5,Z55*IF(OR($A55=Parameters!$B$13,$A55=Parameters!$B$14),0.75,1)-(IF(AND($A55=DATE(2026,11,29),NOV29BF="Yes"),AA55,0)+IF(OR($A55=DATE(2026,11,29),$A55=DATE(2026,11,30),$A55=DATE(2026,12,1),$A55=DATE(2026,12,2)),AB55,0)+IF(OR($A55=DATE(2026,11,28),$A55=DATE(2026,12,1)),AC55,0))))</f>
        <v>0</v>
      </c>
      <c r="AE55" s="14" t="n">
        <f aca="false">IF(AND($A55&lt;&gt;"",$A55&lt;Parameters!$B$14),CityData!F6*(1+TAXRATE),0)</f>
        <v>0</v>
      </c>
      <c r="AF55" s="14" t="n">
        <f aca="false">IF($A55="",0,IFERROR(VLOOKUP((YEAR($A55)+IF(MONTH($A55)&gt;=10,1,0))&amp;"|Phoenix|"&amp;MONTH($A55),Rates!$A$2:$I$181,5,FALSE()),0))</f>
        <v>0</v>
      </c>
      <c r="AG55" s="14" t="n">
        <f aca="false">IF(OR($A55="",$A55&gt;=Parameters!$B$14),1,IF(AND(AF55&gt;0,CityData!F6&lt;=AF55),1,0))</f>
        <v>1</v>
      </c>
      <c r="AH55" s="14" t="n">
        <f aca="false">IF($A55="",0,IFERROR(VLOOKUP((YEAR($A55)+IF(MONTH($A55)&gt;=10,1,0))&amp;"|Seattle|"&amp;MONTH($A55),Rates!$A$2:$I$181,6,FALSE()),0))</f>
        <v>0</v>
      </c>
      <c r="AI55" s="14" t="n">
        <f aca="false">IF(AH55=0,0,VLOOKUP(AH55,MIE_Components!$A$2:$F$6,2,FALSE()))</f>
        <v>0</v>
      </c>
      <c r="AJ55" s="14" t="n">
        <f aca="false">IF(AH55=0,0,VLOOKUP(AH55,MIE_Components!$A$2:$F$6,3,FALSE()))</f>
        <v>0</v>
      </c>
      <c r="AK55" s="14" t="n">
        <f aca="false">IF(AH55=0,0,VLOOKUP(AH55,MIE_Components!$A$2:$F$6,4,FALSE()))</f>
        <v>0</v>
      </c>
      <c r="AL55" s="14" t="n">
        <f aca="false">IF(OR($A55="",AH55=0),0,MAX(5,AH55*IF(OR($A55=Parameters!$B$13,$A55=Parameters!$B$14),0.75,1)-(IF(AND($A55=DATE(2026,11,29),NOV29BF="Yes"),AI55,0)+IF(OR($A55=DATE(2026,11,29),$A55=DATE(2026,11,30),$A55=DATE(2026,12,1),$A55=DATE(2026,12,2)),AJ55,0)+IF(OR($A55=DATE(2026,11,28),$A55=DATE(2026,12,1)),AK55,0))))</f>
        <v>0</v>
      </c>
      <c r="AM55" s="14" t="n">
        <f aca="false">IF(AND($A55&lt;&gt;"",$A55&lt;Parameters!$B$14),CityData!F7*(1+TAXRATE),0)</f>
        <v>0</v>
      </c>
      <c r="AN55" s="14" t="n">
        <f aca="false">IF($A55="",0,IFERROR(VLOOKUP((YEAR($A55)+IF(MONTH($A55)&gt;=10,1,0))&amp;"|Seattle|"&amp;MONTH($A55),Rates!$A$2:$I$181,5,FALSE()),0))</f>
        <v>0</v>
      </c>
      <c r="AO55" s="14" t="n">
        <f aca="false">IF(OR($A55="",$A55&gt;=Parameters!$B$14),1,IF(AND(AN55&gt;0,CityData!F7&lt;=AN55),1,0))</f>
        <v>1</v>
      </c>
    </row>
    <row r="56" customFormat="false" ht="15" hidden="false" customHeight="true" outlineLevel="0" collapsed="false">
      <c r="A56" s="23" t="str">
        <f aca="false">IF(AND(Parameters!$B$14&gt;=Parameters!$B$13,ROW()-2&lt;=Parameters!$B$14-Parameters!$B$13),Parameters!$B$13+ROW()-2,"")</f>
        <v/>
      </c>
      <c r="B56" s="14" t="n">
        <f aca="false">IF($A56="",0,IFERROR(VLOOKUP((YEAR($A56)+IF(MONTH($A56)&gt;=10,1,0))&amp;"|Boston|"&amp;MONTH($A56),Rates!$A$2:$I$181,6,FALSE()),0))</f>
        <v>0</v>
      </c>
      <c r="C56" s="14" t="n">
        <f aca="false">IF(B56=0,0,VLOOKUP(B56,MIE_Components!$A$2:$F$6,2,FALSE()))</f>
        <v>0</v>
      </c>
      <c r="D56" s="14" t="n">
        <f aca="false">IF(B56=0,0,VLOOKUP(B56,MIE_Components!$A$2:$F$6,3,FALSE()))</f>
        <v>0</v>
      </c>
      <c r="E56" s="14" t="n">
        <f aca="false">IF(B56=0,0,VLOOKUP(B56,MIE_Components!$A$2:$F$6,4,FALSE()))</f>
        <v>0</v>
      </c>
      <c r="F56" s="14" t="n">
        <f aca="false">IF(OR($A56="",B56=0),0,MAX(5,B56*IF(OR($A56=Parameters!$B$13,$A56=Parameters!$B$14),0.75,1)-(IF(AND($A56=DATE(2026,11,29),NOV29BF="Yes"),C56,0)+IF(OR($A56=DATE(2026,11,29),$A56=DATE(2026,11,30),$A56=DATE(2026,12,1),$A56=DATE(2026,12,2)),D56,0)+IF(OR($A56=DATE(2026,11,28),$A56=DATE(2026,12,1)),E56,0))))</f>
        <v>0</v>
      </c>
      <c r="G56" s="14" t="n">
        <f aca="false">IF(AND($A56&lt;&gt;"",$A56&lt;Parameters!$B$14),CityData!F3*(1+TAXRATE),0)</f>
        <v>0</v>
      </c>
      <c r="H56" s="14" t="n">
        <f aca="false">IF($A56="",0,IFERROR(VLOOKUP((YEAR($A56)+IF(MONTH($A56)&gt;=10,1,0))&amp;"|Boston|"&amp;MONTH($A56),Rates!$A$2:$I$181,5,FALSE()),0))</f>
        <v>0</v>
      </c>
      <c r="I56" s="14" t="n">
        <f aca="false">IF(OR($A56="",$A56&gt;=Parameters!$B$14),1,IF(AND(H56&gt;0,CityData!F3&lt;=H56),1,0))</f>
        <v>1</v>
      </c>
      <c r="J56" s="14" t="n">
        <f aca="false">IF($A56="",0,IFERROR(VLOOKUP((YEAR($A56)+IF(MONTH($A56)&gt;=10,1,0))&amp;"|Chicago|"&amp;MONTH($A56),Rates!$A$2:$I$181,6,FALSE()),0))</f>
        <v>0</v>
      </c>
      <c r="K56" s="14" t="n">
        <f aca="false">IF(J56=0,0,VLOOKUP(J56,MIE_Components!$A$2:$F$6,2,FALSE()))</f>
        <v>0</v>
      </c>
      <c r="L56" s="14" t="n">
        <f aca="false">IF(J56=0,0,VLOOKUP(J56,MIE_Components!$A$2:$F$6,3,FALSE()))</f>
        <v>0</v>
      </c>
      <c r="M56" s="14" t="n">
        <f aca="false">IF(J56=0,0,VLOOKUP(J56,MIE_Components!$A$2:$F$6,4,FALSE()))</f>
        <v>0</v>
      </c>
      <c r="N56" s="14" t="n">
        <f aca="false">IF(OR($A56="",J56=0),0,MAX(5,J56*IF(OR($A56=Parameters!$B$13,$A56=Parameters!$B$14),0.75,1)-(IF(AND($A56=DATE(2026,11,29),NOV29BF="Yes"),K56,0)+IF(OR($A56=DATE(2026,11,29),$A56=DATE(2026,11,30),$A56=DATE(2026,12,1),$A56=DATE(2026,12,2)),L56,0)+IF(OR($A56=DATE(2026,11,28),$A56=DATE(2026,12,1)),M56,0))))</f>
        <v>0</v>
      </c>
      <c r="O56" s="14" t="n">
        <f aca="false">IF(AND($A56&lt;&gt;"",$A56&lt;Parameters!$B$14),CityData!F4*(1+TAXRATE),0)</f>
        <v>0</v>
      </c>
      <c r="P56" s="14" t="n">
        <f aca="false">IF($A56="",0,IFERROR(VLOOKUP((YEAR($A56)+IF(MONTH($A56)&gt;=10,1,0))&amp;"|Chicago|"&amp;MONTH($A56),Rates!$A$2:$I$181,5,FALSE()),0))</f>
        <v>0</v>
      </c>
      <c r="Q56" s="14" t="n">
        <f aca="false">IF(OR($A56="",$A56&gt;=Parameters!$B$14),1,IF(AND(P56&gt;0,CityData!F4&lt;=P56),1,0))</f>
        <v>1</v>
      </c>
      <c r="R56" s="14" t="n">
        <f aca="false">IF($A56="",0,IFERROR(VLOOKUP((YEAR($A56)+IF(MONTH($A56)&gt;=10,1,0))&amp;"|Denver|"&amp;MONTH($A56),Rates!$A$2:$I$181,6,FALSE()),0))</f>
        <v>0</v>
      </c>
      <c r="S56" s="14" t="n">
        <f aca="false">IF(R56=0,0,VLOOKUP(R56,MIE_Components!$A$2:$F$6,2,FALSE()))</f>
        <v>0</v>
      </c>
      <c r="T56" s="14" t="n">
        <f aca="false">IF(R56=0,0,VLOOKUP(R56,MIE_Components!$A$2:$F$6,3,FALSE()))</f>
        <v>0</v>
      </c>
      <c r="U56" s="14" t="n">
        <f aca="false">IF(R56=0,0,VLOOKUP(R56,MIE_Components!$A$2:$F$6,4,FALSE()))</f>
        <v>0</v>
      </c>
      <c r="V56" s="14" t="n">
        <f aca="false">IF(OR($A56="",R56=0),0,MAX(5,R56*IF(OR($A56=Parameters!$B$13,$A56=Parameters!$B$14),0.75,1)-(IF(AND($A56=DATE(2026,11,29),NOV29BF="Yes"),S56,0)+IF(OR($A56=DATE(2026,11,29),$A56=DATE(2026,11,30),$A56=DATE(2026,12,1),$A56=DATE(2026,12,2)),T56,0)+IF(OR($A56=DATE(2026,11,28),$A56=DATE(2026,12,1)),U56,0))))</f>
        <v>0</v>
      </c>
      <c r="W56" s="14" t="n">
        <f aca="false">IF(AND($A56&lt;&gt;"",$A56&lt;Parameters!$B$14),CityData!F5*(1+TAXRATE),0)</f>
        <v>0</v>
      </c>
      <c r="X56" s="14" t="n">
        <f aca="false">IF($A56="",0,IFERROR(VLOOKUP((YEAR($A56)+IF(MONTH($A56)&gt;=10,1,0))&amp;"|Denver|"&amp;MONTH($A56),Rates!$A$2:$I$181,5,FALSE()),0))</f>
        <v>0</v>
      </c>
      <c r="Y56" s="14" t="n">
        <f aca="false">IF(OR($A56="",$A56&gt;=Parameters!$B$14),1,IF(AND(X56&gt;0,CityData!F5&lt;=X56),1,0))</f>
        <v>1</v>
      </c>
      <c r="Z56" s="14" t="n">
        <f aca="false">IF($A56="",0,IFERROR(VLOOKUP((YEAR($A56)+IF(MONTH($A56)&gt;=10,1,0))&amp;"|Phoenix|"&amp;MONTH($A56),Rates!$A$2:$I$181,6,FALSE()),0))</f>
        <v>0</v>
      </c>
      <c r="AA56" s="14" t="n">
        <f aca="false">IF(Z56=0,0,VLOOKUP(Z56,MIE_Components!$A$2:$F$6,2,FALSE()))</f>
        <v>0</v>
      </c>
      <c r="AB56" s="14" t="n">
        <f aca="false">IF(Z56=0,0,VLOOKUP(Z56,MIE_Components!$A$2:$F$6,3,FALSE()))</f>
        <v>0</v>
      </c>
      <c r="AC56" s="14" t="n">
        <f aca="false">IF(Z56=0,0,VLOOKUP(Z56,MIE_Components!$A$2:$F$6,4,FALSE()))</f>
        <v>0</v>
      </c>
      <c r="AD56" s="14" t="n">
        <f aca="false">IF(OR($A56="",Z56=0),0,MAX(5,Z56*IF(OR($A56=Parameters!$B$13,$A56=Parameters!$B$14),0.75,1)-(IF(AND($A56=DATE(2026,11,29),NOV29BF="Yes"),AA56,0)+IF(OR($A56=DATE(2026,11,29),$A56=DATE(2026,11,30),$A56=DATE(2026,12,1),$A56=DATE(2026,12,2)),AB56,0)+IF(OR($A56=DATE(2026,11,28),$A56=DATE(2026,12,1)),AC56,0))))</f>
        <v>0</v>
      </c>
      <c r="AE56" s="14" t="n">
        <f aca="false">IF(AND($A56&lt;&gt;"",$A56&lt;Parameters!$B$14),CityData!F6*(1+TAXRATE),0)</f>
        <v>0</v>
      </c>
      <c r="AF56" s="14" t="n">
        <f aca="false">IF($A56="",0,IFERROR(VLOOKUP((YEAR($A56)+IF(MONTH($A56)&gt;=10,1,0))&amp;"|Phoenix|"&amp;MONTH($A56),Rates!$A$2:$I$181,5,FALSE()),0))</f>
        <v>0</v>
      </c>
      <c r="AG56" s="14" t="n">
        <f aca="false">IF(OR($A56="",$A56&gt;=Parameters!$B$14),1,IF(AND(AF56&gt;0,CityData!F6&lt;=AF56),1,0))</f>
        <v>1</v>
      </c>
      <c r="AH56" s="14" t="n">
        <f aca="false">IF($A56="",0,IFERROR(VLOOKUP((YEAR($A56)+IF(MONTH($A56)&gt;=10,1,0))&amp;"|Seattle|"&amp;MONTH($A56),Rates!$A$2:$I$181,6,FALSE()),0))</f>
        <v>0</v>
      </c>
      <c r="AI56" s="14" t="n">
        <f aca="false">IF(AH56=0,0,VLOOKUP(AH56,MIE_Components!$A$2:$F$6,2,FALSE()))</f>
        <v>0</v>
      </c>
      <c r="AJ56" s="14" t="n">
        <f aca="false">IF(AH56=0,0,VLOOKUP(AH56,MIE_Components!$A$2:$F$6,3,FALSE()))</f>
        <v>0</v>
      </c>
      <c r="AK56" s="14" t="n">
        <f aca="false">IF(AH56=0,0,VLOOKUP(AH56,MIE_Components!$A$2:$F$6,4,FALSE()))</f>
        <v>0</v>
      </c>
      <c r="AL56" s="14" t="n">
        <f aca="false">IF(OR($A56="",AH56=0),0,MAX(5,AH56*IF(OR($A56=Parameters!$B$13,$A56=Parameters!$B$14),0.75,1)-(IF(AND($A56=DATE(2026,11,29),NOV29BF="Yes"),AI56,0)+IF(OR($A56=DATE(2026,11,29),$A56=DATE(2026,11,30),$A56=DATE(2026,12,1),$A56=DATE(2026,12,2)),AJ56,0)+IF(OR($A56=DATE(2026,11,28),$A56=DATE(2026,12,1)),AK56,0))))</f>
        <v>0</v>
      </c>
      <c r="AM56" s="14" t="n">
        <f aca="false">IF(AND($A56&lt;&gt;"",$A56&lt;Parameters!$B$14),CityData!F7*(1+TAXRATE),0)</f>
        <v>0</v>
      </c>
      <c r="AN56" s="14" t="n">
        <f aca="false">IF($A56="",0,IFERROR(VLOOKUP((YEAR($A56)+IF(MONTH($A56)&gt;=10,1,0))&amp;"|Seattle|"&amp;MONTH($A56),Rates!$A$2:$I$181,5,FALSE()),0))</f>
        <v>0</v>
      </c>
      <c r="AO56" s="14" t="n">
        <f aca="false">IF(OR($A56="",$A56&gt;=Parameters!$B$14),1,IF(AND(AN56&gt;0,CityData!F7&lt;=AN56),1,0))</f>
        <v>1</v>
      </c>
    </row>
    <row r="57" customFormat="false" ht="15" hidden="false" customHeight="true" outlineLevel="0" collapsed="false">
      <c r="A57" s="23" t="str">
        <f aca="false">IF(AND(Parameters!$B$14&gt;=Parameters!$B$13,ROW()-2&lt;=Parameters!$B$14-Parameters!$B$13),Parameters!$B$13+ROW()-2,"")</f>
        <v/>
      </c>
      <c r="B57" s="14" t="n">
        <f aca="false">IF($A57="",0,IFERROR(VLOOKUP((YEAR($A57)+IF(MONTH($A57)&gt;=10,1,0))&amp;"|Boston|"&amp;MONTH($A57),Rates!$A$2:$I$181,6,FALSE()),0))</f>
        <v>0</v>
      </c>
      <c r="C57" s="14" t="n">
        <f aca="false">IF(B57=0,0,VLOOKUP(B57,MIE_Components!$A$2:$F$6,2,FALSE()))</f>
        <v>0</v>
      </c>
      <c r="D57" s="14" t="n">
        <f aca="false">IF(B57=0,0,VLOOKUP(B57,MIE_Components!$A$2:$F$6,3,FALSE()))</f>
        <v>0</v>
      </c>
      <c r="E57" s="14" t="n">
        <f aca="false">IF(B57=0,0,VLOOKUP(B57,MIE_Components!$A$2:$F$6,4,FALSE()))</f>
        <v>0</v>
      </c>
      <c r="F57" s="14" t="n">
        <f aca="false">IF(OR($A57="",B57=0),0,MAX(5,B57*IF(OR($A57=Parameters!$B$13,$A57=Parameters!$B$14),0.75,1)-(IF(AND($A57=DATE(2026,11,29),NOV29BF="Yes"),C57,0)+IF(OR($A57=DATE(2026,11,29),$A57=DATE(2026,11,30),$A57=DATE(2026,12,1),$A57=DATE(2026,12,2)),D57,0)+IF(OR($A57=DATE(2026,11,28),$A57=DATE(2026,12,1)),E57,0))))</f>
        <v>0</v>
      </c>
      <c r="G57" s="14" t="n">
        <f aca="false">IF(AND($A57&lt;&gt;"",$A57&lt;Parameters!$B$14),CityData!F3*(1+TAXRATE),0)</f>
        <v>0</v>
      </c>
      <c r="H57" s="14" t="n">
        <f aca="false">IF($A57="",0,IFERROR(VLOOKUP((YEAR($A57)+IF(MONTH($A57)&gt;=10,1,0))&amp;"|Boston|"&amp;MONTH($A57),Rates!$A$2:$I$181,5,FALSE()),0))</f>
        <v>0</v>
      </c>
      <c r="I57" s="14" t="n">
        <f aca="false">IF(OR($A57="",$A57&gt;=Parameters!$B$14),1,IF(AND(H57&gt;0,CityData!F3&lt;=H57),1,0))</f>
        <v>1</v>
      </c>
      <c r="J57" s="14" t="n">
        <f aca="false">IF($A57="",0,IFERROR(VLOOKUP((YEAR($A57)+IF(MONTH($A57)&gt;=10,1,0))&amp;"|Chicago|"&amp;MONTH($A57),Rates!$A$2:$I$181,6,FALSE()),0))</f>
        <v>0</v>
      </c>
      <c r="K57" s="14" t="n">
        <f aca="false">IF(J57=0,0,VLOOKUP(J57,MIE_Components!$A$2:$F$6,2,FALSE()))</f>
        <v>0</v>
      </c>
      <c r="L57" s="14" t="n">
        <f aca="false">IF(J57=0,0,VLOOKUP(J57,MIE_Components!$A$2:$F$6,3,FALSE()))</f>
        <v>0</v>
      </c>
      <c r="M57" s="14" t="n">
        <f aca="false">IF(J57=0,0,VLOOKUP(J57,MIE_Components!$A$2:$F$6,4,FALSE()))</f>
        <v>0</v>
      </c>
      <c r="N57" s="14" t="n">
        <f aca="false">IF(OR($A57="",J57=0),0,MAX(5,J57*IF(OR($A57=Parameters!$B$13,$A57=Parameters!$B$14),0.75,1)-(IF(AND($A57=DATE(2026,11,29),NOV29BF="Yes"),K57,0)+IF(OR($A57=DATE(2026,11,29),$A57=DATE(2026,11,30),$A57=DATE(2026,12,1),$A57=DATE(2026,12,2)),L57,0)+IF(OR($A57=DATE(2026,11,28),$A57=DATE(2026,12,1)),M57,0))))</f>
        <v>0</v>
      </c>
      <c r="O57" s="14" t="n">
        <f aca="false">IF(AND($A57&lt;&gt;"",$A57&lt;Parameters!$B$14),CityData!F4*(1+TAXRATE),0)</f>
        <v>0</v>
      </c>
      <c r="P57" s="14" t="n">
        <f aca="false">IF($A57="",0,IFERROR(VLOOKUP((YEAR($A57)+IF(MONTH($A57)&gt;=10,1,0))&amp;"|Chicago|"&amp;MONTH($A57),Rates!$A$2:$I$181,5,FALSE()),0))</f>
        <v>0</v>
      </c>
      <c r="Q57" s="14" t="n">
        <f aca="false">IF(OR($A57="",$A57&gt;=Parameters!$B$14),1,IF(AND(P57&gt;0,CityData!F4&lt;=P57),1,0))</f>
        <v>1</v>
      </c>
      <c r="R57" s="14" t="n">
        <f aca="false">IF($A57="",0,IFERROR(VLOOKUP((YEAR($A57)+IF(MONTH($A57)&gt;=10,1,0))&amp;"|Denver|"&amp;MONTH($A57),Rates!$A$2:$I$181,6,FALSE()),0))</f>
        <v>0</v>
      </c>
      <c r="S57" s="14" t="n">
        <f aca="false">IF(R57=0,0,VLOOKUP(R57,MIE_Components!$A$2:$F$6,2,FALSE()))</f>
        <v>0</v>
      </c>
      <c r="T57" s="14" t="n">
        <f aca="false">IF(R57=0,0,VLOOKUP(R57,MIE_Components!$A$2:$F$6,3,FALSE()))</f>
        <v>0</v>
      </c>
      <c r="U57" s="14" t="n">
        <f aca="false">IF(R57=0,0,VLOOKUP(R57,MIE_Components!$A$2:$F$6,4,FALSE()))</f>
        <v>0</v>
      </c>
      <c r="V57" s="14" t="n">
        <f aca="false">IF(OR($A57="",R57=0),0,MAX(5,R57*IF(OR($A57=Parameters!$B$13,$A57=Parameters!$B$14),0.75,1)-(IF(AND($A57=DATE(2026,11,29),NOV29BF="Yes"),S57,0)+IF(OR($A57=DATE(2026,11,29),$A57=DATE(2026,11,30),$A57=DATE(2026,12,1),$A57=DATE(2026,12,2)),T57,0)+IF(OR($A57=DATE(2026,11,28),$A57=DATE(2026,12,1)),U57,0))))</f>
        <v>0</v>
      </c>
      <c r="W57" s="14" t="n">
        <f aca="false">IF(AND($A57&lt;&gt;"",$A57&lt;Parameters!$B$14),CityData!F5*(1+TAXRATE),0)</f>
        <v>0</v>
      </c>
      <c r="X57" s="14" t="n">
        <f aca="false">IF($A57="",0,IFERROR(VLOOKUP((YEAR($A57)+IF(MONTH($A57)&gt;=10,1,0))&amp;"|Denver|"&amp;MONTH($A57),Rates!$A$2:$I$181,5,FALSE()),0))</f>
        <v>0</v>
      </c>
      <c r="Y57" s="14" t="n">
        <f aca="false">IF(OR($A57="",$A57&gt;=Parameters!$B$14),1,IF(AND(X57&gt;0,CityData!F5&lt;=X57),1,0))</f>
        <v>1</v>
      </c>
      <c r="Z57" s="14" t="n">
        <f aca="false">IF($A57="",0,IFERROR(VLOOKUP((YEAR($A57)+IF(MONTH($A57)&gt;=10,1,0))&amp;"|Phoenix|"&amp;MONTH($A57),Rates!$A$2:$I$181,6,FALSE()),0))</f>
        <v>0</v>
      </c>
      <c r="AA57" s="14" t="n">
        <f aca="false">IF(Z57=0,0,VLOOKUP(Z57,MIE_Components!$A$2:$F$6,2,FALSE()))</f>
        <v>0</v>
      </c>
      <c r="AB57" s="14" t="n">
        <f aca="false">IF(Z57=0,0,VLOOKUP(Z57,MIE_Components!$A$2:$F$6,3,FALSE()))</f>
        <v>0</v>
      </c>
      <c r="AC57" s="14" t="n">
        <f aca="false">IF(Z57=0,0,VLOOKUP(Z57,MIE_Components!$A$2:$F$6,4,FALSE()))</f>
        <v>0</v>
      </c>
      <c r="AD57" s="14" t="n">
        <f aca="false">IF(OR($A57="",Z57=0),0,MAX(5,Z57*IF(OR($A57=Parameters!$B$13,$A57=Parameters!$B$14),0.75,1)-(IF(AND($A57=DATE(2026,11,29),NOV29BF="Yes"),AA57,0)+IF(OR($A57=DATE(2026,11,29),$A57=DATE(2026,11,30),$A57=DATE(2026,12,1),$A57=DATE(2026,12,2)),AB57,0)+IF(OR($A57=DATE(2026,11,28),$A57=DATE(2026,12,1)),AC57,0))))</f>
        <v>0</v>
      </c>
      <c r="AE57" s="14" t="n">
        <f aca="false">IF(AND($A57&lt;&gt;"",$A57&lt;Parameters!$B$14),CityData!F6*(1+TAXRATE),0)</f>
        <v>0</v>
      </c>
      <c r="AF57" s="14" t="n">
        <f aca="false">IF($A57="",0,IFERROR(VLOOKUP((YEAR($A57)+IF(MONTH($A57)&gt;=10,1,0))&amp;"|Phoenix|"&amp;MONTH($A57),Rates!$A$2:$I$181,5,FALSE()),0))</f>
        <v>0</v>
      </c>
      <c r="AG57" s="14" t="n">
        <f aca="false">IF(OR($A57="",$A57&gt;=Parameters!$B$14),1,IF(AND(AF57&gt;0,CityData!F6&lt;=AF57),1,0))</f>
        <v>1</v>
      </c>
      <c r="AH57" s="14" t="n">
        <f aca="false">IF($A57="",0,IFERROR(VLOOKUP((YEAR($A57)+IF(MONTH($A57)&gt;=10,1,0))&amp;"|Seattle|"&amp;MONTH($A57),Rates!$A$2:$I$181,6,FALSE()),0))</f>
        <v>0</v>
      </c>
      <c r="AI57" s="14" t="n">
        <f aca="false">IF(AH57=0,0,VLOOKUP(AH57,MIE_Components!$A$2:$F$6,2,FALSE()))</f>
        <v>0</v>
      </c>
      <c r="AJ57" s="14" t="n">
        <f aca="false">IF(AH57=0,0,VLOOKUP(AH57,MIE_Components!$A$2:$F$6,3,FALSE()))</f>
        <v>0</v>
      </c>
      <c r="AK57" s="14" t="n">
        <f aca="false">IF(AH57=0,0,VLOOKUP(AH57,MIE_Components!$A$2:$F$6,4,FALSE()))</f>
        <v>0</v>
      </c>
      <c r="AL57" s="14" t="n">
        <f aca="false">IF(OR($A57="",AH57=0),0,MAX(5,AH57*IF(OR($A57=Parameters!$B$13,$A57=Parameters!$B$14),0.75,1)-(IF(AND($A57=DATE(2026,11,29),NOV29BF="Yes"),AI57,0)+IF(OR($A57=DATE(2026,11,29),$A57=DATE(2026,11,30),$A57=DATE(2026,12,1),$A57=DATE(2026,12,2)),AJ57,0)+IF(OR($A57=DATE(2026,11,28),$A57=DATE(2026,12,1)),AK57,0))))</f>
        <v>0</v>
      </c>
      <c r="AM57" s="14" t="n">
        <f aca="false">IF(AND($A57&lt;&gt;"",$A57&lt;Parameters!$B$14),CityData!F7*(1+TAXRATE),0)</f>
        <v>0</v>
      </c>
      <c r="AN57" s="14" t="n">
        <f aca="false">IF($A57="",0,IFERROR(VLOOKUP((YEAR($A57)+IF(MONTH($A57)&gt;=10,1,0))&amp;"|Seattle|"&amp;MONTH($A57),Rates!$A$2:$I$181,5,FALSE()),0))</f>
        <v>0</v>
      </c>
      <c r="AO57" s="14" t="n">
        <f aca="false">IF(OR($A57="",$A57&gt;=Parameters!$B$14),1,IF(AND(AN57&gt;0,CityData!F7&lt;=AN57),1,0))</f>
        <v>1</v>
      </c>
    </row>
    <row r="58" customFormat="false" ht="15" hidden="false" customHeight="true" outlineLevel="0" collapsed="false">
      <c r="A58" s="23" t="str">
        <f aca="false">IF(AND(Parameters!$B$14&gt;=Parameters!$B$13,ROW()-2&lt;=Parameters!$B$14-Parameters!$B$13),Parameters!$B$13+ROW()-2,"")</f>
        <v/>
      </c>
      <c r="B58" s="14" t="n">
        <f aca="false">IF($A58="",0,IFERROR(VLOOKUP((YEAR($A58)+IF(MONTH($A58)&gt;=10,1,0))&amp;"|Boston|"&amp;MONTH($A58),Rates!$A$2:$I$181,6,FALSE()),0))</f>
        <v>0</v>
      </c>
      <c r="C58" s="14" t="n">
        <f aca="false">IF(B58=0,0,VLOOKUP(B58,MIE_Components!$A$2:$F$6,2,FALSE()))</f>
        <v>0</v>
      </c>
      <c r="D58" s="14" t="n">
        <f aca="false">IF(B58=0,0,VLOOKUP(B58,MIE_Components!$A$2:$F$6,3,FALSE()))</f>
        <v>0</v>
      </c>
      <c r="E58" s="14" t="n">
        <f aca="false">IF(B58=0,0,VLOOKUP(B58,MIE_Components!$A$2:$F$6,4,FALSE()))</f>
        <v>0</v>
      </c>
      <c r="F58" s="14" t="n">
        <f aca="false">IF(OR($A58="",B58=0),0,MAX(5,B58*IF(OR($A58=Parameters!$B$13,$A58=Parameters!$B$14),0.75,1)-(IF(AND($A58=DATE(2026,11,29),NOV29BF="Yes"),C58,0)+IF(OR($A58=DATE(2026,11,29),$A58=DATE(2026,11,30),$A58=DATE(2026,12,1),$A58=DATE(2026,12,2)),D58,0)+IF(OR($A58=DATE(2026,11,28),$A58=DATE(2026,12,1)),E58,0))))</f>
        <v>0</v>
      </c>
      <c r="G58" s="14" t="n">
        <f aca="false">IF(AND($A58&lt;&gt;"",$A58&lt;Parameters!$B$14),CityData!F3*(1+TAXRATE),0)</f>
        <v>0</v>
      </c>
      <c r="H58" s="14" t="n">
        <f aca="false">IF($A58="",0,IFERROR(VLOOKUP((YEAR($A58)+IF(MONTH($A58)&gt;=10,1,0))&amp;"|Boston|"&amp;MONTH($A58),Rates!$A$2:$I$181,5,FALSE()),0))</f>
        <v>0</v>
      </c>
      <c r="I58" s="14" t="n">
        <f aca="false">IF(OR($A58="",$A58&gt;=Parameters!$B$14),1,IF(AND(H58&gt;0,CityData!F3&lt;=H58),1,0))</f>
        <v>1</v>
      </c>
      <c r="J58" s="14" t="n">
        <f aca="false">IF($A58="",0,IFERROR(VLOOKUP((YEAR($A58)+IF(MONTH($A58)&gt;=10,1,0))&amp;"|Chicago|"&amp;MONTH($A58),Rates!$A$2:$I$181,6,FALSE()),0))</f>
        <v>0</v>
      </c>
      <c r="K58" s="14" t="n">
        <f aca="false">IF(J58=0,0,VLOOKUP(J58,MIE_Components!$A$2:$F$6,2,FALSE()))</f>
        <v>0</v>
      </c>
      <c r="L58" s="14" t="n">
        <f aca="false">IF(J58=0,0,VLOOKUP(J58,MIE_Components!$A$2:$F$6,3,FALSE()))</f>
        <v>0</v>
      </c>
      <c r="M58" s="14" t="n">
        <f aca="false">IF(J58=0,0,VLOOKUP(J58,MIE_Components!$A$2:$F$6,4,FALSE()))</f>
        <v>0</v>
      </c>
      <c r="N58" s="14" t="n">
        <f aca="false">IF(OR($A58="",J58=0),0,MAX(5,J58*IF(OR($A58=Parameters!$B$13,$A58=Parameters!$B$14),0.75,1)-(IF(AND($A58=DATE(2026,11,29),NOV29BF="Yes"),K58,0)+IF(OR($A58=DATE(2026,11,29),$A58=DATE(2026,11,30),$A58=DATE(2026,12,1),$A58=DATE(2026,12,2)),L58,0)+IF(OR($A58=DATE(2026,11,28),$A58=DATE(2026,12,1)),M58,0))))</f>
        <v>0</v>
      </c>
      <c r="O58" s="14" t="n">
        <f aca="false">IF(AND($A58&lt;&gt;"",$A58&lt;Parameters!$B$14),CityData!F4*(1+TAXRATE),0)</f>
        <v>0</v>
      </c>
      <c r="P58" s="14" t="n">
        <f aca="false">IF($A58="",0,IFERROR(VLOOKUP((YEAR($A58)+IF(MONTH($A58)&gt;=10,1,0))&amp;"|Chicago|"&amp;MONTH($A58),Rates!$A$2:$I$181,5,FALSE()),0))</f>
        <v>0</v>
      </c>
      <c r="Q58" s="14" t="n">
        <f aca="false">IF(OR($A58="",$A58&gt;=Parameters!$B$14),1,IF(AND(P58&gt;0,CityData!F4&lt;=P58),1,0))</f>
        <v>1</v>
      </c>
      <c r="R58" s="14" t="n">
        <f aca="false">IF($A58="",0,IFERROR(VLOOKUP((YEAR($A58)+IF(MONTH($A58)&gt;=10,1,0))&amp;"|Denver|"&amp;MONTH($A58),Rates!$A$2:$I$181,6,FALSE()),0))</f>
        <v>0</v>
      </c>
      <c r="S58" s="14" t="n">
        <f aca="false">IF(R58=0,0,VLOOKUP(R58,MIE_Components!$A$2:$F$6,2,FALSE()))</f>
        <v>0</v>
      </c>
      <c r="T58" s="14" t="n">
        <f aca="false">IF(R58=0,0,VLOOKUP(R58,MIE_Components!$A$2:$F$6,3,FALSE()))</f>
        <v>0</v>
      </c>
      <c r="U58" s="14" t="n">
        <f aca="false">IF(R58=0,0,VLOOKUP(R58,MIE_Components!$A$2:$F$6,4,FALSE()))</f>
        <v>0</v>
      </c>
      <c r="V58" s="14" t="n">
        <f aca="false">IF(OR($A58="",R58=0),0,MAX(5,R58*IF(OR($A58=Parameters!$B$13,$A58=Parameters!$B$14),0.75,1)-(IF(AND($A58=DATE(2026,11,29),NOV29BF="Yes"),S58,0)+IF(OR($A58=DATE(2026,11,29),$A58=DATE(2026,11,30),$A58=DATE(2026,12,1),$A58=DATE(2026,12,2)),T58,0)+IF(OR($A58=DATE(2026,11,28),$A58=DATE(2026,12,1)),U58,0))))</f>
        <v>0</v>
      </c>
      <c r="W58" s="14" t="n">
        <f aca="false">IF(AND($A58&lt;&gt;"",$A58&lt;Parameters!$B$14),CityData!F5*(1+TAXRATE),0)</f>
        <v>0</v>
      </c>
      <c r="X58" s="14" t="n">
        <f aca="false">IF($A58="",0,IFERROR(VLOOKUP((YEAR($A58)+IF(MONTH($A58)&gt;=10,1,0))&amp;"|Denver|"&amp;MONTH($A58),Rates!$A$2:$I$181,5,FALSE()),0))</f>
        <v>0</v>
      </c>
      <c r="Y58" s="14" t="n">
        <f aca="false">IF(OR($A58="",$A58&gt;=Parameters!$B$14),1,IF(AND(X58&gt;0,CityData!F5&lt;=X58),1,0))</f>
        <v>1</v>
      </c>
      <c r="Z58" s="14" t="n">
        <f aca="false">IF($A58="",0,IFERROR(VLOOKUP((YEAR($A58)+IF(MONTH($A58)&gt;=10,1,0))&amp;"|Phoenix|"&amp;MONTH($A58),Rates!$A$2:$I$181,6,FALSE()),0))</f>
        <v>0</v>
      </c>
      <c r="AA58" s="14" t="n">
        <f aca="false">IF(Z58=0,0,VLOOKUP(Z58,MIE_Components!$A$2:$F$6,2,FALSE()))</f>
        <v>0</v>
      </c>
      <c r="AB58" s="14" t="n">
        <f aca="false">IF(Z58=0,0,VLOOKUP(Z58,MIE_Components!$A$2:$F$6,3,FALSE()))</f>
        <v>0</v>
      </c>
      <c r="AC58" s="14" t="n">
        <f aca="false">IF(Z58=0,0,VLOOKUP(Z58,MIE_Components!$A$2:$F$6,4,FALSE()))</f>
        <v>0</v>
      </c>
      <c r="AD58" s="14" t="n">
        <f aca="false">IF(OR($A58="",Z58=0),0,MAX(5,Z58*IF(OR($A58=Parameters!$B$13,$A58=Parameters!$B$14),0.75,1)-(IF(AND($A58=DATE(2026,11,29),NOV29BF="Yes"),AA58,0)+IF(OR($A58=DATE(2026,11,29),$A58=DATE(2026,11,30),$A58=DATE(2026,12,1),$A58=DATE(2026,12,2)),AB58,0)+IF(OR($A58=DATE(2026,11,28),$A58=DATE(2026,12,1)),AC58,0))))</f>
        <v>0</v>
      </c>
      <c r="AE58" s="14" t="n">
        <f aca="false">IF(AND($A58&lt;&gt;"",$A58&lt;Parameters!$B$14),CityData!F6*(1+TAXRATE),0)</f>
        <v>0</v>
      </c>
      <c r="AF58" s="14" t="n">
        <f aca="false">IF($A58="",0,IFERROR(VLOOKUP((YEAR($A58)+IF(MONTH($A58)&gt;=10,1,0))&amp;"|Phoenix|"&amp;MONTH($A58),Rates!$A$2:$I$181,5,FALSE()),0))</f>
        <v>0</v>
      </c>
      <c r="AG58" s="14" t="n">
        <f aca="false">IF(OR($A58="",$A58&gt;=Parameters!$B$14),1,IF(AND(AF58&gt;0,CityData!F6&lt;=AF58),1,0))</f>
        <v>1</v>
      </c>
      <c r="AH58" s="14" t="n">
        <f aca="false">IF($A58="",0,IFERROR(VLOOKUP((YEAR($A58)+IF(MONTH($A58)&gt;=10,1,0))&amp;"|Seattle|"&amp;MONTH($A58),Rates!$A$2:$I$181,6,FALSE()),0))</f>
        <v>0</v>
      </c>
      <c r="AI58" s="14" t="n">
        <f aca="false">IF(AH58=0,0,VLOOKUP(AH58,MIE_Components!$A$2:$F$6,2,FALSE()))</f>
        <v>0</v>
      </c>
      <c r="AJ58" s="14" t="n">
        <f aca="false">IF(AH58=0,0,VLOOKUP(AH58,MIE_Components!$A$2:$F$6,3,FALSE()))</f>
        <v>0</v>
      </c>
      <c r="AK58" s="14" t="n">
        <f aca="false">IF(AH58=0,0,VLOOKUP(AH58,MIE_Components!$A$2:$F$6,4,FALSE()))</f>
        <v>0</v>
      </c>
      <c r="AL58" s="14" t="n">
        <f aca="false">IF(OR($A58="",AH58=0),0,MAX(5,AH58*IF(OR($A58=Parameters!$B$13,$A58=Parameters!$B$14),0.75,1)-(IF(AND($A58=DATE(2026,11,29),NOV29BF="Yes"),AI58,0)+IF(OR($A58=DATE(2026,11,29),$A58=DATE(2026,11,30),$A58=DATE(2026,12,1),$A58=DATE(2026,12,2)),AJ58,0)+IF(OR($A58=DATE(2026,11,28),$A58=DATE(2026,12,1)),AK58,0))))</f>
        <v>0</v>
      </c>
      <c r="AM58" s="14" t="n">
        <f aca="false">IF(AND($A58&lt;&gt;"",$A58&lt;Parameters!$B$14),CityData!F7*(1+TAXRATE),0)</f>
        <v>0</v>
      </c>
      <c r="AN58" s="14" t="n">
        <f aca="false">IF($A58="",0,IFERROR(VLOOKUP((YEAR($A58)+IF(MONTH($A58)&gt;=10,1,0))&amp;"|Seattle|"&amp;MONTH($A58),Rates!$A$2:$I$181,5,FALSE()),0))</f>
        <v>0</v>
      </c>
      <c r="AO58" s="14" t="n">
        <f aca="false">IF(OR($A58="",$A58&gt;=Parameters!$B$14),1,IF(AND(AN58&gt;0,CityData!F7&lt;=AN58),1,0))</f>
        <v>1</v>
      </c>
    </row>
    <row r="59" customFormat="false" ht="15" hidden="false" customHeight="true" outlineLevel="0" collapsed="false">
      <c r="A59" s="23" t="str">
        <f aca="false">IF(AND(Parameters!$B$14&gt;=Parameters!$B$13,ROW()-2&lt;=Parameters!$B$14-Parameters!$B$13),Parameters!$B$13+ROW()-2,"")</f>
        <v/>
      </c>
      <c r="B59" s="14" t="n">
        <f aca="false">IF($A59="",0,IFERROR(VLOOKUP((YEAR($A59)+IF(MONTH($A59)&gt;=10,1,0))&amp;"|Boston|"&amp;MONTH($A59),Rates!$A$2:$I$181,6,FALSE()),0))</f>
        <v>0</v>
      </c>
      <c r="C59" s="14" t="n">
        <f aca="false">IF(B59=0,0,VLOOKUP(B59,MIE_Components!$A$2:$F$6,2,FALSE()))</f>
        <v>0</v>
      </c>
      <c r="D59" s="14" t="n">
        <f aca="false">IF(B59=0,0,VLOOKUP(B59,MIE_Components!$A$2:$F$6,3,FALSE()))</f>
        <v>0</v>
      </c>
      <c r="E59" s="14" t="n">
        <f aca="false">IF(B59=0,0,VLOOKUP(B59,MIE_Components!$A$2:$F$6,4,FALSE()))</f>
        <v>0</v>
      </c>
      <c r="F59" s="14" t="n">
        <f aca="false">IF(OR($A59="",B59=0),0,MAX(5,B59*IF(OR($A59=Parameters!$B$13,$A59=Parameters!$B$14),0.75,1)-(IF(AND($A59=DATE(2026,11,29),NOV29BF="Yes"),C59,0)+IF(OR($A59=DATE(2026,11,29),$A59=DATE(2026,11,30),$A59=DATE(2026,12,1),$A59=DATE(2026,12,2)),D59,0)+IF(OR($A59=DATE(2026,11,28),$A59=DATE(2026,12,1)),E59,0))))</f>
        <v>0</v>
      </c>
      <c r="G59" s="14" t="n">
        <f aca="false">IF(AND($A59&lt;&gt;"",$A59&lt;Parameters!$B$14),CityData!F3*(1+TAXRATE),0)</f>
        <v>0</v>
      </c>
      <c r="H59" s="14" t="n">
        <f aca="false">IF($A59="",0,IFERROR(VLOOKUP((YEAR($A59)+IF(MONTH($A59)&gt;=10,1,0))&amp;"|Boston|"&amp;MONTH($A59),Rates!$A$2:$I$181,5,FALSE()),0))</f>
        <v>0</v>
      </c>
      <c r="I59" s="14" t="n">
        <f aca="false">IF(OR($A59="",$A59&gt;=Parameters!$B$14),1,IF(AND(H59&gt;0,CityData!F3&lt;=H59),1,0))</f>
        <v>1</v>
      </c>
      <c r="J59" s="14" t="n">
        <f aca="false">IF($A59="",0,IFERROR(VLOOKUP((YEAR($A59)+IF(MONTH($A59)&gt;=10,1,0))&amp;"|Chicago|"&amp;MONTH($A59),Rates!$A$2:$I$181,6,FALSE()),0))</f>
        <v>0</v>
      </c>
      <c r="K59" s="14" t="n">
        <f aca="false">IF(J59=0,0,VLOOKUP(J59,MIE_Components!$A$2:$F$6,2,FALSE()))</f>
        <v>0</v>
      </c>
      <c r="L59" s="14" t="n">
        <f aca="false">IF(J59=0,0,VLOOKUP(J59,MIE_Components!$A$2:$F$6,3,FALSE()))</f>
        <v>0</v>
      </c>
      <c r="M59" s="14" t="n">
        <f aca="false">IF(J59=0,0,VLOOKUP(J59,MIE_Components!$A$2:$F$6,4,FALSE()))</f>
        <v>0</v>
      </c>
      <c r="N59" s="14" t="n">
        <f aca="false">IF(OR($A59="",J59=0),0,MAX(5,J59*IF(OR($A59=Parameters!$B$13,$A59=Parameters!$B$14),0.75,1)-(IF(AND($A59=DATE(2026,11,29),NOV29BF="Yes"),K59,0)+IF(OR($A59=DATE(2026,11,29),$A59=DATE(2026,11,30),$A59=DATE(2026,12,1),$A59=DATE(2026,12,2)),L59,0)+IF(OR($A59=DATE(2026,11,28),$A59=DATE(2026,12,1)),M59,0))))</f>
        <v>0</v>
      </c>
      <c r="O59" s="14" t="n">
        <f aca="false">IF(AND($A59&lt;&gt;"",$A59&lt;Parameters!$B$14),CityData!F4*(1+TAXRATE),0)</f>
        <v>0</v>
      </c>
      <c r="P59" s="14" t="n">
        <f aca="false">IF($A59="",0,IFERROR(VLOOKUP((YEAR($A59)+IF(MONTH($A59)&gt;=10,1,0))&amp;"|Chicago|"&amp;MONTH($A59),Rates!$A$2:$I$181,5,FALSE()),0))</f>
        <v>0</v>
      </c>
      <c r="Q59" s="14" t="n">
        <f aca="false">IF(OR($A59="",$A59&gt;=Parameters!$B$14),1,IF(AND(P59&gt;0,CityData!F4&lt;=P59),1,0))</f>
        <v>1</v>
      </c>
      <c r="R59" s="14" t="n">
        <f aca="false">IF($A59="",0,IFERROR(VLOOKUP((YEAR($A59)+IF(MONTH($A59)&gt;=10,1,0))&amp;"|Denver|"&amp;MONTH($A59),Rates!$A$2:$I$181,6,FALSE()),0))</f>
        <v>0</v>
      </c>
      <c r="S59" s="14" t="n">
        <f aca="false">IF(R59=0,0,VLOOKUP(R59,MIE_Components!$A$2:$F$6,2,FALSE()))</f>
        <v>0</v>
      </c>
      <c r="T59" s="14" t="n">
        <f aca="false">IF(R59=0,0,VLOOKUP(R59,MIE_Components!$A$2:$F$6,3,FALSE()))</f>
        <v>0</v>
      </c>
      <c r="U59" s="14" t="n">
        <f aca="false">IF(R59=0,0,VLOOKUP(R59,MIE_Components!$A$2:$F$6,4,FALSE()))</f>
        <v>0</v>
      </c>
      <c r="V59" s="14" t="n">
        <f aca="false">IF(OR($A59="",R59=0),0,MAX(5,R59*IF(OR($A59=Parameters!$B$13,$A59=Parameters!$B$14),0.75,1)-(IF(AND($A59=DATE(2026,11,29),NOV29BF="Yes"),S59,0)+IF(OR($A59=DATE(2026,11,29),$A59=DATE(2026,11,30),$A59=DATE(2026,12,1),$A59=DATE(2026,12,2)),T59,0)+IF(OR($A59=DATE(2026,11,28),$A59=DATE(2026,12,1)),U59,0))))</f>
        <v>0</v>
      </c>
      <c r="W59" s="14" t="n">
        <f aca="false">IF(AND($A59&lt;&gt;"",$A59&lt;Parameters!$B$14),CityData!F5*(1+TAXRATE),0)</f>
        <v>0</v>
      </c>
      <c r="X59" s="14" t="n">
        <f aca="false">IF($A59="",0,IFERROR(VLOOKUP((YEAR($A59)+IF(MONTH($A59)&gt;=10,1,0))&amp;"|Denver|"&amp;MONTH($A59),Rates!$A$2:$I$181,5,FALSE()),0))</f>
        <v>0</v>
      </c>
      <c r="Y59" s="14" t="n">
        <f aca="false">IF(OR($A59="",$A59&gt;=Parameters!$B$14),1,IF(AND(X59&gt;0,CityData!F5&lt;=X59),1,0))</f>
        <v>1</v>
      </c>
      <c r="Z59" s="14" t="n">
        <f aca="false">IF($A59="",0,IFERROR(VLOOKUP((YEAR($A59)+IF(MONTH($A59)&gt;=10,1,0))&amp;"|Phoenix|"&amp;MONTH($A59),Rates!$A$2:$I$181,6,FALSE()),0))</f>
        <v>0</v>
      </c>
      <c r="AA59" s="14" t="n">
        <f aca="false">IF(Z59=0,0,VLOOKUP(Z59,MIE_Components!$A$2:$F$6,2,FALSE()))</f>
        <v>0</v>
      </c>
      <c r="AB59" s="14" t="n">
        <f aca="false">IF(Z59=0,0,VLOOKUP(Z59,MIE_Components!$A$2:$F$6,3,FALSE()))</f>
        <v>0</v>
      </c>
      <c r="AC59" s="14" t="n">
        <f aca="false">IF(Z59=0,0,VLOOKUP(Z59,MIE_Components!$A$2:$F$6,4,FALSE()))</f>
        <v>0</v>
      </c>
      <c r="AD59" s="14" t="n">
        <f aca="false">IF(OR($A59="",Z59=0),0,MAX(5,Z59*IF(OR($A59=Parameters!$B$13,$A59=Parameters!$B$14),0.75,1)-(IF(AND($A59=DATE(2026,11,29),NOV29BF="Yes"),AA59,0)+IF(OR($A59=DATE(2026,11,29),$A59=DATE(2026,11,30),$A59=DATE(2026,12,1),$A59=DATE(2026,12,2)),AB59,0)+IF(OR($A59=DATE(2026,11,28),$A59=DATE(2026,12,1)),AC59,0))))</f>
        <v>0</v>
      </c>
      <c r="AE59" s="14" t="n">
        <f aca="false">IF(AND($A59&lt;&gt;"",$A59&lt;Parameters!$B$14),CityData!F6*(1+TAXRATE),0)</f>
        <v>0</v>
      </c>
      <c r="AF59" s="14" t="n">
        <f aca="false">IF($A59="",0,IFERROR(VLOOKUP((YEAR($A59)+IF(MONTH($A59)&gt;=10,1,0))&amp;"|Phoenix|"&amp;MONTH($A59),Rates!$A$2:$I$181,5,FALSE()),0))</f>
        <v>0</v>
      </c>
      <c r="AG59" s="14" t="n">
        <f aca="false">IF(OR($A59="",$A59&gt;=Parameters!$B$14),1,IF(AND(AF59&gt;0,CityData!F6&lt;=AF59),1,0))</f>
        <v>1</v>
      </c>
      <c r="AH59" s="14" t="n">
        <f aca="false">IF($A59="",0,IFERROR(VLOOKUP((YEAR($A59)+IF(MONTH($A59)&gt;=10,1,0))&amp;"|Seattle|"&amp;MONTH($A59),Rates!$A$2:$I$181,6,FALSE()),0))</f>
        <v>0</v>
      </c>
      <c r="AI59" s="14" t="n">
        <f aca="false">IF(AH59=0,0,VLOOKUP(AH59,MIE_Components!$A$2:$F$6,2,FALSE()))</f>
        <v>0</v>
      </c>
      <c r="AJ59" s="14" t="n">
        <f aca="false">IF(AH59=0,0,VLOOKUP(AH59,MIE_Components!$A$2:$F$6,3,FALSE()))</f>
        <v>0</v>
      </c>
      <c r="AK59" s="14" t="n">
        <f aca="false">IF(AH59=0,0,VLOOKUP(AH59,MIE_Components!$A$2:$F$6,4,FALSE()))</f>
        <v>0</v>
      </c>
      <c r="AL59" s="14" t="n">
        <f aca="false">IF(OR($A59="",AH59=0),0,MAX(5,AH59*IF(OR($A59=Parameters!$B$13,$A59=Parameters!$B$14),0.75,1)-(IF(AND($A59=DATE(2026,11,29),NOV29BF="Yes"),AI59,0)+IF(OR($A59=DATE(2026,11,29),$A59=DATE(2026,11,30),$A59=DATE(2026,12,1),$A59=DATE(2026,12,2)),AJ59,0)+IF(OR($A59=DATE(2026,11,28),$A59=DATE(2026,12,1)),AK59,0))))</f>
        <v>0</v>
      </c>
      <c r="AM59" s="14" t="n">
        <f aca="false">IF(AND($A59&lt;&gt;"",$A59&lt;Parameters!$B$14),CityData!F7*(1+TAXRATE),0)</f>
        <v>0</v>
      </c>
      <c r="AN59" s="14" t="n">
        <f aca="false">IF($A59="",0,IFERROR(VLOOKUP((YEAR($A59)+IF(MONTH($A59)&gt;=10,1,0))&amp;"|Seattle|"&amp;MONTH($A59),Rates!$A$2:$I$181,5,FALSE()),0))</f>
        <v>0</v>
      </c>
      <c r="AO59" s="14" t="n">
        <f aca="false">IF(OR($A59="",$A59&gt;=Parameters!$B$14),1,IF(AND(AN59&gt;0,CityData!F7&lt;=AN59),1,0))</f>
        <v>1</v>
      </c>
    </row>
    <row r="60" customFormat="false" ht="15" hidden="false" customHeight="true" outlineLevel="0" collapsed="false">
      <c r="A60" s="23" t="str">
        <f aca="false">IF(AND(Parameters!$B$14&gt;=Parameters!$B$13,ROW()-2&lt;=Parameters!$B$14-Parameters!$B$13),Parameters!$B$13+ROW()-2,"")</f>
        <v/>
      </c>
      <c r="B60" s="14" t="n">
        <f aca="false">IF($A60="",0,IFERROR(VLOOKUP((YEAR($A60)+IF(MONTH($A60)&gt;=10,1,0))&amp;"|Boston|"&amp;MONTH($A60),Rates!$A$2:$I$181,6,FALSE()),0))</f>
        <v>0</v>
      </c>
      <c r="C60" s="14" t="n">
        <f aca="false">IF(B60=0,0,VLOOKUP(B60,MIE_Components!$A$2:$F$6,2,FALSE()))</f>
        <v>0</v>
      </c>
      <c r="D60" s="14" t="n">
        <f aca="false">IF(B60=0,0,VLOOKUP(B60,MIE_Components!$A$2:$F$6,3,FALSE()))</f>
        <v>0</v>
      </c>
      <c r="E60" s="14" t="n">
        <f aca="false">IF(B60=0,0,VLOOKUP(B60,MIE_Components!$A$2:$F$6,4,FALSE()))</f>
        <v>0</v>
      </c>
      <c r="F60" s="14" t="n">
        <f aca="false">IF(OR($A60="",B60=0),0,MAX(5,B60*IF(OR($A60=Parameters!$B$13,$A60=Parameters!$B$14),0.75,1)-(IF(AND($A60=DATE(2026,11,29),NOV29BF="Yes"),C60,0)+IF(OR($A60=DATE(2026,11,29),$A60=DATE(2026,11,30),$A60=DATE(2026,12,1),$A60=DATE(2026,12,2)),D60,0)+IF(OR($A60=DATE(2026,11,28),$A60=DATE(2026,12,1)),E60,0))))</f>
        <v>0</v>
      </c>
      <c r="G60" s="14" t="n">
        <f aca="false">IF(AND($A60&lt;&gt;"",$A60&lt;Parameters!$B$14),CityData!F3*(1+TAXRATE),0)</f>
        <v>0</v>
      </c>
      <c r="H60" s="14" t="n">
        <f aca="false">IF($A60="",0,IFERROR(VLOOKUP((YEAR($A60)+IF(MONTH($A60)&gt;=10,1,0))&amp;"|Boston|"&amp;MONTH($A60),Rates!$A$2:$I$181,5,FALSE()),0))</f>
        <v>0</v>
      </c>
      <c r="I60" s="14" t="n">
        <f aca="false">IF(OR($A60="",$A60&gt;=Parameters!$B$14),1,IF(AND(H60&gt;0,CityData!F3&lt;=H60),1,0))</f>
        <v>1</v>
      </c>
      <c r="J60" s="14" t="n">
        <f aca="false">IF($A60="",0,IFERROR(VLOOKUP((YEAR($A60)+IF(MONTH($A60)&gt;=10,1,0))&amp;"|Chicago|"&amp;MONTH($A60),Rates!$A$2:$I$181,6,FALSE()),0))</f>
        <v>0</v>
      </c>
      <c r="K60" s="14" t="n">
        <f aca="false">IF(J60=0,0,VLOOKUP(J60,MIE_Components!$A$2:$F$6,2,FALSE()))</f>
        <v>0</v>
      </c>
      <c r="L60" s="14" t="n">
        <f aca="false">IF(J60=0,0,VLOOKUP(J60,MIE_Components!$A$2:$F$6,3,FALSE()))</f>
        <v>0</v>
      </c>
      <c r="M60" s="14" t="n">
        <f aca="false">IF(J60=0,0,VLOOKUP(J60,MIE_Components!$A$2:$F$6,4,FALSE()))</f>
        <v>0</v>
      </c>
      <c r="N60" s="14" t="n">
        <f aca="false">IF(OR($A60="",J60=0),0,MAX(5,J60*IF(OR($A60=Parameters!$B$13,$A60=Parameters!$B$14),0.75,1)-(IF(AND($A60=DATE(2026,11,29),NOV29BF="Yes"),K60,0)+IF(OR($A60=DATE(2026,11,29),$A60=DATE(2026,11,30),$A60=DATE(2026,12,1),$A60=DATE(2026,12,2)),L60,0)+IF(OR($A60=DATE(2026,11,28),$A60=DATE(2026,12,1)),M60,0))))</f>
        <v>0</v>
      </c>
      <c r="O60" s="14" t="n">
        <f aca="false">IF(AND($A60&lt;&gt;"",$A60&lt;Parameters!$B$14),CityData!F4*(1+TAXRATE),0)</f>
        <v>0</v>
      </c>
      <c r="P60" s="14" t="n">
        <f aca="false">IF($A60="",0,IFERROR(VLOOKUP((YEAR($A60)+IF(MONTH($A60)&gt;=10,1,0))&amp;"|Chicago|"&amp;MONTH($A60),Rates!$A$2:$I$181,5,FALSE()),0))</f>
        <v>0</v>
      </c>
      <c r="Q60" s="14" t="n">
        <f aca="false">IF(OR($A60="",$A60&gt;=Parameters!$B$14),1,IF(AND(P60&gt;0,CityData!F4&lt;=P60),1,0))</f>
        <v>1</v>
      </c>
      <c r="R60" s="14" t="n">
        <f aca="false">IF($A60="",0,IFERROR(VLOOKUP((YEAR($A60)+IF(MONTH($A60)&gt;=10,1,0))&amp;"|Denver|"&amp;MONTH($A60),Rates!$A$2:$I$181,6,FALSE()),0))</f>
        <v>0</v>
      </c>
      <c r="S60" s="14" t="n">
        <f aca="false">IF(R60=0,0,VLOOKUP(R60,MIE_Components!$A$2:$F$6,2,FALSE()))</f>
        <v>0</v>
      </c>
      <c r="T60" s="14" t="n">
        <f aca="false">IF(R60=0,0,VLOOKUP(R60,MIE_Components!$A$2:$F$6,3,FALSE()))</f>
        <v>0</v>
      </c>
      <c r="U60" s="14" t="n">
        <f aca="false">IF(R60=0,0,VLOOKUP(R60,MIE_Components!$A$2:$F$6,4,FALSE()))</f>
        <v>0</v>
      </c>
      <c r="V60" s="14" t="n">
        <f aca="false">IF(OR($A60="",R60=0),0,MAX(5,R60*IF(OR($A60=Parameters!$B$13,$A60=Parameters!$B$14),0.75,1)-(IF(AND($A60=DATE(2026,11,29),NOV29BF="Yes"),S60,0)+IF(OR($A60=DATE(2026,11,29),$A60=DATE(2026,11,30),$A60=DATE(2026,12,1),$A60=DATE(2026,12,2)),T60,0)+IF(OR($A60=DATE(2026,11,28),$A60=DATE(2026,12,1)),U60,0))))</f>
        <v>0</v>
      </c>
      <c r="W60" s="14" t="n">
        <f aca="false">IF(AND($A60&lt;&gt;"",$A60&lt;Parameters!$B$14),CityData!F5*(1+TAXRATE),0)</f>
        <v>0</v>
      </c>
      <c r="X60" s="14" t="n">
        <f aca="false">IF($A60="",0,IFERROR(VLOOKUP((YEAR($A60)+IF(MONTH($A60)&gt;=10,1,0))&amp;"|Denver|"&amp;MONTH($A60),Rates!$A$2:$I$181,5,FALSE()),0))</f>
        <v>0</v>
      </c>
      <c r="Y60" s="14" t="n">
        <f aca="false">IF(OR($A60="",$A60&gt;=Parameters!$B$14),1,IF(AND(X60&gt;0,CityData!F5&lt;=X60),1,0))</f>
        <v>1</v>
      </c>
      <c r="Z60" s="14" t="n">
        <f aca="false">IF($A60="",0,IFERROR(VLOOKUP((YEAR($A60)+IF(MONTH($A60)&gt;=10,1,0))&amp;"|Phoenix|"&amp;MONTH($A60),Rates!$A$2:$I$181,6,FALSE()),0))</f>
        <v>0</v>
      </c>
      <c r="AA60" s="14" t="n">
        <f aca="false">IF(Z60=0,0,VLOOKUP(Z60,MIE_Components!$A$2:$F$6,2,FALSE()))</f>
        <v>0</v>
      </c>
      <c r="AB60" s="14" t="n">
        <f aca="false">IF(Z60=0,0,VLOOKUP(Z60,MIE_Components!$A$2:$F$6,3,FALSE()))</f>
        <v>0</v>
      </c>
      <c r="AC60" s="14" t="n">
        <f aca="false">IF(Z60=0,0,VLOOKUP(Z60,MIE_Components!$A$2:$F$6,4,FALSE()))</f>
        <v>0</v>
      </c>
      <c r="AD60" s="14" t="n">
        <f aca="false">IF(OR($A60="",Z60=0),0,MAX(5,Z60*IF(OR($A60=Parameters!$B$13,$A60=Parameters!$B$14),0.75,1)-(IF(AND($A60=DATE(2026,11,29),NOV29BF="Yes"),AA60,0)+IF(OR($A60=DATE(2026,11,29),$A60=DATE(2026,11,30),$A60=DATE(2026,12,1),$A60=DATE(2026,12,2)),AB60,0)+IF(OR($A60=DATE(2026,11,28),$A60=DATE(2026,12,1)),AC60,0))))</f>
        <v>0</v>
      </c>
      <c r="AE60" s="14" t="n">
        <f aca="false">IF(AND($A60&lt;&gt;"",$A60&lt;Parameters!$B$14),CityData!F6*(1+TAXRATE),0)</f>
        <v>0</v>
      </c>
      <c r="AF60" s="14" t="n">
        <f aca="false">IF($A60="",0,IFERROR(VLOOKUP((YEAR($A60)+IF(MONTH($A60)&gt;=10,1,0))&amp;"|Phoenix|"&amp;MONTH($A60),Rates!$A$2:$I$181,5,FALSE()),0))</f>
        <v>0</v>
      </c>
      <c r="AG60" s="14" t="n">
        <f aca="false">IF(OR($A60="",$A60&gt;=Parameters!$B$14),1,IF(AND(AF60&gt;0,CityData!F6&lt;=AF60),1,0))</f>
        <v>1</v>
      </c>
      <c r="AH60" s="14" t="n">
        <f aca="false">IF($A60="",0,IFERROR(VLOOKUP((YEAR($A60)+IF(MONTH($A60)&gt;=10,1,0))&amp;"|Seattle|"&amp;MONTH($A60),Rates!$A$2:$I$181,6,FALSE()),0))</f>
        <v>0</v>
      </c>
      <c r="AI60" s="14" t="n">
        <f aca="false">IF(AH60=0,0,VLOOKUP(AH60,MIE_Components!$A$2:$F$6,2,FALSE()))</f>
        <v>0</v>
      </c>
      <c r="AJ60" s="14" t="n">
        <f aca="false">IF(AH60=0,0,VLOOKUP(AH60,MIE_Components!$A$2:$F$6,3,FALSE()))</f>
        <v>0</v>
      </c>
      <c r="AK60" s="14" t="n">
        <f aca="false">IF(AH60=0,0,VLOOKUP(AH60,MIE_Components!$A$2:$F$6,4,FALSE()))</f>
        <v>0</v>
      </c>
      <c r="AL60" s="14" t="n">
        <f aca="false">IF(OR($A60="",AH60=0),0,MAX(5,AH60*IF(OR($A60=Parameters!$B$13,$A60=Parameters!$B$14),0.75,1)-(IF(AND($A60=DATE(2026,11,29),NOV29BF="Yes"),AI60,0)+IF(OR($A60=DATE(2026,11,29),$A60=DATE(2026,11,30),$A60=DATE(2026,12,1),$A60=DATE(2026,12,2)),AJ60,0)+IF(OR($A60=DATE(2026,11,28),$A60=DATE(2026,12,1)),AK60,0))))</f>
        <v>0</v>
      </c>
      <c r="AM60" s="14" t="n">
        <f aca="false">IF(AND($A60&lt;&gt;"",$A60&lt;Parameters!$B$14),CityData!F7*(1+TAXRATE),0)</f>
        <v>0</v>
      </c>
      <c r="AN60" s="14" t="n">
        <f aca="false">IF($A60="",0,IFERROR(VLOOKUP((YEAR($A60)+IF(MONTH($A60)&gt;=10,1,0))&amp;"|Seattle|"&amp;MONTH($A60),Rates!$A$2:$I$181,5,FALSE()),0))</f>
        <v>0</v>
      </c>
      <c r="AO60" s="14" t="n">
        <f aca="false">IF(OR($A60="",$A60&gt;=Parameters!$B$14),1,IF(AND(AN60&gt;0,CityData!F7&lt;=AN60),1,0))</f>
        <v>1</v>
      </c>
    </row>
    <row r="61" customFormat="false" ht="15" hidden="false" customHeight="true" outlineLevel="0" collapsed="false">
      <c r="A61" s="23" t="str">
        <f aca="false">IF(AND(Parameters!$B$14&gt;=Parameters!$B$13,ROW()-2&lt;=Parameters!$B$14-Parameters!$B$13),Parameters!$B$13+ROW()-2,"")</f>
        <v/>
      </c>
      <c r="B61" s="14" t="n">
        <f aca="false">IF($A61="",0,IFERROR(VLOOKUP((YEAR($A61)+IF(MONTH($A61)&gt;=10,1,0))&amp;"|Boston|"&amp;MONTH($A61),Rates!$A$2:$I$181,6,FALSE()),0))</f>
        <v>0</v>
      </c>
      <c r="C61" s="14" t="n">
        <f aca="false">IF(B61=0,0,VLOOKUP(B61,MIE_Components!$A$2:$F$6,2,FALSE()))</f>
        <v>0</v>
      </c>
      <c r="D61" s="14" t="n">
        <f aca="false">IF(B61=0,0,VLOOKUP(B61,MIE_Components!$A$2:$F$6,3,FALSE()))</f>
        <v>0</v>
      </c>
      <c r="E61" s="14" t="n">
        <f aca="false">IF(B61=0,0,VLOOKUP(B61,MIE_Components!$A$2:$F$6,4,FALSE()))</f>
        <v>0</v>
      </c>
      <c r="F61" s="14" t="n">
        <f aca="false">IF(OR($A61="",B61=0),0,MAX(5,B61*IF(OR($A61=Parameters!$B$13,$A61=Parameters!$B$14),0.75,1)-(IF(AND($A61=DATE(2026,11,29),NOV29BF="Yes"),C61,0)+IF(OR($A61=DATE(2026,11,29),$A61=DATE(2026,11,30),$A61=DATE(2026,12,1),$A61=DATE(2026,12,2)),D61,0)+IF(OR($A61=DATE(2026,11,28),$A61=DATE(2026,12,1)),E61,0))))</f>
        <v>0</v>
      </c>
      <c r="G61" s="14" t="n">
        <f aca="false">IF(AND($A61&lt;&gt;"",$A61&lt;Parameters!$B$14),CityData!F3*(1+TAXRATE),0)</f>
        <v>0</v>
      </c>
      <c r="H61" s="14" t="n">
        <f aca="false">IF($A61="",0,IFERROR(VLOOKUP((YEAR($A61)+IF(MONTH($A61)&gt;=10,1,0))&amp;"|Boston|"&amp;MONTH($A61),Rates!$A$2:$I$181,5,FALSE()),0))</f>
        <v>0</v>
      </c>
      <c r="I61" s="14" t="n">
        <f aca="false">IF(OR($A61="",$A61&gt;=Parameters!$B$14),1,IF(AND(H61&gt;0,CityData!F3&lt;=H61),1,0))</f>
        <v>1</v>
      </c>
      <c r="J61" s="14" t="n">
        <f aca="false">IF($A61="",0,IFERROR(VLOOKUP((YEAR($A61)+IF(MONTH($A61)&gt;=10,1,0))&amp;"|Chicago|"&amp;MONTH($A61),Rates!$A$2:$I$181,6,FALSE()),0))</f>
        <v>0</v>
      </c>
      <c r="K61" s="14" t="n">
        <f aca="false">IF(J61=0,0,VLOOKUP(J61,MIE_Components!$A$2:$F$6,2,FALSE()))</f>
        <v>0</v>
      </c>
      <c r="L61" s="14" t="n">
        <f aca="false">IF(J61=0,0,VLOOKUP(J61,MIE_Components!$A$2:$F$6,3,FALSE()))</f>
        <v>0</v>
      </c>
      <c r="M61" s="14" t="n">
        <f aca="false">IF(J61=0,0,VLOOKUP(J61,MIE_Components!$A$2:$F$6,4,FALSE()))</f>
        <v>0</v>
      </c>
      <c r="N61" s="14" t="n">
        <f aca="false">IF(OR($A61="",J61=0),0,MAX(5,J61*IF(OR($A61=Parameters!$B$13,$A61=Parameters!$B$14),0.75,1)-(IF(AND($A61=DATE(2026,11,29),NOV29BF="Yes"),K61,0)+IF(OR($A61=DATE(2026,11,29),$A61=DATE(2026,11,30),$A61=DATE(2026,12,1),$A61=DATE(2026,12,2)),L61,0)+IF(OR($A61=DATE(2026,11,28),$A61=DATE(2026,12,1)),M61,0))))</f>
        <v>0</v>
      </c>
      <c r="O61" s="14" t="n">
        <f aca="false">IF(AND($A61&lt;&gt;"",$A61&lt;Parameters!$B$14),CityData!F4*(1+TAXRATE),0)</f>
        <v>0</v>
      </c>
      <c r="P61" s="14" t="n">
        <f aca="false">IF($A61="",0,IFERROR(VLOOKUP((YEAR($A61)+IF(MONTH($A61)&gt;=10,1,0))&amp;"|Chicago|"&amp;MONTH($A61),Rates!$A$2:$I$181,5,FALSE()),0))</f>
        <v>0</v>
      </c>
      <c r="Q61" s="14" t="n">
        <f aca="false">IF(OR($A61="",$A61&gt;=Parameters!$B$14),1,IF(AND(P61&gt;0,CityData!F4&lt;=P61),1,0))</f>
        <v>1</v>
      </c>
      <c r="R61" s="14" t="n">
        <f aca="false">IF($A61="",0,IFERROR(VLOOKUP((YEAR($A61)+IF(MONTH($A61)&gt;=10,1,0))&amp;"|Denver|"&amp;MONTH($A61),Rates!$A$2:$I$181,6,FALSE()),0))</f>
        <v>0</v>
      </c>
      <c r="S61" s="14" t="n">
        <f aca="false">IF(R61=0,0,VLOOKUP(R61,MIE_Components!$A$2:$F$6,2,FALSE()))</f>
        <v>0</v>
      </c>
      <c r="T61" s="14" t="n">
        <f aca="false">IF(R61=0,0,VLOOKUP(R61,MIE_Components!$A$2:$F$6,3,FALSE()))</f>
        <v>0</v>
      </c>
      <c r="U61" s="14" t="n">
        <f aca="false">IF(R61=0,0,VLOOKUP(R61,MIE_Components!$A$2:$F$6,4,FALSE()))</f>
        <v>0</v>
      </c>
      <c r="V61" s="14" t="n">
        <f aca="false">IF(OR($A61="",R61=0),0,MAX(5,R61*IF(OR($A61=Parameters!$B$13,$A61=Parameters!$B$14),0.75,1)-(IF(AND($A61=DATE(2026,11,29),NOV29BF="Yes"),S61,0)+IF(OR($A61=DATE(2026,11,29),$A61=DATE(2026,11,30),$A61=DATE(2026,12,1),$A61=DATE(2026,12,2)),T61,0)+IF(OR($A61=DATE(2026,11,28),$A61=DATE(2026,12,1)),U61,0))))</f>
        <v>0</v>
      </c>
      <c r="W61" s="14" t="n">
        <f aca="false">IF(AND($A61&lt;&gt;"",$A61&lt;Parameters!$B$14),CityData!F5*(1+TAXRATE),0)</f>
        <v>0</v>
      </c>
      <c r="X61" s="14" t="n">
        <f aca="false">IF($A61="",0,IFERROR(VLOOKUP((YEAR($A61)+IF(MONTH($A61)&gt;=10,1,0))&amp;"|Denver|"&amp;MONTH($A61),Rates!$A$2:$I$181,5,FALSE()),0))</f>
        <v>0</v>
      </c>
      <c r="Y61" s="14" t="n">
        <f aca="false">IF(OR($A61="",$A61&gt;=Parameters!$B$14),1,IF(AND(X61&gt;0,CityData!F5&lt;=X61),1,0))</f>
        <v>1</v>
      </c>
      <c r="Z61" s="14" t="n">
        <f aca="false">IF($A61="",0,IFERROR(VLOOKUP((YEAR($A61)+IF(MONTH($A61)&gt;=10,1,0))&amp;"|Phoenix|"&amp;MONTH($A61),Rates!$A$2:$I$181,6,FALSE()),0))</f>
        <v>0</v>
      </c>
      <c r="AA61" s="14" t="n">
        <f aca="false">IF(Z61=0,0,VLOOKUP(Z61,MIE_Components!$A$2:$F$6,2,FALSE()))</f>
        <v>0</v>
      </c>
      <c r="AB61" s="14" t="n">
        <f aca="false">IF(Z61=0,0,VLOOKUP(Z61,MIE_Components!$A$2:$F$6,3,FALSE()))</f>
        <v>0</v>
      </c>
      <c r="AC61" s="14" t="n">
        <f aca="false">IF(Z61=0,0,VLOOKUP(Z61,MIE_Components!$A$2:$F$6,4,FALSE()))</f>
        <v>0</v>
      </c>
      <c r="AD61" s="14" t="n">
        <f aca="false">IF(OR($A61="",Z61=0),0,MAX(5,Z61*IF(OR($A61=Parameters!$B$13,$A61=Parameters!$B$14),0.75,1)-(IF(AND($A61=DATE(2026,11,29),NOV29BF="Yes"),AA61,0)+IF(OR($A61=DATE(2026,11,29),$A61=DATE(2026,11,30),$A61=DATE(2026,12,1),$A61=DATE(2026,12,2)),AB61,0)+IF(OR($A61=DATE(2026,11,28),$A61=DATE(2026,12,1)),AC61,0))))</f>
        <v>0</v>
      </c>
      <c r="AE61" s="14" t="n">
        <f aca="false">IF(AND($A61&lt;&gt;"",$A61&lt;Parameters!$B$14),CityData!F6*(1+TAXRATE),0)</f>
        <v>0</v>
      </c>
      <c r="AF61" s="14" t="n">
        <f aca="false">IF($A61="",0,IFERROR(VLOOKUP((YEAR($A61)+IF(MONTH($A61)&gt;=10,1,0))&amp;"|Phoenix|"&amp;MONTH($A61),Rates!$A$2:$I$181,5,FALSE()),0))</f>
        <v>0</v>
      </c>
      <c r="AG61" s="14" t="n">
        <f aca="false">IF(OR($A61="",$A61&gt;=Parameters!$B$14),1,IF(AND(AF61&gt;0,CityData!F6&lt;=AF61),1,0))</f>
        <v>1</v>
      </c>
      <c r="AH61" s="14" t="n">
        <f aca="false">IF($A61="",0,IFERROR(VLOOKUP((YEAR($A61)+IF(MONTH($A61)&gt;=10,1,0))&amp;"|Seattle|"&amp;MONTH($A61),Rates!$A$2:$I$181,6,FALSE()),0))</f>
        <v>0</v>
      </c>
      <c r="AI61" s="14" t="n">
        <f aca="false">IF(AH61=0,0,VLOOKUP(AH61,MIE_Components!$A$2:$F$6,2,FALSE()))</f>
        <v>0</v>
      </c>
      <c r="AJ61" s="14" t="n">
        <f aca="false">IF(AH61=0,0,VLOOKUP(AH61,MIE_Components!$A$2:$F$6,3,FALSE()))</f>
        <v>0</v>
      </c>
      <c r="AK61" s="14" t="n">
        <f aca="false">IF(AH61=0,0,VLOOKUP(AH61,MIE_Components!$A$2:$F$6,4,FALSE()))</f>
        <v>0</v>
      </c>
      <c r="AL61" s="14" t="n">
        <f aca="false">IF(OR($A61="",AH61=0),0,MAX(5,AH61*IF(OR($A61=Parameters!$B$13,$A61=Parameters!$B$14),0.75,1)-(IF(AND($A61=DATE(2026,11,29),NOV29BF="Yes"),AI61,0)+IF(OR($A61=DATE(2026,11,29),$A61=DATE(2026,11,30),$A61=DATE(2026,12,1),$A61=DATE(2026,12,2)),AJ61,0)+IF(OR($A61=DATE(2026,11,28),$A61=DATE(2026,12,1)),AK61,0))))</f>
        <v>0</v>
      </c>
      <c r="AM61" s="14" t="n">
        <f aca="false">IF(AND($A61&lt;&gt;"",$A61&lt;Parameters!$B$14),CityData!F7*(1+TAXRATE),0)</f>
        <v>0</v>
      </c>
      <c r="AN61" s="14" t="n">
        <f aca="false">IF($A61="",0,IFERROR(VLOOKUP((YEAR($A61)+IF(MONTH($A61)&gt;=10,1,0))&amp;"|Seattle|"&amp;MONTH($A61),Rates!$A$2:$I$181,5,FALSE()),0))</f>
        <v>0</v>
      </c>
      <c r="AO61" s="14" t="n">
        <f aca="false">IF(OR($A61="",$A61&gt;=Parameters!$B$14),1,IF(AND(AN61&gt;0,CityData!F7&lt;=AN61),1,0))</f>
        <v>1</v>
      </c>
    </row>
    <row r="62" customFormat="false" ht="15" hidden="false" customHeight="true" outlineLevel="0" collapsed="false">
      <c r="A62" s="23" t="str">
        <f aca="false">IF(AND(Parameters!$B$14&gt;=Parameters!$B$13,ROW()-2&lt;=Parameters!$B$14-Parameters!$B$13),Parameters!$B$13+ROW()-2,"")</f>
        <v/>
      </c>
      <c r="B62" s="14" t="n">
        <f aca="false">IF($A62="",0,IFERROR(VLOOKUP((YEAR($A62)+IF(MONTH($A62)&gt;=10,1,0))&amp;"|Boston|"&amp;MONTH($A62),Rates!$A$2:$I$181,6,FALSE()),0))</f>
        <v>0</v>
      </c>
      <c r="C62" s="14" t="n">
        <f aca="false">IF(B62=0,0,VLOOKUP(B62,MIE_Components!$A$2:$F$6,2,FALSE()))</f>
        <v>0</v>
      </c>
      <c r="D62" s="14" t="n">
        <f aca="false">IF(B62=0,0,VLOOKUP(B62,MIE_Components!$A$2:$F$6,3,FALSE()))</f>
        <v>0</v>
      </c>
      <c r="E62" s="14" t="n">
        <f aca="false">IF(B62=0,0,VLOOKUP(B62,MIE_Components!$A$2:$F$6,4,FALSE()))</f>
        <v>0</v>
      </c>
      <c r="F62" s="14" t="n">
        <f aca="false">IF(OR($A62="",B62=0),0,MAX(5,B62*IF(OR($A62=Parameters!$B$13,$A62=Parameters!$B$14),0.75,1)-(IF(AND($A62=DATE(2026,11,29),NOV29BF="Yes"),C62,0)+IF(OR($A62=DATE(2026,11,29),$A62=DATE(2026,11,30),$A62=DATE(2026,12,1),$A62=DATE(2026,12,2)),D62,0)+IF(OR($A62=DATE(2026,11,28),$A62=DATE(2026,12,1)),E62,0))))</f>
        <v>0</v>
      </c>
      <c r="G62" s="14" t="n">
        <f aca="false">IF(AND($A62&lt;&gt;"",$A62&lt;Parameters!$B$14),CityData!F3*(1+TAXRATE),0)</f>
        <v>0</v>
      </c>
      <c r="H62" s="14" t="n">
        <f aca="false">IF($A62="",0,IFERROR(VLOOKUP((YEAR($A62)+IF(MONTH($A62)&gt;=10,1,0))&amp;"|Boston|"&amp;MONTH($A62),Rates!$A$2:$I$181,5,FALSE()),0))</f>
        <v>0</v>
      </c>
      <c r="I62" s="14" t="n">
        <f aca="false">IF(OR($A62="",$A62&gt;=Parameters!$B$14),1,IF(AND(H62&gt;0,CityData!F3&lt;=H62),1,0))</f>
        <v>1</v>
      </c>
      <c r="J62" s="14" t="n">
        <f aca="false">IF($A62="",0,IFERROR(VLOOKUP((YEAR($A62)+IF(MONTH($A62)&gt;=10,1,0))&amp;"|Chicago|"&amp;MONTH($A62),Rates!$A$2:$I$181,6,FALSE()),0))</f>
        <v>0</v>
      </c>
      <c r="K62" s="14" t="n">
        <f aca="false">IF(J62=0,0,VLOOKUP(J62,MIE_Components!$A$2:$F$6,2,FALSE()))</f>
        <v>0</v>
      </c>
      <c r="L62" s="14" t="n">
        <f aca="false">IF(J62=0,0,VLOOKUP(J62,MIE_Components!$A$2:$F$6,3,FALSE()))</f>
        <v>0</v>
      </c>
      <c r="M62" s="14" t="n">
        <f aca="false">IF(J62=0,0,VLOOKUP(J62,MIE_Components!$A$2:$F$6,4,FALSE()))</f>
        <v>0</v>
      </c>
      <c r="N62" s="14" t="n">
        <f aca="false">IF(OR($A62="",J62=0),0,MAX(5,J62*IF(OR($A62=Parameters!$B$13,$A62=Parameters!$B$14),0.75,1)-(IF(AND($A62=DATE(2026,11,29),NOV29BF="Yes"),K62,0)+IF(OR($A62=DATE(2026,11,29),$A62=DATE(2026,11,30),$A62=DATE(2026,12,1),$A62=DATE(2026,12,2)),L62,0)+IF(OR($A62=DATE(2026,11,28),$A62=DATE(2026,12,1)),M62,0))))</f>
        <v>0</v>
      </c>
      <c r="O62" s="14" t="n">
        <f aca="false">IF(AND($A62&lt;&gt;"",$A62&lt;Parameters!$B$14),CityData!F4*(1+TAXRATE),0)</f>
        <v>0</v>
      </c>
      <c r="P62" s="14" t="n">
        <f aca="false">IF($A62="",0,IFERROR(VLOOKUP((YEAR($A62)+IF(MONTH($A62)&gt;=10,1,0))&amp;"|Chicago|"&amp;MONTH($A62),Rates!$A$2:$I$181,5,FALSE()),0))</f>
        <v>0</v>
      </c>
      <c r="Q62" s="14" t="n">
        <f aca="false">IF(OR($A62="",$A62&gt;=Parameters!$B$14),1,IF(AND(P62&gt;0,CityData!F4&lt;=P62),1,0))</f>
        <v>1</v>
      </c>
      <c r="R62" s="14" t="n">
        <f aca="false">IF($A62="",0,IFERROR(VLOOKUP((YEAR($A62)+IF(MONTH($A62)&gt;=10,1,0))&amp;"|Denver|"&amp;MONTH($A62),Rates!$A$2:$I$181,6,FALSE()),0))</f>
        <v>0</v>
      </c>
      <c r="S62" s="14" t="n">
        <f aca="false">IF(R62=0,0,VLOOKUP(R62,MIE_Components!$A$2:$F$6,2,FALSE()))</f>
        <v>0</v>
      </c>
      <c r="T62" s="14" t="n">
        <f aca="false">IF(R62=0,0,VLOOKUP(R62,MIE_Components!$A$2:$F$6,3,FALSE()))</f>
        <v>0</v>
      </c>
      <c r="U62" s="14" t="n">
        <f aca="false">IF(R62=0,0,VLOOKUP(R62,MIE_Components!$A$2:$F$6,4,FALSE()))</f>
        <v>0</v>
      </c>
      <c r="V62" s="14" t="n">
        <f aca="false">IF(OR($A62="",R62=0),0,MAX(5,R62*IF(OR($A62=Parameters!$B$13,$A62=Parameters!$B$14),0.75,1)-(IF(AND($A62=DATE(2026,11,29),NOV29BF="Yes"),S62,0)+IF(OR($A62=DATE(2026,11,29),$A62=DATE(2026,11,30),$A62=DATE(2026,12,1),$A62=DATE(2026,12,2)),T62,0)+IF(OR($A62=DATE(2026,11,28),$A62=DATE(2026,12,1)),U62,0))))</f>
        <v>0</v>
      </c>
      <c r="W62" s="14" t="n">
        <f aca="false">IF(AND($A62&lt;&gt;"",$A62&lt;Parameters!$B$14),CityData!F5*(1+TAXRATE),0)</f>
        <v>0</v>
      </c>
      <c r="X62" s="14" t="n">
        <f aca="false">IF($A62="",0,IFERROR(VLOOKUP((YEAR($A62)+IF(MONTH($A62)&gt;=10,1,0))&amp;"|Denver|"&amp;MONTH($A62),Rates!$A$2:$I$181,5,FALSE()),0))</f>
        <v>0</v>
      </c>
      <c r="Y62" s="14" t="n">
        <f aca="false">IF(OR($A62="",$A62&gt;=Parameters!$B$14),1,IF(AND(X62&gt;0,CityData!F5&lt;=X62),1,0))</f>
        <v>1</v>
      </c>
      <c r="Z62" s="14" t="n">
        <f aca="false">IF($A62="",0,IFERROR(VLOOKUP((YEAR($A62)+IF(MONTH($A62)&gt;=10,1,0))&amp;"|Phoenix|"&amp;MONTH($A62),Rates!$A$2:$I$181,6,FALSE()),0))</f>
        <v>0</v>
      </c>
      <c r="AA62" s="14" t="n">
        <f aca="false">IF(Z62=0,0,VLOOKUP(Z62,MIE_Components!$A$2:$F$6,2,FALSE()))</f>
        <v>0</v>
      </c>
      <c r="AB62" s="14" t="n">
        <f aca="false">IF(Z62=0,0,VLOOKUP(Z62,MIE_Components!$A$2:$F$6,3,FALSE()))</f>
        <v>0</v>
      </c>
      <c r="AC62" s="14" t="n">
        <f aca="false">IF(Z62=0,0,VLOOKUP(Z62,MIE_Components!$A$2:$F$6,4,FALSE()))</f>
        <v>0</v>
      </c>
      <c r="AD62" s="14" t="n">
        <f aca="false">IF(OR($A62="",Z62=0),0,MAX(5,Z62*IF(OR($A62=Parameters!$B$13,$A62=Parameters!$B$14),0.75,1)-(IF(AND($A62=DATE(2026,11,29),NOV29BF="Yes"),AA62,0)+IF(OR($A62=DATE(2026,11,29),$A62=DATE(2026,11,30),$A62=DATE(2026,12,1),$A62=DATE(2026,12,2)),AB62,0)+IF(OR($A62=DATE(2026,11,28),$A62=DATE(2026,12,1)),AC62,0))))</f>
        <v>0</v>
      </c>
      <c r="AE62" s="14" t="n">
        <f aca="false">IF(AND($A62&lt;&gt;"",$A62&lt;Parameters!$B$14),CityData!F6*(1+TAXRATE),0)</f>
        <v>0</v>
      </c>
      <c r="AF62" s="14" t="n">
        <f aca="false">IF($A62="",0,IFERROR(VLOOKUP((YEAR($A62)+IF(MONTH($A62)&gt;=10,1,0))&amp;"|Phoenix|"&amp;MONTH($A62),Rates!$A$2:$I$181,5,FALSE()),0))</f>
        <v>0</v>
      </c>
      <c r="AG62" s="14" t="n">
        <f aca="false">IF(OR($A62="",$A62&gt;=Parameters!$B$14),1,IF(AND(AF62&gt;0,CityData!F6&lt;=AF62),1,0))</f>
        <v>1</v>
      </c>
      <c r="AH62" s="14" t="n">
        <f aca="false">IF($A62="",0,IFERROR(VLOOKUP((YEAR($A62)+IF(MONTH($A62)&gt;=10,1,0))&amp;"|Seattle|"&amp;MONTH($A62),Rates!$A$2:$I$181,6,FALSE()),0))</f>
        <v>0</v>
      </c>
      <c r="AI62" s="14" t="n">
        <f aca="false">IF(AH62=0,0,VLOOKUP(AH62,MIE_Components!$A$2:$F$6,2,FALSE()))</f>
        <v>0</v>
      </c>
      <c r="AJ62" s="14" t="n">
        <f aca="false">IF(AH62=0,0,VLOOKUP(AH62,MIE_Components!$A$2:$F$6,3,FALSE()))</f>
        <v>0</v>
      </c>
      <c r="AK62" s="14" t="n">
        <f aca="false">IF(AH62=0,0,VLOOKUP(AH62,MIE_Components!$A$2:$F$6,4,FALSE()))</f>
        <v>0</v>
      </c>
      <c r="AL62" s="14" t="n">
        <f aca="false">IF(OR($A62="",AH62=0),0,MAX(5,AH62*IF(OR($A62=Parameters!$B$13,$A62=Parameters!$B$14),0.75,1)-(IF(AND($A62=DATE(2026,11,29),NOV29BF="Yes"),AI62,0)+IF(OR($A62=DATE(2026,11,29),$A62=DATE(2026,11,30),$A62=DATE(2026,12,1),$A62=DATE(2026,12,2)),AJ62,0)+IF(OR($A62=DATE(2026,11,28),$A62=DATE(2026,12,1)),AK62,0))))</f>
        <v>0</v>
      </c>
      <c r="AM62" s="14" t="n">
        <f aca="false">IF(AND($A62&lt;&gt;"",$A62&lt;Parameters!$B$14),CityData!F7*(1+TAXRATE),0)</f>
        <v>0</v>
      </c>
      <c r="AN62" s="14" t="n">
        <f aca="false">IF($A62="",0,IFERROR(VLOOKUP((YEAR($A62)+IF(MONTH($A62)&gt;=10,1,0))&amp;"|Seattle|"&amp;MONTH($A62),Rates!$A$2:$I$181,5,FALSE()),0))</f>
        <v>0</v>
      </c>
      <c r="AO62" s="14" t="n">
        <f aca="false">IF(OR($A62="",$A62&gt;=Parameters!$B$14),1,IF(AND(AN62&gt;0,CityData!F7&lt;=AN62),1,0))</f>
        <v>1</v>
      </c>
    </row>
    <row r="63" customFormat="false" ht="15" hidden="false" customHeight="true" outlineLevel="0" collapsed="false">
      <c r="A63" s="23" t="str">
        <f aca="false">IF(AND(Parameters!$B$14&gt;=Parameters!$B$13,ROW()-2&lt;=Parameters!$B$14-Parameters!$B$13),Parameters!$B$13+ROW()-2,"")</f>
        <v/>
      </c>
      <c r="B63" s="14" t="n">
        <f aca="false">IF($A63="",0,IFERROR(VLOOKUP((YEAR($A63)+IF(MONTH($A63)&gt;=10,1,0))&amp;"|Boston|"&amp;MONTH($A63),Rates!$A$2:$I$181,6,FALSE()),0))</f>
        <v>0</v>
      </c>
      <c r="C63" s="14" t="n">
        <f aca="false">IF(B63=0,0,VLOOKUP(B63,MIE_Components!$A$2:$F$6,2,FALSE()))</f>
        <v>0</v>
      </c>
      <c r="D63" s="14" t="n">
        <f aca="false">IF(B63=0,0,VLOOKUP(B63,MIE_Components!$A$2:$F$6,3,FALSE()))</f>
        <v>0</v>
      </c>
      <c r="E63" s="14" t="n">
        <f aca="false">IF(B63=0,0,VLOOKUP(B63,MIE_Components!$A$2:$F$6,4,FALSE()))</f>
        <v>0</v>
      </c>
      <c r="F63" s="14" t="n">
        <f aca="false">IF(OR($A63="",B63=0),0,MAX(5,B63*IF(OR($A63=Parameters!$B$13,$A63=Parameters!$B$14),0.75,1)-(IF(AND($A63=DATE(2026,11,29),NOV29BF="Yes"),C63,0)+IF(OR($A63=DATE(2026,11,29),$A63=DATE(2026,11,30),$A63=DATE(2026,12,1),$A63=DATE(2026,12,2)),D63,0)+IF(OR($A63=DATE(2026,11,28),$A63=DATE(2026,12,1)),E63,0))))</f>
        <v>0</v>
      </c>
      <c r="G63" s="14" t="n">
        <f aca="false">IF(AND($A63&lt;&gt;"",$A63&lt;Parameters!$B$14),CityData!F3*(1+TAXRATE),0)</f>
        <v>0</v>
      </c>
      <c r="H63" s="14" t="n">
        <f aca="false">IF($A63="",0,IFERROR(VLOOKUP((YEAR($A63)+IF(MONTH($A63)&gt;=10,1,0))&amp;"|Boston|"&amp;MONTH($A63),Rates!$A$2:$I$181,5,FALSE()),0))</f>
        <v>0</v>
      </c>
      <c r="I63" s="14" t="n">
        <f aca="false">IF(OR($A63="",$A63&gt;=Parameters!$B$14),1,IF(AND(H63&gt;0,CityData!F3&lt;=H63),1,0))</f>
        <v>1</v>
      </c>
      <c r="J63" s="14" t="n">
        <f aca="false">IF($A63="",0,IFERROR(VLOOKUP((YEAR($A63)+IF(MONTH($A63)&gt;=10,1,0))&amp;"|Chicago|"&amp;MONTH($A63),Rates!$A$2:$I$181,6,FALSE()),0))</f>
        <v>0</v>
      </c>
      <c r="K63" s="14" t="n">
        <f aca="false">IF(J63=0,0,VLOOKUP(J63,MIE_Components!$A$2:$F$6,2,FALSE()))</f>
        <v>0</v>
      </c>
      <c r="L63" s="14" t="n">
        <f aca="false">IF(J63=0,0,VLOOKUP(J63,MIE_Components!$A$2:$F$6,3,FALSE()))</f>
        <v>0</v>
      </c>
      <c r="M63" s="14" t="n">
        <f aca="false">IF(J63=0,0,VLOOKUP(J63,MIE_Components!$A$2:$F$6,4,FALSE()))</f>
        <v>0</v>
      </c>
      <c r="N63" s="14" t="n">
        <f aca="false">IF(OR($A63="",J63=0),0,MAX(5,J63*IF(OR($A63=Parameters!$B$13,$A63=Parameters!$B$14),0.75,1)-(IF(AND($A63=DATE(2026,11,29),NOV29BF="Yes"),K63,0)+IF(OR($A63=DATE(2026,11,29),$A63=DATE(2026,11,30),$A63=DATE(2026,12,1),$A63=DATE(2026,12,2)),L63,0)+IF(OR($A63=DATE(2026,11,28),$A63=DATE(2026,12,1)),M63,0))))</f>
        <v>0</v>
      </c>
      <c r="O63" s="14" t="n">
        <f aca="false">IF(AND($A63&lt;&gt;"",$A63&lt;Parameters!$B$14),CityData!F4*(1+TAXRATE),0)</f>
        <v>0</v>
      </c>
      <c r="P63" s="14" t="n">
        <f aca="false">IF($A63="",0,IFERROR(VLOOKUP((YEAR($A63)+IF(MONTH($A63)&gt;=10,1,0))&amp;"|Chicago|"&amp;MONTH($A63),Rates!$A$2:$I$181,5,FALSE()),0))</f>
        <v>0</v>
      </c>
      <c r="Q63" s="14" t="n">
        <f aca="false">IF(OR($A63="",$A63&gt;=Parameters!$B$14),1,IF(AND(P63&gt;0,CityData!F4&lt;=P63),1,0))</f>
        <v>1</v>
      </c>
      <c r="R63" s="14" t="n">
        <f aca="false">IF($A63="",0,IFERROR(VLOOKUP((YEAR($A63)+IF(MONTH($A63)&gt;=10,1,0))&amp;"|Denver|"&amp;MONTH($A63),Rates!$A$2:$I$181,6,FALSE()),0))</f>
        <v>0</v>
      </c>
      <c r="S63" s="14" t="n">
        <f aca="false">IF(R63=0,0,VLOOKUP(R63,MIE_Components!$A$2:$F$6,2,FALSE()))</f>
        <v>0</v>
      </c>
      <c r="T63" s="14" t="n">
        <f aca="false">IF(R63=0,0,VLOOKUP(R63,MIE_Components!$A$2:$F$6,3,FALSE()))</f>
        <v>0</v>
      </c>
      <c r="U63" s="14" t="n">
        <f aca="false">IF(R63=0,0,VLOOKUP(R63,MIE_Components!$A$2:$F$6,4,FALSE()))</f>
        <v>0</v>
      </c>
      <c r="V63" s="14" t="n">
        <f aca="false">IF(OR($A63="",R63=0),0,MAX(5,R63*IF(OR($A63=Parameters!$B$13,$A63=Parameters!$B$14),0.75,1)-(IF(AND($A63=DATE(2026,11,29),NOV29BF="Yes"),S63,0)+IF(OR($A63=DATE(2026,11,29),$A63=DATE(2026,11,30),$A63=DATE(2026,12,1),$A63=DATE(2026,12,2)),T63,0)+IF(OR($A63=DATE(2026,11,28),$A63=DATE(2026,12,1)),U63,0))))</f>
        <v>0</v>
      </c>
      <c r="W63" s="14" t="n">
        <f aca="false">IF(AND($A63&lt;&gt;"",$A63&lt;Parameters!$B$14),CityData!F5*(1+TAXRATE),0)</f>
        <v>0</v>
      </c>
      <c r="X63" s="14" t="n">
        <f aca="false">IF($A63="",0,IFERROR(VLOOKUP((YEAR($A63)+IF(MONTH($A63)&gt;=10,1,0))&amp;"|Denver|"&amp;MONTH($A63),Rates!$A$2:$I$181,5,FALSE()),0))</f>
        <v>0</v>
      </c>
      <c r="Y63" s="14" t="n">
        <f aca="false">IF(OR($A63="",$A63&gt;=Parameters!$B$14),1,IF(AND(X63&gt;0,CityData!F5&lt;=X63),1,0))</f>
        <v>1</v>
      </c>
      <c r="Z63" s="14" t="n">
        <f aca="false">IF($A63="",0,IFERROR(VLOOKUP((YEAR($A63)+IF(MONTH($A63)&gt;=10,1,0))&amp;"|Phoenix|"&amp;MONTH($A63),Rates!$A$2:$I$181,6,FALSE()),0))</f>
        <v>0</v>
      </c>
      <c r="AA63" s="14" t="n">
        <f aca="false">IF(Z63=0,0,VLOOKUP(Z63,MIE_Components!$A$2:$F$6,2,FALSE()))</f>
        <v>0</v>
      </c>
      <c r="AB63" s="14" t="n">
        <f aca="false">IF(Z63=0,0,VLOOKUP(Z63,MIE_Components!$A$2:$F$6,3,FALSE()))</f>
        <v>0</v>
      </c>
      <c r="AC63" s="14" t="n">
        <f aca="false">IF(Z63=0,0,VLOOKUP(Z63,MIE_Components!$A$2:$F$6,4,FALSE()))</f>
        <v>0</v>
      </c>
      <c r="AD63" s="14" t="n">
        <f aca="false">IF(OR($A63="",Z63=0),0,MAX(5,Z63*IF(OR($A63=Parameters!$B$13,$A63=Parameters!$B$14),0.75,1)-(IF(AND($A63=DATE(2026,11,29),NOV29BF="Yes"),AA63,0)+IF(OR($A63=DATE(2026,11,29),$A63=DATE(2026,11,30),$A63=DATE(2026,12,1),$A63=DATE(2026,12,2)),AB63,0)+IF(OR($A63=DATE(2026,11,28),$A63=DATE(2026,12,1)),AC63,0))))</f>
        <v>0</v>
      </c>
      <c r="AE63" s="14" t="n">
        <f aca="false">IF(AND($A63&lt;&gt;"",$A63&lt;Parameters!$B$14),CityData!F6*(1+TAXRATE),0)</f>
        <v>0</v>
      </c>
      <c r="AF63" s="14" t="n">
        <f aca="false">IF($A63="",0,IFERROR(VLOOKUP((YEAR($A63)+IF(MONTH($A63)&gt;=10,1,0))&amp;"|Phoenix|"&amp;MONTH($A63),Rates!$A$2:$I$181,5,FALSE()),0))</f>
        <v>0</v>
      </c>
      <c r="AG63" s="14" t="n">
        <f aca="false">IF(OR($A63="",$A63&gt;=Parameters!$B$14),1,IF(AND(AF63&gt;0,CityData!F6&lt;=AF63),1,0))</f>
        <v>1</v>
      </c>
      <c r="AH63" s="14" t="n">
        <f aca="false">IF($A63="",0,IFERROR(VLOOKUP((YEAR($A63)+IF(MONTH($A63)&gt;=10,1,0))&amp;"|Seattle|"&amp;MONTH($A63),Rates!$A$2:$I$181,6,FALSE()),0))</f>
        <v>0</v>
      </c>
      <c r="AI63" s="14" t="n">
        <f aca="false">IF(AH63=0,0,VLOOKUP(AH63,MIE_Components!$A$2:$F$6,2,FALSE()))</f>
        <v>0</v>
      </c>
      <c r="AJ63" s="14" t="n">
        <f aca="false">IF(AH63=0,0,VLOOKUP(AH63,MIE_Components!$A$2:$F$6,3,FALSE()))</f>
        <v>0</v>
      </c>
      <c r="AK63" s="14" t="n">
        <f aca="false">IF(AH63=0,0,VLOOKUP(AH63,MIE_Components!$A$2:$F$6,4,FALSE()))</f>
        <v>0</v>
      </c>
      <c r="AL63" s="14" t="n">
        <f aca="false">IF(OR($A63="",AH63=0),0,MAX(5,AH63*IF(OR($A63=Parameters!$B$13,$A63=Parameters!$B$14),0.75,1)-(IF(AND($A63=DATE(2026,11,29),NOV29BF="Yes"),AI63,0)+IF(OR($A63=DATE(2026,11,29),$A63=DATE(2026,11,30),$A63=DATE(2026,12,1),$A63=DATE(2026,12,2)),AJ63,0)+IF(OR($A63=DATE(2026,11,28),$A63=DATE(2026,12,1)),AK63,0))))</f>
        <v>0</v>
      </c>
      <c r="AM63" s="14" t="n">
        <f aca="false">IF(AND($A63&lt;&gt;"",$A63&lt;Parameters!$B$14),CityData!F7*(1+TAXRATE),0)</f>
        <v>0</v>
      </c>
      <c r="AN63" s="14" t="n">
        <f aca="false">IF($A63="",0,IFERROR(VLOOKUP((YEAR($A63)+IF(MONTH($A63)&gt;=10,1,0))&amp;"|Seattle|"&amp;MONTH($A63),Rates!$A$2:$I$181,5,FALSE()),0))</f>
        <v>0</v>
      </c>
      <c r="AO63" s="14" t="n">
        <f aca="false">IF(OR($A63="",$A63&gt;=Parameters!$B$14),1,IF(AND(AN63&gt;0,CityData!F7&lt;=AN63),1,0))</f>
        <v>1</v>
      </c>
    </row>
    <row r="64" customFormat="false" ht="15" hidden="false" customHeight="true" outlineLevel="0" collapsed="false">
      <c r="A64" s="23" t="str">
        <f aca="false">IF(AND(Parameters!$B$14&gt;=Parameters!$B$13,ROW()-2&lt;=Parameters!$B$14-Parameters!$B$13),Parameters!$B$13+ROW()-2,"")</f>
        <v/>
      </c>
      <c r="B64" s="14" t="n">
        <f aca="false">IF($A64="",0,IFERROR(VLOOKUP((YEAR($A64)+IF(MONTH($A64)&gt;=10,1,0))&amp;"|Boston|"&amp;MONTH($A64),Rates!$A$2:$I$181,6,FALSE()),0))</f>
        <v>0</v>
      </c>
      <c r="C64" s="14" t="n">
        <f aca="false">IF(B64=0,0,VLOOKUP(B64,MIE_Components!$A$2:$F$6,2,FALSE()))</f>
        <v>0</v>
      </c>
      <c r="D64" s="14" t="n">
        <f aca="false">IF(B64=0,0,VLOOKUP(B64,MIE_Components!$A$2:$F$6,3,FALSE()))</f>
        <v>0</v>
      </c>
      <c r="E64" s="14" t="n">
        <f aca="false">IF(B64=0,0,VLOOKUP(B64,MIE_Components!$A$2:$F$6,4,FALSE()))</f>
        <v>0</v>
      </c>
      <c r="F64" s="14" t="n">
        <f aca="false">IF(OR($A64="",B64=0),0,MAX(5,B64*IF(OR($A64=Parameters!$B$13,$A64=Parameters!$B$14),0.75,1)-(IF(AND($A64=DATE(2026,11,29),NOV29BF="Yes"),C64,0)+IF(OR($A64=DATE(2026,11,29),$A64=DATE(2026,11,30),$A64=DATE(2026,12,1),$A64=DATE(2026,12,2)),D64,0)+IF(OR($A64=DATE(2026,11,28),$A64=DATE(2026,12,1)),E64,0))))</f>
        <v>0</v>
      </c>
      <c r="G64" s="14" t="n">
        <f aca="false">IF(AND($A64&lt;&gt;"",$A64&lt;Parameters!$B$14),CityData!F3*(1+TAXRATE),0)</f>
        <v>0</v>
      </c>
      <c r="H64" s="14" t="n">
        <f aca="false">IF($A64="",0,IFERROR(VLOOKUP((YEAR($A64)+IF(MONTH($A64)&gt;=10,1,0))&amp;"|Boston|"&amp;MONTH($A64),Rates!$A$2:$I$181,5,FALSE()),0))</f>
        <v>0</v>
      </c>
      <c r="I64" s="14" t="n">
        <f aca="false">IF(OR($A64="",$A64&gt;=Parameters!$B$14),1,IF(AND(H64&gt;0,CityData!F3&lt;=H64),1,0))</f>
        <v>1</v>
      </c>
      <c r="J64" s="14" t="n">
        <f aca="false">IF($A64="",0,IFERROR(VLOOKUP((YEAR($A64)+IF(MONTH($A64)&gt;=10,1,0))&amp;"|Chicago|"&amp;MONTH($A64),Rates!$A$2:$I$181,6,FALSE()),0))</f>
        <v>0</v>
      </c>
      <c r="K64" s="14" t="n">
        <f aca="false">IF(J64=0,0,VLOOKUP(J64,MIE_Components!$A$2:$F$6,2,FALSE()))</f>
        <v>0</v>
      </c>
      <c r="L64" s="14" t="n">
        <f aca="false">IF(J64=0,0,VLOOKUP(J64,MIE_Components!$A$2:$F$6,3,FALSE()))</f>
        <v>0</v>
      </c>
      <c r="M64" s="14" t="n">
        <f aca="false">IF(J64=0,0,VLOOKUP(J64,MIE_Components!$A$2:$F$6,4,FALSE()))</f>
        <v>0</v>
      </c>
      <c r="N64" s="14" t="n">
        <f aca="false">IF(OR($A64="",J64=0),0,MAX(5,J64*IF(OR($A64=Parameters!$B$13,$A64=Parameters!$B$14),0.75,1)-(IF(AND($A64=DATE(2026,11,29),NOV29BF="Yes"),K64,0)+IF(OR($A64=DATE(2026,11,29),$A64=DATE(2026,11,30),$A64=DATE(2026,12,1),$A64=DATE(2026,12,2)),L64,0)+IF(OR($A64=DATE(2026,11,28),$A64=DATE(2026,12,1)),M64,0))))</f>
        <v>0</v>
      </c>
      <c r="O64" s="14" t="n">
        <f aca="false">IF(AND($A64&lt;&gt;"",$A64&lt;Parameters!$B$14),CityData!F4*(1+TAXRATE),0)</f>
        <v>0</v>
      </c>
      <c r="P64" s="14" t="n">
        <f aca="false">IF($A64="",0,IFERROR(VLOOKUP((YEAR($A64)+IF(MONTH($A64)&gt;=10,1,0))&amp;"|Chicago|"&amp;MONTH($A64),Rates!$A$2:$I$181,5,FALSE()),0))</f>
        <v>0</v>
      </c>
      <c r="Q64" s="14" t="n">
        <f aca="false">IF(OR($A64="",$A64&gt;=Parameters!$B$14),1,IF(AND(P64&gt;0,CityData!F4&lt;=P64),1,0))</f>
        <v>1</v>
      </c>
      <c r="R64" s="14" t="n">
        <f aca="false">IF($A64="",0,IFERROR(VLOOKUP((YEAR($A64)+IF(MONTH($A64)&gt;=10,1,0))&amp;"|Denver|"&amp;MONTH($A64),Rates!$A$2:$I$181,6,FALSE()),0))</f>
        <v>0</v>
      </c>
      <c r="S64" s="14" t="n">
        <f aca="false">IF(R64=0,0,VLOOKUP(R64,MIE_Components!$A$2:$F$6,2,FALSE()))</f>
        <v>0</v>
      </c>
      <c r="T64" s="14" t="n">
        <f aca="false">IF(R64=0,0,VLOOKUP(R64,MIE_Components!$A$2:$F$6,3,FALSE()))</f>
        <v>0</v>
      </c>
      <c r="U64" s="14" t="n">
        <f aca="false">IF(R64=0,0,VLOOKUP(R64,MIE_Components!$A$2:$F$6,4,FALSE()))</f>
        <v>0</v>
      </c>
      <c r="V64" s="14" t="n">
        <f aca="false">IF(OR($A64="",R64=0),0,MAX(5,R64*IF(OR($A64=Parameters!$B$13,$A64=Parameters!$B$14),0.75,1)-(IF(AND($A64=DATE(2026,11,29),NOV29BF="Yes"),S64,0)+IF(OR($A64=DATE(2026,11,29),$A64=DATE(2026,11,30),$A64=DATE(2026,12,1),$A64=DATE(2026,12,2)),T64,0)+IF(OR($A64=DATE(2026,11,28),$A64=DATE(2026,12,1)),U64,0))))</f>
        <v>0</v>
      </c>
      <c r="W64" s="14" t="n">
        <f aca="false">IF(AND($A64&lt;&gt;"",$A64&lt;Parameters!$B$14),CityData!F5*(1+TAXRATE),0)</f>
        <v>0</v>
      </c>
      <c r="X64" s="14" t="n">
        <f aca="false">IF($A64="",0,IFERROR(VLOOKUP((YEAR($A64)+IF(MONTH($A64)&gt;=10,1,0))&amp;"|Denver|"&amp;MONTH($A64),Rates!$A$2:$I$181,5,FALSE()),0))</f>
        <v>0</v>
      </c>
      <c r="Y64" s="14" t="n">
        <f aca="false">IF(OR($A64="",$A64&gt;=Parameters!$B$14),1,IF(AND(X64&gt;0,CityData!F5&lt;=X64),1,0))</f>
        <v>1</v>
      </c>
      <c r="Z64" s="14" t="n">
        <f aca="false">IF($A64="",0,IFERROR(VLOOKUP((YEAR($A64)+IF(MONTH($A64)&gt;=10,1,0))&amp;"|Phoenix|"&amp;MONTH($A64),Rates!$A$2:$I$181,6,FALSE()),0))</f>
        <v>0</v>
      </c>
      <c r="AA64" s="14" t="n">
        <f aca="false">IF(Z64=0,0,VLOOKUP(Z64,MIE_Components!$A$2:$F$6,2,FALSE()))</f>
        <v>0</v>
      </c>
      <c r="AB64" s="14" t="n">
        <f aca="false">IF(Z64=0,0,VLOOKUP(Z64,MIE_Components!$A$2:$F$6,3,FALSE()))</f>
        <v>0</v>
      </c>
      <c r="AC64" s="14" t="n">
        <f aca="false">IF(Z64=0,0,VLOOKUP(Z64,MIE_Components!$A$2:$F$6,4,FALSE()))</f>
        <v>0</v>
      </c>
      <c r="AD64" s="14" t="n">
        <f aca="false">IF(OR($A64="",Z64=0),0,MAX(5,Z64*IF(OR($A64=Parameters!$B$13,$A64=Parameters!$B$14),0.75,1)-(IF(AND($A64=DATE(2026,11,29),NOV29BF="Yes"),AA64,0)+IF(OR($A64=DATE(2026,11,29),$A64=DATE(2026,11,30),$A64=DATE(2026,12,1),$A64=DATE(2026,12,2)),AB64,0)+IF(OR($A64=DATE(2026,11,28),$A64=DATE(2026,12,1)),AC64,0))))</f>
        <v>0</v>
      </c>
      <c r="AE64" s="14" t="n">
        <f aca="false">IF(AND($A64&lt;&gt;"",$A64&lt;Parameters!$B$14),CityData!F6*(1+TAXRATE),0)</f>
        <v>0</v>
      </c>
      <c r="AF64" s="14" t="n">
        <f aca="false">IF($A64="",0,IFERROR(VLOOKUP((YEAR($A64)+IF(MONTH($A64)&gt;=10,1,0))&amp;"|Phoenix|"&amp;MONTH($A64),Rates!$A$2:$I$181,5,FALSE()),0))</f>
        <v>0</v>
      </c>
      <c r="AG64" s="14" t="n">
        <f aca="false">IF(OR($A64="",$A64&gt;=Parameters!$B$14),1,IF(AND(AF64&gt;0,CityData!F6&lt;=AF64),1,0))</f>
        <v>1</v>
      </c>
      <c r="AH64" s="14" t="n">
        <f aca="false">IF($A64="",0,IFERROR(VLOOKUP((YEAR($A64)+IF(MONTH($A64)&gt;=10,1,0))&amp;"|Seattle|"&amp;MONTH($A64),Rates!$A$2:$I$181,6,FALSE()),0))</f>
        <v>0</v>
      </c>
      <c r="AI64" s="14" t="n">
        <f aca="false">IF(AH64=0,0,VLOOKUP(AH64,MIE_Components!$A$2:$F$6,2,FALSE()))</f>
        <v>0</v>
      </c>
      <c r="AJ64" s="14" t="n">
        <f aca="false">IF(AH64=0,0,VLOOKUP(AH64,MIE_Components!$A$2:$F$6,3,FALSE()))</f>
        <v>0</v>
      </c>
      <c r="AK64" s="14" t="n">
        <f aca="false">IF(AH64=0,0,VLOOKUP(AH64,MIE_Components!$A$2:$F$6,4,FALSE()))</f>
        <v>0</v>
      </c>
      <c r="AL64" s="14" t="n">
        <f aca="false">IF(OR($A64="",AH64=0),0,MAX(5,AH64*IF(OR($A64=Parameters!$B$13,$A64=Parameters!$B$14),0.75,1)-(IF(AND($A64=DATE(2026,11,29),NOV29BF="Yes"),AI64,0)+IF(OR($A64=DATE(2026,11,29),$A64=DATE(2026,11,30),$A64=DATE(2026,12,1),$A64=DATE(2026,12,2)),AJ64,0)+IF(OR($A64=DATE(2026,11,28),$A64=DATE(2026,12,1)),AK64,0))))</f>
        <v>0</v>
      </c>
      <c r="AM64" s="14" t="n">
        <f aca="false">IF(AND($A64&lt;&gt;"",$A64&lt;Parameters!$B$14),CityData!F7*(1+TAXRATE),0)</f>
        <v>0</v>
      </c>
      <c r="AN64" s="14" t="n">
        <f aca="false">IF($A64="",0,IFERROR(VLOOKUP((YEAR($A64)+IF(MONTH($A64)&gt;=10,1,0))&amp;"|Seattle|"&amp;MONTH($A64),Rates!$A$2:$I$181,5,FALSE()),0))</f>
        <v>0</v>
      </c>
      <c r="AO64" s="14" t="n">
        <f aca="false">IF(OR($A64="",$A64&gt;=Parameters!$B$14),1,IF(AND(AN64&gt;0,CityData!F7&lt;=AN64),1,0))</f>
        <v>1</v>
      </c>
    </row>
    <row r="65" customFormat="false" ht="15" hidden="false" customHeight="true" outlineLevel="0" collapsed="false">
      <c r="A65" s="23" t="str">
        <f aca="false">IF(AND(Parameters!$B$14&gt;=Parameters!$B$13,ROW()-2&lt;=Parameters!$B$14-Parameters!$B$13),Parameters!$B$13+ROW()-2,"")</f>
        <v/>
      </c>
      <c r="B65" s="14" t="n">
        <f aca="false">IF($A65="",0,IFERROR(VLOOKUP((YEAR($A65)+IF(MONTH($A65)&gt;=10,1,0))&amp;"|Boston|"&amp;MONTH($A65),Rates!$A$2:$I$181,6,FALSE()),0))</f>
        <v>0</v>
      </c>
      <c r="C65" s="14" t="n">
        <f aca="false">IF(B65=0,0,VLOOKUP(B65,MIE_Components!$A$2:$F$6,2,FALSE()))</f>
        <v>0</v>
      </c>
      <c r="D65" s="14" t="n">
        <f aca="false">IF(B65=0,0,VLOOKUP(B65,MIE_Components!$A$2:$F$6,3,FALSE()))</f>
        <v>0</v>
      </c>
      <c r="E65" s="14" t="n">
        <f aca="false">IF(B65=0,0,VLOOKUP(B65,MIE_Components!$A$2:$F$6,4,FALSE()))</f>
        <v>0</v>
      </c>
      <c r="F65" s="14" t="n">
        <f aca="false">IF(OR($A65="",B65=0),0,MAX(5,B65*IF(OR($A65=Parameters!$B$13,$A65=Parameters!$B$14),0.75,1)-(IF(AND($A65=DATE(2026,11,29),NOV29BF="Yes"),C65,0)+IF(OR($A65=DATE(2026,11,29),$A65=DATE(2026,11,30),$A65=DATE(2026,12,1),$A65=DATE(2026,12,2)),D65,0)+IF(OR($A65=DATE(2026,11,28),$A65=DATE(2026,12,1)),E65,0))))</f>
        <v>0</v>
      </c>
      <c r="G65" s="14" t="n">
        <f aca="false">IF(AND($A65&lt;&gt;"",$A65&lt;Parameters!$B$14),CityData!F3*(1+TAXRATE),0)</f>
        <v>0</v>
      </c>
      <c r="H65" s="14" t="n">
        <f aca="false">IF($A65="",0,IFERROR(VLOOKUP((YEAR($A65)+IF(MONTH($A65)&gt;=10,1,0))&amp;"|Boston|"&amp;MONTH($A65),Rates!$A$2:$I$181,5,FALSE()),0))</f>
        <v>0</v>
      </c>
      <c r="I65" s="14" t="n">
        <f aca="false">IF(OR($A65="",$A65&gt;=Parameters!$B$14),1,IF(AND(H65&gt;0,CityData!F3&lt;=H65),1,0))</f>
        <v>1</v>
      </c>
      <c r="J65" s="14" t="n">
        <f aca="false">IF($A65="",0,IFERROR(VLOOKUP((YEAR($A65)+IF(MONTH($A65)&gt;=10,1,0))&amp;"|Chicago|"&amp;MONTH($A65),Rates!$A$2:$I$181,6,FALSE()),0))</f>
        <v>0</v>
      </c>
      <c r="K65" s="14" t="n">
        <f aca="false">IF(J65=0,0,VLOOKUP(J65,MIE_Components!$A$2:$F$6,2,FALSE()))</f>
        <v>0</v>
      </c>
      <c r="L65" s="14" t="n">
        <f aca="false">IF(J65=0,0,VLOOKUP(J65,MIE_Components!$A$2:$F$6,3,FALSE()))</f>
        <v>0</v>
      </c>
      <c r="M65" s="14" t="n">
        <f aca="false">IF(J65=0,0,VLOOKUP(J65,MIE_Components!$A$2:$F$6,4,FALSE()))</f>
        <v>0</v>
      </c>
      <c r="N65" s="14" t="n">
        <f aca="false">IF(OR($A65="",J65=0),0,MAX(5,J65*IF(OR($A65=Parameters!$B$13,$A65=Parameters!$B$14),0.75,1)-(IF(AND($A65=DATE(2026,11,29),NOV29BF="Yes"),K65,0)+IF(OR($A65=DATE(2026,11,29),$A65=DATE(2026,11,30),$A65=DATE(2026,12,1),$A65=DATE(2026,12,2)),L65,0)+IF(OR($A65=DATE(2026,11,28),$A65=DATE(2026,12,1)),M65,0))))</f>
        <v>0</v>
      </c>
      <c r="O65" s="14" t="n">
        <f aca="false">IF(AND($A65&lt;&gt;"",$A65&lt;Parameters!$B$14),CityData!F4*(1+TAXRATE),0)</f>
        <v>0</v>
      </c>
      <c r="P65" s="14" t="n">
        <f aca="false">IF($A65="",0,IFERROR(VLOOKUP((YEAR($A65)+IF(MONTH($A65)&gt;=10,1,0))&amp;"|Chicago|"&amp;MONTH($A65),Rates!$A$2:$I$181,5,FALSE()),0))</f>
        <v>0</v>
      </c>
      <c r="Q65" s="14" t="n">
        <f aca="false">IF(OR($A65="",$A65&gt;=Parameters!$B$14),1,IF(AND(P65&gt;0,CityData!F4&lt;=P65),1,0))</f>
        <v>1</v>
      </c>
      <c r="R65" s="14" t="n">
        <f aca="false">IF($A65="",0,IFERROR(VLOOKUP((YEAR($A65)+IF(MONTH($A65)&gt;=10,1,0))&amp;"|Denver|"&amp;MONTH($A65),Rates!$A$2:$I$181,6,FALSE()),0))</f>
        <v>0</v>
      </c>
      <c r="S65" s="14" t="n">
        <f aca="false">IF(R65=0,0,VLOOKUP(R65,MIE_Components!$A$2:$F$6,2,FALSE()))</f>
        <v>0</v>
      </c>
      <c r="T65" s="14" t="n">
        <f aca="false">IF(R65=0,0,VLOOKUP(R65,MIE_Components!$A$2:$F$6,3,FALSE()))</f>
        <v>0</v>
      </c>
      <c r="U65" s="14" t="n">
        <f aca="false">IF(R65=0,0,VLOOKUP(R65,MIE_Components!$A$2:$F$6,4,FALSE()))</f>
        <v>0</v>
      </c>
      <c r="V65" s="14" t="n">
        <f aca="false">IF(OR($A65="",R65=0),0,MAX(5,R65*IF(OR($A65=Parameters!$B$13,$A65=Parameters!$B$14),0.75,1)-(IF(AND($A65=DATE(2026,11,29),NOV29BF="Yes"),S65,0)+IF(OR($A65=DATE(2026,11,29),$A65=DATE(2026,11,30),$A65=DATE(2026,12,1),$A65=DATE(2026,12,2)),T65,0)+IF(OR($A65=DATE(2026,11,28),$A65=DATE(2026,12,1)),U65,0))))</f>
        <v>0</v>
      </c>
      <c r="W65" s="14" t="n">
        <f aca="false">IF(AND($A65&lt;&gt;"",$A65&lt;Parameters!$B$14),CityData!F5*(1+TAXRATE),0)</f>
        <v>0</v>
      </c>
      <c r="X65" s="14" t="n">
        <f aca="false">IF($A65="",0,IFERROR(VLOOKUP((YEAR($A65)+IF(MONTH($A65)&gt;=10,1,0))&amp;"|Denver|"&amp;MONTH($A65),Rates!$A$2:$I$181,5,FALSE()),0))</f>
        <v>0</v>
      </c>
      <c r="Y65" s="14" t="n">
        <f aca="false">IF(OR($A65="",$A65&gt;=Parameters!$B$14),1,IF(AND(X65&gt;0,CityData!F5&lt;=X65),1,0))</f>
        <v>1</v>
      </c>
      <c r="Z65" s="14" t="n">
        <f aca="false">IF($A65="",0,IFERROR(VLOOKUP((YEAR($A65)+IF(MONTH($A65)&gt;=10,1,0))&amp;"|Phoenix|"&amp;MONTH($A65),Rates!$A$2:$I$181,6,FALSE()),0))</f>
        <v>0</v>
      </c>
      <c r="AA65" s="14" t="n">
        <f aca="false">IF(Z65=0,0,VLOOKUP(Z65,MIE_Components!$A$2:$F$6,2,FALSE()))</f>
        <v>0</v>
      </c>
      <c r="AB65" s="14" t="n">
        <f aca="false">IF(Z65=0,0,VLOOKUP(Z65,MIE_Components!$A$2:$F$6,3,FALSE()))</f>
        <v>0</v>
      </c>
      <c r="AC65" s="14" t="n">
        <f aca="false">IF(Z65=0,0,VLOOKUP(Z65,MIE_Components!$A$2:$F$6,4,FALSE()))</f>
        <v>0</v>
      </c>
      <c r="AD65" s="14" t="n">
        <f aca="false">IF(OR($A65="",Z65=0),0,MAX(5,Z65*IF(OR($A65=Parameters!$B$13,$A65=Parameters!$B$14),0.75,1)-(IF(AND($A65=DATE(2026,11,29),NOV29BF="Yes"),AA65,0)+IF(OR($A65=DATE(2026,11,29),$A65=DATE(2026,11,30),$A65=DATE(2026,12,1),$A65=DATE(2026,12,2)),AB65,0)+IF(OR($A65=DATE(2026,11,28),$A65=DATE(2026,12,1)),AC65,0))))</f>
        <v>0</v>
      </c>
      <c r="AE65" s="14" t="n">
        <f aca="false">IF(AND($A65&lt;&gt;"",$A65&lt;Parameters!$B$14),CityData!F6*(1+TAXRATE),0)</f>
        <v>0</v>
      </c>
      <c r="AF65" s="14" t="n">
        <f aca="false">IF($A65="",0,IFERROR(VLOOKUP((YEAR($A65)+IF(MONTH($A65)&gt;=10,1,0))&amp;"|Phoenix|"&amp;MONTH($A65),Rates!$A$2:$I$181,5,FALSE()),0))</f>
        <v>0</v>
      </c>
      <c r="AG65" s="14" t="n">
        <f aca="false">IF(OR($A65="",$A65&gt;=Parameters!$B$14),1,IF(AND(AF65&gt;0,CityData!F6&lt;=AF65),1,0))</f>
        <v>1</v>
      </c>
      <c r="AH65" s="14" t="n">
        <f aca="false">IF($A65="",0,IFERROR(VLOOKUP((YEAR($A65)+IF(MONTH($A65)&gt;=10,1,0))&amp;"|Seattle|"&amp;MONTH($A65),Rates!$A$2:$I$181,6,FALSE()),0))</f>
        <v>0</v>
      </c>
      <c r="AI65" s="14" t="n">
        <f aca="false">IF(AH65=0,0,VLOOKUP(AH65,MIE_Components!$A$2:$F$6,2,FALSE()))</f>
        <v>0</v>
      </c>
      <c r="AJ65" s="14" t="n">
        <f aca="false">IF(AH65=0,0,VLOOKUP(AH65,MIE_Components!$A$2:$F$6,3,FALSE()))</f>
        <v>0</v>
      </c>
      <c r="AK65" s="14" t="n">
        <f aca="false">IF(AH65=0,0,VLOOKUP(AH65,MIE_Components!$A$2:$F$6,4,FALSE()))</f>
        <v>0</v>
      </c>
      <c r="AL65" s="14" t="n">
        <f aca="false">IF(OR($A65="",AH65=0),0,MAX(5,AH65*IF(OR($A65=Parameters!$B$13,$A65=Parameters!$B$14),0.75,1)-(IF(AND($A65=DATE(2026,11,29),NOV29BF="Yes"),AI65,0)+IF(OR($A65=DATE(2026,11,29),$A65=DATE(2026,11,30),$A65=DATE(2026,12,1),$A65=DATE(2026,12,2)),AJ65,0)+IF(OR($A65=DATE(2026,11,28),$A65=DATE(2026,12,1)),AK65,0))))</f>
        <v>0</v>
      </c>
      <c r="AM65" s="14" t="n">
        <f aca="false">IF(AND($A65&lt;&gt;"",$A65&lt;Parameters!$B$14),CityData!F7*(1+TAXRATE),0)</f>
        <v>0</v>
      </c>
      <c r="AN65" s="14" t="n">
        <f aca="false">IF($A65="",0,IFERROR(VLOOKUP((YEAR($A65)+IF(MONTH($A65)&gt;=10,1,0))&amp;"|Seattle|"&amp;MONTH($A65),Rates!$A$2:$I$181,5,FALSE()),0))</f>
        <v>0</v>
      </c>
      <c r="AO65" s="14" t="n">
        <f aca="false">IF(OR($A65="",$A65&gt;=Parameters!$B$14),1,IF(AND(AN65&gt;0,CityData!F7&lt;=AN65),1,0))</f>
        <v>1</v>
      </c>
    </row>
    <row r="66" customFormat="false" ht="15" hidden="false" customHeight="true" outlineLevel="0" collapsed="false">
      <c r="A66" s="23" t="str">
        <f aca="false">IF(AND(Parameters!$B$14&gt;=Parameters!$B$13,ROW()-2&lt;=Parameters!$B$14-Parameters!$B$13),Parameters!$B$13+ROW()-2,"")</f>
        <v/>
      </c>
      <c r="B66" s="14" t="n">
        <f aca="false">IF($A66="",0,IFERROR(VLOOKUP((YEAR($A66)+IF(MONTH($A66)&gt;=10,1,0))&amp;"|Boston|"&amp;MONTH($A66),Rates!$A$2:$I$181,6,FALSE()),0))</f>
        <v>0</v>
      </c>
      <c r="C66" s="14" t="n">
        <f aca="false">IF(B66=0,0,VLOOKUP(B66,MIE_Components!$A$2:$F$6,2,FALSE()))</f>
        <v>0</v>
      </c>
      <c r="D66" s="14" t="n">
        <f aca="false">IF(B66=0,0,VLOOKUP(B66,MIE_Components!$A$2:$F$6,3,FALSE()))</f>
        <v>0</v>
      </c>
      <c r="E66" s="14" t="n">
        <f aca="false">IF(B66=0,0,VLOOKUP(B66,MIE_Components!$A$2:$F$6,4,FALSE()))</f>
        <v>0</v>
      </c>
      <c r="F66" s="14" t="n">
        <f aca="false">IF(OR($A66="",B66=0),0,MAX(5,B66*IF(OR($A66=Parameters!$B$13,$A66=Parameters!$B$14),0.75,1)-(IF(AND($A66=DATE(2026,11,29),NOV29BF="Yes"),C66,0)+IF(OR($A66=DATE(2026,11,29),$A66=DATE(2026,11,30),$A66=DATE(2026,12,1),$A66=DATE(2026,12,2)),D66,0)+IF(OR($A66=DATE(2026,11,28),$A66=DATE(2026,12,1)),E66,0))))</f>
        <v>0</v>
      </c>
      <c r="G66" s="14" t="n">
        <f aca="false">IF(AND($A66&lt;&gt;"",$A66&lt;Parameters!$B$14),CityData!F3*(1+TAXRATE),0)</f>
        <v>0</v>
      </c>
      <c r="H66" s="14" t="n">
        <f aca="false">IF($A66="",0,IFERROR(VLOOKUP((YEAR($A66)+IF(MONTH($A66)&gt;=10,1,0))&amp;"|Boston|"&amp;MONTH($A66),Rates!$A$2:$I$181,5,FALSE()),0))</f>
        <v>0</v>
      </c>
      <c r="I66" s="14" t="n">
        <f aca="false">IF(OR($A66="",$A66&gt;=Parameters!$B$14),1,IF(AND(H66&gt;0,CityData!F3&lt;=H66),1,0))</f>
        <v>1</v>
      </c>
      <c r="J66" s="14" t="n">
        <f aca="false">IF($A66="",0,IFERROR(VLOOKUP((YEAR($A66)+IF(MONTH($A66)&gt;=10,1,0))&amp;"|Chicago|"&amp;MONTH($A66),Rates!$A$2:$I$181,6,FALSE()),0))</f>
        <v>0</v>
      </c>
      <c r="K66" s="14" t="n">
        <f aca="false">IF(J66=0,0,VLOOKUP(J66,MIE_Components!$A$2:$F$6,2,FALSE()))</f>
        <v>0</v>
      </c>
      <c r="L66" s="14" t="n">
        <f aca="false">IF(J66=0,0,VLOOKUP(J66,MIE_Components!$A$2:$F$6,3,FALSE()))</f>
        <v>0</v>
      </c>
      <c r="M66" s="14" t="n">
        <f aca="false">IF(J66=0,0,VLOOKUP(J66,MIE_Components!$A$2:$F$6,4,FALSE()))</f>
        <v>0</v>
      </c>
      <c r="N66" s="14" t="n">
        <f aca="false">IF(OR($A66="",J66=0),0,MAX(5,J66*IF(OR($A66=Parameters!$B$13,$A66=Parameters!$B$14),0.75,1)-(IF(AND($A66=DATE(2026,11,29),NOV29BF="Yes"),K66,0)+IF(OR($A66=DATE(2026,11,29),$A66=DATE(2026,11,30),$A66=DATE(2026,12,1),$A66=DATE(2026,12,2)),L66,0)+IF(OR($A66=DATE(2026,11,28),$A66=DATE(2026,12,1)),M66,0))))</f>
        <v>0</v>
      </c>
      <c r="O66" s="14" t="n">
        <f aca="false">IF(AND($A66&lt;&gt;"",$A66&lt;Parameters!$B$14),CityData!F4*(1+TAXRATE),0)</f>
        <v>0</v>
      </c>
      <c r="P66" s="14" t="n">
        <f aca="false">IF($A66="",0,IFERROR(VLOOKUP((YEAR($A66)+IF(MONTH($A66)&gt;=10,1,0))&amp;"|Chicago|"&amp;MONTH($A66),Rates!$A$2:$I$181,5,FALSE()),0))</f>
        <v>0</v>
      </c>
      <c r="Q66" s="14" t="n">
        <f aca="false">IF(OR($A66="",$A66&gt;=Parameters!$B$14),1,IF(AND(P66&gt;0,CityData!F4&lt;=P66),1,0))</f>
        <v>1</v>
      </c>
      <c r="R66" s="14" t="n">
        <f aca="false">IF($A66="",0,IFERROR(VLOOKUP((YEAR($A66)+IF(MONTH($A66)&gt;=10,1,0))&amp;"|Denver|"&amp;MONTH($A66),Rates!$A$2:$I$181,6,FALSE()),0))</f>
        <v>0</v>
      </c>
      <c r="S66" s="14" t="n">
        <f aca="false">IF(R66=0,0,VLOOKUP(R66,MIE_Components!$A$2:$F$6,2,FALSE()))</f>
        <v>0</v>
      </c>
      <c r="T66" s="14" t="n">
        <f aca="false">IF(R66=0,0,VLOOKUP(R66,MIE_Components!$A$2:$F$6,3,FALSE()))</f>
        <v>0</v>
      </c>
      <c r="U66" s="14" t="n">
        <f aca="false">IF(R66=0,0,VLOOKUP(R66,MIE_Components!$A$2:$F$6,4,FALSE()))</f>
        <v>0</v>
      </c>
      <c r="V66" s="14" t="n">
        <f aca="false">IF(OR($A66="",R66=0),0,MAX(5,R66*IF(OR($A66=Parameters!$B$13,$A66=Parameters!$B$14),0.75,1)-(IF(AND($A66=DATE(2026,11,29),NOV29BF="Yes"),S66,0)+IF(OR($A66=DATE(2026,11,29),$A66=DATE(2026,11,30),$A66=DATE(2026,12,1),$A66=DATE(2026,12,2)),T66,0)+IF(OR($A66=DATE(2026,11,28),$A66=DATE(2026,12,1)),U66,0))))</f>
        <v>0</v>
      </c>
      <c r="W66" s="14" t="n">
        <f aca="false">IF(AND($A66&lt;&gt;"",$A66&lt;Parameters!$B$14),CityData!F5*(1+TAXRATE),0)</f>
        <v>0</v>
      </c>
      <c r="X66" s="14" t="n">
        <f aca="false">IF($A66="",0,IFERROR(VLOOKUP((YEAR($A66)+IF(MONTH($A66)&gt;=10,1,0))&amp;"|Denver|"&amp;MONTH($A66),Rates!$A$2:$I$181,5,FALSE()),0))</f>
        <v>0</v>
      </c>
      <c r="Y66" s="14" t="n">
        <f aca="false">IF(OR($A66="",$A66&gt;=Parameters!$B$14),1,IF(AND(X66&gt;0,CityData!F5&lt;=X66),1,0))</f>
        <v>1</v>
      </c>
      <c r="Z66" s="14" t="n">
        <f aca="false">IF($A66="",0,IFERROR(VLOOKUP((YEAR($A66)+IF(MONTH($A66)&gt;=10,1,0))&amp;"|Phoenix|"&amp;MONTH($A66),Rates!$A$2:$I$181,6,FALSE()),0))</f>
        <v>0</v>
      </c>
      <c r="AA66" s="14" t="n">
        <f aca="false">IF(Z66=0,0,VLOOKUP(Z66,MIE_Components!$A$2:$F$6,2,FALSE()))</f>
        <v>0</v>
      </c>
      <c r="AB66" s="14" t="n">
        <f aca="false">IF(Z66=0,0,VLOOKUP(Z66,MIE_Components!$A$2:$F$6,3,FALSE()))</f>
        <v>0</v>
      </c>
      <c r="AC66" s="14" t="n">
        <f aca="false">IF(Z66=0,0,VLOOKUP(Z66,MIE_Components!$A$2:$F$6,4,FALSE()))</f>
        <v>0</v>
      </c>
      <c r="AD66" s="14" t="n">
        <f aca="false">IF(OR($A66="",Z66=0),0,MAX(5,Z66*IF(OR($A66=Parameters!$B$13,$A66=Parameters!$B$14),0.75,1)-(IF(AND($A66=DATE(2026,11,29),NOV29BF="Yes"),AA66,0)+IF(OR($A66=DATE(2026,11,29),$A66=DATE(2026,11,30),$A66=DATE(2026,12,1),$A66=DATE(2026,12,2)),AB66,0)+IF(OR($A66=DATE(2026,11,28),$A66=DATE(2026,12,1)),AC66,0))))</f>
        <v>0</v>
      </c>
      <c r="AE66" s="14" t="n">
        <f aca="false">IF(AND($A66&lt;&gt;"",$A66&lt;Parameters!$B$14),CityData!F6*(1+TAXRATE),0)</f>
        <v>0</v>
      </c>
      <c r="AF66" s="14" t="n">
        <f aca="false">IF($A66="",0,IFERROR(VLOOKUP((YEAR($A66)+IF(MONTH($A66)&gt;=10,1,0))&amp;"|Phoenix|"&amp;MONTH($A66),Rates!$A$2:$I$181,5,FALSE()),0))</f>
        <v>0</v>
      </c>
      <c r="AG66" s="14" t="n">
        <f aca="false">IF(OR($A66="",$A66&gt;=Parameters!$B$14),1,IF(AND(AF66&gt;0,CityData!F6&lt;=AF66),1,0))</f>
        <v>1</v>
      </c>
      <c r="AH66" s="14" t="n">
        <f aca="false">IF($A66="",0,IFERROR(VLOOKUP((YEAR($A66)+IF(MONTH($A66)&gt;=10,1,0))&amp;"|Seattle|"&amp;MONTH($A66),Rates!$A$2:$I$181,6,FALSE()),0))</f>
        <v>0</v>
      </c>
      <c r="AI66" s="14" t="n">
        <f aca="false">IF(AH66=0,0,VLOOKUP(AH66,MIE_Components!$A$2:$F$6,2,FALSE()))</f>
        <v>0</v>
      </c>
      <c r="AJ66" s="14" t="n">
        <f aca="false">IF(AH66=0,0,VLOOKUP(AH66,MIE_Components!$A$2:$F$6,3,FALSE()))</f>
        <v>0</v>
      </c>
      <c r="AK66" s="14" t="n">
        <f aca="false">IF(AH66=0,0,VLOOKUP(AH66,MIE_Components!$A$2:$F$6,4,FALSE()))</f>
        <v>0</v>
      </c>
      <c r="AL66" s="14" t="n">
        <f aca="false">IF(OR($A66="",AH66=0),0,MAX(5,AH66*IF(OR($A66=Parameters!$B$13,$A66=Parameters!$B$14),0.75,1)-(IF(AND($A66=DATE(2026,11,29),NOV29BF="Yes"),AI66,0)+IF(OR($A66=DATE(2026,11,29),$A66=DATE(2026,11,30),$A66=DATE(2026,12,1),$A66=DATE(2026,12,2)),AJ66,0)+IF(OR($A66=DATE(2026,11,28),$A66=DATE(2026,12,1)),AK66,0))))</f>
        <v>0</v>
      </c>
      <c r="AM66" s="14" t="n">
        <f aca="false">IF(AND($A66&lt;&gt;"",$A66&lt;Parameters!$B$14),CityData!F7*(1+TAXRATE),0)</f>
        <v>0</v>
      </c>
      <c r="AN66" s="14" t="n">
        <f aca="false">IF($A66="",0,IFERROR(VLOOKUP((YEAR($A66)+IF(MONTH($A66)&gt;=10,1,0))&amp;"|Seattle|"&amp;MONTH($A66),Rates!$A$2:$I$181,5,FALSE()),0))</f>
        <v>0</v>
      </c>
      <c r="AO66" s="14" t="n">
        <f aca="false">IF(OR($A66="",$A66&gt;=Parameters!$B$14),1,IF(AND(AN66&gt;0,CityData!F7&lt;=AN66),1,0))</f>
        <v>1</v>
      </c>
    </row>
    <row r="67" customFormat="false" ht="15" hidden="false" customHeight="true" outlineLevel="0" collapsed="false">
      <c r="A67" s="23" t="str">
        <f aca="false">IF(AND(Parameters!$B$14&gt;=Parameters!$B$13,ROW()-2&lt;=Parameters!$B$14-Parameters!$B$13),Parameters!$B$13+ROW()-2,"")</f>
        <v/>
      </c>
      <c r="B67" s="14" t="n">
        <f aca="false">IF($A67="",0,IFERROR(VLOOKUP((YEAR($A67)+IF(MONTH($A67)&gt;=10,1,0))&amp;"|Boston|"&amp;MONTH($A67),Rates!$A$2:$I$181,6,FALSE()),0))</f>
        <v>0</v>
      </c>
      <c r="C67" s="14" t="n">
        <f aca="false">IF(B67=0,0,VLOOKUP(B67,MIE_Components!$A$2:$F$6,2,FALSE()))</f>
        <v>0</v>
      </c>
      <c r="D67" s="14" t="n">
        <f aca="false">IF(B67=0,0,VLOOKUP(B67,MIE_Components!$A$2:$F$6,3,FALSE()))</f>
        <v>0</v>
      </c>
      <c r="E67" s="14" t="n">
        <f aca="false">IF(B67=0,0,VLOOKUP(B67,MIE_Components!$A$2:$F$6,4,FALSE()))</f>
        <v>0</v>
      </c>
      <c r="F67" s="14" t="n">
        <f aca="false">IF(OR($A67="",B67=0),0,MAX(5,B67*IF(OR($A67=Parameters!$B$13,$A67=Parameters!$B$14),0.75,1)-(IF(AND($A67=DATE(2026,11,29),NOV29BF="Yes"),C67,0)+IF(OR($A67=DATE(2026,11,29),$A67=DATE(2026,11,30),$A67=DATE(2026,12,1),$A67=DATE(2026,12,2)),D67,0)+IF(OR($A67=DATE(2026,11,28),$A67=DATE(2026,12,1)),E67,0))))</f>
        <v>0</v>
      </c>
      <c r="G67" s="14" t="n">
        <f aca="false">IF(AND($A67&lt;&gt;"",$A67&lt;Parameters!$B$14),CityData!F3*(1+TAXRATE),0)</f>
        <v>0</v>
      </c>
      <c r="H67" s="14" t="n">
        <f aca="false">IF($A67="",0,IFERROR(VLOOKUP((YEAR($A67)+IF(MONTH($A67)&gt;=10,1,0))&amp;"|Boston|"&amp;MONTH($A67),Rates!$A$2:$I$181,5,FALSE()),0))</f>
        <v>0</v>
      </c>
      <c r="I67" s="14" t="n">
        <f aca="false">IF(OR($A67="",$A67&gt;=Parameters!$B$14),1,IF(AND(H67&gt;0,CityData!F3&lt;=H67),1,0))</f>
        <v>1</v>
      </c>
      <c r="J67" s="14" t="n">
        <f aca="false">IF($A67="",0,IFERROR(VLOOKUP((YEAR($A67)+IF(MONTH($A67)&gt;=10,1,0))&amp;"|Chicago|"&amp;MONTH($A67),Rates!$A$2:$I$181,6,FALSE()),0))</f>
        <v>0</v>
      </c>
      <c r="K67" s="14" t="n">
        <f aca="false">IF(J67=0,0,VLOOKUP(J67,MIE_Components!$A$2:$F$6,2,FALSE()))</f>
        <v>0</v>
      </c>
      <c r="L67" s="14" t="n">
        <f aca="false">IF(J67=0,0,VLOOKUP(J67,MIE_Components!$A$2:$F$6,3,FALSE()))</f>
        <v>0</v>
      </c>
      <c r="M67" s="14" t="n">
        <f aca="false">IF(J67=0,0,VLOOKUP(J67,MIE_Components!$A$2:$F$6,4,FALSE()))</f>
        <v>0</v>
      </c>
      <c r="N67" s="14" t="n">
        <f aca="false">IF(OR($A67="",J67=0),0,MAX(5,J67*IF(OR($A67=Parameters!$B$13,$A67=Parameters!$B$14),0.75,1)-(IF(AND($A67=DATE(2026,11,29),NOV29BF="Yes"),K67,0)+IF(OR($A67=DATE(2026,11,29),$A67=DATE(2026,11,30),$A67=DATE(2026,12,1),$A67=DATE(2026,12,2)),L67,0)+IF(OR($A67=DATE(2026,11,28),$A67=DATE(2026,12,1)),M67,0))))</f>
        <v>0</v>
      </c>
      <c r="O67" s="14" t="n">
        <f aca="false">IF(AND($A67&lt;&gt;"",$A67&lt;Parameters!$B$14),CityData!F4*(1+TAXRATE),0)</f>
        <v>0</v>
      </c>
      <c r="P67" s="14" t="n">
        <f aca="false">IF($A67="",0,IFERROR(VLOOKUP((YEAR($A67)+IF(MONTH($A67)&gt;=10,1,0))&amp;"|Chicago|"&amp;MONTH($A67),Rates!$A$2:$I$181,5,FALSE()),0))</f>
        <v>0</v>
      </c>
      <c r="Q67" s="14" t="n">
        <f aca="false">IF(OR($A67="",$A67&gt;=Parameters!$B$14),1,IF(AND(P67&gt;0,CityData!F4&lt;=P67),1,0))</f>
        <v>1</v>
      </c>
      <c r="R67" s="14" t="n">
        <f aca="false">IF($A67="",0,IFERROR(VLOOKUP((YEAR($A67)+IF(MONTH($A67)&gt;=10,1,0))&amp;"|Denver|"&amp;MONTH($A67),Rates!$A$2:$I$181,6,FALSE()),0))</f>
        <v>0</v>
      </c>
      <c r="S67" s="14" t="n">
        <f aca="false">IF(R67=0,0,VLOOKUP(R67,MIE_Components!$A$2:$F$6,2,FALSE()))</f>
        <v>0</v>
      </c>
      <c r="T67" s="14" t="n">
        <f aca="false">IF(R67=0,0,VLOOKUP(R67,MIE_Components!$A$2:$F$6,3,FALSE()))</f>
        <v>0</v>
      </c>
      <c r="U67" s="14" t="n">
        <f aca="false">IF(R67=0,0,VLOOKUP(R67,MIE_Components!$A$2:$F$6,4,FALSE()))</f>
        <v>0</v>
      </c>
      <c r="V67" s="14" t="n">
        <f aca="false">IF(OR($A67="",R67=0),0,MAX(5,R67*IF(OR($A67=Parameters!$B$13,$A67=Parameters!$B$14),0.75,1)-(IF(AND($A67=DATE(2026,11,29),NOV29BF="Yes"),S67,0)+IF(OR($A67=DATE(2026,11,29),$A67=DATE(2026,11,30),$A67=DATE(2026,12,1),$A67=DATE(2026,12,2)),T67,0)+IF(OR($A67=DATE(2026,11,28),$A67=DATE(2026,12,1)),U67,0))))</f>
        <v>0</v>
      </c>
      <c r="W67" s="14" t="n">
        <f aca="false">IF(AND($A67&lt;&gt;"",$A67&lt;Parameters!$B$14),CityData!F5*(1+TAXRATE),0)</f>
        <v>0</v>
      </c>
      <c r="X67" s="14" t="n">
        <f aca="false">IF($A67="",0,IFERROR(VLOOKUP((YEAR($A67)+IF(MONTH($A67)&gt;=10,1,0))&amp;"|Denver|"&amp;MONTH($A67),Rates!$A$2:$I$181,5,FALSE()),0))</f>
        <v>0</v>
      </c>
      <c r="Y67" s="14" t="n">
        <f aca="false">IF(OR($A67="",$A67&gt;=Parameters!$B$14),1,IF(AND(X67&gt;0,CityData!F5&lt;=X67),1,0))</f>
        <v>1</v>
      </c>
      <c r="Z67" s="14" t="n">
        <f aca="false">IF($A67="",0,IFERROR(VLOOKUP((YEAR($A67)+IF(MONTH($A67)&gt;=10,1,0))&amp;"|Phoenix|"&amp;MONTH($A67),Rates!$A$2:$I$181,6,FALSE()),0))</f>
        <v>0</v>
      </c>
      <c r="AA67" s="14" t="n">
        <f aca="false">IF(Z67=0,0,VLOOKUP(Z67,MIE_Components!$A$2:$F$6,2,FALSE()))</f>
        <v>0</v>
      </c>
      <c r="AB67" s="14" t="n">
        <f aca="false">IF(Z67=0,0,VLOOKUP(Z67,MIE_Components!$A$2:$F$6,3,FALSE()))</f>
        <v>0</v>
      </c>
      <c r="AC67" s="14" t="n">
        <f aca="false">IF(Z67=0,0,VLOOKUP(Z67,MIE_Components!$A$2:$F$6,4,FALSE()))</f>
        <v>0</v>
      </c>
      <c r="AD67" s="14" t="n">
        <f aca="false">IF(OR($A67="",Z67=0),0,MAX(5,Z67*IF(OR($A67=Parameters!$B$13,$A67=Parameters!$B$14),0.75,1)-(IF(AND($A67=DATE(2026,11,29),NOV29BF="Yes"),AA67,0)+IF(OR($A67=DATE(2026,11,29),$A67=DATE(2026,11,30),$A67=DATE(2026,12,1),$A67=DATE(2026,12,2)),AB67,0)+IF(OR($A67=DATE(2026,11,28),$A67=DATE(2026,12,1)),AC67,0))))</f>
        <v>0</v>
      </c>
      <c r="AE67" s="14" t="n">
        <f aca="false">IF(AND($A67&lt;&gt;"",$A67&lt;Parameters!$B$14),CityData!F6*(1+TAXRATE),0)</f>
        <v>0</v>
      </c>
      <c r="AF67" s="14" t="n">
        <f aca="false">IF($A67="",0,IFERROR(VLOOKUP((YEAR($A67)+IF(MONTH($A67)&gt;=10,1,0))&amp;"|Phoenix|"&amp;MONTH($A67),Rates!$A$2:$I$181,5,FALSE()),0))</f>
        <v>0</v>
      </c>
      <c r="AG67" s="14" t="n">
        <f aca="false">IF(OR($A67="",$A67&gt;=Parameters!$B$14),1,IF(AND(AF67&gt;0,CityData!F6&lt;=AF67),1,0))</f>
        <v>1</v>
      </c>
      <c r="AH67" s="14" t="n">
        <f aca="false">IF($A67="",0,IFERROR(VLOOKUP((YEAR($A67)+IF(MONTH($A67)&gt;=10,1,0))&amp;"|Seattle|"&amp;MONTH($A67),Rates!$A$2:$I$181,6,FALSE()),0))</f>
        <v>0</v>
      </c>
      <c r="AI67" s="14" t="n">
        <f aca="false">IF(AH67=0,0,VLOOKUP(AH67,MIE_Components!$A$2:$F$6,2,FALSE()))</f>
        <v>0</v>
      </c>
      <c r="AJ67" s="14" t="n">
        <f aca="false">IF(AH67=0,0,VLOOKUP(AH67,MIE_Components!$A$2:$F$6,3,FALSE()))</f>
        <v>0</v>
      </c>
      <c r="AK67" s="14" t="n">
        <f aca="false">IF(AH67=0,0,VLOOKUP(AH67,MIE_Components!$A$2:$F$6,4,FALSE()))</f>
        <v>0</v>
      </c>
      <c r="AL67" s="14" t="n">
        <f aca="false">IF(OR($A67="",AH67=0),0,MAX(5,AH67*IF(OR($A67=Parameters!$B$13,$A67=Parameters!$B$14),0.75,1)-(IF(AND($A67=DATE(2026,11,29),NOV29BF="Yes"),AI67,0)+IF(OR($A67=DATE(2026,11,29),$A67=DATE(2026,11,30),$A67=DATE(2026,12,1),$A67=DATE(2026,12,2)),AJ67,0)+IF(OR($A67=DATE(2026,11,28),$A67=DATE(2026,12,1)),AK67,0))))</f>
        <v>0</v>
      </c>
      <c r="AM67" s="14" t="n">
        <f aca="false">IF(AND($A67&lt;&gt;"",$A67&lt;Parameters!$B$14),CityData!F7*(1+TAXRATE),0)</f>
        <v>0</v>
      </c>
      <c r="AN67" s="14" t="n">
        <f aca="false">IF($A67="",0,IFERROR(VLOOKUP((YEAR($A67)+IF(MONTH($A67)&gt;=10,1,0))&amp;"|Seattle|"&amp;MONTH($A67),Rates!$A$2:$I$181,5,FALSE()),0))</f>
        <v>0</v>
      </c>
      <c r="AO67" s="14" t="n">
        <f aca="false">IF(OR($A67="",$A67&gt;=Parameters!$B$14),1,IF(AND(AN67&gt;0,CityData!F7&lt;=AN67),1,0))</f>
        <v>1</v>
      </c>
    </row>
    <row r="68" customFormat="false" ht="15" hidden="false" customHeight="true" outlineLevel="0" collapsed="false">
      <c r="A68" s="23" t="str">
        <f aca="false">IF(AND(Parameters!$B$14&gt;=Parameters!$B$13,ROW()-2&lt;=Parameters!$B$14-Parameters!$B$13),Parameters!$B$13+ROW()-2,"")</f>
        <v/>
      </c>
      <c r="B68" s="14" t="n">
        <f aca="false">IF($A68="",0,IFERROR(VLOOKUP((YEAR($A68)+IF(MONTH($A68)&gt;=10,1,0))&amp;"|Boston|"&amp;MONTH($A68),Rates!$A$2:$I$181,6,FALSE()),0))</f>
        <v>0</v>
      </c>
      <c r="C68" s="14" t="n">
        <f aca="false">IF(B68=0,0,VLOOKUP(B68,MIE_Components!$A$2:$F$6,2,FALSE()))</f>
        <v>0</v>
      </c>
      <c r="D68" s="14" t="n">
        <f aca="false">IF(B68=0,0,VLOOKUP(B68,MIE_Components!$A$2:$F$6,3,FALSE()))</f>
        <v>0</v>
      </c>
      <c r="E68" s="14" t="n">
        <f aca="false">IF(B68=0,0,VLOOKUP(B68,MIE_Components!$A$2:$F$6,4,FALSE()))</f>
        <v>0</v>
      </c>
      <c r="F68" s="14" t="n">
        <f aca="false">IF(OR($A68="",B68=0),0,MAX(5,B68*IF(OR($A68=Parameters!$B$13,$A68=Parameters!$B$14),0.75,1)-(IF(AND($A68=DATE(2026,11,29),NOV29BF="Yes"),C68,0)+IF(OR($A68=DATE(2026,11,29),$A68=DATE(2026,11,30),$A68=DATE(2026,12,1),$A68=DATE(2026,12,2)),D68,0)+IF(OR($A68=DATE(2026,11,28),$A68=DATE(2026,12,1)),E68,0))))</f>
        <v>0</v>
      </c>
      <c r="G68" s="14" t="n">
        <f aca="false">IF(AND($A68&lt;&gt;"",$A68&lt;Parameters!$B$14),CityData!F3*(1+TAXRATE),0)</f>
        <v>0</v>
      </c>
      <c r="H68" s="14" t="n">
        <f aca="false">IF($A68="",0,IFERROR(VLOOKUP((YEAR($A68)+IF(MONTH($A68)&gt;=10,1,0))&amp;"|Boston|"&amp;MONTH($A68),Rates!$A$2:$I$181,5,FALSE()),0))</f>
        <v>0</v>
      </c>
      <c r="I68" s="14" t="n">
        <f aca="false">IF(OR($A68="",$A68&gt;=Parameters!$B$14),1,IF(AND(H68&gt;0,CityData!F3&lt;=H68),1,0))</f>
        <v>1</v>
      </c>
      <c r="J68" s="14" t="n">
        <f aca="false">IF($A68="",0,IFERROR(VLOOKUP((YEAR($A68)+IF(MONTH($A68)&gt;=10,1,0))&amp;"|Chicago|"&amp;MONTH($A68),Rates!$A$2:$I$181,6,FALSE()),0))</f>
        <v>0</v>
      </c>
      <c r="K68" s="14" t="n">
        <f aca="false">IF(J68=0,0,VLOOKUP(J68,MIE_Components!$A$2:$F$6,2,FALSE()))</f>
        <v>0</v>
      </c>
      <c r="L68" s="14" t="n">
        <f aca="false">IF(J68=0,0,VLOOKUP(J68,MIE_Components!$A$2:$F$6,3,FALSE()))</f>
        <v>0</v>
      </c>
      <c r="M68" s="14" t="n">
        <f aca="false">IF(J68=0,0,VLOOKUP(J68,MIE_Components!$A$2:$F$6,4,FALSE()))</f>
        <v>0</v>
      </c>
      <c r="N68" s="14" t="n">
        <f aca="false">IF(OR($A68="",J68=0),0,MAX(5,J68*IF(OR($A68=Parameters!$B$13,$A68=Parameters!$B$14),0.75,1)-(IF(AND($A68=DATE(2026,11,29),NOV29BF="Yes"),K68,0)+IF(OR($A68=DATE(2026,11,29),$A68=DATE(2026,11,30),$A68=DATE(2026,12,1),$A68=DATE(2026,12,2)),L68,0)+IF(OR($A68=DATE(2026,11,28),$A68=DATE(2026,12,1)),M68,0))))</f>
        <v>0</v>
      </c>
      <c r="O68" s="14" t="n">
        <f aca="false">IF(AND($A68&lt;&gt;"",$A68&lt;Parameters!$B$14),CityData!F4*(1+TAXRATE),0)</f>
        <v>0</v>
      </c>
      <c r="P68" s="14" t="n">
        <f aca="false">IF($A68="",0,IFERROR(VLOOKUP((YEAR($A68)+IF(MONTH($A68)&gt;=10,1,0))&amp;"|Chicago|"&amp;MONTH($A68),Rates!$A$2:$I$181,5,FALSE()),0))</f>
        <v>0</v>
      </c>
      <c r="Q68" s="14" t="n">
        <f aca="false">IF(OR($A68="",$A68&gt;=Parameters!$B$14),1,IF(AND(P68&gt;0,CityData!F4&lt;=P68),1,0))</f>
        <v>1</v>
      </c>
      <c r="R68" s="14" t="n">
        <f aca="false">IF($A68="",0,IFERROR(VLOOKUP((YEAR($A68)+IF(MONTH($A68)&gt;=10,1,0))&amp;"|Denver|"&amp;MONTH($A68),Rates!$A$2:$I$181,6,FALSE()),0))</f>
        <v>0</v>
      </c>
      <c r="S68" s="14" t="n">
        <f aca="false">IF(R68=0,0,VLOOKUP(R68,MIE_Components!$A$2:$F$6,2,FALSE()))</f>
        <v>0</v>
      </c>
      <c r="T68" s="14" t="n">
        <f aca="false">IF(R68=0,0,VLOOKUP(R68,MIE_Components!$A$2:$F$6,3,FALSE()))</f>
        <v>0</v>
      </c>
      <c r="U68" s="14" t="n">
        <f aca="false">IF(R68=0,0,VLOOKUP(R68,MIE_Components!$A$2:$F$6,4,FALSE()))</f>
        <v>0</v>
      </c>
      <c r="V68" s="14" t="n">
        <f aca="false">IF(OR($A68="",R68=0),0,MAX(5,R68*IF(OR($A68=Parameters!$B$13,$A68=Parameters!$B$14),0.75,1)-(IF(AND($A68=DATE(2026,11,29),NOV29BF="Yes"),S68,0)+IF(OR($A68=DATE(2026,11,29),$A68=DATE(2026,11,30),$A68=DATE(2026,12,1),$A68=DATE(2026,12,2)),T68,0)+IF(OR($A68=DATE(2026,11,28),$A68=DATE(2026,12,1)),U68,0))))</f>
        <v>0</v>
      </c>
      <c r="W68" s="14" t="n">
        <f aca="false">IF(AND($A68&lt;&gt;"",$A68&lt;Parameters!$B$14),CityData!F5*(1+TAXRATE),0)</f>
        <v>0</v>
      </c>
      <c r="X68" s="14" t="n">
        <f aca="false">IF($A68="",0,IFERROR(VLOOKUP((YEAR($A68)+IF(MONTH($A68)&gt;=10,1,0))&amp;"|Denver|"&amp;MONTH($A68),Rates!$A$2:$I$181,5,FALSE()),0))</f>
        <v>0</v>
      </c>
      <c r="Y68" s="14" t="n">
        <f aca="false">IF(OR($A68="",$A68&gt;=Parameters!$B$14),1,IF(AND(X68&gt;0,CityData!F5&lt;=X68),1,0))</f>
        <v>1</v>
      </c>
      <c r="Z68" s="14" t="n">
        <f aca="false">IF($A68="",0,IFERROR(VLOOKUP((YEAR($A68)+IF(MONTH($A68)&gt;=10,1,0))&amp;"|Phoenix|"&amp;MONTH($A68),Rates!$A$2:$I$181,6,FALSE()),0))</f>
        <v>0</v>
      </c>
      <c r="AA68" s="14" t="n">
        <f aca="false">IF(Z68=0,0,VLOOKUP(Z68,MIE_Components!$A$2:$F$6,2,FALSE()))</f>
        <v>0</v>
      </c>
      <c r="AB68" s="14" t="n">
        <f aca="false">IF(Z68=0,0,VLOOKUP(Z68,MIE_Components!$A$2:$F$6,3,FALSE()))</f>
        <v>0</v>
      </c>
      <c r="AC68" s="14" t="n">
        <f aca="false">IF(Z68=0,0,VLOOKUP(Z68,MIE_Components!$A$2:$F$6,4,FALSE()))</f>
        <v>0</v>
      </c>
      <c r="AD68" s="14" t="n">
        <f aca="false">IF(OR($A68="",Z68=0),0,MAX(5,Z68*IF(OR($A68=Parameters!$B$13,$A68=Parameters!$B$14),0.75,1)-(IF(AND($A68=DATE(2026,11,29),NOV29BF="Yes"),AA68,0)+IF(OR($A68=DATE(2026,11,29),$A68=DATE(2026,11,30),$A68=DATE(2026,12,1),$A68=DATE(2026,12,2)),AB68,0)+IF(OR($A68=DATE(2026,11,28),$A68=DATE(2026,12,1)),AC68,0))))</f>
        <v>0</v>
      </c>
      <c r="AE68" s="14" t="n">
        <f aca="false">IF(AND($A68&lt;&gt;"",$A68&lt;Parameters!$B$14),CityData!F6*(1+TAXRATE),0)</f>
        <v>0</v>
      </c>
      <c r="AF68" s="14" t="n">
        <f aca="false">IF($A68="",0,IFERROR(VLOOKUP((YEAR($A68)+IF(MONTH($A68)&gt;=10,1,0))&amp;"|Phoenix|"&amp;MONTH($A68),Rates!$A$2:$I$181,5,FALSE()),0))</f>
        <v>0</v>
      </c>
      <c r="AG68" s="14" t="n">
        <f aca="false">IF(OR($A68="",$A68&gt;=Parameters!$B$14),1,IF(AND(AF68&gt;0,CityData!F6&lt;=AF68),1,0))</f>
        <v>1</v>
      </c>
      <c r="AH68" s="14" t="n">
        <f aca="false">IF($A68="",0,IFERROR(VLOOKUP((YEAR($A68)+IF(MONTH($A68)&gt;=10,1,0))&amp;"|Seattle|"&amp;MONTH($A68),Rates!$A$2:$I$181,6,FALSE()),0))</f>
        <v>0</v>
      </c>
      <c r="AI68" s="14" t="n">
        <f aca="false">IF(AH68=0,0,VLOOKUP(AH68,MIE_Components!$A$2:$F$6,2,FALSE()))</f>
        <v>0</v>
      </c>
      <c r="AJ68" s="14" t="n">
        <f aca="false">IF(AH68=0,0,VLOOKUP(AH68,MIE_Components!$A$2:$F$6,3,FALSE()))</f>
        <v>0</v>
      </c>
      <c r="AK68" s="14" t="n">
        <f aca="false">IF(AH68=0,0,VLOOKUP(AH68,MIE_Components!$A$2:$F$6,4,FALSE()))</f>
        <v>0</v>
      </c>
      <c r="AL68" s="14" t="n">
        <f aca="false">IF(OR($A68="",AH68=0),0,MAX(5,AH68*IF(OR($A68=Parameters!$B$13,$A68=Parameters!$B$14),0.75,1)-(IF(AND($A68=DATE(2026,11,29),NOV29BF="Yes"),AI68,0)+IF(OR($A68=DATE(2026,11,29),$A68=DATE(2026,11,30),$A68=DATE(2026,12,1),$A68=DATE(2026,12,2)),AJ68,0)+IF(OR($A68=DATE(2026,11,28),$A68=DATE(2026,12,1)),AK68,0))))</f>
        <v>0</v>
      </c>
      <c r="AM68" s="14" t="n">
        <f aca="false">IF(AND($A68&lt;&gt;"",$A68&lt;Parameters!$B$14),CityData!F7*(1+TAXRATE),0)</f>
        <v>0</v>
      </c>
      <c r="AN68" s="14" t="n">
        <f aca="false">IF($A68="",0,IFERROR(VLOOKUP((YEAR($A68)+IF(MONTH($A68)&gt;=10,1,0))&amp;"|Seattle|"&amp;MONTH($A68),Rates!$A$2:$I$181,5,FALSE()),0))</f>
        <v>0</v>
      </c>
      <c r="AO68" s="14" t="n">
        <f aca="false">IF(OR($A68="",$A68&gt;=Parameters!$B$14),1,IF(AND(AN68&gt;0,CityData!F7&lt;=AN68),1,0))</f>
        <v>1</v>
      </c>
    </row>
    <row r="69" customFormat="false" ht="15" hidden="false" customHeight="true" outlineLevel="0" collapsed="false">
      <c r="A69" s="23" t="str">
        <f aca="false">IF(AND(Parameters!$B$14&gt;=Parameters!$B$13,ROW()-2&lt;=Parameters!$B$14-Parameters!$B$13),Parameters!$B$13+ROW()-2,"")</f>
        <v/>
      </c>
      <c r="B69" s="14" t="n">
        <f aca="false">IF($A69="",0,IFERROR(VLOOKUP((YEAR($A69)+IF(MONTH($A69)&gt;=10,1,0))&amp;"|Boston|"&amp;MONTH($A69),Rates!$A$2:$I$181,6,FALSE()),0))</f>
        <v>0</v>
      </c>
      <c r="C69" s="14" t="n">
        <f aca="false">IF(B69=0,0,VLOOKUP(B69,MIE_Components!$A$2:$F$6,2,FALSE()))</f>
        <v>0</v>
      </c>
      <c r="D69" s="14" t="n">
        <f aca="false">IF(B69=0,0,VLOOKUP(B69,MIE_Components!$A$2:$F$6,3,FALSE()))</f>
        <v>0</v>
      </c>
      <c r="E69" s="14" t="n">
        <f aca="false">IF(B69=0,0,VLOOKUP(B69,MIE_Components!$A$2:$F$6,4,FALSE()))</f>
        <v>0</v>
      </c>
      <c r="F69" s="14" t="n">
        <f aca="false">IF(OR($A69="",B69=0),0,MAX(5,B69*IF(OR($A69=Parameters!$B$13,$A69=Parameters!$B$14),0.75,1)-(IF(AND($A69=DATE(2026,11,29),NOV29BF="Yes"),C69,0)+IF(OR($A69=DATE(2026,11,29),$A69=DATE(2026,11,30),$A69=DATE(2026,12,1),$A69=DATE(2026,12,2)),D69,0)+IF(OR($A69=DATE(2026,11,28),$A69=DATE(2026,12,1)),E69,0))))</f>
        <v>0</v>
      </c>
      <c r="G69" s="14" t="n">
        <f aca="false">IF(AND($A69&lt;&gt;"",$A69&lt;Parameters!$B$14),CityData!F3*(1+TAXRATE),0)</f>
        <v>0</v>
      </c>
      <c r="H69" s="14" t="n">
        <f aca="false">IF($A69="",0,IFERROR(VLOOKUP((YEAR($A69)+IF(MONTH($A69)&gt;=10,1,0))&amp;"|Boston|"&amp;MONTH($A69),Rates!$A$2:$I$181,5,FALSE()),0))</f>
        <v>0</v>
      </c>
      <c r="I69" s="14" t="n">
        <f aca="false">IF(OR($A69="",$A69&gt;=Parameters!$B$14),1,IF(AND(H69&gt;0,CityData!F3&lt;=H69),1,0))</f>
        <v>1</v>
      </c>
      <c r="J69" s="14" t="n">
        <f aca="false">IF($A69="",0,IFERROR(VLOOKUP((YEAR($A69)+IF(MONTH($A69)&gt;=10,1,0))&amp;"|Chicago|"&amp;MONTH($A69),Rates!$A$2:$I$181,6,FALSE()),0))</f>
        <v>0</v>
      </c>
      <c r="K69" s="14" t="n">
        <f aca="false">IF(J69=0,0,VLOOKUP(J69,MIE_Components!$A$2:$F$6,2,FALSE()))</f>
        <v>0</v>
      </c>
      <c r="L69" s="14" t="n">
        <f aca="false">IF(J69=0,0,VLOOKUP(J69,MIE_Components!$A$2:$F$6,3,FALSE()))</f>
        <v>0</v>
      </c>
      <c r="M69" s="14" t="n">
        <f aca="false">IF(J69=0,0,VLOOKUP(J69,MIE_Components!$A$2:$F$6,4,FALSE()))</f>
        <v>0</v>
      </c>
      <c r="N69" s="14" t="n">
        <f aca="false">IF(OR($A69="",J69=0),0,MAX(5,J69*IF(OR($A69=Parameters!$B$13,$A69=Parameters!$B$14),0.75,1)-(IF(AND($A69=DATE(2026,11,29),NOV29BF="Yes"),K69,0)+IF(OR($A69=DATE(2026,11,29),$A69=DATE(2026,11,30),$A69=DATE(2026,12,1),$A69=DATE(2026,12,2)),L69,0)+IF(OR($A69=DATE(2026,11,28),$A69=DATE(2026,12,1)),M69,0))))</f>
        <v>0</v>
      </c>
      <c r="O69" s="14" t="n">
        <f aca="false">IF(AND($A69&lt;&gt;"",$A69&lt;Parameters!$B$14),CityData!F4*(1+TAXRATE),0)</f>
        <v>0</v>
      </c>
      <c r="P69" s="14" t="n">
        <f aca="false">IF($A69="",0,IFERROR(VLOOKUP((YEAR($A69)+IF(MONTH($A69)&gt;=10,1,0))&amp;"|Chicago|"&amp;MONTH($A69),Rates!$A$2:$I$181,5,FALSE()),0))</f>
        <v>0</v>
      </c>
      <c r="Q69" s="14" t="n">
        <f aca="false">IF(OR($A69="",$A69&gt;=Parameters!$B$14),1,IF(AND(P69&gt;0,CityData!F4&lt;=P69),1,0))</f>
        <v>1</v>
      </c>
      <c r="R69" s="14" t="n">
        <f aca="false">IF($A69="",0,IFERROR(VLOOKUP((YEAR($A69)+IF(MONTH($A69)&gt;=10,1,0))&amp;"|Denver|"&amp;MONTH($A69),Rates!$A$2:$I$181,6,FALSE()),0))</f>
        <v>0</v>
      </c>
      <c r="S69" s="14" t="n">
        <f aca="false">IF(R69=0,0,VLOOKUP(R69,MIE_Components!$A$2:$F$6,2,FALSE()))</f>
        <v>0</v>
      </c>
      <c r="T69" s="14" t="n">
        <f aca="false">IF(R69=0,0,VLOOKUP(R69,MIE_Components!$A$2:$F$6,3,FALSE()))</f>
        <v>0</v>
      </c>
      <c r="U69" s="14" t="n">
        <f aca="false">IF(R69=0,0,VLOOKUP(R69,MIE_Components!$A$2:$F$6,4,FALSE()))</f>
        <v>0</v>
      </c>
      <c r="V69" s="14" t="n">
        <f aca="false">IF(OR($A69="",R69=0),0,MAX(5,R69*IF(OR($A69=Parameters!$B$13,$A69=Parameters!$B$14),0.75,1)-(IF(AND($A69=DATE(2026,11,29),NOV29BF="Yes"),S69,0)+IF(OR($A69=DATE(2026,11,29),$A69=DATE(2026,11,30),$A69=DATE(2026,12,1),$A69=DATE(2026,12,2)),T69,0)+IF(OR($A69=DATE(2026,11,28),$A69=DATE(2026,12,1)),U69,0))))</f>
        <v>0</v>
      </c>
      <c r="W69" s="14" t="n">
        <f aca="false">IF(AND($A69&lt;&gt;"",$A69&lt;Parameters!$B$14),CityData!F5*(1+TAXRATE),0)</f>
        <v>0</v>
      </c>
      <c r="X69" s="14" t="n">
        <f aca="false">IF($A69="",0,IFERROR(VLOOKUP((YEAR($A69)+IF(MONTH($A69)&gt;=10,1,0))&amp;"|Denver|"&amp;MONTH($A69),Rates!$A$2:$I$181,5,FALSE()),0))</f>
        <v>0</v>
      </c>
      <c r="Y69" s="14" t="n">
        <f aca="false">IF(OR($A69="",$A69&gt;=Parameters!$B$14),1,IF(AND(X69&gt;0,CityData!F5&lt;=X69),1,0))</f>
        <v>1</v>
      </c>
      <c r="Z69" s="14" t="n">
        <f aca="false">IF($A69="",0,IFERROR(VLOOKUP((YEAR($A69)+IF(MONTH($A69)&gt;=10,1,0))&amp;"|Phoenix|"&amp;MONTH($A69),Rates!$A$2:$I$181,6,FALSE()),0))</f>
        <v>0</v>
      </c>
      <c r="AA69" s="14" t="n">
        <f aca="false">IF(Z69=0,0,VLOOKUP(Z69,MIE_Components!$A$2:$F$6,2,FALSE()))</f>
        <v>0</v>
      </c>
      <c r="AB69" s="14" t="n">
        <f aca="false">IF(Z69=0,0,VLOOKUP(Z69,MIE_Components!$A$2:$F$6,3,FALSE()))</f>
        <v>0</v>
      </c>
      <c r="AC69" s="14" t="n">
        <f aca="false">IF(Z69=0,0,VLOOKUP(Z69,MIE_Components!$A$2:$F$6,4,FALSE()))</f>
        <v>0</v>
      </c>
      <c r="AD69" s="14" t="n">
        <f aca="false">IF(OR($A69="",Z69=0),0,MAX(5,Z69*IF(OR($A69=Parameters!$B$13,$A69=Parameters!$B$14),0.75,1)-(IF(AND($A69=DATE(2026,11,29),NOV29BF="Yes"),AA69,0)+IF(OR($A69=DATE(2026,11,29),$A69=DATE(2026,11,30),$A69=DATE(2026,12,1),$A69=DATE(2026,12,2)),AB69,0)+IF(OR($A69=DATE(2026,11,28),$A69=DATE(2026,12,1)),AC69,0))))</f>
        <v>0</v>
      </c>
      <c r="AE69" s="14" t="n">
        <f aca="false">IF(AND($A69&lt;&gt;"",$A69&lt;Parameters!$B$14),CityData!F6*(1+TAXRATE),0)</f>
        <v>0</v>
      </c>
      <c r="AF69" s="14" t="n">
        <f aca="false">IF($A69="",0,IFERROR(VLOOKUP((YEAR($A69)+IF(MONTH($A69)&gt;=10,1,0))&amp;"|Phoenix|"&amp;MONTH($A69),Rates!$A$2:$I$181,5,FALSE()),0))</f>
        <v>0</v>
      </c>
      <c r="AG69" s="14" t="n">
        <f aca="false">IF(OR($A69="",$A69&gt;=Parameters!$B$14),1,IF(AND(AF69&gt;0,CityData!F6&lt;=AF69),1,0))</f>
        <v>1</v>
      </c>
      <c r="AH69" s="14" t="n">
        <f aca="false">IF($A69="",0,IFERROR(VLOOKUP((YEAR($A69)+IF(MONTH($A69)&gt;=10,1,0))&amp;"|Seattle|"&amp;MONTH($A69),Rates!$A$2:$I$181,6,FALSE()),0))</f>
        <v>0</v>
      </c>
      <c r="AI69" s="14" t="n">
        <f aca="false">IF(AH69=0,0,VLOOKUP(AH69,MIE_Components!$A$2:$F$6,2,FALSE()))</f>
        <v>0</v>
      </c>
      <c r="AJ69" s="14" t="n">
        <f aca="false">IF(AH69=0,0,VLOOKUP(AH69,MIE_Components!$A$2:$F$6,3,FALSE()))</f>
        <v>0</v>
      </c>
      <c r="AK69" s="14" t="n">
        <f aca="false">IF(AH69=0,0,VLOOKUP(AH69,MIE_Components!$A$2:$F$6,4,FALSE()))</f>
        <v>0</v>
      </c>
      <c r="AL69" s="14" t="n">
        <f aca="false">IF(OR($A69="",AH69=0),0,MAX(5,AH69*IF(OR($A69=Parameters!$B$13,$A69=Parameters!$B$14),0.75,1)-(IF(AND($A69=DATE(2026,11,29),NOV29BF="Yes"),AI69,0)+IF(OR($A69=DATE(2026,11,29),$A69=DATE(2026,11,30),$A69=DATE(2026,12,1),$A69=DATE(2026,12,2)),AJ69,0)+IF(OR($A69=DATE(2026,11,28),$A69=DATE(2026,12,1)),AK69,0))))</f>
        <v>0</v>
      </c>
      <c r="AM69" s="14" t="n">
        <f aca="false">IF(AND($A69&lt;&gt;"",$A69&lt;Parameters!$B$14),CityData!F7*(1+TAXRATE),0)</f>
        <v>0</v>
      </c>
      <c r="AN69" s="14" t="n">
        <f aca="false">IF($A69="",0,IFERROR(VLOOKUP((YEAR($A69)+IF(MONTH($A69)&gt;=10,1,0))&amp;"|Seattle|"&amp;MONTH($A69),Rates!$A$2:$I$181,5,FALSE()),0))</f>
        <v>0</v>
      </c>
      <c r="AO69" s="14" t="n">
        <f aca="false">IF(OR($A69="",$A69&gt;=Parameters!$B$14),1,IF(AND(AN69&gt;0,CityData!F7&lt;=AN69),1,0))</f>
        <v>1</v>
      </c>
    </row>
    <row r="70" customFormat="false" ht="15" hidden="false" customHeight="true" outlineLevel="0" collapsed="false">
      <c r="A70" s="23" t="str">
        <f aca="false">IF(AND(Parameters!$B$14&gt;=Parameters!$B$13,ROW()-2&lt;=Parameters!$B$14-Parameters!$B$13),Parameters!$B$13+ROW()-2,"")</f>
        <v/>
      </c>
      <c r="B70" s="14" t="n">
        <f aca="false">IF($A70="",0,IFERROR(VLOOKUP((YEAR($A70)+IF(MONTH($A70)&gt;=10,1,0))&amp;"|Boston|"&amp;MONTH($A70),Rates!$A$2:$I$181,6,FALSE()),0))</f>
        <v>0</v>
      </c>
      <c r="C70" s="14" t="n">
        <f aca="false">IF(B70=0,0,VLOOKUP(B70,MIE_Components!$A$2:$F$6,2,FALSE()))</f>
        <v>0</v>
      </c>
      <c r="D70" s="14" t="n">
        <f aca="false">IF(B70=0,0,VLOOKUP(B70,MIE_Components!$A$2:$F$6,3,FALSE()))</f>
        <v>0</v>
      </c>
      <c r="E70" s="14" t="n">
        <f aca="false">IF(B70=0,0,VLOOKUP(B70,MIE_Components!$A$2:$F$6,4,FALSE()))</f>
        <v>0</v>
      </c>
      <c r="F70" s="14" t="n">
        <f aca="false">IF(OR($A70="",B70=0),0,MAX(5,B70*IF(OR($A70=Parameters!$B$13,$A70=Parameters!$B$14),0.75,1)-(IF(AND($A70=DATE(2026,11,29),NOV29BF="Yes"),C70,0)+IF(OR($A70=DATE(2026,11,29),$A70=DATE(2026,11,30),$A70=DATE(2026,12,1),$A70=DATE(2026,12,2)),D70,0)+IF(OR($A70=DATE(2026,11,28),$A70=DATE(2026,12,1)),E70,0))))</f>
        <v>0</v>
      </c>
      <c r="G70" s="14" t="n">
        <f aca="false">IF(AND($A70&lt;&gt;"",$A70&lt;Parameters!$B$14),CityData!F3*(1+TAXRATE),0)</f>
        <v>0</v>
      </c>
      <c r="H70" s="14" t="n">
        <f aca="false">IF($A70="",0,IFERROR(VLOOKUP((YEAR($A70)+IF(MONTH($A70)&gt;=10,1,0))&amp;"|Boston|"&amp;MONTH($A70),Rates!$A$2:$I$181,5,FALSE()),0))</f>
        <v>0</v>
      </c>
      <c r="I70" s="14" t="n">
        <f aca="false">IF(OR($A70="",$A70&gt;=Parameters!$B$14),1,IF(AND(H70&gt;0,CityData!F3&lt;=H70),1,0))</f>
        <v>1</v>
      </c>
      <c r="J70" s="14" t="n">
        <f aca="false">IF($A70="",0,IFERROR(VLOOKUP((YEAR($A70)+IF(MONTH($A70)&gt;=10,1,0))&amp;"|Chicago|"&amp;MONTH($A70),Rates!$A$2:$I$181,6,FALSE()),0))</f>
        <v>0</v>
      </c>
      <c r="K70" s="14" t="n">
        <f aca="false">IF(J70=0,0,VLOOKUP(J70,MIE_Components!$A$2:$F$6,2,FALSE()))</f>
        <v>0</v>
      </c>
      <c r="L70" s="14" t="n">
        <f aca="false">IF(J70=0,0,VLOOKUP(J70,MIE_Components!$A$2:$F$6,3,FALSE()))</f>
        <v>0</v>
      </c>
      <c r="M70" s="14" t="n">
        <f aca="false">IF(J70=0,0,VLOOKUP(J70,MIE_Components!$A$2:$F$6,4,FALSE()))</f>
        <v>0</v>
      </c>
      <c r="N70" s="14" t="n">
        <f aca="false">IF(OR($A70="",J70=0),0,MAX(5,J70*IF(OR($A70=Parameters!$B$13,$A70=Parameters!$B$14),0.75,1)-(IF(AND($A70=DATE(2026,11,29),NOV29BF="Yes"),K70,0)+IF(OR($A70=DATE(2026,11,29),$A70=DATE(2026,11,30),$A70=DATE(2026,12,1),$A70=DATE(2026,12,2)),L70,0)+IF(OR($A70=DATE(2026,11,28),$A70=DATE(2026,12,1)),M70,0))))</f>
        <v>0</v>
      </c>
      <c r="O70" s="14" t="n">
        <f aca="false">IF(AND($A70&lt;&gt;"",$A70&lt;Parameters!$B$14),CityData!F4*(1+TAXRATE),0)</f>
        <v>0</v>
      </c>
      <c r="P70" s="14" t="n">
        <f aca="false">IF($A70="",0,IFERROR(VLOOKUP((YEAR($A70)+IF(MONTH($A70)&gt;=10,1,0))&amp;"|Chicago|"&amp;MONTH($A70),Rates!$A$2:$I$181,5,FALSE()),0))</f>
        <v>0</v>
      </c>
      <c r="Q70" s="14" t="n">
        <f aca="false">IF(OR($A70="",$A70&gt;=Parameters!$B$14),1,IF(AND(P70&gt;0,CityData!F4&lt;=P70),1,0))</f>
        <v>1</v>
      </c>
      <c r="R70" s="14" t="n">
        <f aca="false">IF($A70="",0,IFERROR(VLOOKUP((YEAR($A70)+IF(MONTH($A70)&gt;=10,1,0))&amp;"|Denver|"&amp;MONTH($A70),Rates!$A$2:$I$181,6,FALSE()),0))</f>
        <v>0</v>
      </c>
      <c r="S70" s="14" t="n">
        <f aca="false">IF(R70=0,0,VLOOKUP(R70,MIE_Components!$A$2:$F$6,2,FALSE()))</f>
        <v>0</v>
      </c>
      <c r="T70" s="14" t="n">
        <f aca="false">IF(R70=0,0,VLOOKUP(R70,MIE_Components!$A$2:$F$6,3,FALSE()))</f>
        <v>0</v>
      </c>
      <c r="U70" s="14" t="n">
        <f aca="false">IF(R70=0,0,VLOOKUP(R70,MIE_Components!$A$2:$F$6,4,FALSE()))</f>
        <v>0</v>
      </c>
      <c r="V70" s="14" t="n">
        <f aca="false">IF(OR($A70="",R70=0),0,MAX(5,R70*IF(OR($A70=Parameters!$B$13,$A70=Parameters!$B$14),0.75,1)-(IF(AND($A70=DATE(2026,11,29),NOV29BF="Yes"),S70,0)+IF(OR($A70=DATE(2026,11,29),$A70=DATE(2026,11,30),$A70=DATE(2026,12,1),$A70=DATE(2026,12,2)),T70,0)+IF(OR($A70=DATE(2026,11,28),$A70=DATE(2026,12,1)),U70,0))))</f>
        <v>0</v>
      </c>
      <c r="W70" s="14" t="n">
        <f aca="false">IF(AND($A70&lt;&gt;"",$A70&lt;Parameters!$B$14),CityData!F5*(1+TAXRATE),0)</f>
        <v>0</v>
      </c>
      <c r="X70" s="14" t="n">
        <f aca="false">IF($A70="",0,IFERROR(VLOOKUP((YEAR($A70)+IF(MONTH($A70)&gt;=10,1,0))&amp;"|Denver|"&amp;MONTH($A70),Rates!$A$2:$I$181,5,FALSE()),0))</f>
        <v>0</v>
      </c>
      <c r="Y70" s="14" t="n">
        <f aca="false">IF(OR($A70="",$A70&gt;=Parameters!$B$14),1,IF(AND(X70&gt;0,CityData!F5&lt;=X70),1,0))</f>
        <v>1</v>
      </c>
      <c r="Z70" s="14" t="n">
        <f aca="false">IF($A70="",0,IFERROR(VLOOKUP((YEAR($A70)+IF(MONTH($A70)&gt;=10,1,0))&amp;"|Phoenix|"&amp;MONTH($A70),Rates!$A$2:$I$181,6,FALSE()),0))</f>
        <v>0</v>
      </c>
      <c r="AA70" s="14" t="n">
        <f aca="false">IF(Z70=0,0,VLOOKUP(Z70,MIE_Components!$A$2:$F$6,2,FALSE()))</f>
        <v>0</v>
      </c>
      <c r="AB70" s="14" t="n">
        <f aca="false">IF(Z70=0,0,VLOOKUP(Z70,MIE_Components!$A$2:$F$6,3,FALSE()))</f>
        <v>0</v>
      </c>
      <c r="AC70" s="14" t="n">
        <f aca="false">IF(Z70=0,0,VLOOKUP(Z70,MIE_Components!$A$2:$F$6,4,FALSE()))</f>
        <v>0</v>
      </c>
      <c r="AD70" s="14" t="n">
        <f aca="false">IF(OR($A70="",Z70=0),0,MAX(5,Z70*IF(OR($A70=Parameters!$B$13,$A70=Parameters!$B$14),0.75,1)-(IF(AND($A70=DATE(2026,11,29),NOV29BF="Yes"),AA70,0)+IF(OR($A70=DATE(2026,11,29),$A70=DATE(2026,11,30),$A70=DATE(2026,12,1),$A70=DATE(2026,12,2)),AB70,0)+IF(OR($A70=DATE(2026,11,28),$A70=DATE(2026,12,1)),AC70,0))))</f>
        <v>0</v>
      </c>
      <c r="AE70" s="14" t="n">
        <f aca="false">IF(AND($A70&lt;&gt;"",$A70&lt;Parameters!$B$14),CityData!F6*(1+TAXRATE),0)</f>
        <v>0</v>
      </c>
      <c r="AF70" s="14" t="n">
        <f aca="false">IF($A70="",0,IFERROR(VLOOKUP((YEAR($A70)+IF(MONTH($A70)&gt;=10,1,0))&amp;"|Phoenix|"&amp;MONTH($A70),Rates!$A$2:$I$181,5,FALSE()),0))</f>
        <v>0</v>
      </c>
      <c r="AG70" s="14" t="n">
        <f aca="false">IF(OR($A70="",$A70&gt;=Parameters!$B$14),1,IF(AND(AF70&gt;0,CityData!F6&lt;=AF70),1,0))</f>
        <v>1</v>
      </c>
      <c r="AH70" s="14" t="n">
        <f aca="false">IF($A70="",0,IFERROR(VLOOKUP((YEAR($A70)+IF(MONTH($A70)&gt;=10,1,0))&amp;"|Seattle|"&amp;MONTH($A70),Rates!$A$2:$I$181,6,FALSE()),0))</f>
        <v>0</v>
      </c>
      <c r="AI70" s="14" t="n">
        <f aca="false">IF(AH70=0,0,VLOOKUP(AH70,MIE_Components!$A$2:$F$6,2,FALSE()))</f>
        <v>0</v>
      </c>
      <c r="AJ70" s="14" t="n">
        <f aca="false">IF(AH70=0,0,VLOOKUP(AH70,MIE_Components!$A$2:$F$6,3,FALSE()))</f>
        <v>0</v>
      </c>
      <c r="AK70" s="14" t="n">
        <f aca="false">IF(AH70=0,0,VLOOKUP(AH70,MIE_Components!$A$2:$F$6,4,FALSE()))</f>
        <v>0</v>
      </c>
      <c r="AL70" s="14" t="n">
        <f aca="false">IF(OR($A70="",AH70=0),0,MAX(5,AH70*IF(OR($A70=Parameters!$B$13,$A70=Parameters!$B$14),0.75,1)-(IF(AND($A70=DATE(2026,11,29),NOV29BF="Yes"),AI70,0)+IF(OR($A70=DATE(2026,11,29),$A70=DATE(2026,11,30),$A70=DATE(2026,12,1),$A70=DATE(2026,12,2)),AJ70,0)+IF(OR($A70=DATE(2026,11,28),$A70=DATE(2026,12,1)),AK70,0))))</f>
        <v>0</v>
      </c>
      <c r="AM70" s="14" t="n">
        <f aca="false">IF(AND($A70&lt;&gt;"",$A70&lt;Parameters!$B$14),CityData!F7*(1+TAXRATE),0)</f>
        <v>0</v>
      </c>
      <c r="AN70" s="14" t="n">
        <f aca="false">IF($A70="",0,IFERROR(VLOOKUP((YEAR($A70)+IF(MONTH($A70)&gt;=10,1,0))&amp;"|Seattle|"&amp;MONTH($A70),Rates!$A$2:$I$181,5,FALSE()),0))</f>
        <v>0</v>
      </c>
      <c r="AO70" s="14" t="n">
        <f aca="false">IF(OR($A70="",$A70&gt;=Parameters!$B$14),1,IF(AND(AN70&gt;0,CityData!F7&lt;=AN70),1,0))</f>
        <v>1</v>
      </c>
    </row>
    <row r="71" customFormat="false" ht="15" hidden="false" customHeight="true" outlineLevel="0" collapsed="false">
      <c r="A71" s="23" t="str">
        <f aca="false">IF(AND(Parameters!$B$14&gt;=Parameters!$B$13,ROW()-2&lt;=Parameters!$B$14-Parameters!$B$13),Parameters!$B$13+ROW()-2,"")</f>
        <v/>
      </c>
      <c r="B71" s="14" t="n">
        <f aca="false">IF($A71="",0,IFERROR(VLOOKUP((YEAR($A71)+IF(MONTH($A71)&gt;=10,1,0))&amp;"|Boston|"&amp;MONTH($A71),Rates!$A$2:$I$181,6,FALSE()),0))</f>
        <v>0</v>
      </c>
      <c r="C71" s="14" t="n">
        <f aca="false">IF(B71=0,0,VLOOKUP(B71,MIE_Components!$A$2:$F$6,2,FALSE()))</f>
        <v>0</v>
      </c>
      <c r="D71" s="14" t="n">
        <f aca="false">IF(B71=0,0,VLOOKUP(B71,MIE_Components!$A$2:$F$6,3,FALSE()))</f>
        <v>0</v>
      </c>
      <c r="E71" s="14" t="n">
        <f aca="false">IF(B71=0,0,VLOOKUP(B71,MIE_Components!$A$2:$F$6,4,FALSE()))</f>
        <v>0</v>
      </c>
      <c r="F71" s="14" t="n">
        <f aca="false">IF(OR($A71="",B71=0),0,MAX(5,B71*IF(OR($A71=Parameters!$B$13,$A71=Parameters!$B$14),0.75,1)-(IF(AND($A71=DATE(2026,11,29),NOV29BF="Yes"),C71,0)+IF(OR($A71=DATE(2026,11,29),$A71=DATE(2026,11,30),$A71=DATE(2026,12,1),$A71=DATE(2026,12,2)),D71,0)+IF(OR($A71=DATE(2026,11,28),$A71=DATE(2026,12,1)),E71,0))))</f>
        <v>0</v>
      </c>
      <c r="G71" s="14" t="n">
        <f aca="false">IF(AND($A71&lt;&gt;"",$A71&lt;Parameters!$B$14),CityData!F3*(1+TAXRATE),0)</f>
        <v>0</v>
      </c>
      <c r="H71" s="14" t="n">
        <f aca="false">IF($A71="",0,IFERROR(VLOOKUP((YEAR($A71)+IF(MONTH($A71)&gt;=10,1,0))&amp;"|Boston|"&amp;MONTH($A71),Rates!$A$2:$I$181,5,FALSE()),0))</f>
        <v>0</v>
      </c>
      <c r="I71" s="14" t="n">
        <f aca="false">IF(OR($A71="",$A71&gt;=Parameters!$B$14),1,IF(AND(H71&gt;0,CityData!F3&lt;=H71),1,0))</f>
        <v>1</v>
      </c>
      <c r="J71" s="14" t="n">
        <f aca="false">IF($A71="",0,IFERROR(VLOOKUP((YEAR($A71)+IF(MONTH($A71)&gt;=10,1,0))&amp;"|Chicago|"&amp;MONTH($A71),Rates!$A$2:$I$181,6,FALSE()),0))</f>
        <v>0</v>
      </c>
      <c r="K71" s="14" t="n">
        <f aca="false">IF(J71=0,0,VLOOKUP(J71,MIE_Components!$A$2:$F$6,2,FALSE()))</f>
        <v>0</v>
      </c>
      <c r="L71" s="14" t="n">
        <f aca="false">IF(J71=0,0,VLOOKUP(J71,MIE_Components!$A$2:$F$6,3,FALSE()))</f>
        <v>0</v>
      </c>
      <c r="M71" s="14" t="n">
        <f aca="false">IF(J71=0,0,VLOOKUP(J71,MIE_Components!$A$2:$F$6,4,FALSE()))</f>
        <v>0</v>
      </c>
      <c r="N71" s="14" t="n">
        <f aca="false">IF(OR($A71="",J71=0),0,MAX(5,J71*IF(OR($A71=Parameters!$B$13,$A71=Parameters!$B$14),0.75,1)-(IF(AND($A71=DATE(2026,11,29),NOV29BF="Yes"),K71,0)+IF(OR($A71=DATE(2026,11,29),$A71=DATE(2026,11,30),$A71=DATE(2026,12,1),$A71=DATE(2026,12,2)),L71,0)+IF(OR($A71=DATE(2026,11,28),$A71=DATE(2026,12,1)),M71,0))))</f>
        <v>0</v>
      </c>
      <c r="O71" s="14" t="n">
        <f aca="false">IF(AND($A71&lt;&gt;"",$A71&lt;Parameters!$B$14),CityData!F4*(1+TAXRATE),0)</f>
        <v>0</v>
      </c>
      <c r="P71" s="14" t="n">
        <f aca="false">IF($A71="",0,IFERROR(VLOOKUP((YEAR($A71)+IF(MONTH($A71)&gt;=10,1,0))&amp;"|Chicago|"&amp;MONTH($A71),Rates!$A$2:$I$181,5,FALSE()),0))</f>
        <v>0</v>
      </c>
      <c r="Q71" s="14" t="n">
        <f aca="false">IF(OR($A71="",$A71&gt;=Parameters!$B$14),1,IF(AND(P71&gt;0,CityData!F4&lt;=P71),1,0))</f>
        <v>1</v>
      </c>
      <c r="R71" s="14" t="n">
        <f aca="false">IF($A71="",0,IFERROR(VLOOKUP((YEAR($A71)+IF(MONTH($A71)&gt;=10,1,0))&amp;"|Denver|"&amp;MONTH($A71),Rates!$A$2:$I$181,6,FALSE()),0))</f>
        <v>0</v>
      </c>
      <c r="S71" s="14" t="n">
        <f aca="false">IF(R71=0,0,VLOOKUP(R71,MIE_Components!$A$2:$F$6,2,FALSE()))</f>
        <v>0</v>
      </c>
      <c r="T71" s="14" t="n">
        <f aca="false">IF(R71=0,0,VLOOKUP(R71,MIE_Components!$A$2:$F$6,3,FALSE()))</f>
        <v>0</v>
      </c>
      <c r="U71" s="14" t="n">
        <f aca="false">IF(R71=0,0,VLOOKUP(R71,MIE_Components!$A$2:$F$6,4,FALSE()))</f>
        <v>0</v>
      </c>
      <c r="V71" s="14" t="n">
        <f aca="false">IF(OR($A71="",R71=0),0,MAX(5,R71*IF(OR($A71=Parameters!$B$13,$A71=Parameters!$B$14),0.75,1)-(IF(AND($A71=DATE(2026,11,29),NOV29BF="Yes"),S71,0)+IF(OR($A71=DATE(2026,11,29),$A71=DATE(2026,11,30),$A71=DATE(2026,12,1),$A71=DATE(2026,12,2)),T71,0)+IF(OR($A71=DATE(2026,11,28),$A71=DATE(2026,12,1)),U71,0))))</f>
        <v>0</v>
      </c>
      <c r="W71" s="14" t="n">
        <f aca="false">IF(AND($A71&lt;&gt;"",$A71&lt;Parameters!$B$14),CityData!F5*(1+TAXRATE),0)</f>
        <v>0</v>
      </c>
      <c r="X71" s="14" t="n">
        <f aca="false">IF($A71="",0,IFERROR(VLOOKUP((YEAR($A71)+IF(MONTH($A71)&gt;=10,1,0))&amp;"|Denver|"&amp;MONTH($A71),Rates!$A$2:$I$181,5,FALSE()),0))</f>
        <v>0</v>
      </c>
      <c r="Y71" s="14" t="n">
        <f aca="false">IF(OR($A71="",$A71&gt;=Parameters!$B$14),1,IF(AND(X71&gt;0,CityData!F5&lt;=X71),1,0))</f>
        <v>1</v>
      </c>
      <c r="Z71" s="14" t="n">
        <f aca="false">IF($A71="",0,IFERROR(VLOOKUP((YEAR($A71)+IF(MONTH($A71)&gt;=10,1,0))&amp;"|Phoenix|"&amp;MONTH($A71),Rates!$A$2:$I$181,6,FALSE()),0))</f>
        <v>0</v>
      </c>
      <c r="AA71" s="14" t="n">
        <f aca="false">IF(Z71=0,0,VLOOKUP(Z71,MIE_Components!$A$2:$F$6,2,FALSE()))</f>
        <v>0</v>
      </c>
      <c r="AB71" s="14" t="n">
        <f aca="false">IF(Z71=0,0,VLOOKUP(Z71,MIE_Components!$A$2:$F$6,3,FALSE()))</f>
        <v>0</v>
      </c>
      <c r="AC71" s="14" t="n">
        <f aca="false">IF(Z71=0,0,VLOOKUP(Z71,MIE_Components!$A$2:$F$6,4,FALSE()))</f>
        <v>0</v>
      </c>
      <c r="AD71" s="14" t="n">
        <f aca="false">IF(OR($A71="",Z71=0),0,MAX(5,Z71*IF(OR($A71=Parameters!$B$13,$A71=Parameters!$B$14),0.75,1)-(IF(AND($A71=DATE(2026,11,29),NOV29BF="Yes"),AA71,0)+IF(OR($A71=DATE(2026,11,29),$A71=DATE(2026,11,30),$A71=DATE(2026,12,1),$A71=DATE(2026,12,2)),AB71,0)+IF(OR($A71=DATE(2026,11,28),$A71=DATE(2026,12,1)),AC71,0))))</f>
        <v>0</v>
      </c>
      <c r="AE71" s="14" t="n">
        <f aca="false">IF(AND($A71&lt;&gt;"",$A71&lt;Parameters!$B$14),CityData!F6*(1+TAXRATE),0)</f>
        <v>0</v>
      </c>
      <c r="AF71" s="14" t="n">
        <f aca="false">IF($A71="",0,IFERROR(VLOOKUP((YEAR($A71)+IF(MONTH($A71)&gt;=10,1,0))&amp;"|Phoenix|"&amp;MONTH($A71),Rates!$A$2:$I$181,5,FALSE()),0))</f>
        <v>0</v>
      </c>
      <c r="AG71" s="14" t="n">
        <f aca="false">IF(OR($A71="",$A71&gt;=Parameters!$B$14),1,IF(AND(AF71&gt;0,CityData!F6&lt;=AF71),1,0))</f>
        <v>1</v>
      </c>
      <c r="AH71" s="14" t="n">
        <f aca="false">IF($A71="",0,IFERROR(VLOOKUP((YEAR($A71)+IF(MONTH($A71)&gt;=10,1,0))&amp;"|Seattle|"&amp;MONTH($A71),Rates!$A$2:$I$181,6,FALSE()),0))</f>
        <v>0</v>
      </c>
      <c r="AI71" s="14" t="n">
        <f aca="false">IF(AH71=0,0,VLOOKUP(AH71,MIE_Components!$A$2:$F$6,2,FALSE()))</f>
        <v>0</v>
      </c>
      <c r="AJ71" s="14" t="n">
        <f aca="false">IF(AH71=0,0,VLOOKUP(AH71,MIE_Components!$A$2:$F$6,3,FALSE()))</f>
        <v>0</v>
      </c>
      <c r="AK71" s="14" t="n">
        <f aca="false">IF(AH71=0,0,VLOOKUP(AH71,MIE_Components!$A$2:$F$6,4,FALSE()))</f>
        <v>0</v>
      </c>
      <c r="AL71" s="14" t="n">
        <f aca="false">IF(OR($A71="",AH71=0),0,MAX(5,AH71*IF(OR($A71=Parameters!$B$13,$A71=Parameters!$B$14),0.75,1)-(IF(AND($A71=DATE(2026,11,29),NOV29BF="Yes"),AI71,0)+IF(OR($A71=DATE(2026,11,29),$A71=DATE(2026,11,30),$A71=DATE(2026,12,1),$A71=DATE(2026,12,2)),AJ71,0)+IF(OR($A71=DATE(2026,11,28),$A71=DATE(2026,12,1)),AK71,0))))</f>
        <v>0</v>
      </c>
      <c r="AM71" s="14" t="n">
        <f aca="false">IF(AND($A71&lt;&gt;"",$A71&lt;Parameters!$B$14),CityData!F7*(1+TAXRATE),0)</f>
        <v>0</v>
      </c>
      <c r="AN71" s="14" t="n">
        <f aca="false">IF($A71="",0,IFERROR(VLOOKUP((YEAR($A71)+IF(MONTH($A71)&gt;=10,1,0))&amp;"|Seattle|"&amp;MONTH($A71),Rates!$A$2:$I$181,5,FALSE()),0))</f>
        <v>0</v>
      </c>
      <c r="AO71" s="14" t="n">
        <f aca="false">IF(OR($A71="",$A71&gt;=Parameters!$B$14),1,IF(AND(AN71&gt;0,CityData!F7&lt;=AN71),1,0))</f>
        <v>1</v>
      </c>
    </row>
    <row r="72" customFormat="false" ht="15" hidden="false" customHeight="true" outlineLevel="0" collapsed="false">
      <c r="A72" s="23" t="str">
        <f aca="false">IF(AND(Parameters!$B$14&gt;=Parameters!$B$13,ROW()-2&lt;=Parameters!$B$14-Parameters!$B$13),Parameters!$B$13+ROW()-2,"")</f>
        <v/>
      </c>
      <c r="B72" s="14" t="n">
        <f aca="false">IF($A72="",0,IFERROR(VLOOKUP((YEAR($A72)+IF(MONTH($A72)&gt;=10,1,0))&amp;"|Boston|"&amp;MONTH($A72),Rates!$A$2:$I$181,6,FALSE()),0))</f>
        <v>0</v>
      </c>
      <c r="C72" s="14" t="n">
        <f aca="false">IF(B72=0,0,VLOOKUP(B72,MIE_Components!$A$2:$F$6,2,FALSE()))</f>
        <v>0</v>
      </c>
      <c r="D72" s="14" t="n">
        <f aca="false">IF(B72=0,0,VLOOKUP(B72,MIE_Components!$A$2:$F$6,3,FALSE()))</f>
        <v>0</v>
      </c>
      <c r="E72" s="14" t="n">
        <f aca="false">IF(B72=0,0,VLOOKUP(B72,MIE_Components!$A$2:$F$6,4,FALSE()))</f>
        <v>0</v>
      </c>
      <c r="F72" s="14" t="n">
        <f aca="false">IF(OR($A72="",B72=0),0,MAX(5,B72*IF(OR($A72=Parameters!$B$13,$A72=Parameters!$B$14),0.75,1)-(IF(AND($A72=DATE(2026,11,29),NOV29BF="Yes"),C72,0)+IF(OR($A72=DATE(2026,11,29),$A72=DATE(2026,11,30),$A72=DATE(2026,12,1),$A72=DATE(2026,12,2)),D72,0)+IF(OR($A72=DATE(2026,11,28),$A72=DATE(2026,12,1)),E72,0))))</f>
        <v>0</v>
      </c>
      <c r="G72" s="14" t="n">
        <f aca="false">IF(AND($A72&lt;&gt;"",$A72&lt;Parameters!$B$14),CityData!F3*(1+TAXRATE),0)</f>
        <v>0</v>
      </c>
      <c r="H72" s="14" t="n">
        <f aca="false">IF($A72="",0,IFERROR(VLOOKUP((YEAR($A72)+IF(MONTH($A72)&gt;=10,1,0))&amp;"|Boston|"&amp;MONTH($A72),Rates!$A$2:$I$181,5,FALSE()),0))</f>
        <v>0</v>
      </c>
      <c r="I72" s="14" t="n">
        <f aca="false">IF(OR($A72="",$A72&gt;=Parameters!$B$14),1,IF(AND(H72&gt;0,CityData!F3&lt;=H72),1,0))</f>
        <v>1</v>
      </c>
      <c r="J72" s="14" t="n">
        <f aca="false">IF($A72="",0,IFERROR(VLOOKUP((YEAR($A72)+IF(MONTH($A72)&gt;=10,1,0))&amp;"|Chicago|"&amp;MONTH($A72),Rates!$A$2:$I$181,6,FALSE()),0))</f>
        <v>0</v>
      </c>
      <c r="K72" s="14" t="n">
        <f aca="false">IF(J72=0,0,VLOOKUP(J72,MIE_Components!$A$2:$F$6,2,FALSE()))</f>
        <v>0</v>
      </c>
      <c r="L72" s="14" t="n">
        <f aca="false">IF(J72=0,0,VLOOKUP(J72,MIE_Components!$A$2:$F$6,3,FALSE()))</f>
        <v>0</v>
      </c>
      <c r="M72" s="14" t="n">
        <f aca="false">IF(J72=0,0,VLOOKUP(J72,MIE_Components!$A$2:$F$6,4,FALSE()))</f>
        <v>0</v>
      </c>
      <c r="N72" s="14" t="n">
        <f aca="false">IF(OR($A72="",J72=0),0,MAX(5,J72*IF(OR($A72=Parameters!$B$13,$A72=Parameters!$B$14),0.75,1)-(IF(AND($A72=DATE(2026,11,29),NOV29BF="Yes"),K72,0)+IF(OR($A72=DATE(2026,11,29),$A72=DATE(2026,11,30),$A72=DATE(2026,12,1),$A72=DATE(2026,12,2)),L72,0)+IF(OR($A72=DATE(2026,11,28),$A72=DATE(2026,12,1)),M72,0))))</f>
        <v>0</v>
      </c>
      <c r="O72" s="14" t="n">
        <f aca="false">IF(AND($A72&lt;&gt;"",$A72&lt;Parameters!$B$14),CityData!F4*(1+TAXRATE),0)</f>
        <v>0</v>
      </c>
      <c r="P72" s="14" t="n">
        <f aca="false">IF($A72="",0,IFERROR(VLOOKUP((YEAR($A72)+IF(MONTH($A72)&gt;=10,1,0))&amp;"|Chicago|"&amp;MONTH($A72),Rates!$A$2:$I$181,5,FALSE()),0))</f>
        <v>0</v>
      </c>
      <c r="Q72" s="14" t="n">
        <f aca="false">IF(OR($A72="",$A72&gt;=Parameters!$B$14),1,IF(AND(P72&gt;0,CityData!F4&lt;=P72),1,0))</f>
        <v>1</v>
      </c>
      <c r="R72" s="14" t="n">
        <f aca="false">IF($A72="",0,IFERROR(VLOOKUP((YEAR($A72)+IF(MONTH($A72)&gt;=10,1,0))&amp;"|Denver|"&amp;MONTH($A72),Rates!$A$2:$I$181,6,FALSE()),0))</f>
        <v>0</v>
      </c>
      <c r="S72" s="14" t="n">
        <f aca="false">IF(R72=0,0,VLOOKUP(R72,MIE_Components!$A$2:$F$6,2,FALSE()))</f>
        <v>0</v>
      </c>
      <c r="T72" s="14" t="n">
        <f aca="false">IF(R72=0,0,VLOOKUP(R72,MIE_Components!$A$2:$F$6,3,FALSE()))</f>
        <v>0</v>
      </c>
      <c r="U72" s="14" t="n">
        <f aca="false">IF(R72=0,0,VLOOKUP(R72,MIE_Components!$A$2:$F$6,4,FALSE()))</f>
        <v>0</v>
      </c>
      <c r="V72" s="14" t="n">
        <f aca="false">IF(OR($A72="",R72=0),0,MAX(5,R72*IF(OR($A72=Parameters!$B$13,$A72=Parameters!$B$14),0.75,1)-(IF(AND($A72=DATE(2026,11,29),NOV29BF="Yes"),S72,0)+IF(OR($A72=DATE(2026,11,29),$A72=DATE(2026,11,30),$A72=DATE(2026,12,1),$A72=DATE(2026,12,2)),T72,0)+IF(OR($A72=DATE(2026,11,28),$A72=DATE(2026,12,1)),U72,0))))</f>
        <v>0</v>
      </c>
      <c r="W72" s="14" t="n">
        <f aca="false">IF(AND($A72&lt;&gt;"",$A72&lt;Parameters!$B$14),CityData!F5*(1+TAXRATE),0)</f>
        <v>0</v>
      </c>
      <c r="X72" s="14" t="n">
        <f aca="false">IF($A72="",0,IFERROR(VLOOKUP((YEAR($A72)+IF(MONTH($A72)&gt;=10,1,0))&amp;"|Denver|"&amp;MONTH($A72),Rates!$A$2:$I$181,5,FALSE()),0))</f>
        <v>0</v>
      </c>
      <c r="Y72" s="14" t="n">
        <f aca="false">IF(OR($A72="",$A72&gt;=Parameters!$B$14),1,IF(AND(X72&gt;0,CityData!F5&lt;=X72),1,0))</f>
        <v>1</v>
      </c>
      <c r="Z72" s="14" t="n">
        <f aca="false">IF($A72="",0,IFERROR(VLOOKUP((YEAR($A72)+IF(MONTH($A72)&gt;=10,1,0))&amp;"|Phoenix|"&amp;MONTH($A72),Rates!$A$2:$I$181,6,FALSE()),0))</f>
        <v>0</v>
      </c>
      <c r="AA72" s="14" t="n">
        <f aca="false">IF(Z72=0,0,VLOOKUP(Z72,MIE_Components!$A$2:$F$6,2,FALSE()))</f>
        <v>0</v>
      </c>
      <c r="AB72" s="14" t="n">
        <f aca="false">IF(Z72=0,0,VLOOKUP(Z72,MIE_Components!$A$2:$F$6,3,FALSE()))</f>
        <v>0</v>
      </c>
      <c r="AC72" s="14" t="n">
        <f aca="false">IF(Z72=0,0,VLOOKUP(Z72,MIE_Components!$A$2:$F$6,4,FALSE()))</f>
        <v>0</v>
      </c>
      <c r="AD72" s="14" t="n">
        <f aca="false">IF(OR($A72="",Z72=0),0,MAX(5,Z72*IF(OR($A72=Parameters!$B$13,$A72=Parameters!$B$14),0.75,1)-(IF(AND($A72=DATE(2026,11,29),NOV29BF="Yes"),AA72,0)+IF(OR($A72=DATE(2026,11,29),$A72=DATE(2026,11,30),$A72=DATE(2026,12,1),$A72=DATE(2026,12,2)),AB72,0)+IF(OR($A72=DATE(2026,11,28),$A72=DATE(2026,12,1)),AC72,0))))</f>
        <v>0</v>
      </c>
      <c r="AE72" s="14" t="n">
        <f aca="false">IF(AND($A72&lt;&gt;"",$A72&lt;Parameters!$B$14),CityData!F6*(1+TAXRATE),0)</f>
        <v>0</v>
      </c>
      <c r="AF72" s="14" t="n">
        <f aca="false">IF($A72="",0,IFERROR(VLOOKUP((YEAR($A72)+IF(MONTH($A72)&gt;=10,1,0))&amp;"|Phoenix|"&amp;MONTH($A72),Rates!$A$2:$I$181,5,FALSE()),0))</f>
        <v>0</v>
      </c>
      <c r="AG72" s="14" t="n">
        <f aca="false">IF(OR($A72="",$A72&gt;=Parameters!$B$14),1,IF(AND(AF72&gt;0,CityData!F6&lt;=AF72),1,0))</f>
        <v>1</v>
      </c>
      <c r="AH72" s="14" t="n">
        <f aca="false">IF($A72="",0,IFERROR(VLOOKUP((YEAR($A72)+IF(MONTH($A72)&gt;=10,1,0))&amp;"|Seattle|"&amp;MONTH($A72),Rates!$A$2:$I$181,6,FALSE()),0))</f>
        <v>0</v>
      </c>
      <c r="AI72" s="14" t="n">
        <f aca="false">IF(AH72=0,0,VLOOKUP(AH72,MIE_Components!$A$2:$F$6,2,FALSE()))</f>
        <v>0</v>
      </c>
      <c r="AJ72" s="14" t="n">
        <f aca="false">IF(AH72=0,0,VLOOKUP(AH72,MIE_Components!$A$2:$F$6,3,FALSE()))</f>
        <v>0</v>
      </c>
      <c r="AK72" s="14" t="n">
        <f aca="false">IF(AH72=0,0,VLOOKUP(AH72,MIE_Components!$A$2:$F$6,4,FALSE()))</f>
        <v>0</v>
      </c>
      <c r="AL72" s="14" t="n">
        <f aca="false">IF(OR($A72="",AH72=0),0,MAX(5,AH72*IF(OR($A72=Parameters!$B$13,$A72=Parameters!$B$14),0.75,1)-(IF(AND($A72=DATE(2026,11,29),NOV29BF="Yes"),AI72,0)+IF(OR($A72=DATE(2026,11,29),$A72=DATE(2026,11,30),$A72=DATE(2026,12,1),$A72=DATE(2026,12,2)),AJ72,0)+IF(OR($A72=DATE(2026,11,28),$A72=DATE(2026,12,1)),AK72,0))))</f>
        <v>0</v>
      </c>
      <c r="AM72" s="14" t="n">
        <f aca="false">IF(AND($A72&lt;&gt;"",$A72&lt;Parameters!$B$14),CityData!F7*(1+TAXRATE),0)</f>
        <v>0</v>
      </c>
      <c r="AN72" s="14" t="n">
        <f aca="false">IF($A72="",0,IFERROR(VLOOKUP((YEAR($A72)+IF(MONTH($A72)&gt;=10,1,0))&amp;"|Seattle|"&amp;MONTH($A72),Rates!$A$2:$I$181,5,FALSE()),0))</f>
        <v>0</v>
      </c>
      <c r="AO72" s="14" t="n">
        <f aca="false">IF(OR($A72="",$A72&gt;=Parameters!$B$14),1,IF(AND(AN72&gt;0,CityData!F7&lt;=AN72),1,0))</f>
        <v>1</v>
      </c>
    </row>
    <row r="73" customFormat="false" ht="15" hidden="false" customHeight="true" outlineLevel="0" collapsed="false">
      <c r="A73" s="23" t="str">
        <f aca="false">IF(AND(Parameters!$B$14&gt;=Parameters!$B$13,ROW()-2&lt;=Parameters!$B$14-Parameters!$B$13),Parameters!$B$13+ROW()-2,"")</f>
        <v/>
      </c>
      <c r="B73" s="14" t="n">
        <f aca="false">IF($A73="",0,IFERROR(VLOOKUP((YEAR($A73)+IF(MONTH($A73)&gt;=10,1,0))&amp;"|Boston|"&amp;MONTH($A73),Rates!$A$2:$I$181,6,FALSE()),0))</f>
        <v>0</v>
      </c>
      <c r="C73" s="14" t="n">
        <f aca="false">IF(B73=0,0,VLOOKUP(B73,MIE_Components!$A$2:$F$6,2,FALSE()))</f>
        <v>0</v>
      </c>
      <c r="D73" s="14" t="n">
        <f aca="false">IF(B73=0,0,VLOOKUP(B73,MIE_Components!$A$2:$F$6,3,FALSE()))</f>
        <v>0</v>
      </c>
      <c r="E73" s="14" t="n">
        <f aca="false">IF(B73=0,0,VLOOKUP(B73,MIE_Components!$A$2:$F$6,4,FALSE()))</f>
        <v>0</v>
      </c>
      <c r="F73" s="14" t="n">
        <f aca="false">IF(OR($A73="",B73=0),0,MAX(5,B73*IF(OR($A73=Parameters!$B$13,$A73=Parameters!$B$14),0.75,1)-(IF(AND($A73=DATE(2026,11,29),NOV29BF="Yes"),C73,0)+IF(OR($A73=DATE(2026,11,29),$A73=DATE(2026,11,30),$A73=DATE(2026,12,1),$A73=DATE(2026,12,2)),D73,0)+IF(OR($A73=DATE(2026,11,28),$A73=DATE(2026,12,1)),E73,0))))</f>
        <v>0</v>
      </c>
      <c r="G73" s="14" t="n">
        <f aca="false">IF(AND($A73&lt;&gt;"",$A73&lt;Parameters!$B$14),CityData!F3*(1+TAXRATE),0)</f>
        <v>0</v>
      </c>
      <c r="H73" s="14" t="n">
        <f aca="false">IF($A73="",0,IFERROR(VLOOKUP((YEAR($A73)+IF(MONTH($A73)&gt;=10,1,0))&amp;"|Boston|"&amp;MONTH($A73),Rates!$A$2:$I$181,5,FALSE()),0))</f>
        <v>0</v>
      </c>
      <c r="I73" s="14" t="n">
        <f aca="false">IF(OR($A73="",$A73&gt;=Parameters!$B$14),1,IF(AND(H73&gt;0,CityData!F3&lt;=H73),1,0))</f>
        <v>1</v>
      </c>
      <c r="J73" s="14" t="n">
        <f aca="false">IF($A73="",0,IFERROR(VLOOKUP((YEAR($A73)+IF(MONTH($A73)&gt;=10,1,0))&amp;"|Chicago|"&amp;MONTH($A73),Rates!$A$2:$I$181,6,FALSE()),0))</f>
        <v>0</v>
      </c>
      <c r="K73" s="14" t="n">
        <f aca="false">IF(J73=0,0,VLOOKUP(J73,MIE_Components!$A$2:$F$6,2,FALSE()))</f>
        <v>0</v>
      </c>
      <c r="L73" s="14" t="n">
        <f aca="false">IF(J73=0,0,VLOOKUP(J73,MIE_Components!$A$2:$F$6,3,FALSE()))</f>
        <v>0</v>
      </c>
      <c r="M73" s="14" t="n">
        <f aca="false">IF(J73=0,0,VLOOKUP(J73,MIE_Components!$A$2:$F$6,4,FALSE()))</f>
        <v>0</v>
      </c>
      <c r="N73" s="14" t="n">
        <f aca="false">IF(OR($A73="",J73=0),0,MAX(5,J73*IF(OR($A73=Parameters!$B$13,$A73=Parameters!$B$14),0.75,1)-(IF(AND($A73=DATE(2026,11,29),NOV29BF="Yes"),K73,0)+IF(OR($A73=DATE(2026,11,29),$A73=DATE(2026,11,30),$A73=DATE(2026,12,1),$A73=DATE(2026,12,2)),L73,0)+IF(OR($A73=DATE(2026,11,28),$A73=DATE(2026,12,1)),M73,0))))</f>
        <v>0</v>
      </c>
      <c r="O73" s="14" t="n">
        <f aca="false">IF(AND($A73&lt;&gt;"",$A73&lt;Parameters!$B$14),CityData!F4*(1+TAXRATE),0)</f>
        <v>0</v>
      </c>
      <c r="P73" s="14" t="n">
        <f aca="false">IF($A73="",0,IFERROR(VLOOKUP((YEAR($A73)+IF(MONTH($A73)&gt;=10,1,0))&amp;"|Chicago|"&amp;MONTH($A73),Rates!$A$2:$I$181,5,FALSE()),0))</f>
        <v>0</v>
      </c>
      <c r="Q73" s="14" t="n">
        <f aca="false">IF(OR($A73="",$A73&gt;=Parameters!$B$14),1,IF(AND(P73&gt;0,CityData!F4&lt;=P73),1,0))</f>
        <v>1</v>
      </c>
      <c r="R73" s="14" t="n">
        <f aca="false">IF($A73="",0,IFERROR(VLOOKUP((YEAR($A73)+IF(MONTH($A73)&gt;=10,1,0))&amp;"|Denver|"&amp;MONTH($A73),Rates!$A$2:$I$181,6,FALSE()),0))</f>
        <v>0</v>
      </c>
      <c r="S73" s="14" t="n">
        <f aca="false">IF(R73=0,0,VLOOKUP(R73,MIE_Components!$A$2:$F$6,2,FALSE()))</f>
        <v>0</v>
      </c>
      <c r="T73" s="14" t="n">
        <f aca="false">IF(R73=0,0,VLOOKUP(R73,MIE_Components!$A$2:$F$6,3,FALSE()))</f>
        <v>0</v>
      </c>
      <c r="U73" s="14" t="n">
        <f aca="false">IF(R73=0,0,VLOOKUP(R73,MIE_Components!$A$2:$F$6,4,FALSE()))</f>
        <v>0</v>
      </c>
      <c r="V73" s="14" t="n">
        <f aca="false">IF(OR($A73="",R73=0),0,MAX(5,R73*IF(OR($A73=Parameters!$B$13,$A73=Parameters!$B$14),0.75,1)-(IF(AND($A73=DATE(2026,11,29),NOV29BF="Yes"),S73,0)+IF(OR($A73=DATE(2026,11,29),$A73=DATE(2026,11,30),$A73=DATE(2026,12,1),$A73=DATE(2026,12,2)),T73,0)+IF(OR($A73=DATE(2026,11,28),$A73=DATE(2026,12,1)),U73,0))))</f>
        <v>0</v>
      </c>
      <c r="W73" s="14" t="n">
        <f aca="false">IF(AND($A73&lt;&gt;"",$A73&lt;Parameters!$B$14),CityData!F5*(1+TAXRATE),0)</f>
        <v>0</v>
      </c>
      <c r="X73" s="14" t="n">
        <f aca="false">IF($A73="",0,IFERROR(VLOOKUP((YEAR($A73)+IF(MONTH($A73)&gt;=10,1,0))&amp;"|Denver|"&amp;MONTH($A73),Rates!$A$2:$I$181,5,FALSE()),0))</f>
        <v>0</v>
      </c>
      <c r="Y73" s="14" t="n">
        <f aca="false">IF(OR($A73="",$A73&gt;=Parameters!$B$14),1,IF(AND(X73&gt;0,CityData!F5&lt;=X73),1,0))</f>
        <v>1</v>
      </c>
      <c r="Z73" s="14" t="n">
        <f aca="false">IF($A73="",0,IFERROR(VLOOKUP((YEAR($A73)+IF(MONTH($A73)&gt;=10,1,0))&amp;"|Phoenix|"&amp;MONTH($A73),Rates!$A$2:$I$181,6,FALSE()),0))</f>
        <v>0</v>
      </c>
      <c r="AA73" s="14" t="n">
        <f aca="false">IF(Z73=0,0,VLOOKUP(Z73,MIE_Components!$A$2:$F$6,2,FALSE()))</f>
        <v>0</v>
      </c>
      <c r="AB73" s="14" t="n">
        <f aca="false">IF(Z73=0,0,VLOOKUP(Z73,MIE_Components!$A$2:$F$6,3,FALSE()))</f>
        <v>0</v>
      </c>
      <c r="AC73" s="14" t="n">
        <f aca="false">IF(Z73=0,0,VLOOKUP(Z73,MIE_Components!$A$2:$F$6,4,FALSE()))</f>
        <v>0</v>
      </c>
      <c r="AD73" s="14" t="n">
        <f aca="false">IF(OR($A73="",Z73=0),0,MAX(5,Z73*IF(OR($A73=Parameters!$B$13,$A73=Parameters!$B$14),0.75,1)-(IF(AND($A73=DATE(2026,11,29),NOV29BF="Yes"),AA73,0)+IF(OR($A73=DATE(2026,11,29),$A73=DATE(2026,11,30),$A73=DATE(2026,12,1),$A73=DATE(2026,12,2)),AB73,0)+IF(OR($A73=DATE(2026,11,28),$A73=DATE(2026,12,1)),AC73,0))))</f>
        <v>0</v>
      </c>
      <c r="AE73" s="14" t="n">
        <f aca="false">IF(AND($A73&lt;&gt;"",$A73&lt;Parameters!$B$14),CityData!F6*(1+TAXRATE),0)</f>
        <v>0</v>
      </c>
      <c r="AF73" s="14" t="n">
        <f aca="false">IF($A73="",0,IFERROR(VLOOKUP((YEAR($A73)+IF(MONTH($A73)&gt;=10,1,0))&amp;"|Phoenix|"&amp;MONTH($A73),Rates!$A$2:$I$181,5,FALSE()),0))</f>
        <v>0</v>
      </c>
      <c r="AG73" s="14" t="n">
        <f aca="false">IF(OR($A73="",$A73&gt;=Parameters!$B$14),1,IF(AND(AF73&gt;0,CityData!F6&lt;=AF73),1,0))</f>
        <v>1</v>
      </c>
      <c r="AH73" s="14" t="n">
        <f aca="false">IF($A73="",0,IFERROR(VLOOKUP((YEAR($A73)+IF(MONTH($A73)&gt;=10,1,0))&amp;"|Seattle|"&amp;MONTH($A73),Rates!$A$2:$I$181,6,FALSE()),0))</f>
        <v>0</v>
      </c>
      <c r="AI73" s="14" t="n">
        <f aca="false">IF(AH73=0,0,VLOOKUP(AH73,MIE_Components!$A$2:$F$6,2,FALSE()))</f>
        <v>0</v>
      </c>
      <c r="AJ73" s="14" t="n">
        <f aca="false">IF(AH73=0,0,VLOOKUP(AH73,MIE_Components!$A$2:$F$6,3,FALSE()))</f>
        <v>0</v>
      </c>
      <c r="AK73" s="14" t="n">
        <f aca="false">IF(AH73=0,0,VLOOKUP(AH73,MIE_Components!$A$2:$F$6,4,FALSE()))</f>
        <v>0</v>
      </c>
      <c r="AL73" s="14" t="n">
        <f aca="false">IF(OR($A73="",AH73=0),0,MAX(5,AH73*IF(OR($A73=Parameters!$B$13,$A73=Parameters!$B$14),0.75,1)-(IF(AND($A73=DATE(2026,11,29),NOV29BF="Yes"),AI73,0)+IF(OR($A73=DATE(2026,11,29),$A73=DATE(2026,11,30),$A73=DATE(2026,12,1),$A73=DATE(2026,12,2)),AJ73,0)+IF(OR($A73=DATE(2026,11,28),$A73=DATE(2026,12,1)),AK73,0))))</f>
        <v>0</v>
      </c>
      <c r="AM73" s="14" t="n">
        <f aca="false">IF(AND($A73&lt;&gt;"",$A73&lt;Parameters!$B$14),CityData!F7*(1+TAXRATE),0)</f>
        <v>0</v>
      </c>
      <c r="AN73" s="14" t="n">
        <f aca="false">IF($A73="",0,IFERROR(VLOOKUP((YEAR($A73)+IF(MONTH($A73)&gt;=10,1,0))&amp;"|Seattle|"&amp;MONTH($A73),Rates!$A$2:$I$181,5,FALSE()),0))</f>
        <v>0</v>
      </c>
      <c r="AO73" s="14" t="n">
        <f aca="false">IF(OR($A73="",$A73&gt;=Parameters!$B$14),1,IF(AND(AN73&gt;0,CityData!F7&lt;=AN73),1,0))</f>
        <v>1</v>
      </c>
    </row>
    <row r="74" customFormat="false" ht="15" hidden="false" customHeight="true" outlineLevel="0" collapsed="false">
      <c r="A74" s="23" t="str">
        <f aca="false">IF(AND(Parameters!$B$14&gt;=Parameters!$B$13,ROW()-2&lt;=Parameters!$B$14-Parameters!$B$13),Parameters!$B$13+ROW()-2,"")</f>
        <v/>
      </c>
      <c r="B74" s="14" t="n">
        <f aca="false">IF($A74="",0,IFERROR(VLOOKUP((YEAR($A74)+IF(MONTH($A74)&gt;=10,1,0))&amp;"|Boston|"&amp;MONTH($A74),Rates!$A$2:$I$181,6,FALSE()),0))</f>
        <v>0</v>
      </c>
      <c r="C74" s="14" t="n">
        <f aca="false">IF(B74=0,0,VLOOKUP(B74,MIE_Components!$A$2:$F$6,2,FALSE()))</f>
        <v>0</v>
      </c>
      <c r="D74" s="14" t="n">
        <f aca="false">IF(B74=0,0,VLOOKUP(B74,MIE_Components!$A$2:$F$6,3,FALSE()))</f>
        <v>0</v>
      </c>
      <c r="E74" s="14" t="n">
        <f aca="false">IF(B74=0,0,VLOOKUP(B74,MIE_Components!$A$2:$F$6,4,FALSE()))</f>
        <v>0</v>
      </c>
      <c r="F74" s="14" t="n">
        <f aca="false">IF(OR($A74="",B74=0),0,MAX(5,B74*IF(OR($A74=Parameters!$B$13,$A74=Parameters!$B$14),0.75,1)-(IF(AND($A74=DATE(2026,11,29),NOV29BF="Yes"),C74,0)+IF(OR($A74=DATE(2026,11,29),$A74=DATE(2026,11,30),$A74=DATE(2026,12,1),$A74=DATE(2026,12,2)),D74,0)+IF(OR($A74=DATE(2026,11,28),$A74=DATE(2026,12,1)),E74,0))))</f>
        <v>0</v>
      </c>
      <c r="G74" s="14" t="n">
        <f aca="false">IF(AND($A74&lt;&gt;"",$A74&lt;Parameters!$B$14),CityData!F3*(1+TAXRATE),0)</f>
        <v>0</v>
      </c>
      <c r="H74" s="14" t="n">
        <f aca="false">IF($A74="",0,IFERROR(VLOOKUP((YEAR($A74)+IF(MONTH($A74)&gt;=10,1,0))&amp;"|Boston|"&amp;MONTH($A74),Rates!$A$2:$I$181,5,FALSE()),0))</f>
        <v>0</v>
      </c>
      <c r="I74" s="14" t="n">
        <f aca="false">IF(OR($A74="",$A74&gt;=Parameters!$B$14),1,IF(AND(H74&gt;0,CityData!F3&lt;=H74),1,0))</f>
        <v>1</v>
      </c>
      <c r="J74" s="14" t="n">
        <f aca="false">IF($A74="",0,IFERROR(VLOOKUP((YEAR($A74)+IF(MONTH($A74)&gt;=10,1,0))&amp;"|Chicago|"&amp;MONTH($A74),Rates!$A$2:$I$181,6,FALSE()),0))</f>
        <v>0</v>
      </c>
      <c r="K74" s="14" t="n">
        <f aca="false">IF(J74=0,0,VLOOKUP(J74,MIE_Components!$A$2:$F$6,2,FALSE()))</f>
        <v>0</v>
      </c>
      <c r="L74" s="14" t="n">
        <f aca="false">IF(J74=0,0,VLOOKUP(J74,MIE_Components!$A$2:$F$6,3,FALSE()))</f>
        <v>0</v>
      </c>
      <c r="M74" s="14" t="n">
        <f aca="false">IF(J74=0,0,VLOOKUP(J74,MIE_Components!$A$2:$F$6,4,FALSE()))</f>
        <v>0</v>
      </c>
      <c r="N74" s="14" t="n">
        <f aca="false">IF(OR($A74="",J74=0),0,MAX(5,J74*IF(OR($A74=Parameters!$B$13,$A74=Parameters!$B$14),0.75,1)-(IF(AND($A74=DATE(2026,11,29),NOV29BF="Yes"),K74,0)+IF(OR($A74=DATE(2026,11,29),$A74=DATE(2026,11,30),$A74=DATE(2026,12,1),$A74=DATE(2026,12,2)),L74,0)+IF(OR($A74=DATE(2026,11,28),$A74=DATE(2026,12,1)),M74,0))))</f>
        <v>0</v>
      </c>
      <c r="O74" s="14" t="n">
        <f aca="false">IF(AND($A74&lt;&gt;"",$A74&lt;Parameters!$B$14),CityData!F4*(1+TAXRATE),0)</f>
        <v>0</v>
      </c>
      <c r="P74" s="14" t="n">
        <f aca="false">IF($A74="",0,IFERROR(VLOOKUP((YEAR($A74)+IF(MONTH($A74)&gt;=10,1,0))&amp;"|Chicago|"&amp;MONTH($A74),Rates!$A$2:$I$181,5,FALSE()),0))</f>
        <v>0</v>
      </c>
      <c r="Q74" s="14" t="n">
        <f aca="false">IF(OR($A74="",$A74&gt;=Parameters!$B$14),1,IF(AND(P74&gt;0,CityData!F4&lt;=P74),1,0))</f>
        <v>1</v>
      </c>
      <c r="R74" s="14" t="n">
        <f aca="false">IF($A74="",0,IFERROR(VLOOKUP((YEAR($A74)+IF(MONTH($A74)&gt;=10,1,0))&amp;"|Denver|"&amp;MONTH($A74),Rates!$A$2:$I$181,6,FALSE()),0))</f>
        <v>0</v>
      </c>
      <c r="S74" s="14" t="n">
        <f aca="false">IF(R74=0,0,VLOOKUP(R74,MIE_Components!$A$2:$F$6,2,FALSE()))</f>
        <v>0</v>
      </c>
      <c r="T74" s="14" t="n">
        <f aca="false">IF(R74=0,0,VLOOKUP(R74,MIE_Components!$A$2:$F$6,3,FALSE()))</f>
        <v>0</v>
      </c>
      <c r="U74" s="14" t="n">
        <f aca="false">IF(R74=0,0,VLOOKUP(R74,MIE_Components!$A$2:$F$6,4,FALSE()))</f>
        <v>0</v>
      </c>
      <c r="V74" s="14" t="n">
        <f aca="false">IF(OR($A74="",R74=0),0,MAX(5,R74*IF(OR($A74=Parameters!$B$13,$A74=Parameters!$B$14),0.75,1)-(IF(AND($A74=DATE(2026,11,29),NOV29BF="Yes"),S74,0)+IF(OR($A74=DATE(2026,11,29),$A74=DATE(2026,11,30),$A74=DATE(2026,12,1),$A74=DATE(2026,12,2)),T74,0)+IF(OR($A74=DATE(2026,11,28),$A74=DATE(2026,12,1)),U74,0))))</f>
        <v>0</v>
      </c>
      <c r="W74" s="14" t="n">
        <f aca="false">IF(AND($A74&lt;&gt;"",$A74&lt;Parameters!$B$14),CityData!F5*(1+TAXRATE),0)</f>
        <v>0</v>
      </c>
      <c r="X74" s="14" t="n">
        <f aca="false">IF($A74="",0,IFERROR(VLOOKUP((YEAR($A74)+IF(MONTH($A74)&gt;=10,1,0))&amp;"|Denver|"&amp;MONTH($A74),Rates!$A$2:$I$181,5,FALSE()),0))</f>
        <v>0</v>
      </c>
      <c r="Y74" s="14" t="n">
        <f aca="false">IF(OR($A74="",$A74&gt;=Parameters!$B$14),1,IF(AND(X74&gt;0,CityData!F5&lt;=X74),1,0))</f>
        <v>1</v>
      </c>
      <c r="Z74" s="14" t="n">
        <f aca="false">IF($A74="",0,IFERROR(VLOOKUP((YEAR($A74)+IF(MONTH($A74)&gt;=10,1,0))&amp;"|Phoenix|"&amp;MONTH($A74),Rates!$A$2:$I$181,6,FALSE()),0))</f>
        <v>0</v>
      </c>
      <c r="AA74" s="14" t="n">
        <f aca="false">IF(Z74=0,0,VLOOKUP(Z74,MIE_Components!$A$2:$F$6,2,FALSE()))</f>
        <v>0</v>
      </c>
      <c r="AB74" s="14" t="n">
        <f aca="false">IF(Z74=0,0,VLOOKUP(Z74,MIE_Components!$A$2:$F$6,3,FALSE()))</f>
        <v>0</v>
      </c>
      <c r="AC74" s="14" t="n">
        <f aca="false">IF(Z74=0,0,VLOOKUP(Z74,MIE_Components!$A$2:$F$6,4,FALSE()))</f>
        <v>0</v>
      </c>
      <c r="AD74" s="14" t="n">
        <f aca="false">IF(OR($A74="",Z74=0),0,MAX(5,Z74*IF(OR($A74=Parameters!$B$13,$A74=Parameters!$B$14),0.75,1)-(IF(AND($A74=DATE(2026,11,29),NOV29BF="Yes"),AA74,0)+IF(OR($A74=DATE(2026,11,29),$A74=DATE(2026,11,30),$A74=DATE(2026,12,1),$A74=DATE(2026,12,2)),AB74,0)+IF(OR($A74=DATE(2026,11,28),$A74=DATE(2026,12,1)),AC74,0))))</f>
        <v>0</v>
      </c>
      <c r="AE74" s="14" t="n">
        <f aca="false">IF(AND($A74&lt;&gt;"",$A74&lt;Parameters!$B$14),CityData!F6*(1+TAXRATE),0)</f>
        <v>0</v>
      </c>
      <c r="AF74" s="14" t="n">
        <f aca="false">IF($A74="",0,IFERROR(VLOOKUP((YEAR($A74)+IF(MONTH($A74)&gt;=10,1,0))&amp;"|Phoenix|"&amp;MONTH($A74),Rates!$A$2:$I$181,5,FALSE()),0))</f>
        <v>0</v>
      </c>
      <c r="AG74" s="14" t="n">
        <f aca="false">IF(OR($A74="",$A74&gt;=Parameters!$B$14),1,IF(AND(AF74&gt;0,CityData!F6&lt;=AF74),1,0))</f>
        <v>1</v>
      </c>
      <c r="AH74" s="14" t="n">
        <f aca="false">IF($A74="",0,IFERROR(VLOOKUP((YEAR($A74)+IF(MONTH($A74)&gt;=10,1,0))&amp;"|Seattle|"&amp;MONTH($A74),Rates!$A$2:$I$181,6,FALSE()),0))</f>
        <v>0</v>
      </c>
      <c r="AI74" s="14" t="n">
        <f aca="false">IF(AH74=0,0,VLOOKUP(AH74,MIE_Components!$A$2:$F$6,2,FALSE()))</f>
        <v>0</v>
      </c>
      <c r="AJ74" s="14" t="n">
        <f aca="false">IF(AH74=0,0,VLOOKUP(AH74,MIE_Components!$A$2:$F$6,3,FALSE()))</f>
        <v>0</v>
      </c>
      <c r="AK74" s="14" t="n">
        <f aca="false">IF(AH74=0,0,VLOOKUP(AH74,MIE_Components!$A$2:$F$6,4,FALSE()))</f>
        <v>0</v>
      </c>
      <c r="AL74" s="14" t="n">
        <f aca="false">IF(OR($A74="",AH74=0),0,MAX(5,AH74*IF(OR($A74=Parameters!$B$13,$A74=Parameters!$B$14),0.75,1)-(IF(AND($A74=DATE(2026,11,29),NOV29BF="Yes"),AI74,0)+IF(OR($A74=DATE(2026,11,29),$A74=DATE(2026,11,30),$A74=DATE(2026,12,1),$A74=DATE(2026,12,2)),AJ74,0)+IF(OR($A74=DATE(2026,11,28),$A74=DATE(2026,12,1)),AK74,0))))</f>
        <v>0</v>
      </c>
      <c r="AM74" s="14" t="n">
        <f aca="false">IF(AND($A74&lt;&gt;"",$A74&lt;Parameters!$B$14),CityData!F7*(1+TAXRATE),0)</f>
        <v>0</v>
      </c>
      <c r="AN74" s="14" t="n">
        <f aca="false">IF($A74="",0,IFERROR(VLOOKUP((YEAR($A74)+IF(MONTH($A74)&gt;=10,1,0))&amp;"|Seattle|"&amp;MONTH($A74),Rates!$A$2:$I$181,5,FALSE()),0))</f>
        <v>0</v>
      </c>
      <c r="AO74" s="14" t="n">
        <f aca="false">IF(OR($A74="",$A74&gt;=Parameters!$B$14),1,IF(AND(AN74&gt;0,CityData!F7&lt;=AN74),1,0))</f>
        <v>1</v>
      </c>
    </row>
    <row r="75" customFormat="false" ht="15" hidden="false" customHeight="true" outlineLevel="0" collapsed="false">
      <c r="A75" s="23" t="str">
        <f aca="false">IF(AND(Parameters!$B$14&gt;=Parameters!$B$13,ROW()-2&lt;=Parameters!$B$14-Parameters!$B$13),Parameters!$B$13+ROW()-2,"")</f>
        <v/>
      </c>
      <c r="B75" s="14" t="n">
        <f aca="false">IF($A75="",0,IFERROR(VLOOKUP((YEAR($A75)+IF(MONTH($A75)&gt;=10,1,0))&amp;"|Boston|"&amp;MONTH($A75),Rates!$A$2:$I$181,6,FALSE()),0))</f>
        <v>0</v>
      </c>
      <c r="C75" s="14" t="n">
        <f aca="false">IF(B75=0,0,VLOOKUP(B75,MIE_Components!$A$2:$F$6,2,FALSE()))</f>
        <v>0</v>
      </c>
      <c r="D75" s="14" t="n">
        <f aca="false">IF(B75=0,0,VLOOKUP(B75,MIE_Components!$A$2:$F$6,3,FALSE()))</f>
        <v>0</v>
      </c>
      <c r="E75" s="14" t="n">
        <f aca="false">IF(B75=0,0,VLOOKUP(B75,MIE_Components!$A$2:$F$6,4,FALSE()))</f>
        <v>0</v>
      </c>
      <c r="F75" s="14" t="n">
        <f aca="false">IF(OR($A75="",B75=0),0,MAX(5,B75*IF(OR($A75=Parameters!$B$13,$A75=Parameters!$B$14),0.75,1)-(IF(AND($A75=DATE(2026,11,29),NOV29BF="Yes"),C75,0)+IF(OR($A75=DATE(2026,11,29),$A75=DATE(2026,11,30),$A75=DATE(2026,12,1),$A75=DATE(2026,12,2)),D75,0)+IF(OR($A75=DATE(2026,11,28),$A75=DATE(2026,12,1)),E75,0))))</f>
        <v>0</v>
      </c>
      <c r="G75" s="14" t="n">
        <f aca="false">IF(AND($A75&lt;&gt;"",$A75&lt;Parameters!$B$14),CityData!F3*(1+TAXRATE),0)</f>
        <v>0</v>
      </c>
      <c r="H75" s="14" t="n">
        <f aca="false">IF($A75="",0,IFERROR(VLOOKUP((YEAR($A75)+IF(MONTH($A75)&gt;=10,1,0))&amp;"|Boston|"&amp;MONTH($A75),Rates!$A$2:$I$181,5,FALSE()),0))</f>
        <v>0</v>
      </c>
      <c r="I75" s="14" t="n">
        <f aca="false">IF(OR($A75="",$A75&gt;=Parameters!$B$14),1,IF(AND(H75&gt;0,CityData!F3&lt;=H75),1,0))</f>
        <v>1</v>
      </c>
      <c r="J75" s="14" t="n">
        <f aca="false">IF($A75="",0,IFERROR(VLOOKUP((YEAR($A75)+IF(MONTH($A75)&gt;=10,1,0))&amp;"|Chicago|"&amp;MONTH($A75),Rates!$A$2:$I$181,6,FALSE()),0))</f>
        <v>0</v>
      </c>
      <c r="K75" s="14" t="n">
        <f aca="false">IF(J75=0,0,VLOOKUP(J75,MIE_Components!$A$2:$F$6,2,FALSE()))</f>
        <v>0</v>
      </c>
      <c r="L75" s="14" t="n">
        <f aca="false">IF(J75=0,0,VLOOKUP(J75,MIE_Components!$A$2:$F$6,3,FALSE()))</f>
        <v>0</v>
      </c>
      <c r="M75" s="14" t="n">
        <f aca="false">IF(J75=0,0,VLOOKUP(J75,MIE_Components!$A$2:$F$6,4,FALSE()))</f>
        <v>0</v>
      </c>
      <c r="N75" s="14" t="n">
        <f aca="false">IF(OR($A75="",J75=0),0,MAX(5,J75*IF(OR($A75=Parameters!$B$13,$A75=Parameters!$B$14),0.75,1)-(IF(AND($A75=DATE(2026,11,29),NOV29BF="Yes"),K75,0)+IF(OR($A75=DATE(2026,11,29),$A75=DATE(2026,11,30),$A75=DATE(2026,12,1),$A75=DATE(2026,12,2)),L75,0)+IF(OR($A75=DATE(2026,11,28),$A75=DATE(2026,12,1)),M75,0))))</f>
        <v>0</v>
      </c>
      <c r="O75" s="14" t="n">
        <f aca="false">IF(AND($A75&lt;&gt;"",$A75&lt;Parameters!$B$14),CityData!F4*(1+TAXRATE),0)</f>
        <v>0</v>
      </c>
      <c r="P75" s="14" t="n">
        <f aca="false">IF($A75="",0,IFERROR(VLOOKUP((YEAR($A75)+IF(MONTH($A75)&gt;=10,1,0))&amp;"|Chicago|"&amp;MONTH($A75),Rates!$A$2:$I$181,5,FALSE()),0))</f>
        <v>0</v>
      </c>
      <c r="Q75" s="14" t="n">
        <f aca="false">IF(OR($A75="",$A75&gt;=Parameters!$B$14),1,IF(AND(P75&gt;0,CityData!F4&lt;=P75),1,0))</f>
        <v>1</v>
      </c>
      <c r="R75" s="14" t="n">
        <f aca="false">IF($A75="",0,IFERROR(VLOOKUP((YEAR($A75)+IF(MONTH($A75)&gt;=10,1,0))&amp;"|Denver|"&amp;MONTH($A75),Rates!$A$2:$I$181,6,FALSE()),0))</f>
        <v>0</v>
      </c>
      <c r="S75" s="14" t="n">
        <f aca="false">IF(R75=0,0,VLOOKUP(R75,MIE_Components!$A$2:$F$6,2,FALSE()))</f>
        <v>0</v>
      </c>
      <c r="T75" s="14" t="n">
        <f aca="false">IF(R75=0,0,VLOOKUP(R75,MIE_Components!$A$2:$F$6,3,FALSE()))</f>
        <v>0</v>
      </c>
      <c r="U75" s="14" t="n">
        <f aca="false">IF(R75=0,0,VLOOKUP(R75,MIE_Components!$A$2:$F$6,4,FALSE()))</f>
        <v>0</v>
      </c>
      <c r="V75" s="14" t="n">
        <f aca="false">IF(OR($A75="",R75=0),0,MAX(5,R75*IF(OR($A75=Parameters!$B$13,$A75=Parameters!$B$14),0.75,1)-(IF(AND($A75=DATE(2026,11,29),NOV29BF="Yes"),S75,0)+IF(OR($A75=DATE(2026,11,29),$A75=DATE(2026,11,30),$A75=DATE(2026,12,1),$A75=DATE(2026,12,2)),T75,0)+IF(OR($A75=DATE(2026,11,28),$A75=DATE(2026,12,1)),U75,0))))</f>
        <v>0</v>
      </c>
      <c r="W75" s="14" t="n">
        <f aca="false">IF(AND($A75&lt;&gt;"",$A75&lt;Parameters!$B$14),CityData!F5*(1+TAXRATE),0)</f>
        <v>0</v>
      </c>
      <c r="X75" s="14" t="n">
        <f aca="false">IF($A75="",0,IFERROR(VLOOKUP((YEAR($A75)+IF(MONTH($A75)&gt;=10,1,0))&amp;"|Denver|"&amp;MONTH($A75),Rates!$A$2:$I$181,5,FALSE()),0))</f>
        <v>0</v>
      </c>
      <c r="Y75" s="14" t="n">
        <f aca="false">IF(OR($A75="",$A75&gt;=Parameters!$B$14),1,IF(AND(X75&gt;0,CityData!F5&lt;=X75),1,0))</f>
        <v>1</v>
      </c>
      <c r="Z75" s="14" t="n">
        <f aca="false">IF($A75="",0,IFERROR(VLOOKUP((YEAR($A75)+IF(MONTH($A75)&gt;=10,1,0))&amp;"|Phoenix|"&amp;MONTH($A75),Rates!$A$2:$I$181,6,FALSE()),0))</f>
        <v>0</v>
      </c>
      <c r="AA75" s="14" t="n">
        <f aca="false">IF(Z75=0,0,VLOOKUP(Z75,MIE_Components!$A$2:$F$6,2,FALSE()))</f>
        <v>0</v>
      </c>
      <c r="AB75" s="14" t="n">
        <f aca="false">IF(Z75=0,0,VLOOKUP(Z75,MIE_Components!$A$2:$F$6,3,FALSE()))</f>
        <v>0</v>
      </c>
      <c r="AC75" s="14" t="n">
        <f aca="false">IF(Z75=0,0,VLOOKUP(Z75,MIE_Components!$A$2:$F$6,4,FALSE()))</f>
        <v>0</v>
      </c>
      <c r="AD75" s="14" t="n">
        <f aca="false">IF(OR($A75="",Z75=0),0,MAX(5,Z75*IF(OR($A75=Parameters!$B$13,$A75=Parameters!$B$14),0.75,1)-(IF(AND($A75=DATE(2026,11,29),NOV29BF="Yes"),AA75,0)+IF(OR($A75=DATE(2026,11,29),$A75=DATE(2026,11,30),$A75=DATE(2026,12,1),$A75=DATE(2026,12,2)),AB75,0)+IF(OR($A75=DATE(2026,11,28),$A75=DATE(2026,12,1)),AC75,0))))</f>
        <v>0</v>
      </c>
      <c r="AE75" s="14" t="n">
        <f aca="false">IF(AND($A75&lt;&gt;"",$A75&lt;Parameters!$B$14),CityData!F6*(1+TAXRATE),0)</f>
        <v>0</v>
      </c>
      <c r="AF75" s="14" t="n">
        <f aca="false">IF($A75="",0,IFERROR(VLOOKUP((YEAR($A75)+IF(MONTH($A75)&gt;=10,1,0))&amp;"|Phoenix|"&amp;MONTH($A75),Rates!$A$2:$I$181,5,FALSE()),0))</f>
        <v>0</v>
      </c>
      <c r="AG75" s="14" t="n">
        <f aca="false">IF(OR($A75="",$A75&gt;=Parameters!$B$14),1,IF(AND(AF75&gt;0,CityData!F6&lt;=AF75),1,0))</f>
        <v>1</v>
      </c>
      <c r="AH75" s="14" t="n">
        <f aca="false">IF($A75="",0,IFERROR(VLOOKUP((YEAR($A75)+IF(MONTH($A75)&gt;=10,1,0))&amp;"|Seattle|"&amp;MONTH($A75),Rates!$A$2:$I$181,6,FALSE()),0))</f>
        <v>0</v>
      </c>
      <c r="AI75" s="14" t="n">
        <f aca="false">IF(AH75=0,0,VLOOKUP(AH75,MIE_Components!$A$2:$F$6,2,FALSE()))</f>
        <v>0</v>
      </c>
      <c r="AJ75" s="14" t="n">
        <f aca="false">IF(AH75=0,0,VLOOKUP(AH75,MIE_Components!$A$2:$F$6,3,FALSE()))</f>
        <v>0</v>
      </c>
      <c r="AK75" s="14" t="n">
        <f aca="false">IF(AH75=0,0,VLOOKUP(AH75,MIE_Components!$A$2:$F$6,4,FALSE()))</f>
        <v>0</v>
      </c>
      <c r="AL75" s="14" t="n">
        <f aca="false">IF(OR($A75="",AH75=0),0,MAX(5,AH75*IF(OR($A75=Parameters!$B$13,$A75=Parameters!$B$14),0.75,1)-(IF(AND($A75=DATE(2026,11,29),NOV29BF="Yes"),AI75,0)+IF(OR($A75=DATE(2026,11,29),$A75=DATE(2026,11,30),$A75=DATE(2026,12,1),$A75=DATE(2026,12,2)),AJ75,0)+IF(OR($A75=DATE(2026,11,28),$A75=DATE(2026,12,1)),AK75,0))))</f>
        <v>0</v>
      </c>
      <c r="AM75" s="14" t="n">
        <f aca="false">IF(AND($A75&lt;&gt;"",$A75&lt;Parameters!$B$14),CityData!F7*(1+TAXRATE),0)</f>
        <v>0</v>
      </c>
      <c r="AN75" s="14" t="n">
        <f aca="false">IF($A75="",0,IFERROR(VLOOKUP((YEAR($A75)+IF(MONTH($A75)&gt;=10,1,0))&amp;"|Seattle|"&amp;MONTH($A75),Rates!$A$2:$I$181,5,FALSE()),0))</f>
        <v>0</v>
      </c>
      <c r="AO75" s="14" t="n">
        <f aca="false">IF(OR($A75="",$A75&gt;=Parameters!$B$14),1,IF(AND(AN75&gt;0,CityData!F7&lt;=AN75),1,0))</f>
        <v>1</v>
      </c>
    </row>
    <row r="76" customFormat="false" ht="15" hidden="false" customHeight="true" outlineLevel="0" collapsed="false">
      <c r="A76" s="23" t="str">
        <f aca="false">IF(AND(Parameters!$B$14&gt;=Parameters!$B$13,ROW()-2&lt;=Parameters!$B$14-Parameters!$B$13),Parameters!$B$13+ROW()-2,"")</f>
        <v/>
      </c>
      <c r="B76" s="14" t="n">
        <f aca="false">IF($A76="",0,IFERROR(VLOOKUP((YEAR($A76)+IF(MONTH($A76)&gt;=10,1,0))&amp;"|Boston|"&amp;MONTH($A76),Rates!$A$2:$I$181,6,FALSE()),0))</f>
        <v>0</v>
      </c>
      <c r="C76" s="14" t="n">
        <f aca="false">IF(B76=0,0,VLOOKUP(B76,MIE_Components!$A$2:$F$6,2,FALSE()))</f>
        <v>0</v>
      </c>
      <c r="D76" s="14" t="n">
        <f aca="false">IF(B76=0,0,VLOOKUP(B76,MIE_Components!$A$2:$F$6,3,FALSE()))</f>
        <v>0</v>
      </c>
      <c r="E76" s="14" t="n">
        <f aca="false">IF(B76=0,0,VLOOKUP(B76,MIE_Components!$A$2:$F$6,4,FALSE()))</f>
        <v>0</v>
      </c>
      <c r="F76" s="14" t="n">
        <f aca="false">IF(OR($A76="",B76=0),0,MAX(5,B76*IF(OR($A76=Parameters!$B$13,$A76=Parameters!$B$14),0.75,1)-(IF(AND($A76=DATE(2026,11,29),NOV29BF="Yes"),C76,0)+IF(OR($A76=DATE(2026,11,29),$A76=DATE(2026,11,30),$A76=DATE(2026,12,1),$A76=DATE(2026,12,2)),D76,0)+IF(OR($A76=DATE(2026,11,28),$A76=DATE(2026,12,1)),E76,0))))</f>
        <v>0</v>
      </c>
      <c r="G76" s="14" t="n">
        <f aca="false">IF(AND($A76&lt;&gt;"",$A76&lt;Parameters!$B$14),CityData!F3*(1+TAXRATE),0)</f>
        <v>0</v>
      </c>
      <c r="H76" s="14" t="n">
        <f aca="false">IF($A76="",0,IFERROR(VLOOKUP((YEAR($A76)+IF(MONTH($A76)&gt;=10,1,0))&amp;"|Boston|"&amp;MONTH($A76),Rates!$A$2:$I$181,5,FALSE()),0))</f>
        <v>0</v>
      </c>
      <c r="I76" s="14" t="n">
        <f aca="false">IF(OR($A76="",$A76&gt;=Parameters!$B$14),1,IF(AND(H76&gt;0,CityData!F3&lt;=H76),1,0))</f>
        <v>1</v>
      </c>
      <c r="J76" s="14" t="n">
        <f aca="false">IF($A76="",0,IFERROR(VLOOKUP((YEAR($A76)+IF(MONTH($A76)&gt;=10,1,0))&amp;"|Chicago|"&amp;MONTH($A76),Rates!$A$2:$I$181,6,FALSE()),0))</f>
        <v>0</v>
      </c>
      <c r="K76" s="14" t="n">
        <f aca="false">IF(J76=0,0,VLOOKUP(J76,MIE_Components!$A$2:$F$6,2,FALSE()))</f>
        <v>0</v>
      </c>
      <c r="L76" s="14" t="n">
        <f aca="false">IF(J76=0,0,VLOOKUP(J76,MIE_Components!$A$2:$F$6,3,FALSE()))</f>
        <v>0</v>
      </c>
      <c r="M76" s="14" t="n">
        <f aca="false">IF(J76=0,0,VLOOKUP(J76,MIE_Components!$A$2:$F$6,4,FALSE()))</f>
        <v>0</v>
      </c>
      <c r="N76" s="14" t="n">
        <f aca="false">IF(OR($A76="",J76=0),0,MAX(5,J76*IF(OR($A76=Parameters!$B$13,$A76=Parameters!$B$14),0.75,1)-(IF(AND($A76=DATE(2026,11,29),NOV29BF="Yes"),K76,0)+IF(OR($A76=DATE(2026,11,29),$A76=DATE(2026,11,30),$A76=DATE(2026,12,1),$A76=DATE(2026,12,2)),L76,0)+IF(OR($A76=DATE(2026,11,28),$A76=DATE(2026,12,1)),M76,0))))</f>
        <v>0</v>
      </c>
      <c r="O76" s="14" t="n">
        <f aca="false">IF(AND($A76&lt;&gt;"",$A76&lt;Parameters!$B$14),CityData!F4*(1+TAXRATE),0)</f>
        <v>0</v>
      </c>
      <c r="P76" s="14" t="n">
        <f aca="false">IF($A76="",0,IFERROR(VLOOKUP((YEAR($A76)+IF(MONTH($A76)&gt;=10,1,0))&amp;"|Chicago|"&amp;MONTH($A76),Rates!$A$2:$I$181,5,FALSE()),0))</f>
        <v>0</v>
      </c>
      <c r="Q76" s="14" t="n">
        <f aca="false">IF(OR($A76="",$A76&gt;=Parameters!$B$14),1,IF(AND(P76&gt;0,CityData!F4&lt;=P76),1,0))</f>
        <v>1</v>
      </c>
      <c r="R76" s="14" t="n">
        <f aca="false">IF($A76="",0,IFERROR(VLOOKUP((YEAR($A76)+IF(MONTH($A76)&gt;=10,1,0))&amp;"|Denver|"&amp;MONTH($A76),Rates!$A$2:$I$181,6,FALSE()),0))</f>
        <v>0</v>
      </c>
      <c r="S76" s="14" t="n">
        <f aca="false">IF(R76=0,0,VLOOKUP(R76,MIE_Components!$A$2:$F$6,2,FALSE()))</f>
        <v>0</v>
      </c>
      <c r="T76" s="14" t="n">
        <f aca="false">IF(R76=0,0,VLOOKUP(R76,MIE_Components!$A$2:$F$6,3,FALSE()))</f>
        <v>0</v>
      </c>
      <c r="U76" s="14" t="n">
        <f aca="false">IF(R76=0,0,VLOOKUP(R76,MIE_Components!$A$2:$F$6,4,FALSE()))</f>
        <v>0</v>
      </c>
      <c r="V76" s="14" t="n">
        <f aca="false">IF(OR($A76="",R76=0),0,MAX(5,R76*IF(OR($A76=Parameters!$B$13,$A76=Parameters!$B$14),0.75,1)-(IF(AND($A76=DATE(2026,11,29),NOV29BF="Yes"),S76,0)+IF(OR($A76=DATE(2026,11,29),$A76=DATE(2026,11,30),$A76=DATE(2026,12,1),$A76=DATE(2026,12,2)),T76,0)+IF(OR($A76=DATE(2026,11,28),$A76=DATE(2026,12,1)),U76,0))))</f>
        <v>0</v>
      </c>
      <c r="W76" s="14" t="n">
        <f aca="false">IF(AND($A76&lt;&gt;"",$A76&lt;Parameters!$B$14),CityData!F5*(1+TAXRATE),0)</f>
        <v>0</v>
      </c>
      <c r="X76" s="14" t="n">
        <f aca="false">IF($A76="",0,IFERROR(VLOOKUP((YEAR($A76)+IF(MONTH($A76)&gt;=10,1,0))&amp;"|Denver|"&amp;MONTH($A76),Rates!$A$2:$I$181,5,FALSE()),0))</f>
        <v>0</v>
      </c>
      <c r="Y76" s="14" t="n">
        <f aca="false">IF(OR($A76="",$A76&gt;=Parameters!$B$14),1,IF(AND(X76&gt;0,CityData!F5&lt;=X76),1,0))</f>
        <v>1</v>
      </c>
      <c r="Z76" s="14" t="n">
        <f aca="false">IF($A76="",0,IFERROR(VLOOKUP((YEAR($A76)+IF(MONTH($A76)&gt;=10,1,0))&amp;"|Phoenix|"&amp;MONTH($A76),Rates!$A$2:$I$181,6,FALSE()),0))</f>
        <v>0</v>
      </c>
      <c r="AA76" s="14" t="n">
        <f aca="false">IF(Z76=0,0,VLOOKUP(Z76,MIE_Components!$A$2:$F$6,2,FALSE()))</f>
        <v>0</v>
      </c>
      <c r="AB76" s="14" t="n">
        <f aca="false">IF(Z76=0,0,VLOOKUP(Z76,MIE_Components!$A$2:$F$6,3,FALSE()))</f>
        <v>0</v>
      </c>
      <c r="AC76" s="14" t="n">
        <f aca="false">IF(Z76=0,0,VLOOKUP(Z76,MIE_Components!$A$2:$F$6,4,FALSE()))</f>
        <v>0</v>
      </c>
      <c r="AD76" s="14" t="n">
        <f aca="false">IF(OR($A76="",Z76=0),0,MAX(5,Z76*IF(OR($A76=Parameters!$B$13,$A76=Parameters!$B$14),0.75,1)-(IF(AND($A76=DATE(2026,11,29),NOV29BF="Yes"),AA76,0)+IF(OR($A76=DATE(2026,11,29),$A76=DATE(2026,11,30),$A76=DATE(2026,12,1),$A76=DATE(2026,12,2)),AB76,0)+IF(OR($A76=DATE(2026,11,28),$A76=DATE(2026,12,1)),AC76,0))))</f>
        <v>0</v>
      </c>
      <c r="AE76" s="14" t="n">
        <f aca="false">IF(AND($A76&lt;&gt;"",$A76&lt;Parameters!$B$14),CityData!F6*(1+TAXRATE),0)</f>
        <v>0</v>
      </c>
      <c r="AF76" s="14" t="n">
        <f aca="false">IF($A76="",0,IFERROR(VLOOKUP((YEAR($A76)+IF(MONTH($A76)&gt;=10,1,0))&amp;"|Phoenix|"&amp;MONTH($A76),Rates!$A$2:$I$181,5,FALSE()),0))</f>
        <v>0</v>
      </c>
      <c r="AG76" s="14" t="n">
        <f aca="false">IF(OR($A76="",$A76&gt;=Parameters!$B$14),1,IF(AND(AF76&gt;0,CityData!F6&lt;=AF76),1,0))</f>
        <v>1</v>
      </c>
      <c r="AH76" s="14" t="n">
        <f aca="false">IF($A76="",0,IFERROR(VLOOKUP((YEAR($A76)+IF(MONTH($A76)&gt;=10,1,0))&amp;"|Seattle|"&amp;MONTH($A76),Rates!$A$2:$I$181,6,FALSE()),0))</f>
        <v>0</v>
      </c>
      <c r="AI76" s="14" t="n">
        <f aca="false">IF(AH76=0,0,VLOOKUP(AH76,MIE_Components!$A$2:$F$6,2,FALSE()))</f>
        <v>0</v>
      </c>
      <c r="AJ76" s="14" t="n">
        <f aca="false">IF(AH76=0,0,VLOOKUP(AH76,MIE_Components!$A$2:$F$6,3,FALSE()))</f>
        <v>0</v>
      </c>
      <c r="AK76" s="14" t="n">
        <f aca="false">IF(AH76=0,0,VLOOKUP(AH76,MIE_Components!$A$2:$F$6,4,FALSE()))</f>
        <v>0</v>
      </c>
      <c r="AL76" s="14" t="n">
        <f aca="false">IF(OR($A76="",AH76=0),0,MAX(5,AH76*IF(OR($A76=Parameters!$B$13,$A76=Parameters!$B$14),0.75,1)-(IF(AND($A76=DATE(2026,11,29),NOV29BF="Yes"),AI76,0)+IF(OR($A76=DATE(2026,11,29),$A76=DATE(2026,11,30),$A76=DATE(2026,12,1),$A76=DATE(2026,12,2)),AJ76,0)+IF(OR($A76=DATE(2026,11,28),$A76=DATE(2026,12,1)),AK76,0))))</f>
        <v>0</v>
      </c>
      <c r="AM76" s="14" t="n">
        <f aca="false">IF(AND($A76&lt;&gt;"",$A76&lt;Parameters!$B$14),CityData!F7*(1+TAXRATE),0)</f>
        <v>0</v>
      </c>
      <c r="AN76" s="14" t="n">
        <f aca="false">IF($A76="",0,IFERROR(VLOOKUP((YEAR($A76)+IF(MONTH($A76)&gt;=10,1,0))&amp;"|Seattle|"&amp;MONTH($A76),Rates!$A$2:$I$181,5,FALSE()),0))</f>
        <v>0</v>
      </c>
      <c r="AO76" s="14" t="n">
        <f aca="false">IF(OR($A76="",$A76&gt;=Parameters!$B$14),1,IF(AND(AN76&gt;0,CityData!F7&lt;=AN76),1,0))</f>
        <v>1</v>
      </c>
    </row>
    <row r="77" customFormat="false" ht="15" hidden="false" customHeight="true" outlineLevel="0" collapsed="false">
      <c r="A77" s="23" t="str">
        <f aca="false">IF(AND(Parameters!$B$14&gt;=Parameters!$B$13,ROW()-2&lt;=Parameters!$B$14-Parameters!$B$13),Parameters!$B$13+ROW()-2,"")</f>
        <v/>
      </c>
      <c r="B77" s="14" t="n">
        <f aca="false">IF($A77="",0,IFERROR(VLOOKUP((YEAR($A77)+IF(MONTH($A77)&gt;=10,1,0))&amp;"|Boston|"&amp;MONTH($A77),Rates!$A$2:$I$181,6,FALSE()),0))</f>
        <v>0</v>
      </c>
      <c r="C77" s="14" t="n">
        <f aca="false">IF(B77=0,0,VLOOKUP(B77,MIE_Components!$A$2:$F$6,2,FALSE()))</f>
        <v>0</v>
      </c>
      <c r="D77" s="14" t="n">
        <f aca="false">IF(B77=0,0,VLOOKUP(B77,MIE_Components!$A$2:$F$6,3,FALSE()))</f>
        <v>0</v>
      </c>
      <c r="E77" s="14" t="n">
        <f aca="false">IF(B77=0,0,VLOOKUP(B77,MIE_Components!$A$2:$F$6,4,FALSE()))</f>
        <v>0</v>
      </c>
      <c r="F77" s="14" t="n">
        <f aca="false">IF(OR($A77="",B77=0),0,MAX(5,B77*IF(OR($A77=Parameters!$B$13,$A77=Parameters!$B$14),0.75,1)-(IF(AND($A77=DATE(2026,11,29),NOV29BF="Yes"),C77,0)+IF(OR($A77=DATE(2026,11,29),$A77=DATE(2026,11,30),$A77=DATE(2026,12,1),$A77=DATE(2026,12,2)),D77,0)+IF(OR($A77=DATE(2026,11,28),$A77=DATE(2026,12,1)),E77,0))))</f>
        <v>0</v>
      </c>
      <c r="G77" s="14" t="n">
        <f aca="false">IF(AND($A77&lt;&gt;"",$A77&lt;Parameters!$B$14),CityData!F3*(1+TAXRATE),0)</f>
        <v>0</v>
      </c>
      <c r="H77" s="14" t="n">
        <f aca="false">IF($A77="",0,IFERROR(VLOOKUP((YEAR($A77)+IF(MONTH($A77)&gt;=10,1,0))&amp;"|Boston|"&amp;MONTH($A77),Rates!$A$2:$I$181,5,FALSE()),0))</f>
        <v>0</v>
      </c>
      <c r="I77" s="14" t="n">
        <f aca="false">IF(OR($A77="",$A77&gt;=Parameters!$B$14),1,IF(AND(H77&gt;0,CityData!F3&lt;=H77),1,0))</f>
        <v>1</v>
      </c>
      <c r="J77" s="14" t="n">
        <f aca="false">IF($A77="",0,IFERROR(VLOOKUP((YEAR($A77)+IF(MONTH($A77)&gt;=10,1,0))&amp;"|Chicago|"&amp;MONTH($A77),Rates!$A$2:$I$181,6,FALSE()),0))</f>
        <v>0</v>
      </c>
      <c r="K77" s="14" t="n">
        <f aca="false">IF(J77=0,0,VLOOKUP(J77,MIE_Components!$A$2:$F$6,2,FALSE()))</f>
        <v>0</v>
      </c>
      <c r="L77" s="14" t="n">
        <f aca="false">IF(J77=0,0,VLOOKUP(J77,MIE_Components!$A$2:$F$6,3,FALSE()))</f>
        <v>0</v>
      </c>
      <c r="M77" s="14" t="n">
        <f aca="false">IF(J77=0,0,VLOOKUP(J77,MIE_Components!$A$2:$F$6,4,FALSE()))</f>
        <v>0</v>
      </c>
      <c r="N77" s="14" t="n">
        <f aca="false">IF(OR($A77="",J77=0),0,MAX(5,J77*IF(OR($A77=Parameters!$B$13,$A77=Parameters!$B$14),0.75,1)-(IF(AND($A77=DATE(2026,11,29),NOV29BF="Yes"),K77,0)+IF(OR($A77=DATE(2026,11,29),$A77=DATE(2026,11,30),$A77=DATE(2026,12,1),$A77=DATE(2026,12,2)),L77,0)+IF(OR($A77=DATE(2026,11,28),$A77=DATE(2026,12,1)),M77,0))))</f>
        <v>0</v>
      </c>
      <c r="O77" s="14" t="n">
        <f aca="false">IF(AND($A77&lt;&gt;"",$A77&lt;Parameters!$B$14),CityData!F4*(1+TAXRATE),0)</f>
        <v>0</v>
      </c>
      <c r="P77" s="14" t="n">
        <f aca="false">IF($A77="",0,IFERROR(VLOOKUP((YEAR($A77)+IF(MONTH($A77)&gt;=10,1,0))&amp;"|Chicago|"&amp;MONTH($A77),Rates!$A$2:$I$181,5,FALSE()),0))</f>
        <v>0</v>
      </c>
      <c r="Q77" s="14" t="n">
        <f aca="false">IF(OR($A77="",$A77&gt;=Parameters!$B$14),1,IF(AND(P77&gt;0,CityData!F4&lt;=P77),1,0))</f>
        <v>1</v>
      </c>
      <c r="R77" s="14" t="n">
        <f aca="false">IF($A77="",0,IFERROR(VLOOKUP((YEAR($A77)+IF(MONTH($A77)&gt;=10,1,0))&amp;"|Denver|"&amp;MONTH($A77),Rates!$A$2:$I$181,6,FALSE()),0))</f>
        <v>0</v>
      </c>
      <c r="S77" s="14" t="n">
        <f aca="false">IF(R77=0,0,VLOOKUP(R77,MIE_Components!$A$2:$F$6,2,FALSE()))</f>
        <v>0</v>
      </c>
      <c r="T77" s="14" t="n">
        <f aca="false">IF(R77=0,0,VLOOKUP(R77,MIE_Components!$A$2:$F$6,3,FALSE()))</f>
        <v>0</v>
      </c>
      <c r="U77" s="14" t="n">
        <f aca="false">IF(R77=0,0,VLOOKUP(R77,MIE_Components!$A$2:$F$6,4,FALSE()))</f>
        <v>0</v>
      </c>
      <c r="V77" s="14" t="n">
        <f aca="false">IF(OR($A77="",R77=0),0,MAX(5,R77*IF(OR($A77=Parameters!$B$13,$A77=Parameters!$B$14),0.75,1)-(IF(AND($A77=DATE(2026,11,29),NOV29BF="Yes"),S77,0)+IF(OR($A77=DATE(2026,11,29),$A77=DATE(2026,11,30),$A77=DATE(2026,12,1),$A77=DATE(2026,12,2)),T77,0)+IF(OR($A77=DATE(2026,11,28),$A77=DATE(2026,12,1)),U77,0))))</f>
        <v>0</v>
      </c>
      <c r="W77" s="14" t="n">
        <f aca="false">IF(AND($A77&lt;&gt;"",$A77&lt;Parameters!$B$14),CityData!F5*(1+TAXRATE),0)</f>
        <v>0</v>
      </c>
      <c r="X77" s="14" t="n">
        <f aca="false">IF($A77="",0,IFERROR(VLOOKUP((YEAR($A77)+IF(MONTH($A77)&gt;=10,1,0))&amp;"|Denver|"&amp;MONTH($A77),Rates!$A$2:$I$181,5,FALSE()),0))</f>
        <v>0</v>
      </c>
      <c r="Y77" s="14" t="n">
        <f aca="false">IF(OR($A77="",$A77&gt;=Parameters!$B$14),1,IF(AND(X77&gt;0,CityData!F5&lt;=X77),1,0))</f>
        <v>1</v>
      </c>
      <c r="Z77" s="14" t="n">
        <f aca="false">IF($A77="",0,IFERROR(VLOOKUP((YEAR($A77)+IF(MONTH($A77)&gt;=10,1,0))&amp;"|Phoenix|"&amp;MONTH($A77),Rates!$A$2:$I$181,6,FALSE()),0))</f>
        <v>0</v>
      </c>
      <c r="AA77" s="14" t="n">
        <f aca="false">IF(Z77=0,0,VLOOKUP(Z77,MIE_Components!$A$2:$F$6,2,FALSE()))</f>
        <v>0</v>
      </c>
      <c r="AB77" s="14" t="n">
        <f aca="false">IF(Z77=0,0,VLOOKUP(Z77,MIE_Components!$A$2:$F$6,3,FALSE()))</f>
        <v>0</v>
      </c>
      <c r="AC77" s="14" t="n">
        <f aca="false">IF(Z77=0,0,VLOOKUP(Z77,MIE_Components!$A$2:$F$6,4,FALSE()))</f>
        <v>0</v>
      </c>
      <c r="AD77" s="14" t="n">
        <f aca="false">IF(OR($A77="",Z77=0),0,MAX(5,Z77*IF(OR($A77=Parameters!$B$13,$A77=Parameters!$B$14),0.75,1)-(IF(AND($A77=DATE(2026,11,29),NOV29BF="Yes"),AA77,0)+IF(OR($A77=DATE(2026,11,29),$A77=DATE(2026,11,30),$A77=DATE(2026,12,1),$A77=DATE(2026,12,2)),AB77,0)+IF(OR($A77=DATE(2026,11,28),$A77=DATE(2026,12,1)),AC77,0))))</f>
        <v>0</v>
      </c>
      <c r="AE77" s="14" t="n">
        <f aca="false">IF(AND($A77&lt;&gt;"",$A77&lt;Parameters!$B$14),CityData!F6*(1+TAXRATE),0)</f>
        <v>0</v>
      </c>
      <c r="AF77" s="14" t="n">
        <f aca="false">IF($A77="",0,IFERROR(VLOOKUP((YEAR($A77)+IF(MONTH($A77)&gt;=10,1,0))&amp;"|Phoenix|"&amp;MONTH($A77),Rates!$A$2:$I$181,5,FALSE()),0))</f>
        <v>0</v>
      </c>
      <c r="AG77" s="14" t="n">
        <f aca="false">IF(OR($A77="",$A77&gt;=Parameters!$B$14),1,IF(AND(AF77&gt;0,CityData!F6&lt;=AF77),1,0))</f>
        <v>1</v>
      </c>
      <c r="AH77" s="14" t="n">
        <f aca="false">IF($A77="",0,IFERROR(VLOOKUP((YEAR($A77)+IF(MONTH($A77)&gt;=10,1,0))&amp;"|Seattle|"&amp;MONTH($A77),Rates!$A$2:$I$181,6,FALSE()),0))</f>
        <v>0</v>
      </c>
      <c r="AI77" s="14" t="n">
        <f aca="false">IF(AH77=0,0,VLOOKUP(AH77,MIE_Components!$A$2:$F$6,2,FALSE()))</f>
        <v>0</v>
      </c>
      <c r="AJ77" s="14" t="n">
        <f aca="false">IF(AH77=0,0,VLOOKUP(AH77,MIE_Components!$A$2:$F$6,3,FALSE()))</f>
        <v>0</v>
      </c>
      <c r="AK77" s="14" t="n">
        <f aca="false">IF(AH77=0,0,VLOOKUP(AH77,MIE_Components!$A$2:$F$6,4,FALSE()))</f>
        <v>0</v>
      </c>
      <c r="AL77" s="14" t="n">
        <f aca="false">IF(OR($A77="",AH77=0),0,MAX(5,AH77*IF(OR($A77=Parameters!$B$13,$A77=Parameters!$B$14),0.75,1)-(IF(AND($A77=DATE(2026,11,29),NOV29BF="Yes"),AI77,0)+IF(OR($A77=DATE(2026,11,29),$A77=DATE(2026,11,30),$A77=DATE(2026,12,1),$A77=DATE(2026,12,2)),AJ77,0)+IF(OR($A77=DATE(2026,11,28),$A77=DATE(2026,12,1)),AK77,0))))</f>
        <v>0</v>
      </c>
      <c r="AM77" s="14" t="n">
        <f aca="false">IF(AND($A77&lt;&gt;"",$A77&lt;Parameters!$B$14),CityData!F7*(1+TAXRATE),0)</f>
        <v>0</v>
      </c>
      <c r="AN77" s="14" t="n">
        <f aca="false">IF($A77="",0,IFERROR(VLOOKUP((YEAR($A77)+IF(MONTH($A77)&gt;=10,1,0))&amp;"|Seattle|"&amp;MONTH($A77),Rates!$A$2:$I$181,5,FALSE()),0))</f>
        <v>0</v>
      </c>
      <c r="AO77" s="14" t="n">
        <f aca="false">IF(OR($A77="",$A77&gt;=Parameters!$B$14),1,IF(AND(AN77&gt;0,CityData!F7&lt;=AN77),1,0))</f>
        <v>1</v>
      </c>
    </row>
    <row r="78" customFormat="false" ht="15" hidden="false" customHeight="true" outlineLevel="0" collapsed="false">
      <c r="A78" s="23" t="str">
        <f aca="false">IF(AND(Parameters!$B$14&gt;=Parameters!$B$13,ROW()-2&lt;=Parameters!$B$14-Parameters!$B$13),Parameters!$B$13+ROW()-2,"")</f>
        <v/>
      </c>
      <c r="B78" s="14" t="n">
        <f aca="false">IF($A78="",0,IFERROR(VLOOKUP((YEAR($A78)+IF(MONTH($A78)&gt;=10,1,0))&amp;"|Boston|"&amp;MONTH($A78),Rates!$A$2:$I$181,6,FALSE()),0))</f>
        <v>0</v>
      </c>
      <c r="C78" s="14" t="n">
        <f aca="false">IF(B78=0,0,VLOOKUP(B78,MIE_Components!$A$2:$F$6,2,FALSE()))</f>
        <v>0</v>
      </c>
      <c r="D78" s="14" t="n">
        <f aca="false">IF(B78=0,0,VLOOKUP(B78,MIE_Components!$A$2:$F$6,3,FALSE()))</f>
        <v>0</v>
      </c>
      <c r="E78" s="14" t="n">
        <f aca="false">IF(B78=0,0,VLOOKUP(B78,MIE_Components!$A$2:$F$6,4,FALSE()))</f>
        <v>0</v>
      </c>
      <c r="F78" s="14" t="n">
        <f aca="false">IF(OR($A78="",B78=0),0,MAX(5,B78*IF(OR($A78=Parameters!$B$13,$A78=Parameters!$B$14),0.75,1)-(IF(AND($A78=DATE(2026,11,29),NOV29BF="Yes"),C78,0)+IF(OR($A78=DATE(2026,11,29),$A78=DATE(2026,11,30),$A78=DATE(2026,12,1),$A78=DATE(2026,12,2)),D78,0)+IF(OR($A78=DATE(2026,11,28),$A78=DATE(2026,12,1)),E78,0))))</f>
        <v>0</v>
      </c>
      <c r="G78" s="14" t="n">
        <f aca="false">IF(AND($A78&lt;&gt;"",$A78&lt;Parameters!$B$14),CityData!F3*(1+TAXRATE),0)</f>
        <v>0</v>
      </c>
      <c r="H78" s="14" t="n">
        <f aca="false">IF($A78="",0,IFERROR(VLOOKUP((YEAR($A78)+IF(MONTH($A78)&gt;=10,1,0))&amp;"|Boston|"&amp;MONTH($A78),Rates!$A$2:$I$181,5,FALSE()),0))</f>
        <v>0</v>
      </c>
      <c r="I78" s="14" t="n">
        <f aca="false">IF(OR($A78="",$A78&gt;=Parameters!$B$14),1,IF(AND(H78&gt;0,CityData!F3&lt;=H78),1,0))</f>
        <v>1</v>
      </c>
      <c r="J78" s="14" t="n">
        <f aca="false">IF($A78="",0,IFERROR(VLOOKUP((YEAR($A78)+IF(MONTH($A78)&gt;=10,1,0))&amp;"|Chicago|"&amp;MONTH($A78),Rates!$A$2:$I$181,6,FALSE()),0))</f>
        <v>0</v>
      </c>
      <c r="K78" s="14" t="n">
        <f aca="false">IF(J78=0,0,VLOOKUP(J78,MIE_Components!$A$2:$F$6,2,FALSE()))</f>
        <v>0</v>
      </c>
      <c r="L78" s="14" t="n">
        <f aca="false">IF(J78=0,0,VLOOKUP(J78,MIE_Components!$A$2:$F$6,3,FALSE()))</f>
        <v>0</v>
      </c>
      <c r="M78" s="14" t="n">
        <f aca="false">IF(J78=0,0,VLOOKUP(J78,MIE_Components!$A$2:$F$6,4,FALSE()))</f>
        <v>0</v>
      </c>
      <c r="N78" s="14" t="n">
        <f aca="false">IF(OR($A78="",J78=0),0,MAX(5,J78*IF(OR($A78=Parameters!$B$13,$A78=Parameters!$B$14),0.75,1)-(IF(AND($A78=DATE(2026,11,29),NOV29BF="Yes"),K78,0)+IF(OR($A78=DATE(2026,11,29),$A78=DATE(2026,11,30),$A78=DATE(2026,12,1),$A78=DATE(2026,12,2)),L78,0)+IF(OR($A78=DATE(2026,11,28),$A78=DATE(2026,12,1)),M78,0))))</f>
        <v>0</v>
      </c>
      <c r="O78" s="14" t="n">
        <f aca="false">IF(AND($A78&lt;&gt;"",$A78&lt;Parameters!$B$14),CityData!F4*(1+TAXRATE),0)</f>
        <v>0</v>
      </c>
      <c r="P78" s="14" t="n">
        <f aca="false">IF($A78="",0,IFERROR(VLOOKUP((YEAR($A78)+IF(MONTH($A78)&gt;=10,1,0))&amp;"|Chicago|"&amp;MONTH($A78),Rates!$A$2:$I$181,5,FALSE()),0))</f>
        <v>0</v>
      </c>
      <c r="Q78" s="14" t="n">
        <f aca="false">IF(OR($A78="",$A78&gt;=Parameters!$B$14),1,IF(AND(P78&gt;0,CityData!F4&lt;=P78),1,0))</f>
        <v>1</v>
      </c>
      <c r="R78" s="14" t="n">
        <f aca="false">IF($A78="",0,IFERROR(VLOOKUP((YEAR($A78)+IF(MONTH($A78)&gt;=10,1,0))&amp;"|Denver|"&amp;MONTH($A78),Rates!$A$2:$I$181,6,FALSE()),0))</f>
        <v>0</v>
      </c>
      <c r="S78" s="14" t="n">
        <f aca="false">IF(R78=0,0,VLOOKUP(R78,MIE_Components!$A$2:$F$6,2,FALSE()))</f>
        <v>0</v>
      </c>
      <c r="T78" s="14" t="n">
        <f aca="false">IF(R78=0,0,VLOOKUP(R78,MIE_Components!$A$2:$F$6,3,FALSE()))</f>
        <v>0</v>
      </c>
      <c r="U78" s="14" t="n">
        <f aca="false">IF(R78=0,0,VLOOKUP(R78,MIE_Components!$A$2:$F$6,4,FALSE()))</f>
        <v>0</v>
      </c>
      <c r="V78" s="14" t="n">
        <f aca="false">IF(OR($A78="",R78=0),0,MAX(5,R78*IF(OR($A78=Parameters!$B$13,$A78=Parameters!$B$14),0.75,1)-(IF(AND($A78=DATE(2026,11,29),NOV29BF="Yes"),S78,0)+IF(OR($A78=DATE(2026,11,29),$A78=DATE(2026,11,30),$A78=DATE(2026,12,1),$A78=DATE(2026,12,2)),T78,0)+IF(OR($A78=DATE(2026,11,28),$A78=DATE(2026,12,1)),U78,0))))</f>
        <v>0</v>
      </c>
      <c r="W78" s="14" t="n">
        <f aca="false">IF(AND($A78&lt;&gt;"",$A78&lt;Parameters!$B$14),CityData!F5*(1+TAXRATE),0)</f>
        <v>0</v>
      </c>
      <c r="X78" s="14" t="n">
        <f aca="false">IF($A78="",0,IFERROR(VLOOKUP((YEAR($A78)+IF(MONTH($A78)&gt;=10,1,0))&amp;"|Denver|"&amp;MONTH($A78),Rates!$A$2:$I$181,5,FALSE()),0))</f>
        <v>0</v>
      </c>
      <c r="Y78" s="14" t="n">
        <f aca="false">IF(OR($A78="",$A78&gt;=Parameters!$B$14),1,IF(AND(X78&gt;0,CityData!F5&lt;=X78),1,0))</f>
        <v>1</v>
      </c>
      <c r="Z78" s="14" t="n">
        <f aca="false">IF($A78="",0,IFERROR(VLOOKUP((YEAR($A78)+IF(MONTH($A78)&gt;=10,1,0))&amp;"|Phoenix|"&amp;MONTH($A78),Rates!$A$2:$I$181,6,FALSE()),0))</f>
        <v>0</v>
      </c>
      <c r="AA78" s="14" t="n">
        <f aca="false">IF(Z78=0,0,VLOOKUP(Z78,MIE_Components!$A$2:$F$6,2,FALSE()))</f>
        <v>0</v>
      </c>
      <c r="AB78" s="14" t="n">
        <f aca="false">IF(Z78=0,0,VLOOKUP(Z78,MIE_Components!$A$2:$F$6,3,FALSE()))</f>
        <v>0</v>
      </c>
      <c r="AC78" s="14" t="n">
        <f aca="false">IF(Z78=0,0,VLOOKUP(Z78,MIE_Components!$A$2:$F$6,4,FALSE()))</f>
        <v>0</v>
      </c>
      <c r="AD78" s="14" t="n">
        <f aca="false">IF(OR($A78="",Z78=0),0,MAX(5,Z78*IF(OR($A78=Parameters!$B$13,$A78=Parameters!$B$14),0.75,1)-(IF(AND($A78=DATE(2026,11,29),NOV29BF="Yes"),AA78,0)+IF(OR($A78=DATE(2026,11,29),$A78=DATE(2026,11,30),$A78=DATE(2026,12,1),$A78=DATE(2026,12,2)),AB78,0)+IF(OR($A78=DATE(2026,11,28),$A78=DATE(2026,12,1)),AC78,0))))</f>
        <v>0</v>
      </c>
      <c r="AE78" s="14" t="n">
        <f aca="false">IF(AND($A78&lt;&gt;"",$A78&lt;Parameters!$B$14),CityData!F6*(1+TAXRATE),0)</f>
        <v>0</v>
      </c>
      <c r="AF78" s="14" t="n">
        <f aca="false">IF($A78="",0,IFERROR(VLOOKUP((YEAR($A78)+IF(MONTH($A78)&gt;=10,1,0))&amp;"|Phoenix|"&amp;MONTH($A78),Rates!$A$2:$I$181,5,FALSE()),0))</f>
        <v>0</v>
      </c>
      <c r="AG78" s="14" t="n">
        <f aca="false">IF(OR($A78="",$A78&gt;=Parameters!$B$14),1,IF(AND(AF78&gt;0,CityData!F6&lt;=AF78),1,0))</f>
        <v>1</v>
      </c>
      <c r="AH78" s="14" t="n">
        <f aca="false">IF($A78="",0,IFERROR(VLOOKUP((YEAR($A78)+IF(MONTH($A78)&gt;=10,1,0))&amp;"|Seattle|"&amp;MONTH($A78),Rates!$A$2:$I$181,6,FALSE()),0))</f>
        <v>0</v>
      </c>
      <c r="AI78" s="14" t="n">
        <f aca="false">IF(AH78=0,0,VLOOKUP(AH78,MIE_Components!$A$2:$F$6,2,FALSE()))</f>
        <v>0</v>
      </c>
      <c r="AJ78" s="14" t="n">
        <f aca="false">IF(AH78=0,0,VLOOKUP(AH78,MIE_Components!$A$2:$F$6,3,FALSE()))</f>
        <v>0</v>
      </c>
      <c r="AK78" s="14" t="n">
        <f aca="false">IF(AH78=0,0,VLOOKUP(AH78,MIE_Components!$A$2:$F$6,4,FALSE()))</f>
        <v>0</v>
      </c>
      <c r="AL78" s="14" t="n">
        <f aca="false">IF(OR($A78="",AH78=0),0,MAX(5,AH78*IF(OR($A78=Parameters!$B$13,$A78=Parameters!$B$14),0.75,1)-(IF(AND($A78=DATE(2026,11,29),NOV29BF="Yes"),AI78,0)+IF(OR($A78=DATE(2026,11,29),$A78=DATE(2026,11,30),$A78=DATE(2026,12,1),$A78=DATE(2026,12,2)),AJ78,0)+IF(OR($A78=DATE(2026,11,28),$A78=DATE(2026,12,1)),AK78,0))))</f>
        <v>0</v>
      </c>
      <c r="AM78" s="14" t="n">
        <f aca="false">IF(AND($A78&lt;&gt;"",$A78&lt;Parameters!$B$14),CityData!F7*(1+TAXRATE),0)</f>
        <v>0</v>
      </c>
      <c r="AN78" s="14" t="n">
        <f aca="false">IF($A78="",0,IFERROR(VLOOKUP((YEAR($A78)+IF(MONTH($A78)&gt;=10,1,0))&amp;"|Seattle|"&amp;MONTH($A78),Rates!$A$2:$I$181,5,FALSE()),0))</f>
        <v>0</v>
      </c>
      <c r="AO78" s="14" t="n">
        <f aca="false">IF(OR($A78="",$A78&gt;=Parameters!$B$14),1,IF(AND(AN78&gt;0,CityData!F7&lt;=AN78),1,0))</f>
        <v>1</v>
      </c>
    </row>
    <row r="79" customFormat="false" ht="15" hidden="false" customHeight="true" outlineLevel="0" collapsed="false">
      <c r="A79" s="23" t="str">
        <f aca="false">IF(AND(Parameters!$B$14&gt;=Parameters!$B$13,ROW()-2&lt;=Parameters!$B$14-Parameters!$B$13),Parameters!$B$13+ROW()-2,"")</f>
        <v/>
      </c>
      <c r="B79" s="14" t="n">
        <f aca="false">IF($A79="",0,IFERROR(VLOOKUP((YEAR($A79)+IF(MONTH($A79)&gt;=10,1,0))&amp;"|Boston|"&amp;MONTH($A79),Rates!$A$2:$I$181,6,FALSE()),0))</f>
        <v>0</v>
      </c>
      <c r="C79" s="14" t="n">
        <f aca="false">IF(B79=0,0,VLOOKUP(B79,MIE_Components!$A$2:$F$6,2,FALSE()))</f>
        <v>0</v>
      </c>
      <c r="D79" s="14" t="n">
        <f aca="false">IF(B79=0,0,VLOOKUP(B79,MIE_Components!$A$2:$F$6,3,FALSE()))</f>
        <v>0</v>
      </c>
      <c r="E79" s="14" t="n">
        <f aca="false">IF(B79=0,0,VLOOKUP(B79,MIE_Components!$A$2:$F$6,4,FALSE()))</f>
        <v>0</v>
      </c>
      <c r="F79" s="14" t="n">
        <f aca="false">IF(OR($A79="",B79=0),0,MAX(5,B79*IF(OR($A79=Parameters!$B$13,$A79=Parameters!$B$14),0.75,1)-(IF(AND($A79=DATE(2026,11,29),NOV29BF="Yes"),C79,0)+IF(OR($A79=DATE(2026,11,29),$A79=DATE(2026,11,30),$A79=DATE(2026,12,1),$A79=DATE(2026,12,2)),D79,0)+IF(OR($A79=DATE(2026,11,28),$A79=DATE(2026,12,1)),E79,0))))</f>
        <v>0</v>
      </c>
      <c r="G79" s="14" t="n">
        <f aca="false">IF(AND($A79&lt;&gt;"",$A79&lt;Parameters!$B$14),CityData!F3*(1+TAXRATE),0)</f>
        <v>0</v>
      </c>
      <c r="H79" s="14" t="n">
        <f aca="false">IF($A79="",0,IFERROR(VLOOKUP((YEAR($A79)+IF(MONTH($A79)&gt;=10,1,0))&amp;"|Boston|"&amp;MONTH($A79),Rates!$A$2:$I$181,5,FALSE()),0))</f>
        <v>0</v>
      </c>
      <c r="I79" s="14" t="n">
        <f aca="false">IF(OR($A79="",$A79&gt;=Parameters!$B$14),1,IF(AND(H79&gt;0,CityData!F3&lt;=H79),1,0))</f>
        <v>1</v>
      </c>
      <c r="J79" s="14" t="n">
        <f aca="false">IF($A79="",0,IFERROR(VLOOKUP((YEAR($A79)+IF(MONTH($A79)&gt;=10,1,0))&amp;"|Chicago|"&amp;MONTH($A79),Rates!$A$2:$I$181,6,FALSE()),0))</f>
        <v>0</v>
      </c>
      <c r="K79" s="14" t="n">
        <f aca="false">IF(J79=0,0,VLOOKUP(J79,MIE_Components!$A$2:$F$6,2,FALSE()))</f>
        <v>0</v>
      </c>
      <c r="L79" s="14" t="n">
        <f aca="false">IF(J79=0,0,VLOOKUP(J79,MIE_Components!$A$2:$F$6,3,FALSE()))</f>
        <v>0</v>
      </c>
      <c r="M79" s="14" t="n">
        <f aca="false">IF(J79=0,0,VLOOKUP(J79,MIE_Components!$A$2:$F$6,4,FALSE()))</f>
        <v>0</v>
      </c>
      <c r="N79" s="14" t="n">
        <f aca="false">IF(OR($A79="",J79=0),0,MAX(5,J79*IF(OR($A79=Parameters!$B$13,$A79=Parameters!$B$14),0.75,1)-(IF(AND($A79=DATE(2026,11,29),NOV29BF="Yes"),K79,0)+IF(OR($A79=DATE(2026,11,29),$A79=DATE(2026,11,30),$A79=DATE(2026,12,1),$A79=DATE(2026,12,2)),L79,0)+IF(OR($A79=DATE(2026,11,28),$A79=DATE(2026,12,1)),M79,0))))</f>
        <v>0</v>
      </c>
      <c r="O79" s="14" t="n">
        <f aca="false">IF(AND($A79&lt;&gt;"",$A79&lt;Parameters!$B$14),CityData!F4*(1+TAXRATE),0)</f>
        <v>0</v>
      </c>
      <c r="P79" s="14" t="n">
        <f aca="false">IF($A79="",0,IFERROR(VLOOKUP((YEAR($A79)+IF(MONTH($A79)&gt;=10,1,0))&amp;"|Chicago|"&amp;MONTH($A79),Rates!$A$2:$I$181,5,FALSE()),0))</f>
        <v>0</v>
      </c>
      <c r="Q79" s="14" t="n">
        <f aca="false">IF(OR($A79="",$A79&gt;=Parameters!$B$14),1,IF(AND(P79&gt;0,CityData!F4&lt;=P79),1,0))</f>
        <v>1</v>
      </c>
      <c r="R79" s="14" t="n">
        <f aca="false">IF($A79="",0,IFERROR(VLOOKUP((YEAR($A79)+IF(MONTH($A79)&gt;=10,1,0))&amp;"|Denver|"&amp;MONTH($A79),Rates!$A$2:$I$181,6,FALSE()),0))</f>
        <v>0</v>
      </c>
      <c r="S79" s="14" t="n">
        <f aca="false">IF(R79=0,0,VLOOKUP(R79,MIE_Components!$A$2:$F$6,2,FALSE()))</f>
        <v>0</v>
      </c>
      <c r="T79" s="14" t="n">
        <f aca="false">IF(R79=0,0,VLOOKUP(R79,MIE_Components!$A$2:$F$6,3,FALSE()))</f>
        <v>0</v>
      </c>
      <c r="U79" s="14" t="n">
        <f aca="false">IF(R79=0,0,VLOOKUP(R79,MIE_Components!$A$2:$F$6,4,FALSE()))</f>
        <v>0</v>
      </c>
      <c r="V79" s="14" t="n">
        <f aca="false">IF(OR($A79="",R79=0),0,MAX(5,R79*IF(OR($A79=Parameters!$B$13,$A79=Parameters!$B$14),0.75,1)-(IF(AND($A79=DATE(2026,11,29),NOV29BF="Yes"),S79,0)+IF(OR($A79=DATE(2026,11,29),$A79=DATE(2026,11,30),$A79=DATE(2026,12,1),$A79=DATE(2026,12,2)),T79,0)+IF(OR($A79=DATE(2026,11,28),$A79=DATE(2026,12,1)),U79,0))))</f>
        <v>0</v>
      </c>
      <c r="W79" s="14" t="n">
        <f aca="false">IF(AND($A79&lt;&gt;"",$A79&lt;Parameters!$B$14),CityData!F5*(1+TAXRATE),0)</f>
        <v>0</v>
      </c>
      <c r="X79" s="14" t="n">
        <f aca="false">IF($A79="",0,IFERROR(VLOOKUP((YEAR($A79)+IF(MONTH($A79)&gt;=10,1,0))&amp;"|Denver|"&amp;MONTH($A79),Rates!$A$2:$I$181,5,FALSE()),0))</f>
        <v>0</v>
      </c>
      <c r="Y79" s="14" t="n">
        <f aca="false">IF(OR($A79="",$A79&gt;=Parameters!$B$14),1,IF(AND(X79&gt;0,CityData!F5&lt;=X79),1,0))</f>
        <v>1</v>
      </c>
      <c r="Z79" s="14" t="n">
        <f aca="false">IF($A79="",0,IFERROR(VLOOKUP((YEAR($A79)+IF(MONTH($A79)&gt;=10,1,0))&amp;"|Phoenix|"&amp;MONTH($A79),Rates!$A$2:$I$181,6,FALSE()),0))</f>
        <v>0</v>
      </c>
      <c r="AA79" s="14" t="n">
        <f aca="false">IF(Z79=0,0,VLOOKUP(Z79,MIE_Components!$A$2:$F$6,2,FALSE()))</f>
        <v>0</v>
      </c>
      <c r="AB79" s="14" t="n">
        <f aca="false">IF(Z79=0,0,VLOOKUP(Z79,MIE_Components!$A$2:$F$6,3,FALSE()))</f>
        <v>0</v>
      </c>
      <c r="AC79" s="14" t="n">
        <f aca="false">IF(Z79=0,0,VLOOKUP(Z79,MIE_Components!$A$2:$F$6,4,FALSE()))</f>
        <v>0</v>
      </c>
      <c r="AD79" s="14" t="n">
        <f aca="false">IF(OR($A79="",Z79=0),0,MAX(5,Z79*IF(OR($A79=Parameters!$B$13,$A79=Parameters!$B$14),0.75,1)-(IF(AND($A79=DATE(2026,11,29),NOV29BF="Yes"),AA79,0)+IF(OR($A79=DATE(2026,11,29),$A79=DATE(2026,11,30),$A79=DATE(2026,12,1),$A79=DATE(2026,12,2)),AB79,0)+IF(OR($A79=DATE(2026,11,28),$A79=DATE(2026,12,1)),AC79,0))))</f>
        <v>0</v>
      </c>
      <c r="AE79" s="14" t="n">
        <f aca="false">IF(AND($A79&lt;&gt;"",$A79&lt;Parameters!$B$14),CityData!F6*(1+TAXRATE),0)</f>
        <v>0</v>
      </c>
      <c r="AF79" s="14" t="n">
        <f aca="false">IF($A79="",0,IFERROR(VLOOKUP((YEAR($A79)+IF(MONTH($A79)&gt;=10,1,0))&amp;"|Phoenix|"&amp;MONTH($A79),Rates!$A$2:$I$181,5,FALSE()),0))</f>
        <v>0</v>
      </c>
      <c r="AG79" s="14" t="n">
        <f aca="false">IF(OR($A79="",$A79&gt;=Parameters!$B$14),1,IF(AND(AF79&gt;0,CityData!F6&lt;=AF79),1,0))</f>
        <v>1</v>
      </c>
      <c r="AH79" s="14" t="n">
        <f aca="false">IF($A79="",0,IFERROR(VLOOKUP((YEAR($A79)+IF(MONTH($A79)&gt;=10,1,0))&amp;"|Seattle|"&amp;MONTH($A79),Rates!$A$2:$I$181,6,FALSE()),0))</f>
        <v>0</v>
      </c>
      <c r="AI79" s="14" t="n">
        <f aca="false">IF(AH79=0,0,VLOOKUP(AH79,MIE_Components!$A$2:$F$6,2,FALSE()))</f>
        <v>0</v>
      </c>
      <c r="AJ79" s="14" t="n">
        <f aca="false">IF(AH79=0,0,VLOOKUP(AH79,MIE_Components!$A$2:$F$6,3,FALSE()))</f>
        <v>0</v>
      </c>
      <c r="AK79" s="14" t="n">
        <f aca="false">IF(AH79=0,0,VLOOKUP(AH79,MIE_Components!$A$2:$F$6,4,FALSE()))</f>
        <v>0</v>
      </c>
      <c r="AL79" s="14" t="n">
        <f aca="false">IF(OR($A79="",AH79=0),0,MAX(5,AH79*IF(OR($A79=Parameters!$B$13,$A79=Parameters!$B$14),0.75,1)-(IF(AND($A79=DATE(2026,11,29),NOV29BF="Yes"),AI79,0)+IF(OR($A79=DATE(2026,11,29),$A79=DATE(2026,11,30),$A79=DATE(2026,12,1),$A79=DATE(2026,12,2)),AJ79,0)+IF(OR($A79=DATE(2026,11,28),$A79=DATE(2026,12,1)),AK79,0))))</f>
        <v>0</v>
      </c>
      <c r="AM79" s="14" t="n">
        <f aca="false">IF(AND($A79&lt;&gt;"",$A79&lt;Parameters!$B$14),CityData!F7*(1+TAXRATE),0)</f>
        <v>0</v>
      </c>
      <c r="AN79" s="14" t="n">
        <f aca="false">IF($A79="",0,IFERROR(VLOOKUP((YEAR($A79)+IF(MONTH($A79)&gt;=10,1,0))&amp;"|Seattle|"&amp;MONTH($A79),Rates!$A$2:$I$181,5,FALSE()),0))</f>
        <v>0</v>
      </c>
      <c r="AO79" s="14" t="n">
        <f aca="false">IF(OR($A79="",$A79&gt;=Parameters!$B$14),1,IF(AND(AN79&gt;0,CityData!F7&lt;=AN79),1,0))</f>
        <v>1</v>
      </c>
    </row>
    <row r="80" customFormat="false" ht="15" hidden="false" customHeight="true" outlineLevel="0" collapsed="false">
      <c r="A80" s="23" t="str">
        <f aca="false">IF(AND(Parameters!$B$14&gt;=Parameters!$B$13,ROW()-2&lt;=Parameters!$B$14-Parameters!$B$13),Parameters!$B$13+ROW()-2,"")</f>
        <v/>
      </c>
      <c r="B80" s="14" t="n">
        <f aca="false">IF($A80="",0,IFERROR(VLOOKUP((YEAR($A80)+IF(MONTH($A80)&gt;=10,1,0))&amp;"|Boston|"&amp;MONTH($A80),Rates!$A$2:$I$181,6,FALSE()),0))</f>
        <v>0</v>
      </c>
      <c r="C80" s="14" t="n">
        <f aca="false">IF(B80=0,0,VLOOKUP(B80,MIE_Components!$A$2:$F$6,2,FALSE()))</f>
        <v>0</v>
      </c>
      <c r="D80" s="14" t="n">
        <f aca="false">IF(B80=0,0,VLOOKUP(B80,MIE_Components!$A$2:$F$6,3,FALSE()))</f>
        <v>0</v>
      </c>
      <c r="E80" s="14" t="n">
        <f aca="false">IF(B80=0,0,VLOOKUP(B80,MIE_Components!$A$2:$F$6,4,FALSE()))</f>
        <v>0</v>
      </c>
      <c r="F80" s="14" t="n">
        <f aca="false">IF(OR($A80="",B80=0),0,MAX(5,B80*IF(OR($A80=Parameters!$B$13,$A80=Parameters!$B$14),0.75,1)-(IF(AND($A80=DATE(2026,11,29),NOV29BF="Yes"),C80,0)+IF(OR($A80=DATE(2026,11,29),$A80=DATE(2026,11,30),$A80=DATE(2026,12,1),$A80=DATE(2026,12,2)),D80,0)+IF(OR($A80=DATE(2026,11,28),$A80=DATE(2026,12,1)),E80,0))))</f>
        <v>0</v>
      </c>
      <c r="G80" s="14" t="n">
        <f aca="false">IF(AND($A80&lt;&gt;"",$A80&lt;Parameters!$B$14),CityData!F3*(1+TAXRATE),0)</f>
        <v>0</v>
      </c>
      <c r="H80" s="14" t="n">
        <f aca="false">IF($A80="",0,IFERROR(VLOOKUP((YEAR($A80)+IF(MONTH($A80)&gt;=10,1,0))&amp;"|Boston|"&amp;MONTH($A80),Rates!$A$2:$I$181,5,FALSE()),0))</f>
        <v>0</v>
      </c>
      <c r="I80" s="14" t="n">
        <f aca="false">IF(OR($A80="",$A80&gt;=Parameters!$B$14),1,IF(AND(H80&gt;0,CityData!F3&lt;=H80),1,0))</f>
        <v>1</v>
      </c>
      <c r="J80" s="14" t="n">
        <f aca="false">IF($A80="",0,IFERROR(VLOOKUP((YEAR($A80)+IF(MONTH($A80)&gt;=10,1,0))&amp;"|Chicago|"&amp;MONTH($A80),Rates!$A$2:$I$181,6,FALSE()),0))</f>
        <v>0</v>
      </c>
      <c r="K80" s="14" t="n">
        <f aca="false">IF(J80=0,0,VLOOKUP(J80,MIE_Components!$A$2:$F$6,2,FALSE()))</f>
        <v>0</v>
      </c>
      <c r="L80" s="14" t="n">
        <f aca="false">IF(J80=0,0,VLOOKUP(J80,MIE_Components!$A$2:$F$6,3,FALSE()))</f>
        <v>0</v>
      </c>
      <c r="M80" s="14" t="n">
        <f aca="false">IF(J80=0,0,VLOOKUP(J80,MIE_Components!$A$2:$F$6,4,FALSE()))</f>
        <v>0</v>
      </c>
      <c r="N80" s="14" t="n">
        <f aca="false">IF(OR($A80="",J80=0),0,MAX(5,J80*IF(OR($A80=Parameters!$B$13,$A80=Parameters!$B$14),0.75,1)-(IF(AND($A80=DATE(2026,11,29),NOV29BF="Yes"),K80,0)+IF(OR($A80=DATE(2026,11,29),$A80=DATE(2026,11,30),$A80=DATE(2026,12,1),$A80=DATE(2026,12,2)),L80,0)+IF(OR($A80=DATE(2026,11,28),$A80=DATE(2026,12,1)),M80,0))))</f>
        <v>0</v>
      </c>
      <c r="O80" s="14" t="n">
        <f aca="false">IF(AND($A80&lt;&gt;"",$A80&lt;Parameters!$B$14),CityData!F4*(1+TAXRATE),0)</f>
        <v>0</v>
      </c>
      <c r="P80" s="14" t="n">
        <f aca="false">IF($A80="",0,IFERROR(VLOOKUP((YEAR($A80)+IF(MONTH($A80)&gt;=10,1,0))&amp;"|Chicago|"&amp;MONTH($A80),Rates!$A$2:$I$181,5,FALSE()),0))</f>
        <v>0</v>
      </c>
      <c r="Q80" s="14" t="n">
        <f aca="false">IF(OR($A80="",$A80&gt;=Parameters!$B$14),1,IF(AND(P80&gt;0,CityData!F4&lt;=P80),1,0))</f>
        <v>1</v>
      </c>
      <c r="R80" s="14" t="n">
        <f aca="false">IF($A80="",0,IFERROR(VLOOKUP((YEAR($A80)+IF(MONTH($A80)&gt;=10,1,0))&amp;"|Denver|"&amp;MONTH($A80),Rates!$A$2:$I$181,6,FALSE()),0))</f>
        <v>0</v>
      </c>
      <c r="S80" s="14" t="n">
        <f aca="false">IF(R80=0,0,VLOOKUP(R80,MIE_Components!$A$2:$F$6,2,FALSE()))</f>
        <v>0</v>
      </c>
      <c r="T80" s="14" t="n">
        <f aca="false">IF(R80=0,0,VLOOKUP(R80,MIE_Components!$A$2:$F$6,3,FALSE()))</f>
        <v>0</v>
      </c>
      <c r="U80" s="14" t="n">
        <f aca="false">IF(R80=0,0,VLOOKUP(R80,MIE_Components!$A$2:$F$6,4,FALSE()))</f>
        <v>0</v>
      </c>
      <c r="V80" s="14" t="n">
        <f aca="false">IF(OR($A80="",R80=0),0,MAX(5,R80*IF(OR($A80=Parameters!$B$13,$A80=Parameters!$B$14),0.75,1)-(IF(AND($A80=DATE(2026,11,29),NOV29BF="Yes"),S80,0)+IF(OR($A80=DATE(2026,11,29),$A80=DATE(2026,11,30),$A80=DATE(2026,12,1),$A80=DATE(2026,12,2)),T80,0)+IF(OR($A80=DATE(2026,11,28),$A80=DATE(2026,12,1)),U80,0))))</f>
        <v>0</v>
      </c>
      <c r="W80" s="14" t="n">
        <f aca="false">IF(AND($A80&lt;&gt;"",$A80&lt;Parameters!$B$14),CityData!F5*(1+TAXRATE),0)</f>
        <v>0</v>
      </c>
      <c r="X80" s="14" t="n">
        <f aca="false">IF($A80="",0,IFERROR(VLOOKUP((YEAR($A80)+IF(MONTH($A80)&gt;=10,1,0))&amp;"|Denver|"&amp;MONTH($A80),Rates!$A$2:$I$181,5,FALSE()),0))</f>
        <v>0</v>
      </c>
      <c r="Y80" s="14" t="n">
        <f aca="false">IF(OR($A80="",$A80&gt;=Parameters!$B$14),1,IF(AND(X80&gt;0,CityData!F5&lt;=X80),1,0))</f>
        <v>1</v>
      </c>
      <c r="Z80" s="14" t="n">
        <f aca="false">IF($A80="",0,IFERROR(VLOOKUP((YEAR($A80)+IF(MONTH($A80)&gt;=10,1,0))&amp;"|Phoenix|"&amp;MONTH($A80),Rates!$A$2:$I$181,6,FALSE()),0))</f>
        <v>0</v>
      </c>
      <c r="AA80" s="14" t="n">
        <f aca="false">IF(Z80=0,0,VLOOKUP(Z80,MIE_Components!$A$2:$F$6,2,FALSE()))</f>
        <v>0</v>
      </c>
      <c r="AB80" s="14" t="n">
        <f aca="false">IF(Z80=0,0,VLOOKUP(Z80,MIE_Components!$A$2:$F$6,3,FALSE()))</f>
        <v>0</v>
      </c>
      <c r="AC80" s="14" t="n">
        <f aca="false">IF(Z80=0,0,VLOOKUP(Z80,MIE_Components!$A$2:$F$6,4,FALSE()))</f>
        <v>0</v>
      </c>
      <c r="AD80" s="14" t="n">
        <f aca="false">IF(OR($A80="",Z80=0),0,MAX(5,Z80*IF(OR($A80=Parameters!$B$13,$A80=Parameters!$B$14),0.75,1)-(IF(AND($A80=DATE(2026,11,29),NOV29BF="Yes"),AA80,0)+IF(OR($A80=DATE(2026,11,29),$A80=DATE(2026,11,30),$A80=DATE(2026,12,1),$A80=DATE(2026,12,2)),AB80,0)+IF(OR($A80=DATE(2026,11,28),$A80=DATE(2026,12,1)),AC80,0))))</f>
        <v>0</v>
      </c>
      <c r="AE80" s="14" t="n">
        <f aca="false">IF(AND($A80&lt;&gt;"",$A80&lt;Parameters!$B$14),CityData!F6*(1+TAXRATE),0)</f>
        <v>0</v>
      </c>
      <c r="AF80" s="14" t="n">
        <f aca="false">IF($A80="",0,IFERROR(VLOOKUP((YEAR($A80)+IF(MONTH($A80)&gt;=10,1,0))&amp;"|Phoenix|"&amp;MONTH($A80),Rates!$A$2:$I$181,5,FALSE()),0))</f>
        <v>0</v>
      </c>
      <c r="AG80" s="14" t="n">
        <f aca="false">IF(OR($A80="",$A80&gt;=Parameters!$B$14),1,IF(AND(AF80&gt;0,CityData!F6&lt;=AF80),1,0))</f>
        <v>1</v>
      </c>
      <c r="AH80" s="14" t="n">
        <f aca="false">IF($A80="",0,IFERROR(VLOOKUP((YEAR($A80)+IF(MONTH($A80)&gt;=10,1,0))&amp;"|Seattle|"&amp;MONTH($A80),Rates!$A$2:$I$181,6,FALSE()),0))</f>
        <v>0</v>
      </c>
      <c r="AI80" s="14" t="n">
        <f aca="false">IF(AH80=0,0,VLOOKUP(AH80,MIE_Components!$A$2:$F$6,2,FALSE()))</f>
        <v>0</v>
      </c>
      <c r="AJ80" s="14" t="n">
        <f aca="false">IF(AH80=0,0,VLOOKUP(AH80,MIE_Components!$A$2:$F$6,3,FALSE()))</f>
        <v>0</v>
      </c>
      <c r="AK80" s="14" t="n">
        <f aca="false">IF(AH80=0,0,VLOOKUP(AH80,MIE_Components!$A$2:$F$6,4,FALSE()))</f>
        <v>0</v>
      </c>
      <c r="AL80" s="14" t="n">
        <f aca="false">IF(OR($A80="",AH80=0),0,MAX(5,AH80*IF(OR($A80=Parameters!$B$13,$A80=Parameters!$B$14),0.75,1)-(IF(AND($A80=DATE(2026,11,29),NOV29BF="Yes"),AI80,0)+IF(OR($A80=DATE(2026,11,29),$A80=DATE(2026,11,30),$A80=DATE(2026,12,1),$A80=DATE(2026,12,2)),AJ80,0)+IF(OR($A80=DATE(2026,11,28),$A80=DATE(2026,12,1)),AK80,0))))</f>
        <v>0</v>
      </c>
      <c r="AM80" s="14" t="n">
        <f aca="false">IF(AND($A80&lt;&gt;"",$A80&lt;Parameters!$B$14),CityData!F7*(1+TAXRATE),0)</f>
        <v>0</v>
      </c>
      <c r="AN80" s="14" t="n">
        <f aca="false">IF($A80="",0,IFERROR(VLOOKUP((YEAR($A80)+IF(MONTH($A80)&gt;=10,1,0))&amp;"|Seattle|"&amp;MONTH($A80),Rates!$A$2:$I$181,5,FALSE()),0))</f>
        <v>0</v>
      </c>
      <c r="AO80" s="14" t="n">
        <f aca="false">IF(OR($A80="",$A80&gt;=Parameters!$B$14),1,IF(AND(AN80&gt;0,CityData!F7&lt;=AN80),1,0))</f>
        <v>1</v>
      </c>
    </row>
    <row r="81" customFormat="false" ht="15" hidden="false" customHeight="true" outlineLevel="0" collapsed="false">
      <c r="A81" s="23" t="str">
        <f aca="false">IF(AND(Parameters!$B$14&gt;=Parameters!$B$13,ROW()-2&lt;=Parameters!$B$14-Parameters!$B$13),Parameters!$B$13+ROW()-2,"")</f>
        <v/>
      </c>
      <c r="B81" s="14" t="n">
        <f aca="false">IF($A81="",0,IFERROR(VLOOKUP((YEAR($A81)+IF(MONTH($A81)&gt;=10,1,0))&amp;"|Boston|"&amp;MONTH($A81),Rates!$A$2:$I$181,6,FALSE()),0))</f>
        <v>0</v>
      </c>
      <c r="C81" s="14" t="n">
        <f aca="false">IF(B81=0,0,VLOOKUP(B81,MIE_Components!$A$2:$F$6,2,FALSE()))</f>
        <v>0</v>
      </c>
      <c r="D81" s="14" t="n">
        <f aca="false">IF(B81=0,0,VLOOKUP(B81,MIE_Components!$A$2:$F$6,3,FALSE()))</f>
        <v>0</v>
      </c>
      <c r="E81" s="14" t="n">
        <f aca="false">IF(B81=0,0,VLOOKUP(B81,MIE_Components!$A$2:$F$6,4,FALSE()))</f>
        <v>0</v>
      </c>
      <c r="F81" s="14" t="n">
        <f aca="false">IF(OR($A81="",B81=0),0,MAX(5,B81*IF(OR($A81=Parameters!$B$13,$A81=Parameters!$B$14),0.75,1)-(IF(AND($A81=DATE(2026,11,29),NOV29BF="Yes"),C81,0)+IF(OR($A81=DATE(2026,11,29),$A81=DATE(2026,11,30),$A81=DATE(2026,12,1),$A81=DATE(2026,12,2)),D81,0)+IF(OR($A81=DATE(2026,11,28),$A81=DATE(2026,12,1)),E81,0))))</f>
        <v>0</v>
      </c>
      <c r="G81" s="14" t="n">
        <f aca="false">IF(AND($A81&lt;&gt;"",$A81&lt;Parameters!$B$14),CityData!F3*(1+TAXRATE),0)</f>
        <v>0</v>
      </c>
      <c r="H81" s="14" t="n">
        <f aca="false">IF($A81="",0,IFERROR(VLOOKUP((YEAR($A81)+IF(MONTH($A81)&gt;=10,1,0))&amp;"|Boston|"&amp;MONTH($A81),Rates!$A$2:$I$181,5,FALSE()),0))</f>
        <v>0</v>
      </c>
      <c r="I81" s="14" t="n">
        <f aca="false">IF(OR($A81="",$A81&gt;=Parameters!$B$14),1,IF(AND(H81&gt;0,CityData!F3&lt;=H81),1,0))</f>
        <v>1</v>
      </c>
      <c r="J81" s="14" t="n">
        <f aca="false">IF($A81="",0,IFERROR(VLOOKUP((YEAR($A81)+IF(MONTH($A81)&gt;=10,1,0))&amp;"|Chicago|"&amp;MONTH($A81),Rates!$A$2:$I$181,6,FALSE()),0))</f>
        <v>0</v>
      </c>
      <c r="K81" s="14" t="n">
        <f aca="false">IF(J81=0,0,VLOOKUP(J81,MIE_Components!$A$2:$F$6,2,FALSE()))</f>
        <v>0</v>
      </c>
      <c r="L81" s="14" t="n">
        <f aca="false">IF(J81=0,0,VLOOKUP(J81,MIE_Components!$A$2:$F$6,3,FALSE()))</f>
        <v>0</v>
      </c>
      <c r="M81" s="14" t="n">
        <f aca="false">IF(J81=0,0,VLOOKUP(J81,MIE_Components!$A$2:$F$6,4,FALSE()))</f>
        <v>0</v>
      </c>
      <c r="N81" s="14" t="n">
        <f aca="false">IF(OR($A81="",J81=0),0,MAX(5,J81*IF(OR($A81=Parameters!$B$13,$A81=Parameters!$B$14),0.75,1)-(IF(AND($A81=DATE(2026,11,29),NOV29BF="Yes"),K81,0)+IF(OR($A81=DATE(2026,11,29),$A81=DATE(2026,11,30),$A81=DATE(2026,12,1),$A81=DATE(2026,12,2)),L81,0)+IF(OR($A81=DATE(2026,11,28),$A81=DATE(2026,12,1)),M81,0))))</f>
        <v>0</v>
      </c>
      <c r="O81" s="14" t="n">
        <f aca="false">IF(AND($A81&lt;&gt;"",$A81&lt;Parameters!$B$14),CityData!F4*(1+TAXRATE),0)</f>
        <v>0</v>
      </c>
      <c r="P81" s="14" t="n">
        <f aca="false">IF($A81="",0,IFERROR(VLOOKUP((YEAR($A81)+IF(MONTH($A81)&gt;=10,1,0))&amp;"|Chicago|"&amp;MONTH($A81),Rates!$A$2:$I$181,5,FALSE()),0))</f>
        <v>0</v>
      </c>
      <c r="Q81" s="14" t="n">
        <f aca="false">IF(OR($A81="",$A81&gt;=Parameters!$B$14),1,IF(AND(P81&gt;0,CityData!F4&lt;=P81),1,0))</f>
        <v>1</v>
      </c>
      <c r="R81" s="14" t="n">
        <f aca="false">IF($A81="",0,IFERROR(VLOOKUP((YEAR($A81)+IF(MONTH($A81)&gt;=10,1,0))&amp;"|Denver|"&amp;MONTH($A81),Rates!$A$2:$I$181,6,FALSE()),0))</f>
        <v>0</v>
      </c>
      <c r="S81" s="14" t="n">
        <f aca="false">IF(R81=0,0,VLOOKUP(R81,MIE_Components!$A$2:$F$6,2,FALSE()))</f>
        <v>0</v>
      </c>
      <c r="T81" s="14" t="n">
        <f aca="false">IF(R81=0,0,VLOOKUP(R81,MIE_Components!$A$2:$F$6,3,FALSE()))</f>
        <v>0</v>
      </c>
      <c r="U81" s="14" t="n">
        <f aca="false">IF(R81=0,0,VLOOKUP(R81,MIE_Components!$A$2:$F$6,4,FALSE()))</f>
        <v>0</v>
      </c>
      <c r="V81" s="14" t="n">
        <f aca="false">IF(OR($A81="",R81=0),0,MAX(5,R81*IF(OR($A81=Parameters!$B$13,$A81=Parameters!$B$14),0.75,1)-(IF(AND($A81=DATE(2026,11,29),NOV29BF="Yes"),S81,0)+IF(OR($A81=DATE(2026,11,29),$A81=DATE(2026,11,30),$A81=DATE(2026,12,1),$A81=DATE(2026,12,2)),T81,0)+IF(OR($A81=DATE(2026,11,28),$A81=DATE(2026,12,1)),U81,0))))</f>
        <v>0</v>
      </c>
      <c r="W81" s="14" t="n">
        <f aca="false">IF(AND($A81&lt;&gt;"",$A81&lt;Parameters!$B$14),CityData!F5*(1+TAXRATE),0)</f>
        <v>0</v>
      </c>
      <c r="X81" s="14" t="n">
        <f aca="false">IF($A81="",0,IFERROR(VLOOKUP((YEAR($A81)+IF(MONTH($A81)&gt;=10,1,0))&amp;"|Denver|"&amp;MONTH($A81),Rates!$A$2:$I$181,5,FALSE()),0))</f>
        <v>0</v>
      </c>
      <c r="Y81" s="14" t="n">
        <f aca="false">IF(OR($A81="",$A81&gt;=Parameters!$B$14),1,IF(AND(X81&gt;0,CityData!F5&lt;=X81),1,0))</f>
        <v>1</v>
      </c>
      <c r="Z81" s="14" t="n">
        <f aca="false">IF($A81="",0,IFERROR(VLOOKUP((YEAR($A81)+IF(MONTH($A81)&gt;=10,1,0))&amp;"|Phoenix|"&amp;MONTH($A81),Rates!$A$2:$I$181,6,FALSE()),0))</f>
        <v>0</v>
      </c>
      <c r="AA81" s="14" t="n">
        <f aca="false">IF(Z81=0,0,VLOOKUP(Z81,MIE_Components!$A$2:$F$6,2,FALSE()))</f>
        <v>0</v>
      </c>
      <c r="AB81" s="14" t="n">
        <f aca="false">IF(Z81=0,0,VLOOKUP(Z81,MIE_Components!$A$2:$F$6,3,FALSE()))</f>
        <v>0</v>
      </c>
      <c r="AC81" s="14" t="n">
        <f aca="false">IF(Z81=0,0,VLOOKUP(Z81,MIE_Components!$A$2:$F$6,4,FALSE()))</f>
        <v>0</v>
      </c>
      <c r="AD81" s="14" t="n">
        <f aca="false">IF(OR($A81="",Z81=0),0,MAX(5,Z81*IF(OR($A81=Parameters!$B$13,$A81=Parameters!$B$14),0.75,1)-(IF(AND($A81=DATE(2026,11,29),NOV29BF="Yes"),AA81,0)+IF(OR($A81=DATE(2026,11,29),$A81=DATE(2026,11,30),$A81=DATE(2026,12,1),$A81=DATE(2026,12,2)),AB81,0)+IF(OR($A81=DATE(2026,11,28),$A81=DATE(2026,12,1)),AC81,0))))</f>
        <v>0</v>
      </c>
      <c r="AE81" s="14" t="n">
        <f aca="false">IF(AND($A81&lt;&gt;"",$A81&lt;Parameters!$B$14),CityData!F6*(1+TAXRATE),0)</f>
        <v>0</v>
      </c>
      <c r="AF81" s="14" t="n">
        <f aca="false">IF($A81="",0,IFERROR(VLOOKUP((YEAR($A81)+IF(MONTH($A81)&gt;=10,1,0))&amp;"|Phoenix|"&amp;MONTH($A81),Rates!$A$2:$I$181,5,FALSE()),0))</f>
        <v>0</v>
      </c>
      <c r="AG81" s="14" t="n">
        <f aca="false">IF(OR($A81="",$A81&gt;=Parameters!$B$14),1,IF(AND(AF81&gt;0,CityData!F6&lt;=AF81),1,0))</f>
        <v>1</v>
      </c>
      <c r="AH81" s="14" t="n">
        <f aca="false">IF($A81="",0,IFERROR(VLOOKUP((YEAR($A81)+IF(MONTH($A81)&gt;=10,1,0))&amp;"|Seattle|"&amp;MONTH($A81),Rates!$A$2:$I$181,6,FALSE()),0))</f>
        <v>0</v>
      </c>
      <c r="AI81" s="14" t="n">
        <f aca="false">IF(AH81=0,0,VLOOKUP(AH81,MIE_Components!$A$2:$F$6,2,FALSE()))</f>
        <v>0</v>
      </c>
      <c r="AJ81" s="14" t="n">
        <f aca="false">IF(AH81=0,0,VLOOKUP(AH81,MIE_Components!$A$2:$F$6,3,FALSE()))</f>
        <v>0</v>
      </c>
      <c r="AK81" s="14" t="n">
        <f aca="false">IF(AH81=0,0,VLOOKUP(AH81,MIE_Components!$A$2:$F$6,4,FALSE()))</f>
        <v>0</v>
      </c>
      <c r="AL81" s="14" t="n">
        <f aca="false">IF(OR($A81="",AH81=0),0,MAX(5,AH81*IF(OR($A81=Parameters!$B$13,$A81=Parameters!$B$14),0.75,1)-(IF(AND($A81=DATE(2026,11,29),NOV29BF="Yes"),AI81,0)+IF(OR($A81=DATE(2026,11,29),$A81=DATE(2026,11,30),$A81=DATE(2026,12,1),$A81=DATE(2026,12,2)),AJ81,0)+IF(OR($A81=DATE(2026,11,28),$A81=DATE(2026,12,1)),AK81,0))))</f>
        <v>0</v>
      </c>
      <c r="AM81" s="14" t="n">
        <f aca="false">IF(AND($A81&lt;&gt;"",$A81&lt;Parameters!$B$14),CityData!F7*(1+TAXRATE),0)</f>
        <v>0</v>
      </c>
      <c r="AN81" s="14" t="n">
        <f aca="false">IF($A81="",0,IFERROR(VLOOKUP((YEAR($A81)+IF(MONTH($A81)&gt;=10,1,0))&amp;"|Seattle|"&amp;MONTH($A81),Rates!$A$2:$I$181,5,FALSE()),0))</f>
        <v>0</v>
      </c>
      <c r="AO81" s="14" t="n">
        <f aca="false">IF(OR($A81="",$A81&gt;=Parameters!$B$14),1,IF(AND(AN81&gt;0,CityData!F7&lt;=AN81),1,0))</f>
        <v>1</v>
      </c>
    </row>
    <row r="82" customFormat="false" ht="15" hidden="false" customHeight="true" outlineLevel="0" collapsed="false">
      <c r="A82" s="23" t="str">
        <f aca="false">IF(AND(Parameters!$B$14&gt;=Parameters!$B$13,ROW()-2&lt;=Parameters!$B$14-Parameters!$B$13),Parameters!$B$13+ROW()-2,"")</f>
        <v/>
      </c>
      <c r="B82" s="14" t="n">
        <f aca="false">IF($A82="",0,IFERROR(VLOOKUP((YEAR($A82)+IF(MONTH($A82)&gt;=10,1,0))&amp;"|Boston|"&amp;MONTH($A82),Rates!$A$2:$I$181,6,FALSE()),0))</f>
        <v>0</v>
      </c>
      <c r="C82" s="14" t="n">
        <f aca="false">IF(B82=0,0,VLOOKUP(B82,MIE_Components!$A$2:$F$6,2,FALSE()))</f>
        <v>0</v>
      </c>
      <c r="D82" s="14" t="n">
        <f aca="false">IF(B82=0,0,VLOOKUP(B82,MIE_Components!$A$2:$F$6,3,FALSE()))</f>
        <v>0</v>
      </c>
      <c r="E82" s="14" t="n">
        <f aca="false">IF(B82=0,0,VLOOKUP(B82,MIE_Components!$A$2:$F$6,4,FALSE()))</f>
        <v>0</v>
      </c>
      <c r="F82" s="14" t="n">
        <f aca="false">IF(OR($A82="",B82=0),0,MAX(5,B82*IF(OR($A82=Parameters!$B$13,$A82=Parameters!$B$14),0.75,1)-(IF(AND($A82=DATE(2026,11,29),NOV29BF="Yes"),C82,0)+IF(OR($A82=DATE(2026,11,29),$A82=DATE(2026,11,30),$A82=DATE(2026,12,1),$A82=DATE(2026,12,2)),D82,0)+IF(OR($A82=DATE(2026,11,28),$A82=DATE(2026,12,1)),E82,0))))</f>
        <v>0</v>
      </c>
      <c r="G82" s="14" t="n">
        <f aca="false">IF(AND($A82&lt;&gt;"",$A82&lt;Parameters!$B$14),CityData!F3*(1+TAXRATE),0)</f>
        <v>0</v>
      </c>
      <c r="H82" s="14" t="n">
        <f aca="false">IF($A82="",0,IFERROR(VLOOKUP((YEAR($A82)+IF(MONTH($A82)&gt;=10,1,0))&amp;"|Boston|"&amp;MONTH($A82),Rates!$A$2:$I$181,5,FALSE()),0))</f>
        <v>0</v>
      </c>
      <c r="I82" s="14" t="n">
        <f aca="false">IF(OR($A82="",$A82&gt;=Parameters!$B$14),1,IF(AND(H82&gt;0,CityData!F3&lt;=H82),1,0))</f>
        <v>1</v>
      </c>
      <c r="J82" s="14" t="n">
        <f aca="false">IF($A82="",0,IFERROR(VLOOKUP((YEAR($A82)+IF(MONTH($A82)&gt;=10,1,0))&amp;"|Chicago|"&amp;MONTH($A82),Rates!$A$2:$I$181,6,FALSE()),0))</f>
        <v>0</v>
      </c>
      <c r="K82" s="14" t="n">
        <f aca="false">IF(J82=0,0,VLOOKUP(J82,MIE_Components!$A$2:$F$6,2,FALSE()))</f>
        <v>0</v>
      </c>
      <c r="L82" s="14" t="n">
        <f aca="false">IF(J82=0,0,VLOOKUP(J82,MIE_Components!$A$2:$F$6,3,FALSE()))</f>
        <v>0</v>
      </c>
      <c r="M82" s="14" t="n">
        <f aca="false">IF(J82=0,0,VLOOKUP(J82,MIE_Components!$A$2:$F$6,4,FALSE()))</f>
        <v>0</v>
      </c>
      <c r="N82" s="14" t="n">
        <f aca="false">IF(OR($A82="",J82=0),0,MAX(5,J82*IF(OR($A82=Parameters!$B$13,$A82=Parameters!$B$14),0.75,1)-(IF(AND($A82=DATE(2026,11,29),NOV29BF="Yes"),K82,0)+IF(OR($A82=DATE(2026,11,29),$A82=DATE(2026,11,30),$A82=DATE(2026,12,1),$A82=DATE(2026,12,2)),L82,0)+IF(OR($A82=DATE(2026,11,28),$A82=DATE(2026,12,1)),M82,0))))</f>
        <v>0</v>
      </c>
      <c r="O82" s="14" t="n">
        <f aca="false">IF(AND($A82&lt;&gt;"",$A82&lt;Parameters!$B$14),CityData!F4*(1+TAXRATE),0)</f>
        <v>0</v>
      </c>
      <c r="P82" s="14" t="n">
        <f aca="false">IF($A82="",0,IFERROR(VLOOKUP((YEAR($A82)+IF(MONTH($A82)&gt;=10,1,0))&amp;"|Chicago|"&amp;MONTH($A82),Rates!$A$2:$I$181,5,FALSE()),0))</f>
        <v>0</v>
      </c>
      <c r="Q82" s="14" t="n">
        <f aca="false">IF(OR($A82="",$A82&gt;=Parameters!$B$14),1,IF(AND(P82&gt;0,CityData!F4&lt;=P82),1,0))</f>
        <v>1</v>
      </c>
      <c r="R82" s="14" t="n">
        <f aca="false">IF($A82="",0,IFERROR(VLOOKUP((YEAR($A82)+IF(MONTH($A82)&gt;=10,1,0))&amp;"|Denver|"&amp;MONTH($A82),Rates!$A$2:$I$181,6,FALSE()),0))</f>
        <v>0</v>
      </c>
      <c r="S82" s="14" t="n">
        <f aca="false">IF(R82=0,0,VLOOKUP(R82,MIE_Components!$A$2:$F$6,2,FALSE()))</f>
        <v>0</v>
      </c>
      <c r="T82" s="14" t="n">
        <f aca="false">IF(R82=0,0,VLOOKUP(R82,MIE_Components!$A$2:$F$6,3,FALSE()))</f>
        <v>0</v>
      </c>
      <c r="U82" s="14" t="n">
        <f aca="false">IF(R82=0,0,VLOOKUP(R82,MIE_Components!$A$2:$F$6,4,FALSE()))</f>
        <v>0</v>
      </c>
      <c r="V82" s="14" t="n">
        <f aca="false">IF(OR($A82="",R82=0),0,MAX(5,R82*IF(OR($A82=Parameters!$B$13,$A82=Parameters!$B$14),0.75,1)-(IF(AND($A82=DATE(2026,11,29),NOV29BF="Yes"),S82,0)+IF(OR($A82=DATE(2026,11,29),$A82=DATE(2026,11,30),$A82=DATE(2026,12,1),$A82=DATE(2026,12,2)),T82,0)+IF(OR($A82=DATE(2026,11,28),$A82=DATE(2026,12,1)),U82,0))))</f>
        <v>0</v>
      </c>
      <c r="W82" s="14" t="n">
        <f aca="false">IF(AND($A82&lt;&gt;"",$A82&lt;Parameters!$B$14),CityData!F5*(1+TAXRATE),0)</f>
        <v>0</v>
      </c>
      <c r="X82" s="14" t="n">
        <f aca="false">IF($A82="",0,IFERROR(VLOOKUP((YEAR($A82)+IF(MONTH($A82)&gt;=10,1,0))&amp;"|Denver|"&amp;MONTH($A82),Rates!$A$2:$I$181,5,FALSE()),0))</f>
        <v>0</v>
      </c>
      <c r="Y82" s="14" t="n">
        <f aca="false">IF(OR($A82="",$A82&gt;=Parameters!$B$14),1,IF(AND(X82&gt;0,CityData!F5&lt;=X82),1,0))</f>
        <v>1</v>
      </c>
      <c r="Z82" s="14" t="n">
        <f aca="false">IF($A82="",0,IFERROR(VLOOKUP((YEAR($A82)+IF(MONTH($A82)&gt;=10,1,0))&amp;"|Phoenix|"&amp;MONTH($A82),Rates!$A$2:$I$181,6,FALSE()),0))</f>
        <v>0</v>
      </c>
      <c r="AA82" s="14" t="n">
        <f aca="false">IF(Z82=0,0,VLOOKUP(Z82,MIE_Components!$A$2:$F$6,2,FALSE()))</f>
        <v>0</v>
      </c>
      <c r="AB82" s="14" t="n">
        <f aca="false">IF(Z82=0,0,VLOOKUP(Z82,MIE_Components!$A$2:$F$6,3,FALSE()))</f>
        <v>0</v>
      </c>
      <c r="AC82" s="14" t="n">
        <f aca="false">IF(Z82=0,0,VLOOKUP(Z82,MIE_Components!$A$2:$F$6,4,FALSE()))</f>
        <v>0</v>
      </c>
      <c r="AD82" s="14" t="n">
        <f aca="false">IF(OR($A82="",Z82=0),0,MAX(5,Z82*IF(OR($A82=Parameters!$B$13,$A82=Parameters!$B$14),0.75,1)-(IF(AND($A82=DATE(2026,11,29),NOV29BF="Yes"),AA82,0)+IF(OR($A82=DATE(2026,11,29),$A82=DATE(2026,11,30),$A82=DATE(2026,12,1),$A82=DATE(2026,12,2)),AB82,0)+IF(OR($A82=DATE(2026,11,28),$A82=DATE(2026,12,1)),AC82,0))))</f>
        <v>0</v>
      </c>
      <c r="AE82" s="14" t="n">
        <f aca="false">IF(AND($A82&lt;&gt;"",$A82&lt;Parameters!$B$14),CityData!F6*(1+TAXRATE),0)</f>
        <v>0</v>
      </c>
      <c r="AF82" s="14" t="n">
        <f aca="false">IF($A82="",0,IFERROR(VLOOKUP((YEAR($A82)+IF(MONTH($A82)&gt;=10,1,0))&amp;"|Phoenix|"&amp;MONTH($A82),Rates!$A$2:$I$181,5,FALSE()),0))</f>
        <v>0</v>
      </c>
      <c r="AG82" s="14" t="n">
        <f aca="false">IF(OR($A82="",$A82&gt;=Parameters!$B$14),1,IF(AND(AF82&gt;0,CityData!F6&lt;=AF82),1,0))</f>
        <v>1</v>
      </c>
      <c r="AH82" s="14" t="n">
        <f aca="false">IF($A82="",0,IFERROR(VLOOKUP((YEAR($A82)+IF(MONTH($A82)&gt;=10,1,0))&amp;"|Seattle|"&amp;MONTH($A82),Rates!$A$2:$I$181,6,FALSE()),0))</f>
        <v>0</v>
      </c>
      <c r="AI82" s="14" t="n">
        <f aca="false">IF(AH82=0,0,VLOOKUP(AH82,MIE_Components!$A$2:$F$6,2,FALSE()))</f>
        <v>0</v>
      </c>
      <c r="AJ82" s="14" t="n">
        <f aca="false">IF(AH82=0,0,VLOOKUP(AH82,MIE_Components!$A$2:$F$6,3,FALSE()))</f>
        <v>0</v>
      </c>
      <c r="AK82" s="14" t="n">
        <f aca="false">IF(AH82=0,0,VLOOKUP(AH82,MIE_Components!$A$2:$F$6,4,FALSE()))</f>
        <v>0</v>
      </c>
      <c r="AL82" s="14" t="n">
        <f aca="false">IF(OR($A82="",AH82=0),0,MAX(5,AH82*IF(OR($A82=Parameters!$B$13,$A82=Parameters!$B$14),0.75,1)-(IF(AND($A82=DATE(2026,11,29),NOV29BF="Yes"),AI82,0)+IF(OR($A82=DATE(2026,11,29),$A82=DATE(2026,11,30),$A82=DATE(2026,12,1),$A82=DATE(2026,12,2)),AJ82,0)+IF(OR($A82=DATE(2026,11,28),$A82=DATE(2026,12,1)),AK82,0))))</f>
        <v>0</v>
      </c>
      <c r="AM82" s="14" t="n">
        <f aca="false">IF(AND($A82&lt;&gt;"",$A82&lt;Parameters!$B$14),CityData!F7*(1+TAXRATE),0)</f>
        <v>0</v>
      </c>
      <c r="AN82" s="14" t="n">
        <f aca="false">IF($A82="",0,IFERROR(VLOOKUP((YEAR($A82)+IF(MONTH($A82)&gt;=10,1,0))&amp;"|Seattle|"&amp;MONTH($A82),Rates!$A$2:$I$181,5,FALSE()),0))</f>
        <v>0</v>
      </c>
      <c r="AO82" s="14" t="n">
        <f aca="false">IF(OR($A82="",$A82&gt;=Parameters!$B$14),1,IF(AND(AN82&gt;0,CityData!F7&lt;=AN82),1,0))</f>
        <v>1</v>
      </c>
    </row>
    <row r="83" customFormat="false" ht="15" hidden="false" customHeight="true" outlineLevel="0" collapsed="false">
      <c r="A83" s="23" t="str">
        <f aca="false">IF(AND(Parameters!$B$14&gt;=Parameters!$B$13,ROW()-2&lt;=Parameters!$B$14-Parameters!$B$13),Parameters!$B$13+ROW()-2,"")</f>
        <v/>
      </c>
      <c r="B83" s="14" t="n">
        <f aca="false">IF($A83="",0,IFERROR(VLOOKUP((YEAR($A83)+IF(MONTH($A83)&gt;=10,1,0))&amp;"|Boston|"&amp;MONTH($A83),Rates!$A$2:$I$181,6,FALSE()),0))</f>
        <v>0</v>
      </c>
      <c r="C83" s="14" t="n">
        <f aca="false">IF(B83=0,0,VLOOKUP(B83,MIE_Components!$A$2:$F$6,2,FALSE()))</f>
        <v>0</v>
      </c>
      <c r="D83" s="14" t="n">
        <f aca="false">IF(B83=0,0,VLOOKUP(B83,MIE_Components!$A$2:$F$6,3,FALSE()))</f>
        <v>0</v>
      </c>
      <c r="E83" s="14" t="n">
        <f aca="false">IF(B83=0,0,VLOOKUP(B83,MIE_Components!$A$2:$F$6,4,FALSE()))</f>
        <v>0</v>
      </c>
      <c r="F83" s="14" t="n">
        <f aca="false">IF(OR($A83="",B83=0),0,MAX(5,B83*IF(OR($A83=Parameters!$B$13,$A83=Parameters!$B$14),0.75,1)-(IF(AND($A83=DATE(2026,11,29),NOV29BF="Yes"),C83,0)+IF(OR($A83=DATE(2026,11,29),$A83=DATE(2026,11,30),$A83=DATE(2026,12,1),$A83=DATE(2026,12,2)),D83,0)+IF(OR($A83=DATE(2026,11,28),$A83=DATE(2026,12,1)),E83,0))))</f>
        <v>0</v>
      </c>
      <c r="G83" s="14" t="n">
        <f aca="false">IF(AND($A83&lt;&gt;"",$A83&lt;Parameters!$B$14),CityData!F3*(1+TAXRATE),0)</f>
        <v>0</v>
      </c>
      <c r="H83" s="14" t="n">
        <f aca="false">IF($A83="",0,IFERROR(VLOOKUP((YEAR($A83)+IF(MONTH($A83)&gt;=10,1,0))&amp;"|Boston|"&amp;MONTH($A83),Rates!$A$2:$I$181,5,FALSE()),0))</f>
        <v>0</v>
      </c>
      <c r="I83" s="14" t="n">
        <f aca="false">IF(OR($A83="",$A83&gt;=Parameters!$B$14),1,IF(AND(H83&gt;0,CityData!F3&lt;=H83),1,0))</f>
        <v>1</v>
      </c>
      <c r="J83" s="14" t="n">
        <f aca="false">IF($A83="",0,IFERROR(VLOOKUP((YEAR($A83)+IF(MONTH($A83)&gt;=10,1,0))&amp;"|Chicago|"&amp;MONTH($A83),Rates!$A$2:$I$181,6,FALSE()),0))</f>
        <v>0</v>
      </c>
      <c r="K83" s="14" t="n">
        <f aca="false">IF(J83=0,0,VLOOKUP(J83,MIE_Components!$A$2:$F$6,2,FALSE()))</f>
        <v>0</v>
      </c>
      <c r="L83" s="14" t="n">
        <f aca="false">IF(J83=0,0,VLOOKUP(J83,MIE_Components!$A$2:$F$6,3,FALSE()))</f>
        <v>0</v>
      </c>
      <c r="M83" s="14" t="n">
        <f aca="false">IF(J83=0,0,VLOOKUP(J83,MIE_Components!$A$2:$F$6,4,FALSE()))</f>
        <v>0</v>
      </c>
      <c r="N83" s="14" t="n">
        <f aca="false">IF(OR($A83="",J83=0),0,MAX(5,J83*IF(OR($A83=Parameters!$B$13,$A83=Parameters!$B$14),0.75,1)-(IF(AND($A83=DATE(2026,11,29),NOV29BF="Yes"),K83,0)+IF(OR($A83=DATE(2026,11,29),$A83=DATE(2026,11,30),$A83=DATE(2026,12,1),$A83=DATE(2026,12,2)),L83,0)+IF(OR($A83=DATE(2026,11,28),$A83=DATE(2026,12,1)),M83,0))))</f>
        <v>0</v>
      </c>
      <c r="O83" s="14" t="n">
        <f aca="false">IF(AND($A83&lt;&gt;"",$A83&lt;Parameters!$B$14),CityData!F4*(1+TAXRATE),0)</f>
        <v>0</v>
      </c>
      <c r="P83" s="14" t="n">
        <f aca="false">IF($A83="",0,IFERROR(VLOOKUP((YEAR($A83)+IF(MONTH($A83)&gt;=10,1,0))&amp;"|Chicago|"&amp;MONTH($A83),Rates!$A$2:$I$181,5,FALSE()),0))</f>
        <v>0</v>
      </c>
      <c r="Q83" s="14" t="n">
        <f aca="false">IF(OR($A83="",$A83&gt;=Parameters!$B$14),1,IF(AND(P83&gt;0,CityData!F4&lt;=P83),1,0))</f>
        <v>1</v>
      </c>
      <c r="R83" s="14" t="n">
        <f aca="false">IF($A83="",0,IFERROR(VLOOKUP((YEAR($A83)+IF(MONTH($A83)&gt;=10,1,0))&amp;"|Denver|"&amp;MONTH($A83),Rates!$A$2:$I$181,6,FALSE()),0))</f>
        <v>0</v>
      </c>
      <c r="S83" s="14" t="n">
        <f aca="false">IF(R83=0,0,VLOOKUP(R83,MIE_Components!$A$2:$F$6,2,FALSE()))</f>
        <v>0</v>
      </c>
      <c r="T83" s="14" t="n">
        <f aca="false">IF(R83=0,0,VLOOKUP(R83,MIE_Components!$A$2:$F$6,3,FALSE()))</f>
        <v>0</v>
      </c>
      <c r="U83" s="14" t="n">
        <f aca="false">IF(R83=0,0,VLOOKUP(R83,MIE_Components!$A$2:$F$6,4,FALSE()))</f>
        <v>0</v>
      </c>
      <c r="V83" s="14" t="n">
        <f aca="false">IF(OR($A83="",R83=0),0,MAX(5,R83*IF(OR($A83=Parameters!$B$13,$A83=Parameters!$B$14),0.75,1)-(IF(AND($A83=DATE(2026,11,29),NOV29BF="Yes"),S83,0)+IF(OR($A83=DATE(2026,11,29),$A83=DATE(2026,11,30),$A83=DATE(2026,12,1),$A83=DATE(2026,12,2)),T83,0)+IF(OR($A83=DATE(2026,11,28),$A83=DATE(2026,12,1)),U83,0))))</f>
        <v>0</v>
      </c>
      <c r="W83" s="14" t="n">
        <f aca="false">IF(AND($A83&lt;&gt;"",$A83&lt;Parameters!$B$14),CityData!F5*(1+TAXRATE),0)</f>
        <v>0</v>
      </c>
      <c r="X83" s="14" t="n">
        <f aca="false">IF($A83="",0,IFERROR(VLOOKUP((YEAR($A83)+IF(MONTH($A83)&gt;=10,1,0))&amp;"|Denver|"&amp;MONTH($A83),Rates!$A$2:$I$181,5,FALSE()),0))</f>
        <v>0</v>
      </c>
      <c r="Y83" s="14" t="n">
        <f aca="false">IF(OR($A83="",$A83&gt;=Parameters!$B$14),1,IF(AND(X83&gt;0,CityData!F5&lt;=X83),1,0))</f>
        <v>1</v>
      </c>
      <c r="Z83" s="14" t="n">
        <f aca="false">IF($A83="",0,IFERROR(VLOOKUP((YEAR($A83)+IF(MONTH($A83)&gt;=10,1,0))&amp;"|Phoenix|"&amp;MONTH($A83),Rates!$A$2:$I$181,6,FALSE()),0))</f>
        <v>0</v>
      </c>
      <c r="AA83" s="14" t="n">
        <f aca="false">IF(Z83=0,0,VLOOKUP(Z83,MIE_Components!$A$2:$F$6,2,FALSE()))</f>
        <v>0</v>
      </c>
      <c r="AB83" s="14" t="n">
        <f aca="false">IF(Z83=0,0,VLOOKUP(Z83,MIE_Components!$A$2:$F$6,3,FALSE()))</f>
        <v>0</v>
      </c>
      <c r="AC83" s="14" t="n">
        <f aca="false">IF(Z83=0,0,VLOOKUP(Z83,MIE_Components!$A$2:$F$6,4,FALSE()))</f>
        <v>0</v>
      </c>
      <c r="AD83" s="14" t="n">
        <f aca="false">IF(OR($A83="",Z83=0),0,MAX(5,Z83*IF(OR($A83=Parameters!$B$13,$A83=Parameters!$B$14),0.75,1)-(IF(AND($A83=DATE(2026,11,29),NOV29BF="Yes"),AA83,0)+IF(OR($A83=DATE(2026,11,29),$A83=DATE(2026,11,30),$A83=DATE(2026,12,1),$A83=DATE(2026,12,2)),AB83,0)+IF(OR($A83=DATE(2026,11,28),$A83=DATE(2026,12,1)),AC83,0))))</f>
        <v>0</v>
      </c>
      <c r="AE83" s="14" t="n">
        <f aca="false">IF(AND($A83&lt;&gt;"",$A83&lt;Parameters!$B$14),CityData!F6*(1+TAXRATE),0)</f>
        <v>0</v>
      </c>
      <c r="AF83" s="14" t="n">
        <f aca="false">IF($A83="",0,IFERROR(VLOOKUP((YEAR($A83)+IF(MONTH($A83)&gt;=10,1,0))&amp;"|Phoenix|"&amp;MONTH($A83),Rates!$A$2:$I$181,5,FALSE()),0))</f>
        <v>0</v>
      </c>
      <c r="AG83" s="14" t="n">
        <f aca="false">IF(OR($A83="",$A83&gt;=Parameters!$B$14),1,IF(AND(AF83&gt;0,CityData!F6&lt;=AF83),1,0))</f>
        <v>1</v>
      </c>
      <c r="AH83" s="14" t="n">
        <f aca="false">IF($A83="",0,IFERROR(VLOOKUP((YEAR($A83)+IF(MONTH($A83)&gt;=10,1,0))&amp;"|Seattle|"&amp;MONTH($A83),Rates!$A$2:$I$181,6,FALSE()),0))</f>
        <v>0</v>
      </c>
      <c r="AI83" s="14" t="n">
        <f aca="false">IF(AH83=0,0,VLOOKUP(AH83,MIE_Components!$A$2:$F$6,2,FALSE()))</f>
        <v>0</v>
      </c>
      <c r="AJ83" s="14" t="n">
        <f aca="false">IF(AH83=0,0,VLOOKUP(AH83,MIE_Components!$A$2:$F$6,3,FALSE()))</f>
        <v>0</v>
      </c>
      <c r="AK83" s="14" t="n">
        <f aca="false">IF(AH83=0,0,VLOOKUP(AH83,MIE_Components!$A$2:$F$6,4,FALSE()))</f>
        <v>0</v>
      </c>
      <c r="AL83" s="14" t="n">
        <f aca="false">IF(OR($A83="",AH83=0),0,MAX(5,AH83*IF(OR($A83=Parameters!$B$13,$A83=Parameters!$B$14),0.75,1)-(IF(AND($A83=DATE(2026,11,29),NOV29BF="Yes"),AI83,0)+IF(OR($A83=DATE(2026,11,29),$A83=DATE(2026,11,30),$A83=DATE(2026,12,1),$A83=DATE(2026,12,2)),AJ83,0)+IF(OR($A83=DATE(2026,11,28),$A83=DATE(2026,12,1)),AK83,0))))</f>
        <v>0</v>
      </c>
      <c r="AM83" s="14" t="n">
        <f aca="false">IF(AND($A83&lt;&gt;"",$A83&lt;Parameters!$B$14),CityData!F7*(1+TAXRATE),0)</f>
        <v>0</v>
      </c>
      <c r="AN83" s="14" t="n">
        <f aca="false">IF($A83="",0,IFERROR(VLOOKUP((YEAR($A83)+IF(MONTH($A83)&gt;=10,1,0))&amp;"|Seattle|"&amp;MONTH($A83),Rates!$A$2:$I$181,5,FALSE()),0))</f>
        <v>0</v>
      </c>
      <c r="AO83" s="14" t="n">
        <f aca="false">IF(OR($A83="",$A83&gt;=Parameters!$B$14),1,IF(AND(AN83&gt;0,CityData!F7&lt;=AN83),1,0))</f>
        <v>1</v>
      </c>
    </row>
    <row r="84" customFormat="false" ht="15" hidden="false" customHeight="true" outlineLevel="0" collapsed="false">
      <c r="A84" s="23" t="str">
        <f aca="false">IF(AND(Parameters!$B$14&gt;=Parameters!$B$13,ROW()-2&lt;=Parameters!$B$14-Parameters!$B$13),Parameters!$B$13+ROW()-2,"")</f>
        <v/>
      </c>
      <c r="B84" s="14" t="n">
        <f aca="false">IF($A84="",0,IFERROR(VLOOKUP((YEAR($A84)+IF(MONTH($A84)&gt;=10,1,0))&amp;"|Boston|"&amp;MONTH($A84),Rates!$A$2:$I$181,6,FALSE()),0))</f>
        <v>0</v>
      </c>
      <c r="C84" s="14" t="n">
        <f aca="false">IF(B84=0,0,VLOOKUP(B84,MIE_Components!$A$2:$F$6,2,FALSE()))</f>
        <v>0</v>
      </c>
      <c r="D84" s="14" t="n">
        <f aca="false">IF(B84=0,0,VLOOKUP(B84,MIE_Components!$A$2:$F$6,3,FALSE()))</f>
        <v>0</v>
      </c>
      <c r="E84" s="14" t="n">
        <f aca="false">IF(B84=0,0,VLOOKUP(B84,MIE_Components!$A$2:$F$6,4,FALSE()))</f>
        <v>0</v>
      </c>
      <c r="F84" s="14" t="n">
        <f aca="false">IF(OR($A84="",B84=0),0,MAX(5,B84*IF(OR($A84=Parameters!$B$13,$A84=Parameters!$B$14),0.75,1)-(IF(AND($A84=DATE(2026,11,29),NOV29BF="Yes"),C84,0)+IF(OR($A84=DATE(2026,11,29),$A84=DATE(2026,11,30),$A84=DATE(2026,12,1),$A84=DATE(2026,12,2)),D84,0)+IF(OR($A84=DATE(2026,11,28),$A84=DATE(2026,12,1)),E84,0))))</f>
        <v>0</v>
      </c>
      <c r="G84" s="14" t="n">
        <f aca="false">IF(AND($A84&lt;&gt;"",$A84&lt;Parameters!$B$14),CityData!F3*(1+TAXRATE),0)</f>
        <v>0</v>
      </c>
      <c r="H84" s="14" t="n">
        <f aca="false">IF($A84="",0,IFERROR(VLOOKUP((YEAR($A84)+IF(MONTH($A84)&gt;=10,1,0))&amp;"|Boston|"&amp;MONTH($A84),Rates!$A$2:$I$181,5,FALSE()),0))</f>
        <v>0</v>
      </c>
      <c r="I84" s="14" t="n">
        <f aca="false">IF(OR($A84="",$A84&gt;=Parameters!$B$14),1,IF(AND(H84&gt;0,CityData!F3&lt;=H84),1,0))</f>
        <v>1</v>
      </c>
      <c r="J84" s="14" t="n">
        <f aca="false">IF($A84="",0,IFERROR(VLOOKUP((YEAR($A84)+IF(MONTH($A84)&gt;=10,1,0))&amp;"|Chicago|"&amp;MONTH($A84),Rates!$A$2:$I$181,6,FALSE()),0))</f>
        <v>0</v>
      </c>
      <c r="K84" s="14" t="n">
        <f aca="false">IF(J84=0,0,VLOOKUP(J84,MIE_Components!$A$2:$F$6,2,FALSE()))</f>
        <v>0</v>
      </c>
      <c r="L84" s="14" t="n">
        <f aca="false">IF(J84=0,0,VLOOKUP(J84,MIE_Components!$A$2:$F$6,3,FALSE()))</f>
        <v>0</v>
      </c>
      <c r="M84" s="14" t="n">
        <f aca="false">IF(J84=0,0,VLOOKUP(J84,MIE_Components!$A$2:$F$6,4,FALSE()))</f>
        <v>0</v>
      </c>
      <c r="N84" s="14" t="n">
        <f aca="false">IF(OR($A84="",J84=0),0,MAX(5,J84*IF(OR($A84=Parameters!$B$13,$A84=Parameters!$B$14),0.75,1)-(IF(AND($A84=DATE(2026,11,29),NOV29BF="Yes"),K84,0)+IF(OR($A84=DATE(2026,11,29),$A84=DATE(2026,11,30),$A84=DATE(2026,12,1),$A84=DATE(2026,12,2)),L84,0)+IF(OR($A84=DATE(2026,11,28),$A84=DATE(2026,12,1)),M84,0))))</f>
        <v>0</v>
      </c>
      <c r="O84" s="14" t="n">
        <f aca="false">IF(AND($A84&lt;&gt;"",$A84&lt;Parameters!$B$14),CityData!F4*(1+TAXRATE),0)</f>
        <v>0</v>
      </c>
      <c r="P84" s="14" t="n">
        <f aca="false">IF($A84="",0,IFERROR(VLOOKUP((YEAR($A84)+IF(MONTH($A84)&gt;=10,1,0))&amp;"|Chicago|"&amp;MONTH($A84),Rates!$A$2:$I$181,5,FALSE()),0))</f>
        <v>0</v>
      </c>
      <c r="Q84" s="14" t="n">
        <f aca="false">IF(OR($A84="",$A84&gt;=Parameters!$B$14),1,IF(AND(P84&gt;0,CityData!F4&lt;=P84),1,0))</f>
        <v>1</v>
      </c>
      <c r="R84" s="14" t="n">
        <f aca="false">IF($A84="",0,IFERROR(VLOOKUP((YEAR($A84)+IF(MONTH($A84)&gt;=10,1,0))&amp;"|Denver|"&amp;MONTH($A84),Rates!$A$2:$I$181,6,FALSE()),0))</f>
        <v>0</v>
      </c>
      <c r="S84" s="14" t="n">
        <f aca="false">IF(R84=0,0,VLOOKUP(R84,MIE_Components!$A$2:$F$6,2,FALSE()))</f>
        <v>0</v>
      </c>
      <c r="T84" s="14" t="n">
        <f aca="false">IF(R84=0,0,VLOOKUP(R84,MIE_Components!$A$2:$F$6,3,FALSE()))</f>
        <v>0</v>
      </c>
      <c r="U84" s="14" t="n">
        <f aca="false">IF(R84=0,0,VLOOKUP(R84,MIE_Components!$A$2:$F$6,4,FALSE()))</f>
        <v>0</v>
      </c>
      <c r="V84" s="14" t="n">
        <f aca="false">IF(OR($A84="",R84=0),0,MAX(5,R84*IF(OR($A84=Parameters!$B$13,$A84=Parameters!$B$14),0.75,1)-(IF(AND($A84=DATE(2026,11,29),NOV29BF="Yes"),S84,0)+IF(OR($A84=DATE(2026,11,29),$A84=DATE(2026,11,30),$A84=DATE(2026,12,1),$A84=DATE(2026,12,2)),T84,0)+IF(OR($A84=DATE(2026,11,28),$A84=DATE(2026,12,1)),U84,0))))</f>
        <v>0</v>
      </c>
      <c r="W84" s="14" t="n">
        <f aca="false">IF(AND($A84&lt;&gt;"",$A84&lt;Parameters!$B$14),CityData!F5*(1+TAXRATE),0)</f>
        <v>0</v>
      </c>
      <c r="X84" s="14" t="n">
        <f aca="false">IF($A84="",0,IFERROR(VLOOKUP((YEAR($A84)+IF(MONTH($A84)&gt;=10,1,0))&amp;"|Denver|"&amp;MONTH($A84),Rates!$A$2:$I$181,5,FALSE()),0))</f>
        <v>0</v>
      </c>
      <c r="Y84" s="14" t="n">
        <f aca="false">IF(OR($A84="",$A84&gt;=Parameters!$B$14),1,IF(AND(X84&gt;0,CityData!F5&lt;=X84),1,0))</f>
        <v>1</v>
      </c>
      <c r="Z84" s="14" t="n">
        <f aca="false">IF($A84="",0,IFERROR(VLOOKUP((YEAR($A84)+IF(MONTH($A84)&gt;=10,1,0))&amp;"|Phoenix|"&amp;MONTH($A84),Rates!$A$2:$I$181,6,FALSE()),0))</f>
        <v>0</v>
      </c>
      <c r="AA84" s="14" t="n">
        <f aca="false">IF(Z84=0,0,VLOOKUP(Z84,MIE_Components!$A$2:$F$6,2,FALSE()))</f>
        <v>0</v>
      </c>
      <c r="AB84" s="14" t="n">
        <f aca="false">IF(Z84=0,0,VLOOKUP(Z84,MIE_Components!$A$2:$F$6,3,FALSE()))</f>
        <v>0</v>
      </c>
      <c r="AC84" s="14" t="n">
        <f aca="false">IF(Z84=0,0,VLOOKUP(Z84,MIE_Components!$A$2:$F$6,4,FALSE()))</f>
        <v>0</v>
      </c>
      <c r="AD84" s="14" t="n">
        <f aca="false">IF(OR($A84="",Z84=0),0,MAX(5,Z84*IF(OR($A84=Parameters!$B$13,$A84=Parameters!$B$14),0.75,1)-(IF(AND($A84=DATE(2026,11,29),NOV29BF="Yes"),AA84,0)+IF(OR($A84=DATE(2026,11,29),$A84=DATE(2026,11,30),$A84=DATE(2026,12,1),$A84=DATE(2026,12,2)),AB84,0)+IF(OR($A84=DATE(2026,11,28),$A84=DATE(2026,12,1)),AC84,0))))</f>
        <v>0</v>
      </c>
      <c r="AE84" s="14" t="n">
        <f aca="false">IF(AND($A84&lt;&gt;"",$A84&lt;Parameters!$B$14),CityData!F6*(1+TAXRATE),0)</f>
        <v>0</v>
      </c>
      <c r="AF84" s="14" t="n">
        <f aca="false">IF($A84="",0,IFERROR(VLOOKUP((YEAR($A84)+IF(MONTH($A84)&gt;=10,1,0))&amp;"|Phoenix|"&amp;MONTH($A84),Rates!$A$2:$I$181,5,FALSE()),0))</f>
        <v>0</v>
      </c>
      <c r="AG84" s="14" t="n">
        <f aca="false">IF(OR($A84="",$A84&gt;=Parameters!$B$14),1,IF(AND(AF84&gt;0,CityData!F6&lt;=AF84),1,0))</f>
        <v>1</v>
      </c>
      <c r="AH84" s="14" t="n">
        <f aca="false">IF($A84="",0,IFERROR(VLOOKUP((YEAR($A84)+IF(MONTH($A84)&gt;=10,1,0))&amp;"|Seattle|"&amp;MONTH($A84),Rates!$A$2:$I$181,6,FALSE()),0))</f>
        <v>0</v>
      </c>
      <c r="AI84" s="14" t="n">
        <f aca="false">IF(AH84=0,0,VLOOKUP(AH84,MIE_Components!$A$2:$F$6,2,FALSE()))</f>
        <v>0</v>
      </c>
      <c r="AJ84" s="14" t="n">
        <f aca="false">IF(AH84=0,0,VLOOKUP(AH84,MIE_Components!$A$2:$F$6,3,FALSE()))</f>
        <v>0</v>
      </c>
      <c r="AK84" s="14" t="n">
        <f aca="false">IF(AH84=0,0,VLOOKUP(AH84,MIE_Components!$A$2:$F$6,4,FALSE()))</f>
        <v>0</v>
      </c>
      <c r="AL84" s="14" t="n">
        <f aca="false">IF(OR($A84="",AH84=0),0,MAX(5,AH84*IF(OR($A84=Parameters!$B$13,$A84=Parameters!$B$14),0.75,1)-(IF(AND($A84=DATE(2026,11,29),NOV29BF="Yes"),AI84,0)+IF(OR($A84=DATE(2026,11,29),$A84=DATE(2026,11,30),$A84=DATE(2026,12,1),$A84=DATE(2026,12,2)),AJ84,0)+IF(OR($A84=DATE(2026,11,28),$A84=DATE(2026,12,1)),AK84,0))))</f>
        <v>0</v>
      </c>
      <c r="AM84" s="14" t="n">
        <f aca="false">IF(AND($A84&lt;&gt;"",$A84&lt;Parameters!$B$14),CityData!F7*(1+TAXRATE),0)</f>
        <v>0</v>
      </c>
      <c r="AN84" s="14" t="n">
        <f aca="false">IF($A84="",0,IFERROR(VLOOKUP((YEAR($A84)+IF(MONTH($A84)&gt;=10,1,0))&amp;"|Seattle|"&amp;MONTH($A84),Rates!$A$2:$I$181,5,FALSE()),0))</f>
        <v>0</v>
      </c>
      <c r="AO84" s="14" t="n">
        <f aca="false">IF(OR($A84="",$A84&gt;=Parameters!$B$14),1,IF(AND(AN84&gt;0,CityData!F7&lt;=AN84),1,0))</f>
        <v>1</v>
      </c>
    </row>
    <row r="85" customFormat="false" ht="15" hidden="false" customHeight="true" outlineLevel="0" collapsed="false">
      <c r="A85" s="23" t="str">
        <f aca="false">IF(AND(Parameters!$B$14&gt;=Parameters!$B$13,ROW()-2&lt;=Parameters!$B$14-Parameters!$B$13),Parameters!$B$13+ROW()-2,"")</f>
        <v/>
      </c>
      <c r="B85" s="14" t="n">
        <f aca="false">IF($A85="",0,IFERROR(VLOOKUP((YEAR($A85)+IF(MONTH($A85)&gt;=10,1,0))&amp;"|Boston|"&amp;MONTH($A85),Rates!$A$2:$I$181,6,FALSE()),0))</f>
        <v>0</v>
      </c>
      <c r="C85" s="14" t="n">
        <f aca="false">IF(B85=0,0,VLOOKUP(B85,MIE_Components!$A$2:$F$6,2,FALSE()))</f>
        <v>0</v>
      </c>
      <c r="D85" s="14" t="n">
        <f aca="false">IF(B85=0,0,VLOOKUP(B85,MIE_Components!$A$2:$F$6,3,FALSE()))</f>
        <v>0</v>
      </c>
      <c r="E85" s="14" t="n">
        <f aca="false">IF(B85=0,0,VLOOKUP(B85,MIE_Components!$A$2:$F$6,4,FALSE()))</f>
        <v>0</v>
      </c>
      <c r="F85" s="14" t="n">
        <f aca="false">IF(OR($A85="",B85=0),0,MAX(5,B85*IF(OR($A85=Parameters!$B$13,$A85=Parameters!$B$14),0.75,1)-(IF(AND($A85=DATE(2026,11,29),NOV29BF="Yes"),C85,0)+IF(OR($A85=DATE(2026,11,29),$A85=DATE(2026,11,30),$A85=DATE(2026,12,1),$A85=DATE(2026,12,2)),D85,0)+IF(OR($A85=DATE(2026,11,28),$A85=DATE(2026,12,1)),E85,0))))</f>
        <v>0</v>
      </c>
      <c r="G85" s="14" t="n">
        <f aca="false">IF(AND($A85&lt;&gt;"",$A85&lt;Parameters!$B$14),CityData!F3*(1+TAXRATE),0)</f>
        <v>0</v>
      </c>
      <c r="H85" s="14" t="n">
        <f aca="false">IF($A85="",0,IFERROR(VLOOKUP((YEAR($A85)+IF(MONTH($A85)&gt;=10,1,0))&amp;"|Boston|"&amp;MONTH($A85),Rates!$A$2:$I$181,5,FALSE()),0))</f>
        <v>0</v>
      </c>
      <c r="I85" s="14" t="n">
        <f aca="false">IF(OR($A85="",$A85&gt;=Parameters!$B$14),1,IF(AND(H85&gt;0,CityData!F3&lt;=H85),1,0))</f>
        <v>1</v>
      </c>
      <c r="J85" s="14" t="n">
        <f aca="false">IF($A85="",0,IFERROR(VLOOKUP((YEAR($A85)+IF(MONTH($A85)&gt;=10,1,0))&amp;"|Chicago|"&amp;MONTH($A85),Rates!$A$2:$I$181,6,FALSE()),0))</f>
        <v>0</v>
      </c>
      <c r="K85" s="14" t="n">
        <f aca="false">IF(J85=0,0,VLOOKUP(J85,MIE_Components!$A$2:$F$6,2,FALSE()))</f>
        <v>0</v>
      </c>
      <c r="L85" s="14" t="n">
        <f aca="false">IF(J85=0,0,VLOOKUP(J85,MIE_Components!$A$2:$F$6,3,FALSE()))</f>
        <v>0</v>
      </c>
      <c r="M85" s="14" t="n">
        <f aca="false">IF(J85=0,0,VLOOKUP(J85,MIE_Components!$A$2:$F$6,4,FALSE()))</f>
        <v>0</v>
      </c>
      <c r="N85" s="14" t="n">
        <f aca="false">IF(OR($A85="",J85=0),0,MAX(5,J85*IF(OR($A85=Parameters!$B$13,$A85=Parameters!$B$14),0.75,1)-(IF(AND($A85=DATE(2026,11,29),NOV29BF="Yes"),K85,0)+IF(OR($A85=DATE(2026,11,29),$A85=DATE(2026,11,30),$A85=DATE(2026,12,1),$A85=DATE(2026,12,2)),L85,0)+IF(OR($A85=DATE(2026,11,28),$A85=DATE(2026,12,1)),M85,0))))</f>
        <v>0</v>
      </c>
      <c r="O85" s="14" t="n">
        <f aca="false">IF(AND($A85&lt;&gt;"",$A85&lt;Parameters!$B$14),CityData!F4*(1+TAXRATE),0)</f>
        <v>0</v>
      </c>
      <c r="P85" s="14" t="n">
        <f aca="false">IF($A85="",0,IFERROR(VLOOKUP((YEAR($A85)+IF(MONTH($A85)&gt;=10,1,0))&amp;"|Chicago|"&amp;MONTH($A85),Rates!$A$2:$I$181,5,FALSE()),0))</f>
        <v>0</v>
      </c>
      <c r="Q85" s="14" t="n">
        <f aca="false">IF(OR($A85="",$A85&gt;=Parameters!$B$14),1,IF(AND(P85&gt;0,CityData!F4&lt;=P85),1,0))</f>
        <v>1</v>
      </c>
      <c r="R85" s="14" t="n">
        <f aca="false">IF($A85="",0,IFERROR(VLOOKUP((YEAR($A85)+IF(MONTH($A85)&gt;=10,1,0))&amp;"|Denver|"&amp;MONTH($A85),Rates!$A$2:$I$181,6,FALSE()),0))</f>
        <v>0</v>
      </c>
      <c r="S85" s="14" t="n">
        <f aca="false">IF(R85=0,0,VLOOKUP(R85,MIE_Components!$A$2:$F$6,2,FALSE()))</f>
        <v>0</v>
      </c>
      <c r="T85" s="14" t="n">
        <f aca="false">IF(R85=0,0,VLOOKUP(R85,MIE_Components!$A$2:$F$6,3,FALSE()))</f>
        <v>0</v>
      </c>
      <c r="U85" s="14" t="n">
        <f aca="false">IF(R85=0,0,VLOOKUP(R85,MIE_Components!$A$2:$F$6,4,FALSE()))</f>
        <v>0</v>
      </c>
      <c r="V85" s="14" t="n">
        <f aca="false">IF(OR($A85="",R85=0),0,MAX(5,R85*IF(OR($A85=Parameters!$B$13,$A85=Parameters!$B$14),0.75,1)-(IF(AND($A85=DATE(2026,11,29),NOV29BF="Yes"),S85,0)+IF(OR($A85=DATE(2026,11,29),$A85=DATE(2026,11,30),$A85=DATE(2026,12,1),$A85=DATE(2026,12,2)),T85,0)+IF(OR($A85=DATE(2026,11,28),$A85=DATE(2026,12,1)),U85,0))))</f>
        <v>0</v>
      </c>
      <c r="W85" s="14" t="n">
        <f aca="false">IF(AND($A85&lt;&gt;"",$A85&lt;Parameters!$B$14),CityData!F5*(1+TAXRATE),0)</f>
        <v>0</v>
      </c>
      <c r="X85" s="14" t="n">
        <f aca="false">IF($A85="",0,IFERROR(VLOOKUP((YEAR($A85)+IF(MONTH($A85)&gt;=10,1,0))&amp;"|Denver|"&amp;MONTH($A85),Rates!$A$2:$I$181,5,FALSE()),0))</f>
        <v>0</v>
      </c>
      <c r="Y85" s="14" t="n">
        <f aca="false">IF(OR($A85="",$A85&gt;=Parameters!$B$14),1,IF(AND(X85&gt;0,CityData!F5&lt;=X85),1,0))</f>
        <v>1</v>
      </c>
      <c r="Z85" s="14" t="n">
        <f aca="false">IF($A85="",0,IFERROR(VLOOKUP((YEAR($A85)+IF(MONTH($A85)&gt;=10,1,0))&amp;"|Phoenix|"&amp;MONTH($A85),Rates!$A$2:$I$181,6,FALSE()),0))</f>
        <v>0</v>
      </c>
      <c r="AA85" s="14" t="n">
        <f aca="false">IF(Z85=0,0,VLOOKUP(Z85,MIE_Components!$A$2:$F$6,2,FALSE()))</f>
        <v>0</v>
      </c>
      <c r="AB85" s="14" t="n">
        <f aca="false">IF(Z85=0,0,VLOOKUP(Z85,MIE_Components!$A$2:$F$6,3,FALSE()))</f>
        <v>0</v>
      </c>
      <c r="AC85" s="14" t="n">
        <f aca="false">IF(Z85=0,0,VLOOKUP(Z85,MIE_Components!$A$2:$F$6,4,FALSE()))</f>
        <v>0</v>
      </c>
      <c r="AD85" s="14" t="n">
        <f aca="false">IF(OR($A85="",Z85=0),0,MAX(5,Z85*IF(OR($A85=Parameters!$B$13,$A85=Parameters!$B$14),0.75,1)-(IF(AND($A85=DATE(2026,11,29),NOV29BF="Yes"),AA85,0)+IF(OR($A85=DATE(2026,11,29),$A85=DATE(2026,11,30),$A85=DATE(2026,12,1),$A85=DATE(2026,12,2)),AB85,0)+IF(OR($A85=DATE(2026,11,28),$A85=DATE(2026,12,1)),AC85,0))))</f>
        <v>0</v>
      </c>
      <c r="AE85" s="14" t="n">
        <f aca="false">IF(AND($A85&lt;&gt;"",$A85&lt;Parameters!$B$14),CityData!F6*(1+TAXRATE),0)</f>
        <v>0</v>
      </c>
      <c r="AF85" s="14" t="n">
        <f aca="false">IF($A85="",0,IFERROR(VLOOKUP((YEAR($A85)+IF(MONTH($A85)&gt;=10,1,0))&amp;"|Phoenix|"&amp;MONTH($A85),Rates!$A$2:$I$181,5,FALSE()),0))</f>
        <v>0</v>
      </c>
      <c r="AG85" s="14" t="n">
        <f aca="false">IF(OR($A85="",$A85&gt;=Parameters!$B$14),1,IF(AND(AF85&gt;0,CityData!F6&lt;=AF85),1,0))</f>
        <v>1</v>
      </c>
      <c r="AH85" s="14" t="n">
        <f aca="false">IF($A85="",0,IFERROR(VLOOKUP((YEAR($A85)+IF(MONTH($A85)&gt;=10,1,0))&amp;"|Seattle|"&amp;MONTH($A85),Rates!$A$2:$I$181,6,FALSE()),0))</f>
        <v>0</v>
      </c>
      <c r="AI85" s="14" t="n">
        <f aca="false">IF(AH85=0,0,VLOOKUP(AH85,MIE_Components!$A$2:$F$6,2,FALSE()))</f>
        <v>0</v>
      </c>
      <c r="AJ85" s="14" t="n">
        <f aca="false">IF(AH85=0,0,VLOOKUP(AH85,MIE_Components!$A$2:$F$6,3,FALSE()))</f>
        <v>0</v>
      </c>
      <c r="AK85" s="14" t="n">
        <f aca="false">IF(AH85=0,0,VLOOKUP(AH85,MIE_Components!$A$2:$F$6,4,FALSE()))</f>
        <v>0</v>
      </c>
      <c r="AL85" s="14" t="n">
        <f aca="false">IF(OR($A85="",AH85=0),0,MAX(5,AH85*IF(OR($A85=Parameters!$B$13,$A85=Parameters!$B$14),0.75,1)-(IF(AND($A85=DATE(2026,11,29),NOV29BF="Yes"),AI85,0)+IF(OR($A85=DATE(2026,11,29),$A85=DATE(2026,11,30),$A85=DATE(2026,12,1),$A85=DATE(2026,12,2)),AJ85,0)+IF(OR($A85=DATE(2026,11,28),$A85=DATE(2026,12,1)),AK85,0))))</f>
        <v>0</v>
      </c>
      <c r="AM85" s="14" t="n">
        <f aca="false">IF(AND($A85&lt;&gt;"",$A85&lt;Parameters!$B$14),CityData!F7*(1+TAXRATE),0)</f>
        <v>0</v>
      </c>
      <c r="AN85" s="14" t="n">
        <f aca="false">IF($A85="",0,IFERROR(VLOOKUP((YEAR($A85)+IF(MONTH($A85)&gt;=10,1,0))&amp;"|Seattle|"&amp;MONTH($A85),Rates!$A$2:$I$181,5,FALSE()),0))</f>
        <v>0</v>
      </c>
      <c r="AO85" s="14" t="n">
        <f aca="false">IF(OR($A85="",$A85&gt;=Parameters!$B$14),1,IF(AND(AN85&gt;0,CityData!F7&lt;=AN85),1,0))</f>
        <v>1</v>
      </c>
    </row>
    <row r="86" customFormat="false" ht="15" hidden="false" customHeight="true" outlineLevel="0" collapsed="false">
      <c r="A86" s="23" t="str">
        <f aca="false">IF(AND(Parameters!$B$14&gt;=Parameters!$B$13,ROW()-2&lt;=Parameters!$B$14-Parameters!$B$13),Parameters!$B$13+ROW()-2,"")</f>
        <v/>
      </c>
      <c r="B86" s="14" t="n">
        <f aca="false">IF($A86="",0,IFERROR(VLOOKUP((YEAR($A86)+IF(MONTH($A86)&gt;=10,1,0))&amp;"|Boston|"&amp;MONTH($A86),Rates!$A$2:$I$181,6,FALSE()),0))</f>
        <v>0</v>
      </c>
      <c r="C86" s="14" t="n">
        <f aca="false">IF(B86=0,0,VLOOKUP(B86,MIE_Components!$A$2:$F$6,2,FALSE()))</f>
        <v>0</v>
      </c>
      <c r="D86" s="14" t="n">
        <f aca="false">IF(B86=0,0,VLOOKUP(B86,MIE_Components!$A$2:$F$6,3,FALSE()))</f>
        <v>0</v>
      </c>
      <c r="E86" s="14" t="n">
        <f aca="false">IF(B86=0,0,VLOOKUP(B86,MIE_Components!$A$2:$F$6,4,FALSE()))</f>
        <v>0</v>
      </c>
      <c r="F86" s="14" t="n">
        <f aca="false">IF(OR($A86="",B86=0),0,MAX(5,B86*IF(OR($A86=Parameters!$B$13,$A86=Parameters!$B$14),0.75,1)-(IF(AND($A86=DATE(2026,11,29),NOV29BF="Yes"),C86,0)+IF(OR($A86=DATE(2026,11,29),$A86=DATE(2026,11,30),$A86=DATE(2026,12,1),$A86=DATE(2026,12,2)),D86,0)+IF(OR($A86=DATE(2026,11,28),$A86=DATE(2026,12,1)),E86,0))))</f>
        <v>0</v>
      </c>
      <c r="G86" s="14" t="n">
        <f aca="false">IF(AND($A86&lt;&gt;"",$A86&lt;Parameters!$B$14),CityData!F3*(1+TAXRATE),0)</f>
        <v>0</v>
      </c>
      <c r="H86" s="14" t="n">
        <f aca="false">IF($A86="",0,IFERROR(VLOOKUP((YEAR($A86)+IF(MONTH($A86)&gt;=10,1,0))&amp;"|Boston|"&amp;MONTH($A86),Rates!$A$2:$I$181,5,FALSE()),0))</f>
        <v>0</v>
      </c>
      <c r="I86" s="14" t="n">
        <f aca="false">IF(OR($A86="",$A86&gt;=Parameters!$B$14),1,IF(AND(H86&gt;0,CityData!F3&lt;=H86),1,0))</f>
        <v>1</v>
      </c>
      <c r="J86" s="14" t="n">
        <f aca="false">IF($A86="",0,IFERROR(VLOOKUP((YEAR($A86)+IF(MONTH($A86)&gt;=10,1,0))&amp;"|Chicago|"&amp;MONTH($A86),Rates!$A$2:$I$181,6,FALSE()),0))</f>
        <v>0</v>
      </c>
      <c r="K86" s="14" t="n">
        <f aca="false">IF(J86=0,0,VLOOKUP(J86,MIE_Components!$A$2:$F$6,2,FALSE()))</f>
        <v>0</v>
      </c>
      <c r="L86" s="14" t="n">
        <f aca="false">IF(J86=0,0,VLOOKUP(J86,MIE_Components!$A$2:$F$6,3,FALSE()))</f>
        <v>0</v>
      </c>
      <c r="M86" s="14" t="n">
        <f aca="false">IF(J86=0,0,VLOOKUP(J86,MIE_Components!$A$2:$F$6,4,FALSE()))</f>
        <v>0</v>
      </c>
      <c r="N86" s="14" t="n">
        <f aca="false">IF(OR($A86="",J86=0),0,MAX(5,J86*IF(OR($A86=Parameters!$B$13,$A86=Parameters!$B$14),0.75,1)-(IF(AND($A86=DATE(2026,11,29),NOV29BF="Yes"),K86,0)+IF(OR($A86=DATE(2026,11,29),$A86=DATE(2026,11,30),$A86=DATE(2026,12,1),$A86=DATE(2026,12,2)),L86,0)+IF(OR($A86=DATE(2026,11,28),$A86=DATE(2026,12,1)),M86,0))))</f>
        <v>0</v>
      </c>
      <c r="O86" s="14" t="n">
        <f aca="false">IF(AND($A86&lt;&gt;"",$A86&lt;Parameters!$B$14),CityData!F4*(1+TAXRATE),0)</f>
        <v>0</v>
      </c>
      <c r="P86" s="14" t="n">
        <f aca="false">IF($A86="",0,IFERROR(VLOOKUP((YEAR($A86)+IF(MONTH($A86)&gt;=10,1,0))&amp;"|Chicago|"&amp;MONTH($A86),Rates!$A$2:$I$181,5,FALSE()),0))</f>
        <v>0</v>
      </c>
      <c r="Q86" s="14" t="n">
        <f aca="false">IF(OR($A86="",$A86&gt;=Parameters!$B$14),1,IF(AND(P86&gt;0,CityData!F4&lt;=P86),1,0))</f>
        <v>1</v>
      </c>
      <c r="R86" s="14" t="n">
        <f aca="false">IF($A86="",0,IFERROR(VLOOKUP((YEAR($A86)+IF(MONTH($A86)&gt;=10,1,0))&amp;"|Denver|"&amp;MONTH($A86),Rates!$A$2:$I$181,6,FALSE()),0))</f>
        <v>0</v>
      </c>
      <c r="S86" s="14" t="n">
        <f aca="false">IF(R86=0,0,VLOOKUP(R86,MIE_Components!$A$2:$F$6,2,FALSE()))</f>
        <v>0</v>
      </c>
      <c r="T86" s="14" t="n">
        <f aca="false">IF(R86=0,0,VLOOKUP(R86,MIE_Components!$A$2:$F$6,3,FALSE()))</f>
        <v>0</v>
      </c>
      <c r="U86" s="14" t="n">
        <f aca="false">IF(R86=0,0,VLOOKUP(R86,MIE_Components!$A$2:$F$6,4,FALSE()))</f>
        <v>0</v>
      </c>
      <c r="V86" s="14" t="n">
        <f aca="false">IF(OR($A86="",R86=0),0,MAX(5,R86*IF(OR($A86=Parameters!$B$13,$A86=Parameters!$B$14),0.75,1)-(IF(AND($A86=DATE(2026,11,29),NOV29BF="Yes"),S86,0)+IF(OR($A86=DATE(2026,11,29),$A86=DATE(2026,11,30),$A86=DATE(2026,12,1),$A86=DATE(2026,12,2)),T86,0)+IF(OR($A86=DATE(2026,11,28),$A86=DATE(2026,12,1)),U86,0))))</f>
        <v>0</v>
      </c>
      <c r="W86" s="14" t="n">
        <f aca="false">IF(AND($A86&lt;&gt;"",$A86&lt;Parameters!$B$14),CityData!F5*(1+TAXRATE),0)</f>
        <v>0</v>
      </c>
      <c r="X86" s="14" t="n">
        <f aca="false">IF($A86="",0,IFERROR(VLOOKUP((YEAR($A86)+IF(MONTH($A86)&gt;=10,1,0))&amp;"|Denver|"&amp;MONTH($A86),Rates!$A$2:$I$181,5,FALSE()),0))</f>
        <v>0</v>
      </c>
      <c r="Y86" s="14" t="n">
        <f aca="false">IF(OR($A86="",$A86&gt;=Parameters!$B$14),1,IF(AND(X86&gt;0,CityData!F5&lt;=X86),1,0))</f>
        <v>1</v>
      </c>
      <c r="Z86" s="14" t="n">
        <f aca="false">IF($A86="",0,IFERROR(VLOOKUP((YEAR($A86)+IF(MONTH($A86)&gt;=10,1,0))&amp;"|Phoenix|"&amp;MONTH($A86),Rates!$A$2:$I$181,6,FALSE()),0))</f>
        <v>0</v>
      </c>
      <c r="AA86" s="14" t="n">
        <f aca="false">IF(Z86=0,0,VLOOKUP(Z86,MIE_Components!$A$2:$F$6,2,FALSE()))</f>
        <v>0</v>
      </c>
      <c r="AB86" s="14" t="n">
        <f aca="false">IF(Z86=0,0,VLOOKUP(Z86,MIE_Components!$A$2:$F$6,3,FALSE()))</f>
        <v>0</v>
      </c>
      <c r="AC86" s="14" t="n">
        <f aca="false">IF(Z86=0,0,VLOOKUP(Z86,MIE_Components!$A$2:$F$6,4,FALSE()))</f>
        <v>0</v>
      </c>
      <c r="AD86" s="14" t="n">
        <f aca="false">IF(OR($A86="",Z86=0),0,MAX(5,Z86*IF(OR($A86=Parameters!$B$13,$A86=Parameters!$B$14),0.75,1)-(IF(AND($A86=DATE(2026,11,29),NOV29BF="Yes"),AA86,0)+IF(OR($A86=DATE(2026,11,29),$A86=DATE(2026,11,30),$A86=DATE(2026,12,1),$A86=DATE(2026,12,2)),AB86,0)+IF(OR($A86=DATE(2026,11,28),$A86=DATE(2026,12,1)),AC86,0))))</f>
        <v>0</v>
      </c>
      <c r="AE86" s="14" t="n">
        <f aca="false">IF(AND($A86&lt;&gt;"",$A86&lt;Parameters!$B$14),CityData!F6*(1+TAXRATE),0)</f>
        <v>0</v>
      </c>
      <c r="AF86" s="14" t="n">
        <f aca="false">IF($A86="",0,IFERROR(VLOOKUP((YEAR($A86)+IF(MONTH($A86)&gt;=10,1,0))&amp;"|Phoenix|"&amp;MONTH($A86),Rates!$A$2:$I$181,5,FALSE()),0))</f>
        <v>0</v>
      </c>
      <c r="AG86" s="14" t="n">
        <f aca="false">IF(OR($A86="",$A86&gt;=Parameters!$B$14),1,IF(AND(AF86&gt;0,CityData!F6&lt;=AF86),1,0))</f>
        <v>1</v>
      </c>
      <c r="AH86" s="14" t="n">
        <f aca="false">IF($A86="",0,IFERROR(VLOOKUP((YEAR($A86)+IF(MONTH($A86)&gt;=10,1,0))&amp;"|Seattle|"&amp;MONTH($A86),Rates!$A$2:$I$181,6,FALSE()),0))</f>
        <v>0</v>
      </c>
      <c r="AI86" s="14" t="n">
        <f aca="false">IF(AH86=0,0,VLOOKUP(AH86,MIE_Components!$A$2:$F$6,2,FALSE()))</f>
        <v>0</v>
      </c>
      <c r="AJ86" s="14" t="n">
        <f aca="false">IF(AH86=0,0,VLOOKUP(AH86,MIE_Components!$A$2:$F$6,3,FALSE()))</f>
        <v>0</v>
      </c>
      <c r="AK86" s="14" t="n">
        <f aca="false">IF(AH86=0,0,VLOOKUP(AH86,MIE_Components!$A$2:$F$6,4,FALSE()))</f>
        <v>0</v>
      </c>
      <c r="AL86" s="14" t="n">
        <f aca="false">IF(OR($A86="",AH86=0),0,MAX(5,AH86*IF(OR($A86=Parameters!$B$13,$A86=Parameters!$B$14),0.75,1)-(IF(AND($A86=DATE(2026,11,29),NOV29BF="Yes"),AI86,0)+IF(OR($A86=DATE(2026,11,29),$A86=DATE(2026,11,30),$A86=DATE(2026,12,1),$A86=DATE(2026,12,2)),AJ86,0)+IF(OR($A86=DATE(2026,11,28),$A86=DATE(2026,12,1)),AK86,0))))</f>
        <v>0</v>
      </c>
      <c r="AM86" s="14" t="n">
        <f aca="false">IF(AND($A86&lt;&gt;"",$A86&lt;Parameters!$B$14),CityData!F7*(1+TAXRATE),0)</f>
        <v>0</v>
      </c>
      <c r="AN86" s="14" t="n">
        <f aca="false">IF($A86="",0,IFERROR(VLOOKUP((YEAR($A86)+IF(MONTH($A86)&gt;=10,1,0))&amp;"|Seattle|"&amp;MONTH($A86),Rates!$A$2:$I$181,5,FALSE()),0))</f>
        <v>0</v>
      </c>
      <c r="AO86" s="14" t="n">
        <f aca="false">IF(OR($A86="",$A86&gt;=Parameters!$B$14),1,IF(AND(AN86&gt;0,CityData!F7&lt;=AN86),1,0))</f>
        <v>1</v>
      </c>
    </row>
    <row r="87" customFormat="false" ht="15" hidden="false" customHeight="true" outlineLevel="0" collapsed="false">
      <c r="A87" s="23" t="str">
        <f aca="false">IF(AND(Parameters!$B$14&gt;=Parameters!$B$13,ROW()-2&lt;=Parameters!$B$14-Parameters!$B$13),Parameters!$B$13+ROW()-2,"")</f>
        <v/>
      </c>
      <c r="B87" s="14" t="n">
        <f aca="false">IF($A87="",0,IFERROR(VLOOKUP((YEAR($A87)+IF(MONTH($A87)&gt;=10,1,0))&amp;"|Boston|"&amp;MONTH($A87),Rates!$A$2:$I$181,6,FALSE()),0))</f>
        <v>0</v>
      </c>
      <c r="C87" s="14" t="n">
        <f aca="false">IF(B87=0,0,VLOOKUP(B87,MIE_Components!$A$2:$F$6,2,FALSE()))</f>
        <v>0</v>
      </c>
      <c r="D87" s="14" t="n">
        <f aca="false">IF(B87=0,0,VLOOKUP(B87,MIE_Components!$A$2:$F$6,3,FALSE()))</f>
        <v>0</v>
      </c>
      <c r="E87" s="14" t="n">
        <f aca="false">IF(B87=0,0,VLOOKUP(B87,MIE_Components!$A$2:$F$6,4,FALSE()))</f>
        <v>0</v>
      </c>
      <c r="F87" s="14" t="n">
        <f aca="false">IF(OR($A87="",B87=0),0,MAX(5,B87*IF(OR($A87=Parameters!$B$13,$A87=Parameters!$B$14),0.75,1)-(IF(AND($A87=DATE(2026,11,29),NOV29BF="Yes"),C87,0)+IF(OR($A87=DATE(2026,11,29),$A87=DATE(2026,11,30),$A87=DATE(2026,12,1),$A87=DATE(2026,12,2)),D87,0)+IF(OR($A87=DATE(2026,11,28),$A87=DATE(2026,12,1)),E87,0))))</f>
        <v>0</v>
      </c>
      <c r="G87" s="14" t="n">
        <f aca="false">IF(AND($A87&lt;&gt;"",$A87&lt;Parameters!$B$14),CityData!F3*(1+TAXRATE),0)</f>
        <v>0</v>
      </c>
      <c r="H87" s="14" t="n">
        <f aca="false">IF($A87="",0,IFERROR(VLOOKUP((YEAR($A87)+IF(MONTH($A87)&gt;=10,1,0))&amp;"|Boston|"&amp;MONTH($A87),Rates!$A$2:$I$181,5,FALSE()),0))</f>
        <v>0</v>
      </c>
      <c r="I87" s="14" t="n">
        <f aca="false">IF(OR($A87="",$A87&gt;=Parameters!$B$14),1,IF(AND(H87&gt;0,CityData!F3&lt;=H87),1,0))</f>
        <v>1</v>
      </c>
      <c r="J87" s="14" t="n">
        <f aca="false">IF($A87="",0,IFERROR(VLOOKUP((YEAR($A87)+IF(MONTH($A87)&gt;=10,1,0))&amp;"|Chicago|"&amp;MONTH($A87),Rates!$A$2:$I$181,6,FALSE()),0))</f>
        <v>0</v>
      </c>
      <c r="K87" s="14" t="n">
        <f aca="false">IF(J87=0,0,VLOOKUP(J87,MIE_Components!$A$2:$F$6,2,FALSE()))</f>
        <v>0</v>
      </c>
      <c r="L87" s="14" t="n">
        <f aca="false">IF(J87=0,0,VLOOKUP(J87,MIE_Components!$A$2:$F$6,3,FALSE()))</f>
        <v>0</v>
      </c>
      <c r="M87" s="14" t="n">
        <f aca="false">IF(J87=0,0,VLOOKUP(J87,MIE_Components!$A$2:$F$6,4,FALSE()))</f>
        <v>0</v>
      </c>
      <c r="N87" s="14" t="n">
        <f aca="false">IF(OR($A87="",J87=0),0,MAX(5,J87*IF(OR($A87=Parameters!$B$13,$A87=Parameters!$B$14),0.75,1)-(IF(AND($A87=DATE(2026,11,29),NOV29BF="Yes"),K87,0)+IF(OR($A87=DATE(2026,11,29),$A87=DATE(2026,11,30),$A87=DATE(2026,12,1),$A87=DATE(2026,12,2)),L87,0)+IF(OR($A87=DATE(2026,11,28),$A87=DATE(2026,12,1)),M87,0))))</f>
        <v>0</v>
      </c>
      <c r="O87" s="14" t="n">
        <f aca="false">IF(AND($A87&lt;&gt;"",$A87&lt;Parameters!$B$14),CityData!F4*(1+TAXRATE),0)</f>
        <v>0</v>
      </c>
      <c r="P87" s="14" t="n">
        <f aca="false">IF($A87="",0,IFERROR(VLOOKUP((YEAR($A87)+IF(MONTH($A87)&gt;=10,1,0))&amp;"|Chicago|"&amp;MONTH($A87),Rates!$A$2:$I$181,5,FALSE()),0))</f>
        <v>0</v>
      </c>
      <c r="Q87" s="14" t="n">
        <f aca="false">IF(OR($A87="",$A87&gt;=Parameters!$B$14),1,IF(AND(P87&gt;0,CityData!F4&lt;=P87),1,0))</f>
        <v>1</v>
      </c>
      <c r="R87" s="14" t="n">
        <f aca="false">IF($A87="",0,IFERROR(VLOOKUP((YEAR($A87)+IF(MONTH($A87)&gt;=10,1,0))&amp;"|Denver|"&amp;MONTH($A87),Rates!$A$2:$I$181,6,FALSE()),0))</f>
        <v>0</v>
      </c>
      <c r="S87" s="14" t="n">
        <f aca="false">IF(R87=0,0,VLOOKUP(R87,MIE_Components!$A$2:$F$6,2,FALSE()))</f>
        <v>0</v>
      </c>
      <c r="T87" s="14" t="n">
        <f aca="false">IF(R87=0,0,VLOOKUP(R87,MIE_Components!$A$2:$F$6,3,FALSE()))</f>
        <v>0</v>
      </c>
      <c r="U87" s="14" t="n">
        <f aca="false">IF(R87=0,0,VLOOKUP(R87,MIE_Components!$A$2:$F$6,4,FALSE()))</f>
        <v>0</v>
      </c>
      <c r="V87" s="14" t="n">
        <f aca="false">IF(OR($A87="",R87=0),0,MAX(5,R87*IF(OR($A87=Parameters!$B$13,$A87=Parameters!$B$14),0.75,1)-(IF(AND($A87=DATE(2026,11,29),NOV29BF="Yes"),S87,0)+IF(OR($A87=DATE(2026,11,29),$A87=DATE(2026,11,30),$A87=DATE(2026,12,1),$A87=DATE(2026,12,2)),T87,0)+IF(OR($A87=DATE(2026,11,28),$A87=DATE(2026,12,1)),U87,0))))</f>
        <v>0</v>
      </c>
      <c r="W87" s="14" t="n">
        <f aca="false">IF(AND($A87&lt;&gt;"",$A87&lt;Parameters!$B$14),CityData!F5*(1+TAXRATE),0)</f>
        <v>0</v>
      </c>
      <c r="X87" s="14" t="n">
        <f aca="false">IF($A87="",0,IFERROR(VLOOKUP((YEAR($A87)+IF(MONTH($A87)&gt;=10,1,0))&amp;"|Denver|"&amp;MONTH($A87),Rates!$A$2:$I$181,5,FALSE()),0))</f>
        <v>0</v>
      </c>
      <c r="Y87" s="14" t="n">
        <f aca="false">IF(OR($A87="",$A87&gt;=Parameters!$B$14),1,IF(AND(X87&gt;0,CityData!F5&lt;=X87),1,0))</f>
        <v>1</v>
      </c>
      <c r="Z87" s="14" t="n">
        <f aca="false">IF($A87="",0,IFERROR(VLOOKUP((YEAR($A87)+IF(MONTH($A87)&gt;=10,1,0))&amp;"|Phoenix|"&amp;MONTH($A87),Rates!$A$2:$I$181,6,FALSE()),0))</f>
        <v>0</v>
      </c>
      <c r="AA87" s="14" t="n">
        <f aca="false">IF(Z87=0,0,VLOOKUP(Z87,MIE_Components!$A$2:$F$6,2,FALSE()))</f>
        <v>0</v>
      </c>
      <c r="AB87" s="14" t="n">
        <f aca="false">IF(Z87=0,0,VLOOKUP(Z87,MIE_Components!$A$2:$F$6,3,FALSE()))</f>
        <v>0</v>
      </c>
      <c r="AC87" s="14" t="n">
        <f aca="false">IF(Z87=0,0,VLOOKUP(Z87,MIE_Components!$A$2:$F$6,4,FALSE()))</f>
        <v>0</v>
      </c>
      <c r="AD87" s="14" t="n">
        <f aca="false">IF(OR($A87="",Z87=0),0,MAX(5,Z87*IF(OR($A87=Parameters!$B$13,$A87=Parameters!$B$14),0.75,1)-(IF(AND($A87=DATE(2026,11,29),NOV29BF="Yes"),AA87,0)+IF(OR($A87=DATE(2026,11,29),$A87=DATE(2026,11,30),$A87=DATE(2026,12,1),$A87=DATE(2026,12,2)),AB87,0)+IF(OR($A87=DATE(2026,11,28),$A87=DATE(2026,12,1)),AC87,0))))</f>
        <v>0</v>
      </c>
      <c r="AE87" s="14" t="n">
        <f aca="false">IF(AND($A87&lt;&gt;"",$A87&lt;Parameters!$B$14),CityData!F6*(1+TAXRATE),0)</f>
        <v>0</v>
      </c>
      <c r="AF87" s="14" t="n">
        <f aca="false">IF($A87="",0,IFERROR(VLOOKUP((YEAR($A87)+IF(MONTH($A87)&gt;=10,1,0))&amp;"|Phoenix|"&amp;MONTH($A87),Rates!$A$2:$I$181,5,FALSE()),0))</f>
        <v>0</v>
      </c>
      <c r="AG87" s="14" t="n">
        <f aca="false">IF(OR($A87="",$A87&gt;=Parameters!$B$14),1,IF(AND(AF87&gt;0,CityData!F6&lt;=AF87),1,0))</f>
        <v>1</v>
      </c>
      <c r="AH87" s="14" t="n">
        <f aca="false">IF($A87="",0,IFERROR(VLOOKUP((YEAR($A87)+IF(MONTH($A87)&gt;=10,1,0))&amp;"|Seattle|"&amp;MONTH($A87),Rates!$A$2:$I$181,6,FALSE()),0))</f>
        <v>0</v>
      </c>
      <c r="AI87" s="14" t="n">
        <f aca="false">IF(AH87=0,0,VLOOKUP(AH87,MIE_Components!$A$2:$F$6,2,FALSE()))</f>
        <v>0</v>
      </c>
      <c r="AJ87" s="14" t="n">
        <f aca="false">IF(AH87=0,0,VLOOKUP(AH87,MIE_Components!$A$2:$F$6,3,FALSE()))</f>
        <v>0</v>
      </c>
      <c r="AK87" s="14" t="n">
        <f aca="false">IF(AH87=0,0,VLOOKUP(AH87,MIE_Components!$A$2:$F$6,4,FALSE()))</f>
        <v>0</v>
      </c>
      <c r="AL87" s="14" t="n">
        <f aca="false">IF(OR($A87="",AH87=0),0,MAX(5,AH87*IF(OR($A87=Parameters!$B$13,$A87=Parameters!$B$14),0.75,1)-(IF(AND($A87=DATE(2026,11,29),NOV29BF="Yes"),AI87,0)+IF(OR($A87=DATE(2026,11,29),$A87=DATE(2026,11,30),$A87=DATE(2026,12,1),$A87=DATE(2026,12,2)),AJ87,0)+IF(OR($A87=DATE(2026,11,28),$A87=DATE(2026,12,1)),AK87,0))))</f>
        <v>0</v>
      </c>
      <c r="AM87" s="14" t="n">
        <f aca="false">IF(AND($A87&lt;&gt;"",$A87&lt;Parameters!$B$14),CityData!F7*(1+TAXRATE),0)</f>
        <v>0</v>
      </c>
      <c r="AN87" s="14" t="n">
        <f aca="false">IF($A87="",0,IFERROR(VLOOKUP((YEAR($A87)+IF(MONTH($A87)&gt;=10,1,0))&amp;"|Seattle|"&amp;MONTH($A87),Rates!$A$2:$I$181,5,FALSE()),0))</f>
        <v>0</v>
      </c>
      <c r="AO87" s="14" t="n">
        <f aca="false">IF(OR($A87="",$A87&gt;=Parameters!$B$14),1,IF(AND(AN87&gt;0,CityData!F7&lt;=AN87),1,0))</f>
        <v>1</v>
      </c>
    </row>
    <row r="88" customFormat="false" ht="15" hidden="false" customHeight="true" outlineLevel="0" collapsed="false">
      <c r="A88" s="23" t="str">
        <f aca="false">IF(AND(Parameters!$B$14&gt;=Parameters!$B$13,ROW()-2&lt;=Parameters!$B$14-Parameters!$B$13),Parameters!$B$13+ROW()-2,"")</f>
        <v/>
      </c>
      <c r="B88" s="14" t="n">
        <f aca="false">IF($A88="",0,IFERROR(VLOOKUP((YEAR($A88)+IF(MONTH($A88)&gt;=10,1,0))&amp;"|Boston|"&amp;MONTH($A88),Rates!$A$2:$I$181,6,FALSE()),0))</f>
        <v>0</v>
      </c>
      <c r="C88" s="14" t="n">
        <f aca="false">IF(B88=0,0,VLOOKUP(B88,MIE_Components!$A$2:$F$6,2,FALSE()))</f>
        <v>0</v>
      </c>
      <c r="D88" s="14" t="n">
        <f aca="false">IF(B88=0,0,VLOOKUP(B88,MIE_Components!$A$2:$F$6,3,FALSE()))</f>
        <v>0</v>
      </c>
      <c r="E88" s="14" t="n">
        <f aca="false">IF(B88=0,0,VLOOKUP(B88,MIE_Components!$A$2:$F$6,4,FALSE()))</f>
        <v>0</v>
      </c>
      <c r="F88" s="14" t="n">
        <f aca="false">IF(OR($A88="",B88=0),0,MAX(5,B88*IF(OR($A88=Parameters!$B$13,$A88=Parameters!$B$14),0.75,1)-(IF(AND($A88=DATE(2026,11,29),NOV29BF="Yes"),C88,0)+IF(OR($A88=DATE(2026,11,29),$A88=DATE(2026,11,30),$A88=DATE(2026,12,1),$A88=DATE(2026,12,2)),D88,0)+IF(OR($A88=DATE(2026,11,28),$A88=DATE(2026,12,1)),E88,0))))</f>
        <v>0</v>
      </c>
      <c r="G88" s="14" t="n">
        <f aca="false">IF(AND($A88&lt;&gt;"",$A88&lt;Parameters!$B$14),CityData!F3*(1+TAXRATE),0)</f>
        <v>0</v>
      </c>
      <c r="H88" s="14" t="n">
        <f aca="false">IF($A88="",0,IFERROR(VLOOKUP((YEAR($A88)+IF(MONTH($A88)&gt;=10,1,0))&amp;"|Boston|"&amp;MONTH($A88),Rates!$A$2:$I$181,5,FALSE()),0))</f>
        <v>0</v>
      </c>
      <c r="I88" s="14" t="n">
        <f aca="false">IF(OR($A88="",$A88&gt;=Parameters!$B$14),1,IF(AND(H88&gt;0,CityData!F3&lt;=H88),1,0))</f>
        <v>1</v>
      </c>
      <c r="J88" s="14" t="n">
        <f aca="false">IF($A88="",0,IFERROR(VLOOKUP((YEAR($A88)+IF(MONTH($A88)&gt;=10,1,0))&amp;"|Chicago|"&amp;MONTH($A88),Rates!$A$2:$I$181,6,FALSE()),0))</f>
        <v>0</v>
      </c>
      <c r="K88" s="14" t="n">
        <f aca="false">IF(J88=0,0,VLOOKUP(J88,MIE_Components!$A$2:$F$6,2,FALSE()))</f>
        <v>0</v>
      </c>
      <c r="L88" s="14" t="n">
        <f aca="false">IF(J88=0,0,VLOOKUP(J88,MIE_Components!$A$2:$F$6,3,FALSE()))</f>
        <v>0</v>
      </c>
      <c r="M88" s="14" t="n">
        <f aca="false">IF(J88=0,0,VLOOKUP(J88,MIE_Components!$A$2:$F$6,4,FALSE()))</f>
        <v>0</v>
      </c>
      <c r="N88" s="14" t="n">
        <f aca="false">IF(OR($A88="",J88=0),0,MAX(5,J88*IF(OR($A88=Parameters!$B$13,$A88=Parameters!$B$14),0.75,1)-(IF(AND($A88=DATE(2026,11,29),NOV29BF="Yes"),K88,0)+IF(OR($A88=DATE(2026,11,29),$A88=DATE(2026,11,30),$A88=DATE(2026,12,1),$A88=DATE(2026,12,2)),L88,0)+IF(OR($A88=DATE(2026,11,28),$A88=DATE(2026,12,1)),M88,0))))</f>
        <v>0</v>
      </c>
      <c r="O88" s="14" t="n">
        <f aca="false">IF(AND($A88&lt;&gt;"",$A88&lt;Parameters!$B$14),CityData!F4*(1+TAXRATE),0)</f>
        <v>0</v>
      </c>
      <c r="P88" s="14" t="n">
        <f aca="false">IF($A88="",0,IFERROR(VLOOKUP((YEAR($A88)+IF(MONTH($A88)&gt;=10,1,0))&amp;"|Chicago|"&amp;MONTH($A88),Rates!$A$2:$I$181,5,FALSE()),0))</f>
        <v>0</v>
      </c>
      <c r="Q88" s="14" t="n">
        <f aca="false">IF(OR($A88="",$A88&gt;=Parameters!$B$14),1,IF(AND(P88&gt;0,CityData!F4&lt;=P88),1,0))</f>
        <v>1</v>
      </c>
      <c r="R88" s="14" t="n">
        <f aca="false">IF($A88="",0,IFERROR(VLOOKUP((YEAR($A88)+IF(MONTH($A88)&gt;=10,1,0))&amp;"|Denver|"&amp;MONTH($A88),Rates!$A$2:$I$181,6,FALSE()),0))</f>
        <v>0</v>
      </c>
      <c r="S88" s="14" t="n">
        <f aca="false">IF(R88=0,0,VLOOKUP(R88,MIE_Components!$A$2:$F$6,2,FALSE()))</f>
        <v>0</v>
      </c>
      <c r="T88" s="14" t="n">
        <f aca="false">IF(R88=0,0,VLOOKUP(R88,MIE_Components!$A$2:$F$6,3,FALSE()))</f>
        <v>0</v>
      </c>
      <c r="U88" s="14" t="n">
        <f aca="false">IF(R88=0,0,VLOOKUP(R88,MIE_Components!$A$2:$F$6,4,FALSE()))</f>
        <v>0</v>
      </c>
      <c r="V88" s="14" t="n">
        <f aca="false">IF(OR($A88="",R88=0),0,MAX(5,R88*IF(OR($A88=Parameters!$B$13,$A88=Parameters!$B$14),0.75,1)-(IF(AND($A88=DATE(2026,11,29),NOV29BF="Yes"),S88,0)+IF(OR($A88=DATE(2026,11,29),$A88=DATE(2026,11,30),$A88=DATE(2026,12,1),$A88=DATE(2026,12,2)),T88,0)+IF(OR($A88=DATE(2026,11,28),$A88=DATE(2026,12,1)),U88,0))))</f>
        <v>0</v>
      </c>
      <c r="W88" s="14" t="n">
        <f aca="false">IF(AND($A88&lt;&gt;"",$A88&lt;Parameters!$B$14),CityData!F5*(1+TAXRATE),0)</f>
        <v>0</v>
      </c>
      <c r="X88" s="14" t="n">
        <f aca="false">IF($A88="",0,IFERROR(VLOOKUP((YEAR($A88)+IF(MONTH($A88)&gt;=10,1,0))&amp;"|Denver|"&amp;MONTH($A88),Rates!$A$2:$I$181,5,FALSE()),0))</f>
        <v>0</v>
      </c>
      <c r="Y88" s="14" t="n">
        <f aca="false">IF(OR($A88="",$A88&gt;=Parameters!$B$14),1,IF(AND(X88&gt;0,CityData!F5&lt;=X88),1,0))</f>
        <v>1</v>
      </c>
      <c r="Z88" s="14" t="n">
        <f aca="false">IF($A88="",0,IFERROR(VLOOKUP((YEAR($A88)+IF(MONTH($A88)&gt;=10,1,0))&amp;"|Phoenix|"&amp;MONTH($A88),Rates!$A$2:$I$181,6,FALSE()),0))</f>
        <v>0</v>
      </c>
      <c r="AA88" s="14" t="n">
        <f aca="false">IF(Z88=0,0,VLOOKUP(Z88,MIE_Components!$A$2:$F$6,2,FALSE()))</f>
        <v>0</v>
      </c>
      <c r="AB88" s="14" t="n">
        <f aca="false">IF(Z88=0,0,VLOOKUP(Z88,MIE_Components!$A$2:$F$6,3,FALSE()))</f>
        <v>0</v>
      </c>
      <c r="AC88" s="14" t="n">
        <f aca="false">IF(Z88=0,0,VLOOKUP(Z88,MIE_Components!$A$2:$F$6,4,FALSE()))</f>
        <v>0</v>
      </c>
      <c r="AD88" s="14" t="n">
        <f aca="false">IF(OR($A88="",Z88=0),0,MAX(5,Z88*IF(OR($A88=Parameters!$B$13,$A88=Parameters!$B$14),0.75,1)-(IF(AND($A88=DATE(2026,11,29),NOV29BF="Yes"),AA88,0)+IF(OR($A88=DATE(2026,11,29),$A88=DATE(2026,11,30),$A88=DATE(2026,12,1),$A88=DATE(2026,12,2)),AB88,0)+IF(OR($A88=DATE(2026,11,28),$A88=DATE(2026,12,1)),AC88,0))))</f>
        <v>0</v>
      </c>
      <c r="AE88" s="14" t="n">
        <f aca="false">IF(AND($A88&lt;&gt;"",$A88&lt;Parameters!$B$14),CityData!F6*(1+TAXRATE),0)</f>
        <v>0</v>
      </c>
      <c r="AF88" s="14" t="n">
        <f aca="false">IF($A88="",0,IFERROR(VLOOKUP((YEAR($A88)+IF(MONTH($A88)&gt;=10,1,0))&amp;"|Phoenix|"&amp;MONTH($A88),Rates!$A$2:$I$181,5,FALSE()),0))</f>
        <v>0</v>
      </c>
      <c r="AG88" s="14" t="n">
        <f aca="false">IF(OR($A88="",$A88&gt;=Parameters!$B$14),1,IF(AND(AF88&gt;0,CityData!F6&lt;=AF88),1,0))</f>
        <v>1</v>
      </c>
      <c r="AH88" s="14" t="n">
        <f aca="false">IF($A88="",0,IFERROR(VLOOKUP((YEAR($A88)+IF(MONTH($A88)&gt;=10,1,0))&amp;"|Seattle|"&amp;MONTH($A88),Rates!$A$2:$I$181,6,FALSE()),0))</f>
        <v>0</v>
      </c>
      <c r="AI88" s="14" t="n">
        <f aca="false">IF(AH88=0,0,VLOOKUP(AH88,MIE_Components!$A$2:$F$6,2,FALSE()))</f>
        <v>0</v>
      </c>
      <c r="AJ88" s="14" t="n">
        <f aca="false">IF(AH88=0,0,VLOOKUP(AH88,MIE_Components!$A$2:$F$6,3,FALSE()))</f>
        <v>0</v>
      </c>
      <c r="AK88" s="14" t="n">
        <f aca="false">IF(AH88=0,0,VLOOKUP(AH88,MIE_Components!$A$2:$F$6,4,FALSE()))</f>
        <v>0</v>
      </c>
      <c r="AL88" s="14" t="n">
        <f aca="false">IF(OR($A88="",AH88=0),0,MAX(5,AH88*IF(OR($A88=Parameters!$B$13,$A88=Parameters!$B$14),0.75,1)-(IF(AND($A88=DATE(2026,11,29),NOV29BF="Yes"),AI88,0)+IF(OR($A88=DATE(2026,11,29),$A88=DATE(2026,11,30),$A88=DATE(2026,12,1),$A88=DATE(2026,12,2)),AJ88,0)+IF(OR($A88=DATE(2026,11,28),$A88=DATE(2026,12,1)),AK88,0))))</f>
        <v>0</v>
      </c>
      <c r="AM88" s="14" t="n">
        <f aca="false">IF(AND($A88&lt;&gt;"",$A88&lt;Parameters!$B$14),CityData!F7*(1+TAXRATE),0)</f>
        <v>0</v>
      </c>
      <c r="AN88" s="14" t="n">
        <f aca="false">IF($A88="",0,IFERROR(VLOOKUP((YEAR($A88)+IF(MONTH($A88)&gt;=10,1,0))&amp;"|Seattle|"&amp;MONTH($A88),Rates!$A$2:$I$181,5,FALSE()),0))</f>
        <v>0</v>
      </c>
      <c r="AO88" s="14" t="n">
        <f aca="false">IF(OR($A88="",$A88&gt;=Parameters!$B$14),1,IF(AND(AN88&gt;0,CityData!F7&lt;=AN88),1,0))</f>
        <v>1</v>
      </c>
    </row>
    <row r="89" customFormat="false" ht="15" hidden="false" customHeight="true" outlineLevel="0" collapsed="false">
      <c r="A89" s="23" t="str">
        <f aca="false">IF(AND(Parameters!$B$14&gt;=Parameters!$B$13,ROW()-2&lt;=Parameters!$B$14-Parameters!$B$13),Parameters!$B$13+ROW()-2,"")</f>
        <v/>
      </c>
      <c r="B89" s="14" t="n">
        <f aca="false">IF($A89="",0,IFERROR(VLOOKUP((YEAR($A89)+IF(MONTH($A89)&gt;=10,1,0))&amp;"|Boston|"&amp;MONTH($A89),Rates!$A$2:$I$181,6,FALSE()),0))</f>
        <v>0</v>
      </c>
      <c r="C89" s="14" t="n">
        <f aca="false">IF(B89=0,0,VLOOKUP(B89,MIE_Components!$A$2:$F$6,2,FALSE()))</f>
        <v>0</v>
      </c>
      <c r="D89" s="14" t="n">
        <f aca="false">IF(B89=0,0,VLOOKUP(B89,MIE_Components!$A$2:$F$6,3,FALSE()))</f>
        <v>0</v>
      </c>
      <c r="E89" s="14" t="n">
        <f aca="false">IF(B89=0,0,VLOOKUP(B89,MIE_Components!$A$2:$F$6,4,FALSE()))</f>
        <v>0</v>
      </c>
      <c r="F89" s="14" t="n">
        <f aca="false">IF(OR($A89="",B89=0),0,MAX(5,B89*IF(OR($A89=Parameters!$B$13,$A89=Parameters!$B$14),0.75,1)-(IF(AND($A89=DATE(2026,11,29),NOV29BF="Yes"),C89,0)+IF(OR($A89=DATE(2026,11,29),$A89=DATE(2026,11,30),$A89=DATE(2026,12,1),$A89=DATE(2026,12,2)),D89,0)+IF(OR($A89=DATE(2026,11,28),$A89=DATE(2026,12,1)),E89,0))))</f>
        <v>0</v>
      </c>
      <c r="G89" s="14" t="n">
        <f aca="false">IF(AND($A89&lt;&gt;"",$A89&lt;Parameters!$B$14),CityData!F3*(1+TAXRATE),0)</f>
        <v>0</v>
      </c>
      <c r="H89" s="14" t="n">
        <f aca="false">IF($A89="",0,IFERROR(VLOOKUP((YEAR($A89)+IF(MONTH($A89)&gt;=10,1,0))&amp;"|Boston|"&amp;MONTH($A89),Rates!$A$2:$I$181,5,FALSE()),0))</f>
        <v>0</v>
      </c>
      <c r="I89" s="14" t="n">
        <f aca="false">IF(OR($A89="",$A89&gt;=Parameters!$B$14),1,IF(AND(H89&gt;0,CityData!F3&lt;=H89),1,0))</f>
        <v>1</v>
      </c>
      <c r="J89" s="14" t="n">
        <f aca="false">IF($A89="",0,IFERROR(VLOOKUP((YEAR($A89)+IF(MONTH($A89)&gt;=10,1,0))&amp;"|Chicago|"&amp;MONTH($A89),Rates!$A$2:$I$181,6,FALSE()),0))</f>
        <v>0</v>
      </c>
      <c r="K89" s="14" t="n">
        <f aca="false">IF(J89=0,0,VLOOKUP(J89,MIE_Components!$A$2:$F$6,2,FALSE()))</f>
        <v>0</v>
      </c>
      <c r="L89" s="14" t="n">
        <f aca="false">IF(J89=0,0,VLOOKUP(J89,MIE_Components!$A$2:$F$6,3,FALSE()))</f>
        <v>0</v>
      </c>
      <c r="M89" s="14" t="n">
        <f aca="false">IF(J89=0,0,VLOOKUP(J89,MIE_Components!$A$2:$F$6,4,FALSE()))</f>
        <v>0</v>
      </c>
      <c r="N89" s="14" t="n">
        <f aca="false">IF(OR($A89="",J89=0),0,MAX(5,J89*IF(OR($A89=Parameters!$B$13,$A89=Parameters!$B$14),0.75,1)-(IF(AND($A89=DATE(2026,11,29),NOV29BF="Yes"),K89,0)+IF(OR($A89=DATE(2026,11,29),$A89=DATE(2026,11,30),$A89=DATE(2026,12,1),$A89=DATE(2026,12,2)),L89,0)+IF(OR($A89=DATE(2026,11,28),$A89=DATE(2026,12,1)),M89,0))))</f>
        <v>0</v>
      </c>
      <c r="O89" s="14" t="n">
        <f aca="false">IF(AND($A89&lt;&gt;"",$A89&lt;Parameters!$B$14),CityData!F4*(1+TAXRATE),0)</f>
        <v>0</v>
      </c>
      <c r="P89" s="14" t="n">
        <f aca="false">IF($A89="",0,IFERROR(VLOOKUP((YEAR($A89)+IF(MONTH($A89)&gt;=10,1,0))&amp;"|Chicago|"&amp;MONTH($A89),Rates!$A$2:$I$181,5,FALSE()),0))</f>
        <v>0</v>
      </c>
      <c r="Q89" s="14" t="n">
        <f aca="false">IF(OR($A89="",$A89&gt;=Parameters!$B$14),1,IF(AND(P89&gt;0,CityData!F4&lt;=P89),1,0))</f>
        <v>1</v>
      </c>
      <c r="R89" s="14" t="n">
        <f aca="false">IF($A89="",0,IFERROR(VLOOKUP((YEAR($A89)+IF(MONTH($A89)&gt;=10,1,0))&amp;"|Denver|"&amp;MONTH($A89),Rates!$A$2:$I$181,6,FALSE()),0))</f>
        <v>0</v>
      </c>
      <c r="S89" s="14" t="n">
        <f aca="false">IF(R89=0,0,VLOOKUP(R89,MIE_Components!$A$2:$F$6,2,FALSE()))</f>
        <v>0</v>
      </c>
      <c r="T89" s="14" t="n">
        <f aca="false">IF(R89=0,0,VLOOKUP(R89,MIE_Components!$A$2:$F$6,3,FALSE()))</f>
        <v>0</v>
      </c>
      <c r="U89" s="14" t="n">
        <f aca="false">IF(R89=0,0,VLOOKUP(R89,MIE_Components!$A$2:$F$6,4,FALSE()))</f>
        <v>0</v>
      </c>
      <c r="V89" s="14" t="n">
        <f aca="false">IF(OR($A89="",R89=0),0,MAX(5,R89*IF(OR($A89=Parameters!$B$13,$A89=Parameters!$B$14),0.75,1)-(IF(AND($A89=DATE(2026,11,29),NOV29BF="Yes"),S89,0)+IF(OR($A89=DATE(2026,11,29),$A89=DATE(2026,11,30),$A89=DATE(2026,12,1),$A89=DATE(2026,12,2)),T89,0)+IF(OR($A89=DATE(2026,11,28),$A89=DATE(2026,12,1)),U89,0))))</f>
        <v>0</v>
      </c>
      <c r="W89" s="14" t="n">
        <f aca="false">IF(AND($A89&lt;&gt;"",$A89&lt;Parameters!$B$14),CityData!F5*(1+TAXRATE),0)</f>
        <v>0</v>
      </c>
      <c r="X89" s="14" t="n">
        <f aca="false">IF($A89="",0,IFERROR(VLOOKUP((YEAR($A89)+IF(MONTH($A89)&gt;=10,1,0))&amp;"|Denver|"&amp;MONTH($A89),Rates!$A$2:$I$181,5,FALSE()),0))</f>
        <v>0</v>
      </c>
      <c r="Y89" s="14" t="n">
        <f aca="false">IF(OR($A89="",$A89&gt;=Parameters!$B$14),1,IF(AND(X89&gt;0,CityData!F5&lt;=X89),1,0))</f>
        <v>1</v>
      </c>
      <c r="Z89" s="14" t="n">
        <f aca="false">IF($A89="",0,IFERROR(VLOOKUP((YEAR($A89)+IF(MONTH($A89)&gt;=10,1,0))&amp;"|Phoenix|"&amp;MONTH($A89),Rates!$A$2:$I$181,6,FALSE()),0))</f>
        <v>0</v>
      </c>
      <c r="AA89" s="14" t="n">
        <f aca="false">IF(Z89=0,0,VLOOKUP(Z89,MIE_Components!$A$2:$F$6,2,FALSE()))</f>
        <v>0</v>
      </c>
      <c r="AB89" s="14" t="n">
        <f aca="false">IF(Z89=0,0,VLOOKUP(Z89,MIE_Components!$A$2:$F$6,3,FALSE()))</f>
        <v>0</v>
      </c>
      <c r="AC89" s="14" t="n">
        <f aca="false">IF(Z89=0,0,VLOOKUP(Z89,MIE_Components!$A$2:$F$6,4,FALSE()))</f>
        <v>0</v>
      </c>
      <c r="AD89" s="14" t="n">
        <f aca="false">IF(OR($A89="",Z89=0),0,MAX(5,Z89*IF(OR($A89=Parameters!$B$13,$A89=Parameters!$B$14),0.75,1)-(IF(AND($A89=DATE(2026,11,29),NOV29BF="Yes"),AA89,0)+IF(OR($A89=DATE(2026,11,29),$A89=DATE(2026,11,30),$A89=DATE(2026,12,1),$A89=DATE(2026,12,2)),AB89,0)+IF(OR($A89=DATE(2026,11,28),$A89=DATE(2026,12,1)),AC89,0))))</f>
        <v>0</v>
      </c>
      <c r="AE89" s="14" t="n">
        <f aca="false">IF(AND($A89&lt;&gt;"",$A89&lt;Parameters!$B$14),CityData!F6*(1+TAXRATE),0)</f>
        <v>0</v>
      </c>
      <c r="AF89" s="14" t="n">
        <f aca="false">IF($A89="",0,IFERROR(VLOOKUP((YEAR($A89)+IF(MONTH($A89)&gt;=10,1,0))&amp;"|Phoenix|"&amp;MONTH($A89),Rates!$A$2:$I$181,5,FALSE()),0))</f>
        <v>0</v>
      </c>
      <c r="AG89" s="14" t="n">
        <f aca="false">IF(OR($A89="",$A89&gt;=Parameters!$B$14),1,IF(AND(AF89&gt;0,CityData!F6&lt;=AF89),1,0))</f>
        <v>1</v>
      </c>
      <c r="AH89" s="14" t="n">
        <f aca="false">IF($A89="",0,IFERROR(VLOOKUP((YEAR($A89)+IF(MONTH($A89)&gt;=10,1,0))&amp;"|Seattle|"&amp;MONTH($A89),Rates!$A$2:$I$181,6,FALSE()),0))</f>
        <v>0</v>
      </c>
      <c r="AI89" s="14" t="n">
        <f aca="false">IF(AH89=0,0,VLOOKUP(AH89,MIE_Components!$A$2:$F$6,2,FALSE()))</f>
        <v>0</v>
      </c>
      <c r="AJ89" s="14" t="n">
        <f aca="false">IF(AH89=0,0,VLOOKUP(AH89,MIE_Components!$A$2:$F$6,3,FALSE()))</f>
        <v>0</v>
      </c>
      <c r="AK89" s="14" t="n">
        <f aca="false">IF(AH89=0,0,VLOOKUP(AH89,MIE_Components!$A$2:$F$6,4,FALSE()))</f>
        <v>0</v>
      </c>
      <c r="AL89" s="14" t="n">
        <f aca="false">IF(OR($A89="",AH89=0),0,MAX(5,AH89*IF(OR($A89=Parameters!$B$13,$A89=Parameters!$B$14),0.75,1)-(IF(AND($A89=DATE(2026,11,29),NOV29BF="Yes"),AI89,0)+IF(OR($A89=DATE(2026,11,29),$A89=DATE(2026,11,30),$A89=DATE(2026,12,1),$A89=DATE(2026,12,2)),AJ89,0)+IF(OR($A89=DATE(2026,11,28),$A89=DATE(2026,12,1)),AK89,0))))</f>
        <v>0</v>
      </c>
      <c r="AM89" s="14" t="n">
        <f aca="false">IF(AND($A89&lt;&gt;"",$A89&lt;Parameters!$B$14),CityData!F7*(1+TAXRATE),0)</f>
        <v>0</v>
      </c>
      <c r="AN89" s="14" t="n">
        <f aca="false">IF($A89="",0,IFERROR(VLOOKUP((YEAR($A89)+IF(MONTH($A89)&gt;=10,1,0))&amp;"|Seattle|"&amp;MONTH($A89),Rates!$A$2:$I$181,5,FALSE()),0))</f>
        <v>0</v>
      </c>
      <c r="AO89" s="14" t="n">
        <f aca="false">IF(OR($A89="",$A89&gt;=Parameters!$B$14),1,IF(AND(AN89&gt;0,CityData!F7&lt;=AN89),1,0))</f>
        <v>1</v>
      </c>
    </row>
    <row r="90" customFormat="false" ht="15" hidden="false" customHeight="true" outlineLevel="0" collapsed="false">
      <c r="A90" s="23" t="str">
        <f aca="false">IF(AND(Parameters!$B$14&gt;=Parameters!$B$13,ROW()-2&lt;=Parameters!$B$14-Parameters!$B$13),Parameters!$B$13+ROW()-2,"")</f>
        <v/>
      </c>
      <c r="B90" s="14" t="n">
        <f aca="false">IF($A90="",0,IFERROR(VLOOKUP((YEAR($A90)+IF(MONTH($A90)&gt;=10,1,0))&amp;"|Boston|"&amp;MONTH($A90),Rates!$A$2:$I$181,6,FALSE()),0))</f>
        <v>0</v>
      </c>
      <c r="C90" s="14" t="n">
        <f aca="false">IF(B90=0,0,VLOOKUP(B90,MIE_Components!$A$2:$F$6,2,FALSE()))</f>
        <v>0</v>
      </c>
      <c r="D90" s="14" t="n">
        <f aca="false">IF(B90=0,0,VLOOKUP(B90,MIE_Components!$A$2:$F$6,3,FALSE()))</f>
        <v>0</v>
      </c>
      <c r="E90" s="14" t="n">
        <f aca="false">IF(B90=0,0,VLOOKUP(B90,MIE_Components!$A$2:$F$6,4,FALSE()))</f>
        <v>0</v>
      </c>
      <c r="F90" s="14" t="n">
        <f aca="false">IF(OR($A90="",B90=0),0,MAX(5,B90*IF(OR($A90=Parameters!$B$13,$A90=Parameters!$B$14),0.75,1)-(IF(AND($A90=DATE(2026,11,29),NOV29BF="Yes"),C90,0)+IF(OR($A90=DATE(2026,11,29),$A90=DATE(2026,11,30),$A90=DATE(2026,12,1),$A90=DATE(2026,12,2)),D90,0)+IF(OR($A90=DATE(2026,11,28),$A90=DATE(2026,12,1)),E90,0))))</f>
        <v>0</v>
      </c>
      <c r="G90" s="14" t="n">
        <f aca="false">IF(AND($A90&lt;&gt;"",$A90&lt;Parameters!$B$14),CityData!F3*(1+TAXRATE),0)</f>
        <v>0</v>
      </c>
      <c r="H90" s="14" t="n">
        <f aca="false">IF($A90="",0,IFERROR(VLOOKUP((YEAR($A90)+IF(MONTH($A90)&gt;=10,1,0))&amp;"|Boston|"&amp;MONTH($A90),Rates!$A$2:$I$181,5,FALSE()),0))</f>
        <v>0</v>
      </c>
      <c r="I90" s="14" t="n">
        <f aca="false">IF(OR($A90="",$A90&gt;=Parameters!$B$14),1,IF(AND(H90&gt;0,CityData!F3&lt;=H90),1,0))</f>
        <v>1</v>
      </c>
      <c r="J90" s="14" t="n">
        <f aca="false">IF($A90="",0,IFERROR(VLOOKUP((YEAR($A90)+IF(MONTH($A90)&gt;=10,1,0))&amp;"|Chicago|"&amp;MONTH($A90),Rates!$A$2:$I$181,6,FALSE()),0))</f>
        <v>0</v>
      </c>
      <c r="K90" s="14" t="n">
        <f aca="false">IF(J90=0,0,VLOOKUP(J90,MIE_Components!$A$2:$F$6,2,FALSE()))</f>
        <v>0</v>
      </c>
      <c r="L90" s="14" t="n">
        <f aca="false">IF(J90=0,0,VLOOKUP(J90,MIE_Components!$A$2:$F$6,3,FALSE()))</f>
        <v>0</v>
      </c>
      <c r="M90" s="14" t="n">
        <f aca="false">IF(J90=0,0,VLOOKUP(J90,MIE_Components!$A$2:$F$6,4,FALSE()))</f>
        <v>0</v>
      </c>
      <c r="N90" s="14" t="n">
        <f aca="false">IF(OR($A90="",J90=0),0,MAX(5,J90*IF(OR($A90=Parameters!$B$13,$A90=Parameters!$B$14),0.75,1)-(IF(AND($A90=DATE(2026,11,29),NOV29BF="Yes"),K90,0)+IF(OR($A90=DATE(2026,11,29),$A90=DATE(2026,11,30),$A90=DATE(2026,12,1),$A90=DATE(2026,12,2)),L90,0)+IF(OR($A90=DATE(2026,11,28),$A90=DATE(2026,12,1)),M90,0))))</f>
        <v>0</v>
      </c>
      <c r="O90" s="14" t="n">
        <f aca="false">IF(AND($A90&lt;&gt;"",$A90&lt;Parameters!$B$14),CityData!F4*(1+TAXRATE),0)</f>
        <v>0</v>
      </c>
      <c r="P90" s="14" t="n">
        <f aca="false">IF($A90="",0,IFERROR(VLOOKUP((YEAR($A90)+IF(MONTH($A90)&gt;=10,1,0))&amp;"|Chicago|"&amp;MONTH($A90),Rates!$A$2:$I$181,5,FALSE()),0))</f>
        <v>0</v>
      </c>
      <c r="Q90" s="14" t="n">
        <f aca="false">IF(OR($A90="",$A90&gt;=Parameters!$B$14),1,IF(AND(P90&gt;0,CityData!F4&lt;=P90),1,0))</f>
        <v>1</v>
      </c>
      <c r="R90" s="14" t="n">
        <f aca="false">IF($A90="",0,IFERROR(VLOOKUP((YEAR($A90)+IF(MONTH($A90)&gt;=10,1,0))&amp;"|Denver|"&amp;MONTH($A90),Rates!$A$2:$I$181,6,FALSE()),0))</f>
        <v>0</v>
      </c>
      <c r="S90" s="14" t="n">
        <f aca="false">IF(R90=0,0,VLOOKUP(R90,MIE_Components!$A$2:$F$6,2,FALSE()))</f>
        <v>0</v>
      </c>
      <c r="T90" s="14" t="n">
        <f aca="false">IF(R90=0,0,VLOOKUP(R90,MIE_Components!$A$2:$F$6,3,FALSE()))</f>
        <v>0</v>
      </c>
      <c r="U90" s="14" t="n">
        <f aca="false">IF(R90=0,0,VLOOKUP(R90,MIE_Components!$A$2:$F$6,4,FALSE()))</f>
        <v>0</v>
      </c>
      <c r="V90" s="14" t="n">
        <f aca="false">IF(OR($A90="",R90=0),0,MAX(5,R90*IF(OR($A90=Parameters!$B$13,$A90=Parameters!$B$14),0.75,1)-(IF(AND($A90=DATE(2026,11,29),NOV29BF="Yes"),S90,0)+IF(OR($A90=DATE(2026,11,29),$A90=DATE(2026,11,30),$A90=DATE(2026,12,1),$A90=DATE(2026,12,2)),T90,0)+IF(OR($A90=DATE(2026,11,28),$A90=DATE(2026,12,1)),U90,0))))</f>
        <v>0</v>
      </c>
      <c r="W90" s="14" t="n">
        <f aca="false">IF(AND($A90&lt;&gt;"",$A90&lt;Parameters!$B$14),CityData!F5*(1+TAXRATE),0)</f>
        <v>0</v>
      </c>
      <c r="X90" s="14" t="n">
        <f aca="false">IF($A90="",0,IFERROR(VLOOKUP((YEAR($A90)+IF(MONTH($A90)&gt;=10,1,0))&amp;"|Denver|"&amp;MONTH($A90),Rates!$A$2:$I$181,5,FALSE()),0))</f>
        <v>0</v>
      </c>
      <c r="Y90" s="14" t="n">
        <f aca="false">IF(OR($A90="",$A90&gt;=Parameters!$B$14),1,IF(AND(X90&gt;0,CityData!F5&lt;=X90),1,0))</f>
        <v>1</v>
      </c>
      <c r="Z90" s="14" t="n">
        <f aca="false">IF($A90="",0,IFERROR(VLOOKUP((YEAR($A90)+IF(MONTH($A90)&gt;=10,1,0))&amp;"|Phoenix|"&amp;MONTH($A90),Rates!$A$2:$I$181,6,FALSE()),0))</f>
        <v>0</v>
      </c>
      <c r="AA90" s="14" t="n">
        <f aca="false">IF(Z90=0,0,VLOOKUP(Z90,MIE_Components!$A$2:$F$6,2,FALSE()))</f>
        <v>0</v>
      </c>
      <c r="AB90" s="14" t="n">
        <f aca="false">IF(Z90=0,0,VLOOKUP(Z90,MIE_Components!$A$2:$F$6,3,FALSE()))</f>
        <v>0</v>
      </c>
      <c r="AC90" s="14" t="n">
        <f aca="false">IF(Z90=0,0,VLOOKUP(Z90,MIE_Components!$A$2:$F$6,4,FALSE()))</f>
        <v>0</v>
      </c>
      <c r="AD90" s="14" t="n">
        <f aca="false">IF(OR($A90="",Z90=0),0,MAX(5,Z90*IF(OR($A90=Parameters!$B$13,$A90=Parameters!$B$14),0.75,1)-(IF(AND($A90=DATE(2026,11,29),NOV29BF="Yes"),AA90,0)+IF(OR($A90=DATE(2026,11,29),$A90=DATE(2026,11,30),$A90=DATE(2026,12,1),$A90=DATE(2026,12,2)),AB90,0)+IF(OR($A90=DATE(2026,11,28),$A90=DATE(2026,12,1)),AC90,0))))</f>
        <v>0</v>
      </c>
      <c r="AE90" s="14" t="n">
        <f aca="false">IF(AND($A90&lt;&gt;"",$A90&lt;Parameters!$B$14),CityData!F6*(1+TAXRATE),0)</f>
        <v>0</v>
      </c>
      <c r="AF90" s="14" t="n">
        <f aca="false">IF($A90="",0,IFERROR(VLOOKUP((YEAR($A90)+IF(MONTH($A90)&gt;=10,1,0))&amp;"|Phoenix|"&amp;MONTH($A90),Rates!$A$2:$I$181,5,FALSE()),0))</f>
        <v>0</v>
      </c>
      <c r="AG90" s="14" t="n">
        <f aca="false">IF(OR($A90="",$A90&gt;=Parameters!$B$14),1,IF(AND(AF90&gt;0,CityData!F6&lt;=AF90),1,0))</f>
        <v>1</v>
      </c>
      <c r="AH90" s="14" t="n">
        <f aca="false">IF($A90="",0,IFERROR(VLOOKUP((YEAR($A90)+IF(MONTH($A90)&gt;=10,1,0))&amp;"|Seattle|"&amp;MONTH($A90),Rates!$A$2:$I$181,6,FALSE()),0))</f>
        <v>0</v>
      </c>
      <c r="AI90" s="14" t="n">
        <f aca="false">IF(AH90=0,0,VLOOKUP(AH90,MIE_Components!$A$2:$F$6,2,FALSE()))</f>
        <v>0</v>
      </c>
      <c r="AJ90" s="14" t="n">
        <f aca="false">IF(AH90=0,0,VLOOKUP(AH90,MIE_Components!$A$2:$F$6,3,FALSE()))</f>
        <v>0</v>
      </c>
      <c r="AK90" s="14" t="n">
        <f aca="false">IF(AH90=0,0,VLOOKUP(AH90,MIE_Components!$A$2:$F$6,4,FALSE()))</f>
        <v>0</v>
      </c>
      <c r="AL90" s="14" t="n">
        <f aca="false">IF(OR($A90="",AH90=0),0,MAX(5,AH90*IF(OR($A90=Parameters!$B$13,$A90=Parameters!$B$14),0.75,1)-(IF(AND($A90=DATE(2026,11,29),NOV29BF="Yes"),AI90,0)+IF(OR($A90=DATE(2026,11,29),$A90=DATE(2026,11,30),$A90=DATE(2026,12,1),$A90=DATE(2026,12,2)),AJ90,0)+IF(OR($A90=DATE(2026,11,28),$A90=DATE(2026,12,1)),AK90,0))))</f>
        <v>0</v>
      </c>
      <c r="AM90" s="14" t="n">
        <f aca="false">IF(AND($A90&lt;&gt;"",$A90&lt;Parameters!$B$14),CityData!F7*(1+TAXRATE),0)</f>
        <v>0</v>
      </c>
      <c r="AN90" s="14" t="n">
        <f aca="false">IF($A90="",0,IFERROR(VLOOKUP((YEAR($A90)+IF(MONTH($A90)&gt;=10,1,0))&amp;"|Seattle|"&amp;MONTH($A90),Rates!$A$2:$I$181,5,FALSE()),0))</f>
        <v>0</v>
      </c>
      <c r="AO90" s="14" t="n">
        <f aca="false">IF(OR($A90="",$A90&gt;=Parameters!$B$14),1,IF(AND(AN90&gt;0,CityData!F7&lt;=AN90),1,0))</f>
        <v>1</v>
      </c>
    </row>
    <row r="91" customFormat="false" ht="15" hidden="false" customHeight="true" outlineLevel="0" collapsed="false">
      <c r="A91" s="23" t="str">
        <f aca="false">IF(AND(Parameters!$B$14&gt;=Parameters!$B$13,ROW()-2&lt;=Parameters!$B$14-Parameters!$B$13),Parameters!$B$13+ROW()-2,"")</f>
        <v/>
      </c>
      <c r="B91" s="14" t="n">
        <f aca="false">IF($A91="",0,IFERROR(VLOOKUP((YEAR($A91)+IF(MONTH($A91)&gt;=10,1,0))&amp;"|Boston|"&amp;MONTH($A91),Rates!$A$2:$I$181,6,FALSE()),0))</f>
        <v>0</v>
      </c>
      <c r="C91" s="14" t="n">
        <f aca="false">IF(B91=0,0,VLOOKUP(B91,MIE_Components!$A$2:$F$6,2,FALSE()))</f>
        <v>0</v>
      </c>
      <c r="D91" s="14" t="n">
        <f aca="false">IF(B91=0,0,VLOOKUP(B91,MIE_Components!$A$2:$F$6,3,FALSE()))</f>
        <v>0</v>
      </c>
      <c r="E91" s="14" t="n">
        <f aca="false">IF(B91=0,0,VLOOKUP(B91,MIE_Components!$A$2:$F$6,4,FALSE()))</f>
        <v>0</v>
      </c>
      <c r="F91" s="14" t="n">
        <f aca="false">IF(OR($A91="",B91=0),0,MAX(5,B91*IF(OR($A91=Parameters!$B$13,$A91=Parameters!$B$14),0.75,1)-(IF(AND($A91=DATE(2026,11,29),NOV29BF="Yes"),C91,0)+IF(OR($A91=DATE(2026,11,29),$A91=DATE(2026,11,30),$A91=DATE(2026,12,1),$A91=DATE(2026,12,2)),D91,0)+IF(OR($A91=DATE(2026,11,28),$A91=DATE(2026,12,1)),E91,0))))</f>
        <v>0</v>
      </c>
      <c r="G91" s="14" t="n">
        <f aca="false">IF(AND($A91&lt;&gt;"",$A91&lt;Parameters!$B$14),CityData!F3*(1+TAXRATE),0)</f>
        <v>0</v>
      </c>
      <c r="H91" s="14" t="n">
        <f aca="false">IF($A91="",0,IFERROR(VLOOKUP((YEAR($A91)+IF(MONTH($A91)&gt;=10,1,0))&amp;"|Boston|"&amp;MONTH($A91),Rates!$A$2:$I$181,5,FALSE()),0))</f>
        <v>0</v>
      </c>
      <c r="I91" s="14" t="n">
        <f aca="false">IF(OR($A91="",$A91&gt;=Parameters!$B$14),1,IF(AND(H91&gt;0,CityData!F3&lt;=H91),1,0))</f>
        <v>1</v>
      </c>
      <c r="J91" s="14" t="n">
        <f aca="false">IF($A91="",0,IFERROR(VLOOKUP((YEAR($A91)+IF(MONTH($A91)&gt;=10,1,0))&amp;"|Chicago|"&amp;MONTH($A91),Rates!$A$2:$I$181,6,FALSE()),0))</f>
        <v>0</v>
      </c>
      <c r="K91" s="14" t="n">
        <f aca="false">IF(J91=0,0,VLOOKUP(J91,MIE_Components!$A$2:$F$6,2,FALSE()))</f>
        <v>0</v>
      </c>
      <c r="L91" s="14" t="n">
        <f aca="false">IF(J91=0,0,VLOOKUP(J91,MIE_Components!$A$2:$F$6,3,FALSE()))</f>
        <v>0</v>
      </c>
      <c r="M91" s="14" t="n">
        <f aca="false">IF(J91=0,0,VLOOKUP(J91,MIE_Components!$A$2:$F$6,4,FALSE()))</f>
        <v>0</v>
      </c>
      <c r="N91" s="14" t="n">
        <f aca="false">IF(OR($A91="",J91=0),0,MAX(5,J91*IF(OR($A91=Parameters!$B$13,$A91=Parameters!$B$14),0.75,1)-(IF(AND($A91=DATE(2026,11,29),NOV29BF="Yes"),K91,0)+IF(OR($A91=DATE(2026,11,29),$A91=DATE(2026,11,30),$A91=DATE(2026,12,1),$A91=DATE(2026,12,2)),L91,0)+IF(OR($A91=DATE(2026,11,28),$A91=DATE(2026,12,1)),M91,0))))</f>
        <v>0</v>
      </c>
      <c r="O91" s="14" t="n">
        <f aca="false">IF(AND($A91&lt;&gt;"",$A91&lt;Parameters!$B$14),CityData!F4*(1+TAXRATE),0)</f>
        <v>0</v>
      </c>
      <c r="P91" s="14" t="n">
        <f aca="false">IF($A91="",0,IFERROR(VLOOKUP((YEAR($A91)+IF(MONTH($A91)&gt;=10,1,0))&amp;"|Chicago|"&amp;MONTH($A91),Rates!$A$2:$I$181,5,FALSE()),0))</f>
        <v>0</v>
      </c>
      <c r="Q91" s="14" t="n">
        <f aca="false">IF(OR($A91="",$A91&gt;=Parameters!$B$14),1,IF(AND(P91&gt;0,CityData!F4&lt;=P91),1,0))</f>
        <v>1</v>
      </c>
      <c r="R91" s="14" t="n">
        <f aca="false">IF($A91="",0,IFERROR(VLOOKUP((YEAR($A91)+IF(MONTH($A91)&gt;=10,1,0))&amp;"|Denver|"&amp;MONTH($A91),Rates!$A$2:$I$181,6,FALSE()),0))</f>
        <v>0</v>
      </c>
      <c r="S91" s="14" t="n">
        <f aca="false">IF(R91=0,0,VLOOKUP(R91,MIE_Components!$A$2:$F$6,2,FALSE()))</f>
        <v>0</v>
      </c>
      <c r="T91" s="14" t="n">
        <f aca="false">IF(R91=0,0,VLOOKUP(R91,MIE_Components!$A$2:$F$6,3,FALSE()))</f>
        <v>0</v>
      </c>
      <c r="U91" s="14" t="n">
        <f aca="false">IF(R91=0,0,VLOOKUP(R91,MIE_Components!$A$2:$F$6,4,FALSE()))</f>
        <v>0</v>
      </c>
      <c r="V91" s="14" t="n">
        <f aca="false">IF(OR($A91="",R91=0),0,MAX(5,R91*IF(OR($A91=Parameters!$B$13,$A91=Parameters!$B$14),0.75,1)-(IF(AND($A91=DATE(2026,11,29),NOV29BF="Yes"),S91,0)+IF(OR($A91=DATE(2026,11,29),$A91=DATE(2026,11,30),$A91=DATE(2026,12,1),$A91=DATE(2026,12,2)),T91,0)+IF(OR($A91=DATE(2026,11,28),$A91=DATE(2026,12,1)),U91,0))))</f>
        <v>0</v>
      </c>
      <c r="W91" s="14" t="n">
        <f aca="false">IF(AND($A91&lt;&gt;"",$A91&lt;Parameters!$B$14),CityData!F5*(1+TAXRATE),0)</f>
        <v>0</v>
      </c>
      <c r="X91" s="14" t="n">
        <f aca="false">IF($A91="",0,IFERROR(VLOOKUP((YEAR($A91)+IF(MONTH($A91)&gt;=10,1,0))&amp;"|Denver|"&amp;MONTH($A91),Rates!$A$2:$I$181,5,FALSE()),0))</f>
        <v>0</v>
      </c>
      <c r="Y91" s="14" t="n">
        <f aca="false">IF(OR($A91="",$A91&gt;=Parameters!$B$14),1,IF(AND(X91&gt;0,CityData!F5&lt;=X91),1,0))</f>
        <v>1</v>
      </c>
      <c r="Z91" s="14" t="n">
        <f aca="false">IF($A91="",0,IFERROR(VLOOKUP((YEAR($A91)+IF(MONTH($A91)&gt;=10,1,0))&amp;"|Phoenix|"&amp;MONTH($A91),Rates!$A$2:$I$181,6,FALSE()),0))</f>
        <v>0</v>
      </c>
      <c r="AA91" s="14" t="n">
        <f aca="false">IF(Z91=0,0,VLOOKUP(Z91,MIE_Components!$A$2:$F$6,2,FALSE()))</f>
        <v>0</v>
      </c>
      <c r="AB91" s="14" t="n">
        <f aca="false">IF(Z91=0,0,VLOOKUP(Z91,MIE_Components!$A$2:$F$6,3,FALSE()))</f>
        <v>0</v>
      </c>
      <c r="AC91" s="14" t="n">
        <f aca="false">IF(Z91=0,0,VLOOKUP(Z91,MIE_Components!$A$2:$F$6,4,FALSE()))</f>
        <v>0</v>
      </c>
      <c r="AD91" s="14" t="n">
        <f aca="false">IF(OR($A91="",Z91=0),0,MAX(5,Z91*IF(OR($A91=Parameters!$B$13,$A91=Parameters!$B$14),0.75,1)-(IF(AND($A91=DATE(2026,11,29),NOV29BF="Yes"),AA91,0)+IF(OR($A91=DATE(2026,11,29),$A91=DATE(2026,11,30),$A91=DATE(2026,12,1),$A91=DATE(2026,12,2)),AB91,0)+IF(OR($A91=DATE(2026,11,28),$A91=DATE(2026,12,1)),AC91,0))))</f>
        <v>0</v>
      </c>
      <c r="AE91" s="14" t="n">
        <f aca="false">IF(AND($A91&lt;&gt;"",$A91&lt;Parameters!$B$14),CityData!F6*(1+TAXRATE),0)</f>
        <v>0</v>
      </c>
      <c r="AF91" s="14" t="n">
        <f aca="false">IF($A91="",0,IFERROR(VLOOKUP((YEAR($A91)+IF(MONTH($A91)&gt;=10,1,0))&amp;"|Phoenix|"&amp;MONTH($A91),Rates!$A$2:$I$181,5,FALSE()),0))</f>
        <v>0</v>
      </c>
      <c r="AG91" s="14" t="n">
        <f aca="false">IF(OR($A91="",$A91&gt;=Parameters!$B$14),1,IF(AND(AF91&gt;0,CityData!F6&lt;=AF91),1,0))</f>
        <v>1</v>
      </c>
      <c r="AH91" s="14" t="n">
        <f aca="false">IF($A91="",0,IFERROR(VLOOKUP((YEAR($A91)+IF(MONTH($A91)&gt;=10,1,0))&amp;"|Seattle|"&amp;MONTH($A91),Rates!$A$2:$I$181,6,FALSE()),0))</f>
        <v>0</v>
      </c>
      <c r="AI91" s="14" t="n">
        <f aca="false">IF(AH91=0,0,VLOOKUP(AH91,MIE_Components!$A$2:$F$6,2,FALSE()))</f>
        <v>0</v>
      </c>
      <c r="AJ91" s="14" t="n">
        <f aca="false">IF(AH91=0,0,VLOOKUP(AH91,MIE_Components!$A$2:$F$6,3,FALSE()))</f>
        <v>0</v>
      </c>
      <c r="AK91" s="14" t="n">
        <f aca="false">IF(AH91=0,0,VLOOKUP(AH91,MIE_Components!$A$2:$F$6,4,FALSE()))</f>
        <v>0</v>
      </c>
      <c r="AL91" s="14" t="n">
        <f aca="false">IF(OR($A91="",AH91=0),0,MAX(5,AH91*IF(OR($A91=Parameters!$B$13,$A91=Parameters!$B$14),0.75,1)-(IF(AND($A91=DATE(2026,11,29),NOV29BF="Yes"),AI91,0)+IF(OR($A91=DATE(2026,11,29),$A91=DATE(2026,11,30),$A91=DATE(2026,12,1),$A91=DATE(2026,12,2)),AJ91,0)+IF(OR($A91=DATE(2026,11,28),$A91=DATE(2026,12,1)),AK91,0))))</f>
        <v>0</v>
      </c>
      <c r="AM91" s="14" t="n">
        <f aca="false">IF(AND($A91&lt;&gt;"",$A91&lt;Parameters!$B$14),CityData!F7*(1+TAXRATE),0)</f>
        <v>0</v>
      </c>
      <c r="AN91" s="14" t="n">
        <f aca="false">IF($A91="",0,IFERROR(VLOOKUP((YEAR($A91)+IF(MONTH($A91)&gt;=10,1,0))&amp;"|Seattle|"&amp;MONTH($A91),Rates!$A$2:$I$181,5,FALSE()),0))</f>
        <v>0</v>
      </c>
      <c r="AO91" s="14" t="n">
        <f aca="false">IF(OR($A91="",$A91&gt;=Parameters!$B$14),1,IF(AND(AN91&gt;0,CityData!F7&lt;=AN91),1,0))</f>
        <v>1</v>
      </c>
    </row>
    <row r="92" customFormat="false" ht="15" hidden="false" customHeight="true" outlineLevel="0" collapsed="false">
      <c r="A92" s="23" t="str">
        <f aca="false">IF(AND(Parameters!$B$14&gt;=Parameters!$B$13,ROW()-2&lt;=Parameters!$B$14-Parameters!$B$13),Parameters!$B$13+ROW()-2,"")</f>
        <v/>
      </c>
      <c r="B92" s="14" t="n">
        <f aca="false">IF($A92="",0,IFERROR(VLOOKUP((YEAR($A92)+IF(MONTH($A92)&gt;=10,1,0))&amp;"|Boston|"&amp;MONTH($A92),Rates!$A$2:$I$181,6,FALSE()),0))</f>
        <v>0</v>
      </c>
      <c r="C92" s="14" t="n">
        <f aca="false">IF(B92=0,0,VLOOKUP(B92,MIE_Components!$A$2:$F$6,2,FALSE()))</f>
        <v>0</v>
      </c>
      <c r="D92" s="14" t="n">
        <f aca="false">IF(B92=0,0,VLOOKUP(B92,MIE_Components!$A$2:$F$6,3,FALSE()))</f>
        <v>0</v>
      </c>
      <c r="E92" s="14" t="n">
        <f aca="false">IF(B92=0,0,VLOOKUP(B92,MIE_Components!$A$2:$F$6,4,FALSE()))</f>
        <v>0</v>
      </c>
      <c r="F92" s="14" t="n">
        <f aca="false">IF(OR($A92="",B92=0),0,MAX(5,B92*IF(OR($A92=Parameters!$B$13,$A92=Parameters!$B$14),0.75,1)-(IF(AND($A92=DATE(2026,11,29),NOV29BF="Yes"),C92,0)+IF(OR($A92=DATE(2026,11,29),$A92=DATE(2026,11,30),$A92=DATE(2026,12,1),$A92=DATE(2026,12,2)),D92,0)+IF(OR($A92=DATE(2026,11,28),$A92=DATE(2026,12,1)),E92,0))))</f>
        <v>0</v>
      </c>
      <c r="G92" s="14" t="n">
        <f aca="false">IF(AND($A92&lt;&gt;"",$A92&lt;Parameters!$B$14),CityData!F3*(1+TAXRATE),0)</f>
        <v>0</v>
      </c>
      <c r="H92" s="14" t="n">
        <f aca="false">IF($A92="",0,IFERROR(VLOOKUP((YEAR($A92)+IF(MONTH($A92)&gt;=10,1,0))&amp;"|Boston|"&amp;MONTH($A92),Rates!$A$2:$I$181,5,FALSE()),0))</f>
        <v>0</v>
      </c>
      <c r="I92" s="14" t="n">
        <f aca="false">IF(OR($A92="",$A92&gt;=Parameters!$B$14),1,IF(AND(H92&gt;0,CityData!F3&lt;=H92),1,0))</f>
        <v>1</v>
      </c>
      <c r="J92" s="14" t="n">
        <f aca="false">IF($A92="",0,IFERROR(VLOOKUP((YEAR($A92)+IF(MONTH($A92)&gt;=10,1,0))&amp;"|Chicago|"&amp;MONTH($A92),Rates!$A$2:$I$181,6,FALSE()),0))</f>
        <v>0</v>
      </c>
      <c r="K92" s="14" t="n">
        <f aca="false">IF(J92=0,0,VLOOKUP(J92,MIE_Components!$A$2:$F$6,2,FALSE()))</f>
        <v>0</v>
      </c>
      <c r="L92" s="14" t="n">
        <f aca="false">IF(J92=0,0,VLOOKUP(J92,MIE_Components!$A$2:$F$6,3,FALSE()))</f>
        <v>0</v>
      </c>
      <c r="M92" s="14" t="n">
        <f aca="false">IF(J92=0,0,VLOOKUP(J92,MIE_Components!$A$2:$F$6,4,FALSE()))</f>
        <v>0</v>
      </c>
      <c r="N92" s="14" t="n">
        <f aca="false">IF(OR($A92="",J92=0),0,MAX(5,J92*IF(OR($A92=Parameters!$B$13,$A92=Parameters!$B$14),0.75,1)-(IF(AND($A92=DATE(2026,11,29),NOV29BF="Yes"),K92,0)+IF(OR($A92=DATE(2026,11,29),$A92=DATE(2026,11,30),$A92=DATE(2026,12,1),$A92=DATE(2026,12,2)),L92,0)+IF(OR($A92=DATE(2026,11,28),$A92=DATE(2026,12,1)),M92,0))))</f>
        <v>0</v>
      </c>
      <c r="O92" s="14" t="n">
        <f aca="false">IF(AND($A92&lt;&gt;"",$A92&lt;Parameters!$B$14),CityData!F4*(1+TAXRATE),0)</f>
        <v>0</v>
      </c>
      <c r="P92" s="14" t="n">
        <f aca="false">IF($A92="",0,IFERROR(VLOOKUP((YEAR($A92)+IF(MONTH($A92)&gt;=10,1,0))&amp;"|Chicago|"&amp;MONTH($A92),Rates!$A$2:$I$181,5,FALSE()),0))</f>
        <v>0</v>
      </c>
      <c r="Q92" s="14" t="n">
        <f aca="false">IF(OR($A92="",$A92&gt;=Parameters!$B$14),1,IF(AND(P92&gt;0,CityData!F4&lt;=P92),1,0))</f>
        <v>1</v>
      </c>
      <c r="R92" s="14" t="n">
        <f aca="false">IF($A92="",0,IFERROR(VLOOKUP((YEAR($A92)+IF(MONTH($A92)&gt;=10,1,0))&amp;"|Denver|"&amp;MONTH($A92),Rates!$A$2:$I$181,6,FALSE()),0))</f>
        <v>0</v>
      </c>
      <c r="S92" s="14" t="n">
        <f aca="false">IF(R92=0,0,VLOOKUP(R92,MIE_Components!$A$2:$F$6,2,FALSE()))</f>
        <v>0</v>
      </c>
      <c r="T92" s="14" t="n">
        <f aca="false">IF(R92=0,0,VLOOKUP(R92,MIE_Components!$A$2:$F$6,3,FALSE()))</f>
        <v>0</v>
      </c>
      <c r="U92" s="14" t="n">
        <f aca="false">IF(R92=0,0,VLOOKUP(R92,MIE_Components!$A$2:$F$6,4,FALSE()))</f>
        <v>0</v>
      </c>
      <c r="V92" s="14" t="n">
        <f aca="false">IF(OR($A92="",R92=0),0,MAX(5,R92*IF(OR($A92=Parameters!$B$13,$A92=Parameters!$B$14),0.75,1)-(IF(AND($A92=DATE(2026,11,29),NOV29BF="Yes"),S92,0)+IF(OR($A92=DATE(2026,11,29),$A92=DATE(2026,11,30),$A92=DATE(2026,12,1),$A92=DATE(2026,12,2)),T92,0)+IF(OR($A92=DATE(2026,11,28),$A92=DATE(2026,12,1)),U92,0))))</f>
        <v>0</v>
      </c>
      <c r="W92" s="14" t="n">
        <f aca="false">IF(AND($A92&lt;&gt;"",$A92&lt;Parameters!$B$14),CityData!F5*(1+TAXRATE),0)</f>
        <v>0</v>
      </c>
      <c r="X92" s="14" t="n">
        <f aca="false">IF($A92="",0,IFERROR(VLOOKUP((YEAR($A92)+IF(MONTH($A92)&gt;=10,1,0))&amp;"|Denver|"&amp;MONTH($A92),Rates!$A$2:$I$181,5,FALSE()),0))</f>
        <v>0</v>
      </c>
      <c r="Y92" s="14" t="n">
        <f aca="false">IF(OR($A92="",$A92&gt;=Parameters!$B$14),1,IF(AND(X92&gt;0,CityData!F5&lt;=X92),1,0))</f>
        <v>1</v>
      </c>
      <c r="Z92" s="14" t="n">
        <f aca="false">IF($A92="",0,IFERROR(VLOOKUP((YEAR($A92)+IF(MONTH($A92)&gt;=10,1,0))&amp;"|Phoenix|"&amp;MONTH($A92),Rates!$A$2:$I$181,6,FALSE()),0))</f>
        <v>0</v>
      </c>
      <c r="AA92" s="14" t="n">
        <f aca="false">IF(Z92=0,0,VLOOKUP(Z92,MIE_Components!$A$2:$F$6,2,FALSE()))</f>
        <v>0</v>
      </c>
      <c r="AB92" s="14" t="n">
        <f aca="false">IF(Z92=0,0,VLOOKUP(Z92,MIE_Components!$A$2:$F$6,3,FALSE()))</f>
        <v>0</v>
      </c>
      <c r="AC92" s="14" t="n">
        <f aca="false">IF(Z92=0,0,VLOOKUP(Z92,MIE_Components!$A$2:$F$6,4,FALSE()))</f>
        <v>0</v>
      </c>
      <c r="AD92" s="14" t="n">
        <f aca="false">IF(OR($A92="",Z92=0),0,MAX(5,Z92*IF(OR($A92=Parameters!$B$13,$A92=Parameters!$B$14),0.75,1)-(IF(AND($A92=DATE(2026,11,29),NOV29BF="Yes"),AA92,0)+IF(OR($A92=DATE(2026,11,29),$A92=DATE(2026,11,30),$A92=DATE(2026,12,1),$A92=DATE(2026,12,2)),AB92,0)+IF(OR($A92=DATE(2026,11,28),$A92=DATE(2026,12,1)),AC92,0))))</f>
        <v>0</v>
      </c>
      <c r="AE92" s="14" t="n">
        <f aca="false">IF(AND($A92&lt;&gt;"",$A92&lt;Parameters!$B$14),CityData!F6*(1+TAXRATE),0)</f>
        <v>0</v>
      </c>
      <c r="AF92" s="14" t="n">
        <f aca="false">IF($A92="",0,IFERROR(VLOOKUP((YEAR($A92)+IF(MONTH($A92)&gt;=10,1,0))&amp;"|Phoenix|"&amp;MONTH($A92),Rates!$A$2:$I$181,5,FALSE()),0))</f>
        <v>0</v>
      </c>
      <c r="AG92" s="14" t="n">
        <f aca="false">IF(OR($A92="",$A92&gt;=Parameters!$B$14),1,IF(AND(AF92&gt;0,CityData!F6&lt;=AF92),1,0))</f>
        <v>1</v>
      </c>
      <c r="AH92" s="14" t="n">
        <f aca="false">IF($A92="",0,IFERROR(VLOOKUP((YEAR($A92)+IF(MONTH($A92)&gt;=10,1,0))&amp;"|Seattle|"&amp;MONTH($A92),Rates!$A$2:$I$181,6,FALSE()),0))</f>
        <v>0</v>
      </c>
      <c r="AI92" s="14" t="n">
        <f aca="false">IF(AH92=0,0,VLOOKUP(AH92,MIE_Components!$A$2:$F$6,2,FALSE()))</f>
        <v>0</v>
      </c>
      <c r="AJ92" s="14" t="n">
        <f aca="false">IF(AH92=0,0,VLOOKUP(AH92,MIE_Components!$A$2:$F$6,3,FALSE()))</f>
        <v>0</v>
      </c>
      <c r="AK92" s="14" t="n">
        <f aca="false">IF(AH92=0,0,VLOOKUP(AH92,MIE_Components!$A$2:$F$6,4,FALSE()))</f>
        <v>0</v>
      </c>
      <c r="AL92" s="14" t="n">
        <f aca="false">IF(OR($A92="",AH92=0),0,MAX(5,AH92*IF(OR($A92=Parameters!$B$13,$A92=Parameters!$B$14),0.75,1)-(IF(AND($A92=DATE(2026,11,29),NOV29BF="Yes"),AI92,0)+IF(OR($A92=DATE(2026,11,29),$A92=DATE(2026,11,30),$A92=DATE(2026,12,1),$A92=DATE(2026,12,2)),AJ92,0)+IF(OR($A92=DATE(2026,11,28),$A92=DATE(2026,12,1)),AK92,0))))</f>
        <v>0</v>
      </c>
      <c r="AM92" s="14" t="n">
        <f aca="false">IF(AND($A92&lt;&gt;"",$A92&lt;Parameters!$B$14),CityData!F7*(1+TAXRATE),0)</f>
        <v>0</v>
      </c>
      <c r="AN92" s="14" t="n">
        <f aca="false">IF($A92="",0,IFERROR(VLOOKUP((YEAR($A92)+IF(MONTH($A92)&gt;=10,1,0))&amp;"|Seattle|"&amp;MONTH($A92),Rates!$A$2:$I$181,5,FALSE()),0))</f>
        <v>0</v>
      </c>
      <c r="AO92" s="14" t="n">
        <f aca="false">IF(OR($A92="",$A92&gt;=Parameters!$B$14),1,IF(AND(AN92&gt;0,CityData!F7&lt;=AN92),1,0))</f>
        <v>1</v>
      </c>
    </row>
    <row r="93" customFormat="false" ht="15" hidden="false" customHeight="true" outlineLevel="0" collapsed="false">
      <c r="A93" s="23" t="str">
        <f aca="false">IF(AND(Parameters!$B$14&gt;=Parameters!$B$13,ROW()-2&lt;=Parameters!$B$14-Parameters!$B$13),Parameters!$B$13+ROW()-2,"")</f>
        <v/>
      </c>
      <c r="B93" s="14" t="n">
        <f aca="false">IF($A93="",0,IFERROR(VLOOKUP((YEAR($A93)+IF(MONTH($A93)&gt;=10,1,0))&amp;"|Boston|"&amp;MONTH($A93),Rates!$A$2:$I$181,6,FALSE()),0))</f>
        <v>0</v>
      </c>
      <c r="C93" s="14" t="n">
        <f aca="false">IF(B93=0,0,VLOOKUP(B93,MIE_Components!$A$2:$F$6,2,FALSE()))</f>
        <v>0</v>
      </c>
      <c r="D93" s="14" t="n">
        <f aca="false">IF(B93=0,0,VLOOKUP(B93,MIE_Components!$A$2:$F$6,3,FALSE()))</f>
        <v>0</v>
      </c>
      <c r="E93" s="14" t="n">
        <f aca="false">IF(B93=0,0,VLOOKUP(B93,MIE_Components!$A$2:$F$6,4,FALSE()))</f>
        <v>0</v>
      </c>
      <c r="F93" s="14" t="n">
        <f aca="false">IF(OR($A93="",B93=0),0,MAX(5,B93*IF(OR($A93=Parameters!$B$13,$A93=Parameters!$B$14),0.75,1)-(IF(AND($A93=DATE(2026,11,29),NOV29BF="Yes"),C93,0)+IF(OR($A93=DATE(2026,11,29),$A93=DATE(2026,11,30),$A93=DATE(2026,12,1),$A93=DATE(2026,12,2)),D93,0)+IF(OR($A93=DATE(2026,11,28),$A93=DATE(2026,12,1)),E93,0))))</f>
        <v>0</v>
      </c>
      <c r="G93" s="14" t="n">
        <f aca="false">IF(AND($A93&lt;&gt;"",$A93&lt;Parameters!$B$14),CityData!F3*(1+TAXRATE),0)</f>
        <v>0</v>
      </c>
      <c r="H93" s="14" t="n">
        <f aca="false">IF($A93="",0,IFERROR(VLOOKUP((YEAR($A93)+IF(MONTH($A93)&gt;=10,1,0))&amp;"|Boston|"&amp;MONTH($A93),Rates!$A$2:$I$181,5,FALSE()),0))</f>
        <v>0</v>
      </c>
      <c r="I93" s="14" t="n">
        <f aca="false">IF(OR($A93="",$A93&gt;=Parameters!$B$14),1,IF(AND(H93&gt;0,CityData!F3&lt;=H93),1,0))</f>
        <v>1</v>
      </c>
      <c r="J93" s="14" t="n">
        <f aca="false">IF($A93="",0,IFERROR(VLOOKUP((YEAR($A93)+IF(MONTH($A93)&gt;=10,1,0))&amp;"|Chicago|"&amp;MONTH($A93),Rates!$A$2:$I$181,6,FALSE()),0))</f>
        <v>0</v>
      </c>
      <c r="K93" s="14" t="n">
        <f aca="false">IF(J93=0,0,VLOOKUP(J93,MIE_Components!$A$2:$F$6,2,FALSE()))</f>
        <v>0</v>
      </c>
      <c r="L93" s="14" t="n">
        <f aca="false">IF(J93=0,0,VLOOKUP(J93,MIE_Components!$A$2:$F$6,3,FALSE()))</f>
        <v>0</v>
      </c>
      <c r="M93" s="14" t="n">
        <f aca="false">IF(J93=0,0,VLOOKUP(J93,MIE_Components!$A$2:$F$6,4,FALSE()))</f>
        <v>0</v>
      </c>
      <c r="N93" s="14" t="n">
        <f aca="false">IF(OR($A93="",J93=0),0,MAX(5,J93*IF(OR($A93=Parameters!$B$13,$A93=Parameters!$B$14),0.75,1)-(IF(AND($A93=DATE(2026,11,29),NOV29BF="Yes"),K93,0)+IF(OR($A93=DATE(2026,11,29),$A93=DATE(2026,11,30),$A93=DATE(2026,12,1),$A93=DATE(2026,12,2)),L93,0)+IF(OR($A93=DATE(2026,11,28),$A93=DATE(2026,12,1)),M93,0))))</f>
        <v>0</v>
      </c>
      <c r="O93" s="14" t="n">
        <f aca="false">IF(AND($A93&lt;&gt;"",$A93&lt;Parameters!$B$14),CityData!F4*(1+TAXRATE),0)</f>
        <v>0</v>
      </c>
      <c r="P93" s="14" t="n">
        <f aca="false">IF($A93="",0,IFERROR(VLOOKUP((YEAR($A93)+IF(MONTH($A93)&gt;=10,1,0))&amp;"|Chicago|"&amp;MONTH($A93),Rates!$A$2:$I$181,5,FALSE()),0))</f>
        <v>0</v>
      </c>
      <c r="Q93" s="14" t="n">
        <f aca="false">IF(OR($A93="",$A93&gt;=Parameters!$B$14),1,IF(AND(P93&gt;0,CityData!F4&lt;=P93),1,0))</f>
        <v>1</v>
      </c>
      <c r="R93" s="14" t="n">
        <f aca="false">IF($A93="",0,IFERROR(VLOOKUP((YEAR($A93)+IF(MONTH($A93)&gt;=10,1,0))&amp;"|Denver|"&amp;MONTH($A93),Rates!$A$2:$I$181,6,FALSE()),0))</f>
        <v>0</v>
      </c>
      <c r="S93" s="14" t="n">
        <f aca="false">IF(R93=0,0,VLOOKUP(R93,MIE_Components!$A$2:$F$6,2,FALSE()))</f>
        <v>0</v>
      </c>
      <c r="T93" s="14" t="n">
        <f aca="false">IF(R93=0,0,VLOOKUP(R93,MIE_Components!$A$2:$F$6,3,FALSE()))</f>
        <v>0</v>
      </c>
      <c r="U93" s="14" t="n">
        <f aca="false">IF(R93=0,0,VLOOKUP(R93,MIE_Components!$A$2:$F$6,4,FALSE()))</f>
        <v>0</v>
      </c>
      <c r="V93" s="14" t="n">
        <f aca="false">IF(OR($A93="",R93=0),0,MAX(5,R93*IF(OR($A93=Parameters!$B$13,$A93=Parameters!$B$14),0.75,1)-(IF(AND($A93=DATE(2026,11,29),NOV29BF="Yes"),S93,0)+IF(OR($A93=DATE(2026,11,29),$A93=DATE(2026,11,30),$A93=DATE(2026,12,1),$A93=DATE(2026,12,2)),T93,0)+IF(OR($A93=DATE(2026,11,28),$A93=DATE(2026,12,1)),U93,0))))</f>
        <v>0</v>
      </c>
      <c r="W93" s="14" t="n">
        <f aca="false">IF(AND($A93&lt;&gt;"",$A93&lt;Parameters!$B$14),CityData!F5*(1+TAXRATE),0)</f>
        <v>0</v>
      </c>
      <c r="X93" s="14" t="n">
        <f aca="false">IF($A93="",0,IFERROR(VLOOKUP((YEAR($A93)+IF(MONTH($A93)&gt;=10,1,0))&amp;"|Denver|"&amp;MONTH($A93),Rates!$A$2:$I$181,5,FALSE()),0))</f>
        <v>0</v>
      </c>
      <c r="Y93" s="14" t="n">
        <f aca="false">IF(OR($A93="",$A93&gt;=Parameters!$B$14),1,IF(AND(X93&gt;0,CityData!F5&lt;=X93),1,0))</f>
        <v>1</v>
      </c>
      <c r="Z93" s="14" t="n">
        <f aca="false">IF($A93="",0,IFERROR(VLOOKUP((YEAR($A93)+IF(MONTH($A93)&gt;=10,1,0))&amp;"|Phoenix|"&amp;MONTH($A93),Rates!$A$2:$I$181,6,FALSE()),0))</f>
        <v>0</v>
      </c>
      <c r="AA93" s="14" t="n">
        <f aca="false">IF(Z93=0,0,VLOOKUP(Z93,MIE_Components!$A$2:$F$6,2,FALSE()))</f>
        <v>0</v>
      </c>
      <c r="AB93" s="14" t="n">
        <f aca="false">IF(Z93=0,0,VLOOKUP(Z93,MIE_Components!$A$2:$F$6,3,FALSE()))</f>
        <v>0</v>
      </c>
      <c r="AC93" s="14" t="n">
        <f aca="false">IF(Z93=0,0,VLOOKUP(Z93,MIE_Components!$A$2:$F$6,4,FALSE()))</f>
        <v>0</v>
      </c>
      <c r="AD93" s="14" t="n">
        <f aca="false">IF(OR($A93="",Z93=0),0,MAX(5,Z93*IF(OR($A93=Parameters!$B$13,$A93=Parameters!$B$14),0.75,1)-(IF(AND($A93=DATE(2026,11,29),NOV29BF="Yes"),AA93,0)+IF(OR($A93=DATE(2026,11,29),$A93=DATE(2026,11,30),$A93=DATE(2026,12,1),$A93=DATE(2026,12,2)),AB93,0)+IF(OR($A93=DATE(2026,11,28),$A93=DATE(2026,12,1)),AC93,0))))</f>
        <v>0</v>
      </c>
      <c r="AE93" s="14" t="n">
        <f aca="false">IF(AND($A93&lt;&gt;"",$A93&lt;Parameters!$B$14),CityData!F6*(1+TAXRATE),0)</f>
        <v>0</v>
      </c>
      <c r="AF93" s="14" t="n">
        <f aca="false">IF($A93="",0,IFERROR(VLOOKUP((YEAR($A93)+IF(MONTH($A93)&gt;=10,1,0))&amp;"|Phoenix|"&amp;MONTH($A93),Rates!$A$2:$I$181,5,FALSE()),0))</f>
        <v>0</v>
      </c>
      <c r="AG93" s="14" t="n">
        <f aca="false">IF(OR($A93="",$A93&gt;=Parameters!$B$14),1,IF(AND(AF93&gt;0,CityData!F6&lt;=AF93),1,0))</f>
        <v>1</v>
      </c>
      <c r="AH93" s="14" t="n">
        <f aca="false">IF($A93="",0,IFERROR(VLOOKUP((YEAR($A93)+IF(MONTH($A93)&gt;=10,1,0))&amp;"|Seattle|"&amp;MONTH($A93),Rates!$A$2:$I$181,6,FALSE()),0))</f>
        <v>0</v>
      </c>
      <c r="AI93" s="14" t="n">
        <f aca="false">IF(AH93=0,0,VLOOKUP(AH93,MIE_Components!$A$2:$F$6,2,FALSE()))</f>
        <v>0</v>
      </c>
      <c r="AJ93" s="14" t="n">
        <f aca="false">IF(AH93=0,0,VLOOKUP(AH93,MIE_Components!$A$2:$F$6,3,FALSE()))</f>
        <v>0</v>
      </c>
      <c r="AK93" s="14" t="n">
        <f aca="false">IF(AH93=0,0,VLOOKUP(AH93,MIE_Components!$A$2:$F$6,4,FALSE()))</f>
        <v>0</v>
      </c>
      <c r="AL93" s="14" t="n">
        <f aca="false">IF(OR($A93="",AH93=0),0,MAX(5,AH93*IF(OR($A93=Parameters!$B$13,$A93=Parameters!$B$14),0.75,1)-(IF(AND($A93=DATE(2026,11,29),NOV29BF="Yes"),AI93,0)+IF(OR($A93=DATE(2026,11,29),$A93=DATE(2026,11,30),$A93=DATE(2026,12,1),$A93=DATE(2026,12,2)),AJ93,0)+IF(OR($A93=DATE(2026,11,28),$A93=DATE(2026,12,1)),AK93,0))))</f>
        <v>0</v>
      </c>
      <c r="AM93" s="14" t="n">
        <f aca="false">IF(AND($A93&lt;&gt;"",$A93&lt;Parameters!$B$14),CityData!F7*(1+TAXRATE),0)</f>
        <v>0</v>
      </c>
      <c r="AN93" s="14" t="n">
        <f aca="false">IF($A93="",0,IFERROR(VLOOKUP((YEAR($A93)+IF(MONTH($A93)&gt;=10,1,0))&amp;"|Seattle|"&amp;MONTH($A93),Rates!$A$2:$I$181,5,FALSE()),0))</f>
        <v>0</v>
      </c>
      <c r="AO93" s="14" t="n">
        <f aca="false">IF(OR($A93="",$A93&gt;=Parameters!$B$14),1,IF(AND(AN93&gt;0,CityData!F7&lt;=AN93),1,0))</f>
        <v>1</v>
      </c>
    </row>
    <row r="94" customFormat="false" ht="15" hidden="false" customHeight="true" outlineLevel="0" collapsed="false">
      <c r="A94" s="23" t="str">
        <f aca="false">IF(AND(Parameters!$B$14&gt;=Parameters!$B$13,ROW()-2&lt;=Parameters!$B$14-Parameters!$B$13),Parameters!$B$13+ROW()-2,"")</f>
        <v/>
      </c>
      <c r="B94" s="14" t="n">
        <f aca="false">IF($A94="",0,IFERROR(VLOOKUP((YEAR($A94)+IF(MONTH($A94)&gt;=10,1,0))&amp;"|Boston|"&amp;MONTH($A94),Rates!$A$2:$I$181,6,FALSE()),0))</f>
        <v>0</v>
      </c>
      <c r="C94" s="14" t="n">
        <f aca="false">IF(B94=0,0,VLOOKUP(B94,MIE_Components!$A$2:$F$6,2,FALSE()))</f>
        <v>0</v>
      </c>
      <c r="D94" s="14" t="n">
        <f aca="false">IF(B94=0,0,VLOOKUP(B94,MIE_Components!$A$2:$F$6,3,FALSE()))</f>
        <v>0</v>
      </c>
      <c r="E94" s="14" t="n">
        <f aca="false">IF(B94=0,0,VLOOKUP(B94,MIE_Components!$A$2:$F$6,4,FALSE()))</f>
        <v>0</v>
      </c>
      <c r="F94" s="14" t="n">
        <f aca="false">IF(OR($A94="",B94=0),0,MAX(5,B94*IF(OR($A94=Parameters!$B$13,$A94=Parameters!$B$14),0.75,1)-(IF(AND($A94=DATE(2026,11,29),NOV29BF="Yes"),C94,0)+IF(OR($A94=DATE(2026,11,29),$A94=DATE(2026,11,30),$A94=DATE(2026,12,1),$A94=DATE(2026,12,2)),D94,0)+IF(OR($A94=DATE(2026,11,28),$A94=DATE(2026,12,1)),E94,0))))</f>
        <v>0</v>
      </c>
      <c r="G94" s="14" t="n">
        <f aca="false">IF(AND($A94&lt;&gt;"",$A94&lt;Parameters!$B$14),CityData!F3*(1+TAXRATE),0)</f>
        <v>0</v>
      </c>
      <c r="H94" s="14" t="n">
        <f aca="false">IF($A94="",0,IFERROR(VLOOKUP((YEAR($A94)+IF(MONTH($A94)&gt;=10,1,0))&amp;"|Boston|"&amp;MONTH($A94),Rates!$A$2:$I$181,5,FALSE()),0))</f>
        <v>0</v>
      </c>
      <c r="I94" s="14" t="n">
        <f aca="false">IF(OR($A94="",$A94&gt;=Parameters!$B$14),1,IF(AND(H94&gt;0,CityData!F3&lt;=H94),1,0))</f>
        <v>1</v>
      </c>
      <c r="J94" s="14" t="n">
        <f aca="false">IF($A94="",0,IFERROR(VLOOKUP((YEAR($A94)+IF(MONTH($A94)&gt;=10,1,0))&amp;"|Chicago|"&amp;MONTH($A94),Rates!$A$2:$I$181,6,FALSE()),0))</f>
        <v>0</v>
      </c>
      <c r="K94" s="14" t="n">
        <f aca="false">IF(J94=0,0,VLOOKUP(J94,MIE_Components!$A$2:$F$6,2,FALSE()))</f>
        <v>0</v>
      </c>
      <c r="L94" s="14" t="n">
        <f aca="false">IF(J94=0,0,VLOOKUP(J94,MIE_Components!$A$2:$F$6,3,FALSE()))</f>
        <v>0</v>
      </c>
      <c r="M94" s="14" t="n">
        <f aca="false">IF(J94=0,0,VLOOKUP(J94,MIE_Components!$A$2:$F$6,4,FALSE()))</f>
        <v>0</v>
      </c>
      <c r="N94" s="14" t="n">
        <f aca="false">IF(OR($A94="",J94=0),0,MAX(5,J94*IF(OR($A94=Parameters!$B$13,$A94=Parameters!$B$14),0.75,1)-(IF(AND($A94=DATE(2026,11,29),NOV29BF="Yes"),K94,0)+IF(OR($A94=DATE(2026,11,29),$A94=DATE(2026,11,30),$A94=DATE(2026,12,1),$A94=DATE(2026,12,2)),L94,0)+IF(OR($A94=DATE(2026,11,28),$A94=DATE(2026,12,1)),M94,0))))</f>
        <v>0</v>
      </c>
      <c r="O94" s="14" t="n">
        <f aca="false">IF(AND($A94&lt;&gt;"",$A94&lt;Parameters!$B$14),CityData!F4*(1+TAXRATE),0)</f>
        <v>0</v>
      </c>
      <c r="P94" s="14" t="n">
        <f aca="false">IF($A94="",0,IFERROR(VLOOKUP((YEAR($A94)+IF(MONTH($A94)&gt;=10,1,0))&amp;"|Chicago|"&amp;MONTH($A94),Rates!$A$2:$I$181,5,FALSE()),0))</f>
        <v>0</v>
      </c>
      <c r="Q94" s="14" t="n">
        <f aca="false">IF(OR($A94="",$A94&gt;=Parameters!$B$14),1,IF(AND(P94&gt;0,CityData!F4&lt;=P94),1,0))</f>
        <v>1</v>
      </c>
      <c r="R94" s="14" t="n">
        <f aca="false">IF($A94="",0,IFERROR(VLOOKUP((YEAR($A94)+IF(MONTH($A94)&gt;=10,1,0))&amp;"|Denver|"&amp;MONTH($A94),Rates!$A$2:$I$181,6,FALSE()),0))</f>
        <v>0</v>
      </c>
      <c r="S94" s="14" t="n">
        <f aca="false">IF(R94=0,0,VLOOKUP(R94,MIE_Components!$A$2:$F$6,2,FALSE()))</f>
        <v>0</v>
      </c>
      <c r="T94" s="14" t="n">
        <f aca="false">IF(R94=0,0,VLOOKUP(R94,MIE_Components!$A$2:$F$6,3,FALSE()))</f>
        <v>0</v>
      </c>
      <c r="U94" s="14" t="n">
        <f aca="false">IF(R94=0,0,VLOOKUP(R94,MIE_Components!$A$2:$F$6,4,FALSE()))</f>
        <v>0</v>
      </c>
      <c r="V94" s="14" t="n">
        <f aca="false">IF(OR($A94="",R94=0),0,MAX(5,R94*IF(OR($A94=Parameters!$B$13,$A94=Parameters!$B$14),0.75,1)-(IF(AND($A94=DATE(2026,11,29),NOV29BF="Yes"),S94,0)+IF(OR($A94=DATE(2026,11,29),$A94=DATE(2026,11,30),$A94=DATE(2026,12,1),$A94=DATE(2026,12,2)),T94,0)+IF(OR($A94=DATE(2026,11,28),$A94=DATE(2026,12,1)),U94,0))))</f>
        <v>0</v>
      </c>
      <c r="W94" s="14" t="n">
        <f aca="false">IF(AND($A94&lt;&gt;"",$A94&lt;Parameters!$B$14),CityData!F5*(1+TAXRATE),0)</f>
        <v>0</v>
      </c>
      <c r="X94" s="14" t="n">
        <f aca="false">IF($A94="",0,IFERROR(VLOOKUP((YEAR($A94)+IF(MONTH($A94)&gt;=10,1,0))&amp;"|Denver|"&amp;MONTH($A94),Rates!$A$2:$I$181,5,FALSE()),0))</f>
        <v>0</v>
      </c>
      <c r="Y94" s="14" t="n">
        <f aca="false">IF(OR($A94="",$A94&gt;=Parameters!$B$14),1,IF(AND(X94&gt;0,CityData!F5&lt;=X94),1,0))</f>
        <v>1</v>
      </c>
      <c r="Z94" s="14" t="n">
        <f aca="false">IF($A94="",0,IFERROR(VLOOKUP((YEAR($A94)+IF(MONTH($A94)&gt;=10,1,0))&amp;"|Phoenix|"&amp;MONTH($A94),Rates!$A$2:$I$181,6,FALSE()),0))</f>
        <v>0</v>
      </c>
      <c r="AA94" s="14" t="n">
        <f aca="false">IF(Z94=0,0,VLOOKUP(Z94,MIE_Components!$A$2:$F$6,2,FALSE()))</f>
        <v>0</v>
      </c>
      <c r="AB94" s="14" t="n">
        <f aca="false">IF(Z94=0,0,VLOOKUP(Z94,MIE_Components!$A$2:$F$6,3,FALSE()))</f>
        <v>0</v>
      </c>
      <c r="AC94" s="14" t="n">
        <f aca="false">IF(Z94=0,0,VLOOKUP(Z94,MIE_Components!$A$2:$F$6,4,FALSE()))</f>
        <v>0</v>
      </c>
      <c r="AD94" s="14" t="n">
        <f aca="false">IF(OR($A94="",Z94=0),0,MAX(5,Z94*IF(OR($A94=Parameters!$B$13,$A94=Parameters!$B$14),0.75,1)-(IF(AND($A94=DATE(2026,11,29),NOV29BF="Yes"),AA94,0)+IF(OR($A94=DATE(2026,11,29),$A94=DATE(2026,11,30),$A94=DATE(2026,12,1),$A94=DATE(2026,12,2)),AB94,0)+IF(OR($A94=DATE(2026,11,28),$A94=DATE(2026,12,1)),AC94,0))))</f>
        <v>0</v>
      </c>
      <c r="AE94" s="14" t="n">
        <f aca="false">IF(AND($A94&lt;&gt;"",$A94&lt;Parameters!$B$14),CityData!F6*(1+TAXRATE),0)</f>
        <v>0</v>
      </c>
      <c r="AF94" s="14" t="n">
        <f aca="false">IF($A94="",0,IFERROR(VLOOKUP((YEAR($A94)+IF(MONTH($A94)&gt;=10,1,0))&amp;"|Phoenix|"&amp;MONTH($A94),Rates!$A$2:$I$181,5,FALSE()),0))</f>
        <v>0</v>
      </c>
      <c r="AG94" s="14" t="n">
        <f aca="false">IF(OR($A94="",$A94&gt;=Parameters!$B$14),1,IF(AND(AF94&gt;0,CityData!F6&lt;=AF94),1,0))</f>
        <v>1</v>
      </c>
      <c r="AH94" s="14" t="n">
        <f aca="false">IF($A94="",0,IFERROR(VLOOKUP((YEAR($A94)+IF(MONTH($A94)&gt;=10,1,0))&amp;"|Seattle|"&amp;MONTH($A94),Rates!$A$2:$I$181,6,FALSE()),0))</f>
        <v>0</v>
      </c>
      <c r="AI94" s="14" t="n">
        <f aca="false">IF(AH94=0,0,VLOOKUP(AH94,MIE_Components!$A$2:$F$6,2,FALSE()))</f>
        <v>0</v>
      </c>
      <c r="AJ94" s="14" t="n">
        <f aca="false">IF(AH94=0,0,VLOOKUP(AH94,MIE_Components!$A$2:$F$6,3,FALSE()))</f>
        <v>0</v>
      </c>
      <c r="AK94" s="14" t="n">
        <f aca="false">IF(AH94=0,0,VLOOKUP(AH94,MIE_Components!$A$2:$F$6,4,FALSE()))</f>
        <v>0</v>
      </c>
      <c r="AL94" s="14" t="n">
        <f aca="false">IF(OR($A94="",AH94=0),0,MAX(5,AH94*IF(OR($A94=Parameters!$B$13,$A94=Parameters!$B$14),0.75,1)-(IF(AND($A94=DATE(2026,11,29),NOV29BF="Yes"),AI94,0)+IF(OR($A94=DATE(2026,11,29),$A94=DATE(2026,11,30),$A94=DATE(2026,12,1),$A94=DATE(2026,12,2)),AJ94,0)+IF(OR($A94=DATE(2026,11,28),$A94=DATE(2026,12,1)),AK94,0))))</f>
        <v>0</v>
      </c>
      <c r="AM94" s="14" t="n">
        <f aca="false">IF(AND($A94&lt;&gt;"",$A94&lt;Parameters!$B$14),CityData!F7*(1+TAXRATE),0)</f>
        <v>0</v>
      </c>
      <c r="AN94" s="14" t="n">
        <f aca="false">IF($A94="",0,IFERROR(VLOOKUP((YEAR($A94)+IF(MONTH($A94)&gt;=10,1,0))&amp;"|Seattle|"&amp;MONTH($A94),Rates!$A$2:$I$181,5,FALSE()),0))</f>
        <v>0</v>
      </c>
      <c r="AO94" s="14" t="n">
        <f aca="false">IF(OR($A94="",$A94&gt;=Parameters!$B$14),1,IF(AND(AN94&gt;0,CityData!F7&lt;=AN94),1,0))</f>
        <v>1</v>
      </c>
    </row>
    <row r="95" customFormat="false" ht="15" hidden="false" customHeight="true" outlineLevel="0" collapsed="false">
      <c r="A95" s="23" t="str">
        <f aca="false">IF(AND(Parameters!$B$14&gt;=Parameters!$B$13,ROW()-2&lt;=Parameters!$B$14-Parameters!$B$13),Parameters!$B$13+ROW()-2,"")</f>
        <v/>
      </c>
      <c r="B95" s="14" t="n">
        <f aca="false">IF($A95="",0,IFERROR(VLOOKUP((YEAR($A95)+IF(MONTH($A95)&gt;=10,1,0))&amp;"|Boston|"&amp;MONTH($A95),Rates!$A$2:$I$181,6,FALSE()),0))</f>
        <v>0</v>
      </c>
      <c r="C95" s="14" t="n">
        <f aca="false">IF(B95=0,0,VLOOKUP(B95,MIE_Components!$A$2:$F$6,2,FALSE()))</f>
        <v>0</v>
      </c>
      <c r="D95" s="14" t="n">
        <f aca="false">IF(B95=0,0,VLOOKUP(B95,MIE_Components!$A$2:$F$6,3,FALSE()))</f>
        <v>0</v>
      </c>
      <c r="E95" s="14" t="n">
        <f aca="false">IF(B95=0,0,VLOOKUP(B95,MIE_Components!$A$2:$F$6,4,FALSE()))</f>
        <v>0</v>
      </c>
      <c r="F95" s="14" t="n">
        <f aca="false">IF(OR($A95="",B95=0),0,MAX(5,B95*IF(OR($A95=Parameters!$B$13,$A95=Parameters!$B$14),0.75,1)-(IF(AND($A95=DATE(2026,11,29),NOV29BF="Yes"),C95,0)+IF(OR($A95=DATE(2026,11,29),$A95=DATE(2026,11,30),$A95=DATE(2026,12,1),$A95=DATE(2026,12,2)),D95,0)+IF(OR($A95=DATE(2026,11,28),$A95=DATE(2026,12,1)),E95,0))))</f>
        <v>0</v>
      </c>
      <c r="G95" s="14" t="n">
        <f aca="false">IF(AND($A95&lt;&gt;"",$A95&lt;Parameters!$B$14),CityData!F3*(1+TAXRATE),0)</f>
        <v>0</v>
      </c>
      <c r="H95" s="14" t="n">
        <f aca="false">IF($A95="",0,IFERROR(VLOOKUP((YEAR($A95)+IF(MONTH($A95)&gt;=10,1,0))&amp;"|Boston|"&amp;MONTH($A95),Rates!$A$2:$I$181,5,FALSE()),0))</f>
        <v>0</v>
      </c>
      <c r="I95" s="14" t="n">
        <f aca="false">IF(OR($A95="",$A95&gt;=Parameters!$B$14),1,IF(AND(H95&gt;0,CityData!F3&lt;=H95),1,0))</f>
        <v>1</v>
      </c>
      <c r="J95" s="14" t="n">
        <f aca="false">IF($A95="",0,IFERROR(VLOOKUP((YEAR($A95)+IF(MONTH($A95)&gt;=10,1,0))&amp;"|Chicago|"&amp;MONTH($A95),Rates!$A$2:$I$181,6,FALSE()),0))</f>
        <v>0</v>
      </c>
      <c r="K95" s="14" t="n">
        <f aca="false">IF(J95=0,0,VLOOKUP(J95,MIE_Components!$A$2:$F$6,2,FALSE()))</f>
        <v>0</v>
      </c>
      <c r="L95" s="14" t="n">
        <f aca="false">IF(J95=0,0,VLOOKUP(J95,MIE_Components!$A$2:$F$6,3,FALSE()))</f>
        <v>0</v>
      </c>
      <c r="M95" s="14" t="n">
        <f aca="false">IF(J95=0,0,VLOOKUP(J95,MIE_Components!$A$2:$F$6,4,FALSE()))</f>
        <v>0</v>
      </c>
      <c r="N95" s="14" t="n">
        <f aca="false">IF(OR($A95="",J95=0),0,MAX(5,J95*IF(OR($A95=Parameters!$B$13,$A95=Parameters!$B$14),0.75,1)-(IF(AND($A95=DATE(2026,11,29),NOV29BF="Yes"),K95,0)+IF(OR($A95=DATE(2026,11,29),$A95=DATE(2026,11,30),$A95=DATE(2026,12,1),$A95=DATE(2026,12,2)),L95,0)+IF(OR($A95=DATE(2026,11,28),$A95=DATE(2026,12,1)),M95,0))))</f>
        <v>0</v>
      </c>
      <c r="O95" s="14" t="n">
        <f aca="false">IF(AND($A95&lt;&gt;"",$A95&lt;Parameters!$B$14),CityData!F4*(1+TAXRATE),0)</f>
        <v>0</v>
      </c>
      <c r="P95" s="14" t="n">
        <f aca="false">IF($A95="",0,IFERROR(VLOOKUP((YEAR($A95)+IF(MONTH($A95)&gt;=10,1,0))&amp;"|Chicago|"&amp;MONTH($A95),Rates!$A$2:$I$181,5,FALSE()),0))</f>
        <v>0</v>
      </c>
      <c r="Q95" s="14" t="n">
        <f aca="false">IF(OR($A95="",$A95&gt;=Parameters!$B$14),1,IF(AND(P95&gt;0,CityData!F4&lt;=P95),1,0))</f>
        <v>1</v>
      </c>
      <c r="R95" s="14" t="n">
        <f aca="false">IF($A95="",0,IFERROR(VLOOKUP((YEAR($A95)+IF(MONTH($A95)&gt;=10,1,0))&amp;"|Denver|"&amp;MONTH($A95),Rates!$A$2:$I$181,6,FALSE()),0))</f>
        <v>0</v>
      </c>
      <c r="S95" s="14" t="n">
        <f aca="false">IF(R95=0,0,VLOOKUP(R95,MIE_Components!$A$2:$F$6,2,FALSE()))</f>
        <v>0</v>
      </c>
      <c r="T95" s="14" t="n">
        <f aca="false">IF(R95=0,0,VLOOKUP(R95,MIE_Components!$A$2:$F$6,3,FALSE()))</f>
        <v>0</v>
      </c>
      <c r="U95" s="14" t="n">
        <f aca="false">IF(R95=0,0,VLOOKUP(R95,MIE_Components!$A$2:$F$6,4,FALSE()))</f>
        <v>0</v>
      </c>
      <c r="V95" s="14" t="n">
        <f aca="false">IF(OR($A95="",R95=0),0,MAX(5,R95*IF(OR($A95=Parameters!$B$13,$A95=Parameters!$B$14),0.75,1)-(IF(AND($A95=DATE(2026,11,29),NOV29BF="Yes"),S95,0)+IF(OR($A95=DATE(2026,11,29),$A95=DATE(2026,11,30),$A95=DATE(2026,12,1),$A95=DATE(2026,12,2)),T95,0)+IF(OR($A95=DATE(2026,11,28),$A95=DATE(2026,12,1)),U95,0))))</f>
        <v>0</v>
      </c>
      <c r="W95" s="14" t="n">
        <f aca="false">IF(AND($A95&lt;&gt;"",$A95&lt;Parameters!$B$14),CityData!F5*(1+TAXRATE),0)</f>
        <v>0</v>
      </c>
      <c r="X95" s="14" t="n">
        <f aca="false">IF($A95="",0,IFERROR(VLOOKUP((YEAR($A95)+IF(MONTH($A95)&gt;=10,1,0))&amp;"|Denver|"&amp;MONTH($A95),Rates!$A$2:$I$181,5,FALSE()),0))</f>
        <v>0</v>
      </c>
      <c r="Y95" s="14" t="n">
        <f aca="false">IF(OR($A95="",$A95&gt;=Parameters!$B$14),1,IF(AND(X95&gt;0,CityData!F5&lt;=X95),1,0))</f>
        <v>1</v>
      </c>
      <c r="Z95" s="14" t="n">
        <f aca="false">IF($A95="",0,IFERROR(VLOOKUP((YEAR($A95)+IF(MONTH($A95)&gt;=10,1,0))&amp;"|Phoenix|"&amp;MONTH($A95),Rates!$A$2:$I$181,6,FALSE()),0))</f>
        <v>0</v>
      </c>
      <c r="AA95" s="14" t="n">
        <f aca="false">IF(Z95=0,0,VLOOKUP(Z95,MIE_Components!$A$2:$F$6,2,FALSE()))</f>
        <v>0</v>
      </c>
      <c r="AB95" s="14" t="n">
        <f aca="false">IF(Z95=0,0,VLOOKUP(Z95,MIE_Components!$A$2:$F$6,3,FALSE()))</f>
        <v>0</v>
      </c>
      <c r="AC95" s="14" t="n">
        <f aca="false">IF(Z95=0,0,VLOOKUP(Z95,MIE_Components!$A$2:$F$6,4,FALSE()))</f>
        <v>0</v>
      </c>
      <c r="AD95" s="14" t="n">
        <f aca="false">IF(OR($A95="",Z95=0),0,MAX(5,Z95*IF(OR($A95=Parameters!$B$13,$A95=Parameters!$B$14),0.75,1)-(IF(AND($A95=DATE(2026,11,29),NOV29BF="Yes"),AA95,0)+IF(OR($A95=DATE(2026,11,29),$A95=DATE(2026,11,30),$A95=DATE(2026,12,1),$A95=DATE(2026,12,2)),AB95,0)+IF(OR($A95=DATE(2026,11,28),$A95=DATE(2026,12,1)),AC95,0))))</f>
        <v>0</v>
      </c>
      <c r="AE95" s="14" t="n">
        <f aca="false">IF(AND($A95&lt;&gt;"",$A95&lt;Parameters!$B$14),CityData!F6*(1+TAXRATE),0)</f>
        <v>0</v>
      </c>
      <c r="AF95" s="14" t="n">
        <f aca="false">IF($A95="",0,IFERROR(VLOOKUP((YEAR($A95)+IF(MONTH($A95)&gt;=10,1,0))&amp;"|Phoenix|"&amp;MONTH($A95),Rates!$A$2:$I$181,5,FALSE()),0))</f>
        <v>0</v>
      </c>
      <c r="AG95" s="14" t="n">
        <f aca="false">IF(OR($A95="",$A95&gt;=Parameters!$B$14),1,IF(AND(AF95&gt;0,CityData!F6&lt;=AF95),1,0))</f>
        <v>1</v>
      </c>
      <c r="AH95" s="14" t="n">
        <f aca="false">IF($A95="",0,IFERROR(VLOOKUP((YEAR($A95)+IF(MONTH($A95)&gt;=10,1,0))&amp;"|Seattle|"&amp;MONTH($A95),Rates!$A$2:$I$181,6,FALSE()),0))</f>
        <v>0</v>
      </c>
      <c r="AI95" s="14" t="n">
        <f aca="false">IF(AH95=0,0,VLOOKUP(AH95,MIE_Components!$A$2:$F$6,2,FALSE()))</f>
        <v>0</v>
      </c>
      <c r="AJ95" s="14" t="n">
        <f aca="false">IF(AH95=0,0,VLOOKUP(AH95,MIE_Components!$A$2:$F$6,3,FALSE()))</f>
        <v>0</v>
      </c>
      <c r="AK95" s="14" t="n">
        <f aca="false">IF(AH95=0,0,VLOOKUP(AH95,MIE_Components!$A$2:$F$6,4,FALSE()))</f>
        <v>0</v>
      </c>
      <c r="AL95" s="14" t="n">
        <f aca="false">IF(OR($A95="",AH95=0),0,MAX(5,AH95*IF(OR($A95=Parameters!$B$13,$A95=Parameters!$B$14),0.75,1)-(IF(AND($A95=DATE(2026,11,29),NOV29BF="Yes"),AI95,0)+IF(OR($A95=DATE(2026,11,29),$A95=DATE(2026,11,30),$A95=DATE(2026,12,1),$A95=DATE(2026,12,2)),AJ95,0)+IF(OR($A95=DATE(2026,11,28),$A95=DATE(2026,12,1)),AK95,0))))</f>
        <v>0</v>
      </c>
      <c r="AM95" s="14" t="n">
        <f aca="false">IF(AND($A95&lt;&gt;"",$A95&lt;Parameters!$B$14),CityData!F7*(1+TAXRATE),0)</f>
        <v>0</v>
      </c>
      <c r="AN95" s="14" t="n">
        <f aca="false">IF($A95="",0,IFERROR(VLOOKUP((YEAR($A95)+IF(MONTH($A95)&gt;=10,1,0))&amp;"|Seattle|"&amp;MONTH($A95),Rates!$A$2:$I$181,5,FALSE()),0))</f>
        <v>0</v>
      </c>
      <c r="AO95" s="14" t="n">
        <f aca="false">IF(OR($A95="",$A95&gt;=Parameters!$B$14),1,IF(AND(AN95&gt;0,CityData!F7&lt;=AN95),1,0))</f>
        <v>1</v>
      </c>
    </row>
    <row r="96" customFormat="false" ht="15" hidden="false" customHeight="true" outlineLevel="0" collapsed="false">
      <c r="A96" s="23" t="str">
        <f aca="false">IF(AND(Parameters!$B$14&gt;=Parameters!$B$13,ROW()-2&lt;=Parameters!$B$14-Parameters!$B$13),Parameters!$B$13+ROW()-2,"")</f>
        <v/>
      </c>
      <c r="B96" s="14" t="n">
        <f aca="false">IF($A96="",0,IFERROR(VLOOKUP((YEAR($A96)+IF(MONTH($A96)&gt;=10,1,0))&amp;"|Boston|"&amp;MONTH($A96),Rates!$A$2:$I$181,6,FALSE()),0))</f>
        <v>0</v>
      </c>
      <c r="C96" s="14" t="n">
        <f aca="false">IF(B96=0,0,VLOOKUP(B96,MIE_Components!$A$2:$F$6,2,FALSE()))</f>
        <v>0</v>
      </c>
      <c r="D96" s="14" t="n">
        <f aca="false">IF(B96=0,0,VLOOKUP(B96,MIE_Components!$A$2:$F$6,3,FALSE()))</f>
        <v>0</v>
      </c>
      <c r="E96" s="14" t="n">
        <f aca="false">IF(B96=0,0,VLOOKUP(B96,MIE_Components!$A$2:$F$6,4,FALSE()))</f>
        <v>0</v>
      </c>
      <c r="F96" s="14" t="n">
        <f aca="false">IF(OR($A96="",B96=0),0,MAX(5,B96*IF(OR($A96=Parameters!$B$13,$A96=Parameters!$B$14),0.75,1)-(IF(AND($A96=DATE(2026,11,29),NOV29BF="Yes"),C96,0)+IF(OR($A96=DATE(2026,11,29),$A96=DATE(2026,11,30),$A96=DATE(2026,12,1),$A96=DATE(2026,12,2)),D96,0)+IF(OR($A96=DATE(2026,11,28),$A96=DATE(2026,12,1)),E96,0))))</f>
        <v>0</v>
      </c>
      <c r="G96" s="14" t="n">
        <f aca="false">IF(AND($A96&lt;&gt;"",$A96&lt;Parameters!$B$14),CityData!F3*(1+TAXRATE),0)</f>
        <v>0</v>
      </c>
      <c r="H96" s="14" t="n">
        <f aca="false">IF($A96="",0,IFERROR(VLOOKUP((YEAR($A96)+IF(MONTH($A96)&gt;=10,1,0))&amp;"|Boston|"&amp;MONTH($A96),Rates!$A$2:$I$181,5,FALSE()),0))</f>
        <v>0</v>
      </c>
      <c r="I96" s="14" t="n">
        <f aca="false">IF(OR($A96="",$A96&gt;=Parameters!$B$14),1,IF(AND(H96&gt;0,CityData!F3&lt;=H96),1,0))</f>
        <v>1</v>
      </c>
      <c r="J96" s="14" t="n">
        <f aca="false">IF($A96="",0,IFERROR(VLOOKUP((YEAR($A96)+IF(MONTH($A96)&gt;=10,1,0))&amp;"|Chicago|"&amp;MONTH($A96),Rates!$A$2:$I$181,6,FALSE()),0))</f>
        <v>0</v>
      </c>
      <c r="K96" s="14" t="n">
        <f aca="false">IF(J96=0,0,VLOOKUP(J96,MIE_Components!$A$2:$F$6,2,FALSE()))</f>
        <v>0</v>
      </c>
      <c r="L96" s="14" t="n">
        <f aca="false">IF(J96=0,0,VLOOKUP(J96,MIE_Components!$A$2:$F$6,3,FALSE()))</f>
        <v>0</v>
      </c>
      <c r="M96" s="14" t="n">
        <f aca="false">IF(J96=0,0,VLOOKUP(J96,MIE_Components!$A$2:$F$6,4,FALSE()))</f>
        <v>0</v>
      </c>
      <c r="N96" s="14" t="n">
        <f aca="false">IF(OR($A96="",J96=0),0,MAX(5,J96*IF(OR($A96=Parameters!$B$13,$A96=Parameters!$B$14),0.75,1)-(IF(AND($A96=DATE(2026,11,29),NOV29BF="Yes"),K96,0)+IF(OR($A96=DATE(2026,11,29),$A96=DATE(2026,11,30),$A96=DATE(2026,12,1),$A96=DATE(2026,12,2)),L96,0)+IF(OR($A96=DATE(2026,11,28),$A96=DATE(2026,12,1)),M96,0))))</f>
        <v>0</v>
      </c>
      <c r="O96" s="14" t="n">
        <f aca="false">IF(AND($A96&lt;&gt;"",$A96&lt;Parameters!$B$14),CityData!F4*(1+TAXRATE),0)</f>
        <v>0</v>
      </c>
      <c r="P96" s="14" t="n">
        <f aca="false">IF($A96="",0,IFERROR(VLOOKUP((YEAR($A96)+IF(MONTH($A96)&gt;=10,1,0))&amp;"|Chicago|"&amp;MONTH($A96),Rates!$A$2:$I$181,5,FALSE()),0))</f>
        <v>0</v>
      </c>
      <c r="Q96" s="14" t="n">
        <f aca="false">IF(OR($A96="",$A96&gt;=Parameters!$B$14),1,IF(AND(P96&gt;0,CityData!F4&lt;=P96),1,0))</f>
        <v>1</v>
      </c>
      <c r="R96" s="14" t="n">
        <f aca="false">IF($A96="",0,IFERROR(VLOOKUP((YEAR($A96)+IF(MONTH($A96)&gt;=10,1,0))&amp;"|Denver|"&amp;MONTH($A96),Rates!$A$2:$I$181,6,FALSE()),0))</f>
        <v>0</v>
      </c>
      <c r="S96" s="14" t="n">
        <f aca="false">IF(R96=0,0,VLOOKUP(R96,MIE_Components!$A$2:$F$6,2,FALSE()))</f>
        <v>0</v>
      </c>
      <c r="T96" s="14" t="n">
        <f aca="false">IF(R96=0,0,VLOOKUP(R96,MIE_Components!$A$2:$F$6,3,FALSE()))</f>
        <v>0</v>
      </c>
      <c r="U96" s="14" t="n">
        <f aca="false">IF(R96=0,0,VLOOKUP(R96,MIE_Components!$A$2:$F$6,4,FALSE()))</f>
        <v>0</v>
      </c>
      <c r="V96" s="14" t="n">
        <f aca="false">IF(OR($A96="",R96=0),0,MAX(5,R96*IF(OR($A96=Parameters!$B$13,$A96=Parameters!$B$14),0.75,1)-(IF(AND($A96=DATE(2026,11,29),NOV29BF="Yes"),S96,0)+IF(OR($A96=DATE(2026,11,29),$A96=DATE(2026,11,30),$A96=DATE(2026,12,1),$A96=DATE(2026,12,2)),T96,0)+IF(OR($A96=DATE(2026,11,28),$A96=DATE(2026,12,1)),U96,0))))</f>
        <v>0</v>
      </c>
      <c r="W96" s="14" t="n">
        <f aca="false">IF(AND($A96&lt;&gt;"",$A96&lt;Parameters!$B$14),CityData!F5*(1+TAXRATE),0)</f>
        <v>0</v>
      </c>
      <c r="X96" s="14" t="n">
        <f aca="false">IF($A96="",0,IFERROR(VLOOKUP((YEAR($A96)+IF(MONTH($A96)&gt;=10,1,0))&amp;"|Denver|"&amp;MONTH($A96),Rates!$A$2:$I$181,5,FALSE()),0))</f>
        <v>0</v>
      </c>
      <c r="Y96" s="14" t="n">
        <f aca="false">IF(OR($A96="",$A96&gt;=Parameters!$B$14),1,IF(AND(X96&gt;0,CityData!F5&lt;=X96),1,0))</f>
        <v>1</v>
      </c>
      <c r="Z96" s="14" t="n">
        <f aca="false">IF($A96="",0,IFERROR(VLOOKUP((YEAR($A96)+IF(MONTH($A96)&gt;=10,1,0))&amp;"|Phoenix|"&amp;MONTH($A96),Rates!$A$2:$I$181,6,FALSE()),0))</f>
        <v>0</v>
      </c>
      <c r="AA96" s="14" t="n">
        <f aca="false">IF(Z96=0,0,VLOOKUP(Z96,MIE_Components!$A$2:$F$6,2,FALSE()))</f>
        <v>0</v>
      </c>
      <c r="AB96" s="14" t="n">
        <f aca="false">IF(Z96=0,0,VLOOKUP(Z96,MIE_Components!$A$2:$F$6,3,FALSE()))</f>
        <v>0</v>
      </c>
      <c r="AC96" s="14" t="n">
        <f aca="false">IF(Z96=0,0,VLOOKUP(Z96,MIE_Components!$A$2:$F$6,4,FALSE()))</f>
        <v>0</v>
      </c>
      <c r="AD96" s="14" t="n">
        <f aca="false">IF(OR($A96="",Z96=0),0,MAX(5,Z96*IF(OR($A96=Parameters!$B$13,$A96=Parameters!$B$14),0.75,1)-(IF(AND($A96=DATE(2026,11,29),NOV29BF="Yes"),AA96,0)+IF(OR($A96=DATE(2026,11,29),$A96=DATE(2026,11,30),$A96=DATE(2026,12,1),$A96=DATE(2026,12,2)),AB96,0)+IF(OR($A96=DATE(2026,11,28),$A96=DATE(2026,12,1)),AC96,0))))</f>
        <v>0</v>
      </c>
      <c r="AE96" s="14" t="n">
        <f aca="false">IF(AND($A96&lt;&gt;"",$A96&lt;Parameters!$B$14),CityData!F6*(1+TAXRATE),0)</f>
        <v>0</v>
      </c>
      <c r="AF96" s="14" t="n">
        <f aca="false">IF($A96="",0,IFERROR(VLOOKUP((YEAR($A96)+IF(MONTH($A96)&gt;=10,1,0))&amp;"|Phoenix|"&amp;MONTH($A96),Rates!$A$2:$I$181,5,FALSE()),0))</f>
        <v>0</v>
      </c>
      <c r="AG96" s="14" t="n">
        <f aca="false">IF(OR($A96="",$A96&gt;=Parameters!$B$14),1,IF(AND(AF96&gt;0,CityData!F6&lt;=AF96),1,0))</f>
        <v>1</v>
      </c>
      <c r="AH96" s="14" t="n">
        <f aca="false">IF($A96="",0,IFERROR(VLOOKUP((YEAR($A96)+IF(MONTH($A96)&gt;=10,1,0))&amp;"|Seattle|"&amp;MONTH($A96),Rates!$A$2:$I$181,6,FALSE()),0))</f>
        <v>0</v>
      </c>
      <c r="AI96" s="14" t="n">
        <f aca="false">IF(AH96=0,0,VLOOKUP(AH96,MIE_Components!$A$2:$F$6,2,FALSE()))</f>
        <v>0</v>
      </c>
      <c r="AJ96" s="14" t="n">
        <f aca="false">IF(AH96=0,0,VLOOKUP(AH96,MIE_Components!$A$2:$F$6,3,FALSE()))</f>
        <v>0</v>
      </c>
      <c r="AK96" s="14" t="n">
        <f aca="false">IF(AH96=0,0,VLOOKUP(AH96,MIE_Components!$A$2:$F$6,4,FALSE()))</f>
        <v>0</v>
      </c>
      <c r="AL96" s="14" t="n">
        <f aca="false">IF(OR($A96="",AH96=0),0,MAX(5,AH96*IF(OR($A96=Parameters!$B$13,$A96=Parameters!$B$14),0.75,1)-(IF(AND($A96=DATE(2026,11,29),NOV29BF="Yes"),AI96,0)+IF(OR($A96=DATE(2026,11,29),$A96=DATE(2026,11,30),$A96=DATE(2026,12,1),$A96=DATE(2026,12,2)),AJ96,0)+IF(OR($A96=DATE(2026,11,28),$A96=DATE(2026,12,1)),AK96,0))))</f>
        <v>0</v>
      </c>
      <c r="AM96" s="14" t="n">
        <f aca="false">IF(AND($A96&lt;&gt;"",$A96&lt;Parameters!$B$14),CityData!F7*(1+TAXRATE),0)</f>
        <v>0</v>
      </c>
      <c r="AN96" s="14" t="n">
        <f aca="false">IF($A96="",0,IFERROR(VLOOKUP((YEAR($A96)+IF(MONTH($A96)&gt;=10,1,0))&amp;"|Seattle|"&amp;MONTH($A96),Rates!$A$2:$I$181,5,FALSE()),0))</f>
        <v>0</v>
      </c>
      <c r="AO96" s="14" t="n">
        <f aca="false">IF(OR($A96="",$A96&gt;=Parameters!$B$14),1,IF(AND(AN96&gt;0,CityData!F7&lt;=AN96),1,0))</f>
        <v>1</v>
      </c>
    </row>
    <row r="97" customFormat="false" ht="15" hidden="false" customHeight="true" outlineLevel="0" collapsed="false">
      <c r="A97" s="23" t="str">
        <f aca="false">IF(AND(Parameters!$B$14&gt;=Parameters!$B$13,ROW()-2&lt;=Parameters!$B$14-Parameters!$B$13),Parameters!$B$13+ROW()-2,"")</f>
        <v/>
      </c>
      <c r="B97" s="14" t="n">
        <f aca="false">IF($A97="",0,IFERROR(VLOOKUP((YEAR($A97)+IF(MONTH($A97)&gt;=10,1,0))&amp;"|Boston|"&amp;MONTH($A97),Rates!$A$2:$I$181,6,FALSE()),0))</f>
        <v>0</v>
      </c>
      <c r="C97" s="14" t="n">
        <f aca="false">IF(B97=0,0,VLOOKUP(B97,MIE_Components!$A$2:$F$6,2,FALSE()))</f>
        <v>0</v>
      </c>
      <c r="D97" s="14" t="n">
        <f aca="false">IF(B97=0,0,VLOOKUP(B97,MIE_Components!$A$2:$F$6,3,FALSE()))</f>
        <v>0</v>
      </c>
      <c r="E97" s="14" t="n">
        <f aca="false">IF(B97=0,0,VLOOKUP(B97,MIE_Components!$A$2:$F$6,4,FALSE()))</f>
        <v>0</v>
      </c>
      <c r="F97" s="14" t="n">
        <f aca="false">IF(OR($A97="",B97=0),0,MAX(5,B97*IF(OR($A97=Parameters!$B$13,$A97=Parameters!$B$14),0.75,1)-(IF(AND($A97=DATE(2026,11,29),NOV29BF="Yes"),C97,0)+IF(OR($A97=DATE(2026,11,29),$A97=DATE(2026,11,30),$A97=DATE(2026,12,1),$A97=DATE(2026,12,2)),D97,0)+IF(OR($A97=DATE(2026,11,28),$A97=DATE(2026,12,1)),E97,0))))</f>
        <v>0</v>
      </c>
      <c r="G97" s="14" t="n">
        <f aca="false">IF(AND($A97&lt;&gt;"",$A97&lt;Parameters!$B$14),CityData!F3*(1+TAXRATE),0)</f>
        <v>0</v>
      </c>
      <c r="H97" s="14" t="n">
        <f aca="false">IF($A97="",0,IFERROR(VLOOKUP((YEAR($A97)+IF(MONTH($A97)&gt;=10,1,0))&amp;"|Boston|"&amp;MONTH($A97),Rates!$A$2:$I$181,5,FALSE()),0))</f>
        <v>0</v>
      </c>
      <c r="I97" s="14" t="n">
        <f aca="false">IF(OR($A97="",$A97&gt;=Parameters!$B$14),1,IF(AND(H97&gt;0,CityData!F3&lt;=H97),1,0))</f>
        <v>1</v>
      </c>
      <c r="J97" s="14" t="n">
        <f aca="false">IF($A97="",0,IFERROR(VLOOKUP((YEAR($A97)+IF(MONTH($A97)&gt;=10,1,0))&amp;"|Chicago|"&amp;MONTH($A97),Rates!$A$2:$I$181,6,FALSE()),0))</f>
        <v>0</v>
      </c>
      <c r="K97" s="14" t="n">
        <f aca="false">IF(J97=0,0,VLOOKUP(J97,MIE_Components!$A$2:$F$6,2,FALSE()))</f>
        <v>0</v>
      </c>
      <c r="L97" s="14" t="n">
        <f aca="false">IF(J97=0,0,VLOOKUP(J97,MIE_Components!$A$2:$F$6,3,FALSE()))</f>
        <v>0</v>
      </c>
      <c r="M97" s="14" t="n">
        <f aca="false">IF(J97=0,0,VLOOKUP(J97,MIE_Components!$A$2:$F$6,4,FALSE()))</f>
        <v>0</v>
      </c>
      <c r="N97" s="14" t="n">
        <f aca="false">IF(OR($A97="",J97=0),0,MAX(5,J97*IF(OR($A97=Parameters!$B$13,$A97=Parameters!$B$14),0.75,1)-(IF(AND($A97=DATE(2026,11,29),NOV29BF="Yes"),K97,0)+IF(OR($A97=DATE(2026,11,29),$A97=DATE(2026,11,30),$A97=DATE(2026,12,1),$A97=DATE(2026,12,2)),L97,0)+IF(OR($A97=DATE(2026,11,28),$A97=DATE(2026,12,1)),M97,0))))</f>
        <v>0</v>
      </c>
      <c r="O97" s="14" t="n">
        <f aca="false">IF(AND($A97&lt;&gt;"",$A97&lt;Parameters!$B$14),CityData!F4*(1+TAXRATE),0)</f>
        <v>0</v>
      </c>
      <c r="P97" s="14" t="n">
        <f aca="false">IF($A97="",0,IFERROR(VLOOKUP((YEAR($A97)+IF(MONTH($A97)&gt;=10,1,0))&amp;"|Chicago|"&amp;MONTH($A97),Rates!$A$2:$I$181,5,FALSE()),0))</f>
        <v>0</v>
      </c>
      <c r="Q97" s="14" t="n">
        <f aca="false">IF(OR($A97="",$A97&gt;=Parameters!$B$14),1,IF(AND(P97&gt;0,CityData!F4&lt;=P97),1,0))</f>
        <v>1</v>
      </c>
      <c r="R97" s="14" t="n">
        <f aca="false">IF($A97="",0,IFERROR(VLOOKUP((YEAR($A97)+IF(MONTH($A97)&gt;=10,1,0))&amp;"|Denver|"&amp;MONTH($A97),Rates!$A$2:$I$181,6,FALSE()),0))</f>
        <v>0</v>
      </c>
      <c r="S97" s="14" t="n">
        <f aca="false">IF(R97=0,0,VLOOKUP(R97,MIE_Components!$A$2:$F$6,2,FALSE()))</f>
        <v>0</v>
      </c>
      <c r="T97" s="14" t="n">
        <f aca="false">IF(R97=0,0,VLOOKUP(R97,MIE_Components!$A$2:$F$6,3,FALSE()))</f>
        <v>0</v>
      </c>
      <c r="U97" s="14" t="n">
        <f aca="false">IF(R97=0,0,VLOOKUP(R97,MIE_Components!$A$2:$F$6,4,FALSE()))</f>
        <v>0</v>
      </c>
      <c r="V97" s="14" t="n">
        <f aca="false">IF(OR($A97="",R97=0),0,MAX(5,R97*IF(OR($A97=Parameters!$B$13,$A97=Parameters!$B$14),0.75,1)-(IF(AND($A97=DATE(2026,11,29),NOV29BF="Yes"),S97,0)+IF(OR($A97=DATE(2026,11,29),$A97=DATE(2026,11,30),$A97=DATE(2026,12,1),$A97=DATE(2026,12,2)),T97,0)+IF(OR($A97=DATE(2026,11,28),$A97=DATE(2026,12,1)),U97,0))))</f>
        <v>0</v>
      </c>
      <c r="W97" s="14" t="n">
        <f aca="false">IF(AND($A97&lt;&gt;"",$A97&lt;Parameters!$B$14),CityData!F5*(1+TAXRATE),0)</f>
        <v>0</v>
      </c>
      <c r="X97" s="14" t="n">
        <f aca="false">IF($A97="",0,IFERROR(VLOOKUP((YEAR($A97)+IF(MONTH($A97)&gt;=10,1,0))&amp;"|Denver|"&amp;MONTH($A97),Rates!$A$2:$I$181,5,FALSE()),0))</f>
        <v>0</v>
      </c>
      <c r="Y97" s="14" t="n">
        <f aca="false">IF(OR($A97="",$A97&gt;=Parameters!$B$14),1,IF(AND(X97&gt;0,CityData!F5&lt;=X97),1,0))</f>
        <v>1</v>
      </c>
      <c r="Z97" s="14" t="n">
        <f aca="false">IF($A97="",0,IFERROR(VLOOKUP((YEAR($A97)+IF(MONTH($A97)&gt;=10,1,0))&amp;"|Phoenix|"&amp;MONTH($A97),Rates!$A$2:$I$181,6,FALSE()),0))</f>
        <v>0</v>
      </c>
      <c r="AA97" s="14" t="n">
        <f aca="false">IF(Z97=0,0,VLOOKUP(Z97,MIE_Components!$A$2:$F$6,2,FALSE()))</f>
        <v>0</v>
      </c>
      <c r="AB97" s="14" t="n">
        <f aca="false">IF(Z97=0,0,VLOOKUP(Z97,MIE_Components!$A$2:$F$6,3,FALSE()))</f>
        <v>0</v>
      </c>
      <c r="AC97" s="14" t="n">
        <f aca="false">IF(Z97=0,0,VLOOKUP(Z97,MIE_Components!$A$2:$F$6,4,FALSE()))</f>
        <v>0</v>
      </c>
      <c r="AD97" s="14" t="n">
        <f aca="false">IF(OR($A97="",Z97=0),0,MAX(5,Z97*IF(OR($A97=Parameters!$B$13,$A97=Parameters!$B$14),0.75,1)-(IF(AND($A97=DATE(2026,11,29),NOV29BF="Yes"),AA97,0)+IF(OR($A97=DATE(2026,11,29),$A97=DATE(2026,11,30),$A97=DATE(2026,12,1),$A97=DATE(2026,12,2)),AB97,0)+IF(OR($A97=DATE(2026,11,28),$A97=DATE(2026,12,1)),AC97,0))))</f>
        <v>0</v>
      </c>
      <c r="AE97" s="14" t="n">
        <f aca="false">IF(AND($A97&lt;&gt;"",$A97&lt;Parameters!$B$14),CityData!F6*(1+TAXRATE),0)</f>
        <v>0</v>
      </c>
      <c r="AF97" s="14" t="n">
        <f aca="false">IF($A97="",0,IFERROR(VLOOKUP((YEAR($A97)+IF(MONTH($A97)&gt;=10,1,0))&amp;"|Phoenix|"&amp;MONTH($A97),Rates!$A$2:$I$181,5,FALSE()),0))</f>
        <v>0</v>
      </c>
      <c r="AG97" s="14" t="n">
        <f aca="false">IF(OR($A97="",$A97&gt;=Parameters!$B$14),1,IF(AND(AF97&gt;0,CityData!F6&lt;=AF97),1,0))</f>
        <v>1</v>
      </c>
      <c r="AH97" s="14" t="n">
        <f aca="false">IF($A97="",0,IFERROR(VLOOKUP((YEAR($A97)+IF(MONTH($A97)&gt;=10,1,0))&amp;"|Seattle|"&amp;MONTH($A97),Rates!$A$2:$I$181,6,FALSE()),0))</f>
        <v>0</v>
      </c>
      <c r="AI97" s="14" t="n">
        <f aca="false">IF(AH97=0,0,VLOOKUP(AH97,MIE_Components!$A$2:$F$6,2,FALSE()))</f>
        <v>0</v>
      </c>
      <c r="AJ97" s="14" t="n">
        <f aca="false">IF(AH97=0,0,VLOOKUP(AH97,MIE_Components!$A$2:$F$6,3,FALSE()))</f>
        <v>0</v>
      </c>
      <c r="AK97" s="14" t="n">
        <f aca="false">IF(AH97=0,0,VLOOKUP(AH97,MIE_Components!$A$2:$F$6,4,FALSE()))</f>
        <v>0</v>
      </c>
      <c r="AL97" s="14" t="n">
        <f aca="false">IF(OR($A97="",AH97=0),0,MAX(5,AH97*IF(OR($A97=Parameters!$B$13,$A97=Parameters!$B$14),0.75,1)-(IF(AND($A97=DATE(2026,11,29),NOV29BF="Yes"),AI97,0)+IF(OR($A97=DATE(2026,11,29),$A97=DATE(2026,11,30),$A97=DATE(2026,12,1),$A97=DATE(2026,12,2)),AJ97,0)+IF(OR($A97=DATE(2026,11,28),$A97=DATE(2026,12,1)),AK97,0))))</f>
        <v>0</v>
      </c>
      <c r="AM97" s="14" t="n">
        <f aca="false">IF(AND($A97&lt;&gt;"",$A97&lt;Parameters!$B$14),CityData!F7*(1+TAXRATE),0)</f>
        <v>0</v>
      </c>
      <c r="AN97" s="14" t="n">
        <f aca="false">IF($A97="",0,IFERROR(VLOOKUP((YEAR($A97)+IF(MONTH($A97)&gt;=10,1,0))&amp;"|Seattle|"&amp;MONTH($A97),Rates!$A$2:$I$181,5,FALSE()),0))</f>
        <v>0</v>
      </c>
      <c r="AO97" s="14" t="n">
        <f aca="false">IF(OR($A97="",$A97&gt;=Parameters!$B$14),1,IF(AND(AN97&gt;0,CityData!F7&lt;=AN97),1,0))</f>
        <v>1</v>
      </c>
    </row>
    <row r="98" customFormat="false" ht="15" hidden="false" customHeight="true" outlineLevel="0" collapsed="false">
      <c r="A98" s="23" t="str">
        <f aca="false">IF(AND(Parameters!$B$14&gt;=Parameters!$B$13,ROW()-2&lt;=Parameters!$B$14-Parameters!$B$13),Parameters!$B$13+ROW()-2,"")</f>
        <v/>
      </c>
      <c r="B98" s="14" t="n">
        <f aca="false">IF($A98="",0,IFERROR(VLOOKUP((YEAR($A98)+IF(MONTH($A98)&gt;=10,1,0))&amp;"|Boston|"&amp;MONTH($A98),Rates!$A$2:$I$181,6,FALSE()),0))</f>
        <v>0</v>
      </c>
      <c r="C98" s="14" t="n">
        <f aca="false">IF(B98=0,0,VLOOKUP(B98,MIE_Components!$A$2:$F$6,2,FALSE()))</f>
        <v>0</v>
      </c>
      <c r="D98" s="14" t="n">
        <f aca="false">IF(B98=0,0,VLOOKUP(B98,MIE_Components!$A$2:$F$6,3,FALSE()))</f>
        <v>0</v>
      </c>
      <c r="E98" s="14" t="n">
        <f aca="false">IF(B98=0,0,VLOOKUP(B98,MIE_Components!$A$2:$F$6,4,FALSE()))</f>
        <v>0</v>
      </c>
      <c r="F98" s="14" t="n">
        <f aca="false">IF(OR($A98="",B98=0),0,MAX(5,B98*IF(OR($A98=Parameters!$B$13,$A98=Parameters!$B$14),0.75,1)-(IF(AND($A98=DATE(2026,11,29),NOV29BF="Yes"),C98,0)+IF(OR($A98=DATE(2026,11,29),$A98=DATE(2026,11,30),$A98=DATE(2026,12,1),$A98=DATE(2026,12,2)),D98,0)+IF(OR($A98=DATE(2026,11,28),$A98=DATE(2026,12,1)),E98,0))))</f>
        <v>0</v>
      </c>
      <c r="G98" s="14" t="n">
        <f aca="false">IF(AND($A98&lt;&gt;"",$A98&lt;Parameters!$B$14),CityData!F3*(1+TAXRATE),0)</f>
        <v>0</v>
      </c>
      <c r="H98" s="14" t="n">
        <f aca="false">IF($A98="",0,IFERROR(VLOOKUP((YEAR($A98)+IF(MONTH($A98)&gt;=10,1,0))&amp;"|Boston|"&amp;MONTH($A98),Rates!$A$2:$I$181,5,FALSE()),0))</f>
        <v>0</v>
      </c>
      <c r="I98" s="14" t="n">
        <f aca="false">IF(OR($A98="",$A98&gt;=Parameters!$B$14),1,IF(AND(H98&gt;0,CityData!F3&lt;=H98),1,0))</f>
        <v>1</v>
      </c>
      <c r="J98" s="14" t="n">
        <f aca="false">IF($A98="",0,IFERROR(VLOOKUP((YEAR($A98)+IF(MONTH($A98)&gt;=10,1,0))&amp;"|Chicago|"&amp;MONTH($A98),Rates!$A$2:$I$181,6,FALSE()),0))</f>
        <v>0</v>
      </c>
      <c r="K98" s="14" t="n">
        <f aca="false">IF(J98=0,0,VLOOKUP(J98,MIE_Components!$A$2:$F$6,2,FALSE()))</f>
        <v>0</v>
      </c>
      <c r="L98" s="14" t="n">
        <f aca="false">IF(J98=0,0,VLOOKUP(J98,MIE_Components!$A$2:$F$6,3,FALSE()))</f>
        <v>0</v>
      </c>
      <c r="M98" s="14" t="n">
        <f aca="false">IF(J98=0,0,VLOOKUP(J98,MIE_Components!$A$2:$F$6,4,FALSE()))</f>
        <v>0</v>
      </c>
      <c r="N98" s="14" t="n">
        <f aca="false">IF(OR($A98="",J98=0),0,MAX(5,J98*IF(OR($A98=Parameters!$B$13,$A98=Parameters!$B$14),0.75,1)-(IF(AND($A98=DATE(2026,11,29),NOV29BF="Yes"),K98,0)+IF(OR($A98=DATE(2026,11,29),$A98=DATE(2026,11,30),$A98=DATE(2026,12,1),$A98=DATE(2026,12,2)),L98,0)+IF(OR($A98=DATE(2026,11,28),$A98=DATE(2026,12,1)),M98,0))))</f>
        <v>0</v>
      </c>
      <c r="O98" s="14" t="n">
        <f aca="false">IF(AND($A98&lt;&gt;"",$A98&lt;Parameters!$B$14),CityData!F4*(1+TAXRATE),0)</f>
        <v>0</v>
      </c>
      <c r="P98" s="14" t="n">
        <f aca="false">IF($A98="",0,IFERROR(VLOOKUP((YEAR($A98)+IF(MONTH($A98)&gt;=10,1,0))&amp;"|Chicago|"&amp;MONTH($A98),Rates!$A$2:$I$181,5,FALSE()),0))</f>
        <v>0</v>
      </c>
      <c r="Q98" s="14" t="n">
        <f aca="false">IF(OR($A98="",$A98&gt;=Parameters!$B$14),1,IF(AND(P98&gt;0,CityData!F4&lt;=P98),1,0))</f>
        <v>1</v>
      </c>
      <c r="R98" s="14" t="n">
        <f aca="false">IF($A98="",0,IFERROR(VLOOKUP((YEAR($A98)+IF(MONTH($A98)&gt;=10,1,0))&amp;"|Denver|"&amp;MONTH($A98),Rates!$A$2:$I$181,6,FALSE()),0))</f>
        <v>0</v>
      </c>
      <c r="S98" s="14" t="n">
        <f aca="false">IF(R98=0,0,VLOOKUP(R98,MIE_Components!$A$2:$F$6,2,FALSE()))</f>
        <v>0</v>
      </c>
      <c r="T98" s="14" t="n">
        <f aca="false">IF(R98=0,0,VLOOKUP(R98,MIE_Components!$A$2:$F$6,3,FALSE()))</f>
        <v>0</v>
      </c>
      <c r="U98" s="14" t="n">
        <f aca="false">IF(R98=0,0,VLOOKUP(R98,MIE_Components!$A$2:$F$6,4,FALSE()))</f>
        <v>0</v>
      </c>
      <c r="V98" s="14" t="n">
        <f aca="false">IF(OR($A98="",R98=0),0,MAX(5,R98*IF(OR($A98=Parameters!$B$13,$A98=Parameters!$B$14),0.75,1)-(IF(AND($A98=DATE(2026,11,29),NOV29BF="Yes"),S98,0)+IF(OR($A98=DATE(2026,11,29),$A98=DATE(2026,11,30),$A98=DATE(2026,12,1),$A98=DATE(2026,12,2)),T98,0)+IF(OR($A98=DATE(2026,11,28),$A98=DATE(2026,12,1)),U98,0))))</f>
        <v>0</v>
      </c>
      <c r="W98" s="14" t="n">
        <f aca="false">IF(AND($A98&lt;&gt;"",$A98&lt;Parameters!$B$14),CityData!F5*(1+TAXRATE),0)</f>
        <v>0</v>
      </c>
      <c r="X98" s="14" t="n">
        <f aca="false">IF($A98="",0,IFERROR(VLOOKUP((YEAR($A98)+IF(MONTH($A98)&gt;=10,1,0))&amp;"|Denver|"&amp;MONTH($A98),Rates!$A$2:$I$181,5,FALSE()),0))</f>
        <v>0</v>
      </c>
      <c r="Y98" s="14" t="n">
        <f aca="false">IF(OR($A98="",$A98&gt;=Parameters!$B$14),1,IF(AND(X98&gt;0,CityData!F5&lt;=X98),1,0))</f>
        <v>1</v>
      </c>
      <c r="Z98" s="14" t="n">
        <f aca="false">IF($A98="",0,IFERROR(VLOOKUP((YEAR($A98)+IF(MONTH($A98)&gt;=10,1,0))&amp;"|Phoenix|"&amp;MONTH($A98),Rates!$A$2:$I$181,6,FALSE()),0))</f>
        <v>0</v>
      </c>
      <c r="AA98" s="14" t="n">
        <f aca="false">IF(Z98=0,0,VLOOKUP(Z98,MIE_Components!$A$2:$F$6,2,FALSE()))</f>
        <v>0</v>
      </c>
      <c r="AB98" s="14" t="n">
        <f aca="false">IF(Z98=0,0,VLOOKUP(Z98,MIE_Components!$A$2:$F$6,3,FALSE()))</f>
        <v>0</v>
      </c>
      <c r="AC98" s="14" t="n">
        <f aca="false">IF(Z98=0,0,VLOOKUP(Z98,MIE_Components!$A$2:$F$6,4,FALSE()))</f>
        <v>0</v>
      </c>
      <c r="AD98" s="14" t="n">
        <f aca="false">IF(OR($A98="",Z98=0),0,MAX(5,Z98*IF(OR($A98=Parameters!$B$13,$A98=Parameters!$B$14),0.75,1)-(IF(AND($A98=DATE(2026,11,29),NOV29BF="Yes"),AA98,0)+IF(OR($A98=DATE(2026,11,29),$A98=DATE(2026,11,30),$A98=DATE(2026,12,1),$A98=DATE(2026,12,2)),AB98,0)+IF(OR($A98=DATE(2026,11,28),$A98=DATE(2026,12,1)),AC98,0))))</f>
        <v>0</v>
      </c>
      <c r="AE98" s="14" t="n">
        <f aca="false">IF(AND($A98&lt;&gt;"",$A98&lt;Parameters!$B$14),CityData!F6*(1+TAXRATE),0)</f>
        <v>0</v>
      </c>
      <c r="AF98" s="14" t="n">
        <f aca="false">IF($A98="",0,IFERROR(VLOOKUP((YEAR($A98)+IF(MONTH($A98)&gt;=10,1,0))&amp;"|Phoenix|"&amp;MONTH($A98),Rates!$A$2:$I$181,5,FALSE()),0))</f>
        <v>0</v>
      </c>
      <c r="AG98" s="14" t="n">
        <f aca="false">IF(OR($A98="",$A98&gt;=Parameters!$B$14),1,IF(AND(AF98&gt;0,CityData!F6&lt;=AF98),1,0))</f>
        <v>1</v>
      </c>
      <c r="AH98" s="14" t="n">
        <f aca="false">IF($A98="",0,IFERROR(VLOOKUP((YEAR($A98)+IF(MONTH($A98)&gt;=10,1,0))&amp;"|Seattle|"&amp;MONTH($A98),Rates!$A$2:$I$181,6,FALSE()),0))</f>
        <v>0</v>
      </c>
      <c r="AI98" s="14" t="n">
        <f aca="false">IF(AH98=0,0,VLOOKUP(AH98,MIE_Components!$A$2:$F$6,2,FALSE()))</f>
        <v>0</v>
      </c>
      <c r="AJ98" s="14" t="n">
        <f aca="false">IF(AH98=0,0,VLOOKUP(AH98,MIE_Components!$A$2:$F$6,3,FALSE()))</f>
        <v>0</v>
      </c>
      <c r="AK98" s="14" t="n">
        <f aca="false">IF(AH98=0,0,VLOOKUP(AH98,MIE_Components!$A$2:$F$6,4,FALSE()))</f>
        <v>0</v>
      </c>
      <c r="AL98" s="14" t="n">
        <f aca="false">IF(OR($A98="",AH98=0),0,MAX(5,AH98*IF(OR($A98=Parameters!$B$13,$A98=Parameters!$B$14),0.75,1)-(IF(AND($A98=DATE(2026,11,29),NOV29BF="Yes"),AI98,0)+IF(OR($A98=DATE(2026,11,29),$A98=DATE(2026,11,30),$A98=DATE(2026,12,1),$A98=DATE(2026,12,2)),AJ98,0)+IF(OR($A98=DATE(2026,11,28),$A98=DATE(2026,12,1)),AK98,0))))</f>
        <v>0</v>
      </c>
      <c r="AM98" s="14" t="n">
        <f aca="false">IF(AND($A98&lt;&gt;"",$A98&lt;Parameters!$B$14),CityData!F7*(1+TAXRATE),0)</f>
        <v>0</v>
      </c>
      <c r="AN98" s="14" t="n">
        <f aca="false">IF($A98="",0,IFERROR(VLOOKUP((YEAR($A98)+IF(MONTH($A98)&gt;=10,1,0))&amp;"|Seattle|"&amp;MONTH($A98),Rates!$A$2:$I$181,5,FALSE()),0))</f>
        <v>0</v>
      </c>
      <c r="AO98" s="14" t="n">
        <f aca="false">IF(OR($A98="",$A98&gt;=Parameters!$B$14),1,IF(AND(AN98&gt;0,CityData!F7&lt;=AN98),1,0))</f>
        <v>1</v>
      </c>
    </row>
    <row r="99" customFormat="false" ht="15" hidden="false" customHeight="true" outlineLevel="0" collapsed="false">
      <c r="A99" s="23" t="str">
        <f aca="false">IF(AND(Parameters!$B$14&gt;=Parameters!$B$13,ROW()-2&lt;=Parameters!$B$14-Parameters!$B$13),Parameters!$B$13+ROW()-2,"")</f>
        <v/>
      </c>
      <c r="B99" s="14" t="n">
        <f aca="false">IF($A99="",0,IFERROR(VLOOKUP((YEAR($A99)+IF(MONTH($A99)&gt;=10,1,0))&amp;"|Boston|"&amp;MONTH($A99),Rates!$A$2:$I$181,6,FALSE()),0))</f>
        <v>0</v>
      </c>
      <c r="C99" s="14" t="n">
        <f aca="false">IF(B99=0,0,VLOOKUP(B99,MIE_Components!$A$2:$F$6,2,FALSE()))</f>
        <v>0</v>
      </c>
      <c r="D99" s="14" t="n">
        <f aca="false">IF(B99=0,0,VLOOKUP(B99,MIE_Components!$A$2:$F$6,3,FALSE()))</f>
        <v>0</v>
      </c>
      <c r="E99" s="14" t="n">
        <f aca="false">IF(B99=0,0,VLOOKUP(B99,MIE_Components!$A$2:$F$6,4,FALSE()))</f>
        <v>0</v>
      </c>
      <c r="F99" s="14" t="n">
        <f aca="false">IF(OR($A99="",B99=0),0,MAX(5,B99*IF(OR($A99=Parameters!$B$13,$A99=Parameters!$B$14),0.75,1)-(IF(AND($A99=DATE(2026,11,29),NOV29BF="Yes"),C99,0)+IF(OR($A99=DATE(2026,11,29),$A99=DATE(2026,11,30),$A99=DATE(2026,12,1),$A99=DATE(2026,12,2)),D99,0)+IF(OR($A99=DATE(2026,11,28),$A99=DATE(2026,12,1)),E99,0))))</f>
        <v>0</v>
      </c>
      <c r="G99" s="14" t="n">
        <f aca="false">IF(AND($A99&lt;&gt;"",$A99&lt;Parameters!$B$14),CityData!F3*(1+TAXRATE),0)</f>
        <v>0</v>
      </c>
      <c r="H99" s="14" t="n">
        <f aca="false">IF($A99="",0,IFERROR(VLOOKUP((YEAR($A99)+IF(MONTH($A99)&gt;=10,1,0))&amp;"|Boston|"&amp;MONTH($A99),Rates!$A$2:$I$181,5,FALSE()),0))</f>
        <v>0</v>
      </c>
      <c r="I99" s="14" t="n">
        <f aca="false">IF(OR($A99="",$A99&gt;=Parameters!$B$14),1,IF(AND(H99&gt;0,CityData!F3&lt;=H99),1,0))</f>
        <v>1</v>
      </c>
      <c r="J99" s="14" t="n">
        <f aca="false">IF($A99="",0,IFERROR(VLOOKUP((YEAR($A99)+IF(MONTH($A99)&gt;=10,1,0))&amp;"|Chicago|"&amp;MONTH($A99),Rates!$A$2:$I$181,6,FALSE()),0))</f>
        <v>0</v>
      </c>
      <c r="K99" s="14" t="n">
        <f aca="false">IF(J99=0,0,VLOOKUP(J99,MIE_Components!$A$2:$F$6,2,FALSE()))</f>
        <v>0</v>
      </c>
      <c r="L99" s="14" t="n">
        <f aca="false">IF(J99=0,0,VLOOKUP(J99,MIE_Components!$A$2:$F$6,3,FALSE()))</f>
        <v>0</v>
      </c>
      <c r="M99" s="14" t="n">
        <f aca="false">IF(J99=0,0,VLOOKUP(J99,MIE_Components!$A$2:$F$6,4,FALSE()))</f>
        <v>0</v>
      </c>
      <c r="N99" s="14" t="n">
        <f aca="false">IF(OR($A99="",J99=0),0,MAX(5,J99*IF(OR($A99=Parameters!$B$13,$A99=Parameters!$B$14),0.75,1)-(IF(AND($A99=DATE(2026,11,29),NOV29BF="Yes"),K99,0)+IF(OR($A99=DATE(2026,11,29),$A99=DATE(2026,11,30),$A99=DATE(2026,12,1),$A99=DATE(2026,12,2)),L99,0)+IF(OR($A99=DATE(2026,11,28),$A99=DATE(2026,12,1)),M99,0))))</f>
        <v>0</v>
      </c>
      <c r="O99" s="14" t="n">
        <f aca="false">IF(AND($A99&lt;&gt;"",$A99&lt;Parameters!$B$14),CityData!F4*(1+TAXRATE),0)</f>
        <v>0</v>
      </c>
      <c r="P99" s="14" t="n">
        <f aca="false">IF($A99="",0,IFERROR(VLOOKUP((YEAR($A99)+IF(MONTH($A99)&gt;=10,1,0))&amp;"|Chicago|"&amp;MONTH($A99),Rates!$A$2:$I$181,5,FALSE()),0))</f>
        <v>0</v>
      </c>
      <c r="Q99" s="14" t="n">
        <f aca="false">IF(OR($A99="",$A99&gt;=Parameters!$B$14),1,IF(AND(P99&gt;0,CityData!F4&lt;=P99),1,0))</f>
        <v>1</v>
      </c>
      <c r="R99" s="14" t="n">
        <f aca="false">IF($A99="",0,IFERROR(VLOOKUP((YEAR($A99)+IF(MONTH($A99)&gt;=10,1,0))&amp;"|Denver|"&amp;MONTH($A99),Rates!$A$2:$I$181,6,FALSE()),0))</f>
        <v>0</v>
      </c>
      <c r="S99" s="14" t="n">
        <f aca="false">IF(R99=0,0,VLOOKUP(R99,MIE_Components!$A$2:$F$6,2,FALSE()))</f>
        <v>0</v>
      </c>
      <c r="T99" s="14" t="n">
        <f aca="false">IF(R99=0,0,VLOOKUP(R99,MIE_Components!$A$2:$F$6,3,FALSE()))</f>
        <v>0</v>
      </c>
      <c r="U99" s="14" t="n">
        <f aca="false">IF(R99=0,0,VLOOKUP(R99,MIE_Components!$A$2:$F$6,4,FALSE()))</f>
        <v>0</v>
      </c>
      <c r="V99" s="14" t="n">
        <f aca="false">IF(OR($A99="",R99=0),0,MAX(5,R99*IF(OR($A99=Parameters!$B$13,$A99=Parameters!$B$14),0.75,1)-(IF(AND($A99=DATE(2026,11,29),NOV29BF="Yes"),S99,0)+IF(OR($A99=DATE(2026,11,29),$A99=DATE(2026,11,30),$A99=DATE(2026,12,1),$A99=DATE(2026,12,2)),T99,0)+IF(OR($A99=DATE(2026,11,28),$A99=DATE(2026,12,1)),U99,0))))</f>
        <v>0</v>
      </c>
      <c r="W99" s="14" t="n">
        <f aca="false">IF(AND($A99&lt;&gt;"",$A99&lt;Parameters!$B$14),CityData!F5*(1+TAXRATE),0)</f>
        <v>0</v>
      </c>
      <c r="X99" s="14" t="n">
        <f aca="false">IF($A99="",0,IFERROR(VLOOKUP((YEAR($A99)+IF(MONTH($A99)&gt;=10,1,0))&amp;"|Denver|"&amp;MONTH($A99),Rates!$A$2:$I$181,5,FALSE()),0))</f>
        <v>0</v>
      </c>
      <c r="Y99" s="14" t="n">
        <f aca="false">IF(OR($A99="",$A99&gt;=Parameters!$B$14),1,IF(AND(X99&gt;0,CityData!F5&lt;=X99),1,0))</f>
        <v>1</v>
      </c>
      <c r="Z99" s="14" t="n">
        <f aca="false">IF($A99="",0,IFERROR(VLOOKUP((YEAR($A99)+IF(MONTH($A99)&gt;=10,1,0))&amp;"|Phoenix|"&amp;MONTH($A99),Rates!$A$2:$I$181,6,FALSE()),0))</f>
        <v>0</v>
      </c>
      <c r="AA99" s="14" t="n">
        <f aca="false">IF(Z99=0,0,VLOOKUP(Z99,MIE_Components!$A$2:$F$6,2,FALSE()))</f>
        <v>0</v>
      </c>
      <c r="AB99" s="14" t="n">
        <f aca="false">IF(Z99=0,0,VLOOKUP(Z99,MIE_Components!$A$2:$F$6,3,FALSE()))</f>
        <v>0</v>
      </c>
      <c r="AC99" s="14" t="n">
        <f aca="false">IF(Z99=0,0,VLOOKUP(Z99,MIE_Components!$A$2:$F$6,4,FALSE()))</f>
        <v>0</v>
      </c>
      <c r="AD99" s="14" t="n">
        <f aca="false">IF(OR($A99="",Z99=0),0,MAX(5,Z99*IF(OR($A99=Parameters!$B$13,$A99=Parameters!$B$14),0.75,1)-(IF(AND($A99=DATE(2026,11,29),NOV29BF="Yes"),AA99,0)+IF(OR($A99=DATE(2026,11,29),$A99=DATE(2026,11,30),$A99=DATE(2026,12,1),$A99=DATE(2026,12,2)),AB99,0)+IF(OR($A99=DATE(2026,11,28),$A99=DATE(2026,12,1)),AC99,0))))</f>
        <v>0</v>
      </c>
      <c r="AE99" s="14" t="n">
        <f aca="false">IF(AND($A99&lt;&gt;"",$A99&lt;Parameters!$B$14),CityData!F6*(1+TAXRATE),0)</f>
        <v>0</v>
      </c>
      <c r="AF99" s="14" t="n">
        <f aca="false">IF($A99="",0,IFERROR(VLOOKUP((YEAR($A99)+IF(MONTH($A99)&gt;=10,1,0))&amp;"|Phoenix|"&amp;MONTH($A99),Rates!$A$2:$I$181,5,FALSE()),0))</f>
        <v>0</v>
      </c>
      <c r="AG99" s="14" t="n">
        <f aca="false">IF(OR($A99="",$A99&gt;=Parameters!$B$14),1,IF(AND(AF99&gt;0,CityData!F6&lt;=AF99),1,0))</f>
        <v>1</v>
      </c>
      <c r="AH99" s="14" t="n">
        <f aca="false">IF($A99="",0,IFERROR(VLOOKUP((YEAR($A99)+IF(MONTH($A99)&gt;=10,1,0))&amp;"|Seattle|"&amp;MONTH($A99),Rates!$A$2:$I$181,6,FALSE()),0))</f>
        <v>0</v>
      </c>
      <c r="AI99" s="14" t="n">
        <f aca="false">IF(AH99=0,0,VLOOKUP(AH99,MIE_Components!$A$2:$F$6,2,FALSE()))</f>
        <v>0</v>
      </c>
      <c r="AJ99" s="14" t="n">
        <f aca="false">IF(AH99=0,0,VLOOKUP(AH99,MIE_Components!$A$2:$F$6,3,FALSE()))</f>
        <v>0</v>
      </c>
      <c r="AK99" s="14" t="n">
        <f aca="false">IF(AH99=0,0,VLOOKUP(AH99,MIE_Components!$A$2:$F$6,4,FALSE()))</f>
        <v>0</v>
      </c>
      <c r="AL99" s="14" t="n">
        <f aca="false">IF(OR($A99="",AH99=0),0,MAX(5,AH99*IF(OR($A99=Parameters!$B$13,$A99=Parameters!$B$14),0.75,1)-(IF(AND($A99=DATE(2026,11,29),NOV29BF="Yes"),AI99,0)+IF(OR($A99=DATE(2026,11,29),$A99=DATE(2026,11,30),$A99=DATE(2026,12,1),$A99=DATE(2026,12,2)),AJ99,0)+IF(OR($A99=DATE(2026,11,28),$A99=DATE(2026,12,1)),AK99,0))))</f>
        <v>0</v>
      </c>
      <c r="AM99" s="14" t="n">
        <f aca="false">IF(AND($A99&lt;&gt;"",$A99&lt;Parameters!$B$14),CityData!F7*(1+TAXRATE),0)</f>
        <v>0</v>
      </c>
      <c r="AN99" s="14" t="n">
        <f aca="false">IF($A99="",0,IFERROR(VLOOKUP((YEAR($A99)+IF(MONTH($A99)&gt;=10,1,0))&amp;"|Seattle|"&amp;MONTH($A99),Rates!$A$2:$I$181,5,FALSE()),0))</f>
        <v>0</v>
      </c>
      <c r="AO99" s="14" t="n">
        <f aca="false">IF(OR($A99="",$A99&gt;=Parameters!$B$14),1,IF(AND(AN99&gt;0,CityData!F7&lt;=AN99),1,0))</f>
        <v>1</v>
      </c>
    </row>
    <row r="100" customFormat="false" ht="15" hidden="false" customHeight="true" outlineLevel="0" collapsed="false">
      <c r="A100" s="23" t="str">
        <f aca="false">IF(AND(Parameters!$B$14&gt;=Parameters!$B$13,ROW()-2&lt;=Parameters!$B$14-Parameters!$B$13),Parameters!$B$13+ROW()-2,"")</f>
        <v/>
      </c>
      <c r="B100" s="14" t="n">
        <f aca="false">IF($A100="",0,IFERROR(VLOOKUP((YEAR($A100)+IF(MONTH($A100)&gt;=10,1,0))&amp;"|Boston|"&amp;MONTH($A100),Rates!$A$2:$I$181,6,FALSE()),0))</f>
        <v>0</v>
      </c>
      <c r="C100" s="14" t="n">
        <f aca="false">IF(B100=0,0,VLOOKUP(B100,MIE_Components!$A$2:$F$6,2,FALSE()))</f>
        <v>0</v>
      </c>
      <c r="D100" s="14" t="n">
        <f aca="false">IF(B100=0,0,VLOOKUP(B100,MIE_Components!$A$2:$F$6,3,FALSE()))</f>
        <v>0</v>
      </c>
      <c r="E100" s="14" t="n">
        <f aca="false">IF(B100=0,0,VLOOKUP(B100,MIE_Components!$A$2:$F$6,4,FALSE()))</f>
        <v>0</v>
      </c>
      <c r="F100" s="14" t="n">
        <f aca="false">IF(OR($A100="",B100=0),0,MAX(5,B100*IF(OR($A100=Parameters!$B$13,$A100=Parameters!$B$14),0.75,1)-(IF(AND($A100=DATE(2026,11,29),NOV29BF="Yes"),C100,0)+IF(OR($A100=DATE(2026,11,29),$A100=DATE(2026,11,30),$A100=DATE(2026,12,1),$A100=DATE(2026,12,2)),D100,0)+IF(OR($A100=DATE(2026,11,28),$A100=DATE(2026,12,1)),E100,0))))</f>
        <v>0</v>
      </c>
      <c r="G100" s="14" t="n">
        <f aca="false">IF(AND($A100&lt;&gt;"",$A100&lt;Parameters!$B$14),CityData!F3*(1+TAXRATE),0)</f>
        <v>0</v>
      </c>
      <c r="H100" s="14" t="n">
        <f aca="false">IF($A100="",0,IFERROR(VLOOKUP((YEAR($A100)+IF(MONTH($A100)&gt;=10,1,0))&amp;"|Boston|"&amp;MONTH($A100),Rates!$A$2:$I$181,5,FALSE()),0))</f>
        <v>0</v>
      </c>
      <c r="I100" s="14" t="n">
        <f aca="false">IF(OR($A100="",$A100&gt;=Parameters!$B$14),1,IF(AND(H100&gt;0,CityData!F3&lt;=H100),1,0))</f>
        <v>1</v>
      </c>
      <c r="J100" s="14" t="n">
        <f aca="false">IF($A100="",0,IFERROR(VLOOKUP((YEAR($A100)+IF(MONTH($A100)&gt;=10,1,0))&amp;"|Chicago|"&amp;MONTH($A100),Rates!$A$2:$I$181,6,FALSE()),0))</f>
        <v>0</v>
      </c>
      <c r="K100" s="14" t="n">
        <f aca="false">IF(J100=0,0,VLOOKUP(J100,MIE_Components!$A$2:$F$6,2,FALSE()))</f>
        <v>0</v>
      </c>
      <c r="L100" s="14" t="n">
        <f aca="false">IF(J100=0,0,VLOOKUP(J100,MIE_Components!$A$2:$F$6,3,FALSE()))</f>
        <v>0</v>
      </c>
      <c r="M100" s="14" t="n">
        <f aca="false">IF(J100=0,0,VLOOKUP(J100,MIE_Components!$A$2:$F$6,4,FALSE()))</f>
        <v>0</v>
      </c>
      <c r="N100" s="14" t="n">
        <f aca="false">IF(OR($A100="",J100=0),0,MAX(5,J100*IF(OR($A100=Parameters!$B$13,$A100=Parameters!$B$14),0.75,1)-(IF(AND($A100=DATE(2026,11,29),NOV29BF="Yes"),K100,0)+IF(OR($A100=DATE(2026,11,29),$A100=DATE(2026,11,30),$A100=DATE(2026,12,1),$A100=DATE(2026,12,2)),L100,0)+IF(OR($A100=DATE(2026,11,28),$A100=DATE(2026,12,1)),M100,0))))</f>
        <v>0</v>
      </c>
      <c r="O100" s="14" t="n">
        <f aca="false">IF(AND($A100&lt;&gt;"",$A100&lt;Parameters!$B$14),CityData!F4*(1+TAXRATE),0)</f>
        <v>0</v>
      </c>
      <c r="P100" s="14" t="n">
        <f aca="false">IF($A100="",0,IFERROR(VLOOKUP((YEAR($A100)+IF(MONTH($A100)&gt;=10,1,0))&amp;"|Chicago|"&amp;MONTH($A100),Rates!$A$2:$I$181,5,FALSE()),0))</f>
        <v>0</v>
      </c>
      <c r="Q100" s="14" t="n">
        <f aca="false">IF(OR($A100="",$A100&gt;=Parameters!$B$14),1,IF(AND(P100&gt;0,CityData!F4&lt;=P100),1,0))</f>
        <v>1</v>
      </c>
      <c r="R100" s="14" t="n">
        <f aca="false">IF($A100="",0,IFERROR(VLOOKUP((YEAR($A100)+IF(MONTH($A100)&gt;=10,1,0))&amp;"|Denver|"&amp;MONTH($A100),Rates!$A$2:$I$181,6,FALSE()),0))</f>
        <v>0</v>
      </c>
      <c r="S100" s="14" t="n">
        <f aca="false">IF(R100=0,0,VLOOKUP(R100,MIE_Components!$A$2:$F$6,2,FALSE()))</f>
        <v>0</v>
      </c>
      <c r="T100" s="14" t="n">
        <f aca="false">IF(R100=0,0,VLOOKUP(R100,MIE_Components!$A$2:$F$6,3,FALSE()))</f>
        <v>0</v>
      </c>
      <c r="U100" s="14" t="n">
        <f aca="false">IF(R100=0,0,VLOOKUP(R100,MIE_Components!$A$2:$F$6,4,FALSE()))</f>
        <v>0</v>
      </c>
      <c r="V100" s="14" t="n">
        <f aca="false">IF(OR($A100="",R100=0),0,MAX(5,R100*IF(OR($A100=Parameters!$B$13,$A100=Parameters!$B$14),0.75,1)-(IF(AND($A100=DATE(2026,11,29),NOV29BF="Yes"),S100,0)+IF(OR($A100=DATE(2026,11,29),$A100=DATE(2026,11,30),$A100=DATE(2026,12,1),$A100=DATE(2026,12,2)),T100,0)+IF(OR($A100=DATE(2026,11,28),$A100=DATE(2026,12,1)),U100,0))))</f>
        <v>0</v>
      </c>
      <c r="W100" s="14" t="n">
        <f aca="false">IF(AND($A100&lt;&gt;"",$A100&lt;Parameters!$B$14),CityData!F5*(1+TAXRATE),0)</f>
        <v>0</v>
      </c>
      <c r="X100" s="14" t="n">
        <f aca="false">IF($A100="",0,IFERROR(VLOOKUP((YEAR($A100)+IF(MONTH($A100)&gt;=10,1,0))&amp;"|Denver|"&amp;MONTH($A100),Rates!$A$2:$I$181,5,FALSE()),0))</f>
        <v>0</v>
      </c>
      <c r="Y100" s="14" t="n">
        <f aca="false">IF(OR($A100="",$A100&gt;=Parameters!$B$14),1,IF(AND(X100&gt;0,CityData!F5&lt;=X100),1,0))</f>
        <v>1</v>
      </c>
      <c r="Z100" s="14" t="n">
        <f aca="false">IF($A100="",0,IFERROR(VLOOKUP((YEAR($A100)+IF(MONTH($A100)&gt;=10,1,0))&amp;"|Phoenix|"&amp;MONTH($A100),Rates!$A$2:$I$181,6,FALSE()),0))</f>
        <v>0</v>
      </c>
      <c r="AA100" s="14" t="n">
        <f aca="false">IF(Z100=0,0,VLOOKUP(Z100,MIE_Components!$A$2:$F$6,2,FALSE()))</f>
        <v>0</v>
      </c>
      <c r="AB100" s="14" t="n">
        <f aca="false">IF(Z100=0,0,VLOOKUP(Z100,MIE_Components!$A$2:$F$6,3,FALSE()))</f>
        <v>0</v>
      </c>
      <c r="AC100" s="14" t="n">
        <f aca="false">IF(Z100=0,0,VLOOKUP(Z100,MIE_Components!$A$2:$F$6,4,FALSE()))</f>
        <v>0</v>
      </c>
      <c r="AD100" s="14" t="n">
        <f aca="false">IF(OR($A100="",Z100=0),0,MAX(5,Z100*IF(OR($A100=Parameters!$B$13,$A100=Parameters!$B$14),0.75,1)-(IF(AND($A100=DATE(2026,11,29),NOV29BF="Yes"),AA100,0)+IF(OR($A100=DATE(2026,11,29),$A100=DATE(2026,11,30),$A100=DATE(2026,12,1),$A100=DATE(2026,12,2)),AB100,0)+IF(OR($A100=DATE(2026,11,28),$A100=DATE(2026,12,1)),AC100,0))))</f>
        <v>0</v>
      </c>
      <c r="AE100" s="14" t="n">
        <f aca="false">IF(AND($A100&lt;&gt;"",$A100&lt;Parameters!$B$14),CityData!F6*(1+TAXRATE),0)</f>
        <v>0</v>
      </c>
      <c r="AF100" s="14" t="n">
        <f aca="false">IF($A100="",0,IFERROR(VLOOKUP((YEAR($A100)+IF(MONTH($A100)&gt;=10,1,0))&amp;"|Phoenix|"&amp;MONTH($A100),Rates!$A$2:$I$181,5,FALSE()),0))</f>
        <v>0</v>
      </c>
      <c r="AG100" s="14" t="n">
        <f aca="false">IF(OR($A100="",$A100&gt;=Parameters!$B$14),1,IF(AND(AF100&gt;0,CityData!F6&lt;=AF100),1,0))</f>
        <v>1</v>
      </c>
      <c r="AH100" s="14" t="n">
        <f aca="false">IF($A100="",0,IFERROR(VLOOKUP((YEAR($A100)+IF(MONTH($A100)&gt;=10,1,0))&amp;"|Seattle|"&amp;MONTH($A100),Rates!$A$2:$I$181,6,FALSE()),0))</f>
        <v>0</v>
      </c>
      <c r="AI100" s="14" t="n">
        <f aca="false">IF(AH100=0,0,VLOOKUP(AH100,MIE_Components!$A$2:$F$6,2,FALSE()))</f>
        <v>0</v>
      </c>
      <c r="AJ100" s="14" t="n">
        <f aca="false">IF(AH100=0,0,VLOOKUP(AH100,MIE_Components!$A$2:$F$6,3,FALSE()))</f>
        <v>0</v>
      </c>
      <c r="AK100" s="14" t="n">
        <f aca="false">IF(AH100=0,0,VLOOKUP(AH100,MIE_Components!$A$2:$F$6,4,FALSE()))</f>
        <v>0</v>
      </c>
      <c r="AL100" s="14" t="n">
        <f aca="false">IF(OR($A100="",AH100=0),0,MAX(5,AH100*IF(OR($A100=Parameters!$B$13,$A100=Parameters!$B$14),0.75,1)-(IF(AND($A100=DATE(2026,11,29),NOV29BF="Yes"),AI100,0)+IF(OR($A100=DATE(2026,11,29),$A100=DATE(2026,11,30),$A100=DATE(2026,12,1),$A100=DATE(2026,12,2)),AJ100,0)+IF(OR($A100=DATE(2026,11,28),$A100=DATE(2026,12,1)),AK100,0))))</f>
        <v>0</v>
      </c>
      <c r="AM100" s="14" t="n">
        <f aca="false">IF(AND($A100&lt;&gt;"",$A100&lt;Parameters!$B$14),CityData!F7*(1+TAXRATE),0)</f>
        <v>0</v>
      </c>
      <c r="AN100" s="14" t="n">
        <f aca="false">IF($A100="",0,IFERROR(VLOOKUP((YEAR($A100)+IF(MONTH($A100)&gt;=10,1,0))&amp;"|Seattle|"&amp;MONTH($A100),Rates!$A$2:$I$181,5,FALSE()),0))</f>
        <v>0</v>
      </c>
      <c r="AO100" s="14" t="n">
        <f aca="false">IF(OR($A100="",$A100&gt;=Parameters!$B$14),1,IF(AND(AN100&gt;0,CityData!F7&lt;=AN100),1,0))</f>
        <v>1</v>
      </c>
    </row>
    <row r="101" customFormat="false" ht="15" hidden="false" customHeight="true" outlineLevel="0" collapsed="false">
      <c r="A101" s="23" t="str">
        <f aca="false">IF(AND(Parameters!$B$14&gt;=Parameters!$B$13,ROW()-2&lt;=Parameters!$B$14-Parameters!$B$13),Parameters!$B$13+ROW()-2,"")</f>
        <v/>
      </c>
      <c r="B101" s="14" t="n">
        <f aca="false">IF($A101="",0,IFERROR(VLOOKUP((YEAR($A101)+IF(MONTH($A101)&gt;=10,1,0))&amp;"|Boston|"&amp;MONTH($A101),Rates!$A$2:$I$181,6,FALSE()),0))</f>
        <v>0</v>
      </c>
      <c r="C101" s="14" t="n">
        <f aca="false">IF(B101=0,0,VLOOKUP(B101,MIE_Components!$A$2:$F$6,2,FALSE()))</f>
        <v>0</v>
      </c>
      <c r="D101" s="14" t="n">
        <f aca="false">IF(B101=0,0,VLOOKUP(B101,MIE_Components!$A$2:$F$6,3,FALSE()))</f>
        <v>0</v>
      </c>
      <c r="E101" s="14" t="n">
        <f aca="false">IF(B101=0,0,VLOOKUP(B101,MIE_Components!$A$2:$F$6,4,FALSE()))</f>
        <v>0</v>
      </c>
      <c r="F101" s="14" t="n">
        <f aca="false">IF(OR($A101="",B101=0),0,MAX(5,B101*IF(OR($A101=Parameters!$B$13,$A101=Parameters!$B$14),0.75,1)-(IF(AND($A101=DATE(2026,11,29),NOV29BF="Yes"),C101,0)+IF(OR($A101=DATE(2026,11,29),$A101=DATE(2026,11,30),$A101=DATE(2026,12,1),$A101=DATE(2026,12,2)),D101,0)+IF(OR($A101=DATE(2026,11,28),$A101=DATE(2026,12,1)),E101,0))))</f>
        <v>0</v>
      </c>
      <c r="G101" s="14" t="n">
        <f aca="false">IF(AND($A101&lt;&gt;"",$A101&lt;Parameters!$B$14),CityData!F3*(1+TAXRATE),0)</f>
        <v>0</v>
      </c>
      <c r="H101" s="14" t="n">
        <f aca="false">IF($A101="",0,IFERROR(VLOOKUP((YEAR($A101)+IF(MONTH($A101)&gt;=10,1,0))&amp;"|Boston|"&amp;MONTH($A101),Rates!$A$2:$I$181,5,FALSE()),0))</f>
        <v>0</v>
      </c>
      <c r="I101" s="14" t="n">
        <f aca="false">IF(OR($A101="",$A101&gt;=Parameters!$B$14),1,IF(AND(H101&gt;0,CityData!F3&lt;=H101),1,0))</f>
        <v>1</v>
      </c>
      <c r="J101" s="14" t="n">
        <f aca="false">IF($A101="",0,IFERROR(VLOOKUP((YEAR($A101)+IF(MONTH($A101)&gt;=10,1,0))&amp;"|Chicago|"&amp;MONTH($A101),Rates!$A$2:$I$181,6,FALSE()),0))</f>
        <v>0</v>
      </c>
      <c r="K101" s="14" t="n">
        <f aca="false">IF(J101=0,0,VLOOKUP(J101,MIE_Components!$A$2:$F$6,2,FALSE()))</f>
        <v>0</v>
      </c>
      <c r="L101" s="14" t="n">
        <f aca="false">IF(J101=0,0,VLOOKUP(J101,MIE_Components!$A$2:$F$6,3,FALSE()))</f>
        <v>0</v>
      </c>
      <c r="M101" s="14" t="n">
        <f aca="false">IF(J101=0,0,VLOOKUP(J101,MIE_Components!$A$2:$F$6,4,FALSE()))</f>
        <v>0</v>
      </c>
      <c r="N101" s="14" t="n">
        <f aca="false">IF(OR($A101="",J101=0),0,MAX(5,J101*IF(OR($A101=Parameters!$B$13,$A101=Parameters!$B$14),0.75,1)-(IF(AND($A101=DATE(2026,11,29),NOV29BF="Yes"),K101,0)+IF(OR($A101=DATE(2026,11,29),$A101=DATE(2026,11,30),$A101=DATE(2026,12,1),$A101=DATE(2026,12,2)),L101,0)+IF(OR($A101=DATE(2026,11,28),$A101=DATE(2026,12,1)),M101,0))))</f>
        <v>0</v>
      </c>
      <c r="O101" s="14" t="n">
        <f aca="false">IF(AND($A101&lt;&gt;"",$A101&lt;Parameters!$B$14),CityData!F4*(1+TAXRATE),0)</f>
        <v>0</v>
      </c>
      <c r="P101" s="14" t="n">
        <f aca="false">IF($A101="",0,IFERROR(VLOOKUP((YEAR($A101)+IF(MONTH($A101)&gt;=10,1,0))&amp;"|Chicago|"&amp;MONTH($A101),Rates!$A$2:$I$181,5,FALSE()),0))</f>
        <v>0</v>
      </c>
      <c r="Q101" s="14" t="n">
        <f aca="false">IF(OR($A101="",$A101&gt;=Parameters!$B$14),1,IF(AND(P101&gt;0,CityData!F4&lt;=P101),1,0))</f>
        <v>1</v>
      </c>
      <c r="R101" s="14" t="n">
        <f aca="false">IF($A101="",0,IFERROR(VLOOKUP((YEAR($A101)+IF(MONTH($A101)&gt;=10,1,0))&amp;"|Denver|"&amp;MONTH($A101),Rates!$A$2:$I$181,6,FALSE()),0))</f>
        <v>0</v>
      </c>
      <c r="S101" s="14" t="n">
        <f aca="false">IF(R101=0,0,VLOOKUP(R101,MIE_Components!$A$2:$F$6,2,FALSE()))</f>
        <v>0</v>
      </c>
      <c r="T101" s="14" t="n">
        <f aca="false">IF(R101=0,0,VLOOKUP(R101,MIE_Components!$A$2:$F$6,3,FALSE()))</f>
        <v>0</v>
      </c>
      <c r="U101" s="14" t="n">
        <f aca="false">IF(R101=0,0,VLOOKUP(R101,MIE_Components!$A$2:$F$6,4,FALSE()))</f>
        <v>0</v>
      </c>
      <c r="V101" s="14" t="n">
        <f aca="false">IF(OR($A101="",R101=0),0,MAX(5,R101*IF(OR($A101=Parameters!$B$13,$A101=Parameters!$B$14),0.75,1)-(IF(AND($A101=DATE(2026,11,29),NOV29BF="Yes"),S101,0)+IF(OR($A101=DATE(2026,11,29),$A101=DATE(2026,11,30),$A101=DATE(2026,12,1),$A101=DATE(2026,12,2)),T101,0)+IF(OR($A101=DATE(2026,11,28),$A101=DATE(2026,12,1)),U101,0))))</f>
        <v>0</v>
      </c>
      <c r="W101" s="14" t="n">
        <f aca="false">IF(AND($A101&lt;&gt;"",$A101&lt;Parameters!$B$14),CityData!F5*(1+TAXRATE),0)</f>
        <v>0</v>
      </c>
      <c r="X101" s="14" t="n">
        <f aca="false">IF($A101="",0,IFERROR(VLOOKUP((YEAR($A101)+IF(MONTH($A101)&gt;=10,1,0))&amp;"|Denver|"&amp;MONTH($A101),Rates!$A$2:$I$181,5,FALSE()),0))</f>
        <v>0</v>
      </c>
      <c r="Y101" s="14" t="n">
        <f aca="false">IF(OR($A101="",$A101&gt;=Parameters!$B$14),1,IF(AND(X101&gt;0,CityData!F5&lt;=X101),1,0))</f>
        <v>1</v>
      </c>
      <c r="Z101" s="14" t="n">
        <f aca="false">IF($A101="",0,IFERROR(VLOOKUP((YEAR($A101)+IF(MONTH($A101)&gt;=10,1,0))&amp;"|Phoenix|"&amp;MONTH($A101),Rates!$A$2:$I$181,6,FALSE()),0))</f>
        <v>0</v>
      </c>
      <c r="AA101" s="14" t="n">
        <f aca="false">IF(Z101=0,0,VLOOKUP(Z101,MIE_Components!$A$2:$F$6,2,FALSE()))</f>
        <v>0</v>
      </c>
      <c r="AB101" s="14" t="n">
        <f aca="false">IF(Z101=0,0,VLOOKUP(Z101,MIE_Components!$A$2:$F$6,3,FALSE()))</f>
        <v>0</v>
      </c>
      <c r="AC101" s="14" t="n">
        <f aca="false">IF(Z101=0,0,VLOOKUP(Z101,MIE_Components!$A$2:$F$6,4,FALSE()))</f>
        <v>0</v>
      </c>
      <c r="AD101" s="14" t="n">
        <f aca="false">IF(OR($A101="",Z101=0),0,MAX(5,Z101*IF(OR($A101=Parameters!$B$13,$A101=Parameters!$B$14),0.75,1)-(IF(AND($A101=DATE(2026,11,29),NOV29BF="Yes"),AA101,0)+IF(OR($A101=DATE(2026,11,29),$A101=DATE(2026,11,30),$A101=DATE(2026,12,1),$A101=DATE(2026,12,2)),AB101,0)+IF(OR($A101=DATE(2026,11,28),$A101=DATE(2026,12,1)),AC101,0))))</f>
        <v>0</v>
      </c>
      <c r="AE101" s="14" t="n">
        <f aca="false">IF(AND($A101&lt;&gt;"",$A101&lt;Parameters!$B$14),CityData!F6*(1+TAXRATE),0)</f>
        <v>0</v>
      </c>
      <c r="AF101" s="14" t="n">
        <f aca="false">IF($A101="",0,IFERROR(VLOOKUP((YEAR($A101)+IF(MONTH($A101)&gt;=10,1,0))&amp;"|Phoenix|"&amp;MONTH($A101),Rates!$A$2:$I$181,5,FALSE()),0))</f>
        <v>0</v>
      </c>
      <c r="AG101" s="14" t="n">
        <f aca="false">IF(OR($A101="",$A101&gt;=Parameters!$B$14),1,IF(AND(AF101&gt;0,CityData!F6&lt;=AF101),1,0))</f>
        <v>1</v>
      </c>
      <c r="AH101" s="14" t="n">
        <f aca="false">IF($A101="",0,IFERROR(VLOOKUP((YEAR($A101)+IF(MONTH($A101)&gt;=10,1,0))&amp;"|Seattle|"&amp;MONTH($A101),Rates!$A$2:$I$181,6,FALSE()),0))</f>
        <v>0</v>
      </c>
      <c r="AI101" s="14" t="n">
        <f aca="false">IF(AH101=0,0,VLOOKUP(AH101,MIE_Components!$A$2:$F$6,2,FALSE()))</f>
        <v>0</v>
      </c>
      <c r="AJ101" s="14" t="n">
        <f aca="false">IF(AH101=0,0,VLOOKUP(AH101,MIE_Components!$A$2:$F$6,3,FALSE()))</f>
        <v>0</v>
      </c>
      <c r="AK101" s="14" t="n">
        <f aca="false">IF(AH101=0,0,VLOOKUP(AH101,MIE_Components!$A$2:$F$6,4,FALSE()))</f>
        <v>0</v>
      </c>
      <c r="AL101" s="14" t="n">
        <f aca="false">IF(OR($A101="",AH101=0),0,MAX(5,AH101*IF(OR($A101=Parameters!$B$13,$A101=Parameters!$B$14),0.75,1)-(IF(AND($A101=DATE(2026,11,29),NOV29BF="Yes"),AI101,0)+IF(OR($A101=DATE(2026,11,29),$A101=DATE(2026,11,30),$A101=DATE(2026,12,1),$A101=DATE(2026,12,2)),AJ101,0)+IF(OR($A101=DATE(2026,11,28),$A101=DATE(2026,12,1)),AK101,0))))</f>
        <v>0</v>
      </c>
      <c r="AM101" s="14" t="n">
        <f aca="false">IF(AND($A101&lt;&gt;"",$A101&lt;Parameters!$B$14),CityData!F7*(1+TAXRATE),0)</f>
        <v>0</v>
      </c>
      <c r="AN101" s="14" t="n">
        <f aca="false">IF($A101="",0,IFERROR(VLOOKUP((YEAR($A101)+IF(MONTH($A101)&gt;=10,1,0))&amp;"|Seattle|"&amp;MONTH($A101),Rates!$A$2:$I$181,5,FALSE()),0))</f>
        <v>0</v>
      </c>
      <c r="AO101" s="14" t="n">
        <f aca="false">IF(OR($A101="",$A101&gt;=Parameters!$B$14),1,IF(AND(AN101&gt;0,CityData!F7&lt;=AN101),1,0))</f>
        <v>1</v>
      </c>
    </row>
    <row r="102" customFormat="false" ht="15" hidden="false" customHeight="true" outlineLevel="0" collapsed="false">
      <c r="A102" s="23" t="str">
        <f aca="false">IF(AND(Parameters!$B$14&gt;=Parameters!$B$13,ROW()-2&lt;=Parameters!$B$14-Parameters!$B$13),Parameters!$B$13+ROW()-2,"")</f>
        <v/>
      </c>
      <c r="B102" s="14" t="n">
        <f aca="false">IF($A102="",0,IFERROR(VLOOKUP((YEAR($A102)+IF(MONTH($A102)&gt;=10,1,0))&amp;"|Boston|"&amp;MONTH($A102),Rates!$A$2:$I$181,6,FALSE()),0))</f>
        <v>0</v>
      </c>
      <c r="C102" s="14" t="n">
        <f aca="false">IF(B102=0,0,VLOOKUP(B102,MIE_Components!$A$2:$F$6,2,FALSE()))</f>
        <v>0</v>
      </c>
      <c r="D102" s="14" t="n">
        <f aca="false">IF(B102=0,0,VLOOKUP(B102,MIE_Components!$A$2:$F$6,3,FALSE()))</f>
        <v>0</v>
      </c>
      <c r="E102" s="14" t="n">
        <f aca="false">IF(B102=0,0,VLOOKUP(B102,MIE_Components!$A$2:$F$6,4,FALSE()))</f>
        <v>0</v>
      </c>
      <c r="F102" s="14" t="n">
        <f aca="false">IF(OR($A102="",B102=0),0,MAX(5,B102*IF(OR($A102=Parameters!$B$13,$A102=Parameters!$B$14),0.75,1)-(IF(AND($A102=DATE(2026,11,29),NOV29BF="Yes"),C102,0)+IF(OR($A102=DATE(2026,11,29),$A102=DATE(2026,11,30),$A102=DATE(2026,12,1),$A102=DATE(2026,12,2)),D102,0)+IF(OR($A102=DATE(2026,11,28),$A102=DATE(2026,12,1)),E102,0))))</f>
        <v>0</v>
      </c>
      <c r="G102" s="14" t="n">
        <f aca="false">IF(AND($A102&lt;&gt;"",$A102&lt;Parameters!$B$14),CityData!F3*(1+TAXRATE),0)</f>
        <v>0</v>
      </c>
      <c r="H102" s="14" t="n">
        <f aca="false">IF($A102="",0,IFERROR(VLOOKUP((YEAR($A102)+IF(MONTH($A102)&gt;=10,1,0))&amp;"|Boston|"&amp;MONTH($A102),Rates!$A$2:$I$181,5,FALSE()),0))</f>
        <v>0</v>
      </c>
      <c r="I102" s="14" t="n">
        <f aca="false">IF(OR($A102="",$A102&gt;=Parameters!$B$14),1,IF(AND(H102&gt;0,CityData!F3&lt;=H102),1,0))</f>
        <v>1</v>
      </c>
      <c r="J102" s="14" t="n">
        <f aca="false">IF($A102="",0,IFERROR(VLOOKUP((YEAR($A102)+IF(MONTH($A102)&gt;=10,1,0))&amp;"|Chicago|"&amp;MONTH($A102),Rates!$A$2:$I$181,6,FALSE()),0))</f>
        <v>0</v>
      </c>
      <c r="K102" s="14" t="n">
        <f aca="false">IF(J102=0,0,VLOOKUP(J102,MIE_Components!$A$2:$F$6,2,FALSE()))</f>
        <v>0</v>
      </c>
      <c r="L102" s="14" t="n">
        <f aca="false">IF(J102=0,0,VLOOKUP(J102,MIE_Components!$A$2:$F$6,3,FALSE()))</f>
        <v>0</v>
      </c>
      <c r="M102" s="14" t="n">
        <f aca="false">IF(J102=0,0,VLOOKUP(J102,MIE_Components!$A$2:$F$6,4,FALSE()))</f>
        <v>0</v>
      </c>
      <c r="N102" s="14" t="n">
        <f aca="false">IF(OR($A102="",J102=0),0,MAX(5,J102*IF(OR($A102=Parameters!$B$13,$A102=Parameters!$B$14),0.75,1)-(IF(AND($A102=DATE(2026,11,29),NOV29BF="Yes"),K102,0)+IF(OR($A102=DATE(2026,11,29),$A102=DATE(2026,11,30),$A102=DATE(2026,12,1),$A102=DATE(2026,12,2)),L102,0)+IF(OR($A102=DATE(2026,11,28),$A102=DATE(2026,12,1)),M102,0))))</f>
        <v>0</v>
      </c>
      <c r="O102" s="14" t="n">
        <f aca="false">IF(AND($A102&lt;&gt;"",$A102&lt;Parameters!$B$14),CityData!F4*(1+TAXRATE),0)</f>
        <v>0</v>
      </c>
      <c r="P102" s="14" t="n">
        <f aca="false">IF($A102="",0,IFERROR(VLOOKUP((YEAR($A102)+IF(MONTH($A102)&gt;=10,1,0))&amp;"|Chicago|"&amp;MONTH($A102),Rates!$A$2:$I$181,5,FALSE()),0))</f>
        <v>0</v>
      </c>
      <c r="Q102" s="14" t="n">
        <f aca="false">IF(OR($A102="",$A102&gt;=Parameters!$B$14),1,IF(AND(P102&gt;0,CityData!F4&lt;=P102),1,0))</f>
        <v>1</v>
      </c>
      <c r="R102" s="14" t="n">
        <f aca="false">IF($A102="",0,IFERROR(VLOOKUP((YEAR($A102)+IF(MONTH($A102)&gt;=10,1,0))&amp;"|Denver|"&amp;MONTH($A102),Rates!$A$2:$I$181,6,FALSE()),0))</f>
        <v>0</v>
      </c>
      <c r="S102" s="14" t="n">
        <f aca="false">IF(R102=0,0,VLOOKUP(R102,MIE_Components!$A$2:$F$6,2,FALSE()))</f>
        <v>0</v>
      </c>
      <c r="T102" s="14" t="n">
        <f aca="false">IF(R102=0,0,VLOOKUP(R102,MIE_Components!$A$2:$F$6,3,FALSE()))</f>
        <v>0</v>
      </c>
      <c r="U102" s="14" t="n">
        <f aca="false">IF(R102=0,0,VLOOKUP(R102,MIE_Components!$A$2:$F$6,4,FALSE()))</f>
        <v>0</v>
      </c>
      <c r="V102" s="14" t="n">
        <f aca="false">IF(OR($A102="",R102=0),0,MAX(5,R102*IF(OR($A102=Parameters!$B$13,$A102=Parameters!$B$14),0.75,1)-(IF(AND($A102=DATE(2026,11,29),NOV29BF="Yes"),S102,0)+IF(OR($A102=DATE(2026,11,29),$A102=DATE(2026,11,30),$A102=DATE(2026,12,1),$A102=DATE(2026,12,2)),T102,0)+IF(OR($A102=DATE(2026,11,28),$A102=DATE(2026,12,1)),U102,0))))</f>
        <v>0</v>
      </c>
      <c r="W102" s="14" t="n">
        <f aca="false">IF(AND($A102&lt;&gt;"",$A102&lt;Parameters!$B$14),CityData!F5*(1+TAXRATE),0)</f>
        <v>0</v>
      </c>
      <c r="X102" s="14" t="n">
        <f aca="false">IF($A102="",0,IFERROR(VLOOKUP((YEAR($A102)+IF(MONTH($A102)&gt;=10,1,0))&amp;"|Denver|"&amp;MONTH($A102),Rates!$A$2:$I$181,5,FALSE()),0))</f>
        <v>0</v>
      </c>
      <c r="Y102" s="14" t="n">
        <f aca="false">IF(OR($A102="",$A102&gt;=Parameters!$B$14),1,IF(AND(X102&gt;0,CityData!F5&lt;=X102),1,0))</f>
        <v>1</v>
      </c>
      <c r="Z102" s="14" t="n">
        <f aca="false">IF($A102="",0,IFERROR(VLOOKUP((YEAR($A102)+IF(MONTH($A102)&gt;=10,1,0))&amp;"|Phoenix|"&amp;MONTH($A102),Rates!$A$2:$I$181,6,FALSE()),0))</f>
        <v>0</v>
      </c>
      <c r="AA102" s="14" t="n">
        <f aca="false">IF(Z102=0,0,VLOOKUP(Z102,MIE_Components!$A$2:$F$6,2,FALSE()))</f>
        <v>0</v>
      </c>
      <c r="AB102" s="14" t="n">
        <f aca="false">IF(Z102=0,0,VLOOKUP(Z102,MIE_Components!$A$2:$F$6,3,FALSE()))</f>
        <v>0</v>
      </c>
      <c r="AC102" s="14" t="n">
        <f aca="false">IF(Z102=0,0,VLOOKUP(Z102,MIE_Components!$A$2:$F$6,4,FALSE()))</f>
        <v>0</v>
      </c>
      <c r="AD102" s="14" t="n">
        <f aca="false">IF(OR($A102="",Z102=0),0,MAX(5,Z102*IF(OR($A102=Parameters!$B$13,$A102=Parameters!$B$14),0.75,1)-(IF(AND($A102=DATE(2026,11,29),NOV29BF="Yes"),AA102,0)+IF(OR($A102=DATE(2026,11,29),$A102=DATE(2026,11,30),$A102=DATE(2026,12,1),$A102=DATE(2026,12,2)),AB102,0)+IF(OR($A102=DATE(2026,11,28),$A102=DATE(2026,12,1)),AC102,0))))</f>
        <v>0</v>
      </c>
      <c r="AE102" s="14" t="n">
        <f aca="false">IF(AND($A102&lt;&gt;"",$A102&lt;Parameters!$B$14),CityData!F6*(1+TAXRATE),0)</f>
        <v>0</v>
      </c>
      <c r="AF102" s="14" t="n">
        <f aca="false">IF($A102="",0,IFERROR(VLOOKUP((YEAR($A102)+IF(MONTH($A102)&gt;=10,1,0))&amp;"|Phoenix|"&amp;MONTH($A102),Rates!$A$2:$I$181,5,FALSE()),0))</f>
        <v>0</v>
      </c>
      <c r="AG102" s="14" t="n">
        <f aca="false">IF(OR($A102="",$A102&gt;=Parameters!$B$14),1,IF(AND(AF102&gt;0,CityData!F6&lt;=AF102),1,0))</f>
        <v>1</v>
      </c>
      <c r="AH102" s="14" t="n">
        <f aca="false">IF($A102="",0,IFERROR(VLOOKUP((YEAR($A102)+IF(MONTH($A102)&gt;=10,1,0))&amp;"|Seattle|"&amp;MONTH($A102),Rates!$A$2:$I$181,6,FALSE()),0))</f>
        <v>0</v>
      </c>
      <c r="AI102" s="14" t="n">
        <f aca="false">IF(AH102=0,0,VLOOKUP(AH102,MIE_Components!$A$2:$F$6,2,FALSE()))</f>
        <v>0</v>
      </c>
      <c r="AJ102" s="14" t="n">
        <f aca="false">IF(AH102=0,0,VLOOKUP(AH102,MIE_Components!$A$2:$F$6,3,FALSE()))</f>
        <v>0</v>
      </c>
      <c r="AK102" s="14" t="n">
        <f aca="false">IF(AH102=0,0,VLOOKUP(AH102,MIE_Components!$A$2:$F$6,4,FALSE()))</f>
        <v>0</v>
      </c>
      <c r="AL102" s="14" t="n">
        <f aca="false">IF(OR($A102="",AH102=0),0,MAX(5,AH102*IF(OR($A102=Parameters!$B$13,$A102=Parameters!$B$14),0.75,1)-(IF(AND($A102=DATE(2026,11,29),NOV29BF="Yes"),AI102,0)+IF(OR($A102=DATE(2026,11,29),$A102=DATE(2026,11,30),$A102=DATE(2026,12,1),$A102=DATE(2026,12,2)),AJ102,0)+IF(OR($A102=DATE(2026,11,28),$A102=DATE(2026,12,1)),AK102,0))))</f>
        <v>0</v>
      </c>
      <c r="AM102" s="14" t="n">
        <f aca="false">IF(AND($A102&lt;&gt;"",$A102&lt;Parameters!$B$14),CityData!F7*(1+TAXRATE),0)</f>
        <v>0</v>
      </c>
      <c r="AN102" s="14" t="n">
        <f aca="false">IF($A102="",0,IFERROR(VLOOKUP((YEAR($A102)+IF(MONTH($A102)&gt;=10,1,0))&amp;"|Seattle|"&amp;MONTH($A102),Rates!$A$2:$I$181,5,FALSE()),0))</f>
        <v>0</v>
      </c>
      <c r="AO102" s="14" t="n">
        <f aca="false">IF(OR($A102="",$A102&gt;=Parameters!$B$14),1,IF(AND(AN102&gt;0,CityData!F7&lt;=AN102),1,0))</f>
        <v>1</v>
      </c>
    </row>
    <row r="103" customFormat="false" ht="15" hidden="false" customHeight="true" outlineLevel="0" collapsed="false">
      <c r="A103" s="23" t="str">
        <f aca="false">IF(AND(Parameters!$B$14&gt;=Parameters!$B$13,ROW()-2&lt;=Parameters!$B$14-Parameters!$B$13),Parameters!$B$13+ROW()-2,"")</f>
        <v/>
      </c>
      <c r="B103" s="14" t="n">
        <f aca="false">IF($A103="",0,IFERROR(VLOOKUP((YEAR($A103)+IF(MONTH($A103)&gt;=10,1,0))&amp;"|Boston|"&amp;MONTH($A103),Rates!$A$2:$I$181,6,FALSE()),0))</f>
        <v>0</v>
      </c>
      <c r="C103" s="14" t="n">
        <f aca="false">IF(B103=0,0,VLOOKUP(B103,MIE_Components!$A$2:$F$6,2,FALSE()))</f>
        <v>0</v>
      </c>
      <c r="D103" s="14" t="n">
        <f aca="false">IF(B103=0,0,VLOOKUP(B103,MIE_Components!$A$2:$F$6,3,FALSE()))</f>
        <v>0</v>
      </c>
      <c r="E103" s="14" t="n">
        <f aca="false">IF(B103=0,0,VLOOKUP(B103,MIE_Components!$A$2:$F$6,4,FALSE()))</f>
        <v>0</v>
      </c>
      <c r="F103" s="14" t="n">
        <f aca="false">IF(OR($A103="",B103=0),0,MAX(5,B103*IF(OR($A103=Parameters!$B$13,$A103=Parameters!$B$14),0.75,1)-(IF(AND($A103=DATE(2026,11,29),NOV29BF="Yes"),C103,0)+IF(OR($A103=DATE(2026,11,29),$A103=DATE(2026,11,30),$A103=DATE(2026,12,1),$A103=DATE(2026,12,2)),D103,0)+IF(OR($A103=DATE(2026,11,28),$A103=DATE(2026,12,1)),E103,0))))</f>
        <v>0</v>
      </c>
      <c r="G103" s="14" t="n">
        <f aca="false">IF(AND($A103&lt;&gt;"",$A103&lt;Parameters!$B$14),CityData!F3*(1+TAXRATE),0)</f>
        <v>0</v>
      </c>
      <c r="H103" s="14" t="n">
        <f aca="false">IF($A103="",0,IFERROR(VLOOKUP((YEAR($A103)+IF(MONTH($A103)&gt;=10,1,0))&amp;"|Boston|"&amp;MONTH($A103),Rates!$A$2:$I$181,5,FALSE()),0))</f>
        <v>0</v>
      </c>
      <c r="I103" s="14" t="n">
        <f aca="false">IF(OR($A103="",$A103&gt;=Parameters!$B$14),1,IF(AND(H103&gt;0,CityData!F3&lt;=H103),1,0))</f>
        <v>1</v>
      </c>
      <c r="J103" s="14" t="n">
        <f aca="false">IF($A103="",0,IFERROR(VLOOKUP((YEAR($A103)+IF(MONTH($A103)&gt;=10,1,0))&amp;"|Chicago|"&amp;MONTH($A103),Rates!$A$2:$I$181,6,FALSE()),0))</f>
        <v>0</v>
      </c>
      <c r="K103" s="14" t="n">
        <f aca="false">IF(J103=0,0,VLOOKUP(J103,MIE_Components!$A$2:$F$6,2,FALSE()))</f>
        <v>0</v>
      </c>
      <c r="L103" s="14" t="n">
        <f aca="false">IF(J103=0,0,VLOOKUP(J103,MIE_Components!$A$2:$F$6,3,FALSE()))</f>
        <v>0</v>
      </c>
      <c r="M103" s="14" t="n">
        <f aca="false">IF(J103=0,0,VLOOKUP(J103,MIE_Components!$A$2:$F$6,4,FALSE()))</f>
        <v>0</v>
      </c>
      <c r="N103" s="14" t="n">
        <f aca="false">IF(OR($A103="",J103=0),0,MAX(5,J103*IF(OR($A103=Parameters!$B$13,$A103=Parameters!$B$14),0.75,1)-(IF(AND($A103=DATE(2026,11,29),NOV29BF="Yes"),K103,0)+IF(OR($A103=DATE(2026,11,29),$A103=DATE(2026,11,30),$A103=DATE(2026,12,1),$A103=DATE(2026,12,2)),L103,0)+IF(OR($A103=DATE(2026,11,28),$A103=DATE(2026,12,1)),M103,0))))</f>
        <v>0</v>
      </c>
      <c r="O103" s="14" t="n">
        <f aca="false">IF(AND($A103&lt;&gt;"",$A103&lt;Parameters!$B$14),CityData!F4*(1+TAXRATE),0)</f>
        <v>0</v>
      </c>
      <c r="P103" s="14" t="n">
        <f aca="false">IF($A103="",0,IFERROR(VLOOKUP((YEAR($A103)+IF(MONTH($A103)&gt;=10,1,0))&amp;"|Chicago|"&amp;MONTH($A103),Rates!$A$2:$I$181,5,FALSE()),0))</f>
        <v>0</v>
      </c>
      <c r="Q103" s="14" t="n">
        <f aca="false">IF(OR($A103="",$A103&gt;=Parameters!$B$14),1,IF(AND(P103&gt;0,CityData!F4&lt;=P103),1,0))</f>
        <v>1</v>
      </c>
      <c r="R103" s="14" t="n">
        <f aca="false">IF($A103="",0,IFERROR(VLOOKUP((YEAR($A103)+IF(MONTH($A103)&gt;=10,1,0))&amp;"|Denver|"&amp;MONTH($A103),Rates!$A$2:$I$181,6,FALSE()),0))</f>
        <v>0</v>
      </c>
      <c r="S103" s="14" t="n">
        <f aca="false">IF(R103=0,0,VLOOKUP(R103,MIE_Components!$A$2:$F$6,2,FALSE()))</f>
        <v>0</v>
      </c>
      <c r="T103" s="14" t="n">
        <f aca="false">IF(R103=0,0,VLOOKUP(R103,MIE_Components!$A$2:$F$6,3,FALSE()))</f>
        <v>0</v>
      </c>
      <c r="U103" s="14" t="n">
        <f aca="false">IF(R103=0,0,VLOOKUP(R103,MIE_Components!$A$2:$F$6,4,FALSE()))</f>
        <v>0</v>
      </c>
      <c r="V103" s="14" t="n">
        <f aca="false">IF(OR($A103="",R103=0),0,MAX(5,R103*IF(OR($A103=Parameters!$B$13,$A103=Parameters!$B$14),0.75,1)-(IF(AND($A103=DATE(2026,11,29),NOV29BF="Yes"),S103,0)+IF(OR($A103=DATE(2026,11,29),$A103=DATE(2026,11,30),$A103=DATE(2026,12,1),$A103=DATE(2026,12,2)),T103,0)+IF(OR($A103=DATE(2026,11,28),$A103=DATE(2026,12,1)),U103,0))))</f>
        <v>0</v>
      </c>
      <c r="W103" s="14" t="n">
        <f aca="false">IF(AND($A103&lt;&gt;"",$A103&lt;Parameters!$B$14),CityData!F5*(1+TAXRATE),0)</f>
        <v>0</v>
      </c>
      <c r="X103" s="14" t="n">
        <f aca="false">IF($A103="",0,IFERROR(VLOOKUP((YEAR($A103)+IF(MONTH($A103)&gt;=10,1,0))&amp;"|Denver|"&amp;MONTH($A103),Rates!$A$2:$I$181,5,FALSE()),0))</f>
        <v>0</v>
      </c>
      <c r="Y103" s="14" t="n">
        <f aca="false">IF(OR($A103="",$A103&gt;=Parameters!$B$14),1,IF(AND(X103&gt;0,CityData!F5&lt;=X103),1,0))</f>
        <v>1</v>
      </c>
      <c r="Z103" s="14" t="n">
        <f aca="false">IF($A103="",0,IFERROR(VLOOKUP((YEAR($A103)+IF(MONTH($A103)&gt;=10,1,0))&amp;"|Phoenix|"&amp;MONTH($A103),Rates!$A$2:$I$181,6,FALSE()),0))</f>
        <v>0</v>
      </c>
      <c r="AA103" s="14" t="n">
        <f aca="false">IF(Z103=0,0,VLOOKUP(Z103,MIE_Components!$A$2:$F$6,2,FALSE()))</f>
        <v>0</v>
      </c>
      <c r="AB103" s="14" t="n">
        <f aca="false">IF(Z103=0,0,VLOOKUP(Z103,MIE_Components!$A$2:$F$6,3,FALSE()))</f>
        <v>0</v>
      </c>
      <c r="AC103" s="14" t="n">
        <f aca="false">IF(Z103=0,0,VLOOKUP(Z103,MIE_Components!$A$2:$F$6,4,FALSE()))</f>
        <v>0</v>
      </c>
      <c r="AD103" s="14" t="n">
        <f aca="false">IF(OR($A103="",Z103=0),0,MAX(5,Z103*IF(OR($A103=Parameters!$B$13,$A103=Parameters!$B$14),0.75,1)-(IF(AND($A103=DATE(2026,11,29),NOV29BF="Yes"),AA103,0)+IF(OR($A103=DATE(2026,11,29),$A103=DATE(2026,11,30),$A103=DATE(2026,12,1),$A103=DATE(2026,12,2)),AB103,0)+IF(OR($A103=DATE(2026,11,28),$A103=DATE(2026,12,1)),AC103,0))))</f>
        <v>0</v>
      </c>
      <c r="AE103" s="14" t="n">
        <f aca="false">IF(AND($A103&lt;&gt;"",$A103&lt;Parameters!$B$14),CityData!F6*(1+TAXRATE),0)</f>
        <v>0</v>
      </c>
      <c r="AF103" s="14" t="n">
        <f aca="false">IF($A103="",0,IFERROR(VLOOKUP((YEAR($A103)+IF(MONTH($A103)&gt;=10,1,0))&amp;"|Phoenix|"&amp;MONTH($A103),Rates!$A$2:$I$181,5,FALSE()),0))</f>
        <v>0</v>
      </c>
      <c r="AG103" s="14" t="n">
        <f aca="false">IF(OR($A103="",$A103&gt;=Parameters!$B$14),1,IF(AND(AF103&gt;0,CityData!F6&lt;=AF103),1,0))</f>
        <v>1</v>
      </c>
      <c r="AH103" s="14" t="n">
        <f aca="false">IF($A103="",0,IFERROR(VLOOKUP((YEAR($A103)+IF(MONTH($A103)&gt;=10,1,0))&amp;"|Seattle|"&amp;MONTH($A103),Rates!$A$2:$I$181,6,FALSE()),0))</f>
        <v>0</v>
      </c>
      <c r="AI103" s="14" t="n">
        <f aca="false">IF(AH103=0,0,VLOOKUP(AH103,MIE_Components!$A$2:$F$6,2,FALSE()))</f>
        <v>0</v>
      </c>
      <c r="AJ103" s="14" t="n">
        <f aca="false">IF(AH103=0,0,VLOOKUP(AH103,MIE_Components!$A$2:$F$6,3,FALSE()))</f>
        <v>0</v>
      </c>
      <c r="AK103" s="14" t="n">
        <f aca="false">IF(AH103=0,0,VLOOKUP(AH103,MIE_Components!$A$2:$F$6,4,FALSE()))</f>
        <v>0</v>
      </c>
      <c r="AL103" s="14" t="n">
        <f aca="false">IF(OR($A103="",AH103=0),0,MAX(5,AH103*IF(OR($A103=Parameters!$B$13,$A103=Parameters!$B$14),0.75,1)-(IF(AND($A103=DATE(2026,11,29),NOV29BF="Yes"),AI103,0)+IF(OR($A103=DATE(2026,11,29),$A103=DATE(2026,11,30),$A103=DATE(2026,12,1),$A103=DATE(2026,12,2)),AJ103,0)+IF(OR($A103=DATE(2026,11,28),$A103=DATE(2026,12,1)),AK103,0))))</f>
        <v>0</v>
      </c>
      <c r="AM103" s="14" t="n">
        <f aca="false">IF(AND($A103&lt;&gt;"",$A103&lt;Parameters!$B$14),CityData!F7*(1+TAXRATE),0)</f>
        <v>0</v>
      </c>
      <c r="AN103" s="14" t="n">
        <f aca="false">IF($A103="",0,IFERROR(VLOOKUP((YEAR($A103)+IF(MONTH($A103)&gt;=10,1,0))&amp;"|Seattle|"&amp;MONTH($A103),Rates!$A$2:$I$181,5,FALSE()),0))</f>
        <v>0</v>
      </c>
      <c r="AO103" s="14" t="n">
        <f aca="false">IF(OR($A103="",$A103&gt;=Parameters!$B$14),1,IF(AND(AN103&gt;0,CityData!F7&lt;=AN103),1,0))</f>
        <v>1</v>
      </c>
    </row>
    <row r="104" customFormat="false" ht="15" hidden="false" customHeight="true" outlineLevel="0" collapsed="false">
      <c r="A104" s="23" t="str">
        <f aca="false">IF(AND(Parameters!$B$14&gt;=Parameters!$B$13,ROW()-2&lt;=Parameters!$B$14-Parameters!$B$13),Parameters!$B$13+ROW()-2,"")</f>
        <v/>
      </c>
      <c r="B104" s="14" t="n">
        <f aca="false">IF($A104="",0,IFERROR(VLOOKUP((YEAR($A104)+IF(MONTH($A104)&gt;=10,1,0))&amp;"|Boston|"&amp;MONTH($A104),Rates!$A$2:$I$181,6,FALSE()),0))</f>
        <v>0</v>
      </c>
      <c r="C104" s="14" t="n">
        <f aca="false">IF(B104=0,0,VLOOKUP(B104,MIE_Components!$A$2:$F$6,2,FALSE()))</f>
        <v>0</v>
      </c>
      <c r="D104" s="14" t="n">
        <f aca="false">IF(B104=0,0,VLOOKUP(B104,MIE_Components!$A$2:$F$6,3,FALSE()))</f>
        <v>0</v>
      </c>
      <c r="E104" s="14" t="n">
        <f aca="false">IF(B104=0,0,VLOOKUP(B104,MIE_Components!$A$2:$F$6,4,FALSE()))</f>
        <v>0</v>
      </c>
      <c r="F104" s="14" t="n">
        <f aca="false">IF(OR($A104="",B104=0),0,MAX(5,B104*IF(OR($A104=Parameters!$B$13,$A104=Parameters!$B$14),0.75,1)-(IF(AND($A104=DATE(2026,11,29),NOV29BF="Yes"),C104,0)+IF(OR($A104=DATE(2026,11,29),$A104=DATE(2026,11,30),$A104=DATE(2026,12,1),$A104=DATE(2026,12,2)),D104,0)+IF(OR($A104=DATE(2026,11,28),$A104=DATE(2026,12,1)),E104,0))))</f>
        <v>0</v>
      </c>
      <c r="G104" s="14" t="n">
        <f aca="false">IF(AND($A104&lt;&gt;"",$A104&lt;Parameters!$B$14),CityData!F3*(1+TAXRATE),0)</f>
        <v>0</v>
      </c>
      <c r="H104" s="14" t="n">
        <f aca="false">IF($A104="",0,IFERROR(VLOOKUP((YEAR($A104)+IF(MONTH($A104)&gt;=10,1,0))&amp;"|Boston|"&amp;MONTH($A104),Rates!$A$2:$I$181,5,FALSE()),0))</f>
        <v>0</v>
      </c>
      <c r="I104" s="14" t="n">
        <f aca="false">IF(OR($A104="",$A104&gt;=Parameters!$B$14),1,IF(AND(H104&gt;0,CityData!F3&lt;=H104),1,0))</f>
        <v>1</v>
      </c>
      <c r="J104" s="14" t="n">
        <f aca="false">IF($A104="",0,IFERROR(VLOOKUP((YEAR($A104)+IF(MONTH($A104)&gt;=10,1,0))&amp;"|Chicago|"&amp;MONTH($A104),Rates!$A$2:$I$181,6,FALSE()),0))</f>
        <v>0</v>
      </c>
      <c r="K104" s="14" t="n">
        <f aca="false">IF(J104=0,0,VLOOKUP(J104,MIE_Components!$A$2:$F$6,2,FALSE()))</f>
        <v>0</v>
      </c>
      <c r="L104" s="14" t="n">
        <f aca="false">IF(J104=0,0,VLOOKUP(J104,MIE_Components!$A$2:$F$6,3,FALSE()))</f>
        <v>0</v>
      </c>
      <c r="M104" s="14" t="n">
        <f aca="false">IF(J104=0,0,VLOOKUP(J104,MIE_Components!$A$2:$F$6,4,FALSE()))</f>
        <v>0</v>
      </c>
      <c r="N104" s="14" t="n">
        <f aca="false">IF(OR($A104="",J104=0),0,MAX(5,J104*IF(OR($A104=Parameters!$B$13,$A104=Parameters!$B$14),0.75,1)-(IF(AND($A104=DATE(2026,11,29),NOV29BF="Yes"),K104,0)+IF(OR($A104=DATE(2026,11,29),$A104=DATE(2026,11,30),$A104=DATE(2026,12,1),$A104=DATE(2026,12,2)),L104,0)+IF(OR($A104=DATE(2026,11,28),$A104=DATE(2026,12,1)),M104,0))))</f>
        <v>0</v>
      </c>
      <c r="O104" s="14" t="n">
        <f aca="false">IF(AND($A104&lt;&gt;"",$A104&lt;Parameters!$B$14),CityData!F4*(1+TAXRATE),0)</f>
        <v>0</v>
      </c>
      <c r="P104" s="14" t="n">
        <f aca="false">IF($A104="",0,IFERROR(VLOOKUP((YEAR($A104)+IF(MONTH($A104)&gt;=10,1,0))&amp;"|Chicago|"&amp;MONTH($A104),Rates!$A$2:$I$181,5,FALSE()),0))</f>
        <v>0</v>
      </c>
      <c r="Q104" s="14" t="n">
        <f aca="false">IF(OR($A104="",$A104&gt;=Parameters!$B$14),1,IF(AND(P104&gt;0,CityData!F4&lt;=P104),1,0))</f>
        <v>1</v>
      </c>
      <c r="R104" s="14" t="n">
        <f aca="false">IF($A104="",0,IFERROR(VLOOKUP((YEAR($A104)+IF(MONTH($A104)&gt;=10,1,0))&amp;"|Denver|"&amp;MONTH($A104),Rates!$A$2:$I$181,6,FALSE()),0))</f>
        <v>0</v>
      </c>
      <c r="S104" s="14" t="n">
        <f aca="false">IF(R104=0,0,VLOOKUP(R104,MIE_Components!$A$2:$F$6,2,FALSE()))</f>
        <v>0</v>
      </c>
      <c r="T104" s="14" t="n">
        <f aca="false">IF(R104=0,0,VLOOKUP(R104,MIE_Components!$A$2:$F$6,3,FALSE()))</f>
        <v>0</v>
      </c>
      <c r="U104" s="14" t="n">
        <f aca="false">IF(R104=0,0,VLOOKUP(R104,MIE_Components!$A$2:$F$6,4,FALSE()))</f>
        <v>0</v>
      </c>
      <c r="V104" s="14" t="n">
        <f aca="false">IF(OR($A104="",R104=0),0,MAX(5,R104*IF(OR($A104=Parameters!$B$13,$A104=Parameters!$B$14),0.75,1)-(IF(AND($A104=DATE(2026,11,29),NOV29BF="Yes"),S104,0)+IF(OR($A104=DATE(2026,11,29),$A104=DATE(2026,11,30),$A104=DATE(2026,12,1),$A104=DATE(2026,12,2)),T104,0)+IF(OR($A104=DATE(2026,11,28),$A104=DATE(2026,12,1)),U104,0))))</f>
        <v>0</v>
      </c>
      <c r="W104" s="14" t="n">
        <f aca="false">IF(AND($A104&lt;&gt;"",$A104&lt;Parameters!$B$14),CityData!F5*(1+TAXRATE),0)</f>
        <v>0</v>
      </c>
      <c r="X104" s="14" t="n">
        <f aca="false">IF($A104="",0,IFERROR(VLOOKUP((YEAR($A104)+IF(MONTH($A104)&gt;=10,1,0))&amp;"|Denver|"&amp;MONTH($A104),Rates!$A$2:$I$181,5,FALSE()),0))</f>
        <v>0</v>
      </c>
      <c r="Y104" s="14" t="n">
        <f aca="false">IF(OR($A104="",$A104&gt;=Parameters!$B$14),1,IF(AND(X104&gt;0,CityData!F5&lt;=X104),1,0))</f>
        <v>1</v>
      </c>
      <c r="Z104" s="14" t="n">
        <f aca="false">IF($A104="",0,IFERROR(VLOOKUP((YEAR($A104)+IF(MONTH($A104)&gt;=10,1,0))&amp;"|Phoenix|"&amp;MONTH($A104),Rates!$A$2:$I$181,6,FALSE()),0))</f>
        <v>0</v>
      </c>
      <c r="AA104" s="14" t="n">
        <f aca="false">IF(Z104=0,0,VLOOKUP(Z104,MIE_Components!$A$2:$F$6,2,FALSE()))</f>
        <v>0</v>
      </c>
      <c r="AB104" s="14" t="n">
        <f aca="false">IF(Z104=0,0,VLOOKUP(Z104,MIE_Components!$A$2:$F$6,3,FALSE()))</f>
        <v>0</v>
      </c>
      <c r="AC104" s="14" t="n">
        <f aca="false">IF(Z104=0,0,VLOOKUP(Z104,MIE_Components!$A$2:$F$6,4,FALSE()))</f>
        <v>0</v>
      </c>
      <c r="AD104" s="14" t="n">
        <f aca="false">IF(OR($A104="",Z104=0),0,MAX(5,Z104*IF(OR($A104=Parameters!$B$13,$A104=Parameters!$B$14),0.75,1)-(IF(AND($A104=DATE(2026,11,29),NOV29BF="Yes"),AA104,0)+IF(OR($A104=DATE(2026,11,29),$A104=DATE(2026,11,30),$A104=DATE(2026,12,1),$A104=DATE(2026,12,2)),AB104,0)+IF(OR($A104=DATE(2026,11,28),$A104=DATE(2026,12,1)),AC104,0))))</f>
        <v>0</v>
      </c>
      <c r="AE104" s="14" t="n">
        <f aca="false">IF(AND($A104&lt;&gt;"",$A104&lt;Parameters!$B$14),CityData!F6*(1+TAXRATE),0)</f>
        <v>0</v>
      </c>
      <c r="AF104" s="14" t="n">
        <f aca="false">IF($A104="",0,IFERROR(VLOOKUP((YEAR($A104)+IF(MONTH($A104)&gt;=10,1,0))&amp;"|Phoenix|"&amp;MONTH($A104),Rates!$A$2:$I$181,5,FALSE()),0))</f>
        <v>0</v>
      </c>
      <c r="AG104" s="14" t="n">
        <f aca="false">IF(OR($A104="",$A104&gt;=Parameters!$B$14),1,IF(AND(AF104&gt;0,CityData!F6&lt;=AF104),1,0))</f>
        <v>1</v>
      </c>
      <c r="AH104" s="14" t="n">
        <f aca="false">IF($A104="",0,IFERROR(VLOOKUP((YEAR($A104)+IF(MONTH($A104)&gt;=10,1,0))&amp;"|Seattle|"&amp;MONTH($A104),Rates!$A$2:$I$181,6,FALSE()),0))</f>
        <v>0</v>
      </c>
      <c r="AI104" s="14" t="n">
        <f aca="false">IF(AH104=0,0,VLOOKUP(AH104,MIE_Components!$A$2:$F$6,2,FALSE()))</f>
        <v>0</v>
      </c>
      <c r="AJ104" s="14" t="n">
        <f aca="false">IF(AH104=0,0,VLOOKUP(AH104,MIE_Components!$A$2:$F$6,3,FALSE()))</f>
        <v>0</v>
      </c>
      <c r="AK104" s="14" t="n">
        <f aca="false">IF(AH104=0,0,VLOOKUP(AH104,MIE_Components!$A$2:$F$6,4,FALSE()))</f>
        <v>0</v>
      </c>
      <c r="AL104" s="14" t="n">
        <f aca="false">IF(OR($A104="",AH104=0),0,MAX(5,AH104*IF(OR($A104=Parameters!$B$13,$A104=Parameters!$B$14),0.75,1)-(IF(AND($A104=DATE(2026,11,29),NOV29BF="Yes"),AI104,0)+IF(OR($A104=DATE(2026,11,29),$A104=DATE(2026,11,30),$A104=DATE(2026,12,1),$A104=DATE(2026,12,2)),AJ104,0)+IF(OR($A104=DATE(2026,11,28),$A104=DATE(2026,12,1)),AK104,0))))</f>
        <v>0</v>
      </c>
      <c r="AM104" s="14" t="n">
        <f aca="false">IF(AND($A104&lt;&gt;"",$A104&lt;Parameters!$B$14),CityData!F7*(1+TAXRATE),0)</f>
        <v>0</v>
      </c>
      <c r="AN104" s="14" t="n">
        <f aca="false">IF($A104="",0,IFERROR(VLOOKUP((YEAR($A104)+IF(MONTH($A104)&gt;=10,1,0))&amp;"|Seattle|"&amp;MONTH($A104),Rates!$A$2:$I$181,5,FALSE()),0))</f>
        <v>0</v>
      </c>
      <c r="AO104" s="14" t="n">
        <f aca="false">IF(OR($A104="",$A104&gt;=Parameters!$B$14),1,IF(AND(AN104&gt;0,CityData!F7&lt;=AN104),1,0))</f>
        <v>1</v>
      </c>
    </row>
    <row r="105" customFormat="false" ht="15" hidden="false" customHeight="true" outlineLevel="0" collapsed="false">
      <c r="A105" s="23" t="str">
        <f aca="false">IF(AND(Parameters!$B$14&gt;=Parameters!$B$13,ROW()-2&lt;=Parameters!$B$14-Parameters!$B$13),Parameters!$B$13+ROW()-2,"")</f>
        <v/>
      </c>
      <c r="B105" s="14" t="n">
        <f aca="false">IF($A105="",0,IFERROR(VLOOKUP((YEAR($A105)+IF(MONTH($A105)&gt;=10,1,0))&amp;"|Boston|"&amp;MONTH($A105),Rates!$A$2:$I$181,6,FALSE()),0))</f>
        <v>0</v>
      </c>
      <c r="C105" s="14" t="n">
        <f aca="false">IF(B105=0,0,VLOOKUP(B105,MIE_Components!$A$2:$F$6,2,FALSE()))</f>
        <v>0</v>
      </c>
      <c r="D105" s="14" t="n">
        <f aca="false">IF(B105=0,0,VLOOKUP(B105,MIE_Components!$A$2:$F$6,3,FALSE()))</f>
        <v>0</v>
      </c>
      <c r="E105" s="14" t="n">
        <f aca="false">IF(B105=0,0,VLOOKUP(B105,MIE_Components!$A$2:$F$6,4,FALSE()))</f>
        <v>0</v>
      </c>
      <c r="F105" s="14" t="n">
        <f aca="false">IF(OR($A105="",B105=0),0,MAX(5,B105*IF(OR($A105=Parameters!$B$13,$A105=Parameters!$B$14),0.75,1)-(IF(AND($A105=DATE(2026,11,29),NOV29BF="Yes"),C105,0)+IF(OR($A105=DATE(2026,11,29),$A105=DATE(2026,11,30),$A105=DATE(2026,12,1),$A105=DATE(2026,12,2)),D105,0)+IF(OR($A105=DATE(2026,11,28),$A105=DATE(2026,12,1)),E105,0))))</f>
        <v>0</v>
      </c>
      <c r="G105" s="14" t="n">
        <f aca="false">IF(AND($A105&lt;&gt;"",$A105&lt;Parameters!$B$14),CityData!F3*(1+TAXRATE),0)</f>
        <v>0</v>
      </c>
      <c r="H105" s="14" t="n">
        <f aca="false">IF($A105="",0,IFERROR(VLOOKUP((YEAR($A105)+IF(MONTH($A105)&gt;=10,1,0))&amp;"|Boston|"&amp;MONTH($A105),Rates!$A$2:$I$181,5,FALSE()),0))</f>
        <v>0</v>
      </c>
      <c r="I105" s="14" t="n">
        <f aca="false">IF(OR($A105="",$A105&gt;=Parameters!$B$14),1,IF(AND(H105&gt;0,CityData!F3&lt;=H105),1,0))</f>
        <v>1</v>
      </c>
      <c r="J105" s="14" t="n">
        <f aca="false">IF($A105="",0,IFERROR(VLOOKUP((YEAR($A105)+IF(MONTH($A105)&gt;=10,1,0))&amp;"|Chicago|"&amp;MONTH($A105),Rates!$A$2:$I$181,6,FALSE()),0))</f>
        <v>0</v>
      </c>
      <c r="K105" s="14" t="n">
        <f aca="false">IF(J105=0,0,VLOOKUP(J105,MIE_Components!$A$2:$F$6,2,FALSE()))</f>
        <v>0</v>
      </c>
      <c r="L105" s="14" t="n">
        <f aca="false">IF(J105=0,0,VLOOKUP(J105,MIE_Components!$A$2:$F$6,3,FALSE()))</f>
        <v>0</v>
      </c>
      <c r="M105" s="14" t="n">
        <f aca="false">IF(J105=0,0,VLOOKUP(J105,MIE_Components!$A$2:$F$6,4,FALSE()))</f>
        <v>0</v>
      </c>
      <c r="N105" s="14" t="n">
        <f aca="false">IF(OR($A105="",J105=0),0,MAX(5,J105*IF(OR($A105=Parameters!$B$13,$A105=Parameters!$B$14),0.75,1)-(IF(AND($A105=DATE(2026,11,29),NOV29BF="Yes"),K105,0)+IF(OR($A105=DATE(2026,11,29),$A105=DATE(2026,11,30),$A105=DATE(2026,12,1),$A105=DATE(2026,12,2)),L105,0)+IF(OR($A105=DATE(2026,11,28),$A105=DATE(2026,12,1)),M105,0))))</f>
        <v>0</v>
      </c>
      <c r="O105" s="14" t="n">
        <f aca="false">IF(AND($A105&lt;&gt;"",$A105&lt;Parameters!$B$14),CityData!F4*(1+TAXRATE),0)</f>
        <v>0</v>
      </c>
      <c r="P105" s="14" t="n">
        <f aca="false">IF($A105="",0,IFERROR(VLOOKUP((YEAR($A105)+IF(MONTH($A105)&gt;=10,1,0))&amp;"|Chicago|"&amp;MONTH($A105),Rates!$A$2:$I$181,5,FALSE()),0))</f>
        <v>0</v>
      </c>
      <c r="Q105" s="14" t="n">
        <f aca="false">IF(OR($A105="",$A105&gt;=Parameters!$B$14),1,IF(AND(P105&gt;0,CityData!F4&lt;=P105),1,0))</f>
        <v>1</v>
      </c>
      <c r="R105" s="14" t="n">
        <f aca="false">IF($A105="",0,IFERROR(VLOOKUP((YEAR($A105)+IF(MONTH($A105)&gt;=10,1,0))&amp;"|Denver|"&amp;MONTH($A105),Rates!$A$2:$I$181,6,FALSE()),0))</f>
        <v>0</v>
      </c>
      <c r="S105" s="14" t="n">
        <f aca="false">IF(R105=0,0,VLOOKUP(R105,MIE_Components!$A$2:$F$6,2,FALSE()))</f>
        <v>0</v>
      </c>
      <c r="T105" s="14" t="n">
        <f aca="false">IF(R105=0,0,VLOOKUP(R105,MIE_Components!$A$2:$F$6,3,FALSE()))</f>
        <v>0</v>
      </c>
      <c r="U105" s="14" t="n">
        <f aca="false">IF(R105=0,0,VLOOKUP(R105,MIE_Components!$A$2:$F$6,4,FALSE()))</f>
        <v>0</v>
      </c>
      <c r="V105" s="14" t="n">
        <f aca="false">IF(OR($A105="",R105=0),0,MAX(5,R105*IF(OR($A105=Parameters!$B$13,$A105=Parameters!$B$14),0.75,1)-(IF(AND($A105=DATE(2026,11,29),NOV29BF="Yes"),S105,0)+IF(OR($A105=DATE(2026,11,29),$A105=DATE(2026,11,30),$A105=DATE(2026,12,1),$A105=DATE(2026,12,2)),T105,0)+IF(OR($A105=DATE(2026,11,28),$A105=DATE(2026,12,1)),U105,0))))</f>
        <v>0</v>
      </c>
      <c r="W105" s="14" t="n">
        <f aca="false">IF(AND($A105&lt;&gt;"",$A105&lt;Parameters!$B$14),CityData!F5*(1+TAXRATE),0)</f>
        <v>0</v>
      </c>
      <c r="X105" s="14" t="n">
        <f aca="false">IF($A105="",0,IFERROR(VLOOKUP((YEAR($A105)+IF(MONTH($A105)&gt;=10,1,0))&amp;"|Denver|"&amp;MONTH($A105),Rates!$A$2:$I$181,5,FALSE()),0))</f>
        <v>0</v>
      </c>
      <c r="Y105" s="14" t="n">
        <f aca="false">IF(OR($A105="",$A105&gt;=Parameters!$B$14),1,IF(AND(X105&gt;0,CityData!F5&lt;=X105),1,0))</f>
        <v>1</v>
      </c>
      <c r="Z105" s="14" t="n">
        <f aca="false">IF($A105="",0,IFERROR(VLOOKUP((YEAR($A105)+IF(MONTH($A105)&gt;=10,1,0))&amp;"|Phoenix|"&amp;MONTH($A105),Rates!$A$2:$I$181,6,FALSE()),0))</f>
        <v>0</v>
      </c>
      <c r="AA105" s="14" t="n">
        <f aca="false">IF(Z105=0,0,VLOOKUP(Z105,MIE_Components!$A$2:$F$6,2,FALSE()))</f>
        <v>0</v>
      </c>
      <c r="AB105" s="14" t="n">
        <f aca="false">IF(Z105=0,0,VLOOKUP(Z105,MIE_Components!$A$2:$F$6,3,FALSE()))</f>
        <v>0</v>
      </c>
      <c r="AC105" s="14" t="n">
        <f aca="false">IF(Z105=0,0,VLOOKUP(Z105,MIE_Components!$A$2:$F$6,4,FALSE()))</f>
        <v>0</v>
      </c>
      <c r="AD105" s="14" t="n">
        <f aca="false">IF(OR($A105="",Z105=0),0,MAX(5,Z105*IF(OR($A105=Parameters!$B$13,$A105=Parameters!$B$14),0.75,1)-(IF(AND($A105=DATE(2026,11,29),NOV29BF="Yes"),AA105,0)+IF(OR($A105=DATE(2026,11,29),$A105=DATE(2026,11,30),$A105=DATE(2026,12,1),$A105=DATE(2026,12,2)),AB105,0)+IF(OR($A105=DATE(2026,11,28),$A105=DATE(2026,12,1)),AC105,0))))</f>
        <v>0</v>
      </c>
      <c r="AE105" s="14" t="n">
        <f aca="false">IF(AND($A105&lt;&gt;"",$A105&lt;Parameters!$B$14),CityData!F6*(1+TAXRATE),0)</f>
        <v>0</v>
      </c>
      <c r="AF105" s="14" t="n">
        <f aca="false">IF($A105="",0,IFERROR(VLOOKUP((YEAR($A105)+IF(MONTH($A105)&gt;=10,1,0))&amp;"|Phoenix|"&amp;MONTH($A105),Rates!$A$2:$I$181,5,FALSE()),0))</f>
        <v>0</v>
      </c>
      <c r="AG105" s="14" t="n">
        <f aca="false">IF(OR($A105="",$A105&gt;=Parameters!$B$14),1,IF(AND(AF105&gt;0,CityData!F6&lt;=AF105),1,0))</f>
        <v>1</v>
      </c>
      <c r="AH105" s="14" t="n">
        <f aca="false">IF($A105="",0,IFERROR(VLOOKUP((YEAR($A105)+IF(MONTH($A105)&gt;=10,1,0))&amp;"|Seattle|"&amp;MONTH($A105),Rates!$A$2:$I$181,6,FALSE()),0))</f>
        <v>0</v>
      </c>
      <c r="AI105" s="14" t="n">
        <f aca="false">IF(AH105=0,0,VLOOKUP(AH105,MIE_Components!$A$2:$F$6,2,FALSE()))</f>
        <v>0</v>
      </c>
      <c r="AJ105" s="14" t="n">
        <f aca="false">IF(AH105=0,0,VLOOKUP(AH105,MIE_Components!$A$2:$F$6,3,FALSE()))</f>
        <v>0</v>
      </c>
      <c r="AK105" s="14" t="n">
        <f aca="false">IF(AH105=0,0,VLOOKUP(AH105,MIE_Components!$A$2:$F$6,4,FALSE()))</f>
        <v>0</v>
      </c>
      <c r="AL105" s="14" t="n">
        <f aca="false">IF(OR($A105="",AH105=0),0,MAX(5,AH105*IF(OR($A105=Parameters!$B$13,$A105=Parameters!$B$14),0.75,1)-(IF(AND($A105=DATE(2026,11,29),NOV29BF="Yes"),AI105,0)+IF(OR($A105=DATE(2026,11,29),$A105=DATE(2026,11,30),$A105=DATE(2026,12,1),$A105=DATE(2026,12,2)),AJ105,0)+IF(OR($A105=DATE(2026,11,28),$A105=DATE(2026,12,1)),AK105,0))))</f>
        <v>0</v>
      </c>
      <c r="AM105" s="14" t="n">
        <f aca="false">IF(AND($A105&lt;&gt;"",$A105&lt;Parameters!$B$14),CityData!F7*(1+TAXRATE),0)</f>
        <v>0</v>
      </c>
      <c r="AN105" s="14" t="n">
        <f aca="false">IF($A105="",0,IFERROR(VLOOKUP((YEAR($A105)+IF(MONTH($A105)&gt;=10,1,0))&amp;"|Seattle|"&amp;MONTH($A105),Rates!$A$2:$I$181,5,FALSE()),0))</f>
        <v>0</v>
      </c>
      <c r="AO105" s="14" t="n">
        <f aca="false">IF(OR($A105="",$A105&gt;=Parameters!$B$14),1,IF(AND(AN105&gt;0,CityData!F7&lt;=AN105),1,0))</f>
        <v>1</v>
      </c>
    </row>
    <row r="106" customFormat="false" ht="15" hidden="false" customHeight="true" outlineLevel="0" collapsed="false">
      <c r="A106" s="23" t="str">
        <f aca="false">IF(AND(Parameters!$B$14&gt;=Parameters!$B$13,ROW()-2&lt;=Parameters!$B$14-Parameters!$B$13),Parameters!$B$13+ROW()-2,"")</f>
        <v/>
      </c>
      <c r="B106" s="14" t="n">
        <f aca="false">IF($A106="",0,IFERROR(VLOOKUP((YEAR($A106)+IF(MONTH($A106)&gt;=10,1,0))&amp;"|Boston|"&amp;MONTH($A106),Rates!$A$2:$I$181,6,FALSE()),0))</f>
        <v>0</v>
      </c>
      <c r="C106" s="14" t="n">
        <f aca="false">IF(B106=0,0,VLOOKUP(B106,MIE_Components!$A$2:$F$6,2,FALSE()))</f>
        <v>0</v>
      </c>
      <c r="D106" s="14" t="n">
        <f aca="false">IF(B106=0,0,VLOOKUP(B106,MIE_Components!$A$2:$F$6,3,FALSE()))</f>
        <v>0</v>
      </c>
      <c r="E106" s="14" t="n">
        <f aca="false">IF(B106=0,0,VLOOKUP(B106,MIE_Components!$A$2:$F$6,4,FALSE()))</f>
        <v>0</v>
      </c>
      <c r="F106" s="14" t="n">
        <f aca="false">IF(OR($A106="",B106=0),0,MAX(5,B106*IF(OR($A106=Parameters!$B$13,$A106=Parameters!$B$14),0.75,1)-(IF(AND($A106=DATE(2026,11,29),NOV29BF="Yes"),C106,0)+IF(OR($A106=DATE(2026,11,29),$A106=DATE(2026,11,30),$A106=DATE(2026,12,1),$A106=DATE(2026,12,2)),D106,0)+IF(OR($A106=DATE(2026,11,28),$A106=DATE(2026,12,1)),E106,0))))</f>
        <v>0</v>
      </c>
      <c r="G106" s="14" t="n">
        <f aca="false">IF(AND($A106&lt;&gt;"",$A106&lt;Parameters!$B$14),CityData!F3*(1+TAXRATE),0)</f>
        <v>0</v>
      </c>
      <c r="H106" s="14" t="n">
        <f aca="false">IF($A106="",0,IFERROR(VLOOKUP((YEAR($A106)+IF(MONTH($A106)&gt;=10,1,0))&amp;"|Boston|"&amp;MONTH($A106),Rates!$A$2:$I$181,5,FALSE()),0))</f>
        <v>0</v>
      </c>
      <c r="I106" s="14" t="n">
        <f aca="false">IF(OR($A106="",$A106&gt;=Parameters!$B$14),1,IF(AND(H106&gt;0,CityData!F3&lt;=H106),1,0))</f>
        <v>1</v>
      </c>
      <c r="J106" s="14" t="n">
        <f aca="false">IF($A106="",0,IFERROR(VLOOKUP((YEAR($A106)+IF(MONTH($A106)&gt;=10,1,0))&amp;"|Chicago|"&amp;MONTH($A106),Rates!$A$2:$I$181,6,FALSE()),0))</f>
        <v>0</v>
      </c>
      <c r="K106" s="14" t="n">
        <f aca="false">IF(J106=0,0,VLOOKUP(J106,MIE_Components!$A$2:$F$6,2,FALSE()))</f>
        <v>0</v>
      </c>
      <c r="L106" s="14" t="n">
        <f aca="false">IF(J106=0,0,VLOOKUP(J106,MIE_Components!$A$2:$F$6,3,FALSE()))</f>
        <v>0</v>
      </c>
      <c r="M106" s="14" t="n">
        <f aca="false">IF(J106=0,0,VLOOKUP(J106,MIE_Components!$A$2:$F$6,4,FALSE()))</f>
        <v>0</v>
      </c>
      <c r="N106" s="14" t="n">
        <f aca="false">IF(OR($A106="",J106=0),0,MAX(5,J106*IF(OR($A106=Parameters!$B$13,$A106=Parameters!$B$14),0.75,1)-(IF(AND($A106=DATE(2026,11,29),NOV29BF="Yes"),K106,0)+IF(OR($A106=DATE(2026,11,29),$A106=DATE(2026,11,30),$A106=DATE(2026,12,1),$A106=DATE(2026,12,2)),L106,0)+IF(OR($A106=DATE(2026,11,28),$A106=DATE(2026,12,1)),M106,0))))</f>
        <v>0</v>
      </c>
      <c r="O106" s="14" t="n">
        <f aca="false">IF(AND($A106&lt;&gt;"",$A106&lt;Parameters!$B$14),CityData!F4*(1+TAXRATE),0)</f>
        <v>0</v>
      </c>
      <c r="P106" s="14" t="n">
        <f aca="false">IF($A106="",0,IFERROR(VLOOKUP((YEAR($A106)+IF(MONTH($A106)&gt;=10,1,0))&amp;"|Chicago|"&amp;MONTH($A106),Rates!$A$2:$I$181,5,FALSE()),0))</f>
        <v>0</v>
      </c>
      <c r="Q106" s="14" t="n">
        <f aca="false">IF(OR($A106="",$A106&gt;=Parameters!$B$14),1,IF(AND(P106&gt;0,CityData!F4&lt;=P106),1,0))</f>
        <v>1</v>
      </c>
      <c r="R106" s="14" t="n">
        <f aca="false">IF($A106="",0,IFERROR(VLOOKUP((YEAR($A106)+IF(MONTH($A106)&gt;=10,1,0))&amp;"|Denver|"&amp;MONTH($A106),Rates!$A$2:$I$181,6,FALSE()),0))</f>
        <v>0</v>
      </c>
      <c r="S106" s="14" t="n">
        <f aca="false">IF(R106=0,0,VLOOKUP(R106,MIE_Components!$A$2:$F$6,2,FALSE()))</f>
        <v>0</v>
      </c>
      <c r="T106" s="14" t="n">
        <f aca="false">IF(R106=0,0,VLOOKUP(R106,MIE_Components!$A$2:$F$6,3,FALSE()))</f>
        <v>0</v>
      </c>
      <c r="U106" s="14" t="n">
        <f aca="false">IF(R106=0,0,VLOOKUP(R106,MIE_Components!$A$2:$F$6,4,FALSE()))</f>
        <v>0</v>
      </c>
      <c r="V106" s="14" t="n">
        <f aca="false">IF(OR($A106="",R106=0),0,MAX(5,R106*IF(OR($A106=Parameters!$B$13,$A106=Parameters!$B$14),0.75,1)-(IF(AND($A106=DATE(2026,11,29),NOV29BF="Yes"),S106,0)+IF(OR($A106=DATE(2026,11,29),$A106=DATE(2026,11,30),$A106=DATE(2026,12,1),$A106=DATE(2026,12,2)),T106,0)+IF(OR($A106=DATE(2026,11,28),$A106=DATE(2026,12,1)),U106,0))))</f>
        <v>0</v>
      </c>
      <c r="W106" s="14" t="n">
        <f aca="false">IF(AND($A106&lt;&gt;"",$A106&lt;Parameters!$B$14),CityData!F5*(1+TAXRATE),0)</f>
        <v>0</v>
      </c>
      <c r="X106" s="14" t="n">
        <f aca="false">IF($A106="",0,IFERROR(VLOOKUP((YEAR($A106)+IF(MONTH($A106)&gt;=10,1,0))&amp;"|Denver|"&amp;MONTH($A106),Rates!$A$2:$I$181,5,FALSE()),0))</f>
        <v>0</v>
      </c>
      <c r="Y106" s="14" t="n">
        <f aca="false">IF(OR($A106="",$A106&gt;=Parameters!$B$14),1,IF(AND(X106&gt;0,CityData!F5&lt;=X106),1,0))</f>
        <v>1</v>
      </c>
      <c r="Z106" s="14" t="n">
        <f aca="false">IF($A106="",0,IFERROR(VLOOKUP((YEAR($A106)+IF(MONTH($A106)&gt;=10,1,0))&amp;"|Phoenix|"&amp;MONTH($A106),Rates!$A$2:$I$181,6,FALSE()),0))</f>
        <v>0</v>
      </c>
      <c r="AA106" s="14" t="n">
        <f aca="false">IF(Z106=0,0,VLOOKUP(Z106,MIE_Components!$A$2:$F$6,2,FALSE()))</f>
        <v>0</v>
      </c>
      <c r="AB106" s="14" t="n">
        <f aca="false">IF(Z106=0,0,VLOOKUP(Z106,MIE_Components!$A$2:$F$6,3,FALSE()))</f>
        <v>0</v>
      </c>
      <c r="AC106" s="14" t="n">
        <f aca="false">IF(Z106=0,0,VLOOKUP(Z106,MIE_Components!$A$2:$F$6,4,FALSE()))</f>
        <v>0</v>
      </c>
      <c r="AD106" s="14" t="n">
        <f aca="false">IF(OR($A106="",Z106=0),0,MAX(5,Z106*IF(OR($A106=Parameters!$B$13,$A106=Parameters!$B$14),0.75,1)-(IF(AND($A106=DATE(2026,11,29),NOV29BF="Yes"),AA106,0)+IF(OR($A106=DATE(2026,11,29),$A106=DATE(2026,11,30),$A106=DATE(2026,12,1),$A106=DATE(2026,12,2)),AB106,0)+IF(OR($A106=DATE(2026,11,28),$A106=DATE(2026,12,1)),AC106,0))))</f>
        <v>0</v>
      </c>
      <c r="AE106" s="14" t="n">
        <f aca="false">IF(AND($A106&lt;&gt;"",$A106&lt;Parameters!$B$14),CityData!F6*(1+TAXRATE),0)</f>
        <v>0</v>
      </c>
      <c r="AF106" s="14" t="n">
        <f aca="false">IF($A106="",0,IFERROR(VLOOKUP((YEAR($A106)+IF(MONTH($A106)&gt;=10,1,0))&amp;"|Phoenix|"&amp;MONTH($A106),Rates!$A$2:$I$181,5,FALSE()),0))</f>
        <v>0</v>
      </c>
      <c r="AG106" s="14" t="n">
        <f aca="false">IF(OR($A106="",$A106&gt;=Parameters!$B$14),1,IF(AND(AF106&gt;0,CityData!F6&lt;=AF106),1,0))</f>
        <v>1</v>
      </c>
      <c r="AH106" s="14" t="n">
        <f aca="false">IF($A106="",0,IFERROR(VLOOKUP((YEAR($A106)+IF(MONTH($A106)&gt;=10,1,0))&amp;"|Seattle|"&amp;MONTH($A106),Rates!$A$2:$I$181,6,FALSE()),0))</f>
        <v>0</v>
      </c>
      <c r="AI106" s="14" t="n">
        <f aca="false">IF(AH106=0,0,VLOOKUP(AH106,MIE_Components!$A$2:$F$6,2,FALSE()))</f>
        <v>0</v>
      </c>
      <c r="AJ106" s="14" t="n">
        <f aca="false">IF(AH106=0,0,VLOOKUP(AH106,MIE_Components!$A$2:$F$6,3,FALSE()))</f>
        <v>0</v>
      </c>
      <c r="AK106" s="14" t="n">
        <f aca="false">IF(AH106=0,0,VLOOKUP(AH106,MIE_Components!$A$2:$F$6,4,FALSE()))</f>
        <v>0</v>
      </c>
      <c r="AL106" s="14" t="n">
        <f aca="false">IF(OR($A106="",AH106=0),0,MAX(5,AH106*IF(OR($A106=Parameters!$B$13,$A106=Parameters!$B$14),0.75,1)-(IF(AND($A106=DATE(2026,11,29),NOV29BF="Yes"),AI106,0)+IF(OR($A106=DATE(2026,11,29),$A106=DATE(2026,11,30),$A106=DATE(2026,12,1),$A106=DATE(2026,12,2)),AJ106,0)+IF(OR($A106=DATE(2026,11,28),$A106=DATE(2026,12,1)),AK106,0))))</f>
        <v>0</v>
      </c>
      <c r="AM106" s="14" t="n">
        <f aca="false">IF(AND($A106&lt;&gt;"",$A106&lt;Parameters!$B$14),CityData!F7*(1+TAXRATE),0)</f>
        <v>0</v>
      </c>
      <c r="AN106" s="14" t="n">
        <f aca="false">IF($A106="",0,IFERROR(VLOOKUP((YEAR($A106)+IF(MONTH($A106)&gt;=10,1,0))&amp;"|Seattle|"&amp;MONTH($A106),Rates!$A$2:$I$181,5,FALSE()),0))</f>
        <v>0</v>
      </c>
      <c r="AO106" s="14" t="n">
        <f aca="false">IF(OR($A106="",$A106&gt;=Parameters!$B$14),1,IF(AND(AN106&gt;0,CityData!F7&lt;=AN106),1,0))</f>
        <v>1</v>
      </c>
    </row>
    <row r="107" customFormat="false" ht="15" hidden="false" customHeight="true" outlineLevel="0" collapsed="false">
      <c r="A107" s="23" t="str">
        <f aca="false">IF(AND(Parameters!$B$14&gt;=Parameters!$B$13,ROW()-2&lt;=Parameters!$B$14-Parameters!$B$13),Parameters!$B$13+ROW()-2,"")</f>
        <v/>
      </c>
      <c r="B107" s="14" t="n">
        <f aca="false">IF($A107="",0,IFERROR(VLOOKUP((YEAR($A107)+IF(MONTH($A107)&gt;=10,1,0))&amp;"|Boston|"&amp;MONTH($A107),Rates!$A$2:$I$181,6,FALSE()),0))</f>
        <v>0</v>
      </c>
      <c r="C107" s="14" t="n">
        <f aca="false">IF(B107=0,0,VLOOKUP(B107,MIE_Components!$A$2:$F$6,2,FALSE()))</f>
        <v>0</v>
      </c>
      <c r="D107" s="14" t="n">
        <f aca="false">IF(B107=0,0,VLOOKUP(B107,MIE_Components!$A$2:$F$6,3,FALSE()))</f>
        <v>0</v>
      </c>
      <c r="E107" s="14" t="n">
        <f aca="false">IF(B107=0,0,VLOOKUP(B107,MIE_Components!$A$2:$F$6,4,FALSE()))</f>
        <v>0</v>
      </c>
      <c r="F107" s="14" t="n">
        <f aca="false">IF(OR($A107="",B107=0),0,MAX(5,B107*IF(OR($A107=Parameters!$B$13,$A107=Parameters!$B$14),0.75,1)-(IF(AND($A107=DATE(2026,11,29),NOV29BF="Yes"),C107,0)+IF(OR($A107=DATE(2026,11,29),$A107=DATE(2026,11,30),$A107=DATE(2026,12,1),$A107=DATE(2026,12,2)),D107,0)+IF(OR($A107=DATE(2026,11,28),$A107=DATE(2026,12,1)),E107,0))))</f>
        <v>0</v>
      </c>
      <c r="G107" s="14" t="n">
        <f aca="false">IF(AND($A107&lt;&gt;"",$A107&lt;Parameters!$B$14),CityData!F3*(1+TAXRATE),0)</f>
        <v>0</v>
      </c>
      <c r="H107" s="14" t="n">
        <f aca="false">IF($A107="",0,IFERROR(VLOOKUP((YEAR($A107)+IF(MONTH($A107)&gt;=10,1,0))&amp;"|Boston|"&amp;MONTH($A107),Rates!$A$2:$I$181,5,FALSE()),0))</f>
        <v>0</v>
      </c>
      <c r="I107" s="14" t="n">
        <f aca="false">IF(OR($A107="",$A107&gt;=Parameters!$B$14),1,IF(AND(H107&gt;0,CityData!F3&lt;=H107),1,0))</f>
        <v>1</v>
      </c>
      <c r="J107" s="14" t="n">
        <f aca="false">IF($A107="",0,IFERROR(VLOOKUP((YEAR($A107)+IF(MONTH($A107)&gt;=10,1,0))&amp;"|Chicago|"&amp;MONTH($A107),Rates!$A$2:$I$181,6,FALSE()),0))</f>
        <v>0</v>
      </c>
      <c r="K107" s="14" t="n">
        <f aca="false">IF(J107=0,0,VLOOKUP(J107,MIE_Components!$A$2:$F$6,2,FALSE()))</f>
        <v>0</v>
      </c>
      <c r="L107" s="14" t="n">
        <f aca="false">IF(J107=0,0,VLOOKUP(J107,MIE_Components!$A$2:$F$6,3,FALSE()))</f>
        <v>0</v>
      </c>
      <c r="M107" s="14" t="n">
        <f aca="false">IF(J107=0,0,VLOOKUP(J107,MIE_Components!$A$2:$F$6,4,FALSE()))</f>
        <v>0</v>
      </c>
      <c r="N107" s="14" t="n">
        <f aca="false">IF(OR($A107="",J107=0),0,MAX(5,J107*IF(OR($A107=Parameters!$B$13,$A107=Parameters!$B$14),0.75,1)-(IF(AND($A107=DATE(2026,11,29),NOV29BF="Yes"),K107,0)+IF(OR($A107=DATE(2026,11,29),$A107=DATE(2026,11,30),$A107=DATE(2026,12,1),$A107=DATE(2026,12,2)),L107,0)+IF(OR($A107=DATE(2026,11,28),$A107=DATE(2026,12,1)),M107,0))))</f>
        <v>0</v>
      </c>
      <c r="O107" s="14" t="n">
        <f aca="false">IF(AND($A107&lt;&gt;"",$A107&lt;Parameters!$B$14),CityData!F4*(1+TAXRATE),0)</f>
        <v>0</v>
      </c>
      <c r="P107" s="14" t="n">
        <f aca="false">IF($A107="",0,IFERROR(VLOOKUP((YEAR($A107)+IF(MONTH($A107)&gt;=10,1,0))&amp;"|Chicago|"&amp;MONTH($A107),Rates!$A$2:$I$181,5,FALSE()),0))</f>
        <v>0</v>
      </c>
      <c r="Q107" s="14" t="n">
        <f aca="false">IF(OR($A107="",$A107&gt;=Parameters!$B$14),1,IF(AND(P107&gt;0,CityData!F4&lt;=P107),1,0))</f>
        <v>1</v>
      </c>
      <c r="R107" s="14" t="n">
        <f aca="false">IF($A107="",0,IFERROR(VLOOKUP((YEAR($A107)+IF(MONTH($A107)&gt;=10,1,0))&amp;"|Denver|"&amp;MONTH($A107),Rates!$A$2:$I$181,6,FALSE()),0))</f>
        <v>0</v>
      </c>
      <c r="S107" s="14" t="n">
        <f aca="false">IF(R107=0,0,VLOOKUP(R107,MIE_Components!$A$2:$F$6,2,FALSE()))</f>
        <v>0</v>
      </c>
      <c r="T107" s="14" t="n">
        <f aca="false">IF(R107=0,0,VLOOKUP(R107,MIE_Components!$A$2:$F$6,3,FALSE()))</f>
        <v>0</v>
      </c>
      <c r="U107" s="14" t="n">
        <f aca="false">IF(R107=0,0,VLOOKUP(R107,MIE_Components!$A$2:$F$6,4,FALSE()))</f>
        <v>0</v>
      </c>
      <c r="V107" s="14" t="n">
        <f aca="false">IF(OR($A107="",R107=0),0,MAX(5,R107*IF(OR($A107=Parameters!$B$13,$A107=Parameters!$B$14),0.75,1)-(IF(AND($A107=DATE(2026,11,29),NOV29BF="Yes"),S107,0)+IF(OR($A107=DATE(2026,11,29),$A107=DATE(2026,11,30),$A107=DATE(2026,12,1),$A107=DATE(2026,12,2)),T107,0)+IF(OR($A107=DATE(2026,11,28),$A107=DATE(2026,12,1)),U107,0))))</f>
        <v>0</v>
      </c>
      <c r="W107" s="14" t="n">
        <f aca="false">IF(AND($A107&lt;&gt;"",$A107&lt;Parameters!$B$14),CityData!F5*(1+TAXRATE),0)</f>
        <v>0</v>
      </c>
      <c r="X107" s="14" t="n">
        <f aca="false">IF($A107="",0,IFERROR(VLOOKUP((YEAR($A107)+IF(MONTH($A107)&gt;=10,1,0))&amp;"|Denver|"&amp;MONTH($A107),Rates!$A$2:$I$181,5,FALSE()),0))</f>
        <v>0</v>
      </c>
      <c r="Y107" s="14" t="n">
        <f aca="false">IF(OR($A107="",$A107&gt;=Parameters!$B$14),1,IF(AND(X107&gt;0,CityData!F5&lt;=X107),1,0))</f>
        <v>1</v>
      </c>
      <c r="Z107" s="14" t="n">
        <f aca="false">IF($A107="",0,IFERROR(VLOOKUP((YEAR($A107)+IF(MONTH($A107)&gt;=10,1,0))&amp;"|Phoenix|"&amp;MONTH($A107),Rates!$A$2:$I$181,6,FALSE()),0))</f>
        <v>0</v>
      </c>
      <c r="AA107" s="14" t="n">
        <f aca="false">IF(Z107=0,0,VLOOKUP(Z107,MIE_Components!$A$2:$F$6,2,FALSE()))</f>
        <v>0</v>
      </c>
      <c r="AB107" s="14" t="n">
        <f aca="false">IF(Z107=0,0,VLOOKUP(Z107,MIE_Components!$A$2:$F$6,3,FALSE()))</f>
        <v>0</v>
      </c>
      <c r="AC107" s="14" t="n">
        <f aca="false">IF(Z107=0,0,VLOOKUP(Z107,MIE_Components!$A$2:$F$6,4,FALSE()))</f>
        <v>0</v>
      </c>
      <c r="AD107" s="14" t="n">
        <f aca="false">IF(OR($A107="",Z107=0),0,MAX(5,Z107*IF(OR($A107=Parameters!$B$13,$A107=Parameters!$B$14),0.75,1)-(IF(AND($A107=DATE(2026,11,29),NOV29BF="Yes"),AA107,0)+IF(OR($A107=DATE(2026,11,29),$A107=DATE(2026,11,30),$A107=DATE(2026,12,1),$A107=DATE(2026,12,2)),AB107,0)+IF(OR($A107=DATE(2026,11,28),$A107=DATE(2026,12,1)),AC107,0))))</f>
        <v>0</v>
      </c>
      <c r="AE107" s="14" t="n">
        <f aca="false">IF(AND($A107&lt;&gt;"",$A107&lt;Parameters!$B$14),CityData!F6*(1+TAXRATE),0)</f>
        <v>0</v>
      </c>
      <c r="AF107" s="14" t="n">
        <f aca="false">IF($A107="",0,IFERROR(VLOOKUP((YEAR($A107)+IF(MONTH($A107)&gt;=10,1,0))&amp;"|Phoenix|"&amp;MONTH($A107),Rates!$A$2:$I$181,5,FALSE()),0))</f>
        <v>0</v>
      </c>
      <c r="AG107" s="14" t="n">
        <f aca="false">IF(OR($A107="",$A107&gt;=Parameters!$B$14),1,IF(AND(AF107&gt;0,CityData!F6&lt;=AF107),1,0))</f>
        <v>1</v>
      </c>
      <c r="AH107" s="14" t="n">
        <f aca="false">IF($A107="",0,IFERROR(VLOOKUP((YEAR($A107)+IF(MONTH($A107)&gt;=10,1,0))&amp;"|Seattle|"&amp;MONTH($A107),Rates!$A$2:$I$181,6,FALSE()),0))</f>
        <v>0</v>
      </c>
      <c r="AI107" s="14" t="n">
        <f aca="false">IF(AH107=0,0,VLOOKUP(AH107,MIE_Components!$A$2:$F$6,2,FALSE()))</f>
        <v>0</v>
      </c>
      <c r="AJ107" s="14" t="n">
        <f aca="false">IF(AH107=0,0,VLOOKUP(AH107,MIE_Components!$A$2:$F$6,3,FALSE()))</f>
        <v>0</v>
      </c>
      <c r="AK107" s="14" t="n">
        <f aca="false">IF(AH107=0,0,VLOOKUP(AH107,MIE_Components!$A$2:$F$6,4,FALSE()))</f>
        <v>0</v>
      </c>
      <c r="AL107" s="14" t="n">
        <f aca="false">IF(OR($A107="",AH107=0),0,MAX(5,AH107*IF(OR($A107=Parameters!$B$13,$A107=Parameters!$B$14),0.75,1)-(IF(AND($A107=DATE(2026,11,29),NOV29BF="Yes"),AI107,0)+IF(OR($A107=DATE(2026,11,29),$A107=DATE(2026,11,30),$A107=DATE(2026,12,1),$A107=DATE(2026,12,2)),AJ107,0)+IF(OR($A107=DATE(2026,11,28),$A107=DATE(2026,12,1)),AK107,0))))</f>
        <v>0</v>
      </c>
      <c r="AM107" s="14" t="n">
        <f aca="false">IF(AND($A107&lt;&gt;"",$A107&lt;Parameters!$B$14),CityData!F7*(1+TAXRATE),0)</f>
        <v>0</v>
      </c>
      <c r="AN107" s="14" t="n">
        <f aca="false">IF($A107="",0,IFERROR(VLOOKUP((YEAR($A107)+IF(MONTH($A107)&gt;=10,1,0))&amp;"|Seattle|"&amp;MONTH($A107),Rates!$A$2:$I$181,5,FALSE()),0))</f>
        <v>0</v>
      </c>
      <c r="AO107" s="14" t="n">
        <f aca="false">IF(OR($A107="",$A107&gt;=Parameters!$B$14),1,IF(AND(AN107&gt;0,CityData!F7&lt;=AN107),1,0))</f>
        <v>1</v>
      </c>
    </row>
    <row r="108" customFormat="false" ht="15" hidden="false" customHeight="true" outlineLevel="0" collapsed="false">
      <c r="A108" s="23" t="str">
        <f aca="false">IF(AND(Parameters!$B$14&gt;=Parameters!$B$13,ROW()-2&lt;=Parameters!$B$14-Parameters!$B$13),Parameters!$B$13+ROW()-2,"")</f>
        <v/>
      </c>
      <c r="B108" s="14" t="n">
        <f aca="false">IF($A108="",0,IFERROR(VLOOKUP((YEAR($A108)+IF(MONTH($A108)&gt;=10,1,0))&amp;"|Boston|"&amp;MONTH($A108),Rates!$A$2:$I$181,6,FALSE()),0))</f>
        <v>0</v>
      </c>
      <c r="C108" s="14" t="n">
        <f aca="false">IF(B108=0,0,VLOOKUP(B108,MIE_Components!$A$2:$F$6,2,FALSE()))</f>
        <v>0</v>
      </c>
      <c r="D108" s="14" t="n">
        <f aca="false">IF(B108=0,0,VLOOKUP(B108,MIE_Components!$A$2:$F$6,3,FALSE()))</f>
        <v>0</v>
      </c>
      <c r="E108" s="14" t="n">
        <f aca="false">IF(B108=0,0,VLOOKUP(B108,MIE_Components!$A$2:$F$6,4,FALSE()))</f>
        <v>0</v>
      </c>
      <c r="F108" s="14" t="n">
        <f aca="false">IF(OR($A108="",B108=0),0,MAX(5,B108*IF(OR($A108=Parameters!$B$13,$A108=Parameters!$B$14),0.75,1)-(IF(AND($A108=DATE(2026,11,29),NOV29BF="Yes"),C108,0)+IF(OR($A108=DATE(2026,11,29),$A108=DATE(2026,11,30),$A108=DATE(2026,12,1),$A108=DATE(2026,12,2)),D108,0)+IF(OR($A108=DATE(2026,11,28),$A108=DATE(2026,12,1)),E108,0))))</f>
        <v>0</v>
      </c>
      <c r="G108" s="14" t="n">
        <f aca="false">IF(AND($A108&lt;&gt;"",$A108&lt;Parameters!$B$14),CityData!F3*(1+TAXRATE),0)</f>
        <v>0</v>
      </c>
      <c r="H108" s="14" t="n">
        <f aca="false">IF($A108="",0,IFERROR(VLOOKUP((YEAR($A108)+IF(MONTH($A108)&gt;=10,1,0))&amp;"|Boston|"&amp;MONTH($A108),Rates!$A$2:$I$181,5,FALSE()),0))</f>
        <v>0</v>
      </c>
      <c r="I108" s="14" t="n">
        <f aca="false">IF(OR($A108="",$A108&gt;=Parameters!$B$14),1,IF(AND(H108&gt;0,CityData!F3&lt;=H108),1,0))</f>
        <v>1</v>
      </c>
      <c r="J108" s="14" t="n">
        <f aca="false">IF($A108="",0,IFERROR(VLOOKUP((YEAR($A108)+IF(MONTH($A108)&gt;=10,1,0))&amp;"|Chicago|"&amp;MONTH($A108),Rates!$A$2:$I$181,6,FALSE()),0))</f>
        <v>0</v>
      </c>
      <c r="K108" s="14" t="n">
        <f aca="false">IF(J108=0,0,VLOOKUP(J108,MIE_Components!$A$2:$F$6,2,FALSE()))</f>
        <v>0</v>
      </c>
      <c r="L108" s="14" t="n">
        <f aca="false">IF(J108=0,0,VLOOKUP(J108,MIE_Components!$A$2:$F$6,3,FALSE()))</f>
        <v>0</v>
      </c>
      <c r="M108" s="14" t="n">
        <f aca="false">IF(J108=0,0,VLOOKUP(J108,MIE_Components!$A$2:$F$6,4,FALSE()))</f>
        <v>0</v>
      </c>
      <c r="N108" s="14" t="n">
        <f aca="false">IF(OR($A108="",J108=0),0,MAX(5,J108*IF(OR($A108=Parameters!$B$13,$A108=Parameters!$B$14),0.75,1)-(IF(AND($A108=DATE(2026,11,29),NOV29BF="Yes"),K108,0)+IF(OR($A108=DATE(2026,11,29),$A108=DATE(2026,11,30),$A108=DATE(2026,12,1),$A108=DATE(2026,12,2)),L108,0)+IF(OR($A108=DATE(2026,11,28),$A108=DATE(2026,12,1)),M108,0))))</f>
        <v>0</v>
      </c>
      <c r="O108" s="14" t="n">
        <f aca="false">IF(AND($A108&lt;&gt;"",$A108&lt;Parameters!$B$14),CityData!F4*(1+TAXRATE),0)</f>
        <v>0</v>
      </c>
      <c r="P108" s="14" t="n">
        <f aca="false">IF($A108="",0,IFERROR(VLOOKUP((YEAR($A108)+IF(MONTH($A108)&gt;=10,1,0))&amp;"|Chicago|"&amp;MONTH($A108),Rates!$A$2:$I$181,5,FALSE()),0))</f>
        <v>0</v>
      </c>
      <c r="Q108" s="14" t="n">
        <f aca="false">IF(OR($A108="",$A108&gt;=Parameters!$B$14),1,IF(AND(P108&gt;0,CityData!F4&lt;=P108),1,0))</f>
        <v>1</v>
      </c>
      <c r="R108" s="14" t="n">
        <f aca="false">IF($A108="",0,IFERROR(VLOOKUP((YEAR($A108)+IF(MONTH($A108)&gt;=10,1,0))&amp;"|Denver|"&amp;MONTH($A108),Rates!$A$2:$I$181,6,FALSE()),0))</f>
        <v>0</v>
      </c>
      <c r="S108" s="14" t="n">
        <f aca="false">IF(R108=0,0,VLOOKUP(R108,MIE_Components!$A$2:$F$6,2,FALSE()))</f>
        <v>0</v>
      </c>
      <c r="T108" s="14" t="n">
        <f aca="false">IF(R108=0,0,VLOOKUP(R108,MIE_Components!$A$2:$F$6,3,FALSE()))</f>
        <v>0</v>
      </c>
      <c r="U108" s="14" t="n">
        <f aca="false">IF(R108=0,0,VLOOKUP(R108,MIE_Components!$A$2:$F$6,4,FALSE()))</f>
        <v>0</v>
      </c>
      <c r="V108" s="14" t="n">
        <f aca="false">IF(OR($A108="",R108=0),0,MAX(5,R108*IF(OR($A108=Parameters!$B$13,$A108=Parameters!$B$14),0.75,1)-(IF(AND($A108=DATE(2026,11,29),NOV29BF="Yes"),S108,0)+IF(OR($A108=DATE(2026,11,29),$A108=DATE(2026,11,30),$A108=DATE(2026,12,1),$A108=DATE(2026,12,2)),T108,0)+IF(OR($A108=DATE(2026,11,28),$A108=DATE(2026,12,1)),U108,0))))</f>
        <v>0</v>
      </c>
      <c r="W108" s="14" t="n">
        <f aca="false">IF(AND($A108&lt;&gt;"",$A108&lt;Parameters!$B$14),CityData!F5*(1+TAXRATE),0)</f>
        <v>0</v>
      </c>
      <c r="X108" s="14" t="n">
        <f aca="false">IF($A108="",0,IFERROR(VLOOKUP((YEAR($A108)+IF(MONTH($A108)&gt;=10,1,0))&amp;"|Denver|"&amp;MONTH($A108),Rates!$A$2:$I$181,5,FALSE()),0))</f>
        <v>0</v>
      </c>
      <c r="Y108" s="14" t="n">
        <f aca="false">IF(OR($A108="",$A108&gt;=Parameters!$B$14),1,IF(AND(X108&gt;0,CityData!F5&lt;=X108),1,0))</f>
        <v>1</v>
      </c>
      <c r="Z108" s="14" t="n">
        <f aca="false">IF($A108="",0,IFERROR(VLOOKUP((YEAR($A108)+IF(MONTH($A108)&gt;=10,1,0))&amp;"|Phoenix|"&amp;MONTH($A108),Rates!$A$2:$I$181,6,FALSE()),0))</f>
        <v>0</v>
      </c>
      <c r="AA108" s="14" t="n">
        <f aca="false">IF(Z108=0,0,VLOOKUP(Z108,MIE_Components!$A$2:$F$6,2,FALSE()))</f>
        <v>0</v>
      </c>
      <c r="AB108" s="14" t="n">
        <f aca="false">IF(Z108=0,0,VLOOKUP(Z108,MIE_Components!$A$2:$F$6,3,FALSE()))</f>
        <v>0</v>
      </c>
      <c r="AC108" s="14" t="n">
        <f aca="false">IF(Z108=0,0,VLOOKUP(Z108,MIE_Components!$A$2:$F$6,4,FALSE()))</f>
        <v>0</v>
      </c>
      <c r="AD108" s="14" t="n">
        <f aca="false">IF(OR($A108="",Z108=0),0,MAX(5,Z108*IF(OR($A108=Parameters!$B$13,$A108=Parameters!$B$14),0.75,1)-(IF(AND($A108=DATE(2026,11,29),NOV29BF="Yes"),AA108,0)+IF(OR($A108=DATE(2026,11,29),$A108=DATE(2026,11,30),$A108=DATE(2026,12,1),$A108=DATE(2026,12,2)),AB108,0)+IF(OR($A108=DATE(2026,11,28),$A108=DATE(2026,12,1)),AC108,0))))</f>
        <v>0</v>
      </c>
      <c r="AE108" s="14" t="n">
        <f aca="false">IF(AND($A108&lt;&gt;"",$A108&lt;Parameters!$B$14),CityData!F6*(1+TAXRATE),0)</f>
        <v>0</v>
      </c>
      <c r="AF108" s="14" t="n">
        <f aca="false">IF($A108="",0,IFERROR(VLOOKUP((YEAR($A108)+IF(MONTH($A108)&gt;=10,1,0))&amp;"|Phoenix|"&amp;MONTH($A108),Rates!$A$2:$I$181,5,FALSE()),0))</f>
        <v>0</v>
      </c>
      <c r="AG108" s="14" t="n">
        <f aca="false">IF(OR($A108="",$A108&gt;=Parameters!$B$14),1,IF(AND(AF108&gt;0,CityData!F6&lt;=AF108),1,0))</f>
        <v>1</v>
      </c>
      <c r="AH108" s="14" t="n">
        <f aca="false">IF($A108="",0,IFERROR(VLOOKUP((YEAR($A108)+IF(MONTH($A108)&gt;=10,1,0))&amp;"|Seattle|"&amp;MONTH($A108),Rates!$A$2:$I$181,6,FALSE()),0))</f>
        <v>0</v>
      </c>
      <c r="AI108" s="14" t="n">
        <f aca="false">IF(AH108=0,0,VLOOKUP(AH108,MIE_Components!$A$2:$F$6,2,FALSE()))</f>
        <v>0</v>
      </c>
      <c r="AJ108" s="14" t="n">
        <f aca="false">IF(AH108=0,0,VLOOKUP(AH108,MIE_Components!$A$2:$F$6,3,FALSE()))</f>
        <v>0</v>
      </c>
      <c r="AK108" s="14" t="n">
        <f aca="false">IF(AH108=0,0,VLOOKUP(AH108,MIE_Components!$A$2:$F$6,4,FALSE()))</f>
        <v>0</v>
      </c>
      <c r="AL108" s="14" t="n">
        <f aca="false">IF(OR($A108="",AH108=0),0,MAX(5,AH108*IF(OR($A108=Parameters!$B$13,$A108=Parameters!$B$14),0.75,1)-(IF(AND($A108=DATE(2026,11,29),NOV29BF="Yes"),AI108,0)+IF(OR($A108=DATE(2026,11,29),$A108=DATE(2026,11,30),$A108=DATE(2026,12,1),$A108=DATE(2026,12,2)),AJ108,0)+IF(OR($A108=DATE(2026,11,28),$A108=DATE(2026,12,1)),AK108,0))))</f>
        <v>0</v>
      </c>
      <c r="AM108" s="14" t="n">
        <f aca="false">IF(AND($A108&lt;&gt;"",$A108&lt;Parameters!$B$14),CityData!F7*(1+TAXRATE),0)</f>
        <v>0</v>
      </c>
      <c r="AN108" s="14" t="n">
        <f aca="false">IF($A108="",0,IFERROR(VLOOKUP((YEAR($A108)+IF(MONTH($A108)&gt;=10,1,0))&amp;"|Seattle|"&amp;MONTH($A108),Rates!$A$2:$I$181,5,FALSE()),0))</f>
        <v>0</v>
      </c>
      <c r="AO108" s="14" t="n">
        <f aca="false">IF(OR($A108="",$A108&gt;=Parameters!$B$14),1,IF(AND(AN108&gt;0,CityData!F7&lt;=AN108),1,0))</f>
        <v>1</v>
      </c>
    </row>
    <row r="109" customFormat="false" ht="15" hidden="false" customHeight="true" outlineLevel="0" collapsed="false">
      <c r="A109" s="23" t="str">
        <f aca="false">IF(AND(Parameters!$B$14&gt;=Parameters!$B$13,ROW()-2&lt;=Parameters!$B$14-Parameters!$B$13),Parameters!$B$13+ROW()-2,"")</f>
        <v/>
      </c>
      <c r="B109" s="14" t="n">
        <f aca="false">IF($A109="",0,IFERROR(VLOOKUP((YEAR($A109)+IF(MONTH($A109)&gt;=10,1,0))&amp;"|Boston|"&amp;MONTH($A109),Rates!$A$2:$I$181,6,FALSE()),0))</f>
        <v>0</v>
      </c>
      <c r="C109" s="14" t="n">
        <f aca="false">IF(B109=0,0,VLOOKUP(B109,MIE_Components!$A$2:$F$6,2,FALSE()))</f>
        <v>0</v>
      </c>
      <c r="D109" s="14" t="n">
        <f aca="false">IF(B109=0,0,VLOOKUP(B109,MIE_Components!$A$2:$F$6,3,FALSE()))</f>
        <v>0</v>
      </c>
      <c r="E109" s="14" t="n">
        <f aca="false">IF(B109=0,0,VLOOKUP(B109,MIE_Components!$A$2:$F$6,4,FALSE()))</f>
        <v>0</v>
      </c>
      <c r="F109" s="14" t="n">
        <f aca="false">IF(OR($A109="",B109=0),0,MAX(5,B109*IF(OR($A109=Parameters!$B$13,$A109=Parameters!$B$14),0.75,1)-(IF(AND($A109=DATE(2026,11,29),NOV29BF="Yes"),C109,0)+IF(OR($A109=DATE(2026,11,29),$A109=DATE(2026,11,30),$A109=DATE(2026,12,1),$A109=DATE(2026,12,2)),D109,0)+IF(OR($A109=DATE(2026,11,28),$A109=DATE(2026,12,1)),E109,0))))</f>
        <v>0</v>
      </c>
      <c r="G109" s="14" t="n">
        <f aca="false">IF(AND($A109&lt;&gt;"",$A109&lt;Parameters!$B$14),CityData!F3*(1+TAXRATE),0)</f>
        <v>0</v>
      </c>
      <c r="H109" s="14" t="n">
        <f aca="false">IF($A109="",0,IFERROR(VLOOKUP((YEAR($A109)+IF(MONTH($A109)&gt;=10,1,0))&amp;"|Boston|"&amp;MONTH($A109),Rates!$A$2:$I$181,5,FALSE()),0))</f>
        <v>0</v>
      </c>
      <c r="I109" s="14" t="n">
        <f aca="false">IF(OR($A109="",$A109&gt;=Parameters!$B$14),1,IF(AND(H109&gt;0,CityData!F3&lt;=H109),1,0))</f>
        <v>1</v>
      </c>
      <c r="J109" s="14" t="n">
        <f aca="false">IF($A109="",0,IFERROR(VLOOKUP((YEAR($A109)+IF(MONTH($A109)&gt;=10,1,0))&amp;"|Chicago|"&amp;MONTH($A109),Rates!$A$2:$I$181,6,FALSE()),0))</f>
        <v>0</v>
      </c>
      <c r="K109" s="14" t="n">
        <f aca="false">IF(J109=0,0,VLOOKUP(J109,MIE_Components!$A$2:$F$6,2,FALSE()))</f>
        <v>0</v>
      </c>
      <c r="L109" s="14" t="n">
        <f aca="false">IF(J109=0,0,VLOOKUP(J109,MIE_Components!$A$2:$F$6,3,FALSE()))</f>
        <v>0</v>
      </c>
      <c r="M109" s="14" t="n">
        <f aca="false">IF(J109=0,0,VLOOKUP(J109,MIE_Components!$A$2:$F$6,4,FALSE()))</f>
        <v>0</v>
      </c>
      <c r="N109" s="14" t="n">
        <f aca="false">IF(OR($A109="",J109=0),0,MAX(5,J109*IF(OR($A109=Parameters!$B$13,$A109=Parameters!$B$14),0.75,1)-(IF(AND($A109=DATE(2026,11,29),NOV29BF="Yes"),K109,0)+IF(OR($A109=DATE(2026,11,29),$A109=DATE(2026,11,30),$A109=DATE(2026,12,1),$A109=DATE(2026,12,2)),L109,0)+IF(OR($A109=DATE(2026,11,28),$A109=DATE(2026,12,1)),M109,0))))</f>
        <v>0</v>
      </c>
      <c r="O109" s="14" t="n">
        <f aca="false">IF(AND($A109&lt;&gt;"",$A109&lt;Parameters!$B$14),CityData!F4*(1+TAXRATE),0)</f>
        <v>0</v>
      </c>
      <c r="P109" s="14" t="n">
        <f aca="false">IF($A109="",0,IFERROR(VLOOKUP((YEAR($A109)+IF(MONTH($A109)&gt;=10,1,0))&amp;"|Chicago|"&amp;MONTH($A109),Rates!$A$2:$I$181,5,FALSE()),0))</f>
        <v>0</v>
      </c>
      <c r="Q109" s="14" t="n">
        <f aca="false">IF(OR($A109="",$A109&gt;=Parameters!$B$14),1,IF(AND(P109&gt;0,CityData!F4&lt;=P109),1,0))</f>
        <v>1</v>
      </c>
      <c r="R109" s="14" t="n">
        <f aca="false">IF($A109="",0,IFERROR(VLOOKUP((YEAR($A109)+IF(MONTH($A109)&gt;=10,1,0))&amp;"|Denver|"&amp;MONTH($A109),Rates!$A$2:$I$181,6,FALSE()),0))</f>
        <v>0</v>
      </c>
      <c r="S109" s="14" t="n">
        <f aca="false">IF(R109=0,0,VLOOKUP(R109,MIE_Components!$A$2:$F$6,2,FALSE()))</f>
        <v>0</v>
      </c>
      <c r="T109" s="14" t="n">
        <f aca="false">IF(R109=0,0,VLOOKUP(R109,MIE_Components!$A$2:$F$6,3,FALSE()))</f>
        <v>0</v>
      </c>
      <c r="U109" s="14" t="n">
        <f aca="false">IF(R109=0,0,VLOOKUP(R109,MIE_Components!$A$2:$F$6,4,FALSE()))</f>
        <v>0</v>
      </c>
      <c r="V109" s="14" t="n">
        <f aca="false">IF(OR($A109="",R109=0),0,MAX(5,R109*IF(OR($A109=Parameters!$B$13,$A109=Parameters!$B$14),0.75,1)-(IF(AND($A109=DATE(2026,11,29),NOV29BF="Yes"),S109,0)+IF(OR($A109=DATE(2026,11,29),$A109=DATE(2026,11,30),$A109=DATE(2026,12,1),$A109=DATE(2026,12,2)),T109,0)+IF(OR($A109=DATE(2026,11,28),$A109=DATE(2026,12,1)),U109,0))))</f>
        <v>0</v>
      </c>
      <c r="W109" s="14" t="n">
        <f aca="false">IF(AND($A109&lt;&gt;"",$A109&lt;Parameters!$B$14),CityData!F5*(1+TAXRATE),0)</f>
        <v>0</v>
      </c>
      <c r="X109" s="14" t="n">
        <f aca="false">IF($A109="",0,IFERROR(VLOOKUP((YEAR($A109)+IF(MONTH($A109)&gt;=10,1,0))&amp;"|Denver|"&amp;MONTH($A109),Rates!$A$2:$I$181,5,FALSE()),0))</f>
        <v>0</v>
      </c>
      <c r="Y109" s="14" t="n">
        <f aca="false">IF(OR($A109="",$A109&gt;=Parameters!$B$14),1,IF(AND(X109&gt;0,CityData!F5&lt;=X109),1,0))</f>
        <v>1</v>
      </c>
      <c r="Z109" s="14" t="n">
        <f aca="false">IF($A109="",0,IFERROR(VLOOKUP((YEAR($A109)+IF(MONTH($A109)&gt;=10,1,0))&amp;"|Phoenix|"&amp;MONTH($A109),Rates!$A$2:$I$181,6,FALSE()),0))</f>
        <v>0</v>
      </c>
      <c r="AA109" s="14" t="n">
        <f aca="false">IF(Z109=0,0,VLOOKUP(Z109,MIE_Components!$A$2:$F$6,2,FALSE()))</f>
        <v>0</v>
      </c>
      <c r="AB109" s="14" t="n">
        <f aca="false">IF(Z109=0,0,VLOOKUP(Z109,MIE_Components!$A$2:$F$6,3,FALSE()))</f>
        <v>0</v>
      </c>
      <c r="AC109" s="14" t="n">
        <f aca="false">IF(Z109=0,0,VLOOKUP(Z109,MIE_Components!$A$2:$F$6,4,FALSE()))</f>
        <v>0</v>
      </c>
      <c r="AD109" s="14" t="n">
        <f aca="false">IF(OR($A109="",Z109=0),0,MAX(5,Z109*IF(OR($A109=Parameters!$B$13,$A109=Parameters!$B$14),0.75,1)-(IF(AND($A109=DATE(2026,11,29),NOV29BF="Yes"),AA109,0)+IF(OR($A109=DATE(2026,11,29),$A109=DATE(2026,11,30),$A109=DATE(2026,12,1),$A109=DATE(2026,12,2)),AB109,0)+IF(OR($A109=DATE(2026,11,28),$A109=DATE(2026,12,1)),AC109,0))))</f>
        <v>0</v>
      </c>
      <c r="AE109" s="14" t="n">
        <f aca="false">IF(AND($A109&lt;&gt;"",$A109&lt;Parameters!$B$14),CityData!F6*(1+TAXRATE),0)</f>
        <v>0</v>
      </c>
      <c r="AF109" s="14" t="n">
        <f aca="false">IF($A109="",0,IFERROR(VLOOKUP((YEAR($A109)+IF(MONTH($A109)&gt;=10,1,0))&amp;"|Phoenix|"&amp;MONTH($A109),Rates!$A$2:$I$181,5,FALSE()),0))</f>
        <v>0</v>
      </c>
      <c r="AG109" s="14" t="n">
        <f aca="false">IF(OR($A109="",$A109&gt;=Parameters!$B$14),1,IF(AND(AF109&gt;0,CityData!F6&lt;=AF109),1,0))</f>
        <v>1</v>
      </c>
      <c r="AH109" s="14" t="n">
        <f aca="false">IF($A109="",0,IFERROR(VLOOKUP((YEAR($A109)+IF(MONTH($A109)&gt;=10,1,0))&amp;"|Seattle|"&amp;MONTH($A109),Rates!$A$2:$I$181,6,FALSE()),0))</f>
        <v>0</v>
      </c>
      <c r="AI109" s="14" t="n">
        <f aca="false">IF(AH109=0,0,VLOOKUP(AH109,MIE_Components!$A$2:$F$6,2,FALSE()))</f>
        <v>0</v>
      </c>
      <c r="AJ109" s="14" t="n">
        <f aca="false">IF(AH109=0,0,VLOOKUP(AH109,MIE_Components!$A$2:$F$6,3,FALSE()))</f>
        <v>0</v>
      </c>
      <c r="AK109" s="14" t="n">
        <f aca="false">IF(AH109=0,0,VLOOKUP(AH109,MIE_Components!$A$2:$F$6,4,FALSE()))</f>
        <v>0</v>
      </c>
      <c r="AL109" s="14" t="n">
        <f aca="false">IF(OR($A109="",AH109=0),0,MAX(5,AH109*IF(OR($A109=Parameters!$B$13,$A109=Parameters!$B$14),0.75,1)-(IF(AND($A109=DATE(2026,11,29),NOV29BF="Yes"),AI109,0)+IF(OR($A109=DATE(2026,11,29),$A109=DATE(2026,11,30),$A109=DATE(2026,12,1),$A109=DATE(2026,12,2)),AJ109,0)+IF(OR($A109=DATE(2026,11,28),$A109=DATE(2026,12,1)),AK109,0))))</f>
        <v>0</v>
      </c>
      <c r="AM109" s="14" t="n">
        <f aca="false">IF(AND($A109&lt;&gt;"",$A109&lt;Parameters!$B$14),CityData!F7*(1+TAXRATE),0)</f>
        <v>0</v>
      </c>
      <c r="AN109" s="14" t="n">
        <f aca="false">IF($A109="",0,IFERROR(VLOOKUP((YEAR($A109)+IF(MONTH($A109)&gt;=10,1,0))&amp;"|Seattle|"&amp;MONTH($A109),Rates!$A$2:$I$181,5,FALSE()),0))</f>
        <v>0</v>
      </c>
      <c r="AO109" s="14" t="n">
        <f aca="false">IF(OR($A109="",$A109&gt;=Parameters!$B$14),1,IF(AND(AN109&gt;0,CityData!F7&lt;=AN109),1,0))</f>
        <v>1</v>
      </c>
    </row>
    <row r="110" customFormat="false" ht="15" hidden="false" customHeight="true" outlineLevel="0" collapsed="false">
      <c r="A110" s="23" t="str">
        <f aca="false">IF(AND(Parameters!$B$14&gt;=Parameters!$B$13,ROW()-2&lt;=Parameters!$B$14-Parameters!$B$13),Parameters!$B$13+ROW()-2,"")</f>
        <v/>
      </c>
      <c r="B110" s="14" t="n">
        <f aca="false">IF($A110="",0,IFERROR(VLOOKUP((YEAR($A110)+IF(MONTH($A110)&gt;=10,1,0))&amp;"|Boston|"&amp;MONTH($A110),Rates!$A$2:$I$181,6,FALSE()),0))</f>
        <v>0</v>
      </c>
      <c r="C110" s="14" t="n">
        <f aca="false">IF(B110=0,0,VLOOKUP(B110,MIE_Components!$A$2:$F$6,2,FALSE()))</f>
        <v>0</v>
      </c>
      <c r="D110" s="14" t="n">
        <f aca="false">IF(B110=0,0,VLOOKUP(B110,MIE_Components!$A$2:$F$6,3,FALSE()))</f>
        <v>0</v>
      </c>
      <c r="E110" s="14" t="n">
        <f aca="false">IF(B110=0,0,VLOOKUP(B110,MIE_Components!$A$2:$F$6,4,FALSE()))</f>
        <v>0</v>
      </c>
      <c r="F110" s="14" t="n">
        <f aca="false">IF(OR($A110="",B110=0),0,MAX(5,B110*IF(OR($A110=Parameters!$B$13,$A110=Parameters!$B$14),0.75,1)-(IF(AND($A110=DATE(2026,11,29),NOV29BF="Yes"),C110,0)+IF(OR($A110=DATE(2026,11,29),$A110=DATE(2026,11,30),$A110=DATE(2026,12,1),$A110=DATE(2026,12,2)),D110,0)+IF(OR($A110=DATE(2026,11,28),$A110=DATE(2026,12,1)),E110,0))))</f>
        <v>0</v>
      </c>
      <c r="G110" s="14" t="n">
        <f aca="false">IF(AND($A110&lt;&gt;"",$A110&lt;Parameters!$B$14),CityData!F3*(1+TAXRATE),0)</f>
        <v>0</v>
      </c>
      <c r="H110" s="14" t="n">
        <f aca="false">IF($A110="",0,IFERROR(VLOOKUP((YEAR($A110)+IF(MONTH($A110)&gt;=10,1,0))&amp;"|Boston|"&amp;MONTH($A110),Rates!$A$2:$I$181,5,FALSE()),0))</f>
        <v>0</v>
      </c>
      <c r="I110" s="14" t="n">
        <f aca="false">IF(OR($A110="",$A110&gt;=Parameters!$B$14),1,IF(AND(H110&gt;0,CityData!F3&lt;=H110),1,0))</f>
        <v>1</v>
      </c>
      <c r="J110" s="14" t="n">
        <f aca="false">IF($A110="",0,IFERROR(VLOOKUP((YEAR($A110)+IF(MONTH($A110)&gt;=10,1,0))&amp;"|Chicago|"&amp;MONTH($A110),Rates!$A$2:$I$181,6,FALSE()),0))</f>
        <v>0</v>
      </c>
      <c r="K110" s="14" t="n">
        <f aca="false">IF(J110=0,0,VLOOKUP(J110,MIE_Components!$A$2:$F$6,2,FALSE()))</f>
        <v>0</v>
      </c>
      <c r="L110" s="14" t="n">
        <f aca="false">IF(J110=0,0,VLOOKUP(J110,MIE_Components!$A$2:$F$6,3,FALSE()))</f>
        <v>0</v>
      </c>
      <c r="M110" s="14" t="n">
        <f aca="false">IF(J110=0,0,VLOOKUP(J110,MIE_Components!$A$2:$F$6,4,FALSE()))</f>
        <v>0</v>
      </c>
      <c r="N110" s="14" t="n">
        <f aca="false">IF(OR($A110="",J110=0),0,MAX(5,J110*IF(OR($A110=Parameters!$B$13,$A110=Parameters!$B$14),0.75,1)-(IF(AND($A110=DATE(2026,11,29),NOV29BF="Yes"),K110,0)+IF(OR($A110=DATE(2026,11,29),$A110=DATE(2026,11,30),$A110=DATE(2026,12,1),$A110=DATE(2026,12,2)),L110,0)+IF(OR($A110=DATE(2026,11,28),$A110=DATE(2026,12,1)),M110,0))))</f>
        <v>0</v>
      </c>
      <c r="O110" s="14" t="n">
        <f aca="false">IF(AND($A110&lt;&gt;"",$A110&lt;Parameters!$B$14),CityData!F4*(1+TAXRATE),0)</f>
        <v>0</v>
      </c>
      <c r="P110" s="14" t="n">
        <f aca="false">IF($A110="",0,IFERROR(VLOOKUP((YEAR($A110)+IF(MONTH($A110)&gt;=10,1,0))&amp;"|Chicago|"&amp;MONTH($A110),Rates!$A$2:$I$181,5,FALSE()),0))</f>
        <v>0</v>
      </c>
      <c r="Q110" s="14" t="n">
        <f aca="false">IF(OR($A110="",$A110&gt;=Parameters!$B$14),1,IF(AND(P110&gt;0,CityData!F4&lt;=P110),1,0))</f>
        <v>1</v>
      </c>
      <c r="R110" s="14" t="n">
        <f aca="false">IF($A110="",0,IFERROR(VLOOKUP((YEAR($A110)+IF(MONTH($A110)&gt;=10,1,0))&amp;"|Denver|"&amp;MONTH($A110),Rates!$A$2:$I$181,6,FALSE()),0))</f>
        <v>0</v>
      </c>
      <c r="S110" s="14" t="n">
        <f aca="false">IF(R110=0,0,VLOOKUP(R110,MIE_Components!$A$2:$F$6,2,FALSE()))</f>
        <v>0</v>
      </c>
      <c r="T110" s="14" t="n">
        <f aca="false">IF(R110=0,0,VLOOKUP(R110,MIE_Components!$A$2:$F$6,3,FALSE()))</f>
        <v>0</v>
      </c>
      <c r="U110" s="14" t="n">
        <f aca="false">IF(R110=0,0,VLOOKUP(R110,MIE_Components!$A$2:$F$6,4,FALSE()))</f>
        <v>0</v>
      </c>
      <c r="V110" s="14" t="n">
        <f aca="false">IF(OR($A110="",R110=0),0,MAX(5,R110*IF(OR($A110=Parameters!$B$13,$A110=Parameters!$B$14),0.75,1)-(IF(AND($A110=DATE(2026,11,29),NOV29BF="Yes"),S110,0)+IF(OR($A110=DATE(2026,11,29),$A110=DATE(2026,11,30),$A110=DATE(2026,12,1),$A110=DATE(2026,12,2)),T110,0)+IF(OR($A110=DATE(2026,11,28),$A110=DATE(2026,12,1)),U110,0))))</f>
        <v>0</v>
      </c>
      <c r="W110" s="14" t="n">
        <f aca="false">IF(AND($A110&lt;&gt;"",$A110&lt;Parameters!$B$14),CityData!F5*(1+TAXRATE),0)</f>
        <v>0</v>
      </c>
      <c r="X110" s="14" t="n">
        <f aca="false">IF($A110="",0,IFERROR(VLOOKUP((YEAR($A110)+IF(MONTH($A110)&gt;=10,1,0))&amp;"|Denver|"&amp;MONTH($A110),Rates!$A$2:$I$181,5,FALSE()),0))</f>
        <v>0</v>
      </c>
      <c r="Y110" s="14" t="n">
        <f aca="false">IF(OR($A110="",$A110&gt;=Parameters!$B$14),1,IF(AND(X110&gt;0,CityData!F5&lt;=X110),1,0))</f>
        <v>1</v>
      </c>
      <c r="Z110" s="14" t="n">
        <f aca="false">IF($A110="",0,IFERROR(VLOOKUP((YEAR($A110)+IF(MONTH($A110)&gt;=10,1,0))&amp;"|Phoenix|"&amp;MONTH($A110),Rates!$A$2:$I$181,6,FALSE()),0))</f>
        <v>0</v>
      </c>
      <c r="AA110" s="14" t="n">
        <f aca="false">IF(Z110=0,0,VLOOKUP(Z110,MIE_Components!$A$2:$F$6,2,FALSE()))</f>
        <v>0</v>
      </c>
      <c r="AB110" s="14" t="n">
        <f aca="false">IF(Z110=0,0,VLOOKUP(Z110,MIE_Components!$A$2:$F$6,3,FALSE()))</f>
        <v>0</v>
      </c>
      <c r="AC110" s="14" t="n">
        <f aca="false">IF(Z110=0,0,VLOOKUP(Z110,MIE_Components!$A$2:$F$6,4,FALSE()))</f>
        <v>0</v>
      </c>
      <c r="AD110" s="14" t="n">
        <f aca="false">IF(OR($A110="",Z110=0),0,MAX(5,Z110*IF(OR($A110=Parameters!$B$13,$A110=Parameters!$B$14),0.75,1)-(IF(AND($A110=DATE(2026,11,29),NOV29BF="Yes"),AA110,0)+IF(OR($A110=DATE(2026,11,29),$A110=DATE(2026,11,30),$A110=DATE(2026,12,1),$A110=DATE(2026,12,2)),AB110,0)+IF(OR($A110=DATE(2026,11,28),$A110=DATE(2026,12,1)),AC110,0))))</f>
        <v>0</v>
      </c>
      <c r="AE110" s="14" t="n">
        <f aca="false">IF(AND($A110&lt;&gt;"",$A110&lt;Parameters!$B$14),CityData!F6*(1+TAXRATE),0)</f>
        <v>0</v>
      </c>
      <c r="AF110" s="14" t="n">
        <f aca="false">IF($A110="",0,IFERROR(VLOOKUP((YEAR($A110)+IF(MONTH($A110)&gt;=10,1,0))&amp;"|Phoenix|"&amp;MONTH($A110),Rates!$A$2:$I$181,5,FALSE()),0))</f>
        <v>0</v>
      </c>
      <c r="AG110" s="14" t="n">
        <f aca="false">IF(OR($A110="",$A110&gt;=Parameters!$B$14),1,IF(AND(AF110&gt;0,CityData!F6&lt;=AF110),1,0))</f>
        <v>1</v>
      </c>
      <c r="AH110" s="14" t="n">
        <f aca="false">IF($A110="",0,IFERROR(VLOOKUP((YEAR($A110)+IF(MONTH($A110)&gt;=10,1,0))&amp;"|Seattle|"&amp;MONTH($A110),Rates!$A$2:$I$181,6,FALSE()),0))</f>
        <v>0</v>
      </c>
      <c r="AI110" s="14" t="n">
        <f aca="false">IF(AH110=0,0,VLOOKUP(AH110,MIE_Components!$A$2:$F$6,2,FALSE()))</f>
        <v>0</v>
      </c>
      <c r="AJ110" s="14" t="n">
        <f aca="false">IF(AH110=0,0,VLOOKUP(AH110,MIE_Components!$A$2:$F$6,3,FALSE()))</f>
        <v>0</v>
      </c>
      <c r="AK110" s="14" t="n">
        <f aca="false">IF(AH110=0,0,VLOOKUP(AH110,MIE_Components!$A$2:$F$6,4,FALSE()))</f>
        <v>0</v>
      </c>
      <c r="AL110" s="14" t="n">
        <f aca="false">IF(OR($A110="",AH110=0),0,MAX(5,AH110*IF(OR($A110=Parameters!$B$13,$A110=Parameters!$B$14),0.75,1)-(IF(AND($A110=DATE(2026,11,29),NOV29BF="Yes"),AI110,0)+IF(OR($A110=DATE(2026,11,29),$A110=DATE(2026,11,30),$A110=DATE(2026,12,1),$A110=DATE(2026,12,2)),AJ110,0)+IF(OR($A110=DATE(2026,11,28),$A110=DATE(2026,12,1)),AK110,0))))</f>
        <v>0</v>
      </c>
      <c r="AM110" s="14" t="n">
        <f aca="false">IF(AND($A110&lt;&gt;"",$A110&lt;Parameters!$B$14),CityData!F7*(1+TAXRATE),0)</f>
        <v>0</v>
      </c>
      <c r="AN110" s="14" t="n">
        <f aca="false">IF($A110="",0,IFERROR(VLOOKUP((YEAR($A110)+IF(MONTH($A110)&gt;=10,1,0))&amp;"|Seattle|"&amp;MONTH($A110),Rates!$A$2:$I$181,5,FALSE()),0))</f>
        <v>0</v>
      </c>
      <c r="AO110" s="14" t="n">
        <f aca="false">IF(OR($A110="",$A110&gt;=Parameters!$B$14),1,IF(AND(AN110&gt;0,CityData!F7&lt;=AN110),1,0))</f>
        <v>1</v>
      </c>
    </row>
    <row r="111" customFormat="false" ht="15" hidden="false" customHeight="true" outlineLevel="0" collapsed="false">
      <c r="A111" s="23" t="str">
        <f aca="false">IF(AND(Parameters!$B$14&gt;=Parameters!$B$13,ROW()-2&lt;=Parameters!$B$14-Parameters!$B$13),Parameters!$B$13+ROW()-2,"")</f>
        <v/>
      </c>
      <c r="B111" s="14" t="n">
        <f aca="false">IF($A111="",0,IFERROR(VLOOKUP((YEAR($A111)+IF(MONTH($A111)&gt;=10,1,0))&amp;"|Boston|"&amp;MONTH($A111),Rates!$A$2:$I$181,6,FALSE()),0))</f>
        <v>0</v>
      </c>
      <c r="C111" s="14" t="n">
        <f aca="false">IF(B111=0,0,VLOOKUP(B111,MIE_Components!$A$2:$F$6,2,FALSE()))</f>
        <v>0</v>
      </c>
      <c r="D111" s="14" t="n">
        <f aca="false">IF(B111=0,0,VLOOKUP(B111,MIE_Components!$A$2:$F$6,3,FALSE()))</f>
        <v>0</v>
      </c>
      <c r="E111" s="14" t="n">
        <f aca="false">IF(B111=0,0,VLOOKUP(B111,MIE_Components!$A$2:$F$6,4,FALSE()))</f>
        <v>0</v>
      </c>
      <c r="F111" s="14" t="n">
        <f aca="false">IF(OR($A111="",B111=0),0,MAX(5,B111*IF(OR($A111=Parameters!$B$13,$A111=Parameters!$B$14),0.75,1)-(IF(AND($A111=DATE(2026,11,29),NOV29BF="Yes"),C111,0)+IF(OR($A111=DATE(2026,11,29),$A111=DATE(2026,11,30),$A111=DATE(2026,12,1),$A111=DATE(2026,12,2)),D111,0)+IF(OR($A111=DATE(2026,11,28),$A111=DATE(2026,12,1)),E111,0))))</f>
        <v>0</v>
      </c>
      <c r="G111" s="14" t="n">
        <f aca="false">IF(AND($A111&lt;&gt;"",$A111&lt;Parameters!$B$14),CityData!F3*(1+TAXRATE),0)</f>
        <v>0</v>
      </c>
      <c r="H111" s="14" t="n">
        <f aca="false">IF($A111="",0,IFERROR(VLOOKUP((YEAR($A111)+IF(MONTH($A111)&gt;=10,1,0))&amp;"|Boston|"&amp;MONTH($A111),Rates!$A$2:$I$181,5,FALSE()),0))</f>
        <v>0</v>
      </c>
      <c r="I111" s="14" t="n">
        <f aca="false">IF(OR($A111="",$A111&gt;=Parameters!$B$14),1,IF(AND(H111&gt;0,CityData!F3&lt;=H111),1,0))</f>
        <v>1</v>
      </c>
      <c r="J111" s="14" t="n">
        <f aca="false">IF($A111="",0,IFERROR(VLOOKUP((YEAR($A111)+IF(MONTH($A111)&gt;=10,1,0))&amp;"|Chicago|"&amp;MONTH($A111),Rates!$A$2:$I$181,6,FALSE()),0))</f>
        <v>0</v>
      </c>
      <c r="K111" s="14" t="n">
        <f aca="false">IF(J111=0,0,VLOOKUP(J111,MIE_Components!$A$2:$F$6,2,FALSE()))</f>
        <v>0</v>
      </c>
      <c r="L111" s="14" t="n">
        <f aca="false">IF(J111=0,0,VLOOKUP(J111,MIE_Components!$A$2:$F$6,3,FALSE()))</f>
        <v>0</v>
      </c>
      <c r="M111" s="14" t="n">
        <f aca="false">IF(J111=0,0,VLOOKUP(J111,MIE_Components!$A$2:$F$6,4,FALSE()))</f>
        <v>0</v>
      </c>
      <c r="N111" s="14" t="n">
        <f aca="false">IF(OR($A111="",J111=0),0,MAX(5,J111*IF(OR($A111=Parameters!$B$13,$A111=Parameters!$B$14),0.75,1)-(IF(AND($A111=DATE(2026,11,29),NOV29BF="Yes"),K111,0)+IF(OR($A111=DATE(2026,11,29),$A111=DATE(2026,11,30),$A111=DATE(2026,12,1),$A111=DATE(2026,12,2)),L111,0)+IF(OR($A111=DATE(2026,11,28),$A111=DATE(2026,12,1)),M111,0))))</f>
        <v>0</v>
      </c>
      <c r="O111" s="14" t="n">
        <f aca="false">IF(AND($A111&lt;&gt;"",$A111&lt;Parameters!$B$14),CityData!F4*(1+TAXRATE),0)</f>
        <v>0</v>
      </c>
      <c r="P111" s="14" t="n">
        <f aca="false">IF($A111="",0,IFERROR(VLOOKUP((YEAR($A111)+IF(MONTH($A111)&gt;=10,1,0))&amp;"|Chicago|"&amp;MONTH($A111),Rates!$A$2:$I$181,5,FALSE()),0))</f>
        <v>0</v>
      </c>
      <c r="Q111" s="14" t="n">
        <f aca="false">IF(OR($A111="",$A111&gt;=Parameters!$B$14),1,IF(AND(P111&gt;0,CityData!F4&lt;=P111),1,0))</f>
        <v>1</v>
      </c>
      <c r="R111" s="14" t="n">
        <f aca="false">IF($A111="",0,IFERROR(VLOOKUP((YEAR($A111)+IF(MONTH($A111)&gt;=10,1,0))&amp;"|Denver|"&amp;MONTH($A111),Rates!$A$2:$I$181,6,FALSE()),0))</f>
        <v>0</v>
      </c>
      <c r="S111" s="14" t="n">
        <f aca="false">IF(R111=0,0,VLOOKUP(R111,MIE_Components!$A$2:$F$6,2,FALSE()))</f>
        <v>0</v>
      </c>
      <c r="T111" s="14" t="n">
        <f aca="false">IF(R111=0,0,VLOOKUP(R111,MIE_Components!$A$2:$F$6,3,FALSE()))</f>
        <v>0</v>
      </c>
      <c r="U111" s="14" t="n">
        <f aca="false">IF(R111=0,0,VLOOKUP(R111,MIE_Components!$A$2:$F$6,4,FALSE()))</f>
        <v>0</v>
      </c>
      <c r="V111" s="14" t="n">
        <f aca="false">IF(OR($A111="",R111=0),0,MAX(5,R111*IF(OR($A111=Parameters!$B$13,$A111=Parameters!$B$14),0.75,1)-(IF(AND($A111=DATE(2026,11,29),NOV29BF="Yes"),S111,0)+IF(OR($A111=DATE(2026,11,29),$A111=DATE(2026,11,30),$A111=DATE(2026,12,1),$A111=DATE(2026,12,2)),T111,0)+IF(OR($A111=DATE(2026,11,28),$A111=DATE(2026,12,1)),U111,0))))</f>
        <v>0</v>
      </c>
      <c r="W111" s="14" t="n">
        <f aca="false">IF(AND($A111&lt;&gt;"",$A111&lt;Parameters!$B$14),CityData!F5*(1+TAXRATE),0)</f>
        <v>0</v>
      </c>
      <c r="X111" s="14" t="n">
        <f aca="false">IF($A111="",0,IFERROR(VLOOKUP((YEAR($A111)+IF(MONTH($A111)&gt;=10,1,0))&amp;"|Denver|"&amp;MONTH($A111),Rates!$A$2:$I$181,5,FALSE()),0))</f>
        <v>0</v>
      </c>
      <c r="Y111" s="14" t="n">
        <f aca="false">IF(OR($A111="",$A111&gt;=Parameters!$B$14),1,IF(AND(X111&gt;0,CityData!F5&lt;=X111),1,0))</f>
        <v>1</v>
      </c>
      <c r="Z111" s="14" t="n">
        <f aca="false">IF($A111="",0,IFERROR(VLOOKUP((YEAR($A111)+IF(MONTH($A111)&gt;=10,1,0))&amp;"|Phoenix|"&amp;MONTH($A111),Rates!$A$2:$I$181,6,FALSE()),0))</f>
        <v>0</v>
      </c>
      <c r="AA111" s="14" t="n">
        <f aca="false">IF(Z111=0,0,VLOOKUP(Z111,MIE_Components!$A$2:$F$6,2,FALSE()))</f>
        <v>0</v>
      </c>
      <c r="AB111" s="14" t="n">
        <f aca="false">IF(Z111=0,0,VLOOKUP(Z111,MIE_Components!$A$2:$F$6,3,FALSE()))</f>
        <v>0</v>
      </c>
      <c r="AC111" s="14" t="n">
        <f aca="false">IF(Z111=0,0,VLOOKUP(Z111,MIE_Components!$A$2:$F$6,4,FALSE()))</f>
        <v>0</v>
      </c>
      <c r="AD111" s="14" t="n">
        <f aca="false">IF(OR($A111="",Z111=0),0,MAX(5,Z111*IF(OR($A111=Parameters!$B$13,$A111=Parameters!$B$14),0.75,1)-(IF(AND($A111=DATE(2026,11,29),NOV29BF="Yes"),AA111,0)+IF(OR($A111=DATE(2026,11,29),$A111=DATE(2026,11,30),$A111=DATE(2026,12,1),$A111=DATE(2026,12,2)),AB111,0)+IF(OR($A111=DATE(2026,11,28),$A111=DATE(2026,12,1)),AC111,0))))</f>
        <v>0</v>
      </c>
      <c r="AE111" s="14" t="n">
        <f aca="false">IF(AND($A111&lt;&gt;"",$A111&lt;Parameters!$B$14),CityData!F6*(1+TAXRATE),0)</f>
        <v>0</v>
      </c>
      <c r="AF111" s="14" t="n">
        <f aca="false">IF($A111="",0,IFERROR(VLOOKUP((YEAR($A111)+IF(MONTH($A111)&gt;=10,1,0))&amp;"|Phoenix|"&amp;MONTH($A111),Rates!$A$2:$I$181,5,FALSE()),0))</f>
        <v>0</v>
      </c>
      <c r="AG111" s="14" t="n">
        <f aca="false">IF(OR($A111="",$A111&gt;=Parameters!$B$14),1,IF(AND(AF111&gt;0,CityData!F6&lt;=AF111),1,0))</f>
        <v>1</v>
      </c>
      <c r="AH111" s="14" t="n">
        <f aca="false">IF($A111="",0,IFERROR(VLOOKUP((YEAR($A111)+IF(MONTH($A111)&gt;=10,1,0))&amp;"|Seattle|"&amp;MONTH($A111),Rates!$A$2:$I$181,6,FALSE()),0))</f>
        <v>0</v>
      </c>
      <c r="AI111" s="14" t="n">
        <f aca="false">IF(AH111=0,0,VLOOKUP(AH111,MIE_Components!$A$2:$F$6,2,FALSE()))</f>
        <v>0</v>
      </c>
      <c r="AJ111" s="14" t="n">
        <f aca="false">IF(AH111=0,0,VLOOKUP(AH111,MIE_Components!$A$2:$F$6,3,FALSE()))</f>
        <v>0</v>
      </c>
      <c r="AK111" s="14" t="n">
        <f aca="false">IF(AH111=0,0,VLOOKUP(AH111,MIE_Components!$A$2:$F$6,4,FALSE()))</f>
        <v>0</v>
      </c>
      <c r="AL111" s="14" t="n">
        <f aca="false">IF(OR($A111="",AH111=0),0,MAX(5,AH111*IF(OR($A111=Parameters!$B$13,$A111=Parameters!$B$14),0.75,1)-(IF(AND($A111=DATE(2026,11,29),NOV29BF="Yes"),AI111,0)+IF(OR($A111=DATE(2026,11,29),$A111=DATE(2026,11,30),$A111=DATE(2026,12,1),$A111=DATE(2026,12,2)),AJ111,0)+IF(OR($A111=DATE(2026,11,28),$A111=DATE(2026,12,1)),AK111,0))))</f>
        <v>0</v>
      </c>
      <c r="AM111" s="14" t="n">
        <f aca="false">IF(AND($A111&lt;&gt;"",$A111&lt;Parameters!$B$14),CityData!F7*(1+TAXRATE),0)</f>
        <v>0</v>
      </c>
      <c r="AN111" s="14" t="n">
        <f aca="false">IF($A111="",0,IFERROR(VLOOKUP((YEAR($A111)+IF(MONTH($A111)&gt;=10,1,0))&amp;"|Seattle|"&amp;MONTH($A111),Rates!$A$2:$I$181,5,FALSE()),0))</f>
        <v>0</v>
      </c>
      <c r="AO111" s="14" t="n">
        <f aca="false">IF(OR($A111="",$A111&gt;=Parameters!$B$14),1,IF(AND(AN111&gt;0,CityData!F7&lt;=AN111),1,0))</f>
        <v>1</v>
      </c>
    </row>
    <row r="112" customFormat="false" ht="15" hidden="false" customHeight="true" outlineLevel="0" collapsed="false">
      <c r="A112" s="23" t="str">
        <f aca="false">IF(AND(Parameters!$B$14&gt;=Parameters!$B$13,ROW()-2&lt;=Parameters!$B$14-Parameters!$B$13),Parameters!$B$13+ROW()-2,"")</f>
        <v/>
      </c>
      <c r="B112" s="14" t="n">
        <f aca="false">IF($A112="",0,IFERROR(VLOOKUP((YEAR($A112)+IF(MONTH($A112)&gt;=10,1,0))&amp;"|Boston|"&amp;MONTH($A112),Rates!$A$2:$I$181,6,FALSE()),0))</f>
        <v>0</v>
      </c>
      <c r="C112" s="14" t="n">
        <f aca="false">IF(B112=0,0,VLOOKUP(B112,MIE_Components!$A$2:$F$6,2,FALSE()))</f>
        <v>0</v>
      </c>
      <c r="D112" s="14" t="n">
        <f aca="false">IF(B112=0,0,VLOOKUP(B112,MIE_Components!$A$2:$F$6,3,FALSE()))</f>
        <v>0</v>
      </c>
      <c r="E112" s="14" t="n">
        <f aca="false">IF(B112=0,0,VLOOKUP(B112,MIE_Components!$A$2:$F$6,4,FALSE()))</f>
        <v>0</v>
      </c>
      <c r="F112" s="14" t="n">
        <f aca="false">IF(OR($A112="",B112=0),0,MAX(5,B112*IF(OR($A112=Parameters!$B$13,$A112=Parameters!$B$14),0.75,1)-(IF(AND($A112=DATE(2026,11,29),NOV29BF="Yes"),C112,0)+IF(OR($A112=DATE(2026,11,29),$A112=DATE(2026,11,30),$A112=DATE(2026,12,1),$A112=DATE(2026,12,2)),D112,0)+IF(OR($A112=DATE(2026,11,28),$A112=DATE(2026,12,1)),E112,0))))</f>
        <v>0</v>
      </c>
      <c r="G112" s="14" t="n">
        <f aca="false">IF(AND($A112&lt;&gt;"",$A112&lt;Parameters!$B$14),CityData!F3*(1+TAXRATE),0)</f>
        <v>0</v>
      </c>
      <c r="H112" s="14" t="n">
        <f aca="false">IF($A112="",0,IFERROR(VLOOKUP((YEAR($A112)+IF(MONTH($A112)&gt;=10,1,0))&amp;"|Boston|"&amp;MONTH($A112),Rates!$A$2:$I$181,5,FALSE()),0))</f>
        <v>0</v>
      </c>
      <c r="I112" s="14" t="n">
        <f aca="false">IF(OR($A112="",$A112&gt;=Parameters!$B$14),1,IF(AND(H112&gt;0,CityData!F3&lt;=H112),1,0))</f>
        <v>1</v>
      </c>
      <c r="J112" s="14" t="n">
        <f aca="false">IF($A112="",0,IFERROR(VLOOKUP((YEAR($A112)+IF(MONTH($A112)&gt;=10,1,0))&amp;"|Chicago|"&amp;MONTH($A112),Rates!$A$2:$I$181,6,FALSE()),0))</f>
        <v>0</v>
      </c>
      <c r="K112" s="14" t="n">
        <f aca="false">IF(J112=0,0,VLOOKUP(J112,MIE_Components!$A$2:$F$6,2,FALSE()))</f>
        <v>0</v>
      </c>
      <c r="L112" s="14" t="n">
        <f aca="false">IF(J112=0,0,VLOOKUP(J112,MIE_Components!$A$2:$F$6,3,FALSE()))</f>
        <v>0</v>
      </c>
      <c r="M112" s="14" t="n">
        <f aca="false">IF(J112=0,0,VLOOKUP(J112,MIE_Components!$A$2:$F$6,4,FALSE()))</f>
        <v>0</v>
      </c>
      <c r="N112" s="14" t="n">
        <f aca="false">IF(OR($A112="",J112=0),0,MAX(5,J112*IF(OR($A112=Parameters!$B$13,$A112=Parameters!$B$14),0.75,1)-(IF(AND($A112=DATE(2026,11,29),NOV29BF="Yes"),K112,0)+IF(OR($A112=DATE(2026,11,29),$A112=DATE(2026,11,30),$A112=DATE(2026,12,1),$A112=DATE(2026,12,2)),L112,0)+IF(OR($A112=DATE(2026,11,28),$A112=DATE(2026,12,1)),M112,0))))</f>
        <v>0</v>
      </c>
      <c r="O112" s="14" t="n">
        <f aca="false">IF(AND($A112&lt;&gt;"",$A112&lt;Parameters!$B$14),CityData!F4*(1+TAXRATE),0)</f>
        <v>0</v>
      </c>
      <c r="P112" s="14" t="n">
        <f aca="false">IF($A112="",0,IFERROR(VLOOKUP((YEAR($A112)+IF(MONTH($A112)&gt;=10,1,0))&amp;"|Chicago|"&amp;MONTH($A112),Rates!$A$2:$I$181,5,FALSE()),0))</f>
        <v>0</v>
      </c>
      <c r="Q112" s="14" t="n">
        <f aca="false">IF(OR($A112="",$A112&gt;=Parameters!$B$14),1,IF(AND(P112&gt;0,CityData!F4&lt;=P112),1,0))</f>
        <v>1</v>
      </c>
      <c r="R112" s="14" t="n">
        <f aca="false">IF($A112="",0,IFERROR(VLOOKUP((YEAR($A112)+IF(MONTH($A112)&gt;=10,1,0))&amp;"|Denver|"&amp;MONTH($A112),Rates!$A$2:$I$181,6,FALSE()),0))</f>
        <v>0</v>
      </c>
      <c r="S112" s="14" t="n">
        <f aca="false">IF(R112=0,0,VLOOKUP(R112,MIE_Components!$A$2:$F$6,2,FALSE()))</f>
        <v>0</v>
      </c>
      <c r="T112" s="14" t="n">
        <f aca="false">IF(R112=0,0,VLOOKUP(R112,MIE_Components!$A$2:$F$6,3,FALSE()))</f>
        <v>0</v>
      </c>
      <c r="U112" s="14" t="n">
        <f aca="false">IF(R112=0,0,VLOOKUP(R112,MIE_Components!$A$2:$F$6,4,FALSE()))</f>
        <v>0</v>
      </c>
      <c r="V112" s="14" t="n">
        <f aca="false">IF(OR($A112="",R112=0),0,MAX(5,R112*IF(OR($A112=Parameters!$B$13,$A112=Parameters!$B$14),0.75,1)-(IF(AND($A112=DATE(2026,11,29),NOV29BF="Yes"),S112,0)+IF(OR($A112=DATE(2026,11,29),$A112=DATE(2026,11,30),$A112=DATE(2026,12,1),$A112=DATE(2026,12,2)),T112,0)+IF(OR($A112=DATE(2026,11,28),$A112=DATE(2026,12,1)),U112,0))))</f>
        <v>0</v>
      </c>
      <c r="W112" s="14" t="n">
        <f aca="false">IF(AND($A112&lt;&gt;"",$A112&lt;Parameters!$B$14),CityData!F5*(1+TAXRATE),0)</f>
        <v>0</v>
      </c>
      <c r="X112" s="14" t="n">
        <f aca="false">IF($A112="",0,IFERROR(VLOOKUP((YEAR($A112)+IF(MONTH($A112)&gt;=10,1,0))&amp;"|Denver|"&amp;MONTH($A112),Rates!$A$2:$I$181,5,FALSE()),0))</f>
        <v>0</v>
      </c>
      <c r="Y112" s="14" t="n">
        <f aca="false">IF(OR($A112="",$A112&gt;=Parameters!$B$14),1,IF(AND(X112&gt;0,CityData!F5&lt;=X112),1,0))</f>
        <v>1</v>
      </c>
      <c r="Z112" s="14" t="n">
        <f aca="false">IF($A112="",0,IFERROR(VLOOKUP((YEAR($A112)+IF(MONTH($A112)&gt;=10,1,0))&amp;"|Phoenix|"&amp;MONTH($A112),Rates!$A$2:$I$181,6,FALSE()),0))</f>
        <v>0</v>
      </c>
      <c r="AA112" s="14" t="n">
        <f aca="false">IF(Z112=0,0,VLOOKUP(Z112,MIE_Components!$A$2:$F$6,2,FALSE()))</f>
        <v>0</v>
      </c>
      <c r="AB112" s="14" t="n">
        <f aca="false">IF(Z112=0,0,VLOOKUP(Z112,MIE_Components!$A$2:$F$6,3,FALSE()))</f>
        <v>0</v>
      </c>
      <c r="AC112" s="14" t="n">
        <f aca="false">IF(Z112=0,0,VLOOKUP(Z112,MIE_Components!$A$2:$F$6,4,FALSE()))</f>
        <v>0</v>
      </c>
      <c r="AD112" s="14" t="n">
        <f aca="false">IF(OR($A112="",Z112=0),0,MAX(5,Z112*IF(OR($A112=Parameters!$B$13,$A112=Parameters!$B$14),0.75,1)-(IF(AND($A112=DATE(2026,11,29),NOV29BF="Yes"),AA112,0)+IF(OR($A112=DATE(2026,11,29),$A112=DATE(2026,11,30),$A112=DATE(2026,12,1),$A112=DATE(2026,12,2)),AB112,0)+IF(OR($A112=DATE(2026,11,28),$A112=DATE(2026,12,1)),AC112,0))))</f>
        <v>0</v>
      </c>
      <c r="AE112" s="14" t="n">
        <f aca="false">IF(AND($A112&lt;&gt;"",$A112&lt;Parameters!$B$14),CityData!F6*(1+TAXRATE),0)</f>
        <v>0</v>
      </c>
      <c r="AF112" s="14" t="n">
        <f aca="false">IF($A112="",0,IFERROR(VLOOKUP((YEAR($A112)+IF(MONTH($A112)&gt;=10,1,0))&amp;"|Phoenix|"&amp;MONTH($A112),Rates!$A$2:$I$181,5,FALSE()),0))</f>
        <v>0</v>
      </c>
      <c r="AG112" s="14" t="n">
        <f aca="false">IF(OR($A112="",$A112&gt;=Parameters!$B$14),1,IF(AND(AF112&gt;0,CityData!F6&lt;=AF112),1,0))</f>
        <v>1</v>
      </c>
      <c r="AH112" s="14" t="n">
        <f aca="false">IF($A112="",0,IFERROR(VLOOKUP((YEAR($A112)+IF(MONTH($A112)&gt;=10,1,0))&amp;"|Seattle|"&amp;MONTH($A112),Rates!$A$2:$I$181,6,FALSE()),0))</f>
        <v>0</v>
      </c>
      <c r="AI112" s="14" t="n">
        <f aca="false">IF(AH112=0,0,VLOOKUP(AH112,MIE_Components!$A$2:$F$6,2,FALSE()))</f>
        <v>0</v>
      </c>
      <c r="AJ112" s="14" t="n">
        <f aca="false">IF(AH112=0,0,VLOOKUP(AH112,MIE_Components!$A$2:$F$6,3,FALSE()))</f>
        <v>0</v>
      </c>
      <c r="AK112" s="14" t="n">
        <f aca="false">IF(AH112=0,0,VLOOKUP(AH112,MIE_Components!$A$2:$F$6,4,FALSE()))</f>
        <v>0</v>
      </c>
      <c r="AL112" s="14" t="n">
        <f aca="false">IF(OR($A112="",AH112=0),0,MAX(5,AH112*IF(OR($A112=Parameters!$B$13,$A112=Parameters!$B$14),0.75,1)-(IF(AND($A112=DATE(2026,11,29),NOV29BF="Yes"),AI112,0)+IF(OR($A112=DATE(2026,11,29),$A112=DATE(2026,11,30),$A112=DATE(2026,12,1),$A112=DATE(2026,12,2)),AJ112,0)+IF(OR($A112=DATE(2026,11,28),$A112=DATE(2026,12,1)),AK112,0))))</f>
        <v>0</v>
      </c>
      <c r="AM112" s="14" t="n">
        <f aca="false">IF(AND($A112&lt;&gt;"",$A112&lt;Parameters!$B$14),CityData!F7*(1+TAXRATE),0)</f>
        <v>0</v>
      </c>
      <c r="AN112" s="14" t="n">
        <f aca="false">IF($A112="",0,IFERROR(VLOOKUP((YEAR($A112)+IF(MONTH($A112)&gt;=10,1,0))&amp;"|Seattle|"&amp;MONTH($A112),Rates!$A$2:$I$181,5,FALSE()),0))</f>
        <v>0</v>
      </c>
      <c r="AO112" s="14" t="n">
        <f aca="false">IF(OR($A112="",$A112&gt;=Parameters!$B$14),1,IF(AND(AN112&gt;0,CityData!F7&lt;=AN112),1,0))</f>
        <v>1</v>
      </c>
    </row>
    <row r="113" customFormat="false" ht="15" hidden="false" customHeight="true" outlineLevel="0" collapsed="false">
      <c r="A113" s="23" t="str">
        <f aca="false">IF(AND(Parameters!$B$14&gt;=Parameters!$B$13,ROW()-2&lt;=Parameters!$B$14-Parameters!$B$13),Parameters!$B$13+ROW()-2,"")</f>
        <v/>
      </c>
      <c r="B113" s="14" t="n">
        <f aca="false">IF($A113="",0,IFERROR(VLOOKUP((YEAR($A113)+IF(MONTH($A113)&gt;=10,1,0))&amp;"|Boston|"&amp;MONTH($A113),Rates!$A$2:$I$181,6,FALSE()),0))</f>
        <v>0</v>
      </c>
      <c r="C113" s="14" t="n">
        <f aca="false">IF(B113=0,0,VLOOKUP(B113,MIE_Components!$A$2:$F$6,2,FALSE()))</f>
        <v>0</v>
      </c>
      <c r="D113" s="14" t="n">
        <f aca="false">IF(B113=0,0,VLOOKUP(B113,MIE_Components!$A$2:$F$6,3,FALSE()))</f>
        <v>0</v>
      </c>
      <c r="E113" s="14" t="n">
        <f aca="false">IF(B113=0,0,VLOOKUP(B113,MIE_Components!$A$2:$F$6,4,FALSE()))</f>
        <v>0</v>
      </c>
      <c r="F113" s="14" t="n">
        <f aca="false">IF(OR($A113="",B113=0),0,MAX(5,B113*IF(OR($A113=Parameters!$B$13,$A113=Parameters!$B$14),0.75,1)-(IF(AND($A113=DATE(2026,11,29),NOV29BF="Yes"),C113,0)+IF(OR($A113=DATE(2026,11,29),$A113=DATE(2026,11,30),$A113=DATE(2026,12,1),$A113=DATE(2026,12,2)),D113,0)+IF(OR($A113=DATE(2026,11,28),$A113=DATE(2026,12,1)),E113,0))))</f>
        <v>0</v>
      </c>
      <c r="G113" s="14" t="n">
        <f aca="false">IF(AND($A113&lt;&gt;"",$A113&lt;Parameters!$B$14),CityData!F3*(1+TAXRATE),0)</f>
        <v>0</v>
      </c>
      <c r="H113" s="14" t="n">
        <f aca="false">IF($A113="",0,IFERROR(VLOOKUP((YEAR($A113)+IF(MONTH($A113)&gt;=10,1,0))&amp;"|Boston|"&amp;MONTH($A113),Rates!$A$2:$I$181,5,FALSE()),0))</f>
        <v>0</v>
      </c>
      <c r="I113" s="14" t="n">
        <f aca="false">IF(OR($A113="",$A113&gt;=Parameters!$B$14),1,IF(AND(H113&gt;0,CityData!F3&lt;=H113),1,0))</f>
        <v>1</v>
      </c>
      <c r="J113" s="14" t="n">
        <f aca="false">IF($A113="",0,IFERROR(VLOOKUP((YEAR($A113)+IF(MONTH($A113)&gt;=10,1,0))&amp;"|Chicago|"&amp;MONTH($A113),Rates!$A$2:$I$181,6,FALSE()),0))</f>
        <v>0</v>
      </c>
      <c r="K113" s="14" t="n">
        <f aca="false">IF(J113=0,0,VLOOKUP(J113,MIE_Components!$A$2:$F$6,2,FALSE()))</f>
        <v>0</v>
      </c>
      <c r="L113" s="14" t="n">
        <f aca="false">IF(J113=0,0,VLOOKUP(J113,MIE_Components!$A$2:$F$6,3,FALSE()))</f>
        <v>0</v>
      </c>
      <c r="M113" s="14" t="n">
        <f aca="false">IF(J113=0,0,VLOOKUP(J113,MIE_Components!$A$2:$F$6,4,FALSE()))</f>
        <v>0</v>
      </c>
      <c r="N113" s="14" t="n">
        <f aca="false">IF(OR($A113="",J113=0),0,MAX(5,J113*IF(OR($A113=Parameters!$B$13,$A113=Parameters!$B$14),0.75,1)-(IF(AND($A113=DATE(2026,11,29),NOV29BF="Yes"),K113,0)+IF(OR($A113=DATE(2026,11,29),$A113=DATE(2026,11,30),$A113=DATE(2026,12,1),$A113=DATE(2026,12,2)),L113,0)+IF(OR($A113=DATE(2026,11,28),$A113=DATE(2026,12,1)),M113,0))))</f>
        <v>0</v>
      </c>
      <c r="O113" s="14" t="n">
        <f aca="false">IF(AND($A113&lt;&gt;"",$A113&lt;Parameters!$B$14),CityData!F4*(1+TAXRATE),0)</f>
        <v>0</v>
      </c>
      <c r="P113" s="14" t="n">
        <f aca="false">IF($A113="",0,IFERROR(VLOOKUP((YEAR($A113)+IF(MONTH($A113)&gt;=10,1,0))&amp;"|Chicago|"&amp;MONTH($A113),Rates!$A$2:$I$181,5,FALSE()),0))</f>
        <v>0</v>
      </c>
      <c r="Q113" s="14" t="n">
        <f aca="false">IF(OR($A113="",$A113&gt;=Parameters!$B$14),1,IF(AND(P113&gt;0,CityData!F4&lt;=P113),1,0))</f>
        <v>1</v>
      </c>
      <c r="R113" s="14" t="n">
        <f aca="false">IF($A113="",0,IFERROR(VLOOKUP((YEAR($A113)+IF(MONTH($A113)&gt;=10,1,0))&amp;"|Denver|"&amp;MONTH($A113),Rates!$A$2:$I$181,6,FALSE()),0))</f>
        <v>0</v>
      </c>
      <c r="S113" s="14" t="n">
        <f aca="false">IF(R113=0,0,VLOOKUP(R113,MIE_Components!$A$2:$F$6,2,FALSE()))</f>
        <v>0</v>
      </c>
      <c r="T113" s="14" t="n">
        <f aca="false">IF(R113=0,0,VLOOKUP(R113,MIE_Components!$A$2:$F$6,3,FALSE()))</f>
        <v>0</v>
      </c>
      <c r="U113" s="14" t="n">
        <f aca="false">IF(R113=0,0,VLOOKUP(R113,MIE_Components!$A$2:$F$6,4,FALSE()))</f>
        <v>0</v>
      </c>
      <c r="V113" s="14" t="n">
        <f aca="false">IF(OR($A113="",R113=0),0,MAX(5,R113*IF(OR($A113=Parameters!$B$13,$A113=Parameters!$B$14),0.75,1)-(IF(AND($A113=DATE(2026,11,29),NOV29BF="Yes"),S113,0)+IF(OR($A113=DATE(2026,11,29),$A113=DATE(2026,11,30),$A113=DATE(2026,12,1),$A113=DATE(2026,12,2)),T113,0)+IF(OR($A113=DATE(2026,11,28),$A113=DATE(2026,12,1)),U113,0))))</f>
        <v>0</v>
      </c>
      <c r="W113" s="14" t="n">
        <f aca="false">IF(AND($A113&lt;&gt;"",$A113&lt;Parameters!$B$14),CityData!F5*(1+TAXRATE),0)</f>
        <v>0</v>
      </c>
      <c r="X113" s="14" t="n">
        <f aca="false">IF($A113="",0,IFERROR(VLOOKUP((YEAR($A113)+IF(MONTH($A113)&gt;=10,1,0))&amp;"|Denver|"&amp;MONTH($A113),Rates!$A$2:$I$181,5,FALSE()),0))</f>
        <v>0</v>
      </c>
      <c r="Y113" s="14" t="n">
        <f aca="false">IF(OR($A113="",$A113&gt;=Parameters!$B$14),1,IF(AND(X113&gt;0,CityData!F5&lt;=X113),1,0))</f>
        <v>1</v>
      </c>
      <c r="Z113" s="14" t="n">
        <f aca="false">IF($A113="",0,IFERROR(VLOOKUP((YEAR($A113)+IF(MONTH($A113)&gt;=10,1,0))&amp;"|Phoenix|"&amp;MONTH($A113),Rates!$A$2:$I$181,6,FALSE()),0))</f>
        <v>0</v>
      </c>
      <c r="AA113" s="14" t="n">
        <f aca="false">IF(Z113=0,0,VLOOKUP(Z113,MIE_Components!$A$2:$F$6,2,FALSE()))</f>
        <v>0</v>
      </c>
      <c r="AB113" s="14" t="n">
        <f aca="false">IF(Z113=0,0,VLOOKUP(Z113,MIE_Components!$A$2:$F$6,3,FALSE()))</f>
        <v>0</v>
      </c>
      <c r="AC113" s="14" t="n">
        <f aca="false">IF(Z113=0,0,VLOOKUP(Z113,MIE_Components!$A$2:$F$6,4,FALSE()))</f>
        <v>0</v>
      </c>
      <c r="AD113" s="14" t="n">
        <f aca="false">IF(OR($A113="",Z113=0),0,MAX(5,Z113*IF(OR($A113=Parameters!$B$13,$A113=Parameters!$B$14),0.75,1)-(IF(AND($A113=DATE(2026,11,29),NOV29BF="Yes"),AA113,0)+IF(OR($A113=DATE(2026,11,29),$A113=DATE(2026,11,30),$A113=DATE(2026,12,1),$A113=DATE(2026,12,2)),AB113,0)+IF(OR($A113=DATE(2026,11,28),$A113=DATE(2026,12,1)),AC113,0))))</f>
        <v>0</v>
      </c>
      <c r="AE113" s="14" t="n">
        <f aca="false">IF(AND($A113&lt;&gt;"",$A113&lt;Parameters!$B$14),CityData!F6*(1+TAXRATE),0)</f>
        <v>0</v>
      </c>
      <c r="AF113" s="14" t="n">
        <f aca="false">IF($A113="",0,IFERROR(VLOOKUP((YEAR($A113)+IF(MONTH($A113)&gt;=10,1,0))&amp;"|Phoenix|"&amp;MONTH($A113),Rates!$A$2:$I$181,5,FALSE()),0))</f>
        <v>0</v>
      </c>
      <c r="AG113" s="14" t="n">
        <f aca="false">IF(OR($A113="",$A113&gt;=Parameters!$B$14),1,IF(AND(AF113&gt;0,CityData!F6&lt;=AF113),1,0))</f>
        <v>1</v>
      </c>
      <c r="AH113" s="14" t="n">
        <f aca="false">IF($A113="",0,IFERROR(VLOOKUP((YEAR($A113)+IF(MONTH($A113)&gt;=10,1,0))&amp;"|Seattle|"&amp;MONTH($A113),Rates!$A$2:$I$181,6,FALSE()),0))</f>
        <v>0</v>
      </c>
      <c r="AI113" s="14" t="n">
        <f aca="false">IF(AH113=0,0,VLOOKUP(AH113,MIE_Components!$A$2:$F$6,2,FALSE()))</f>
        <v>0</v>
      </c>
      <c r="AJ113" s="14" t="n">
        <f aca="false">IF(AH113=0,0,VLOOKUP(AH113,MIE_Components!$A$2:$F$6,3,FALSE()))</f>
        <v>0</v>
      </c>
      <c r="AK113" s="14" t="n">
        <f aca="false">IF(AH113=0,0,VLOOKUP(AH113,MIE_Components!$A$2:$F$6,4,FALSE()))</f>
        <v>0</v>
      </c>
      <c r="AL113" s="14" t="n">
        <f aca="false">IF(OR($A113="",AH113=0),0,MAX(5,AH113*IF(OR($A113=Parameters!$B$13,$A113=Parameters!$B$14),0.75,1)-(IF(AND($A113=DATE(2026,11,29),NOV29BF="Yes"),AI113,0)+IF(OR($A113=DATE(2026,11,29),$A113=DATE(2026,11,30),$A113=DATE(2026,12,1),$A113=DATE(2026,12,2)),AJ113,0)+IF(OR($A113=DATE(2026,11,28),$A113=DATE(2026,12,1)),AK113,0))))</f>
        <v>0</v>
      </c>
      <c r="AM113" s="14" t="n">
        <f aca="false">IF(AND($A113&lt;&gt;"",$A113&lt;Parameters!$B$14),CityData!F7*(1+TAXRATE),0)</f>
        <v>0</v>
      </c>
      <c r="AN113" s="14" t="n">
        <f aca="false">IF($A113="",0,IFERROR(VLOOKUP((YEAR($A113)+IF(MONTH($A113)&gt;=10,1,0))&amp;"|Seattle|"&amp;MONTH($A113),Rates!$A$2:$I$181,5,FALSE()),0))</f>
        <v>0</v>
      </c>
      <c r="AO113" s="14" t="n">
        <f aca="false">IF(OR($A113="",$A113&gt;=Parameters!$B$14),1,IF(AND(AN113&gt;0,CityData!F7&lt;=AN113),1,0))</f>
        <v>1</v>
      </c>
    </row>
    <row r="114" customFormat="false" ht="15" hidden="false" customHeight="true" outlineLevel="0" collapsed="false">
      <c r="A114" s="23" t="str">
        <f aca="false">IF(AND(Parameters!$B$14&gt;=Parameters!$B$13,ROW()-2&lt;=Parameters!$B$14-Parameters!$B$13),Parameters!$B$13+ROW()-2,"")</f>
        <v/>
      </c>
      <c r="B114" s="14" t="n">
        <f aca="false">IF($A114="",0,IFERROR(VLOOKUP((YEAR($A114)+IF(MONTH($A114)&gt;=10,1,0))&amp;"|Boston|"&amp;MONTH($A114),Rates!$A$2:$I$181,6,FALSE()),0))</f>
        <v>0</v>
      </c>
      <c r="C114" s="14" t="n">
        <f aca="false">IF(B114=0,0,VLOOKUP(B114,MIE_Components!$A$2:$F$6,2,FALSE()))</f>
        <v>0</v>
      </c>
      <c r="D114" s="14" t="n">
        <f aca="false">IF(B114=0,0,VLOOKUP(B114,MIE_Components!$A$2:$F$6,3,FALSE()))</f>
        <v>0</v>
      </c>
      <c r="E114" s="14" t="n">
        <f aca="false">IF(B114=0,0,VLOOKUP(B114,MIE_Components!$A$2:$F$6,4,FALSE()))</f>
        <v>0</v>
      </c>
      <c r="F114" s="14" t="n">
        <f aca="false">IF(OR($A114="",B114=0),0,MAX(5,B114*IF(OR($A114=Parameters!$B$13,$A114=Parameters!$B$14),0.75,1)-(IF(AND($A114=DATE(2026,11,29),NOV29BF="Yes"),C114,0)+IF(OR($A114=DATE(2026,11,29),$A114=DATE(2026,11,30),$A114=DATE(2026,12,1),$A114=DATE(2026,12,2)),D114,0)+IF(OR($A114=DATE(2026,11,28),$A114=DATE(2026,12,1)),E114,0))))</f>
        <v>0</v>
      </c>
      <c r="G114" s="14" t="n">
        <f aca="false">IF(AND($A114&lt;&gt;"",$A114&lt;Parameters!$B$14),CityData!F3*(1+TAXRATE),0)</f>
        <v>0</v>
      </c>
      <c r="H114" s="14" t="n">
        <f aca="false">IF($A114="",0,IFERROR(VLOOKUP((YEAR($A114)+IF(MONTH($A114)&gt;=10,1,0))&amp;"|Boston|"&amp;MONTH($A114),Rates!$A$2:$I$181,5,FALSE()),0))</f>
        <v>0</v>
      </c>
      <c r="I114" s="14" t="n">
        <f aca="false">IF(OR($A114="",$A114&gt;=Parameters!$B$14),1,IF(AND(H114&gt;0,CityData!F3&lt;=H114),1,0))</f>
        <v>1</v>
      </c>
      <c r="J114" s="14" t="n">
        <f aca="false">IF($A114="",0,IFERROR(VLOOKUP((YEAR($A114)+IF(MONTH($A114)&gt;=10,1,0))&amp;"|Chicago|"&amp;MONTH($A114),Rates!$A$2:$I$181,6,FALSE()),0))</f>
        <v>0</v>
      </c>
      <c r="K114" s="14" t="n">
        <f aca="false">IF(J114=0,0,VLOOKUP(J114,MIE_Components!$A$2:$F$6,2,FALSE()))</f>
        <v>0</v>
      </c>
      <c r="L114" s="14" t="n">
        <f aca="false">IF(J114=0,0,VLOOKUP(J114,MIE_Components!$A$2:$F$6,3,FALSE()))</f>
        <v>0</v>
      </c>
      <c r="M114" s="14" t="n">
        <f aca="false">IF(J114=0,0,VLOOKUP(J114,MIE_Components!$A$2:$F$6,4,FALSE()))</f>
        <v>0</v>
      </c>
      <c r="N114" s="14" t="n">
        <f aca="false">IF(OR($A114="",J114=0),0,MAX(5,J114*IF(OR($A114=Parameters!$B$13,$A114=Parameters!$B$14),0.75,1)-(IF(AND($A114=DATE(2026,11,29),NOV29BF="Yes"),K114,0)+IF(OR($A114=DATE(2026,11,29),$A114=DATE(2026,11,30),$A114=DATE(2026,12,1),$A114=DATE(2026,12,2)),L114,0)+IF(OR($A114=DATE(2026,11,28),$A114=DATE(2026,12,1)),M114,0))))</f>
        <v>0</v>
      </c>
      <c r="O114" s="14" t="n">
        <f aca="false">IF(AND($A114&lt;&gt;"",$A114&lt;Parameters!$B$14),CityData!F4*(1+TAXRATE),0)</f>
        <v>0</v>
      </c>
      <c r="P114" s="14" t="n">
        <f aca="false">IF($A114="",0,IFERROR(VLOOKUP((YEAR($A114)+IF(MONTH($A114)&gt;=10,1,0))&amp;"|Chicago|"&amp;MONTH($A114),Rates!$A$2:$I$181,5,FALSE()),0))</f>
        <v>0</v>
      </c>
      <c r="Q114" s="14" t="n">
        <f aca="false">IF(OR($A114="",$A114&gt;=Parameters!$B$14),1,IF(AND(P114&gt;0,CityData!F4&lt;=P114),1,0))</f>
        <v>1</v>
      </c>
      <c r="R114" s="14" t="n">
        <f aca="false">IF($A114="",0,IFERROR(VLOOKUP((YEAR($A114)+IF(MONTH($A114)&gt;=10,1,0))&amp;"|Denver|"&amp;MONTH($A114),Rates!$A$2:$I$181,6,FALSE()),0))</f>
        <v>0</v>
      </c>
      <c r="S114" s="14" t="n">
        <f aca="false">IF(R114=0,0,VLOOKUP(R114,MIE_Components!$A$2:$F$6,2,FALSE()))</f>
        <v>0</v>
      </c>
      <c r="T114" s="14" t="n">
        <f aca="false">IF(R114=0,0,VLOOKUP(R114,MIE_Components!$A$2:$F$6,3,FALSE()))</f>
        <v>0</v>
      </c>
      <c r="U114" s="14" t="n">
        <f aca="false">IF(R114=0,0,VLOOKUP(R114,MIE_Components!$A$2:$F$6,4,FALSE()))</f>
        <v>0</v>
      </c>
      <c r="V114" s="14" t="n">
        <f aca="false">IF(OR($A114="",R114=0),0,MAX(5,R114*IF(OR($A114=Parameters!$B$13,$A114=Parameters!$B$14),0.75,1)-(IF(AND($A114=DATE(2026,11,29),NOV29BF="Yes"),S114,0)+IF(OR($A114=DATE(2026,11,29),$A114=DATE(2026,11,30),$A114=DATE(2026,12,1),$A114=DATE(2026,12,2)),T114,0)+IF(OR($A114=DATE(2026,11,28),$A114=DATE(2026,12,1)),U114,0))))</f>
        <v>0</v>
      </c>
      <c r="W114" s="14" t="n">
        <f aca="false">IF(AND($A114&lt;&gt;"",$A114&lt;Parameters!$B$14),CityData!F5*(1+TAXRATE),0)</f>
        <v>0</v>
      </c>
      <c r="X114" s="14" t="n">
        <f aca="false">IF($A114="",0,IFERROR(VLOOKUP((YEAR($A114)+IF(MONTH($A114)&gt;=10,1,0))&amp;"|Denver|"&amp;MONTH($A114),Rates!$A$2:$I$181,5,FALSE()),0))</f>
        <v>0</v>
      </c>
      <c r="Y114" s="14" t="n">
        <f aca="false">IF(OR($A114="",$A114&gt;=Parameters!$B$14),1,IF(AND(X114&gt;0,CityData!F5&lt;=X114),1,0))</f>
        <v>1</v>
      </c>
      <c r="Z114" s="14" t="n">
        <f aca="false">IF($A114="",0,IFERROR(VLOOKUP((YEAR($A114)+IF(MONTH($A114)&gt;=10,1,0))&amp;"|Phoenix|"&amp;MONTH($A114),Rates!$A$2:$I$181,6,FALSE()),0))</f>
        <v>0</v>
      </c>
      <c r="AA114" s="14" t="n">
        <f aca="false">IF(Z114=0,0,VLOOKUP(Z114,MIE_Components!$A$2:$F$6,2,FALSE()))</f>
        <v>0</v>
      </c>
      <c r="AB114" s="14" t="n">
        <f aca="false">IF(Z114=0,0,VLOOKUP(Z114,MIE_Components!$A$2:$F$6,3,FALSE()))</f>
        <v>0</v>
      </c>
      <c r="AC114" s="14" t="n">
        <f aca="false">IF(Z114=0,0,VLOOKUP(Z114,MIE_Components!$A$2:$F$6,4,FALSE()))</f>
        <v>0</v>
      </c>
      <c r="AD114" s="14" t="n">
        <f aca="false">IF(OR($A114="",Z114=0),0,MAX(5,Z114*IF(OR($A114=Parameters!$B$13,$A114=Parameters!$B$14),0.75,1)-(IF(AND($A114=DATE(2026,11,29),NOV29BF="Yes"),AA114,0)+IF(OR($A114=DATE(2026,11,29),$A114=DATE(2026,11,30),$A114=DATE(2026,12,1),$A114=DATE(2026,12,2)),AB114,0)+IF(OR($A114=DATE(2026,11,28),$A114=DATE(2026,12,1)),AC114,0))))</f>
        <v>0</v>
      </c>
      <c r="AE114" s="14" t="n">
        <f aca="false">IF(AND($A114&lt;&gt;"",$A114&lt;Parameters!$B$14),CityData!F6*(1+TAXRATE),0)</f>
        <v>0</v>
      </c>
      <c r="AF114" s="14" t="n">
        <f aca="false">IF($A114="",0,IFERROR(VLOOKUP((YEAR($A114)+IF(MONTH($A114)&gt;=10,1,0))&amp;"|Phoenix|"&amp;MONTH($A114),Rates!$A$2:$I$181,5,FALSE()),0))</f>
        <v>0</v>
      </c>
      <c r="AG114" s="14" t="n">
        <f aca="false">IF(OR($A114="",$A114&gt;=Parameters!$B$14),1,IF(AND(AF114&gt;0,CityData!F6&lt;=AF114),1,0))</f>
        <v>1</v>
      </c>
      <c r="AH114" s="14" t="n">
        <f aca="false">IF($A114="",0,IFERROR(VLOOKUP((YEAR($A114)+IF(MONTH($A114)&gt;=10,1,0))&amp;"|Seattle|"&amp;MONTH($A114),Rates!$A$2:$I$181,6,FALSE()),0))</f>
        <v>0</v>
      </c>
      <c r="AI114" s="14" t="n">
        <f aca="false">IF(AH114=0,0,VLOOKUP(AH114,MIE_Components!$A$2:$F$6,2,FALSE()))</f>
        <v>0</v>
      </c>
      <c r="AJ114" s="14" t="n">
        <f aca="false">IF(AH114=0,0,VLOOKUP(AH114,MIE_Components!$A$2:$F$6,3,FALSE()))</f>
        <v>0</v>
      </c>
      <c r="AK114" s="14" t="n">
        <f aca="false">IF(AH114=0,0,VLOOKUP(AH114,MIE_Components!$A$2:$F$6,4,FALSE()))</f>
        <v>0</v>
      </c>
      <c r="AL114" s="14" t="n">
        <f aca="false">IF(OR($A114="",AH114=0),0,MAX(5,AH114*IF(OR($A114=Parameters!$B$13,$A114=Parameters!$B$14),0.75,1)-(IF(AND($A114=DATE(2026,11,29),NOV29BF="Yes"),AI114,0)+IF(OR($A114=DATE(2026,11,29),$A114=DATE(2026,11,30),$A114=DATE(2026,12,1),$A114=DATE(2026,12,2)),AJ114,0)+IF(OR($A114=DATE(2026,11,28),$A114=DATE(2026,12,1)),AK114,0))))</f>
        <v>0</v>
      </c>
      <c r="AM114" s="14" t="n">
        <f aca="false">IF(AND($A114&lt;&gt;"",$A114&lt;Parameters!$B$14),CityData!F7*(1+TAXRATE),0)</f>
        <v>0</v>
      </c>
      <c r="AN114" s="14" t="n">
        <f aca="false">IF($A114="",0,IFERROR(VLOOKUP((YEAR($A114)+IF(MONTH($A114)&gt;=10,1,0))&amp;"|Seattle|"&amp;MONTH($A114),Rates!$A$2:$I$181,5,FALSE()),0))</f>
        <v>0</v>
      </c>
      <c r="AO114" s="14" t="n">
        <f aca="false">IF(OR($A114="",$A114&gt;=Parameters!$B$14),1,IF(AND(AN114&gt;0,CityData!F7&lt;=AN114),1,0))</f>
        <v>1</v>
      </c>
    </row>
    <row r="115" customFormat="false" ht="15" hidden="false" customHeight="true" outlineLevel="0" collapsed="false">
      <c r="A115" s="23" t="str">
        <f aca="false">IF(AND(Parameters!$B$14&gt;=Parameters!$B$13,ROW()-2&lt;=Parameters!$B$14-Parameters!$B$13),Parameters!$B$13+ROW()-2,"")</f>
        <v/>
      </c>
      <c r="B115" s="14" t="n">
        <f aca="false">IF($A115="",0,IFERROR(VLOOKUP((YEAR($A115)+IF(MONTH($A115)&gt;=10,1,0))&amp;"|Boston|"&amp;MONTH($A115),Rates!$A$2:$I$181,6,FALSE()),0))</f>
        <v>0</v>
      </c>
      <c r="C115" s="14" t="n">
        <f aca="false">IF(B115=0,0,VLOOKUP(B115,MIE_Components!$A$2:$F$6,2,FALSE()))</f>
        <v>0</v>
      </c>
      <c r="D115" s="14" t="n">
        <f aca="false">IF(B115=0,0,VLOOKUP(B115,MIE_Components!$A$2:$F$6,3,FALSE()))</f>
        <v>0</v>
      </c>
      <c r="E115" s="14" t="n">
        <f aca="false">IF(B115=0,0,VLOOKUP(B115,MIE_Components!$A$2:$F$6,4,FALSE()))</f>
        <v>0</v>
      </c>
      <c r="F115" s="14" t="n">
        <f aca="false">IF(OR($A115="",B115=0),0,MAX(5,B115*IF(OR($A115=Parameters!$B$13,$A115=Parameters!$B$14),0.75,1)-(IF(AND($A115=DATE(2026,11,29),NOV29BF="Yes"),C115,0)+IF(OR($A115=DATE(2026,11,29),$A115=DATE(2026,11,30),$A115=DATE(2026,12,1),$A115=DATE(2026,12,2)),D115,0)+IF(OR($A115=DATE(2026,11,28),$A115=DATE(2026,12,1)),E115,0))))</f>
        <v>0</v>
      </c>
      <c r="G115" s="14" t="n">
        <f aca="false">IF(AND($A115&lt;&gt;"",$A115&lt;Parameters!$B$14),CityData!F3*(1+TAXRATE),0)</f>
        <v>0</v>
      </c>
      <c r="H115" s="14" t="n">
        <f aca="false">IF($A115="",0,IFERROR(VLOOKUP((YEAR($A115)+IF(MONTH($A115)&gt;=10,1,0))&amp;"|Boston|"&amp;MONTH($A115),Rates!$A$2:$I$181,5,FALSE()),0))</f>
        <v>0</v>
      </c>
      <c r="I115" s="14" t="n">
        <f aca="false">IF(OR($A115="",$A115&gt;=Parameters!$B$14),1,IF(AND(H115&gt;0,CityData!F3&lt;=H115),1,0))</f>
        <v>1</v>
      </c>
      <c r="J115" s="14" t="n">
        <f aca="false">IF($A115="",0,IFERROR(VLOOKUP((YEAR($A115)+IF(MONTH($A115)&gt;=10,1,0))&amp;"|Chicago|"&amp;MONTH($A115),Rates!$A$2:$I$181,6,FALSE()),0))</f>
        <v>0</v>
      </c>
      <c r="K115" s="14" t="n">
        <f aca="false">IF(J115=0,0,VLOOKUP(J115,MIE_Components!$A$2:$F$6,2,FALSE()))</f>
        <v>0</v>
      </c>
      <c r="L115" s="14" t="n">
        <f aca="false">IF(J115=0,0,VLOOKUP(J115,MIE_Components!$A$2:$F$6,3,FALSE()))</f>
        <v>0</v>
      </c>
      <c r="M115" s="14" t="n">
        <f aca="false">IF(J115=0,0,VLOOKUP(J115,MIE_Components!$A$2:$F$6,4,FALSE()))</f>
        <v>0</v>
      </c>
      <c r="N115" s="14" t="n">
        <f aca="false">IF(OR($A115="",J115=0),0,MAX(5,J115*IF(OR($A115=Parameters!$B$13,$A115=Parameters!$B$14),0.75,1)-(IF(AND($A115=DATE(2026,11,29),NOV29BF="Yes"),K115,0)+IF(OR($A115=DATE(2026,11,29),$A115=DATE(2026,11,30),$A115=DATE(2026,12,1),$A115=DATE(2026,12,2)),L115,0)+IF(OR($A115=DATE(2026,11,28),$A115=DATE(2026,12,1)),M115,0))))</f>
        <v>0</v>
      </c>
      <c r="O115" s="14" t="n">
        <f aca="false">IF(AND($A115&lt;&gt;"",$A115&lt;Parameters!$B$14),CityData!F4*(1+TAXRATE),0)</f>
        <v>0</v>
      </c>
      <c r="P115" s="14" t="n">
        <f aca="false">IF($A115="",0,IFERROR(VLOOKUP((YEAR($A115)+IF(MONTH($A115)&gt;=10,1,0))&amp;"|Chicago|"&amp;MONTH($A115),Rates!$A$2:$I$181,5,FALSE()),0))</f>
        <v>0</v>
      </c>
      <c r="Q115" s="14" t="n">
        <f aca="false">IF(OR($A115="",$A115&gt;=Parameters!$B$14),1,IF(AND(P115&gt;0,CityData!F4&lt;=P115),1,0))</f>
        <v>1</v>
      </c>
      <c r="R115" s="14" t="n">
        <f aca="false">IF($A115="",0,IFERROR(VLOOKUP((YEAR($A115)+IF(MONTH($A115)&gt;=10,1,0))&amp;"|Denver|"&amp;MONTH($A115),Rates!$A$2:$I$181,6,FALSE()),0))</f>
        <v>0</v>
      </c>
      <c r="S115" s="14" t="n">
        <f aca="false">IF(R115=0,0,VLOOKUP(R115,MIE_Components!$A$2:$F$6,2,FALSE()))</f>
        <v>0</v>
      </c>
      <c r="T115" s="14" t="n">
        <f aca="false">IF(R115=0,0,VLOOKUP(R115,MIE_Components!$A$2:$F$6,3,FALSE()))</f>
        <v>0</v>
      </c>
      <c r="U115" s="14" t="n">
        <f aca="false">IF(R115=0,0,VLOOKUP(R115,MIE_Components!$A$2:$F$6,4,FALSE()))</f>
        <v>0</v>
      </c>
      <c r="V115" s="14" t="n">
        <f aca="false">IF(OR($A115="",R115=0),0,MAX(5,R115*IF(OR($A115=Parameters!$B$13,$A115=Parameters!$B$14),0.75,1)-(IF(AND($A115=DATE(2026,11,29),NOV29BF="Yes"),S115,0)+IF(OR($A115=DATE(2026,11,29),$A115=DATE(2026,11,30),$A115=DATE(2026,12,1),$A115=DATE(2026,12,2)),T115,0)+IF(OR($A115=DATE(2026,11,28),$A115=DATE(2026,12,1)),U115,0))))</f>
        <v>0</v>
      </c>
      <c r="W115" s="14" t="n">
        <f aca="false">IF(AND($A115&lt;&gt;"",$A115&lt;Parameters!$B$14),CityData!F5*(1+TAXRATE),0)</f>
        <v>0</v>
      </c>
      <c r="X115" s="14" t="n">
        <f aca="false">IF($A115="",0,IFERROR(VLOOKUP((YEAR($A115)+IF(MONTH($A115)&gt;=10,1,0))&amp;"|Denver|"&amp;MONTH($A115),Rates!$A$2:$I$181,5,FALSE()),0))</f>
        <v>0</v>
      </c>
      <c r="Y115" s="14" t="n">
        <f aca="false">IF(OR($A115="",$A115&gt;=Parameters!$B$14),1,IF(AND(X115&gt;0,CityData!F5&lt;=X115),1,0))</f>
        <v>1</v>
      </c>
      <c r="Z115" s="14" t="n">
        <f aca="false">IF($A115="",0,IFERROR(VLOOKUP((YEAR($A115)+IF(MONTH($A115)&gt;=10,1,0))&amp;"|Phoenix|"&amp;MONTH($A115),Rates!$A$2:$I$181,6,FALSE()),0))</f>
        <v>0</v>
      </c>
      <c r="AA115" s="14" t="n">
        <f aca="false">IF(Z115=0,0,VLOOKUP(Z115,MIE_Components!$A$2:$F$6,2,FALSE()))</f>
        <v>0</v>
      </c>
      <c r="AB115" s="14" t="n">
        <f aca="false">IF(Z115=0,0,VLOOKUP(Z115,MIE_Components!$A$2:$F$6,3,FALSE()))</f>
        <v>0</v>
      </c>
      <c r="AC115" s="14" t="n">
        <f aca="false">IF(Z115=0,0,VLOOKUP(Z115,MIE_Components!$A$2:$F$6,4,FALSE()))</f>
        <v>0</v>
      </c>
      <c r="AD115" s="14" t="n">
        <f aca="false">IF(OR($A115="",Z115=0),0,MAX(5,Z115*IF(OR($A115=Parameters!$B$13,$A115=Parameters!$B$14),0.75,1)-(IF(AND($A115=DATE(2026,11,29),NOV29BF="Yes"),AA115,0)+IF(OR($A115=DATE(2026,11,29),$A115=DATE(2026,11,30),$A115=DATE(2026,12,1),$A115=DATE(2026,12,2)),AB115,0)+IF(OR($A115=DATE(2026,11,28),$A115=DATE(2026,12,1)),AC115,0))))</f>
        <v>0</v>
      </c>
      <c r="AE115" s="14" t="n">
        <f aca="false">IF(AND($A115&lt;&gt;"",$A115&lt;Parameters!$B$14),CityData!F6*(1+TAXRATE),0)</f>
        <v>0</v>
      </c>
      <c r="AF115" s="14" t="n">
        <f aca="false">IF($A115="",0,IFERROR(VLOOKUP((YEAR($A115)+IF(MONTH($A115)&gt;=10,1,0))&amp;"|Phoenix|"&amp;MONTH($A115),Rates!$A$2:$I$181,5,FALSE()),0))</f>
        <v>0</v>
      </c>
      <c r="AG115" s="14" t="n">
        <f aca="false">IF(OR($A115="",$A115&gt;=Parameters!$B$14),1,IF(AND(AF115&gt;0,CityData!F6&lt;=AF115),1,0))</f>
        <v>1</v>
      </c>
      <c r="AH115" s="14" t="n">
        <f aca="false">IF($A115="",0,IFERROR(VLOOKUP((YEAR($A115)+IF(MONTH($A115)&gt;=10,1,0))&amp;"|Seattle|"&amp;MONTH($A115),Rates!$A$2:$I$181,6,FALSE()),0))</f>
        <v>0</v>
      </c>
      <c r="AI115" s="14" t="n">
        <f aca="false">IF(AH115=0,0,VLOOKUP(AH115,MIE_Components!$A$2:$F$6,2,FALSE()))</f>
        <v>0</v>
      </c>
      <c r="AJ115" s="14" t="n">
        <f aca="false">IF(AH115=0,0,VLOOKUP(AH115,MIE_Components!$A$2:$F$6,3,FALSE()))</f>
        <v>0</v>
      </c>
      <c r="AK115" s="14" t="n">
        <f aca="false">IF(AH115=0,0,VLOOKUP(AH115,MIE_Components!$A$2:$F$6,4,FALSE()))</f>
        <v>0</v>
      </c>
      <c r="AL115" s="14" t="n">
        <f aca="false">IF(OR($A115="",AH115=0),0,MAX(5,AH115*IF(OR($A115=Parameters!$B$13,$A115=Parameters!$B$14),0.75,1)-(IF(AND($A115=DATE(2026,11,29),NOV29BF="Yes"),AI115,0)+IF(OR($A115=DATE(2026,11,29),$A115=DATE(2026,11,30),$A115=DATE(2026,12,1),$A115=DATE(2026,12,2)),AJ115,0)+IF(OR($A115=DATE(2026,11,28),$A115=DATE(2026,12,1)),AK115,0))))</f>
        <v>0</v>
      </c>
      <c r="AM115" s="14" t="n">
        <f aca="false">IF(AND($A115&lt;&gt;"",$A115&lt;Parameters!$B$14),CityData!F7*(1+TAXRATE),0)</f>
        <v>0</v>
      </c>
      <c r="AN115" s="14" t="n">
        <f aca="false">IF($A115="",0,IFERROR(VLOOKUP((YEAR($A115)+IF(MONTH($A115)&gt;=10,1,0))&amp;"|Seattle|"&amp;MONTH($A115),Rates!$A$2:$I$181,5,FALSE()),0))</f>
        <v>0</v>
      </c>
      <c r="AO115" s="14" t="n">
        <f aca="false">IF(OR($A115="",$A115&gt;=Parameters!$B$14),1,IF(AND(AN115&gt;0,CityData!F7&lt;=AN115),1,0))</f>
        <v>1</v>
      </c>
    </row>
    <row r="116" customFormat="false" ht="15" hidden="false" customHeight="true" outlineLevel="0" collapsed="false">
      <c r="A116" s="23" t="str">
        <f aca="false">IF(AND(Parameters!$B$14&gt;=Parameters!$B$13,ROW()-2&lt;=Parameters!$B$14-Parameters!$B$13),Parameters!$B$13+ROW()-2,"")</f>
        <v/>
      </c>
      <c r="B116" s="14" t="n">
        <f aca="false">IF($A116="",0,IFERROR(VLOOKUP((YEAR($A116)+IF(MONTH($A116)&gt;=10,1,0))&amp;"|Boston|"&amp;MONTH($A116),Rates!$A$2:$I$181,6,FALSE()),0))</f>
        <v>0</v>
      </c>
      <c r="C116" s="14" t="n">
        <f aca="false">IF(B116=0,0,VLOOKUP(B116,MIE_Components!$A$2:$F$6,2,FALSE()))</f>
        <v>0</v>
      </c>
      <c r="D116" s="14" t="n">
        <f aca="false">IF(B116=0,0,VLOOKUP(B116,MIE_Components!$A$2:$F$6,3,FALSE()))</f>
        <v>0</v>
      </c>
      <c r="E116" s="14" t="n">
        <f aca="false">IF(B116=0,0,VLOOKUP(B116,MIE_Components!$A$2:$F$6,4,FALSE()))</f>
        <v>0</v>
      </c>
      <c r="F116" s="14" t="n">
        <f aca="false">IF(OR($A116="",B116=0),0,MAX(5,B116*IF(OR($A116=Parameters!$B$13,$A116=Parameters!$B$14),0.75,1)-(IF(AND($A116=DATE(2026,11,29),NOV29BF="Yes"),C116,0)+IF(OR($A116=DATE(2026,11,29),$A116=DATE(2026,11,30),$A116=DATE(2026,12,1),$A116=DATE(2026,12,2)),D116,0)+IF(OR($A116=DATE(2026,11,28),$A116=DATE(2026,12,1)),E116,0))))</f>
        <v>0</v>
      </c>
      <c r="G116" s="14" t="n">
        <f aca="false">IF(AND($A116&lt;&gt;"",$A116&lt;Parameters!$B$14),CityData!F3*(1+TAXRATE),0)</f>
        <v>0</v>
      </c>
      <c r="H116" s="14" t="n">
        <f aca="false">IF($A116="",0,IFERROR(VLOOKUP((YEAR($A116)+IF(MONTH($A116)&gt;=10,1,0))&amp;"|Boston|"&amp;MONTH($A116),Rates!$A$2:$I$181,5,FALSE()),0))</f>
        <v>0</v>
      </c>
      <c r="I116" s="14" t="n">
        <f aca="false">IF(OR($A116="",$A116&gt;=Parameters!$B$14),1,IF(AND(H116&gt;0,CityData!F3&lt;=H116),1,0))</f>
        <v>1</v>
      </c>
      <c r="J116" s="14" t="n">
        <f aca="false">IF($A116="",0,IFERROR(VLOOKUP((YEAR($A116)+IF(MONTH($A116)&gt;=10,1,0))&amp;"|Chicago|"&amp;MONTH($A116),Rates!$A$2:$I$181,6,FALSE()),0))</f>
        <v>0</v>
      </c>
      <c r="K116" s="14" t="n">
        <f aca="false">IF(J116=0,0,VLOOKUP(J116,MIE_Components!$A$2:$F$6,2,FALSE()))</f>
        <v>0</v>
      </c>
      <c r="L116" s="14" t="n">
        <f aca="false">IF(J116=0,0,VLOOKUP(J116,MIE_Components!$A$2:$F$6,3,FALSE()))</f>
        <v>0</v>
      </c>
      <c r="M116" s="14" t="n">
        <f aca="false">IF(J116=0,0,VLOOKUP(J116,MIE_Components!$A$2:$F$6,4,FALSE()))</f>
        <v>0</v>
      </c>
      <c r="N116" s="14" t="n">
        <f aca="false">IF(OR($A116="",J116=0),0,MAX(5,J116*IF(OR($A116=Parameters!$B$13,$A116=Parameters!$B$14),0.75,1)-(IF(AND($A116=DATE(2026,11,29),NOV29BF="Yes"),K116,0)+IF(OR($A116=DATE(2026,11,29),$A116=DATE(2026,11,30),$A116=DATE(2026,12,1),$A116=DATE(2026,12,2)),L116,0)+IF(OR($A116=DATE(2026,11,28),$A116=DATE(2026,12,1)),M116,0))))</f>
        <v>0</v>
      </c>
      <c r="O116" s="14" t="n">
        <f aca="false">IF(AND($A116&lt;&gt;"",$A116&lt;Parameters!$B$14),CityData!F4*(1+TAXRATE),0)</f>
        <v>0</v>
      </c>
      <c r="P116" s="14" t="n">
        <f aca="false">IF($A116="",0,IFERROR(VLOOKUP((YEAR($A116)+IF(MONTH($A116)&gt;=10,1,0))&amp;"|Chicago|"&amp;MONTH($A116),Rates!$A$2:$I$181,5,FALSE()),0))</f>
        <v>0</v>
      </c>
      <c r="Q116" s="14" t="n">
        <f aca="false">IF(OR($A116="",$A116&gt;=Parameters!$B$14),1,IF(AND(P116&gt;0,CityData!F4&lt;=P116),1,0))</f>
        <v>1</v>
      </c>
      <c r="R116" s="14" t="n">
        <f aca="false">IF($A116="",0,IFERROR(VLOOKUP((YEAR($A116)+IF(MONTH($A116)&gt;=10,1,0))&amp;"|Denver|"&amp;MONTH($A116),Rates!$A$2:$I$181,6,FALSE()),0))</f>
        <v>0</v>
      </c>
      <c r="S116" s="14" t="n">
        <f aca="false">IF(R116=0,0,VLOOKUP(R116,MIE_Components!$A$2:$F$6,2,FALSE()))</f>
        <v>0</v>
      </c>
      <c r="T116" s="14" t="n">
        <f aca="false">IF(R116=0,0,VLOOKUP(R116,MIE_Components!$A$2:$F$6,3,FALSE()))</f>
        <v>0</v>
      </c>
      <c r="U116" s="14" t="n">
        <f aca="false">IF(R116=0,0,VLOOKUP(R116,MIE_Components!$A$2:$F$6,4,FALSE()))</f>
        <v>0</v>
      </c>
      <c r="V116" s="14" t="n">
        <f aca="false">IF(OR($A116="",R116=0),0,MAX(5,R116*IF(OR($A116=Parameters!$B$13,$A116=Parameters!$B$14),0.75,1)-(IF(AND($A116=DATE(2026,11,29),NOV29BF="Yes"),S116,0)+IF(OR($A116=DATE(2026,11,29),$A116=DATE(2026,11,30),$A116=DATE(2026,12,1),$A116=DATE(2026,12,2)),T116,0)+IF(OR($A116=DATE(2026,11,28),$A116=DATE(2026,12,1)),U116,0))))</f>
        <v>0</v>
      </c>
      <c r="W116" s="14" t="n">
        <f aca="false">IF(AND($A116&lt;&gt;"",$A116&lt;Parameters!$B$14),CityData!F5*(1+TAXRATE),0)</f>
        <v>0</v>
      </c>
      <c r="X116" s="14" t="n">
        <f aca="false">IF($A116="",0,IFERROR(VLOOKUP((YEAR($A116)+IF(MONTH($A116)&gt;=10,1,0))&amp;"|Denver|"&amp;MONTH($A116),Rates!$A$2:$I$181,5,FALSE()),0))</f>
        <v>0</v>
      </c>
      <c r="Y116" s="14" t="n">
        <f aca="false">IF(OR($A116="",$A116&gt;=Parameters!$B$14),1,IF(AND(X116&gt;0,CityData!F5&lt;=X116),1,0))</f>
        <v>1</v>
      </c>
      <c r="Z116" s="14" t="n">
        <f aca="false">IF($A116="",0,IFERROR(VLOOKUP((YEAR($A116)+IF(MONTH($A116)&gt;=10,1,0))&amp;"|Phoenix|"&amp;MONTH($A116),Rates!$A$2:$I$181,6,FALSE()),0))</f>
        <v>0</v>
      </c>
      <c r="AA116" s="14" t="n">
        <f aca="false">IF(Z116=0,0,VLOOKUP(Z116,MIE_Components!$A$2:$F$6,2,FALSE()))</f>
        <v>0</v>
      </c>
      <c r="AB116" s="14" t="n">
        <f aca="false">IF(Z116=0,0,VLOOKUP(Z116,MIE_Components!$A$2:$F$6,3,FALSE()))</f>
        <v>0</v>
      </c>
      <c r="AC116" s="14" t="n">
        <f aca="false">IF(Z116=0,0,VLOOKUP(Z116,MIE_Components!$A$2:$F$6,4,FALSE()))</f>
        <v>0</v>
      </c>
      <c r="AD116" s="14" t="n">
        <f aca="false">IF(OR($A116="",Z116=0),0,MAX(5,Z116*IF(OR($A116=Parameters!$B$13,$A116=Parameters!$B$14),0.75,1)-(IF(AND($A116=DATE(2026,11,29),NOV29BF="Yes"),AA116,0)+IF(OR($A116=DATE(2026,11,29),$A116=DATE(2026,11,30),$A116=DATE(2026,12,1),$A116=DATE(2026,12,2)),AB116,0)+IF(OR($A116=DATE(2026,11,28),$A116=DATE(2026,12,1)),AC116,0))))</f>
        <v>0</v>
      </c>
      <c r="AE116" s="14" t="n">
        <f aca="false">IF(AND($A116&lt;&gt;"",$A116&lt;Parameters!$B$14),CityData!F6*(1+TAXRATE),0)</f>
        <v>0</v>
      </c>
      <c r="AF116" s="14" t="n">
        <f aca="false">IF($A116="",0,IFERROR(VLOOKUP((YEAR($A116)+IF(MONTH($A116)&gt;=10,1,0))&amp;"|Phoenix|"&amp;MONTH($A116),Rates!$A$2:$I$181,5,FALSE()),0))</f>
        <v>0</v>
      </c>
      <c r="AG116" s="14" t="n">
        <f aca="false">IF(OR($A116="",$A116&gt;=Parameters!$B$14),1,IF(AND(AF116&gt;0,CityData!F6&lt;=AF116),1,0))</f>
        <v>1</v>
      </c>
      <c r="AH116" s="14" t="n">
        <f aca="false">IF($A116="",0,IFERROR(VLOOKUP((YEAR($A116)+IF(MONTH($A116)&gt;=10,1,0))&amp;"|Seattle|"&amp;MONTH($A116),Rates!$A$2:$I$181,6,FALSE()),0))</f>
        <v>0</v>
      </c>
      <c r="AI116" s="14" t="n">
        <f aca="false">IF(AH116=0,0,VLOOKUP(AH116,MIE_Components!$A$2:$F$6,2,FALSE()))</f>
        <v>0</v>
      </c>
      <c r="AJ116" s="14" t="n">
        <f aca="false">IF(AH116=0,0,VLOOKUP(AH116,MIE_Components!$A$2:$F$6,3,FALSE()))</f>
        <v>0</v>
      </c>
      <c r="AK116" s="14" t="n">
        <f aca="false">IF(AH116=0,0,VLOOKUP(AH116,MIE_Components!$A$2:$F$6,4,FALSE()))</f>
        <v>0</v>
      </c>
      <c r="AL116" s="14" t="n">
        <f aca="false">IF(OR($A116="",AH116=0),0,MAX(5,AH116*IF(OR($A116=Parameters!$B$13,$A116=Parameters!$B$14),0.75,1)-(IF(AND($A116=DATE(2026,11,29),NOV29BF="Yes"),AI116,0)+IF(OR($A116=DATE(2026,11,29),$A116=DATE(2026,11,30),$A116=DATE(2026,12,1),$A116=DATE(2026,12,2)),AJ116,0)+IF(OR($A116=DATE(2026,11,28),$A116=DATE(2026,12,1)),AK116,0))))</f>
        <v>0</v>
      </c>
      <c r="AM116" s="14" t="n">
        <f aca="false">IF(AND($A116&lt;&gt;"",$A116&lt;Parameters!$B$14),CityData!F7*(1+TAXRATE),0)</f>
        <v>0</v>
      </c>
      <c r="AN116" s="14" t="n">
        <f aca="false">IF($A116="",0,IFERROR(VLOOKUP((YEAR($A116)+IF(MONTH($A116)&gt;=10,1,0))&amp;"|Seattle|"&amp;MONTH($A116),Rates!$A$2:$I$181,5,FALSE()),0))</f>
        <v>0</v>
      </c>
      <c r="AO116" s="14" t="n">
        <f aca="false">IF(OR($A116="",$A116&gt;=Parameters!$B$14),1,IF(AND(AN116&gt;0,CityData!F7&lt;=AN116),1,0))</f>
        <v>1</v>
      </c>
    </row>
    <row r="117" customFormat="false" ht="15" hidden="false" customHeight="true" outlineLevel="0" collapsed="false">
      <c r="A117" s="23" t="str">
        <f aca="false">IF(AND(Parameters!$B$14&gt;=Parameters!$B$13,ROW()-2&lt;=Parameters!$B$14-Parameters!$B$13),Parameters!$B$13+ROW()-2,"")</f>
        <v/>
      </c>
      <c r="B117" s="14" t="n">
        <f aca="false">IF($A117="",0,IFERROR(VLOOKUP((YEAR($A117)+IF(MONTH($A117)&gt;=10,1,0))&amp;"|Boston|"&amp;MONTH($A117),Rates!$A$2:$I$181,6,FALSE()),0))</f>
        <v>0</v>
      </c>
      <c r="C117" s="14" t="n">
        <f aca="false">IF(B117=0,0,VLOOKUP(B117,MIE_Components!$A$2:$F$6,2,FALSE()))</f>
        <v>0</v>
      </c>
      <c r="D117" s="14" t="n">
        <f aca="false">IF(B117=0,0,VLOOKUP(B117,MIE_Components!$A$2:$F$6,3,FALSE()))</f>
        <v>0</v>
      </c>
      <c r="E117" s="14" t="n">
        <f aca="false">IF(B117=0,0,VLOOKUP(B117,MIE_Components!$A$2:$F$6,4,FALSE()))</f>
        <v>0</v>
      </c>
      <c r="F117" s="14" t="n">
        <f aca="false">IF(OR($A117="",B117=0),0,MAX(5,B117*IF(OR($A117=Parameters!$B$13,$A117=Parameters!$B$14),0.75,1)-(IF(AND($A117=DATE(2026,11,29),NOV29BF="Yes"),C117,0)+IF(OR($A117=DATE(2026,11,29),$A117=DATE(2026,11,30),$A117=DATE(2026,12,1),$A117=DATE(2026,12,2)),D117,0)+IF(OR($A117=DATE(2026,11,28),$A117=DATE(2026,12,1)),E117,0))))</f>
        <v>0</v>
      </c>
      <c r="G117" s="14" t="n">
        <f aca="false">IF(AND($A117&lt;&gt;"",$A117&lt;Parameters!$B$14),CityData!F3*(1+TAXRATE),0)</f>
        <v>0</v>
      </c>
      <c r="H117" s="14" t="n">
        <f aca="false">IF($A117="",0,IFERROR(VLOOKUP((YEAR($A117)+IF(MONTH($A117)&gt;=10,1,0))&amp;"|Boston|"&amp;MONTH($A117),Rates!$A$2:$I$181,5,FALSE()),0))</f>
        <v>0</v>
      </c>
      <c r="I117" s="14" t="n">
        <f aca="false">IF(OR($A117="",$A117&gt;=Parameters!$B$14),1,IF(AND(H117&gt;0,CityData!F3&lt;=H117),1,0))</f>
        <v>1</v>
      </c>
      <c r="J117" s="14" t="n">
        <f aca="false">IF($A117="",0,IFERROR(VLOOKUP((YEAR($A117)+IF(MONTH($A117)&gt;=10,1,0))&amp;"|Chicago|"&amp;MONTH($A117),Rates!$A$2:$I$181,6,FALSE()),0))</f>
        <v>0</v>
      </c>
      <c r="K117" s="14" t="n">
        <f aca="false">IF(J117=0,0,VLOOKUP(J117,MIE_Components!$A$2:$F$6,2,FALSE()))</f>
        <v>0</v>
      </c>
      <c r="L117" s="14" t="n">
        <f aca="false">IF(J117=0,0,VLOOKUP(J117,MIE_Components!$A$2:$F$6,3,FALSE()))</f>
        <v>0</v>
      </c>
      <c r="M117" s="14" t="n">
        <f aca="false">IF(J117=0,0,VLOOKUP(J117,MIE_Components!$A$2:$F$6,4,FALSE()))</f>
        <v>0</v>
      </c>
      <c r="N117" s="14" t="n">
        <f aca="false">IF(OR($A117="",J117=0),0,MAX(5,J117*IF(OR($A117=Parameters!$B$13,$A117=Parameters!$B$14),0.75,1)-(IF(AND($A117=DATE(2026,11,29),NOV29BF="Yes"),K117,0)+IF(OR($A117=DATE(2026,11,29),$A117=DATE(2026,11,30),$A117=DATE(2026,12,1),$A117=DATE(2026,12,2)),L117,0)+IF(OR($A117=DATE(2026,11,28),$A117=DATE(2026,12,1)),M117,0))))</f>
        <v>0</v>
      </c>
      <c r="O117" s="14" t="n">
        <f aca="false">IF(AND($A117&lt;&gt;"",$A117&lt;Parameters!$B$14),CityData!F4*(1+TAXRATE),0)</f>
        <v>0</v>
      </c>
      <c r="P117" s="14" t="n">
        <f aca="false">IF($A117="",0,IFERROR(VLOOKUP((YEAR($A117)+IF(MONTH($A117)&gt;=10,1,0))&amp;"|Chicago|"&amp;MONTH($A117),Rates!$A$2:$I$181,5,FALSE()),0))</f>
        <v>0</v>
      </c>
      <c r="Q117" s="14" t="n">
        <f aca="false">IF(OR($A117="",$A117&gt;=Parameters!$B$14),1,IF(AND(P117&gt;0,CityData!F4&lt;=P117),1,0))</f>
        <v>1</v>
      </c>
      <c r="R117" s="14" t="n">
        <f aca="false">IF($A117="",0,IFERROR(VLOOKUP((YEAR($A117)+IF(MONTH($A117)&gt;=10,1,0))&amp;"|Denver|"&amp;MONTH($A117),Rates!$A$2:$I$181,6,FALSE()),0))</f>
        <v>0</v>
      </c>
      <c r="S117" s="14" t="n">
        <f aca="false">IF(R117=0,0,VLOOKUP(R117,MIE_Components!$A$2:$F$6,2,FALSE()))</f>
        <v>0</v>
      </c>
      <c r="T117" s="14" t="n">
        <f aca="false">IF(R117=0,0,VLOOKUP(R117,MIE_Components!$A$2:$F$6,3,FALSE()))</f>
        <v>0</v>
      </c>
      <c r="U117" s="14" t="n">
        <f aca="false">IF(R117=0,0,VLOOKUP(R117,MIE_Components!$A$2:$F$6,4,FALSE()))</f>
        <v>0</v>
      </c>
      <c r="V117" s="14" t="n">
        <f aca="false">IF(OR($A117="",R117=0),0,MAX(5,R117*IF(OR($A117=Parameters!$B$13,$A117=Parameters!$B$14),0.75,1)-(IF(AND($A117=DATE(2026,11,29),NOV29BF="Yes"),S117,0)+IF(OR($A117=DATE(2026,11,29),$A117=DATE(2026,11,30),$A117=DATE(2026,12,1),$A117=DATE(2026,12,2)),T117,0)+IF(OR($A117=DATE(2026,11,28),$A117=DATE(2026,12,1)),U117,0))))</f>
        <v>0</v>
      </c>
      <c r="W117" s="14" t="n">
        <f aca="false">IF(AND($A117&lt;&gt;"",$A117&lt;Parameters!$B$14),CityData!F5*(1+TAXRATE),0)</f>
        <v>0</v>
      </c>
      <c r="X117" s="14" t="n">
        <f aca="false">IF($A117="",0,IFERROR(VLOOKUP((YEAR($A117)+IF(MONTH($A117)&gt;=10,1,0))&amp;"|Denver|"&amp;MONTH($A117),Rates!$A$2:$I$181,5,FALSE()),0))</f>
        <v>0</v>
      </c>
      <c r="Y117" s="14" t="n">
        <f aca="false">IF(OR($A117="",$A117&gt;=Parameters!$B$14),1,IF(AND(X117&gt;0,CityData!F5&lt;=X117),1,0))</f>
        <v>1</v>
      </c>
      <c r="Z117" s="14" t="n">
        <f aca="false">IF($A117="",0,IFERROR(VLOOKUP((YEAR($A117)+IF(MONTH($A117)&gt;=10,1,0))&amp;"|Phoenix|"&amp;MONTH($A117),Rates!$A$2:$I$181,6,FALSE()),0))</f>
        <v>0</v>
      </c>
      <c r="AA117" s="14" t="n">
        <f aca="false">IF(Z117=0,0,VLOOKUP(Z117,MIE_Components!$A$2:$F$6,2,FALSE()))</f>
        <v>0</v>
      </c>
      <c r="AB117" s="14" t="n">
        <f aca="false">IF(Z117=0,0,VLOOKUP(Z117,MIE_Components!$A$2:$F$6,3,FALSE()))</f>
        <v>0</v>
      </c>
      <c r="AC117" s="14" t="n">
        <f aca="false">IF(Z117=0,0,VLOOKUP(Z117,MIE_Components!$A$2:$F$6,4,FALSE()))</f>
        <v>0</v>
      </c>
      <c r="AD117" s="14" t="n">
        <f aca="false">IF(OR($A117="",Z117=0),0,MAX(5,Z117*IF(OR($A117=Parameters!$B$13,$A117=Parameters!$B$14),0.75,1)-(IF(AND($A117=DATE(2026,11,29),NOV29BF="Yes"),AA117,0)+IF(OR($A117=DATE(2026,11,29),$A117=DATE(2026,11,30),$A117=DATE(2026,12,1),$A117=DATE(2026,12,2)),AB117,0)+IF(OR($A117=DATE(2026,11,28),$A117=DATE(2026,12,1)),AC117,0))))</f>
        <v>0</v>
      </c>
      <c r="AE117" s="14" t="n">
        <f aca="false">IF(AND($A117&lt;&gt;"",$A117&lt;Parameters!$B$14),CityData!F6*(1+TAXRATE),0)</f>
        <v>0</v>
      </c>
      <c r="AF117" s="14" t="n">
        <f aca="false">IF($A117="",0,IFERROR(VLOOKUP((YEAR($A117)+IF(MONTH($A117)&gt;=10,1,0))&amp;"|Phoenix|"&amp;MONTH($A117),Rates!$A$2:$I$181,5,FALSE()),0))</f>
        <v>0</v>
      </c>
      <c r="AG117" s="14" t="n">
        <f aca="false">IF(OR($A117="",$A117&gt;=Parameters!$B$14),1,IF(AND(AF117&gt;0,CityData!F6&lt;=AF117),1,0))</f>
        <v>1</v>
      </c>
      <c r="AH117" s="14" t="n">
        <f aca="false">IF($A117="",0,IFERROR(VLOOKUP((YEAR($A117)+IF(MONTH($A117)&gt;=10,1,0))&amp;"|Seattle|"&amp;MONTH($A117),Rates!$A$2:$I$181,6,FALSE()),0))</f>
        <v>0</v>
      </c>
      <c r="AI117" s="14" t="n">
        <f aca="false">IF(AH117=0,0,VLOOKUP(AH117,MIE_Components!$A$2:$F$6,2,FALSE()))</f>
        <v>0</v>
      </c>
      <c r="AJ117" s="14" t="n">
        <f aca="false">IF(AH117=0,0,VLOOKUP(AH117,MIE_Components!$A$2:$F$6,3,FALSE()))</f>
        <v>0</v>
      </c>
      <c r="AK117" s="14" t="n">
        <f aca="false">IF(AH117=0,0,VLOOKUP(AH117,MIE_Components!$A$2:$F$6,4,FALSE()))</f>
        <v>0</v>
      </c>
      <c r="AL117" s="14" t="n">
        <f aca="false">IF(OR($A117="",AH117=0),0,MAX(5,AH117*IF(OR($A117=Parameters!$B$13,$A117=Parameters!$B$14),0.75,1)-(IF(AND($A117=DATE(2026,11,29),NOV29BF="Yes"),AI117,0)+IF(OR($A117=DATE(2026,11,29),$A117=DATE(2026,11,30),$A117=DATE(2026,12,1),$A117=DATE(2026,12,2)),AJ117,0)+IF(OR($A117=DATE(2026,11,28),$A117=DATE(2026,12,1)),AK117,0))))</f>
        <v>0</v>
      </c>
      <c r="AM117" s="14" t="n">
        <f aca="false">IF(AND($A117&lt;&gt;"",$A117&lt;Parameters!$B$14),CityData!F7*(1+TAXRATE),0)</f>
        <v>0</v>
      </c>
      <c r="AN117" s="14" t="n">
        <f aca="false">IF($A117="",0,IFERROR(VLOOKUP((YEAR($A117)+IF(MONTH($A117)&gt;=10,1,0))&amp;"|Seattle|"&amp;MONTH($A117),Rates!$A$2:$I$181,5,FALSE()),0))</f>
        <v>0</v>
      </c>
      <c r="AO117" s="14" t="n">
        <f aca="false">IF(OR($A117="",$A117&gt;=Parameters!$B$14),1,IF(AND(AN117&gt;0,CityData!F7&lt;=AN117),1,0))</f>
        <v>1</v>
      </c>
    </row>
    <row r="118" customFormat="false" ht="15" hidden="false" customHeight="true" outlineLevel="0" collapsed="false">
      <c r="A118" s="23" t="str">
        <f aca="false">IF(AND(Parameters!$B$14&gt;=Parameters!$B$13,ROW()-2&lt;=Parameters!$B$14-Parameters!$B$13),Parameters!$B$13+ROW()-2,"")</f>
        <v/>
      </c>
      <c r="B118" s="14" t="n">
        <f aca="false">IF($A118="",0,IFERROR(VLOOKUP((YEAR($A118)+IF(MONTH($A118)&gt;=10,1,0))&amp;"|Boston|"&amp;MONTH($A118),Rates!$A$2:$I$181,6,FALSE()),0))</f>
        <v>0</v>
      </c>
      <c r="C118" s="14" t="n">
        <f aca="false">IF(B118=0,0,VLOOKUP(B118,MIE_Components!$A$2:$F$6,2,FALSE()))</f>
        <v>0</v>
      </c>
      <c r="D118" s="14" t="n">
        <f aca="false">IF(B118=0,0,VLOOKUP(B118,MIE_Components!$A$2:$F$6,3,FALSE()))</f>
        <v>0</v>
      </c>
      <c r="E118" s="14" t="n">
        <f aca="false">IF(B118=0,0,VLOOKUP(B118,MIE_Components!$A$2:$F$6,4,FALSE()))</f>
        <v>0</v>
      </c>
      <c r="F118" s="14" t="n">
        <f aca="false">IF(OR($A118="",B118=0),0,MAX(5,B118*IF(OR($A118=Parameters!$B$13,$A118=Parameters!$B$14),0.75,1)-(IF(AND($A118=DATE(2026,11,29),NOV29BF="Yes"),C118,0)+IF(OR($A118=DATE(2026,11,29),$A118=DATE(2026,11,30),$A118=DATE(2026,12,1),$A118=DATE(2026,12,2)),D118,0)+IF(OR($A118=DATE(2026,11,28),$A118=DATE(2026,12,1)),E118,0))))</f>
        <v>0</v>
      </c>
      <c r="G118" s="14" t="n">
        <f aca="false">IF(AND($A118&lt;&gt;"",$A118&lt;Parameters!$B$14),CityData!F3*(1+TAXRATE),0)</f>
        <v>0</v>
      </c>
      <c r="H118" s="14" t="n">
        <f aca="false">IF($A118="",0,IFERROR(VLOOKUP((YEAR($A118)+IF(MONTH($A118)&gt;=10,1,0))&amp;"|Boston|"&amp;MONTH($A118),Rates!$A$2:$I$181,5,FALSE()),0))</f>
        <v>0</v>
      </c>
      <c r="I118" s="14" t="n">
        <f aca="false">IF(OR($A118="",$A118&gt;=Parameters!$B$14),1,IF(AND(H118&gt;0,CityData!F3&lt;=H118),1,0))</f>
        <v>1</v>
      </c>
      <c r="J118" s="14" t="n">
        <f aca="false">IF($A118="",0,IFERROR(VLOOKUP((YEAR($A118)+IF(MONTH($A118)&gt;=10,1,0))&amp;"|Chicago|"&amp;MONTH($A118),Rates!$A$2:$I$181,6,FALSE()),0))</f>
        <v>0</v>
      </c>
      <c r="K118" s="14" t="n">
        <f aca="false">IF(J118=0,0,VLOOKUP(J118,MIE_Components!$A$2:$F$6,2,FALSE()))</f>
        <v>0</v>
      </c>
      <c r="L118" s="14" t="n">
        <f aca="false">IF(J118=0,0,VLOOKUP(J118,MIE_Components!$A$2:$F$6,3,FALSE()))</f>
        <v>0</v>
      </c>
      <c r="M118" s="14" t="n">
        <f aca="false">IF(J118=0,0,VLOOKUP(J118,MIE_Components!$A$2:$F$6,4,FALSE()))</f>
        <v>0</v>
      </c>
      <c r="N118" s="14" t="n">
        <f aca="false">IF(OR($A118="",J118=0),0,MAX(5,J118*IF(OR($A118=Parameters!$B$13,$A118=Parameters!$B$14),0.75,1)-(IF(AND($A118=DATE(2026,11,29),NOV29BF="Yes"),K118,0)+IF(OR($A118=DATE(2026,11,29),$A118=DATE(2026,11,30),$A118=DATE(2026,12,1),$A118=DATE(2026,12,2)),L118,0)+IF(OR($A118=DATE(2026,11,28),$A118=DATE(2026,12,1)),M118,0))))</f>
        <v>0</v>
      </c>
      <c r="O118" s="14" t="n">
        <f aca="false">IF(AND($A118&lt;&gt;"",$A118&lt;Parameters!$B$14),CityData!F4*(1+TAXRATE),0)</f>
        <v>0</v>
      </c>
      <c r="P118" s="14" t="n">
        <f aca="false">IF($A118="",0,IFERROR(VLOOKUP((YEAR($A118)+IF(MONTH($A118)&gt;=10,1,0))&amp;"|Chicago|"&amp;MONTH($A118),Rates!$A$2:$I$181,5,FALSE()),0))</f>
        <v>0</v>
      </c>
      <c r="Q118" s="14" t="n">
        <f aca="false">IF(OR($A118="",$A118&gt;=Parameters!$B$14),1,IF(AND(P118&gt;0,CityData!F4&lt;=P118),1,0))</f>
        <v>1</v>
      </c>
      <c r="R118" s="14" t="n">
        <f aca="false">IF($A118="",0,IFERROR(VLOOKUP((YEAR($A118)+IF(MONTH($A118)&gt;=10,1,0))&amp;"|Denver|"&amp;MONTH($A118),Rates!$A$2:$I$181,6,FALSE()),0))</f>
        <v>0</v>
      </c>
      <c r="S118" s="14" t="n">
        <f aca="false">IF(R118=0,0,VLOOKUP(R118,MIE_Components!$A$2:$F$6,2,FALSE()))</f>
        <v>0</v>
      </c>
      <c r="T118" s="14" t="n">
        <f aca="false">IF(R118=0,0,VLOOKUP(R118,MIE_Components!$A$2:$F$6,3,FALSE()))</f>
        <v>0</v>
      </c>
      <c r="U118" s="14" t="n">
        <f aca="false">IF(R118=0,0,VLOOKUP(R118,MIE_Components!$A$2:$F$6,4,FALSE()))</f>
        <v>0</v>
      </c>
      <c r="V118" s="14" t="n">
        <f aca="false">IF(OR($A118="",R118=0),0,MAX(5,R118*IF(OR($A118=Parameters!$B$13,$A118=Parameters!$B$14),0.75,1)-(IF(AND($A118=DATE(2026,11,29),NOV29BF="Yes"),S118,0)+IF(OR($A118=DATE(2026,11,29),$A118=DATE(2026,11,30),$A118=DATE(2026,12,1),$A118=DATE(2026,12,2)),T118,0)+IF(OR($A118=DATE(2026,11,28),$A118=DATE(2026,12,1)),U118,0))))</f>
        <v>0</v>
      </c>
      <c r="W118" s="14" t="n">
        <f aca="false">IF(AND($A118&lt;&gt;"",$A118&lt;Parameters!$B$14),CityData!F5*(1+TAXRATE),0)</f>
        <v>0</v>
      </c>
      <c r="X118" s="14" t="n">
        <f aca="false">IF($A118="",0,IFERROR(VLOOKUP((YEAR($A118)+IF(MONTH($A118)&gt;=10,1,0))&amp;"|Denver|"&amp;MONTH($A118),Rates!$A$2:$I$181,5,FALSE()),0))</f>
        <v>0</v>
      </c>
      <c r="Y118" s="14" t="n">
        <f aca="false">IF(OR($A118="",$A118&gt;=Parameters!$B$14),1,IF(AND(X118&gt;0,CityData!F5&lt;=X118),1,0))</f>
        <v>1</v>
      </c>
      <c r="Z118" s="14" t="n">
        <f aca="false">IF($A118="",0,IFERROR(VLOOKUP((YEAR($A118)+IF(MONTH($A118)&gt;=10,1,0))&amp;"|Phoenix|"&amp;MONTH($A118),Rates!$A$2:$I$181,6,FALSE()),0))</f>
        <v>0</v>
      </c>
      <c r="AA118" s="14" t="n">
        <f aca="false">IF(Z118=0,0,VLOOKUP(Z118,MIE_Components!$A$2:$F$6,2,FALSE()))</f>
        <v>0</v>
      </c>
      <c r="AB118" s="14" t="n">
        <f aca="false">IF(Z118=0,0,VLOOKUP(Z118,MIE_Components!$A$2:$F$6,3,FALSE()))</f>
        <v>0</v>
      </c>
      <c r="AC118" s="14" t="n">
        <f aca="false">IF(Z118=0,0,VLOOKUP(Z118,MIE_Components!$A$2:$F$6,4,FALSE()))</f>
        <v>0</v>
      </c>
      <c r="AD118" s="14" t="n">
        <f aca="false">IF(OR($A118="",Z118=0),0,MAX(5,Z118*IF(OR($A118=Parameters!$B$13,$A118=Parameters!$B$14),0.75,1)-(IF(AND($A118=DATE(2026,11,29),NOV29BF="Yes"),AA118,0)+IF(OR($A118=DATE(2026,11,29),$A118=DATE(2026,11,30),$A118=DATE(2026,12,1),$A118=DATE(2026,12,2)),AB118,0)+IF(OR($A118=DATE(2026,11,28),$A118=DATE(2026,12,1)),AC118,0))))</f>
        <v>0</v>
      </c>
      <c r="AE118" s="14" t="n">
        <f aca="false">IF(AND($A118&lt;&gt;"",$A118&lt;Parameters!$B$14),CityData!F6*(1+TAXRATE),0)</f>
        <v>0</v>
      </c>
      <c r="AF118" s="14" t="n">
        <f aca="false">IF($A118="",0,IFERROR(VLOOKUP((YEAR($A118)+IF(MONTH($A118)&gt;=10,1,0))&amp;"|Phoenix|"&amp;MONTH($A118),Rates!$A$2:$I$181,5,FALSE()),0))</f>
        <v>0</v>
      </c>
      <c r="AG118" s="14" t="n">
        <f aca="false">IF(OR($A118="",$A118&gt;=Parameters!$B$14),1,IF(AND(AF118&gt;0,CityData!F6&lt;=AF118),1,0))</f>
        <v>1</v>
      </c>
      <c r="AH118" s="14" t="n">
        <f aca="false">IF($A118="",0,IFERROR(VLOOKUP((YEAR($A118)+IF(MONTH($A118)&gt;=10,1,0))&amp;"|Seattle|"&amp;MONTH($A118),Rates!$A$2:$I$181,6,FALSE()),0))</f>
        <v>0</v>
      </c>
      <c r="AI118" s="14" t="n">
        <f aca="false">IF(AH118=0,0,VLOOKUP(AH118,MIE_Components!$A$2:$F$6,2,FALSE()))</f>
        <v>0</v>
      </c>
      <c r="AJ118" s="14" t="n">
        <f aca="false">IF(AH118=0,0,VLOOKUP(AH118,MIE_Components!$A$2:$F$6,3,FALSE()))</f>
        <v>0</v>
      </c>
      <c r="AK118" s="14" t="n">
        <f aca="false">IF(AH118=0,0,VLOOKUP(AH118,MIE_Components!$A$2:$F$6,4,FALSE()))</f>
        <v>0</v>
      </c>
      <c r="AL118" s="14" t="n">
        <f aca="false">IF(OR($A118="",AH118=0),0,MAX(5,AH118*IF(OR($A118=Parameters!$B$13,$A118=Parameters!$B$14),0.75,1)-(IF(AND($A118=DATE(2026,11,29),NOV29BF="Yes"),AI118,0)+IF(OR($A118=DATE(2026,11,29),$A118=DATE(2026,11,30),$A118=DATE(2026,12,1),$A118=DATE(2026,12,2)),AJ118,0)+IF(OR($A118=DATE(2026,11,28),$A118=DATE(2026,12,1)),AK118,0))))</f>
        <v>0</v>
      </c>
      <c r="AM118" s="14" t="n">
        <f aca="false">IF(AND($A118&lt;&gt;"",$A118&lt;Parameters!$B$14),CityData!F7*(1+TAXRATE),0)</f>
        <v>0</v>
      </c>
      <c r="AN118" s="14" t="n">
        <f aca="false">IF($A118="",0,IFERROR(VLOOKUP((YEAR($A118)+IF(MONTH($A118)&gt;=10,1,0))&amp;"|Seattle|"&amp;MONTH($A118),Rates!$A$2:$I$181,5,FALSE()),0))</f>
        <v>0</v>
      </c>
      <c r="AO118" s="14" t="n">
        <f aca="false">IF(OR($A118="",$A118&gt;=Parameters!$B$14),1,IF(AND(AN118&gt;0,CityData!F7&lt;=AN118),1,0))</f>
        <v>1</v>
      </c>
    </row>
    <row r="119" customFormat="false" ht="15" hidden="false" customHeight="true" outlineLevel="0" collapsed="false">
      <c r="A119" s="23" t="str">
        <f aca="false">IF(AND(Parameters!$B$14&gt;=Parameters!$B$13,ROW()-2&lt;=Parameters!$B$14-Parameters!$B$13),Parameters!$B$13+ROW()-2,"")</f>
        <v/>
      </c>
      <c r="B119" s="14" t="n">
        <f aca="false">IF($A119="",0,IFERROR(VLOOKUP((YEAR($A119)+IF(MONTH($A119)&gt;=10,1,0))&amp;"|Boston|"&amp;MONTH($A119),Rates!$A$2:$I$181,6,FALSE()),0))</f>
        <v>0</v>
      </c>
      <c r="C119" s="14" t="n">
        <f aca="false">IF(B119=0,0,VLOOKUP(B119,MIE_Components!$A$2:$F$6,2,FALSE()))</f>
        <v>0</v>
      </c>
      <c r="D119" s="14" t="n">
        <f aca="false">IF(B119=0,0,VLOOKUP(B119,MIE_Components!$A$2:$F$6,3,FALSE()))</f>
        <v>0</v>
      </c>
      <c r="E119" s="14" t="n">
        <f aca="false">IF(B119=0,0,VLOOKUP(B119,MIE_Components!$A$2:$F$6,4,FALSE()))</f>
        <v>0</v>
      </c>
      <c r="F119" s="14" t="n">
        <f aca="false">IF(OR($A119="",B119=0),0,MAX(5,B119*IF(OR($A119=Parameters!$B$13,$A119=Parameters!$B$14),0.75,1)-(IF(AND($A119=DATE(2026,11,29),NOV29BF="Yes"),C119,0)+IF(OR($A119=DATE(2026,11,29),$A119=DATE(2026,11,30),$A119=DATE(2026,12,1),$A119=DATE(2026,12,2)),D119,0)+IF(OR($A119=DATE(2026,11,28),$A119=DATE(2026,12,1)),E119,0))))</f>
        <v>0</v>
      </c>
      <c r="G119" s="14" t="n">
        <f aca="false">IF(AND($A119&lt;&gt;"",$A119&lt;Parameters!$B$14),CityData!F3*(1+TAXRATE),0)</f>
        <v>0</v>
      </c>
      <c r="H119" s="14" t="n">
        <f aca="false">IF($A119="",0,IFERROR(VLOOKUP((YEAR($A119)+IF(MONTH($A119)&gt;=10,1,0))&amp;"|Boston|"&amp;MONTH($A119),Rates!$A$2:$I$181,5,FALSE()),0))</f>
        <v>0</v>
      </c>
      <c r="I119" s="14" t="n">
        <f aca="false">IF(OR($A119="",$A119&gt;=Parameters!$B$14),1,IF(AND(H119&gt;0,CityData!F3&lt;=H119),1,0))</f>
        <v>1</v>
      </c>
      <c r="J119" s="14" t="n">
        <f aca="false">IF($A119="",0,IFERROR(VLOOKUP((YEAR($A119)+IF(MONTH($A119)&gt;=10,1,0))&amp;"|Chicago|"&amp;MONTH($A119),Rates!$A$2:$I$181,6,FALSE()),0))</f>
        <v>0</v>
      </c>
      <c r="K119" s="14" t="n">
        <f aca="false">IF(J119=0,0,VLOOKUP(J119,MIE_Components!$A$2:$F$6,2,FALSE()))</f>
        <v>0</v>
      </c>
      <c r="L119" s="14" t="n">
        <f aca="false">IF(J119=0,0,VLOOKUP(J119,MIE_Components!$A$2:$F$6,3,FALSE()))</f>
        <v>0</v>
      </c>
      <c r="M119" s="14" t="n">
        <f aca="false">IF(J119=0,0,VLOOKUP(J119,MIE_Components!$A$2:$F$6,4,FALSE()))</f>
        <v>0</v>
      </c>
      <c r="N119" s="14" t="n">
        <f aca="false">IF(OR($A119="",J119=0),0,MAX(5,J119*IF(OR($A119=Parameters!$B$13,$A119=Parameters!$B$14),0.75,1)-(IF(AND($A119=DATE(2026,11,29),NOV29BF="Yes"),K119,0)+IF(OR($A119=DATE(2026,11,29),$A119=DATE(2026,11,30),$A119=DATE(2026,12,1),$A119=DATE(2026,12,2)),L119,0)+IF(OR($A119=DATE(2026,11,28),$A119=DATE(2026,12,1)),M119,0))))</f>
        <v>0</v>
      </c>
      <c r="O119" s="14" t="n">
        <f aca="false">IF(AND($A119&lt;&gt;"",$A119&lt;Parameters!$B$14),CityData!F4*(1+TAXRATE),0)</f>
        <v>0</v>
      </c>
      <c r="P119" s="14" t="n">
        <f aca="false">IF($A119="",0,IFERROR(VLOOKUP((YEAR($A119)+IF(MONTH($A119)&gt;=10,1,0))&amp;"|Chicago|"&amp;MONTH($A119),Rates!$A$2:$I$181,5,FALSE()),0))</f>
        <v>0</v>
      </c>
      <c r="Q119" s="14" t="n">
        <f aca="false">IF(OR($A119="",$A119&gt;=Parameters!$B$14),1,IF(AND(P119&gt;0,CityData!F4&lt;=P119),1,0))</f>
        <v>1</v>
      </c>
      <c r="R119" s="14" t="n">
        <f aca="false">IF($A119="",0,IFERROR(VLOOKUP((YEAR($A119)+IF(MONTH($A119)&gt;=10,1,0))&amp;"|Denver|"&amp;MONTH($A119),Rates!$A$2:$I$181,6,FALSE()),0))</f>
        <v>0</v>
      </c>
      <c r="S119" s="14" t="n">
        <f aca="false">IF(R119=0,0,VLOOKUP(R119,MIE_Components!$A$2:$F$6,2,FALSE()))</f>
        <v>0</v>
      </c>
      <c r="T119" s="14" t="n">
        <f aca="false">IF(R119=0,0,VLOOKUP(R119,MIE_Components!$A$2:$F$6,3,FALSE()))</f>
        <v>0</v>
      </c>
      <c r="U119" s="14" t="n">
        <f aca="false">IF(R119=0,0,VLOOKUP(R119,MIE_Components!$A$2:$F$6,4,FALSE()))</f>
        <v>0</v>
      </c>
      <c r="V119" s="14" t="n">
        <f aca="false">IF(OR($A119="",R119=0),0,MAX(5,R119*IF(OR($A119=Parameters!$B$13,$A119=Parameters!$B$14),0.75,1)-(IF(AND($A119=DATE(2026,11,29),NOV29BF="Yes"),S119,0)+IF(OR($A119=DATE(2026,11,29),$A119=DATE(2026,11,30),$A119=DATE(2026,12,1),$A119=DATE(2026,12,2)),T119,0)+IF(OR($A119=DATE(2026,11,28),$A119=DATE(2026,12,1)),U119,0))))</f>
        <v>0</v>
      </c>
      <c r="W119" s="14" t="n">
        <f aca="false">IF(AND($A119&lt;&gt;"",$A119&lt;Parameters!$B$14),CityData!F5*(1+TAXRATE),0)</f>
        <v>0</v>
      </c>
      <c r="X119" s="14" t="n">
        <f aca="false">IF($A119="",0,IFERROR(VLOOKUP((YEAR($A119)+IF(MONTH($A119)&gt;=10,1,0))&amp;"|Denver|"&amp;MONTH($A119),Rates!$A$2:$I$181,5,FALSE()),0))</f>
        <v>0</v>
      </c>
      <c r="Y119" s="14" t="n">
        <f aca="false">IF(OR($A119="",$A119&gt;=Parameters!$B$14),1,IF(AND(X119&gt;0,CityData!F5&lt;=X119),1,0))</f>
        <v>1</v>
      </c>
      <c r="Z119" s="14" t="n">
        <f aca="false">IF($A119="",0,IFERROR(VLOOKUP((YEAR($A119)+IF(MONTH($A119)&gt;=10,1,0))&amp;"|Phoenix|"&amp;MONTH($A119),Rates!$A$2:$I$181,6,FALSE()),0))</f>
        <v>0</v>
      </c>
      <c r="AA119" s="14" t="n">
        <f aca="false">IF(Z119=0,0,VLOOKUP(Z119,MIE_Components!$A$2:$F$6,2,FALSE()))</f>
        <v>0</v>
      </c>
      <c r="AB119" s="14" t="n">
        <f aca="false">IF(Z119=0,0,VLOOKUP(Z119,MIE_Components!$A$2:$F$6,3,FALSE()))</f>
        <v>0</v>
      </c>
      <c r="AC119" s="14" t="n">
        <f aca="false">IF(Z119=0,0,VLOOKUP(Z119,MIE_Components!$A$2:$F$6,4,FALSE()))</f>
        <v>0</v>
      </c>
      <c r="AD119" s="14" t="n">
        <f aca="false">IF(OR($A119="",Z119=0),0,MAX(5,Z119*IF(OR($A119=Parameters!$B$13,$A119=Parameters!$B$14),0.75,1)-(IF(AND($A119=DATE(2026,11,29),NOV29BF="Yes"),AA119,0)+IF(OR($A119=DATE(2026,11,29),$A119=DATE(2026,11,30),$A119=DATE(2026,12,1),$A119=DATE(2026,12,2)),AB119,0)+IF(OR($A119=DATE(2026,11,28),$A119=DATE(2026,12,1)),AC119,0))))</f>
        <v>0</v>
      </c>
      <c r="AE119" s="14" t="n">
        <f aca="false">IF(AND($A119&lt;&gt;"",$A119&lt;Parameters!$B$14),CityData!F6*(1+TAXRATE),0)</f>
        <v>0</v>
      </c>
      <c r="AF119" s="14" t="n">
        <f aca="false">IF($A119="",0,IFERROR(VLOOKUP((YEAR($A119)+IF(MONTH($A119)&gt;=10,1,0))&amp;"|Phoenix|"&amp;MONTH($A119),Rates!$A$2:$I$181,5,FALSE()),0))</f>
        <v>0</v>
      </c>
      <c r="AG119" s="14" t="n">
        <f aca="false">IF(OR($A119="",$A119&gt;=Parameters!$B$14),1,IF(AND(AF119&gt;0,CityData!F6&lt;=AF119),1,0))</f>
        <v>1</v>
      </c>
      <c r="AH119" s="14" t="n">
        <f aca="false">IF($A119="",0,IFERROR(VLOOKUP((YEAR($A119)+IF(MONTH($A119)&gt;=10,1,0))&amp;"|Seattle|"&amp;MONTH($A119),Rates!$A$2:$I$181,6,FALSE()),0))</f>
        <v>0</v>
      </c>
      <c r="AI119" s="14" t="n">
        <f aca="false">IF(AH119=0,0,VLOOKUP(AH119,MIE_Components!$A$2:$F$6,2,FALSE()))</f>
        <v>0</v>
      </c>
      <c r="AJ119" s="14" t="n">
        <f aca="false">IF(AH119=0,0,VLOOKUP(AH119,MIE_Components!$A$2:$F$6,3,FALSE()))</f>
        <v>0</v>
      </c>
      <c r="AK119" s="14" t="n">
        <f aca="false">IF(AH119=0,0,VLOOKUP(AH119,MIE_Components!$A$2:$F$6,4,FALSE()))</f>
        <v>0</v>
      </c>
      <c r="AL119" s="14" t="n">
        <f aca="false">IF(OR($A119="",AH119=0),0,MAX(5,AH119*IF(OR($A119=Parameters!$B$13,$A119=Parameters!$B$14),0.75,1)-(IF(AND($A119=DATE(2026,11,29),NOV29BF="Yes"),AI119,0)+IF(OR($A119=DATE(2026,11,29),$A119=DATE(2026,11,30),$A119=DATE(2026,12,1),$A119=DATE(2026,12,2)),AJ119,0)+IF(OR($A119=DATE(2026,11,28),$A119=DATE(2026,12,1)),AK119,0))))</f>
        <v>0</v>
      </c>
      <c r="AM119" s="14" t="n">
        <f aca="false">IF(AND($A119&lt;&gt;"",$A119&lt;Parameters!$B$14),CityData!F7*(1+TAXRATE),0)</f>
        <v>0</v>
      </c>
      <c r="AN119" s="14" t="n">
        <f aca="false">IF($A119="",0,IFERROR(VLOOKUP((YEAR($A119)+IF(MONTH($A119)&gt;=10,1,0))&amp;"|Seattle|"&amp;MONTH($A119),Rates!$A$2:$I$181,5,FALSE()),0))</f>
        <v>0</v>
      </c>
      <c r="AO119" s="14" t="n">
        <f aca="false">IF(OR($A119="",$A119&gt;=Parameters!$B$14),1,IF(AND(AN119&gt;0,CityData!F7&lt;=AN119),1,0))</f>
        <v>1</v>
      </c>
    </row>
    <row r="120" customFormat="false" ht="15" hidden="false" customHeight="true" outlineLevel="0" collapsed="false">
      <c r="A120" s="23" t="str">
        <f aca="false">IF(AND(Parameters!$B$14&gt;=Parameters!$B$13,ROW()-2&lt;=Parameters!$B$14-Parameters!$B$13),Parameters!$B$13+ROW()-2,"")</f>
        <v/>
      </c>
      <c r="B120" s="14" t="n">
        <f aca="false">IF($A120="",0,IFERROR(VLOOKUP((YEAR($A120)+IF(MONTH($A120)&gt;=10,1,0))&amp;"|Boston|"&amp;MONTH($A120),Rates!$A$2:$I$181,6,FALSE()),0))</f>
        <v>0</v>
      </c>
      <c r="C120" s="14" t="n">
        <f aca="false">IF(B120=0,0,VLOOKUP(B120,MIE_Components!$A$2:$F$6,2,FALSE()))</f>
        <v>0</v>
      </c>
      <c r="D120" s="14" t="n">
        <f aca="false">IF(B120=0,0,VLOOKUP(B120,MIE_Components!$A$2:$F$6,3,FALSE()))</f>
        <v>0</v>
      </c>
      <c r="E120" s="14" t="n">
        <f aca="false">IF(B120=0,0,VLOOKUP(B120,MIE_Components!$A$2:$F$6,4,FALSE()))</f>
        <v>0</v>
      </c>
      <c r="F120" s="14" t="n">
        <f aca="false">IF(OR($A120="",B120=0),0,MAX(5,B120*IF(OR($A120=Parameters!$B$13,$A120=Parameters!$B$14),0.75,1)-(IF(AND($A120=DATE(2026,11,29),NOV29BF="Yes"),C120,0)+IF(OR($A120=DATE(2026,11,29),$A120=DATE(2026,11,30),$A120=DATE(2026,12,1),$A120=DATE(2026,12,2)),D120,0)+IF(OR($A120=DATE(2026,11,28),$A120=DATE(2026,12,1)),E120,0))))</f>
        <v>0</v>
      </c>
      <c r="G120" s="14" t="n">
        <f aca="false">IF(AND($A120&lt;&gt;"",$A120&lt;Parameters!$B$14),CityData!F3*(1+TAXRATE),0)</f>
        <v>0</v>
      </c>
      <c r="H120" s="14" t="n">
        <f aca="false">IF($A120="",0,IFERROR(VLOOKUP((YEAR($A120)+IF(MONTH($A120)&gt;=10,1,0))&amp;"|Boston|"&amp;MONTH($A120),Rates!$A$2:$I$181,5,FALSE()),0))</f>
        <v>0</v>
      </c>
      <c r="I120" s="14" t="n">
        <f aca="false">IF(OR($A120="",$A120&gt;=Parameters!$B$14),1,IF(AND(H120&gt;0,CityData!F3&lt;=H120),1,0))</f>
        <v>1</v>
      </c>
      <c r="J120" s="14" t="n">
        <f aca="false">IF($A120="",0,IFERROR(VLOOKUP((YEAR($A120)+IF(MONTH($A120)&gt;=10,1,0))&amp;"|Chicago|"&amp;MONTH($A120),Rates!$A$2:$I$181,6,FALSE()),0))</f>
        <v>0</v>
      </c>
      <c r="K120" s="14" t="n">
        <f aca="false">IF(J120=0,0,VLOOKUP(J120,MIE_Components!$A$2:$F$6,2,FALSE()))</f>
        <v>0</v>
      </c>
      <c r="L120" s="14" t="n">
        <f aca="false">IF(J120=0,0,VLOOKUP(J120,MIE_Components!$A$2:$F$6,3,FALSE()))</f>
        <v>0</v>
      </c>
      <c r="M120" s="14" t="n">
        <f aca="false">IF(J120=0,0,VLOOKUP(J120,MIE_Components!$A$2:$F$6,4,FALSE()))</f>
        <v>0</v>
      </c>
      <c r="N120" s="14" t="n">
        <f aca="false">IF(OR($A120="",J120=0),0,MAX(5,J120*IF(OR($A120=Parameters!$B$13,$A120=Parameters!$B$14),0.75,1)-(IF(AND($A120=DATE(2026,11,29),NOV29BF="Yes"),K120,0)+IF(OR($A120=DATE(2026,11,29),$A120=DATE(2026,11,30),$A120=DATE(2026,12,1),$A120=DATE(2026,12,2)),L120,0)+IF(OR($A120=DATE(2026,11,28),$A120=DATE(2026,12,1)),M120,0))))</f>
        <v>0</v>
      </c>
      <c r="O120" s="14" t="n">
        <f aca="false">IF(AND($A120&lt;&gt;"",$A120&lt;Parameters!$B$14),CityData!F4*(1+TAXRATE),0)</f>
        <v>0</v>
      </c>
      <c r="P120" s="14" t="n">
        <f aca="false">IF($A120="",0,IFERROR(VLOOKUP((YEAR($A120)+IF(MONTH($A120)&gt;=10,1,0))&amp;"|Chicago|"&amp;MONTH($A120),Rates!$A$2:$I$181,5,FALSE()),0))</f>
        <v>0</v>
      </c>
      <c r="Q120" s="14" t="n">
        <f aca="false">IF(OR($A120="",$A120&gt;=Parameters!$B$14),1,IF(AND(P120&gt;0,CityData!F4&lt;=P120),1,0))</f>
        <v>1</v>
      </c>
      <c r="R120" s="14" t="n">
        <f aca="false">IF($A120="",0,IFERROR(VLOOKUP((YEAR($A120)+IF(MONTH($A120)&gt;=10,1,0))&amp;"|Denver|"&amp;MONTH($A120),Rates!$A$2:$I$181,6,FALSE()),0))</f>
        <v>0</v>
      </c>
      <c r="S120" s="14" t="n">
        <f aca="false">IF(R120=0,0,VLOOKUP(R120,MIE_Components!$A$2:$F$6,2,FALSE()))</f>
        <v>0</v>
      </c>
      <c r="T120" s="14" t="n">
        <f aca="false">IF(R120=0,0,VLOOKUP(R120,MIE_Components!$A$2:$F$6,3,FALSE()))</f>
        <v>0</v>
      </c>
      <c r="U120" s="14" t="n">
        <f aca="false">IF(R120=0,0,VLOOKUP(R120,MIE_Components!$A$2:$F$6,4,FALSE()))</f>
        <v>0</v>
      </c>
      <c r="V120" s="14" t="n">
        <f aca="false">IF(OR($A120="",R120=0),0,MAX(5,R120*IF(OR($A120=Parameters!$B$13,$A120=Parameters!$B$14),0.75,1)-(IF(AND($A120=DATE(2026,11,29),NOV29BF="Yes"),S120,0)+IF(OR($A120=DATE(2026,11,29),$A120=DATE(2026,11,30),$A120=DATE(2026,12,1),$A120=DATE(2026,12,2)),T120,0)+IF(OR($A120=DATE(2026,11,28),$A120=DATE(2026,12,1)),U120,0))))</f>
        <v>0</v>
      </c>
      <c r="W120" s="14" t="n">
        <f aca="false">IF(AND($A120&lt;&gt;"",$A120&lt;Parameters!$B$14),CityData!F5*(1+TAXRATE),0)</f>
        <v>0</v>
      </c>
      <c r="X120" s="14" t="n">
        <f aca="false">IF($A120="",0,IFERROR(VLOOKUP((YEAR($A120)+IF(MONTH($A120)&gt;=10,1,0))&amp;"|Denver|"&amp;MONTH($A120),Rates!$A$2:$I$181,5,FALSE()),0))</f>
        <v>0</v>
      </c>
      <c r="Y120" s="14" t="n">
        <f aca="false">IF(OR($A120="",$A120&gt;=Parameters!$B$14),1,IF(AND(X120&gt;0,CityData!F5&lt;=X120),1,0))</f>
        <v>1</v>
      </c>
      <c r="Z120" s="14" t="n">
        <f aca="false">IF($A120="",0,IFERROR(VLOOKUP((YEAR($A120)+IF(MONTH($A120)&gt;=10,1,0))&amp;"|Phoenix|"&amp;MONTH($A120),Rates!$A$2:$I$181,6,FALSE()),0))</f>
        <v>0</v>
      </c>
      <c r="AA120" s="14" t="n">
        <f aca="false">IF(Z120=0,0,VLOOKUP(Z120,MIE_Components!$A$2:$F$6,2,FALSE()))</f>
        <v>0</v>
      </c>
      <c r="AB120" s="14" t="n">
        <f aca="false">IF(Z120=0,0,VLOOKUP(Z120,MIE_Components!$A$2:$F$6,3,FALSE()))</f>
        <v>0</v>
      </c>
      <c r="AC120" s="14" t="n">
        <f aca="false">IF(Z120=0,0,VLOOKUP(Z120,MIE_Components!$A$2:$F$6,4,FALSE()))</f>
        <v>0</v>
      </c>
      <c r="AD120" s="14" t="n">
        <f aca="false">IF(OR($A120="",Z120=0),0,MAX(5,Z120*IF(OR($A120=Parameters!$B$13,$A120=Parameters!$B$14),0.75,1)-(IF(AND($A120=DATE(2026,11,29),NOV29BF="Yes"),AA120,0)+IF(OR($A120=DATE(2026,11,29),$A120=DATE(2026,11,30),$A120=DATE(2026,12,1),$A120=DATE(2026,12,2)),AB120,0)+IF(OR($A120=DATE(2026,11,28),$A120=DATE(2026,12,1)),AC120,0))))</f>
        <v>0</v>
      </c>
      <c r="AE120" s="14" t="n">
        <f aca="false">IF(AND($A120&lt;&gt;"",$A120&lt;Parameters!$B$14),CityData!F6*(1+TAXRATE),0)</f>
        <v>0</v>
      </c>
      <c r="AF120" s="14" t="n">
        <f aca="false">IF($A120="",0,IFERROR(VLOOKUP((YEAR($A120)+IF(MONTH($A120)&gt;=10,1,0))&amp;"|Phoenix|"&amp;MONTH($A120),Rates!$A$2:$I$181,5,FALSE()),0))</f>
        <v>0</v>
      </c>
      <c r="AG120" s="14" t="n">
        <f aca="false">IF(OR($A120="",$A120&gt;=Parameters!$B$14),1,IF(AND(AF120&gt;0,CityData!F6&lt;=AF120),1,0))</f>
        <v>1</v>
      </c>
      <c r="AH120" s="14" t="n">
        <f aca="false">IF($A120="",0,IFERROR(VLOOKUP((YEAR($A120)+IF(MONTH($A120)&gt;=10,1,0))&amp;"|Seattle|"&amp;MONTH($A120),Rates!$A$2:$I$181,6,FALSE()),0))</f>
        <v>0</v>
      </c>
      <c r="AI120" s="14" t="n">
        <f aca="false">IF(AH120=0,0,VLOOKUP(AH120,MIE_Components!$A$2:$F$6,2,FALSE()))</f>
        <v>0</v>
      </c>
      <c r="AJ120" s="14" t="n">
        <f aca="false">IF(AH120=0,0,VLOOKUP(AH120,MIE_Components!$A$2:$F$6,3,FALSE()))</f>
        <v>0</v>
      </c>
      <c r="AK120" s="14" t="n">
        <f aca="false">IF(AH120=0,0,VLOOKUP(AH120,MIE_Components!$A$2:$F$6,4,FALSE()))</f>
        <v>0</v>
      </c>
      <c r="AL120" s="14" t="n">
        <f aca="false">IF(OR($A120="",AH120=0),0,MAX(5,AH120*IF(OR($A120=Parameters!$B$13,$A120=Parameters!$B$14),0.75,1)-(IF(AND($A120=DATE(2026,11,29),NOV29BF="Yes"),AI120,0)+IF(OR($A120=DATE(2026,11,29),$A120=DATE(2026,11,30),$A120=DATE(2026,12,1),$A120=DATE(2026,12,2)),AJ120,0)+IF(OR($A120=DATE(2026,11,28),$A120=DATE(2026,12,1)),AK120,0))))</f>
        <v>0</v>
      </c>
      <c r="AM120" s="14" t="n">
        <f aca="false">IF(AND($A120&lt;&gt;"",$A120&lt;Parameters!$B$14),CityData!F7*(1+TAXRATE),0)</f>
        <v>0</v>
      </c>
      <c r="AN120" s="14" t="n">
        <f aca="false">IF($A120="",0,IFERROR(VLOOKUP((YEAR($A120)+IF(MONTH($A120)&gt;=10,1,0))&amp;"|Seattle|"&amp;MONTH($A120),Rates!$A$2:$I$181,5,FALSE()),0))</f>
        <v>0</v>
      </c>
      <c r="AO120" s="14" t="n">
        <f aca="false">IF(OR($A120="",$A120&gt;=Parameters!$B$14),1,IF(AND(AN120&gt;0,CityData!F7&lt;=AN120),1,0))</f>
        <v>1</v>
      </c>
    </row>
    <row r="121" customFormat="false" ht="15" hidden="false" customHeight="true" outlineLevel="0" collapsed="false">
      <c r="A121" s="23" t="str">
        <f aca="false">IF(AND(Parameters!$B$14&gt;=Parameters!$B$13,ROW()-2&lt;=Parameters!$B$14-Parameters!$B$13),Parameters!$B$13+ROW()-2,"")</f>
        <v/>
      </c>
      <c r="B121" s="14" t="n">
        <f aca="false">IF($A121="",0,IFERROR(VLOOKUP((YEAR($A121)+IF(MONTH($A121)&gt;=10,1,0))&amp;"|Boston|"&amp;MONTH($A121),Rates!$A$2:$I$181,6,FALSE()),0))</f>
        <v>0</v>
      </c>
      <c r="C121" s="14" t="n">
        <f aca="false">IF(B121=0,0,VLOOKUP(B121,MIE_Components!$A$2:$F$6,2,FALSE()))</f>
        <v>0</v>
      </c>
      <c r="D121" s="14" t="n">
        <f aca="false">IF(B121=0,0,VLOOKUP(B121,MIE_Components!$A$2:$F$6,3,FALSE()))</f>
        <v>0</v>
      </c>
      <c r="E121" s="14" t="n">
        <f aca="false">IF(B121=0,0,VLOOKUP(B121,MIE_Components!$A$2:$F$6,4,FALSE()))</f>
        <v>0</v>
      </c>
      <c r="F121" s="14" t="n">
        <f aca="false">IF(OR($A121="",B121=0),0,MAX(5,B121*IF(OR($A121=Parameters!$B$13,$A121=Parameters!$B$14),0.75,1)-(IF(AND($A121=DATE(2026,11,29),NOV29BF="Yes"),C121,0)+IF(OR($A121=DATE(2026,11,29),$A121=DATE(2026,11,30),$A121=DATE(2026,12,1),$A121=DATE(2026,12,2)),D121,0)+IF(OR($A121=DATE(2026,11,28),$A121=DATE(2026,12,1)),E121,0))))</f>
        <v>0</v>
      </c>
      <c r="G121" s="14" t="n">
        <f aca="false">IF(AND($A121&lt;&gt;"",$A121&lt;Parameters!$B$14),CityData!F3*(1+TAXRATE),0)</f>
        <v>0</v>
      </c>
      <c r="H121" s="14" t="n">
        <f aca="false">IF($A121="",0,IFERROR(VLOOKUP((YEAR($A121)+IF(MONTH($A121)&gt;=10,1,0))&amp;"|Boston|"&amp;MONTH($A121),Rates!$A$2:$I$181,5,FALSE()),0))</f>
        <v>0</v>
      </c>
      <c r="I121" s="14" t="n">
        <f aca="false">IF(OR($A121="",$A121&gt;=Parameters!$B$14),1,IF(AND(H121&gt;0,CityData!F3&lt;=H121),1,0))</f>
        <v>1</v>
      </c>
      <c r="J121" s="14" t="n">
        <f aca="false">IF($A121="",0,IFERROR(VLOOKUP((YEAR($A121)+IF(MONTH($A121)&gt;=10,1,0))&amp;"|Chicago|"&amp;MONTH($A121),Rates!$A$2:$I$181,6,FALSE()),0))</f>
        <v>0</v>
      </c>
      <c r="K121" s="14" t="n">
        <f aca="false">IF(J121=0,0,VLOOKUP(J121,MIE_Components!$A$2:$F$6,2,FALSE()))</f>
        <v>0</v>
      </c>
      <c r="L121" s="14" t="n">
        <f aca="false">IF(J121=0,0,VLOOKUP(J121,MIE_Components!$A$2:$F$6,3,FALSE()))</f>
        <v>0</v>
      </c>
      <c r="M121" s="14" t="n">
        <f aca="false">IF(J121=0,0,VLOOKUP(J121,MIE_Components!$A$2:$F$6,4,FALSE()))</f>
        <v>0</v>
      </c>
      <c r="N121" s="14" t="n">
        <f aca="false">IF(OR($A121="",J121=0),0,MAX(5,J121*IF(OR($A121=Parameters!$B$13,$A121=Parameters!$B$14),0.75,1)-(IF(AND($A121=DATE(2026,11,29),NOV29BF="Yes"),K121,0)+IF(OR($A121=DATE(2026,11,29),$A121=DATE(2026,11,30),$A121=DATE(2026,12,1),$A121=DATE(2026,12,2)),L121,0)+IF(OR($A121=DATE(2026,11,28),$A121=DATE(2026,12,1)),M121,0))))</f>
        <v>0</v>
      </c>
      <c r="O121" s="14" t="n">
        <f aca="false">IF(AND($A121&lt;&gt;"",$A121&lt;Parameters!$B$14),CityData!F4*(1+TAXRATE),0)</f>
        <v>0</v>
      </c>
      <c r="P121" s="14" t="n">
        <f aca="false">IF($A121="",0,IFERROR(VLOOKUP((YEAR($A121)+IF(MONTH($A121)&gt;=10,1,0))&amp;"|Chicago|"&amp;MONTH($A121),Rates!$A$2:$I$181,5,FALSE()),0))</f>
        <v>0</v>
      </c>
      <c r="Q121" s="14" t="n">
        <f aca="false">IF(OR($A121="",$A121&gt;=Parameters!$B$14),1,IF(AND(P121&gt;0,CityData!F4&lt;=P121),1,0))</f>
        <v>1</v>
      </c>
      <c r="R121" s="14" t="n">
        <f aca="false">IF($A121="",0,IFERROR(VLOOKUP((YEAR($A121)+IF(MONTH($A121)&gt;=10,1,0))&amp;"|Denver|"&amp;MONTH($A121),Rates!$A$2:$I$181,6,FALSE()),0))</f>
        <v>0</v>
      </c>
      <c r="S121" s="14" t="n">
        <f aca="false">IF(R121=0,0,VLOOKUP(R121,MIE_Components!$A$2:$F$6,2,FALSE()))</f>
        <v>0</v>
      </c>
      <c r="T121" s="14" t="n">
        <f aca="false">IF(R121=0,0,VLOOKUP(R121,MIE_Components!$A$2:$F$6,3,FALSE()))</f>
        <v>0</v>
      </c>
      <c r="U121" s="14" t="n">
        <f aca="false">IF(R121=0,0,VLOOKUP(R121,MIE_Components!$A$2:$F$6,4,FALSE()))</f>
        <v>0</v>
      </c>
      <c r="V121" s="14" t="n">
        <f aca="false">IF(OR($A121="",R121=0),0,MAX(5,R121*IF(OR($A121=Parameters!$B$13,$A121=Parameters!$B$14),0.75,1)-(IF(AND($A121=DATE(2026,11,29),NOV29BF="Yes"),S121,0)+IF(OR($A121=DATE(2026,11,29),$A121=DATE(2026,11,30),$A121=DATE(2026,12,1),$A121=DATE(2026,12,2)),T121,0)+IF(OR($A121=DATE(2026,11,28),$A121=DATE(2026,12,1)),U121,0))))</f>
        <v>0</v>
      </c>
      <c r="W121" s="14" t="n">
        <f aca="false">IF(AND($A121&lt;&gt;"",$A121&lt;Parameters!$B$14),CityData!F5*(1+TAXRATE),0)</f>
        <v>0</v>
      </c>
      <c r="X121" s="14" t="n">
        <f aca="false">IF($A121="",0,IFERROR(VLOOKUP((YEAR($A121)+IF(MONTH($A121)&gt;=10,1,0))&amp;"|Denver|"&amp;MONTH($A121),Rates!$A$2:$I$181,5,FALSE()),0))</f>
        <v>0</v>
      </c>
      <c r="Y121" s="14" t="n">
        <f aca="false">IF(OR($A121="",$A121&gt;=Parameters!$B$14),1,IF(AND(X121&gt;0,CityData!F5&lt;=X121),1,0))</f>
        <v>1</v>
      </c>
      <c r="Z121" s="14" t="n">
        <f aca="false">IF($A121="",0,IFERROR(VLOOKUP((YEAR($A121)+IF(MONTH($A121)&gt;=10,1,0))&amp;"|Phoenix|"&amp;MONTH($A121),Rates!$A$2:$I$181,6,FALSE()),0))</f>
        <v>0</v>
      </c>
      <c r="AA121" s="14" t="n">
        <f aca="false">IF(Z121=0,0,VLOOKUP(Z121,MIE_Components!$A$2:$F$6,2,FALSE()))</f>
        <v>0</v>
      </c>
      <c r="AB121" s="14" t="n">
        <f aca="false">IF(Z121=0,0,VLOOKUP(Z121,MIE_Components!$A$2:$F$6,3,FALSE()))</f>
        <v>0</v>
      </c>
      <c r="AC121" s="14" t="n">
        <f aca="false">IF(Z121=0,0,VLOOKUP(Z121,MIE_Components!$A$2:$F$6,4,FALSE()))</f>
        <v>0</v>
      </c>
      <c r="AD121" s="14" t="n">
        <f aca="false">IF(OR($A121="",Z121=0),0,MAX(5,Z121*IF(OR($A121=Parameters!$B$13,$A121=Parameters!$B$14),0.75,1)-(IF(AND($A121=DATE(2026,11,29),NOV29BF="Yes"),AA121,0)+IF(OR($A121=DATE(2026,11,29),$A121=DATE(2026,11,30),$A121=DATE(2026,12,1),$A121=DATE(2026,12,2)),AB121,0)+IF(OR($A121=DATE(2026,11,28),$A121=DATE(2026,12,1)),AC121,0))))</f>
        <v>0</v>
      </c>
      <c r="AE121" s="14" t="n">
        <f aca="false">IF(AND($A121&lt;&gt;"",$A121&lt;Parameters!$B$14),CityData!F6*(1+TAXRATE),0)</f>
        <v>0</v>
      </c>
      <c r="AF121" s="14" t="n">
        <f aca="false">IF($A121="",0,IFERROR(VLOOKUP((YEAR($A121)+IF(MONTH($A121)&gt;=10,1,0))&amp;"|Phoenix|"&amp;MONTH($A121),Rates!$A$2:$I$181,5,FALSE()),0))</f>
        <v>0</v>
      </c>
      <c r="AG121" s="14" t="n">
        <f aca="false">IF(OR($A121="",$A121&gt;=Parameters!$B$14),1,IF(AND(AF121&gt;0,CityData!F6&lt;=AF121),1,0))</f>
        <v>1</v>
      </c>
      <c r="AH121" s="14" t="n">
        <f aca="false">IF($A121="",0,IFERROR(VLOOKUP((YEAR($A121)+IF(MONTH($A121)&gt;=10,1,0))&amp;"|Seattle|"&amp;MONTH($A121),Rates!$A$2:$I$181,6,FALSE()),0))</f>
        <v>0</v>
      </c>
      <c r="AI121" s="14" t="n">
        <f aca="false">IF(AH121=0,0,VLOOKUP(AH121,MIE_Components!$A$2:$F$6,2,FALSE()))</f>
        <v>0</v>
      </c>
      <c r="AJ121" s="14" t="n">
        <f aca="false">IF(AH121=0,0,VLOOKUP(AH121,MIE_Components!$A$2:$F$6,3,FALSE()))</f>
        <v>0</v>
      </c>
      <c r="AK121" s="14" t="n">
        <f aca="false">IF(AH121=0,0,VLOOKUP(AH121,MIE_Components!$A$2:$F$6,4,FALSE()))</f>
        <v>0</v>
      </c>
      <c r="AL121" s="14" t="n">
        <f aca="false">IF(OR($A121="",AH121=0),0,MAX(5,AH121*IF(OR($A121=Parameters!$B$13,$A121=Parameters!$B$14),0.75,1)-(IF(AND($A121=DATE(2026,11,29),NOV29BF="Yes"),AI121,0)+IF(OR($A121=DATE(2026,11,29),$A121=DATE(2026,11,30),$A121=DATE(2026,12,1),$A121=DATE(2026,12,2)),AJ121,0)+IF(OR($A121=DATE(2026,11,28),$A121=DATE(2026,12,1)),AK121,0))))</f>
        <v>0</v>
      </c>
      <c r="AM121" s="14" t="n">
        <f aca="false">IF(AND($A121&lt;&gt;"",$A121&lt;Parameters!$B$14),CityData!F7*(1+TAXRATE),0)</f>
        <v>0</v>
      </c>
      <c r="AN121" s="14" t="n">
        <f aca="false">IF($A121="",0,IFERROR(VLOOKUP((YEAR($A121)+IF(MONTH($A121)&gt;=10,1,0))&amp;"|Seattle|"&amp;MONTH($A121),Rates!$A$2:$I$181,5,FALSE()),0))</f>
        <v>0</v>
      </c>
      <c r="AO121" s="14" t="n">
        <f aca="false">IF(OR($A121="",$A121&gt;=Parameters!$B$14),1,IF(AND(AN121&gt;0,CityData!F7&lt;=AN121),1,0))</f>
        <v>1</v>
      </c>
    </row>
    <row r="122" customFormat="false" ht="15" hidden="false" customHeight="true" outlineLevel="0" collapsed="false">
      <c r="A122" s="23" t="str">
        <f aca="false">IF(AND(Parameters!$B$14&gt;=Parameters!$B$13,ROW()-2&lt;=Parameters!$B$14-Parameters!$B$13),Parameters!$B$13+ROW()-2,"")</f>
        <v/>
      </c>
      <c r="B122" s="14" t="n">
        <f aca="false">IF($A122="",0,IFERROR(VLOOKUP((YEAR($A122)+IF(MONTH($A122)&gt;=10,1,0))&amp;"|Boston|"&amp;MONTH($A122),Rates!$A$2:$I$181,6,FALSE()),0))</f>
        <v>0</v>
      </c>
      <c r="C122" s="14" t="n">
        <f aca="false">IF(B122=0,0,VLOOKUP(B122,MIE_Components!$A$2:$F$6,2,FALSE()))</f>
        <v>0</v>
      </c>
      <c r="D122" s="14" t="n">
        <f aca="false">IF(B122=0,0,VLOOKUP(B122,MIE_Components!$A$2:$F$6,3,FALSE()))</f>
        <v>0</v>
      </c>
      <c r="E122" s="14" t="n">
        <f aca="false">IF(B122=0,0,VLOOKUP(B122,MIE_Components!$A$2:$F$6,4,FALSE()))</f>
        <v>0</v>
      </c>
      <c r="F122" s="14" t="n">
        <f aca="false">IF(OR($A122="",B122=0),0,MAX(5,B122*IF(OR($A122=Parameters!$B$13,$A122=Parameters!$B$14),0.75,1)-(IF(AND($A122=DATE(2026,11,29),NOV29BF="Yes"),C122,0)+IF(OR($A122=DATE(2026,11,29),$A122=DATE(2026,11,30),$A122=DATE(2026,12,1),$A122=DATE(2026,12,2)),D122,0)+IF(OR($A122=DATE(2026,11,28),$A122=DATE(2026,12,1)),E122,0))))</f>
        <v>0</v>
      </c>
      <c r="G122" s="14" t="n">
        <f aca="false">IF(AND($A122&lt;&gt;"",$A122&lt;Parameters!$B$14),CityData!F3*(1+TAXRATE),0)</f>
        <v>0</v>
      </c>
      <c r="H122" s="14" t="n">
        <f aca="false">IF($A122="",0,IFERROR(VLOOKUP((YEAR($A122)+IF(MONTH($A122)&gt;=10,1,0))&amp;"|Boston|"&amp;MONTH($A122),Rates!$A$2:$I$181,5,FALSE()),0))</f>
        <v>0</v>
      </c>
      <c r="I122" s="14" t="n">
        <f aca="false">IF(OR($A122="",$A122&gt;=Parameters!$B$14),1,IF(AND(H122&gt;0,CityData!F3&lt;=H122),1,0))</f>
        <v>1</v>
      </c>
      <c r="J122" s="14" t="n">
        <f aca="false">IF($A122="",0,IFERROR(VLOOKUP((YEAR($A122)+IF(MONTH($A122)&gt;=10,1,0))&amp;"|Chicago|"&amp;MONTH($A122),Rates!$A$2:$I$181,6,FALSE()),0))</f>
        <v>0</v>
      </c>
      <c r="K122" s="14" t="n">
        <f aca="false">IF(J122=0,0,VLOOKUP(J122,MIE_Components!$A$2:$F$6,2,FALSE()))</f>
        <v>0</v>
      </c>
      <c r="L122" s="14" t="n">
        <f aca="false">IF(J122=0,0,VLOOKUP(J122,MIE_Components!$A$2:$F$6,3,FALSE()))</f>
        <v>0</v>
      </c>
      <c r="M122" s="14" t="n">
        <f aca="false">IF(J122=0,0,VLOOKUP(J122,MIE_Components!$A$2:$F$6,4,FALSE()))</f>
        <v>0</v>
      </c>
      <c r="N122" s="14" t="n">
        <f aca="false">IF(OR($A122="",J122=0),0,MAX(5,J122*IF(OR($A122=Parameters!$B$13,$A122=Parameters!$B$14),0.75,1)-(IF(AND($A122=DATE(2026,11,29),NOV29BF="Yes"),K122,0)+IF(OR($A122=DATE(2026,11,29),$A122=DATE(2026,11,30),$A122=DATE(2026,12,1),$A122=DATE(2026,12,2)),L122,0)+IF(OR($A122=DATE(2026,11,28),$A122=DATE(2026,12,1)),M122,0))))</f>
        <v>0</v>
      </c>
      <c r="O122" s="14" t="n">
        <f aca="false">IF(AND($A122&lt;&gt;"",$A122&lt;Parameters!$B$14),CityData!F4*(1+TAXRATE),0)</f>
        <v>0</v>
      </c>
      <c r="P122" s="14" t="n">
        <f aca="false">IF($A122="",0,IFERROR(VLOOKUP((YEAR($A122)+IF(MONTH($A122)&gt;=10,1,0))&amp;"|Chicago|"&amp;MONTH($A122),Rates!$A$2:$I$181,5,FALSE()),0))</f>
        <v>0</v>
      </c>
      <c r="Q122" s="14" t="n">
        <f aca="false">IF(OR($A122="",$A122&gt;=Parameters!$B$14),1,IF(AND(P122&gt;0,CityData!F4&lt;=P122),1,0))</f>
        <v>1</v>
      </c>
      <c r="R122" s="14" t="n">
        <f aca="false">IF($A122="",0,IFERROR(VLOOKUP((YEAR($A122)+IF(MONTH($A122)&gt;=10,1,0))&amp;"|Denver|"&amp;MONTH($A122),Rates!$A$2:$I$181,6,FALSE()),0))</f>
        <v>0</v>
      </c>
      <c r="S122" s="14" t="n">
        <f aca="false">IF(R122=0,0,VLOOKUP(R122,MIE_Components!$A$2:$F$6,2,FALSE()))</f>
        <v>0</v>
      </c>
      <c r="T122" s="14" t="n">
        <f aca="false">IF(R122=0,0,VLOOKUP(R122,MIE_Components!$A$2:$F$6,3,FALSE()))</f>
        <v>0</v>
      </c>
      <c r="U122" s="14" t="n">
        <f aca="false">IF(R122=0,0,VLOOKUP(R122,MIE_Components!$A$2:$F$6,4,FALSE()))</f>
        <v>0</v>
      </c>
      <c r="V122" s="14" t="n">
        <f aca="false">IF(OR($A122="",R122=0),0,MAX(5,R122*IF(OR($A122=Parameters!$B$13,$A122=Parameters!$B$14),0.75,1)-(IF(AND($A122=DATE(2026,11,29),NOV29BF="Yes"),S122,0)+IF(OR($A122=DATE(2026,11,29),$A122=DATE(2026,11,30),$A122=DATE(2026,12,1),$A122=DATE(2026,12,2)),T122,0)+IF(OR($A122=DATE(2026,11,28),$A122=DATE(2026,12,1)),U122,0))))</f>
        <v>0</v>
      </c>
      <c r="W122" s="14" t="n">
        <f aca="false">IF(AND($A122&lt;&gt;"",$A122&lt;Parameters!$B$14),CityData!F5*(1+TAXRATE),0)</f>
        <v>0</v>
      </c>
      <c r="X122" s="14" t="n">
        <f aca="false">IF($A122="",0,IFERROR(VLOOKUP((YEAR($A122)+IF(MONTH($A122)&gt;=10,1,0))&amp;"|Denver|"&amp;MONTH($A122),Rates!$A$2:$I$181,5,FALSE()),0))</f>
        <v>0</v>
      </c>
      <c r="Y122" s="14" t="n">
        <f aca="false">IF(OR($A122="",$A122&gt;=Parameters!$B$14),1,IF(AND(X122&gt;0,CityData!F5&lt;=X122),1,0))</f>
        <v>1</v>
      </c>
      <c r="Z122" s="14" t="n">
        <f aca="false">IF($A122="",0,IFERROR(VLOOKUP((YEAR($A122)+IF(MONTH($A122)&gt;=10,1,0))&amp;"|Phoenix|"&amp;MONTH($A122),Rates!$A$2:$I$181,6,FALSE()),0))</f>
        <v>0</v>
      </c>
      <c r="AA122" s="14" t="n">
        <f aca="false">IF(Z122=0,0,VLOOKUP(Z122,MIE_Components!$A$2:$F$6,2,FALSE()))</f>
        <v>0</v>
      </c>
      <c r="AB122" s="14" t="n">
        <f aca="false">IF(Z122=0,0,VLOOKUP(Z122,MIE_Components!$A$2:$F$6,3,FALSE()))</f>
        <v>0</v>
      </c>
      <c r="AC122" s="14" t="n">
        <f aca="false">IF(Z122=0,0,VLOOKUP(Z122,MIE_Components!$A$2:$F$6,4,FALSE()))</f>
        <v>0</v>
      </c>
      <c r="AD122" s="14" t="n">
        <f aca="false">IF(OR($A122="",Z122=0),0,MAX(5,Z122*IF(OR($A122=Parameters!$B$13,$A122=Parameters!$B$14),0.75,1)-(IF(AND($A122=DATE(2026,11,29),NOV29BF="Yes"),AA122,0)+IF(OR($A122=DATE(2026,11,29),$A122=DATE(2026,11,30),$A122=DATE(2026,12,1),$A122=DATE(2026,12,2)),AB122,0)+IF(OR($A122=DATE(2026,11,28),$A122=DATE(2026,12,1)),AC122,0))))</f>
        <v>0</v>
      </c>
      <c r="AE122" s="14" t="n">
        <f aca="false">IF(AND($A122&lt;&gt;"",$A122&lt;Parameters!$B$14),CityData!F6*(1+TAXRATE),0)</f>
        <v>0</v>
      </c>
      <c r="AF122" s="14" t="n">
        <f aca="false">IF($A122="",0,IFERROR(VLOOKUP((YEAR($A122)+IF(MONTH($A122)&gt;=10,1,0))&amp;"|Phoenix|"&amp;MONTH($A122),Rates!$A$2:$I$181,5,FALSE()),0))</f>
        <v>0</v>
      </c>
      <c r="AG122" s="14" t="n">
        <f aca="false">IF(OR($A122="",$A122&gt;=Parameters!$B$14),1,IF(AND(AF122&gt;0,CityData!F6&lt;=AF122),1,0))</f>
        <v>1</v>
      </c>
      <c r="AH122" s="14" t="n">
        <f aca="false">IF($A122="",0,IFERROR(VLOOKUP((YEAR($A122)+IF(MONTH($A122)&gt;=10,1,0))&amp;"|Seattle|"&amp;MONTH($A122),Rates!$A$2:$I$181,6,FALSE()),0))</f>
        <v>0</v>
      </c>
      <c r="AI122" s="14" t="n">
        <f aca="false">IF(AH122=0,0,VLOOKUP(AH122,MIE_Components!$A$2:$F$6,2,FALSE()))</f>
        <v>0</v>
      </c>
      <c r="AJ122" s="14" t="n">
        <f aca="false">IF(AH122=0,0,VLOOKUP(AH122,MIE_Components!$A$2:$F$6,3,FALSE()))</f>
        <v>0</v>
      </c>
      <c r="AK122" s="14" t="n">
        <f aca="false">IF(AH122=0,0,VLOOKUP(AH122,MIE_Components!$A$2:$F$6,4,FALSE()))</f>
        <v>0</v>
      </c>
      <c r="AL122" s="14" t="n">
        <f aca="false">IF(OR($A122="",AH122=0),0,MAX(5,AH122*IF(OR($A122=Parameters!$B$13,$A122=Parameters!$B$14),0.75,1)-(IF(AND($A122=DATE(2026,11,29),NOV29BF="Yes"),AI122,0)+IF(OR($A122=DATE(2026,11,29),$A122=DATE(2026,11,30),$A122=DATE(2026,12,1),$A122=DATE(2026,12,2)),AJ122,0)+IF(OR($A122=DATE(2026,11,28),$A122=DATE(2026,12,1)),AK122,0))))</f>
        <v>0</v>
      </c>
      <c r="AM122" s="14" t="n">
        <f aca="false">IF(AND($A122&lt;&gt;"",$A122&lt;Parameters!$B$14),CityData!F7*(1+TAXRATE),0)</f>
        <v>0</v>
      </c>
      <c r="AN122" s="14" t="n">
        <f aca="false">IF($A122="",0,IFERROR(VLOOKUP((YEAR($A122)+IF(MONTH($A122)&gt;=10,1,0))&amp;"|Seattle|"&amp;MONTH($A122),Rates!$A$2:$I$181,5,FALSE()),0))</f>
        <v>0</v>
      </c>
      <c r="AO122" s="14" t="n">
        <f aca="false">IF(OR($A122="",$A122&gt;=Parameters!$B$14),1,IF(AND(AN122&gt;0,CityData!F7&lt;=AN122),1,0))</f>
        <v>1</v>
      </c>
    </row>
    <row r="123" customFormat="false" ht="15" hidden="false" customHeight="true" outlineLevel="0" collapsed="false">
      <c r="A123" s="23" t="str">
        <f aca="false">IF(AND(Parameters!$B$14&gt;=Parameters!$B$13,ROW()-2&lt;=Parameters!$B$14-Parameters!$B$13),Parameters!$B$13+ROW()-2,"")</f>
        <v/>
      </c>
      <c r="B123" s="14" t="n">
        <f aca="false">IF($A123="",0,IFERROR(VLOOKUP((YEAR($A123)+IF(MONTH($A123)&gt;=10,1,0))&amp;"|Boston|"&amp;MONTH($A123),Rates!$A$2:$I$181,6,FALSE()),0))</f>
        <v>0</v>
      </c>
      <c r="C123" s="14" t="n">
        <f aca="false">IF(B123=0,0,VLOOKUP(B123,MIE_Components!$A$2:$F$6,2,FALSE()))</f>
        <v>0</v>
      </c>
      <c r="D123" s="14" t="n">
        <f aca="false">IF(B123=0,0,VLOOKUP(B123,MIE_Components!$A$2:$F$6,3,FALSE()))</f>
        <v>0</v>
      </c>
      <c r="E123" s="14" t="n">
        <f aca="false">IF(B123=0,0,VLOOKUP(B123,MIE_Components!$A$2:$F$6,4,FALSE()))</f>
        <v>0</v>
      </c>
      <c r="F123" s="14" t="n">
        <f aca="false">IF(OR($A123="",B123=0),0,MAX(5,B123*IF(OR($A123=Parameters!$B$13,$A123=Parameters!$B$14),0.75,1)-(IF(AND($A123=DATE(2026,11,29),NOV29BF="Yes"),C123,0)+IF(OR($A123=DATE(2026,11,29),$A123=DATE(2026,11,30),$A123=DATE(2026,12,1),$A123=DATE(2026,12,2)),D123,0)+IF(OR($A123=DATE(2026,11,28),$A123=DATE(2026,12,1)),E123,0))))</f>
        <v>0</v>
      </c>
      <c r="G123" s="14" t="n">
        <f aca="false">IF(AND($A123&lt;&gt;"",$A123&lt;Parameters!$B$14),CityData!F3*(1+TAXRATE),0)</f>
        <v>0</v>
      </c>
      <c r="H123" s="14" t="n">
        <f aca="false">IF($A123="",0,IFERROR(VLOOKUP((YEAR($A123)+IF(MONTH($A123)&gt;=10,1,0))&amp;"|Boston|"&amp;MONTH($A123),Rates!$A$2:$I$181,5,FALSE()),0))</f>
        <v>0</v>
      </c>
      <c r="I123" s="14" t="n">
        <f aca="false">IF(OR($A123="",$A123&gt;=Parameters!$B$14),1,IF(AND(H123&gt;0,CityData!F3&lt;=H123),1,0))</f>
        <v>1</v>
      </c>
      <c r="J123" s="14" t="n">
        <f aca="false">IF($A123="",0,IFERROR(VLOOKUP((YEAR($A123)+IF(MONTH($A123)&gt;=10,1,0))&amp;"|Chicago|"&amp;MONTH($A123),Rates!$A$2:$I$181,6,FALSE()),0))</f>
        <v>0</v>
      </c>
      <c r="K123" s="14" t="n">
        <f aca="false">IF(J123=0,0,VLOOKUP(J123,MIE_Components!$A$2:$F$6,2,FALSE()))</f>
        <v>0</v>
      </c>
      <c r="L123" s="14" t="n">
        <f aca="false">IF(J123=0,0,VLOOKUP(J123,MIE_Components!$A$2:$F$6,3,FALSE()))</f>
        <v>0</v>
      </c>
      <c r="M123" s="14" t="n">
        <f aca="false">IF(J123=0,0,VLOOKUP(J123,MIE_Components!$A$2:$F$6,4,FALSE()))</f>
        <v>0</v>
      </c>
      <c r="N123" s="14" t="n">
        <f aca="false">IF(OR($A123="",J123=0),0,MAX(5,J123*IF(OR($A123=Parameters!$B$13,$A123=Parameters!$B$14),0.75,1)-(IF(AND($A123=DATE(2026,11,29),NOV29BF="Yes"),K123,0)+IF(OR($A123=DATE(2026,11,29),$A123=DATE(2026,11,30),$A123=DATE(2026,12,1),$A123=DATE(2026,12,2)),L123,0)+IF(OR($A123=DATE(2026,11,28),$A123=DATE(2026,12,1)),M123,0))))</f>
        <v>0</v>
      </c>
      <c r="O123" s="14" t="n">
        <f aca="false">IF(AND($A123&lt;&gt;"",$A123&lt;Parameters!$B$14),CityData!F4*(1+TAXRATE),0)</f>
        <v>0</v>
      </c>
      <c r="P123" s="14" t="n">
        <f aca="false">IF($A123="",0,IFERROR(VLOOKUP((YEAR($A123)+IF(MONTH($A123)&gt;=10,1,0))&amp;"|Chicago|"&amp;MONTH($A123),Rates!$A$2:$I$181,5,FALSE()),0))</f>
        <v>0</v>
      </c>
      <c r="Q123" s="14" t="n">
        <f aca="false">IF(OR($A123="",$A123&gt;=Parameters!$B$14),1,IF(AND(P123&gt;0,CityData!F4&lt;=P123),1,0))</f>
        <v>1</v>
      </c>
      <c r="R123" s="14" t="n">
        <f aca="false">IF($A123="",0,IFERROR(VLOOKUP((YEAR($A123)+IF(MONTH($A123)&gt;=10,1,0))&amp;"|Denver|"&amp;MONTH($A123),Rates!$A$2:$I$181,6,FALSE()),0))</f>
        <v>0</v>
      </c>
      <c r="S123" s="14" t="n">
        <f aca="false">IF(R123=0,0,VLOOKUP(R123,MIE_Components!$A$2:$F$6,2,FALSE()))</f>
        <v>0</v>
      </c>
      <c r="T123" s="14" t="n">
        <f aca="false">IF(R123=0,0,VLOOKUP(R123,MIE_Components!$A$2:$F$6,3,FALSE()))</f>
        <v>0</v>
      </c>
      <c r="U123" s="14" t="n">
        <f aca="false">IF(R123=0,0,VLOOKUP(R123,MIE_Components!$A$2:$F$6,4,FALSE()))</f>
        <v>0</v>
      </c>
      <c r="V123" s="14" t="n">
        <f aca="false">IF(OR($A123="",R123=0),0,MAX(5,R123*IF(OR($A123=Parameters!$B$13,$A123=Parameters!$B$14),0.75,1)-(IF(AND($A123=DATE(2026,11,29),NOV29BF="Yes"),S123,0)+IF(OR($A123=DATE(2026,11,29),$A123=DATE(2026,11,30),$A123=DATE(2026,12,1),$A123=DATE(2026,12,2)),T123,0)+IF(OR($A123=DATE(2026,11,28),$A123=DATE(2026,12,1)),U123,0))))</f>
        <v>0</v>
      </c>
      <c r="W123" s="14" t="n">
        <f aca="false">IF(AND($A123&lt;&gt;"",$A123&lt;Parameters!$B$14),CityData!F5*(1+TAXRATE),0)</f>
        <v>0</v>
      </c>
      <c r="X123" s="14" t="n">
        <f aca="false">IF($A123="",0,IFERROR(VLOOKUP((YEAR($A123)+IF(MONTH($A123)&gt;=10,1,0))&amp;"|Denver|"&amp;MONTH($A123),Rates!$A$2:$I$181,5,FALSE()),0))</f>
        <v>0</v>
      </c>
      <c r="Y123" s="14" t="n">
        <f aca="false">IF(OR($A123="",$A123&gt;=Parameters!$B$14),1,IF(AND(X123&gt;0,CityData!F5&lt;=X123),1,0))</f>
        <v>1</v>
      </c>
      <c r="Z123" s="14" t="n">
        <f aca="false">IF($A123="",0,IFERROR(VLOOKUP((YEAR($A123)+IF(MONTH($A123)&gt;=10,1,0))&amp;"|Phoenix|"&amp;MONTH($A123),Rates!$A$2:$I$181,6,FALSE()),0))</f>
        <v>0</v>
      </c>
      <c r="AA123" s="14" t="n">
        <f aca="false">IF(Z123=0,0,VLOOKUP(Z123,MIE_Components!$A$2:$F$6,2,FALSE()))</f>
        <v>0</v>
      </c>
      <c r="AB123" s="14" t="n">
        <f aca="false">IF(Z123=0,0,VLOOKUP(Z123,MIE_Components!$A$2:$F$6,3,FALSE()))</f>
        <v>0</v>
      </c>
      <c r="AC123" s="14" t="n">
        <f aca="false">IF(Z123=0,0,VLOOKUP(Z123,MIE_Components!$A$2:$F$6,4,FALSE()))</f>
        <v>0</v>
      </c>
      <c r="AD123" s="14" t="n">
        <f aca="false">IF(OR($A123="",Z123=0),0,MAX(5,Z123*IF(OR($A123=Parameters!$B$13,$A123=Parameters!$B$14),0.75,1)-(IF(AND($A123=DATE(2026,11,29),NOV29BF="Yes"),AA123,0)+IF(OR($A123=DATE(2026,11,29),$A123=DATE(2026,11,30),$A123=DATE(2026,12,1),$A123=DATE(2026,12,2)),AB123,0)+IF(OR($A123=DATE(2026,11,28),$A123=DATE(2026,12,1)),AC123,0))))</f>
        <v>0</v>
      </c>
      <c r="AE123" s="14" t="n">
        <f aca="false">IF(AND($A123&lt;&gt;"",$A123&lt;Parameters!$B$14),CityData!F6*(1+TAXRATE),0)</f>
        <v>0</v>
      </c>
      <c r="AF123" s="14" t="n">
        <f aca="false">IF($A123="",0,IFERROR(VLOOKUP((YEAR($A123)+IF(MONTH($A123)&gt;=10,1,0))&amp;"|Phoenix|"&amp;MONTH($A123),Rates!$A$2:$I$181,5,FALSE()),0))</f>
        <v>0</v>
      </c>
      <c r="AG123" s="14" t="n">
        <f aca="false">IF(OR($A123="",$A123&gt;=Parameters!$B$14),1,IF(AND(AF123&gt;0,CityData!F6&lt;=AF123),1,0))</f>
        <v>1</v>
      </c>
      <c r="AH123" s="14" t="n">
        <f aca="false">IF($A123="",0,IFERROR(VLOOKUP((YEAR($A123)+IF(MONTH($A123)&gt;=10,1,0))&amp;"|Seattle|"&amp;MONTH($A123),Rates!$A$2:$I$181,6,FALSE()),0))</f>
        <v>0</v>
      </c>
      <c r="AI123" s="14" t="n">
        <f aca="false">IF(AH123=0,0,VLOOKUP(AH123,MIE_Components!$A$2:$F$6,2,FALSE()))</f>
        <v>0</v>
      </c>
      <c r="AJ123" s="14" t="n">
        <f aca="false">IF(AH123=0,0,VLOOKUP(AH123,MIE_Components!$A$2:$F$6,3,FALSE()))</f>
        <v>0</v>
      </c>
      <c r="AK123" s="14" t="n">
        <f aca="false">IF(AH123=0,0,VLOOKUP(AH123,MIE_Components!$A$2:$F$6,4,FALSE()))</f>
        <v>0</v>
      </c>
      <c r="AL123" s="14" t="n">
        <f aca="false">IF(OR($A123="",AH123=0),0,MAX(5,AH123*IF(OR($A123=Parameters!$B$13,$A123=Parameters!$B$14),0.75,1)-(IF(AND($A123=DATE(2026,11,29),NOV29BF="Yes"),AI123,0)+IF(OR($A123=DATE(2026,11,29),$A123=DATE(2026,11,30),$A123=DATE(2026,12,1),$A123=DATE(2026,12,2)),AJ123,0)+IF(OR($A123=DATE(2026,11,28),$A123=DATE(2026,12,1)),AK123,0))))</f>
        <v>0</v>
      </c>
      <c r="AM123" s="14" t="n">
        <f aca="false">IF(AND($A123&lt;&gt;"",$A123&lt;Parameters!$B$14),CityData!F7*(1+TAXRATE),0)</f>
        <v>0</v>
      </c>
      <c r="AN123" s="14" t="n">
        <f aca="false">IF($A123="",0,IFERROR(VLOOKUP((YEAR($A123)+IF(MONTH($A123)&gt;=10,1,0))&amp;"|Seattle|"&amp;MONTH($A123),Rates!$A$2:$I$181,5,FALSE()),0))</f>
        <v>0</v>
      </c>
      <c r="AO123" s="14" t="n">
        <f aca="false">IF(OR($A123="",$A123&gt;=Parameters!$B$14),1,IF(AND(AN123&gt;0,CityData!F7&lt;=AN123),1,0))</f>
        <v>1</v>
      </c>
    </row>
    <row r="124" customFormat="false" ht="15" hidden="false" customHeight="true" outlineLevel="0" collapsed="false">
      <c r="A124" s="23" t="str">
        <f aca="false">IF(AND(Parameters!$B$14&gt;=Parameters!$B$13,ROW()-2&lt;=Parameters!$B$14-Parameters!$B$13),Parameters!$B$13+ROW()-2,"")</f>
        <v/>
      </c>
      <c r="B124" s="14" t="n">
        <f aca="false">IF($A124="",0,IFERROR(VLOOKUP((YEAR($A124)+IF(MONTH($A124)&gt;=10,1,0))&amp;"|Boston|"&amp;MONTH($A124),Rates!$A$2:$I$181,6,FALSE()),0))</f>
        <v>0</v>
      </c>
      <c r="C124" s="14" t="n">
        <f aca="false">IF(B124=0,0,VLOOKUP(B124,MIE_Components!$A$2:$F$6,2,FALSE()))</f>
        <v>0</v>
      </c>
      <c r="D124" s="14" t="n">
        <f aca="false">IF(B124=0,0,VLOOKUP(B124,MIE_Components!$A$2:$F$6,3,FALSE()))</f>
        <v>0</v>
      </c>
      <c r="E124" s="14" t="n">
        <f aca="false">IF(B124=0,0,VLOOKUP(B124,MIE_Components!$A$2:$F$6,4,FALSE()))</f>
        <v>0</v>
      </c>
      <c r="F124" s="14" t="n">
        <f aca="false">IF(OR($A124="",B124=0),0,MAX(5,B124*IF(OR($A124=Parameters!$B$13,$A124=Parameters!$B$14),0.75,1)-(IF(AND($A124=DATE(2026,11,29),NOV29BF="Yes"),C124,0)+IF(OR($A124=DATE(2026,11,29),$A124=DATE(2026,11,30),$A124=DATE(2026,12,1),$A124=DATE(2026,12,2)),D124,0)+IF(OR($A124=DATE(2026,11,28),$A124=DATE(2026,12,1)),E124,0))))</f>
        <v>0</v>
      </c>
      <c r="G124" s="14" t="n">
        <f aca="false">IF(AND($A124&lt;&gt;"",$A124&lt;Parameters!$B$14),CityData!F3*(1+TAXRATE),0)</f>
        <v>0</v>
      </c>
      <c r="H124" s="14" t="n">
        <f aca="false">IF($A124="",0,IFERROR(VLOOKUP((YEAR($A124)+IF(MONTH($A124)&gt;=10,1,0))&amp;"|Boston|"&amp;MONTH($A124),Rates!$A$2:$I$181,5,FALSE()),0))</f>
        <v>0</v>
      </c>
      <c r="I124" s="14" t="n">
        <f aca="false">IF(OR($A124="",$A124&gt;=Parameters!$B$14),1,IF(AND(H124&gt;0,CityData!F3&lt;=H124),1,0))</f>
        <v>1</v>
      </c>
      <c r="J124" s="14" t="n">
        <f aca="false">IF($A124="",0,IFERROR(VLOOKUP((YEAR($A124)+IF(MONTH($A124)&gt;=10,1,0))&amp;"|Chicago|"&amp;MONTH($A124),Rates!$A$2:$I$181,6,FALSE()),0))</f>
        <v>0</v>
      </c>
      <c r="K124" s="14" t="n">
        <f aca="false">IF(J124=0,0,VLOOKUP(J124,MIE_Components!$A$2:$F$6,2,FALSE()))</f>
        <v>0</v>
      </c>
      <c r="L124" s="14" t="n">
        <f aca="false">IF(J124=0,0,VLOOKUP(J124,MIE_Components!$A$2:$F$6,3,FALSE()))</f>
        <v>0</v>
      </c>
      <c r="M124" s="14" t="n">
        <f aca="false">IF(J124=0,0,VLOOKUP(J124,MIE_Components!$A$2:$F$6,4,FALSE()))</f>
        <v>0</v>
      </c>
      <c r="N124" s="14" t="n">
        <f aca="false">IF(OR($A124="",J124=0),0,MAX(5,J124*IF(OR($A124=Parameters!$B$13,$A124=Parameters!$B$14),0.75,1)-(IF(AND($A124=DATE(2026,11,29),NOV29BF="Yes"),K124,0)+IF(OR($A124=DATE(2026,11,29),$A124=DATE(2026,11,30),$A124=DATE(2026,12,1),$A124=DATE(2026,12,2)),L124,0)+IF(OR($A124=DATE(2026,11,28),$A124=DATE(2026,12,1)),M124,0))))</f>
        <v>0</v>
      </c>
      <c r="O124" s="14" t="n">
        <f aca="false">IF(AND($A124&lt;&gt;"",$A124&lt;Parameters!$B$14),CityData!F4*(1+TAXRATE),0)</f>
        <v>0</v>
      </c>
      <c r="P124" s="14" t="n">
        <f aca="false">IF($A124="",0,IFERROR(VLOOKUP((YEAR($A124)+IF(MONTH($A124)&gt;=10,1,0))&amp;"|Chicago|"&amp;MONTH($A124),Rates!$A$2:$I$181,5,FALSE()),0))</f>
        <v>0</v>
      </c>
      <c r="Q124" s="14" t="n">
        <f aca="false">IF(OR($A124="",$A124&gt;=Parameters!$B$14),1,IF(AND(P124&gt;0,CityData!F4&lt;=P124),1,0))</f>
        <v>1</v>
      </c>
      <c r="R124" s="14" t="n">
        <f aca="false">IF($A124="",0,IFERROR(VLOOKUP((YEAR($A124)+IF(MONTH($A124)&gt;=10,1,0))&amp;"|Denver|"&amp;MONTH($A124),Rates!$A$2:$I$181,6,FALSE()),0))</f>
        <v>0</v>
      </c>
      <c r="S124" s="14" t="n">
        <f aca="false">IF(R124=0,0,VLOOKUP(R124,MIE_Components!$A$2:$F$6,2,FALSE()))</f>
        <v>0</v>
      </c>
      <c r="T124" s="14" t="n">
        <f aca="false">IF(R124=0,0,VLOOKUP(R124,MIE_Components!$A$2:$F$6,3,FALSE()))</f>
        <v>0</v>
      </c>
      <c r="U124" s="14" t="n">
        <f aca="false">IF(R124=0,0,VLOOKUP(R124,MIE_Components!$A$2:$F$6,4,FALSE()))</f>
        <v>0</v>
      </c>
      <c r="V124" s="14" t="n">
        <f aca="false">IF(OR($A124="",R124=0),0,MAX(5,R124*IF(OR($A124=Parameters!$B$13,$A124=Parameters!$B$14),0.75,1)-(IF(AND($A124=DATE(2026,11,29),NOV29BF="Yes"),S124,0)+IF(OR($A124=DATE(2026,11,29),$A124=DATE(2026,11,30),$A124=DATE(2026,12,1),$A124=DATE(2026,12,2)),T124,0)+IF(OR($A124=DATE(2026,11,28),$A124=DATE(2026,12,1)),U124,0))))</f>
        <v>0</v>
      </c>
      <c r="W124" s="14" t="n">
        <f aca="false">IF(AND($A124&lt;&gt;"",$A124&lt;Parameters!$B$14),CityData!F5*(1+TAXRATE),0)</f>
        <v>0</v>
      </c>
      <c r="X124" s="14" t="n">
        <f aca="false">IF($A124="",0,IFERROR(VLOOKUP((YEAR($A124)+IF(MONTH($A124)&gt;=10,1,0))&amp;"|Denver|"&amp;MONTH($A124),Rates!$A$2:$I$181,5,FALSE()),0))</f>
        <v>0</v>
      </c>
      <c r="Y124" s="14" t="n">
        <f aca="false">IF(OR($A124="",$A124&gt;=Parameters!$B$14),1,IF(AND(X124&gt;0,CityData!F5&lt;=X124),1,0))</f>
        <v>1</v>
      </c>
      <c r="Z124" s="14" t="n">
        <f aca="false">IF($A124="",0,IFERROR(VLOOKUP((YEAR($A124)+IF(MONTH($A124)&gt;=10,1,0))&amp;"|Phoenix|"&amp;MONTH($A124),Rates!$A$2:$I$181,6,FALSE()),0))</f>
        <v>0</v>
      </c>
      <c r="AA124" s="14" t="n">
        <f aca="false">IF(Z124=0,0,VLOOKUP(Z124,MIE_Components!$A$2:$F$6,2,FALSE()))</f>
        <v>0</v>
      </c>
      <c r="AB124" s="14" t="n">
        <f aca="false">IF(Z124=0,0,VLOOKUP(Z124,MIE_Components!$A$2:$F$6,3,FALSE()))</f>
        <v>0</v>
      </c>
      <c r="AC124" s="14" t="n">
        <f aca="false">IF(Z124=0,0,VLOOKUP(Z124,MIE_Components!$A$2:$F$6,4,FALSE()))</f>
        <v>0</v>
      </c>
      <c r="AD124" s="14" t="n">
        <f aca="false">IF(OR($A124="",Z124=0),0,MAX(5,Z124*IF(OR($A124=Parameters!$B$13,$A124=Parameters!$B$14),0.75,1)-(IF(AND($A124=DATE(2026,11,29),NOV29BF="Yes"),AA124,0)+IF(OR($A124=DATE(2026,11,29),$A124=DATE(2026,11,30),$A124=DATE(2026,12,1),$A124=DATE(2026,12,2)),AB124,0)+IF(OR($A124=DATE(2026,11,28),$A124=DATE(2026,12,1)),AC124,0))))</f>
        <v>0</v>
      </c>
      <c r="AE124" s="14" t="n">
        <f aca="false">IF(AND($A124&lt;&gt;"",$A124&lt;Parameters!$B$14),CityData!F6*(1+TAXRATE),0)</f>
        <v>0</v>
      </c>
      <c r="AF124" s="14" t="n">
        <f aca="false">IF($A124="",0,IFERROR(VLOOKUP((YEAR($A124)+IF(MONTH($A124)&gt;=10,1,0))&amp;"|Phoenix|"&amp;MONTH($A124),Rates!$A$2:$I$181,5,FALSE()),0))</f>
        <v>0</v>
      </c>
      <c r="AG124" s="14" t="n">
        <f aca="false">IF(OR($A124="",$A124&gt;=Parameters!$B$14),1,IF(AND(AF124&gt;0,CityData!F6&lt;=AF124),1,0))</f>
        <v>1</v>
      </c>
      <c r="AH124" s="14" t="n">
        <f aca="false">IF($A124="",0,IFERROR(VLOOKUP((YEAR($A124)+IF(MONTH($A124)&gt;=10,1,0))&amp;"|Seattle|"&amp;MONTH($A124),Rates!$A$2:$I$181,6,FALSE()),0))</f>
        <v>0</v>
      </c>
      <c r="AI124" s="14" t="n">
        <f aca="false">IF(AH124=0,0,VLOOKUP(AH124,MIE_Components!$A$2:$F$6,2,FALSE()))</f>
        <v>0</v>
      </c>
      <c r="AJ124" s="14" t="n">
        <f aca="false">IF(AH124=0,0,VLOOKUP(AH124,MIE_Components!$A$2:$F$6,3,FALSE()))</f>
        <v>0</v>
      </c>
      <c r="AK124" s="14" t="n">
        <f aca="false">IF(AH124=0,0,VLOOKUP(AH124,MIE_Components!$A$2:$F$6,4,FALSE()))</f>
        <v>0</v>
      </c>
      <c r="AL124" s="14" t="n">
        <f aca="false">IF(OR($A124="",AH124=0),0,MAX(5,AH124*IF(OR($A124=Parameters!$B$13,$A124=Parameters!$B$14),0.75,1)-(IF(AND($A124=DATE(2026,11,29),NOV29BF="Yes"),AI124,0)+IF(OR($A124=DATE(2026,11,29),$A124=DATE(2026,11,30),$A124=DATE(2026,12,1),$A124=DATE(2026,12,2)),AJ124,0)+IF(OR($A124=DATE(2026,11,28),$A124=DATE(2026,12,1)),AK124,0))))</f>
        <v>0</v>
      </c>
      <c r="AM124" s="14" t="n">
        <f aca="false">IF(AND($A124&lt;&gt;"",$A124&lt;Parameters!$B$14),CityData!F7*(1+TAXRATE),0)</f>
        <v>0</v>
      </c>
      <c r="AN124" s="14" t="n">
        <f aca="false">IF($A124="",0,IFERROR(VLOOKUP((YEAR($A124)+IF(MONTH($A124)&gt;=10,1,0))&amp;"|Seattle|"&amp;MONTH($A124),Rates!$A$2:$I$181,5,FALSE()),0))</f>
        <v>0</v>
      </c>
      <c r="AO124" s="14" t="n">
        <f aca="false">IF(OR($A124="",$A124&gt;=Parameters!$B$14),1,IF(AND(AN124&gt;0,CityData!F7&lt;=AN124),1,0))</f>
        <v>1</v>
      </c>
    </row>
    <row r="125" customFormat="false" ht="15" hidden="false" customHeight="true" outlineLevel="0" collapsed="false">
      <c r="A125" s="23" t="str">
        <f aca="false">IF(AND(Parameters!$B$14&gt;=Parameters!$B$13,ROW()-2&lt;=Parameters!$B$14-Parameters!$B$13),Parameters!$B$13+ROW()-2,"")</f>
        <v/>
      </c>
      <c r="B125" s="14" t="n">
        <f aca="false">IF($A125="",0,IFERROR(VLOOKUP((YEAR($A125)+IF(MONTH($A125)&gt;=10,1,0))&amp;"|Boston|"&amp;MONTH($A125),Rates!$A$2:$I$181,6,FALSE()),0))</f>
        <v>0</v>
      </c>
      <c r="C125" s="14" t="n">
        <f aca="false">IF(B125=0,0,VLOOKUP(B125,MIE_Components!$A$2:$F$6,2,FALSE()))</f>
        <v>0</v>
      </c>
      <c r="D125" s="14" t="n">
        <f aca="false">IF(B125=0,0,VLOOKUP(B125,MIE_Components!$A$2:$F$6,3,FALSE()))</f>
        <v>0</v>
      </c>
      <c r="E125" s="14" t="n">
        <f aca="false">IF(B125=0,0,VLOOKUP(B125,MIE_Components!$A$2:$F$6,4,FALSE()))</f>
        <v>0</v>
      </c>
      <c r="F125" s="14" t="n">
        <f aca="false">IF(OR($A125="",B125=0),0,MAX(5,B125*IF(OR($A125=Parameters!$B$13,$A125=Parameters!$B$14),0.75,1)-(IF(AND($A125=DATE(2026,11,29),NOV29BF="Yes"),C125,0)+IF(OR($A125=DATE(2026,11,29),$A125=DATE(2026,11,30),$A125=DATE(2026,12,1),$A125=DATE(2026,12,2)),D125,0)+IF(OR($A125=DATE(2026,11,28),$A125=DATE(2026,12,1)),E125,0))))</f>
        <v>0</v>
      </c>
      <c r="G125" s="14" t="n">
        <f aca="false">IF(AND($A125&lt;&gt;"",$A125&lt;Parameters!$B$14),CityData!F3*(1+TAXRATE),0)</f>
        <v>0</v>
      </c>
      <c r="H125" s="14" t="n">
        <f aca="false">IF($A125="",0,IFERROR(VLOOKUP((YEAR($A125)+IF(MONTH($A125)&gt;=10,1,0))&amp;"|Boston|"&amp;MONTH($A125),Rates!$A$2:$I$181,5,FALSE()),0))</f>
        <v>0</v>
      </c>
      <c r="I125" s="14" t="n">
        <f aca="false">IF(OR($A125="",$A125&gt;=Parameters!$B$14),1,IF(AND(H125&gt;0,CityData!F3&lt;=H125),1,0))</f>
        <v>1</v>
      </c>
      <c r="J125" s="14" t="n">
        <f aca="false">IF($A125="",0,IFERROR(VLOOKUP((YEAR($A125)+IF(MONTH($A125)&gt;=10,1,0))&amp;"|Chicago|"&amp;MONTH($A125),Rates!$A$2:$I$181,6,FALSE()),0))</f>
        <v>0</v>
      </c>
      <c r="K125" s="14" t="n">
        <f aca="false">IF(J125=0,0,VLOOKUP(J125,MIE_Components!$A$2:$F$6,2,FALSE()))</f>
        <v>0</v>
      </c>
      <c r="L125" s="14" t="n">
        <f aca="false">IF(J125=0,0,VLOOKUP(J125,MIE_Components!$A$2:$F$6,3,FALSE()))</f>
        <v>0</v>
      </c>
      <c r="M125" s="14" t="n">
        <f aca="false">IF(J125=0,0,VLOOKUP(J125,MIE_Components!$A$2:$F$6,4,FALSE()))</f>
        <v>0</v>
      </c>
      <c r="N125" s="14" t="n">
        <f aca="false">IF(OR($A125="",J125=0),0,MAX(5,J125*IF(OR($A125=Parameters!$B$13,$A125=Parameters!$B$14),0.75,1)-(IF(AND($A125=DATE(2026,11,29),NOV29BF="Yes"),K125,0)+IF(OR($A125=DATE(2026,11,29),$A125=DATE(2026,11,30),$A125=DATE(2026,12,1),$A125=DATE(2026,12,2)),L125,0)+IF(OR($A125=DATE(2026,11,28),$A125=DATE(2026,12,1)),M125,0))))</f>
        <v>0</v>
      </c>
      <c r="O125" s="14" t="n">
        <f aca="false">IF(AND($A125&lt;&gt;"",$A125&lt;Parameters!$B$14),CityData!F4*(1+TAXRATE),0)</f>
        <v>0</v>
      </c>
      <c r="P125" s="14" t="n">
        <f aca="false">IF($A125="",0,IFERROR(VLOOKUP((YEAR($A125)+IF(MONTH($A125)&gt;=10,1,0))&amp;"|Chicago|"&amp;MONTH($A125),Rates!$A$2:$I$181,5,FALSE()),0))</f>
        <v>0</v>
      </c>
      <c r="Q125" s="14" t="n">
        <f aca="false">IF(OR($A125="",$A125&gt;=Parameters!$B$14),1,IF(AND(P125&gt;0,CityData!F4&lt;=P125),1,0))</f>
        <v>1</v>
      </c>
      <c r="R125" s="14" t="n">
        <f aca="false">IF($A125="",0,IFERROR(VLOOKUP((YEAR($A125)+IF(MONTH($A125)&gt;=10,1,0))&amp;"|Denver|"&amp;MONTH($A125),Rates!$A$2:$I$181,6,FALSE()),0))</f>
        <v>0</v>
      </c>
      <c r="S125" s="14" t="n">
        <f aca="false">IF(R125=0,0,VLOOKUP(R125,MIE_Components!$A$2:$F$6,2,FALSE()))</f>
        <v>0</v>
      </c>
      <c r="T125" s="14" t="n">
        <f aca="false">IF(R125=0,0,VLOOKUP(R125,MIE_Components!$A$2:$F$6,3,FALSE()))</f>
        <v>0</v>
      </c>
      <c r="U125" s="14" t="n">
        <f aca="false">IF(R125=0,0,VLOOKUP(R125,MIE_Components!$A$2:$F$6,4,FALSE()))</f>
        <v>0</v>
      </c>
      <c r="V125" s="14" t="n">
        <f aca="false">IF(OR($A125="",R125=0),0,MAX(5,R125*IF(OR($A125=Parameters!$B$13,$A125=Parameters!$B$14),0.75,1)-(IF(AND($A125=DATE(2026,11,29),NOV29BF="Yes"),S125,0)+IF(OR($A125=DATE(2026,11,29),$A125=DATE(2026,11,30),$A125=DATE(2026,12,1),$A125=DATE(2026,12,2)),T125,0)+IF(OR($A125=DATE(2026,11,28),$A125=DATE(2026,12,1)),U125,0))))</f>
        <v>0</v>
      </c>
      <c r="W125" s="14" t="n">
        <f aca="false">IF(AND($A125&lt;&gt;"",$A125&lt;Parameters!$B$14),CityData!F5*(1+TAXRATE),0)</f>
        <v>0</v>
      </c>
      <c r="X125" s="14" t="n">
        <f aca="false">IF($A125="",0,IFERROR(VLOOKUP((YEAR($A125)+IF(MONTH($A125)&gt;=10,1,0))&amp;"|Denver|"&amp;MONTH($A125),Rates!$A$2:$I$181,5,FALSE()),0))</f>
        <v>0</v>
      </c>
      <c r="Y125" s="14" t="n">
        <f aca="false">IF(OR($A125="",$A125&gt;=Parameters!$B$14),1,IF(AND(X125&gt;0,CityData!F5&lt;=X125),1,0))</f>
        <v>1</v>
      </c>
      <c r="Z125" s="14" t="n">
        <f aca="false">IF($A125="",0,IFERROR(VLOOKUP((YEAR($A125)+IF(MONTH($A125)&gt;=10,1,0))&amp;"|Phoenix|"&amp;MONTH($A125),Rates!$A$2:$I$181,6,FALSE()),0))</f>
        <v>0</v>
      </c>
      <c r="AA125" s="14" t="n">
        <f aca="false">IF(Z125=0,0,VLOOKUP(Z125,MIE_Components!$A$2:$F$6,2,FALSE()))</f>
        <v>0</v>
      </c>
      <c r="AB125" s="14" t="n">
        <f aca="false">IF(Z125=0,0,VLOOKUP(Z125,MIE_Components!$A$2:$F$6,3,FALSE()))</f>
        <v>0</v>
      </c>
      <c r="AC125" s="14" t="n">
        <f aca="false">IF(Z125=0,0,VLOOKUP(Z125,MIE_Components!$A$2:$F$6,4,FALSE()))</f>
        <v>0</v>
      </c>
      <c r="AD125" s="14" t="n">
        <f aca="false">IF(OR($A125="",Z125=0),0,MAX(5,Z125*IF(OR($A125=Parameters!$B$13,$A125=Parameters!$B$14),0.75,1)-(IF(AND($A125=DATE(2026,11,29),NOV29BF="Yes"),AA125,0)+IF(OR($A125=DATE(2026,11,29),$A125=DATE(2026,11,30),$A125=DATE(2026,12,1),$A125=DATE(2026,12,2)),AB125,0)+IF(OR($A125=DATE(2026,11,28),$A125=DATE(2026,12,1)),AC125,0))))</f>
        <v>0</v>
      </c>
      <c r="AE125" s="14" t="n">
        <f aca="false">IF(AND($A125&lt;&gt;"",$A125&lt;Parameters!$B$14),CityData!F6*(1+TAXRATE),0)</f>
        <v>0</v>
      </c>
      <c r="AF125" s="14" t="n">
        <f aca="false">IF($A125="",0,IFERROR(VLOOKUP((YEAR($A125)+IF(MONTH($A125)&gt;=10,1,0))&amp;"|Phoenix|"&amp;MONTH($A125),Rates!$A$2:$I$181,5,FALSE()),0))</f>
        <v>0</v>
      </c>
      <c r="AG125" s="14" t="n">
        <f aca="false">IF(OR($A125="",$A125&gt;=Parameters!$B$14),1,IF(AND(AF125&gt;0,CityData!F6&lt;=AF125),1,0))</f>
        <v>1</v>
      </c>
      <c r="AH125" s="14" t="n">
        <f aca="false">IF($A125="",0,IFERROR(VLOOKUP((YEAR($A125)+IF(MONTH($A125)&gt;=10,1,0))&amp;"|Seattle|"&amp;MONTH($A125),Rates!$A$2:$I$181,6,FALSE()),0))</f>
        <v>0</v>
      </c>
      <c r="AI125" s="14" t="n">
        <f aca="false">IF(AH125=0,0,VLOOKUP(AH125,MIE_Components!$A$2:$F$6,2,FALSE()))</f>
        <v>0</v>
      </c>
      <c r="AJ125" s="14" t="n">
        <f aca="false">IF(AH125=0,0,VLOOKUP(AH125,MIE_Components!$A$2:$F$6,3,FALSE()))</f>
        <v>0</v>
      </c>
      <c r="AK125" s="14" t="n">
        <f aca="false">IF(AH125=0,0,VLOOKUP(AH125,MIE_Components!$A$2:$F$6,4,FALSE()))</f>
        <v>0</v>
      </c>
      <c r="AL125" s="14" t="n">
        <f aca="false">IF(OR($A125="",AH125=0),0,MAX(5,AH125*IF(OR($A125=Parameters!$B$13,$A125=Parameters!$B$14),0.75,1)-(IF(AND($A125=DATE(2026,11,29),NOV29BF="Yes"),AI125,0)+IF(OR($A125=DATE(2026,11,29),$A125=DATE(2026,11,30),$A125=DATE(2026,12,1),$A125=DATE(2026,12,2)),AJ125,0)+IF(OR($A125=DATE(2026,11,28),$A125=DATE(2026,12,1)),AK125,0))))</f>
        <v>0</v>
      </c>
      <c r="AM125" s="14" t="n">
        <f aca="false">IF(AND($A125&lt;&gt;"",$A125&lt;Parameters!$B$14),CityData!F7*(1+TAXRATE),0)</f>
        <v>0</v>
      </c>
      <c r="AN125" s="14" t="n">
        <f aca="false">IF($A125="",0,IFERROR(VLOOKUP((YEAR($A125)+IF(MONTH($A125)&gt;=10,1,0))&amp;"|Seattle|"&amp;MONTH($A125),Rates!$A$2:$I$181,5,FALSE()),0))</f>
        <v>0</v>
      </c>
      <c r="AO125" s="14" t="n">
        <f aca="false">IF(OR($A125="",$A125&gt;=Parameters!$B$14),1,IF(AND(AN125&gt;0,CityData!F7&lt;=AN125),1,0))</f>
        <v>1</v>
      </c>
    </row>
    <row r="126" customFormat="false" ht="15" hidden="false" customHeight="true" outlineLevel="0" collapsed="false">
      <c r="A126" s="23" t="str">
        <f aca="false">IF(AND(Parameters!$B$14&gt;=Parameters!$B$13,ROW()-2&lt;=Parameters!$B$14-Parameters!$B$13),Parameters!$B$13+ROW()-2,"")</f>
        <v/>
      </c>
      <c r="B126" s="14" t="n">
        <f aca="false">IF($A126="",0,IFERROR(VLOOKUP((YEAR($A126)+IF(MONTH($A126)&gt;=10,1,0))&amp;"|Boston|"&amp;MONTH($A126),Rates!$A$2:$I$181,6,FALSE()),0))</f>
        <v>0</v>
      </c>
      <c r="C126" s="14" t="n">
        <f aca="false">IF(B126=0,0,VLOOKUP(B126,MIE_Components!$A$2:$F$6,2,FALSE()))</f>
        <v>0</v>
      </c>
      <c r="D126" s="14" t="n">
        <f aca="false">IF(B126=0,0,VLOOKUP(B126,MIE_Components!$A$2:$F$6,3,FALSE()))</f>
        <v>0</v>
      </c>
      <c r="E126" s="14" t="n">
        <f aca="false">IF(B126=0,0,VLOOKUP(B126,MIE_Components!$A$2:$F$6,4,FALSE()))</f>
        <v>0</v>
      </c>
      <c r="F126" s="14" t="n">
        <f aca="false">IF(OR($A126="",B126=0),0,MAX(5,B126*IF(OR($A126=Parameters!$B$13,$A126=Parameters!$B$14),0.75,1)-(IF(AND($A126=DATE(2026,11,29),NOV29BF="Yes"),C126,0)+IF(OR($A126=DATE(2026,11,29),$A126=DATE(2026,11,30),$A126=DATE(2026,12,1),$A126=DATE(2026,12,2)),D126,0)+IF(OR($A126=DATE(2026,11,28),$A126=DATE(2026,12,1)),E126,0))))</f>
        <v>0</v>
      </c>
      <c r="G126" s="14" t="n">
        <f aca="false">IF(AND($A126&lt;&gt;"",$A126&lt;Parameters!$B$14),CityData!F3*(1+TAXRATE),0)</f>
        <v>0</v>
      </c>
      <c r="H126" s="14" t="n">
        <f aca="false">IF($A126="",0,IFERROR(VLOOKUP((YEAR($A126)+IF(MONTH($A126)&gt;=10,1,0))&amp;"|Boston|"&amp;MONTH($A126),Rates!$A$2:$I$181,5,FALSE()),0))</f>
        <v>0</v>
      </c>
      <c r="I126" s="14" t="n">
        <f aca="false">IF(OR($A126="",$A126&gt;=Parameters!$B$14),1,IF(AND(H126&gt;0,CityData!F3&lt;=H126),1,0))</f>
        <v>1</v>
      </c>
      <c r="J126" s="14" t="n">
        <f aca="false">IF($A126="",0,IFERROR(VLOOKUP((YEAR($A126)+IF(MONTH($A126)&gt;=10,1,0))&amp;"|Chicago|"&amp;MONTH($A126),Rates!$A$2:$I$181,6,FALSE()),0))</f>
        <v>0</v>
      </c>
      <c r="K126" s="14" t="n">
        <f aca="false">IF(J126=0,0,VLOOKUP(J126,MIE_Components!$A$2:$F$6,2,FALSE()))</f>
        <v>0</v>
      </c>
      <c r="L126" s="14" t="n">
        <f aca="false">IF(J126=0,0,VLOOKUP(J126,MIE_Components!$A$2:$F$6,3,FALSE()))</f>
        <v>0</v>
      </c>
      <c r="M126" s="14" t="n">
        <f aca="false">IF(J126=0,0,VLOOKUP(J126,MIE_Components!$A$2:$F$6,4,FALSE()))</f>
        <v>0</v>
      </c>
      <c r="N126" s="14" t="n">
        <f aca="false">IF(OR($A126="",J126=0),0,MAX(5,J126*IF(OR($A126=Parameters!$B$13,$A126=Parameters!$B$14),0.75,1)-(IF(AND($A126=DATE(2026,11,29),NOV29BF="Yes"),K126,0)+IF(OR($A126=DATE(2026,11,29),$A126=DATE(2026,11,30),$A126=DATE(2026,12,1),$A126=DATE(2026,12,2)),L126,0)+IF(OR($A126=DATE(2026,11,28),$A126=DATE(2026,12,1)),M126,0))))</f>
        <v>0</v>
      </c>
      <c r="O126" s="14" t="n">
        <f aca="false">IF(AND($A126&lt;&gt;"",$A126&lt;Parameters!$B$14),CityData!F4*(1+TAXRATE),0)</f>
        <v>0</v>
      </c>
      <c r="P126" s="14" t="n">
        <f aca="false">IF($A126="",0,IFERROR(VLOOKUP((YEAR($A126)+IF(MONTH($A126)&gt;=10,1,0))&amp;"|Chicago|"&amp;MONTH($A126),Rates!$A$2:$I$181,5,FALSE()),0))</f>
        <v>0</v>
      </c>
      <c r="Q126" s="14" t="n">
        <f aca="false">IF(OR($A126="",$A126&gt;=Parameters!$B$14),1,IF(AND(P126&gt;0,CityData!F4&lt;=P126),1,0))</f>
        <v>1</v>
      </c>
      <c r="R126" s="14" t="n">
        <f aca="false">IF($A126="",0,IFERROR(VLOOKUP((YEAR($A126)+IF(MONTH($A126)&gt;=10,1,0))&amp;"|Denver|"&amp;MONTH($A126),Rates!$A$2:$I$181,6,FALSE()),0))</f>
        <v>0</v>
      </c>
      <c r="S126" s="14" t="n">
        <f aca="false">IF(R126=0,0,VLOOKUP(R126,MIE_Components!$A$2:$F$6,2,FALSE()))</f>
        <v>0</v>
      </c>
      <c r="T126" s="14" t="n">
        <f aca="false">IF(R126=0,0,VLOOKUP(R126,MIE_Components!$A$2:$F$6,3,FALSE()))</f>
        <v>0</v>
      </c>
      <c r="U126" s="14" t="n">
        <f aca="false">IF(R126=0,0,VLOOKUP(R126,MIE_Components!$A$2:$F$6,4,FALSE()))</f>
        <v>0</v>
      </c>
      <c r="V126" s="14" t="n">
        <f aca="false">IF(OR($A126="",R126=0),0,MAX(5,R126*IF(OR($A126=Parameters!$B$13,$A126=Parameters!$B$14),0.75,1)-(IF(AND($A126=DATE(2026,11,29),NOV29BF="Yes"),S126,0)+IF(OR($A126=DATE(2026,11,29),$A126=DATE(2026,11,30),$A126=DATE(2026,12,1),$A126=DATE(2026,12,2)),T126,0)+IF(OR($A126=DATE(2026,11,28),$A126=DATE(2026,12,1)),U126,0))))</f>
        <v>0</v>
      </c>
      <c r="W126" s="14" t="n">
        <f aca="false">IF(AND($A126&lt;&gt;"",$A126&lt;Parameters!$B$14),CityData!F5*(1+TAXRATE),0)</f>
        <v>0</v>
      </c>
      <c r="X126" s="14" t="n">
        <f aca="false">IF($A126="",0,IFERROR(VLOOKUP((YEAR($A126)+IF(MONTH($A126)&gt;=10,1,0))&amp;"|Denver|"&amp;MONTH($A126),Rates!$A$2:$I$181,5,FALSE()),0))</f>
        <v>0</v>
      </c>
      <c r="Y126" s="14" t="n">
        <f aca="false">IF(OR($A126="",$A126&gt;=Parameters!$B$14),1,IF(AND(X126&gt;0,CityData!F5&lt;=X126),1,0))</f>
        <v>1</v>
      </c>
      <c r="Z126" s="14" t="n">
        <f aca="false">IF($A126="",0,IFERROR(VLOOKUP((YEAR($A126)+IF(MONTH($A126)&gt;=10,1,0))&amp;"|Phoenix|"&amp;MONTH($A126),Rates!$A$2:$I$181,6,FALSE()),0))</f>
        <v>0</v>
      </c>
      <c r="AA126" s="14" t="n">
        <f aca="false">IF(Z126=0,0,VLOOKUP(Z126,MIE_Components!$A$2:$F$6,2,FALSE()))</f>
        <v>0</v>
      </c>
      <c r="AB126" s="14" t="n">
        <f aca="false">IF(Z126=0,0,VLOOKUP(Z126,MIE_Components!$A$2:$F$6,3,FALSE()))</f>
        <v>0</v>
      </c>
      <c r="AC126" s="14" t="n">
        <f aca="false">IF(Z126=0,0,VLOOKUP(Z126,MIE_Components!$A$2:$F$6,4,FALSE()))</f>
        <v>0</v>
      </c>
      <c r="AD126" s="14" t="n">
        <f aca="false">IF(OR($A126="",Z126=0),0,MAX(5,Z126*IF(OR($A126=Parameters!$B$13,$A126=Parameters!$B$14),0.75,1)-(IF(AND($A126=DATE(2026,11,29),NOV29BF="Yes"),AA126,0)+IF(OR($A126=DATE(2026,11,29),$A126=DATE(2026,11,30),$A126=DATE(2026,12,1),$A126=DATE(2026,12,2)),AB126,0)+IF(OR($A126=DATE(2026,11,28),$A126=DATE(2026,12,1)),AC126,0))))</f>
        <v>0</v>
      </c>
      <c r="AE126" s="14" t="n">
        <f aca="false">IF(AND($A126&lt;&gt;"",$A126&lt;Parameters!$B$14),CityData!F6*(1+TAXRATE),0)</f>
        <v>0</v>
      </c>
      <c r="AF126" s="14" t="n">
        <f aca="false">IF($A126="",0,IFERROR(VLOOKUP((YEAR($A126)+IF(MONTH($A126)&gt;=10,1,0))&amp;"|Phoenix|"&amp;MONTH($A126),Rates!$A$2:$I$181,5,FALSE()),0))</f>
        <v>0</v>
      </c>
      <c r="AG126" s="14" t="n">
        <f aca="false">IF(OR($A126="",$A126&gt;=Parameters!$B$14),1,IF(AND(AF126&gt;0,CityData!F6&lt;=AF126),1,0))</f>
        <v>1</v>
      </c>
      <c r="AH126" s="14" t="n">
        <f aca="false">IF($A126="",0,IFERROR(VLOOKUP((YEAR($A126)+IF(MONTH($A126)&gt;=10,1,0))&amp;"|Seattle|"&amp;MONTH($A126),Rates!$A$2:$I$181,6,FALSE()),0))</f>
        <v>0</v>
      </c>
      <c r="AI126" s="14" t="n">
        <f aca="false">IF(AH126=0,0,VLOOKUP(AH126,MIE_Components!$A$2:$F$6,2,FALSE()))</f>
        <v>0</v>
      </c>
      <c r="AJ126" s="14" t="n">
        <f aca="false">IF(AH126=0,0,VLOOKUP(AH126,MIE_Components!$A$2:$F$6,3,FALSE()))</f>
        <v>0</v>
      </c>
      <c r="AK126" s="14" t="n">
        <f aca="false">IF(AH126=0,0,VLOOKUP(AH126,MIE_Components!$A$2:$F$6,4,FALSE()))</f>
        <v>0</v>
      </c>
      <c r="AL126" s="14" t="n">
        <f aca="false">IF(OR($A126="",AH126=0),0,MAX(5,AH126*IF(OR($A126=Parameters!$B$13,$A126=Parameters!$B$14),0.75,1)-(IF(AND($A126=DATE(2026,11,29),NOV29BF="Yes"),AI126,0)+IF(OR($A126=DATE(2026,11,29),$A126=DATE(2026,11,30),$A126=DATE(2026,12,1),$A126=DATE(2026,12,2)),AJ126,0)+IF(OR($A126=DATE(2026,11,28),$A126=DATE(2026,12,1)),AK126,0))))</f>
        <v>0</v>
      </c>
      <c r="AM126" s="14" t="n">
        <f aca="false">IF(AND($A126&lt;&gt;"",$A126&lt;Parameters!$B$14),CityData!F7*(1+TAXRATE),0)</f>
        <v>0</v>
      </c>
      <c r="AN126" s="14" t="n">
        <f aca="false">IF($A126="",0,IFERROR(VLOOKUP((YEAR($A126)+IF(MONTH($A126)&gt;=10,1,0))&amp;"|Seattle|"&amp;MONTH($A126),Rates!$A$2:$I$181,5,FALSE()),0))</f>
        <v>0</v>
      </c>
      <c r="AO126" s="14" t="n">
        <f aca="false">IF(OR($A126="",$A126&gt;=Parameters!$B$14),1,IF(AND(AN126&gt;0,CityData!F7&lt;=AN126),1,0))</f>
        <v>1</v>
      </c>
    </row>
    <row r="127" customFormat="false" ht="15" hidden="false" customHeight="true" outlineLevel="0" collapsed="false">
      <c r="A127" s="23" t="str">
        <f aca="false">IF(AND(Parameters!$B$14&gt;=Parameters!$B$13,ROW()-2&lt;=Parameters!$B$14-Parameters!$B$13),Parameters!$B$13+ROW()-2,"")</f>
        <v/>
      </c>
      <c r="B127" s="14" t="n">
        <f aca="false">IF($A127="",0,IFERROR(VLOOKUP((YEAR($A127)+IF(MONTH($A127)&gt;=10,1,0))&amp;"|Boston|"&amp;MONTH($A127),Rates!$A$2:$I$181,6,FALSE()),0))</f>
        <v>0</v>
      </c>
      <c r="C127" s="14" t="n">
        <f aca="false">IF(B127=0,0,VLOOKUP(B127,MIE_Components!$A$2:$F$6,2,FALSE()))</f>
        <v>0</v>
      </c>
      <c r="D127" s="14" t="n">
        <f aca="false">IF(B127=0,0,VLOOKUP(B127,MIE_Components!$A$2:$F$6,3,FALSE()))</f>
        <v>0</v>
      </c>
      <c r="E127" s="14" t="n">
        <f aca="false">IF(B127=0,0,VLOOKUP(B127,MIE_Components!$A$2:$F$6,4,FALSE()))</f>
        <v>0</v>
      </c>
      <c r="F127" s="14" t="n">
        <f aca="false">IF(OR($A127="",B127=0),0,MAX(5,B127*IF(OR($A127=Parameters!$B$13,$A127=Parameters!$B$14),0.75,1)-(IF(AND($A127=DATE(2026,11,29),NOV29BF="Yes"),C127,0)+IF(OR($A127=DATE(2026,11,29),$A127=DATE(2026,11,30),$A127=DATE(2026,12,1),$A127=DATE(2026,12,2)),D127,0)+IF(OR($A127=DATE(2026,11,28),$A127=DATE(2026,12,1)),E127,0))))</f>
        <v>0</v>
      </c>
      <c r="G127" s="14" t="n">
        <f aca="false">IF(AND($A127&lt;&gt;"",$A127&lt;Parameters!$B$14),CityData!F3*(1+TAXRATE),0)</f>
        <v>0</v>
      </c>
      <c r="H127" s="14" t="n">
        <f aca="false">IF($A127="",0,IFERROR(VLOOKUP((YEAR($A127)+IF(MONTH($A127)&gt;=10,1,0))&amp;"|Boston|"&amp;MONTH($A127),Rates!$A$2:$I$181,5,FALSE()),0))</f>
        <v>0</v>
      </c>
      <c r="I127" s="14" t="n">
        <f aca="false">IF(OR($A127="",$A127&gt;=Parameters!$B$14),1,IF(AND(H127&gt;0,CityData!F3&lt;=H127),1,0))</f>
        <v>1</v>
      </c>
      <c r="J127" s="14" t="n">
        <f aca="false">IF($A127="",0,IFERROR(VLOOKUP((YEAR($A127)+IF(MONTH($A127)&gt;=10,1,0))&amp;"|Chicago|"&amp;MONTH($A127),Rates!$A$2:$I$181,6,FALSE()),0))</f>
        <v>0</v>
      </c>
      <c r="K127" s="14" t="n">
        <f aca="false">IF(J127=0,0,VLOOKUP(J127,MIE_Components!$A$2:$F$6,2,FALSE()))</f>
        <v>0</v>
      </c>
      <c r="L127" s="14" t="n">
        <f aca="false">IF(J127=0,0,VLOOKUP(J127,MIE_Components!$A$2:$F$6,3,FALSE()))</f>
        <v>0</v>
      </c>
      <c r="M127" s="14" t="n">
        <f aca="false">IF(J127=0,0,VLOOKUP(J127,MIE_Components!$A$2:$F$6,4,FALSE()))</f>
        <v>0</v>
      </c>
      <c r="N127" s="14" t="n">
        <f aca="false">IF(OR($A127="",J127=0),0,MAX(5,J127*IF(OR($A127=Parameters!$B$13,$A127=Parameters!$B$14),0.75,1)-(IF(AND($A127=DATE(2026,11,29),NOV29BF="Yes"),K127,0)+IF(OR($A127=DATE(2026,11,29),$A127=DATE(2026,11,30),$A127=DATE(2026,12,1),$A127=DATE(2026,12,2)),L127,0)+IF(OR($A127=DATE(2026,11,28),$A127=DATE(2026,12,1)),M127,0))))</f>
        <v>0</v>
      </c>
      <c r="O127" s="14" t="n">
        <f aca="false">IF(AND($A127&lt;&gt;"",$A127&lt;Parameters!$B$14),CityData!F4*(1+TAXRATE),0)</f>
        <v>0</v>
      </c>
      <c r="P127" s="14" t="n">
        <f aca="false">IF($A127="",0,IFERROR(VLOOKUP((YEAR($A127)+IF(MONTH($A127)&gt;=10,1,0))&amp;"|Chicago|"&amp;MONTH($A127),Rates!$A$2:$I$181,5,FALSE()),0))</f>
        <v>0</v>
      </c>
      <c r="Q127" s="14" t="n">
        <f aca="false">IF(OR($A127="",$A127&gt;=Parameters!$B$14),1,IF(AND(P127&gt;0,CityData!F4&lt;=P127),1,0))</f>
        <v>1</v>
      </c>
      <c r="R127" s="14" t="n">
        <f aca="false">IF($A127="",0,IFERROR(VLOOKUP((YEAR($A127)+IF(MONTH($A127)&gt;=10,1,0))&amp;"|Denver|"&amp;MONTH($A127),Rates!$A$2:$I$181,6,FALSE()),0))</f>
        <v>0</v>
      </c>
      <c r="S127" s="14" t="n">
        <f aca="false">IF(R127=0,0,VLOOKUP(R127,MIE_Components!$A$2:$F$6,2,FALSE()))</f>
        <v>0</v>
      </c>
      <c r="T127" s="14" t="n">
        <f aca="false">IF(R127=0,0,VLOOKUP(R127,MIE_Components!$A$2:$F$6,3,FALSE()))</f>
        <v>0</v>
      </c>
      <c r="U127" s="14" t="n">
        <f aca="false">IF(R127=0,0,VLOOKUP(R127,MIE_Components!$A$2:$F$6,4,FALSE()))</f>
        <v>0</v>
      </c>
      <c r="V127" s="14" t="n">
        <f aca="false">IF(OR($A127="",R127=0),0,MAX(5,R127*IF(OR($A127=Parameters!$B$13,$A127=Parameters!$B$14),0.75,1)-(IF(AND($A127=DATE(2026,11,29),NOV29BF="Yes"),S127,0)+IF(OR($A127=DATE(2026,11,29),$A127=DATE(2026,11,30),$A127=DATE(2026,12,1),$A127=DATE(2026,12,2)),T127,0)+IF(OR($A127=DATE(2026,11,28),$A127=DATE(2026,12,1)),U127,0))))</f>
        <v>0</v>
      </c>
      <c r="W127" s="14" t="n">
        <f aca="false">IF(AND($A127&lt;&gt;"",$A127&lt;Parameters!$B$14),CityData!F5*(1+TAXRATE),0)</f>
        <v>0</v>
      </c>
      <c r="X127" s="14" t="n">
        <f aca="false">IF($A127="",0,IFERROR(VLOOKUP((YEAR($A127)+IF(MONTH($A127)&gt;=10,1,0))&amp;"|Denver|"&amp;MONTH($A127),Rates!$A$2:$I$181,5,FALSE()),0))</f>
        <v>0</v>
      </c>
      <c r="Y127" s="14" t="n">
        <f aca="false">IF(OR($A127="",$A127&gt;=Parameters!$B$14),1,IF(AND(X127&gt;0,CityData!F5&lt;=X127),1,0))</f>
        <v>1</v>
      </c>
      <c r="Z127" s="14" t="n">
        <f aca="false">IF($A127="",0,IFERROR(VLOOKUP((YEAR($A127)+IF(MONTH($A127)&gt;=10,1,0))&amp;"|Phoenix|"&amp;MONTH($A127),Rates!$A$2:$I$181,6,FALSE()),0))</f>
        <v>0</v>
      </c>
      <c r="AA127" s="14" t="n">
        <f aca="false">IF(Z127=0,0,VLOOKUP(Z127,MIE_Components!$A$2:$F$6,2,FALSE()))</f>
        <v>0</v>
      </c>
      <c r="AB127" s="14" t="n">
        <f aca="false">IF(Z127=0,0,VLOOKUP(Z127,MIE_Components!$A$2:$F$6,3,FALSE()))</f>
        <v>0</v>
      </c>
      <c r="AC127" s="14" t="n">
        <f aca="false">IF(Z127=0,0,VLOOKUP(Z127,MIE_Components!$A$2:$F$6,4,FALSE()))</f>
        <v>0</v>
      </c>
      <c r="AD127" s="14" t="n">
        <f aca="false">IF(OR($A127="",Z127=0),0,MAX(5,Z127*IF(OR($A127=Parameters!$B$13,$A127=Parameters!$B$14),0.75,1)-(IF(AND($A127=DATE(2026,11,29),NOV29BF="Yes"),AA127,0)+IF(OR($A127=DATE(2026,11,29),$A127=DATE(2026,11,30),$A127=DATE(2026,12,1),$A127=DATE(2026,12,2)),AB127,0)+IF(OR($A127=DATE(2026,11,28),$A127=DATE(2026,12,1)),AC127,0))))</f>
        <v>0</v>
      </c>
      <c r="AE127" s="14" t="n">
        <f aca="false">IF(AND($A127&lt;&gt;"",$A127&lt;Parameters!$B$14),CityData!F6*(1+TAXRATE),0)</f>
        <v>0</v>
      </c>
      <c r="AF127" s="14" t="n">
        <f aca="false">IF($A127="",0,IFERROR(VLOOKUP((YEAR($A127)+IF(MONTH($A127)&gt;=10,1,0))&amp;"|Phoenix|"&amp;MONTH($A127),Rates!$A$2:$I$181,5,FALSE()),0))</f>
        <v>0</v>
      </c>
      <c r="AG127" s="14" t="n">
        <f aca="false">IF(OR($A127="",$A127&gt;=Parameters!$B$14),1,IF(AND(AF127&gt;0,CityData!F6&lt;=AF127),1,0))</f>
        <v>1</v>
      </c>
      <c r="AH127" s="14" t="n">
        <f aca="false">IF($A127="",0,IFERROR(VLOOKUP((YEAR($A127)+IF(MONTH($A127)&gt;=10,1,0))&amp;"|Seattle|"&amp;MONTH($A127),Rates!$A$2:$I$181,6,FALSE()),0))</f>
        <v>0</v>
      </c>
      <c r="AI127" s="14" t="n">
        <f aca="false">IF(AH127=0,0,VLOOKUP(AH127,MIE_Components!$A$2:$F$6,2,FALSE()))</f>
        <v>0</v>
      </c>
      <c r="AJ127" s="14" t="n">
        <f aca="false">IF(AH127=0,0,VLOOKUP(AH127,MIE_Components!$A$2:$F$6,3,FALSE()))</f>
        <v>0</v>
      </c>
      <c r="AK127" s="14" t="n">
        <f aca="false">IF(AH127=0,0,VLOOKUP(AH127,MIE_Components!$A$2:$F$6,4,FALSE()))</f>
        <v>0</v>
      </c>
      <c r="AL127" s="14" t="n">
        <f aca="false">IF(OR($A127="",AH127=0),0,MAX(5,AH127*IF(OR($A127=Parameters!$B$13,$A127=Parameters!$B$14),0.75,1)-(IF(AND($A127=DATE(2026,11,29),NOV29BF="Yes"),AI127,0)+IF(OR($A127=DATE(2026,11,29),$A127=DATE(2026,11,30),$A127=DATE(2026,12,1),$A127=DATE(2026,12,2)),AJ127,0)+IF(OR($A127=DATE(2026,11,28),$A127=DATE(2026,12,1)),AK127,0))))</f>
        <v>0</v>
      </c>
      <c r="AM127" s="14" t="n">
        <f aca="false">IF(AND($A127&lt;&gt;"",$A127&lt;Parameters!$B$14),CityData!F7*(1+TAXRATE),0)</f>
        <v>0</v>
      </c>
      <c r="AN127" s="14" t="n">
        <f aca="false">IF($A127="",0,IFERROR(VLOOKUP((YEAR($A127)+IF(MONTH($A127)&gt;=10,1,0))&amp;"|Seattle|"&amp;MONTH($A127),Rates!$A$2:$I$181,5,FALSE()),0))</f>
        <v>0</v>
      </c>
      <c r="AO127" s="14" t="n">
        <f aca="false">IF(OR($A127="",$A127&gt;=Parameters!$B$14),1,IF(AND(AN127&gt;0,CityData!F7&lt;=AN127),1,0))</f>
        <v>1</v>
      </c>
    </row>
    <row r="128" customFormat="false" ht="15" hidden="false" customHeight="true" outlineLevel="0" collapsed="false">
      <c r="A128" s="23" t="str">
        <f aca="false">IF(AND(Parameters!$B$14&gt;=Parameters!$B$13,ROW()-2&lt;=Parameters!$B$14-Parameters!$B$13),Parameters!$B$13+ROW()-2,"")</f>
        <v/>
      </c>
      <c r="B128" s="14" t="n">
        <f aca="false">IF($A128="",0,IFERROR(VLOOKUP((YEAR($A128)+IF(MONTH($A128)&gt;=10,1,0))&amp;"|Boston|"&amp;MONTH($A128),Rates!$A$2:$I$181,6,FALSE()),0))</f>
        <v>0</v>
      </c>
      <c r="C128" s="14" t="n">
        <f aca="false">IF(B128=0,0,VLOOKUP(B128,MIE_Components!$A$2:$F$6,2,FALSE()))</f>
        <v>0</v>
      </c>
      <c r="D128" s="14" t="n">
        <f aca="false">IF(B128=0,0,VLOOKUP(B128,MIE_Components!$A$2:$F$6,3,FALSE()))</f>
        <v>0</v>
      </c>
      <c r="E128" s="14" t="n">
        <f aca="false">IF(B128=0,0,VLOOKUP(B128,MIE_Components!$A$2:$F$6,4,FALSE()))</f>
        <v>0</v>
      </c>
      <c r="F128" s="14" t="n">
        <f aca="false">IF(OR($A128="",B128=0),0,MAX(5,B128*IF(OR($A128=Parameters!$B$13,$A128=Parameters!$B$14),0.75,1)-(IF(AND($A128=DATE(2026,11,29),NOV29BF="Yes"),C128,0)+IF(OR($A128=DATE(2026,11,29),$A128=DATE(2026,11,30),$A128=DATE(2026,12,1),$A128=DATE(2026,12,2)),D128,0)+IF(OR($A128=DATE(2026,11,28),$A128=DATE(2026,12,1)),E128,0))))</f>
        <v>0</v>
      </c>
      <c r="G128" s="14" t="n">
        <f aca="false">IF(AND($A128&lt;&gt;"",$A128&lt;Parameters!$B$14),CityData!F3*(1+TAXRATE),0)</f>
        <v>0</v>
      </c>
      <c r="H128" s="14" t="n">
        <f aca="false">IF($A128="",0,IFERROR(VLOOKUP((YEAR($A128)+IF(MONTH($A128)&gt;=10,1,0))&amp;"|Boston|"&amp;MONTH($A128),Rates!$A$2:$I$181,5,FALSE()),0))</f>
        <v>0</v>
      </c>
      <c r="I128" s="14" t="n">
        <f aca="false">IF(OR($A128="",$A128&gt;=Parameters!$B$14),1,IF(AND(H128&gt;0,CityData!F3&lt;=H128),1,0))</f>
        <v>1</v>
      </c>
      <c r="J128" s="14" t="n">
        <f aca="false">IF($A128="",0,IFERROR(VLOOKUP((YEAR($A128)+IF(MONTH($A128)&gt;=10,1,0))&amp;"|Chicago|"&amp;MONTH($A128),Rates!$A$2:$I$181,6,FALSE()),0))</f>
        <v>0</v>
      </c>
      <c r="K128" s="14" t="n">
        <f aca="false">IF(J128=0,0,VLOOKUP(J128,MIE_Components!$A$2:$F$6,2,FALSE()))</f>
        <v>0</v>
      </c>
      <c r="L128" s="14" t="n">
        <f aca="false">IF(J128=0,0,VLOOKUP(J128,MIE_Components!$A$2:$F$6,3,FALSE()))</f>
        <v>0</v>
      </c>
      <c r="M128" s="14" t="n">
        <f aca="false">IF(J128=0,0,VLOOKUP(J128,MIE_Components!$A$2:$F$6,4,FALSE()))</f>
        <v>0</v>
      </c>
      <c r="N128" s="14" t="n">
        <f aca="false">IF(OR($A128="",J128=0),0,MAX(5,J128*IF(OR($A128=Parameters!$B$13,$A128=Parameters!$B$14),0.75,1)-(IF(AND($A128=DATE(2026,11,29),NOV29BF="Yes"),K128,0)+IF(OR($A128=DATE(2026,11,29),$A128=DATE(2026,11,30),$A128=DATE(2026,12,1),$A128=DATE(2026,12,2)),L128,0)+IF(OR($A128=DATE(2026,11,28),$A128=DATE(2026,12,1)),M128,0))))</f>
        <v>0</v>
      </c>
      <c r="O128" s="14" t="n">
        <f aca="false">IF(AND($A128&lt;&gt;"",$A128&lt;Parameters!$B$14),CityData!F4*(1+TAXRATE),0)</f>
        <v>0</v>
      </c>
      <c r="P128" s="14" t="n">
        <f aca="false">IF($A128="",0,IFERROR(VLOOKUP((YEAR($A128)+IF(MONTH($A128)&gt;=10,1,0))&amp;"|Chicago|"&amp;MONTH($A128),Rates!$A$2:$I$181,5,FALSE()),0))</f>
        <v>0</v>
      </c>
      <c r="Q128" s="14" t="n">
        <f aca="false">IF(OR($A128="",$A128&gt;=Parameters!$B$14),1,IF(AND(P128&gt;0,CityData!F4&lt;=P128),1,0))</f>
        <v>1</v>
      </c>
      <c r="R128" s="14" t="n">
        <f aca="false">IF($A128="",0,IFERROR(VLOOKUP((YEAR($A128)+IF(MONTH($A128)&gt;=10,1,0))&amp;"|Denver|"&amp;MONTH($A128),Rates!$A$2:$I$181,6,FALSE()),0))</f>
        <v>0</v>
      </c>
      <c r="S128" s="14" t="n">
        <f aca="false">IF(R128=0,0,VLOOKUP(R128,MIE_Components!$A$2:$F$6,2,FALSE()))</f>
        <v>0</v>
      </c>
      <c r="T128" s="14" t="n">
        <f aca="false">IF(R128=0,0,VLOOKUP(R128,MIE_Components!$A$2:$F$6,3,FALSE()))</f>
        <v>0</v>
      </c>
      <c r="U128" s="14" t="n">
        <f aca="false">IF(R128=0,0,VLOOKUP(R128,MIE_Components!$A$2:$F$6,4,FALSE()))</f>
        <v>0</v>
      </c>
      <c r="V128" s="14" t="n">
        <f aca="false">IF(OR($A128="",R128=0),0,MAX(5,R128*IF(OR($A128=Parameters!$B$13,$A128=Parameters!$B$14),0.75,1)-(IF(AND($A128=DATE(2026,11,29),NOV29BF="Yes"),S128,0)+IF(OR($A128=DATE(2026,11,29),$A128=DATE(2026,11,30),$A128=DATE(2026,12,1),$A128=DATE(2026,12,2)),T128,0)+IF(OR($A128=DATE(2026,11,28),$A128=DATE(2026,12,1)),U128,0))))</f>
        <v>0</v>
      </c>
      <c r="W128" s="14" t="n">
        <f aca="false">IF(AND($A128&lt;&gt;"",$A128&lt;Parameters!$B$14),CityData!F5*(1+TAXRATE),0)</f>
        <v>0</v>
      </c>
      <c r="X128" s="14" t="n">
        <f aca="false">IF($A128="",0,IFERROR(VLOOKUP((YEAR($A128)+IF(MONTH($A128)&gt;=10,1,0))&amp;"|Denver|"&amp;MONTH($A128),Rates!$A$2:$I$181,5,FALSE()),0))</f>
        <v>0</v>
      </c>
      <c r="Y128" s="14" t="n">
        <f aca="false">IF(OR($A128="",$A128&gt;=Parameters!$B$14),1,IF(AND(X128&gt;0,CityData!F5&lt;=X128),1,0))</f>
        <v>1</v>
      </c>
      <c r="Z128" s="14" t="n">
        <f aca="false">IF($A128="",0,IFERROR(VLOOKUP((YEAR($A128)+IF(MONTH($A128)&gt;=10,1,0))&amp;"|Phoenix|"&amp;MONTH($A128),Rates!$A$2:$I$181,6,FALSE()),0))</f>
        <v>0</v>
      </c>
      <c r="AA128" s="14" t="n">
        <f aca="false">IF(Z128=0,0,VLOOKUP(Z128,MIE_Components!$A$2:$F$6,2,FALSE()))</f>
        <v>0</v>
      </c>
      <c r="AB128" s="14" t="n">
        <f aca="false">IF(Z128=0,0,VLOOKUP(Z128,MIE_Components!$A$2:$F$6,3,FALSE()))</f>
        <v>0</v>
      </c>
      <c r="AC128" s="14" t="n">
        <f aca="false">IF(Z128=0,0,VLOOKUP(Z128,MIE_Components!$A$2:$F$6,4,FALSE()))</f>
        <v>0</v>
      </c>
      <c r="AD128" s="14" t="n">
        <f aca="false">IF(OR($A128="",Z128=0),0,MAX(5,Z128*IF(OR($A128=Parameters!$B$13,$A128=Parameters!$B$14),0.75,1)-(IF(AND($A128=DATE(2026,11,29),NOV29BF="Yes"),AA128,0)+IF(OR($A128=DATE(2026,11,29),$A128=DATE(2026,11,30),$A128=DATE(2026,12,1),$A128=DATE(2026,12,2)),AB128,0)+IF(OR($A128=DATE(2026,11,28),$A128=DATE(2026,12,1)),AC128,0))))</f>
        <v>0</v>
      </c>
      <c r="AE128" s="14" t="n">
        <f aca="false">IF(AND($A128&lt;&gt;"",$A128&lt;Parameters!$B$14),CityData!F6*(1+TAXRATE),0)</f>
        <v>0</v>
      </c>
      <c r="AF128" s="14" t="n">
        <f aca="false">IF($A128="",0,IFERROR(VLOOKUP((YEAR($A128)+IF(MONTH($A128)&gt;=10,1,0))&amp;"|Phoenix|"&amp;MONTH($A128),Rates!$A$2:$I$181,5,FALSE()),0))</f>
        <v>0</v>
      </c>
      <c r="AG128" s="14" t="n">
        <f aca="false">IF(OR($A128="",$A128&gt;=Parameters!$B$14),1,IF(AND(AF128&gt;0,CityData!F6&lt;=AF128),1,0))</f>
        <v>1</v>
      </c>
      <c r="AH128" s="14" t="n">
        <f aca="false">IF($A128="",0,IFERROR(VLOOKUP((YEAR($A128)+IF(MONTH($A128)&gt;=10,1,0))&amp;"|Seattle|"&amp;MONTH($A128),Rates!$A$2:$I$181,6,FALSE()),0))</f>
        <v>0</v>
      </c>
      <c r="AI128" s="14" t="n">
        <f aca="false">IF(AH128=0,0,VLOOKUP(AH128,MIE_Components!$A$2:$F$6,2,FALSE()))</f>
        <v>0</v>
      </c>
      <c r="AJ128" s="14" t="n">
        <f aca="false">IF(AH128=0,0,VLOOKUP(AH128,MIE_Components!$A$2:$F$6,3,FALSE()))</f>
        <v>0</v>
      </c>
      <c r="AK128" s="14" t="n">
        <f aca="false">IF(AH128=0,0,VLOOKUP(AH128,MIE_Components!$A$2:$F$6,4,FALSE()))</f>
        <v>0</v>
      </c>
      <c r="AL128" s="14" t="n">
        <f aca="false">IF(OR($A128="",AH128=0),0,MAX(5,AH128*IF(OR($A128=Parameters!$B$13,$A128=Parameters!$B$14),0.75,1)-(IF(AND($A128=DATE(2026,11,29),NOV29BF="Yes"),AI128,0)+IF(OR($A128=DATE(2026,11,29),$A128=DATE(2026,11,30),$A128=DATE(2026,12,1),$A128=DATE(2026,12,2)),AJ128,0)+IF(OR($A128=DATE(2026,11,28),$A128=DATE(2026,12,1)),AK128,0))))</f>
        <v>0</v>
      </c>
      <c r="AM128" s="14" t="n">
        <f aca="false">IF(AND($A128&lt;&gt;"",$A128&lt;Parameters!$B$14),CityData!F7*(1+TAXRATE),0)</f>
        <v>0</v>
      </c>
      <c r="AN128" s="14" t="n">
        <f aca="false">IF($A128="",0,IFERROR(VLOOKUP((YEAR($A128)+IF(MONTH($A128)&gt;=10,1,0))&amp;"|Seattle|"&amp;MONTH($A128),Rates!$A$2:$I$181,5,FALSE()),0))</f>
        <v>0</v>
      </c>
      <c r="AO128" s="14" t="n">
        <f aca="false">IF(OR($A128="",$A128&gt;=Parameters!$B$14),1,IF(AND(AN128&gt;0,CityData!F7&lt;=AN128),1,0))</f>
        <v>1</v>
      </c>
    </row>
    <row r="129" customFormat="false" ht="15" hidden="false" customHeight="true" outlineLevel="0" collapsed="false">
      <c r="A129" s="23" t="str">
        <f aca="false">IF(AND(Parameters!$B$14&gt;=Parameters!$B$13,ROW()-2&lt;=Parameters!$B$14-Parameters!$B$13),Parameters!$B$13+ROW()-2,"")</f>
        <v/>
      </c>
      <c r="B129" s="14" t="n">
        <f aca="false">IF($A129="",0,IFERROR(VLOOKUP((YEAR($A129)+IF(MONTH($A129)&gt;=10,1,0))&amp;"|Boston|"&amp;MONTH($A129),Rates!$A$2:$I$181,6,FALSE()),0))</f>
        <v>0</v>
      </c>
      <c r="C129" s="14" t="n">
        <f aca="false">IF(B129=0,0,VLOOKUP(B129,MIE_Components!$A$2:$F$6,2,FALSE()))</f>
        <v>0</v>
      </c>
      <c r="D129" s="14" t="n">
        <f aca="false">IF(B129=0,0,VLOOKUP(B129,MIE_Components!$A$2:$F$6,3,FALSE()))</f>
        <v>0</v>
      </c>
      <c r="E129" s="14" t="n">
        <f aca="false">IF(B129=0,0,VLOOKUP(B129,MIE_Components!$A$2:$F$6,4,FALSE()))</f>
        <v>0</v>
      </c>
      <c r="F129" s="14" t="n">
        <f aca="false">IF(OR($A129="",B129=0),0,MAX(5,B129*IF(OR($A129=Parameters!$B$13,$A129=Parameters!$B$14),0.75,1)-(IF(AND($A129=DATE(2026,11,29),NOV29BF="Yes"),C129,0)+IF(OR($A129=DATE(2026,11,29),$A129=DATE(2026,11,30),$A129=DATE(2026,12,1),$A129=DATE(2026,12,2)),D129,0)+IF(OR($A129=DATE(2026,11,28),$A129=DATE(2026,12,1)),E129,0))))</f>
        <v>0</v>
      </c>
      <c r="G129" s="14" t="n">
        <f aca="false">IF(AND($A129&lt;&gt;"",$A129&lt;Parameters!$B$14),CityData!F3*(1+TAXRATE),0)</f>
        <v>0</v>
      </c>
      <c r="H129" s="14" t="n">
        <f aca="false">IF($A129="",0,IFERROR(VLOOKUP((YEAR($A129)+IF(MONTH($A129)&gt;=10,1,0))&amp;"|Boston|"&amp;MONTH($A129),Rates!$A$2:$I$181,5,FALSE()),0))</f>
        <v>0</v>
      </c>
      <c r="I129" s="14" t="n">
        <f aca="false">IF(OR($A129="",$A129&gt;=Parameters!$B$14),1,IF(AND(H129&gt;0,CityData!F3&lt;=H129),1,0))</f>
        <v>1</v>
      </c>
      <c r="J129" s="14" t="n">
        <f aca="false">IF($A129="",0,IFERROR(VLOOKUP((YEAR($A129)+IF(MONTH($A129)&gt;=10,1,0))&amp;"|Chicago|"&amp;MONTH($A129),Rates!$A$2:$I$181,6,FALSE()),0))</f>
        <v>0</v>
      </c>
      <c r="K129" s="14" t="n">
        <f aca="false">IF(J129=0,0,VLOOKUP(J129,MIE_Components!$A$2:$F$6,2,FALSE()))</f>
        <v>0</v>
      </c>
      <c r="L129" s="14" t="n">
        <f aca="false">IF(J129=0,0,VLOOKUP(J129,MIE_Components!$A$2:$F$6,3,FALSE()))</f>
        <v>0</v>
      </c>
      <c r="M129" s="14" t="n">
        <f aca="false">IF(J129=0,0,VLOOKUP(J129,MIE_Components!$A$2:$F$6,4,FALSE()))</f>
        <v>0</v>
      </c>
      <c r="N129" s="14" t="n">
        <f aca="false">IF(OR($A129="",J129=0),0,MAX(5,J129*IF(OR($A129=Parameters!$B$13,$A129=Parameters!$B$14),0.75,1)-(IF(AND($A129=DATE(2026,11,29),NOV29BF="Yes"),K129,0)+IF(OR($A129=DATE(2026,11,29),$A129=DATE(2026,11,30),$A129=DATE(2026,12,1),$A129=DATE(2026,12,2)),L129,0)+IF(OR($A129=DATE(2026,11,28),$A129=DATE(2026,12,1)),M129,0))))</f>
        <v>0</v>
      </c>
      <c r="O129" s="14" t="n">
        <f aca="false">IF(AND($A129&lt;&gt;"",$A129&lt;Parameters!$B$14),CityData!F4*(1+TAXRATE),0)</f>
        <v>0</v>
      </c>
      <c r="P129" s="14" t="n">
        <f aca="false">IF($A129="",0,IFERROR(VLOOKUP((YEAR($A129)+IF(MONTH($A129)&gt;=10,1,0))&amp;"|Chicago|"&amp;MONTH($A129),Rates!$A$2:$I$181,5,FALSE()),0))</f>
        <v>0</v>
      </c>
      <c r="Q129" s="14" t="n">
        <f aca="false">IF(OR($A129="",$A129&gt;=Parameters!$B$14),1,IF(AND(P129&gt;0,CityData!F4&lt;=P129),1,0))</f>
        <v>1</v>
      </c>
      <c r="R129" s="14" t="n">
        <f aca="false">IF($A129="",0,IFERROR(VLOOKUP((YEAR($A129)+IF(MONTH($A129)&gt;=10,1,0))&amp;"|Denver|"&amp;MONTH($A129),Rates!$A$2:$I$181,6,FALSE()),0))</f>
        <v>0</v>
      </c>
      <c r="S129" s="14" t="n">
        <f aca="false">IF(R129=0,0,VLOOKUP(R129,MIE_Components!$A$2:$F$6,2,FALSE()))</f>
        <v>0</v>
      </c>
      <c r="T129" s="14" t="n">
        <f aca="false">IF(R129=0,0,VLOOKUP(R129,MIE_Components!$A$2:$F$6,3,FALSE()))</f>
        <v>0</v>
      </c>
      <c r="U129" s="14" t="n">
        <f aca="false">IF(R129=0,0,VLOOKUP(R129,MIE_Components!$A$2:$F$6,4,FALSE()))</f>
        <v>0</v>
      </c>
      <c r="V129" s="14" t="n">
        <f aca="false">IF(OR($A129="",R129=0),0,MAX(5,R129*IF(OR($A129=Parameters!$B$13,$A129=Parameters!$B$14),0.75,1)-(IF(AND($A129=DATE(2026,11,29),NOV29BF="Yes"),S129,0)+IF(OR($A129=DATE(2026,11,29),$A129=DATE(2026,11,30),$A129=DATE(2026,12,1),$A129=DATE(2026,12,2)),T129,0)+IF(OR($A129=DATE(2026,11,28),$A129=DATE(2026,12,1)),U129,0))))</f>
        <v>0</v>
      </c>
      <c r="W129" s="14" t="n">
        <f aca="false">IF(AND($A129&lt;&gt;"",$A129&lt;Parameters!$B$14),CityData!F5*(1+TAXRATE),0)</f>
        <v>0</v>
      </c>
      <c r="X129" s="14" t="n">
        <f aca="false">IF($A129="",0,IFERROR(VLOOKUP((YEAR($A129)+IF(MONTH($A129)&gt;=10,1,0))&amp;"|Denver|"&amp;MONTH($A129),Rates!$A$2:$I$181,5,FALSE()),0))</f>
        <v>0</v>
      </c>
      <c r="Y129" s="14" t="n">
        <f aca="false">IF(OR($A129="",$A129&gt;=Parameters!$B$14),1,IF(AND(X129&gt;0,CityData!F5&lt;=X129),1,0))</f>
        <v>1</v>
      </c>
      <c r="Z129" s="14" t="n">
        <f aca="false">IF($A129="",0,IFERROR(VLOOKUP((YEAR($A129)+IF(MONTH($A129)&gt;=10,1,0))&amp;"|Phoenix|"&amp;MONTH($A129),Rates!$A$2:$I$181,6,FALSE()),0))</f>
        <v>0</v>
      </c>
      <c r="AA129" s="14" t="n">
        <f aca="false">IF(Z129=0,0,VLOOKUP(Z129,MIE_Components!$A$2:$F$6,2,FALSE()))</f>
        <v>0</v>
      </c>
      <c r="AB129" s="14" t="n">
        <f aca="false">IF(Z129=0,0,VLOOKUP(Z129,MIE_Components!$A$2:$F$6,3,FALSE()))</f>
        <v>0</v>
      </c>
      <c r="AC129" s="14" t="n">
        <f aca="false">IF(Z129=0,0,VLOOKUP(Z129,MIE_Components!$A$2:$F$6,4,FALSE()))</f>
        <v>0</v>
      </c>
      <c r="AD129" s="14" t="n">
        <f aca="false">IF(OR($A129="",Z129=0),0,MAX(5,Z129*IF(OR($A129=Parameters!$B$13,$A129=Parameters!$B$14),0.75,1)-(IF(AND($A129=DATE(2026,11,29),NOV29BF="Yes"),AA129,0)+IF(OR($A129=DATE(2026,11,29),$A129=DATE(2026,11,30),$A129=DATE(2026,12,1),$A129=DATE(2026,12,2)),AB129,0)+IF(OR($A129=DATE(2026,11,28),$A129=DATE(2026,12,1)),AC129,0))))</f>
        <v>0</v>
      </c>
      <c r="AE129" s="14" t="n">
        <f aca="false">IF(AND($A129&lt;&gt;"",$A129&lt;Parameters!$B$14),CityData!F6*(1+TAXRATE),0)</f>
        <v>0</v>
      </c>
      <c r="AF129" s="14" t="n">
        <f aca="false">IF($A129="",0,IFERROR(VLOOKUP((YEAR($A129)+IF(MONTH($A129)&gt;=10,1,0))&amp;"|Phoenix|"&amp;MONTH($A129),Rates!$A$2:$I$181,5,FALSE()),0))</f>
        <v>0</v>
      </c>
      <c r="AG129" s="14" t="n">
        <f aca="false">IF(OR($A129="",$A129&gt;=Parameters!$B$14),1,IF(AND(AF129&gt;0,CityData!F6&lt;=AF129),1,0))</f>
        <v>1</v>
      </c>
      <c r="AH129" s="14" t="n">
        <f aca="false">IF($A129="",0,IFERROR(VLOOKUP((YEAR($A129)+IF(MONTH($A129)&gt;=10,1,0))&amp;"|Seattle|"&amp;MONTH($A129),Rates!$A$2:$I$181,6,FALSE()),0))</f>
        <v>0</v>
      </c>
      <c r="AI129" s="14" t="n">
        <f aca="false">IF(AH129=0,0,VLOOKUP(AH129,MIE_Components!$A$2:$F$6,2,FALSE()))</f>
        <v>0</v>
      </c>
      <c r="AJ129" s="14" t="n">
        <f aca="false">IF(AH129=0,0,VLOOKUP(AH129,MIE_Components!$A$2:$F$6,3,FALSE()))</f>
        <v>0</v>
      </c>
      <c r="AK129" s="14" t="n">
        <f aca="false">IF(AH129=0,0,VLOOKUP(AH129,MIE_Components!$A$2:$F$6,4,FALSE()))</f>
        <v>0</v>
      </c>
      <c r="AL129" s="14" t="n">
        <f aca="false">IF(OR($A129="",AH129=0),0,MAX(5,AH129*IF(OR($A129=Parameters!$B$13,$A129=Parameters!$B$14),0.75,1)-(IF(AND($A129=DATE(2026,11,29),NOV29BF="Yes"),AI129,0)+IF(OR($A129=DATE(2026,11,29),$A129=DATE(2026,11,30),$A129=DATE(2026,12,1),$A129=DATE(2026,12,2)),AJ129,0)+IF(OR($A129=DATE(2026,11,28),$A129=DATE(2026,12,1)),AK129,0))))</f>
        <v>0</v>
      </c>
      <c r="AM129" s="14" t="n">
        <f aca="false">IF(AND($A129&lt;&gt;"",$A129&lt;Parameters!$B$14),CityData!F7*(1+TAXRATE),0)</f>
        <v>0</v>
      </c>
      <c r="AN129" s="14" t="n">
        <f aca="false">IF($A129="",0,IFERROR(VLOOKUP((YEAR($A129)+IF(MONTH($A129)&gt;=10,1,0))&amp;"|Seattle|"&amp;MONTH($A129),Rates!$A$2:$I$181,5,FALSE()),0))</f>
        <v>0</v>
      </c>
      <c r="AO129" s="14" t="n">
        <f aca="false">IF(OR($A129="",$A129&gt;=Parameters!$B$14),1,IF(AND(AN129&gt;0,CityData!F7&lt;=AN129),1,0))</f>
        <v>1</v>
      </c>
    </row>
    <row r="130" customFormat="false" ht="15" hidden="false" customHeight="true" outlineLevel="0" collapsed="false">
      <c r="A130" s="23" t="str">
        <f aca="false">IF(AND(Parameters!$B$14&gt;=Parameters!$B$13,ROW()-2&lt;=Parameters!$B$14-Parameters!$B$13),Parameters!$B$13+ROW()-2,"")</f>
        <v/>
      </c>
      <c r="B130" s="14" t="n">
        <f aca="false">IF($A130="",0,IFERROR(VLOOKUP((YEAR($A130)+IF(MONTH($A130)&gt;=10,1,0))&amp;"|Boston|"&amp;MONTH($A130),Rates!$A$2:$I$181,6,FALSE()),0))</f>
        <v>0</v>
      </c>
      <c r="C130" s="14" t="n">
        <f aca="false">IF(B130=0,0,VLOOKUP(B130,MIE_Components!$A$2:$F$6,2,FALSE()))</f>
        <v>0</v>
      </c>
      <c r="D130" s="14" t="n">
        <f aca="false">IF(B130=0,0,VLOOKUP(B130,MIE_Components!$A$2:$F$6,3,FALSE()))</f>
        <v>0</v>
      </c>
      <c r="E130" s="14" t="n">
        <f aca="false">IF(B130=0,0,VLOOKUP(B130,MIE_Components!$A$2:$F$6,4,FALSE()))</f>
        <v>0</v>
      </c>
      <c r="F130" s="14" t="n">
        <f aca="false">IF(OR($A130="",B130=0),0,MAX(5,B130*IF(OR($A130=Parameters!$B$13,$A130=Parameters!$B$14),0.75,1)-(IF(AND($A130=DATE(2026,11,29),NOV29BF="Yes"),C130,0)+IF(OR($A130=DATE(2026,11,29),$A130=DATE(2026,11,30),$A130=DATE(2026,12,1),$A130=DATE(2026,12,2)),D130,0)+IF(OR($A130=DATE(2026,11,28),$A130=DATE(2026,12,1)),E130,0))))</f>
        <v>0</v>
      </c>
      <c r="G130" s="14" t="n">
        <f aca="false">IF(AND($A130&lt;&gt;"",$A130&lt;Parameters!$B$14),CityData!F3*(1+TAXRATE),0)</f>
        <v>0</v>
      </c>
      <c r="H130" s="14" t="n">
        <f aca="false">IF($A130="",0,IFERROR(VLOOKUP((YEAR($A130)+IF(MONTH($A130)&gt;=10,1,0))&amp;"|Boston|"&amp;MONTH($A130),Rates!$A$2:$I$181,5,FALSE()),0))</f>
        <v>0</v>
      </c>
      <c r="I130" s="14" t="n">
        <f aca="false">IF(OR($A130="",$A130&gt;=Parameters!$B$14),1,IF(AND(H130&gt;0,CityData!F3&lt;=H130),1,0))</f>
        <v>1</v>
      </c>
      <c r="J130" s="14" t="n">
        <f aca="false">IF($A130="",0,IFERROR(VLOOKUP((YEAR($A130)+IF(MONTH($A130)&gt;=10,1,0))&amp;"|Chicago|"&amp;MONTH($A130),Rates!$A$2:$I$181,6,FALSE()),0))</f>
        <v>0</v>
      </c>
      <c r="K130" s="14" t="n">
        <f aca="false">IF(J130=0,0,VLOOKUP(J130,MIE_Components!$A$2:$F$6,2,FALSE()))</f>
        <v>0</v>
      </c>
      <c r="L130" s="14" t="n">
        <f aca="false">IF(J130=0,0,VLOOKUP(J130,MIE_Components!$A$2:$F$6,3,FALSE()))</f>
        <v>0</v>
      </c>
      <c r="M130" s="14" t="n">
        <f aca="false">IF(J130=0,0,VLOOKUP(J130,MIE_Components!$A$2:$F$6,4,FALSE()))</f>
        <v>0</v>
      </c>
      <c r="N130" s="14" t="n">
        <f aca="false">IF(OR($A130="",J130=0),0,MAX(5,J130*IF(OR($A130=Parameters!$B$13,$A130=Parameters!$B$14),0.75,1)-(IF(AND($A130=DATE(2026,11,29),NOV29BF="Yes"),K130,0)+IF(OR($A130=DATE(2026,11,29),$A130=DATE(2026,11,30),$A130=DATE(2026,12,1),$A130=DATE(2026,12,2)),L130,0)+IF(OR($A130=DATE(2026,11,28),$A130=DATE(2026,12,1)),M130,0))))</f>
        <v>0</v>
      </c>
      <c r="O130" s="14" t="n">
        <f aca="false">IF(AND($A130&lt;&gt;"",$A130&lt;Parameters!$B$14),CityData!F4*(1+TAXRATE),0)</f>
        <v>0</v>
      </c>
      <c r="P130" s="14" t="n">
        <f aca="false">IF($A130="",0,IFERROR(VLOOKUP((YEAR($A130)+IF(MONTH($A130)&gt;=10,1,0))&amp;"|Chicago|"&amp;MONTH($A130),Rates!$A$2:$I$181,5,FALSE()),0))</f>
        <v>0</v>
      </c>
      <c r="Q130" s="14" t="n">
        <f aca="false">IF(OR($A130="",$A130&gt;=Parameters!$B$14),1,IF(AND(P130&gt;0,CityData!F4&lt;=P130),1,0))</f>
        <v>1</v>
      </c>
      <c r="R130" s="14" t="n">
        <f aca="false">IF($A130="",0,IFERROR(VLOOKUP((YEAR($A130)+IF(MONTH($A130)&gt;=10,1,0))&amp;"|Denver|"&amp;MONTH($A130),Rates!$A$2:$I$181,6,FALSE()),0))</f>
        <v>0</v>
      </c>
      <c r="S130" s="14" t="n">
        <f aca="false">IF(R130=0,0,VLOOKUP(R130,MIE_Components!$A$2:$F$6,2,FALSE()))</f>
        <v>0</v>
      </c>
      <c r="T130" s="14" t="n">
        <f aca="false">IF(R130=0,0,VLOOKUP(R130,MIE_Components!$A$2:$F$6,3,FALSE()))</f>
        <v>0</v>
      </c>
      <c r="U130" s="14" t="n">
        <f aca="false">IF(R130=0,0,VLOOKUP(R130,MIE_Components!$A$2:$F$6,4,FALSE()))</f>
        <v>0</v>
      </c>
      <c r="V130" s="14" t="n">
        <f aca="false">IF(OR($A130="",R130=0),0,MAX(5,R130*IF(OR($A130=Parameters!$B$13,$A130=Parameters!$B$14),0.75,1)-(IF(AND($A130=DATE(2026,11,29),NOV29BF="Yes"),S130,0)+IF(OR($A130=DATE(2026,11,29),$A130=DATE(2026,11,30),$A130=DATE(2026,12,1),$A130=DATE(2026,12,2)),T130,0)+IF(OR($A130=DATE(2026,11,28),$A130=DATE(2026,12,1)),U130,0))))</f>
        <v>0</v>
      </c>
      <c r="W130" s="14" t="n">
        <f aca="false">IF(AND($A130&lt;&gt;"",$A130&lt;Parameters!$B$14),CityData!F5*(1+TAXRATE),0)</f>
        <v>0</v>
      </c>
      <c r="X130" s="14" t="n">
        <f aca="false">IF($A130="",0,IFERROR(VLOOKUP((YEAR($A130)+IF(MONTH($A130)&gt;=10,1,0))&amp;"|Denver|"&amp;MONTH($A130),Rates!$A$2:$I$181,5,FALSE()),0))</f>
        <v>0</v>
      </c>
      <c r="Y130" s="14" t="n">
        <f aca="false">IF(OR($A130="",$A130&gt;=Parameters!$B$14),1,IF(AND(X130&gt;0,CityData!F5&lt;=X130),1,0))</f>
        <v>1</v>
      </c>
      <c r="Z130" s="14" t="n">
        <f aca="false">IF($A130="",0,IFERROR(VLOOKUP((YEAR($A130)+IF(MONTH($A130)&gt;=10,1,0))&amp;"|Phoenix|"&amp;MONTH($A130),Rates!$A$2:$I$181,6,FALSE()),0))</f>
        <v>0</v>
      </c>
      <c r="AA130" s="14" t="n">
        <f aca="false">IF(Z130=0,0,VLOOKUP(Z130,MIE_Components!$A$2:$F$6,2,FALSE()))</f>
        <v>0</v>
      </c>
      <c r="AB130" s="14" t="n">
        <f aca="false">IF(Z130=0,0,VLOOKUP(Z130,MIE_Components!$A$2:$F$6,3,FALSE()))</f>
        <v>0</v>
      </c>
      <c r="AC130" s="14" t="n">
        <f aca="false">IF(Z130=0,0,VLOOKUP(Z130,MIE_Components!$A$2:$F$6,4,FALSE()))</f>
        <v>0</v>
      </c>
      <c r="AD130" s="14" t="n">
        <f aca="false">IF(OR($A130="",Z130=0),0,MAX(5,Z130*IF(OR($A130=Parameters!$B$13,$A130=Parameters!$B$14),0.75,1)-(IF(AND($A130=DATE(2026,11,29),NOV29BF="Yes"),AA130,0)+IF(OR($A130=DATE(2026,11,29),$A130=DATE(2026,11,30),$A130=DATE(2026,12,1),$A130=DATE(2026,12,2)),AB130,0)+IF(OR($A130=DATE(2026,11,28),$A130=DATE(2026,12,1)),AC130,0))))</f>
        <v>0</v>
      </c>
      <c r="AE130" s="14" t="n">
        <f aca="false">IF(AND($A130&lt;&gt;"",$A130&lt;Parameters!$B$14),CityData!F6*(1+TAXRATE),0)</f>
        <v>0</v>
      </c>
      <c r="AF130" s="14" t="n">
        <f aca="false">IF($A130="",0,IFERROR(VLOOKUP((YEAR($A130)+IF(MONTH($A130)&gt;=10,1,0))&amp;"|Phoenix|"&amp;MONTH($A130),Rates!$A$2:$I$181,5,FALSE()),0))</f>
        <v>0</v>
      </c>
      <c r="AG130" s="14" t="n">
        <f aca="false">IF(OR($A130="",$A130&gt;=Parameters!$B$14),1,IF(AND(AF130&gt;0,CityData!F6&lt;=AF130),1,0))</f>
        <v>1</v>
      </c>
      <c r="AH130" s="14" t="n">
        <f aca="false">IF($A130="",0,IFERROR(VLOOKUP((YEAR($A130)+IF(MONTH($A130)&gt;=10,1,0))&amp;"|Seattle|"&amp;MONTH($A130),Rates!$A$2:$I$181,6,FALSE()),0))</f>
        <v>0</v>
      </c>
      <c r="AI130" s="14" t="n">
        <f aca="false">IF(AH130=0,0,VLOOKUP(AH130,MIE_Components!$A$2:$F$6,2,FALSE()))</f>
        <v>0</v>
      </c>
      <c r="AJ130" s="14" t="n">
        <f aca="false">IF(AH130=0,0,VLOOKUP(AH130,MIE_Components!$A$2:$F$6,3,FALSE()))</f>
        <v>0</v>
      </c>
      <c r="AK130" s="14" t="n">
        <f aca="false">IF(AH130=0,0,VLOOKUP(AH130,MIE_Components!$A$2:$F$6,4,FALSE()))</f>
        <v>0</v>
      </c>
      <c r="AL130" s="14" t="n">
        <f aca="false">IF(OR($A130="",AH130=0),0,MAX(5,AH130*IF(OR($A130=Parameters!$B$13,$A130=Parameters!$B$14),0.75,1)-(IF(AND($A130=DATE(2026,11,29),NOV29BF="Yes"),AI130,0)+IF(OR($A130=DATE(2026,11,29),$A130=DATE(2026,11,30),$A130=DATE(2026,12,1),$A130=DATE(2026,12,2)),AJ130,0)+IF(OR($A130=DATE(2026,11,28),$A130=DATE(2026,12,1)),AK130,0))))</f>
        <v>0</v>
      </c>
      <c r="AM130" s="14" t="n">
        <f aca="false">IF(AND($A130&lt;&gt;"",$A130&lt;Parameters!$B$14),CityData!F7*(1+TAXRATE),0)</f>
        <v>0</v>
      </c>
      <c r="AN130" s="14" t="n">
        <f aca="false">IF($A130="",0,IFERROR(VLOOKUP((YEAR($A130)+IF(MONTH($A130)&gt;=10,1,0))&amp;"|Seattle|"&amp;MONTH($A130),Rates!$A$2:$I$181,5,FALSE()),0))</f>
        <v>0</v>
      </c>
      <c r="AO130" s="14" t="n">
        <f aca="false">IF(OR($A130="",$A130&gt;=Parameters!$B$14),1,IF(AND(AN130&gt;0,CityData!F7&lt;=AN130),1,0))</f>
        <v>1</v>
      </c>
    </row>
    <row r="131" customFormat="false" ht="15" hidden="false" customHeight="true" outlineLevel="0" collapsed="false">
      <c r="A131" s="23" t="str">
        <f aca="false">IF(AND(Parameters!$B$14&gt;=Parameters!$B$13,ROW()-2&lt;=Parameters!$B$14-Parameters!$B$13),Parameters!$B$13+ROW()-2,"")</f>
        <v/>
      </c>
      <c r="B131" s="14" t="n">
        <f aca="false">IF($A131="",0,IFERROR(VLOOKUP((YEAR($A131)+IF(MONTH($A131)&gt;=10,1,0))&amp;"|Boston|"&amp;MONTH($A131),Rates!$A$2:$I$181,6,FALSE()),0))</f>
        <v>0</v>
      </c>
      <c r="C131" s="14" t="n">
        <f aca="false">IF(B131=0,0,VLOOKUP(B131,MIE_Components!$A$2:$F$6,2,FALSE()))</f>
        <v>0</v>
      </c>
      <c r="D131" s="14" t="n">
        <f aca="false">IF(B131=0,0,VLOOKUP(B131,MIE_Components!$A$2:$F$6,3,FALSE()))</f>
        <v>0</v>
      </c>
      <c r="E131" s="14" t="n">
        <f aca="false">IF(B131=0,0,VLOOKUP(B131,MIE_Components!$A$2:$F$6,4,FALSE()))</f>
        <v>0</v>
      </c>
      <c r="F131" s="14" t="n">
        <f aca="false">IF(OR($A131="",B131=0),0,MAX(5,B131*IF(OR($A131=Parameters!$B$13,$A131=Parameters!$B$14),0.75,1)-(IF(AND($A131=DATE(2026,11,29),NOV29BF="Yes"),C131,0)+IF(OR($A131=DATE(2026,11,29),$A131=DATE(2026,11,30),$A131=DATE(2026,12,1),$A131=DATE(2026,12,2)),D131,0)+IF(OR($A131=DATE(2026,11,28),$A131=DATE(2026,12,1)),E131,0))))</f>
        <v>0</v>
      </c>
      <c r="G131" s="14" t="n">
        <f aca="false">IF(AND($A131&lt;&gt;"",$A131&lt;Parameters!$B$14),CityData!F3*(1+TAXRATE),0)</f>
        <v>0</v>
      </c>
      <c r="H131" s="14" t="n">
        <f aca="false">IF($A131="",0,IFERROR(VLOOKUP((YEAR($A131)+IF(MONTH($A131)&gt;=10,1,0))&amp;"|Boston|"&amp;MONTH($A131),Rates!$A$2:$I$181,5,FALSE()),0))</f>
        <v>0</v>
      </c>
      <c r="I131" s="14" t="n">
        <f aca="false">IF(OR($A131="",$A131&gt;=Parameters!$B$14),1,IF(AND(H131&gt;0,CityData!F3&lt;=H131),1,0))</f>
        <v>1</v>
      </c>
      <c r="J131" s="14" t="n">
        <f aca="false">IF($A131="",0,IFERROR(VLOOKUP((YEAR($A131)+IF(MONTH($A131)&gt;=10,1,0))&amp;"|Chicago|"&amp;MONTH($A131),Rates!$A$2:$I$181,6,FALSE()),0))</f>
        <v>0</v>
      </c>
      <c r="K131" s="14" t="n">
        <f aca="false">IF(J131=0,0,VLOOKUP(J131,MIE_Components!$A$2:$F$6,2,FALSE()))</f>
        <v>0</v>
      </c>
      <c r="L131" s="14" t="n">
        <f aca="false">IF(J131=0,0,VLOOKUP(J131,MIE_Components!$A$2:$F$6,3,FALSE()))</f>
        <v>0</v>
      </c>
      <c r="M131" s="14" t="n">
        <f aca="false">IF(J131=0,0,VLOOKUP(J131,MIE_Components!$A$2:$F$6,4,FALSE()))</f>
        <v>0</v>
      </c>
      <c r="N131" s="14" t="n">
        <f aca="false">IF(OR($A131="",J131=0),0,MAX(5,J131*IF(OR($A131=Parameters!$B$13,$A131=Parameters!$B$14),0.75,1)-(IF(AND($A131=DATE(2026,11,29),NOV29BF="Yes"),K131,0)+IF(OR($A131=DATE(2026,11,29),$A131=DATE(2026,11,30),$A131=DATE(2026,12,1),$A131=DATE(2026,12,2)),L131,0)+IF(OR($A131=DATE(2026,11,28),$A131=DATE(2026,12,1)),M131,0))))</f>
        <v>0</v>
      </c>
      <c r="O131" s="14" t="n">
        <f aca="false">IF(AND($A131&lt;&gt;"",$A131&lt;Parameters!$B$14),CityData!F4*(1+TAXRATE),0)</f>
        <v>0</v>
      </c>
      <c r="P131" s="14" t="n">
        <f aca="false">IF($A131="",0,IFERROR(VLOOKUP((YEAR($A131)+IF(MONTH($A131)&gt;=10,1,0))&amp;"|Chicago|"&amp;MONTH($A131),Rates!$A$2:$I$181,5,FALSE()),0))</f>
        <v>0</v>
      </c>
      <c r="Q131" s="14" t="n">
        <f aca="false">IF(OR($A131="",$A131&gt;=Parameters!$B$14),1,IF(AND(P131&gt;0,CityData!F4&lt;=P131),1,0))</f>
        <v>1</v>
      </c>
      <c r="R131" s="14" t="n">
        <f aca="false">IF($A131="",0,IFERROR(VLOOKUP((YEAR($A131)+IF(MONTH($A131)&gt;=10,1,0))&amp;"|Denver|"&amp;MONTH($A131),Rates!$A$2:$I$181,6,FALSE()),0))</f>
        <v>0</v>
      </c>
      <c r="S131" s="14" t="n">
        <f aca="false">IF(R131=0,0,VLOOKUP(R131,MIE_Components!$A$2:$F$6,2,FALSE()))</f>
        <v>0</v>
      </c>
      <c r="T131" s="14" t="n">
        <f aca="false">IF(R131=0,0,VLOOKUP(R131,MIE_Components!$A$2:$F$6,3,FALSE()))</f>
        <v>0</v>
      </c>
      <c r="U131" s="14" t="n">
        <f aca="false">IF(R131=0,0,VLOOKUP(R131,MIE_Components!$A$2:$F$6,4,FALSE()))</f>
        <v>0</v>
      </c>
      <c r="V131" s="14" t="n">
        <f aca="false">IF(OR($A131="",R131=0),0,MAX(5,R131*IF(OR($A131=Parameters!$B$13,$A131=Parameters!$B$14),0.75,1)-(IF(AND($A131=DATE(2026,11,29),NOV29BF="Yes"),S131,0)+IF(OR($A131=DATE(2026,11,29),$A131=DATE(2026,11,30),$A131=DATE(2026,12,1),$A131=DATE(2026,12,2)),T131,0)+IF(OR($A131=DATE(2026,11,28),$A131=DATE(2026,12,1)),U131,0))))</f>
        <v>0</v>
      </c>
      <c r="W131" s="14" t="n">
        <f aca="false">IF(AND($A131&lt;&gt;"",$A131&lt;Parameters!$B$14),CityData!F5*(1+TAXRATE),0)</f>
        <v>0</v>
      </c>
      <c r="X131" s="14" t="n">
        <f aca="false">IF($A131="",0,IFERROR(VLOOKUP((YEAR($A131)+IF(MONTH($A131)&gt;=10,1,0))&amp;"|Denver|"&amp;MONTH($A131),Rates!$A$2:$I$181,5,FALSE()),0))</f>
        <v>0</v>
      </c>
      <c r="Y131" s="14" t="n">
        <f aca="false">IF(OR($A131="",$A131&gt;=Parameters!$B$14),1,IF(AND(X131&gt;0,CityData!F5&lt;=X131),1,0))</f>
        <v>1</v>
      </c>
      <c r="Z131" s="14" t="n">
        <f aca="false">IF($A131="",0,IFERROR(VLOOKUP((YEAR($A131)+IF(MONTH($A131)&gt;=10,1,0))&amp;"|Phoenix|"&amp;MONTH($A131),Rates!$A$2:$I$181,6,FALSE()),0))</f>
        <v>0</v>
      </c>
      <c r="AA131" s="14" t="n">
        <f aca="false">IF(Z131=0,0,VLOOKUP(Z131,MIE_Components!$A$2:$F$6,2,FALSE()))</f>
        <v>0</v>
      </c>
      <c r="AB131" s="14" t="n">
        <f aca="false">IF(Z131=0,0,VLOOKUP(Z131,MIE_Components!$A$2:$F$6,3,FALSE()))</f>
        <v>0</v>
      </c>
      <c r="AC131" s="14" t="n">
        <f aca="false">IF(Z131=0,0,VLOOKUP(Z131,MIE_Components!$A$2:$F$6,4,FALSE()))</f>
        <v>0</v>
      </c>
      <c r="AD131" s="14" t="n">
        <f aca="false">IF(OR($A131="",Z131=0),0,MAX(5,Z131*IF(OR($A131=Parameters!$B$13,$A131=Parameters!$B$14),0.75,1)-(IF(AND($A131=DATE(2026,11,29),NOV29BF="Yes"),AA131,0)+IF(OR($A131=DATE(2026,11,29),$A131=DATE(2026,11,30),$A131=DATE(2026,12,1),$A131=DATE(2026,12,2)),AB131,0)+IF(OR($A131=DATE(2026,11,28),$A131=DATE(2026,12,1)),AC131,0))))</f>
        <v>0</v>
      </c>
      <c r="AE131" s="14" t="n">
        <f aca="false">IF(AND($A131&lt;&gt;"",$A131&lt;Parameters!$B$14),CityData!F6*(1+TAXRATE),0)</f>
        <v>0</v>
      </c>
      <c r="AF131" s="14" t="n">
        <f aca="false">IF($A131="",0,IFERROR(VLOOKUP((YEAR($A131)+IF(MONTH($A131)&gt;=10,1,0))&amp;"|Phoenix|"&amp;MONTH($A131),Rates!$A$2:$I$181,5,FALSE()),0))</f>
        <v>0</v>
      </c>
      <c r="AG131" s="14" t="n">
        <f aca="false">IF(OR($A131="",$A131&gt;=Parameters!$B$14),1,IF(AND(AF131&gt;0,CityData!F6&lt;=AF131),1,0))</f>
        <v>1</v>
      </c>
      <c r="AH131" s="14" t="n">
        <f aca="false">IF($A131="",0,IFERROR(VLOOKUP((YEAR($A131)+IF(MONTH($A131)&gt;=10,1,0))&amp;"|Seattle|"&amp;MONTH($A131),Rates!$A$2:$I$181,6,FALSE()),0))</f>
        <v>0</v>
      </c>
      <c r="AI131" s="14" t="n">
        <f aca="false">IF(AH131=0,0,VLOOKUP(AH131,MIE_Components!$A$2:$F$6,2,FALSE()))</f>
        <v>0</v>
      </c>
      <c r="AJ131" s="14" t="n">
        <f aca="false">IF(AH131=0,0,VLOOKUP(AH131,MIE_Components!$A$2:$F$6,3,FALSE()))</f>
        <v>0</v>
      </c>
      <c r="AK131" s="14" t="n">
        <f aca="false">IF(AH131=0,0,VLOOKUP(AH131,MIE_Components!$A$2:$F$6,4,FALSE()))</f>
        <v>0</v>
      </c>
      <c r="AL131" s="14" t="n">
        <f aca="false">IF(OR($A131="",AH131=0),0,MAX(5,AH131*IF(OR($A131=Parameters!$B$13,$A131=Parameters!$B$14),0.75,1)-(IF(AND($A131=DATE(2026,11,29),NOV29BF="Yes"),AI131,0)+IF(OR($A131=DATE(2026,11,29),$A131=DATE(2026,11,30),$A131=DATE(2026,12,1),$A131=DATE(2026,12,2)),AJ131,0)+IF(OR($A131=DATE(2026,11,28),$A131=DATE(2026,12,1)),AK131,0))))</f>
        <v>0</v>
      </c>
      <c r="AM131" s="14" t="n">
        <f aca="false">IF(AND($A131&lt;&gt;"",$A131&lt;Parameters!$B$14),CityData!F7*(1+TAXRATE),0)</f>
        <v>0</v>
      </c>
      <c r="AN131" s="14" t="n">
        <f aca="false">IF($A131="",0,IFERROR(VLOOKUP((YEAR($A131)+IF(MONTH($A131)&gt;=10,1,0))&amp;"|Seattle|"&amp;MONTH($A131),Rates!$A$2:$I$181,5,FALSE()),0))</f>
        <v>0</v>
      </c>
      <c r="AO131" s="14" t="n">
        <f aca="false">IF(OR($A131="",$A131&gt;=Parameters!$B$14),1,IF(AND(AN131&gt;0,CityData!F7&lt;=AN131),1,0))</f>
        <v>1</v>
      </c>
    </row>
    <row r="132" customFormat="false" ht="15" hidden="false" customHeight="true" outlineLevel="0" collapsed="false">
      <c r="A132" s="23" t="str">
        <f aca="false">IF(AND(Parameters!$B$14&gt;=Parameters!$B$13,ROW()-2&lt;=Parameters!$B$14-Parameters!$B$13),Parameters!$B$13+ROW()-2,"")</f>
        <v/>
      </c>
      <c r="B132" s="14" t="n">
        <f aca="false">IF($A132="",0,IFERROR(VLOOKUP((YEAR($A132)+IF(MONTH($A132)&gt;=10,1,0))&amp;"|Boston|"&amp;MONTH($A132),Rates!$A$2:$I$181,6,FALSE()),0))</f>
        <v>0</v>
      </c>
      <c r="C132" s="14" t="n">
        <f aca="false">IF(B132=0,0,VLOOKUP(B132,MIE_Components!$A$2:$F$6,2,FALSE()))</f>
        <v>0</v>
      </c>
      <c r="D132" s="14" t="n">
        <f aca="false">IF(B132=0,0,VLOOKUP(B132,MIE_Components!$A$2:$F$6,3,FALSE()))</f>
        <v>0</v>
      </c>
      <c r="E132" s="14" t="n">
        <f aca="false">IF(B132=0,0,VLOOKUP(B132,MIE_Components!$A$2:$F$6,4,FALSE()))</f>
        <v>0</v>
      </c>
      <c r="F132" s="14" t="n">
        <f aca="false">IF(OR($A132="",B132=0),0,MAX(5,B132*IF(OR($A132=Parameters!$B$13,$A132=Parameters!$B$14),0.75,1)-(IF(AND($A132=DATE(2026,11,29),NOV29BF="Yes"),C132,0)+IF(OR($A132=DATE(2026,11,29),$A132=DATE(2026,11,30),$A132=DATE(2026,12,1),$A132=DATE(2026,12,2)),D132,0)+IF(OR($A132=DATE(2026,11,28),$A132=DATE(2026,12,1)),E132,0))))</f>
        <v>0</v>
      </c>
      <c r="G132" s="14" t="n">
        <f aca="false">IF(AND($A132&lt;&gt;"",$A132&lt;Parameters!$B$14),CityData!F3*(1+TAXRATE),0)</f>
        <v>0</v>
      </c>
      <c r="H132" s="14" t="n">
        <f aca="false">IF($A132="",0,IFERROR(VLOOKUP((YEAR($A132)+IF(MONTH($A132)&gt;=10,1,0))&amp;"|Boston|"&amp;MONTH($A132),Rates!$A$2:$I$181,5,FALSE()),0))</f>
        <v>0</v>
      </c>
      <c r="I132" s="14" t="n">
        <f aca="false">IF(OR($A132="",$A132&gt;=Parameters!$B$14),1,IF(AND(H132&gt;0,CityData!F3&lt;=H132),1,0))</f>
        <v>1</v>
      </c>
      <c r="J132" s="14" t="n">
        <f aca="false">IF($A132="",0,IFERROR(VLOOKUP((YEAR($A132)+IF(MONTH($A132)&gt;=10,1,0))&amp;"|Chicago|"&amp;MONTH($A132),Rates!$A$2:$I$181,6,FALSE()),0))</f>
        <v>0</v>
      </c>
      <c r="K132" s="14" t="n">
        <f aca="false">IF(J132=0,0,VLOOKUP(J132,MIE_Components!$A$2:$F$6,2,FALSE()))</f>
        <v>0</v>
      </c>
      <c r="L132" s="14" t="n">
        <f aca="false">IF(J132=0,0,VLOOKUP(J132,MIE_Components!$A$2:$F$6,3,FALSE()))</f>
        <v>0</v>
      </c>
      <c r="M132" s="14" t="n">
        <f aca="false">IF(J132=0,0,VLOOKUP(J132,MIE_Components!$A$2:$F$6,4,FALSE()))</f>
        <v>0</v>
      </c>
      <c r="N132" s="14" t="n">
        <f aca="false">IF(OR($A132="",J132=0),0,MAX(5,J132*IF(OR($A132=Parameters!$B$13,$A132=Parameters!$B$14),0.75,1)-(IF(AND($A132=DATE(2026,11,29),NOV29BF="Yes"),K132,0)+IF(OR($A132=DATE(2026,11,29),$A132=DATE(2026,11,30),$A132=DATE(2026,12,1),$A132=DATE(2026,12,2)),L132,0)+IF(OR($A132=DATE(2026,11,28),$A132=DATE(2026,12,1)),M132,0))))</f>
        <v>0</v>
      </c>
      <c r="O132" s="14" t="n">
        <f aca="false">IF(AND($A132&lt;&gt;"",$A132&lt;Parameters!$B$14),CityData!F4*(1+TAXRATE),0)</f>
        <v>0</v>
      </c>
      <c r="P132" s="14" t="n">
        <f aca="false">IF($A132="",0,IFERROR(VLOOKUP((YEAR($A132)+IF(MONTH($A132)&gt;=10,1,0))&amp;"|Chicago|"&amp;MONTH($A132),Rates!$A$2:$I$181,5,FALSE()),0))</f>
        <v>0</v>
      </c>
      <c r="Q132" s="14" t="n">
        <f aca="false">IF(OR($A132="",$A132&gt;=Parameters!$B$14),1,IF(AND(P132&gt;0,CityData!F4&lt;=P132),1,0))</f>
        <v>1</v>
      </c>
      <c r="R132" s="14" t="n">
        <f aca="false">IF($A132="",0,IFERROR(VLOOKUP((YEAR($A132)+IF(MONTH($A132)&gt;=10,1,0))&amp;"|Denver|"&amp;MONTH($A132),Rates!$A$2:$I$181,6,FALSE()),0))</f>
        <v>0</v>
      </c>
      <c r="S132" s="14" t="n">
        <f aca="false">IF(R132=0,0,VLOOKUP(R132,MIE_Components!$A$2:$F$6,2,FALSE()))</f>
        <v>0</v>
      </c>
      <c r="T132" s="14" t="n">
        <f aca="false">IF(R132=0,0,VLOOKUP(R132,MIE_Components!$A$2:$F$6,3,FALSE()))</f>
        <v>0</v>
      </c>
      <c r="U132" s="14" t="n">
        <f aca="false">IF(R132=0,0,VLOOKUP(R132,MIE_Components!$A$2:$F$6,4,FALSE()))</f>
        <v>0</v>
      </c>
      <c r="V132" s="14" t="n">
        <f aca="false">IF(OR($A132="",R132=0),0,MAX(5,R132*IF(OR($A132=Parameters!$B$13,$A132=Parameters!$B$14),0.75,1)-(IF(AND($A132=DATE(2026,11,29),NOV29BF="Yes"),S132,0)+IF(OR($A132=DATE(2026,11,29),$A132=DATE(2026,11,30),$A132=DATE(2026,12,1),$A132=DATE(2026,12,2)),T132,0)+IF(OR($A132=DATE(2026,11,28),$A132=DATE(2026,12,1)),U132,0))))</f>
        <v>0</v>
      </c>
      <c r="W132" s="14" t="n">
        <f aca="false">IF(AND($A132&lt;&gt;"",$A132&lt;Parameters!$B$14),CityData!F5*(1+TAXRATE),0)</f>
        <v>0</v>
      </c>
      <c r="X132" s="14" t="n">
        <f aca="false">IF($A132="",0,IFERROR(VLOOKUP((YEAR($A132)+IF(MONTH($A132)&gt;=10,1,0))&amp;"|Denver|"&amp;MONTH($A132),Rates!$A$2:$I$181,5,FALSE()),0))</f>
        <v>0</v>
      </c>
      <c r="Y132" s="14" t="n">
        <f aca="false">IF(OR($A132="",$A132&gt;=Parameters!$B$14),1,IF(AND(X132&gt;0,CityData!F5&lt;=X132),1,0))</f>
        <v>1</v>
      </c>
      <c r="Z132" s="14" t="n">
        <f aca="false">IF($A132="",0,IFERROR(VLOOKUP((YEAR($A132)+IF(MONTH($A132)&gt;=10,1,0))&amp;"|Phoenix|"&amp;MONTH($A132),Rates!$A$2:$I$181,6,FALSE()),0))</f>
        <v>0</v>
      </c>
      <c r="AA132" s="14" t="n">
        <f aca="false">IF(Z132=0,0,VLOOKUP(Z132,MIE_Components!$A$2:$F$6,2,FALSE()))</f>
        <v>0</v>
      </c>
      <c r="AB132" s="14" t="n">
        <f aca="false">IF(Z132=0,0,VLOOKUP(Z132,MIE_Components!$A$2:$F$6,3,FALSE()))</f>
        <v>0</v>
      </c>
      <c r="AC132" s="14" t="n">
        <f aca="false">IF(Z132=0,0,VLOOKUP(Z132,MIE_Components!$A$2:$F$6,4,FALSE()))</f>
        <v>0</v>
      </c>
      <c r="AD132" s="14" t="n">
        <f aca="false">IF(OR($A132="",Z132=0),0,MAX(5,Z132*IF(OR($A132=Parameters!$B$13,$A132=Parameters!$B$14),0.75,1)-(IF(AND($A132=DATE(2026,11,29),NOV29BF="Yes"),AA132,0)+IF(OR($A132=DATE(2026,11,29),$A132=DATE(2026,11,30),$A132=DATE(2026,12,1),$A132=DATE(2026,12,2)),AB132,0)+IF(OR($A132=DATE(2026,11,28),$A132=DATE(2026,12,1)),AC132,0))))</f>
        <v>0</v>
      </c>
      <c r="AE132" s="14" t="n">
        <f aca="false">IF(AND($A132&lt;&gt;"",$A132&lt;Parameters!$B$14),CityData!F6*(1+TAXRATE),0)</f>
        <v>0</v>
      </c>
      <c r="AF132" s="14" t="n">
        <f aca="false">IF($A132="",0,IFERROR(VLOOKUP((YEAR($A132)+IF(MONTH($A132)&gt;=10,1,0))&amp;"|Phoenix|"&amp;MONTH($A132),Rates!$A$2:$I$181,5,FALSE()),0))</f>
        <v>0</v>
      </c>
      <c r="AG132" s="14" t="n">
        <f aca="false">IF(OR($A132="",$A132&gt;=Parameters!$B$14),1,IF(AND(AF132&gt;0,CityData!F6&lt;=AF132),1,0))</f>
        <v>1</v>
      </c>
      <c r="AH132" s="14" t="n">
        <f aca="false">IF($A132="",0,IFERROR(VLOOKUP((YEAR($A132)+IF(MONTH($A132)&gt;=10,1,0))&amp;"|Seattle|"&amp;MONTH($A132),Rates!$A$2:$I$181,6,FALSE()),0))</f>
        <v>0</v>
      </c>
      <c r="AI132" s="14" t="n">
        <f aca="false">IF(AH132=0,0,VLOOKUP(AH132,MIE_Components!$A$2:$F$6,2,FALSE()))</f>
        <v>0</v>
      </c>
      <c r="AJ132" s="14" t="n">
        <f aca="false">IF(AH132=0,0,VLOOKUP(AH132,MIE_Components!$A$2:$F$6,3,FALSE()))</f>
        <v>0</v>
      </c>
      <c r="AK132" s="14" t="n">
        <f aca="false">IF(AH132=0,0,VLOOKUP(AH132,MIE_Components!$A$2:$F$6,4,FALSE()))</f>
        <v>0</v>
      </c>
      <c r="AL132" s="14" t="n">
        <f aca="false">IF(OR($A132="",AH132=0),0,MAX(5,AH132*IF(OR($A132=Parameters!$B$13,$A132=Parameters!$B$14),0.75,1)-(IF(AND($A132=DATE(2026,11,29),NOV29BF="Yes"),AI132,0)+IF(OR($A132=DATE(2026,11,29),$A132=DATE(2026,11,30),$A132=DATE(2026,12,1),$A132=DATE(2026,12,2)),AJ132,0)+IF(OR($A132=DATE(2026,11,28),$A132=DATE(2026,12,1)),AK132,0))))</f>
        <v>0</v>
      </c>
      <c r="AM132" s="14" t="n">
        <f aca="false">IF(AND($A132&lt;&gt;"",$A132&lt;Parameters!$B$14),CityData!F7*(1+TAXRATE),0)</f>
        <v>0</v>
      </c>
      <c r="AN132" s="14" t="n">
        <f aca="false">IF($A132="",0,IFERROR(VLOOKUP((YEAR($A132)+IF(MONTH($A132)&gt;=10,1,0))&amp;"|Seattle|"&amp;MONTH($A132),Rates!$A$2:$I$181,5,FALSE()),0))</f>
        <v>0</v>
      </c>
      <c r="AO132" s="14" t="n">
        <f aca="false">IF(OR($A132="",$A132&gt;=Parameters!$B$14),1,IF(AND(AN132&gt;0,CityData!F7&lt;=AN132),1,0))</f>
        <v>1</v>
      </c>
    </row>
    <row r="133" customFormat="false" ht="15" hidden="false" customHeight="true" outlineLevel="0" collapsed="false">
      <c r="A133" s="23" t="str">
        <f aca="false">IF(AND(Parameters!$B$14&gt;=Parameters!$B$13,ROW()-2&lt;=Parameters!$B$14-Parameters!$B$13),Parameters!$B$13+ROW()-2,"")</f>
        <v/>
      </c>
      <c r="B133" s="14" t="n">
        <f aca="false">IF($A133="",0,IFERROR(VLOOKUP((YEAR($A133)+IF(MONTH($A133)&gt;=10,1,0))&amp;"|Boston|"&amp;MONTH($A133),Rates!$A$2:$I$181,6,FALSE()),0))</f>
        <v>0</v>
      </c>
      <c r="C133" s="14" t="n">
        <f aca="false">IF(B133=0,0,VLOOKUP(B133,MIE_Components!$A$2:$F$6,2,FALSE()))</f>
        <v>0</v>
      </c>
      <c r="D133" s="14" t="n">
        <f aca="false">IF(B133=0,0,VLOOKUP(B133,MIE_Components!$A$2:$F$6,3,FALSE()))</f>
        <v>0</v>
      </c>
      <c r="E133" s="14" t="n">
        <f aca="false">IF(B133=0,0,VLOOKUP(B133,MIE_Components!$A$2:$F$6,4,FALSE()))</f>
        <v>0</v>
      </c>
      <c r="F133" s="14" t="n">
        <f aca="false">IF(OR($A133="",B133=0),0,MAX(5,B133*IF(OR($A133=Parameters!$B$13,$A133=Parameters!$B$14),0.75,1)-(IF(AND($A133=DATE(2026,11,29),NOV29BF="Yes"),C133,0)+IF(OR($A133=DATE(2026,11,29),$A133=DATE(2026,11,30),$A133=DATE(2026,12,1),$A133=DATE(2026,12,2)),D133,0)+IF(OR($A133=DATE(2026,11,28),$A133=DATE(2026,12,1)),E133,0))))</f>
        <v>0</v>
      </c>
      <c r="G133" s="14" t="n">
        <f aca="false">IF(AND($A133&lt;&gt;"",$A133&lt;Parameters!$B$14),CityData!F3*(1+TAXRATE),0)</f>
        <v>0</v>
      </c>
      <c r="H133" s="14" t="n">
        <f aca="false">IF($A133="",0,IFERROR(VLOOKUP((YEAR($A133)+IF(MONTH($A133)&gt;=10,1,0))&amp;"|Boston|"&amp;MONTH($A133),Rates!$A$2:$I$181,5,FALSE()),0))</f>
        <v>0</v>
      </c>
      <c r="I133" s="14" t="n">
        <f aca="false">IF(OR($A133="",$A133&gt;=Parameters!$B$14),1,IF(AND(H133&gt;0,CityData!F3&lt;=H133),1,0))</f>
        <v>1</v>
      </c>
      <c r="J133" s="14" t="n">
        <f aca="false">IF($A133="",0,IFERROR(VLOOKUP((YEAR($A133)+IF(MONTH($A133)&gt;=10,1,0))&amp;"|Chicago|"&amp;MONTH($A133),Rates!$A$2:$I$181,6,FALSE()),0))</f>
        <v>0</v>
      </c>
      <c r="K133" s="14" t="n">
        <f aca="false">IF(J133=0,0,VLOOKUP(J133,MIE_Components!$A$2:$F$6,2,FALSE()))</f>
        <v>0</v>
      </c>
      <c r="L133" s="14" t="n">
        <f aca="false">IF(J133=0,0,VLOOKUP(J133,MIE_Components!$A$2:$F$6,3,FALSE()))</f>
        <v>0</v>
      </c>
      <c r="M133" s="14" t="n">
        <f aca="false">IF(J133=0,0,VLOOKUP(J133,MIE_Components!$A$2:$F$6,4,FALSE()))</f>
        <v>0</v>
      </c>
      <c r="N133" s="14" t="n">
        <f aca="false">IF(OR($A133="",J133=0),0,MAX(5,J133*IF(OR($A133=Parameters!$B$13,$A133=Parameters!$B$14),0.75,1)-(IF(AND($A133=DATE(2026,11,29),NOV29BF="Yes"),K133,0)+IF(OR($A133=DATE(2026,11,29),$A133=DATE(2026,11,30),$A133=DATE(2026,12,1),$A133=DATE(2026,12,2)),L133,0)+IF(OR($A133=DATE(2026,11,28),$A133=DATE(2026,12,1)),M133,0))))</f>
        <v>0</v>
      </c>
      <c r="O133" s="14" t="n">
        <f aca="false">IF(AND($A133&lt;&gt;"",$A133&lt;Parameters!$B$14),CityData!F4*(1+TAXRATE),0)</f>
        <v>0</v>
      </c>
      <c r="P133" s="14" t="n">
        <f aca="false">IF($A133="",0,IFERROR(VLOOKUP((YEAR($A133)+IF(MONTH($A133)&gt;=10,1,0))&amp;"|Chicago|"&amp;MONTH($A133),Rates!$A$2:$I$181,5,FALSE()),0))</f>
        <v>0</v>
      </c>
      <c r="Q133" s="14" t="n">
        <f aca="false">IF(OR($A133="",$A133&gt;=Parameters!$B$14),1,IF(AND(P133&gt;0,CityData!F4&lt;=P133),1,0))</f>
        <v>1</v>
      </c>
      <c r="R133" s="14" t="n">
        <f aca="false">IF($A133="",0,IFERROR(VLOOKUP((YEAR($A133)+IF(MONTH($A133)&gt;=10,1,0))&amp;"|Denver|"&amp;MONTH($A133),Rates!$A$2:$I$181,6,FALSE()),0))</f>
        <v>0</v>
      </c>
      <c r="S133" s="14" t="n">
        <f aca="false">IF(R133=0,0,VLOOKUP(R133,MIE_Components!$A$2:$F$6,2,FALSE()))</f>
        <v>0</v>
      </c>
      <c r="T133" s="14" t="n">
        <f aca="false">IF(R133=0,0,VLOOKUP(R133,MIE_Components!$A$2:$F$6,3,FALSE()))</f>
        <v>0</v>
      </c>
      <c r="U133" s="14" t="n">
        <f aca="false">IF(R133=0,0,VLOOKUP(R133,MIE_Components!$A$2:$F$6,4,FALSE()))</f>
        <v>0</v>
      </c>
      <c r="V133" s="14" t="n">
        <f aca="false">IF(OR($A133="",R133=0),0,MAX(5,R133*IF(OR($A133=Parameters!$B$13,$A133=Parameters!$B$14),0.75,1)-(IF(AND($A133=DATE(2026,11,29),NOV29BF="Yes"),S133,0)+IF(OR($A133=DATE(2026,11,29),$A133=DATE(2026,11,30),$A133=DATE(2026,12,1),$A133=DATE(2026,12,2)),T133,0)+IF(OR($A133=DATE(2026,11,28),$A133=DATE(2026,12,1)),U133,0))))</f>
        <v>0</v>
      </c>
      <c r="W133" s="14" t="n">
        <f aca="false">IF(AND($A133&lt;&gt;"",$A133&lt;Parameters!$B$14),CityData!F5*(1+TAXRATE),0)</f>
        <v>0</v>
      </c>
      <c r="X133" s="14" t="n">
        <f aca="false">IF($A133="",0,IFERROR(VLOOKUP((YEAR($A133)+IF(MONTH($A133)&gt;=10,1,0))&amp;"|Denver|"&amp;MONTH($A133),Rates!$A$2:$I$181,5,FALSE()),0))</f>
        <v>0</v>
      </c>
      <c r="Y133" s="14" t="n">
        <f aca="false">IF(OR($A133="",$A133&gt;=Parameters!$B$14),1,IF(AND(X133&gt;0,CityData!F5&lt;=X133),1,0))</f>
        <v>1</v>
      </c>
      <c r="Z133" s="14" t="n">
        <f aca="false">IF($A133="",0,IFERROR(VLOOKUP((YEAR($A133)+IF(MONTH($A133)&gt;=10,1,0))&amp;"|Phoenix|"&amp;MONTH($A133),Rates!$A$2:$I$181,6,FALSE()),0))</f>
        <v>0</v>
      </c>
      <c r="AA133" s="14" t="n">
        <f aca="false">IF(Z133=0,0,VLOOKUP(Z133,MIE_Components!$A$2:$F$6,2,FALSE()))</f>
        <v>0</v>
      </c>
      <c r="AB133" s="14" t="n">
        <f aca="false">IF(Z133=0,0,VLOOKUP(Z133,MIE_Components!$A$2:$F$6,3,FALSE()))</f>
        <v>0</v>
      </c>
      <c r="AC133" s="14" t="n">
        <f aca="false">IF(Z133=0,0,VLOOKUP(Z133,MIE_Components!$A$2:$F$6,4,FALSE()))</f>
        <v>0</v>
      </c>
      <c r="AD133" s="14" t="n">
        <f aca="false">IF(OR($A133="",Z133=0),0,MAX(5,Z133*IF(OR($A133=Parameters!$B$13,$A133=Parameters!$B$14),0.75,1)-(IF(AND($A133=DATE(2026,11,29),NOV29BF="Yes"),AA133,0)+IF(OR($A133=DATE(2026,11,29),$A133=DATE(2026,11,30),$A133=DATE(2026,12,1),$A133=DATE(2026,12,2)),AB133,0)+IF(OR($A133=DATE(2026,11,28),$A133=DATE(2026,12,1)),AC133,0))))</f>
        <v>0</v>
      </c>
      <c r="AE133" s="14" t="n">
        <f aca="false">IF(AND($A133&lt;&gt;"",$A133&lt;Parameters!$B$14),CityData!F6*(1+TAXRATE),0)</f>
        <v>0</v>
      </c>
      <c r="AF133" s="14" t="n">
        <f aca="false">IF($A133="",0,IFERROR(VLOOKUP((YEAR($A133)+IF(MONTH($A133)&gt;=10,1,0))&amp;"|Phoenix|"&amp;MONTH($A133),Rates!$A$2:$I$181,5,FALSE()),0))</f>
        <v>0</v>
      </c>
      <c r="AG133" s="14" t="n">
        <f aca="false">IF(OR($A133="",$A133&gt;=Parameters!$B$14),1,IF(AND(AF133&gt;0,CityData!F6&lt;=AF133),1,0))</f>
        <v>1</v>
      </c>
      <c r="AH133" s="14" t="n">
        <f aca="false">IF($A133="",0,IFERROR(VLOOKUP((YEAR($A133)+IF(MONTH($A133)&gt;=10,1,0))&amp;"|Seattle|"&amp;MONTH($A133),Rates!$A$2:$I$181,6,FALSE()),0))</f>
        <v>0</v>
      </c>
      <c r="AI133" s="14" t="n">
        <f aca="false">IF(AH133=0,0,VLOOKUP(AH133,MIE_Components!$A$2:$F$6,2,FALSE()))</f>
        <v>0</v>
      </c>
      <c r="AJ133" s="14" t="n">
        <f aca="false">IF(AH133=0,0,VLOOKUP(AH133,MIE_Components!$A$2:$F$6,3,FALSE()))</f>
        <v>0</v>
      </c>
      <c r="AK133" s="14" t="n">
        <f aca="false">IF(AH133=0,0,VLOOKUP(AH133,MIE_Components!$A$2:$F$6,4,FALSE()))</f>
        <v>0</v>
      </c>
      <c r="AL133" s="14" t="n">
        <f aca="false">IF(OR($A133="",AH133=0),0,MAX(5,AH133*IF(OR($A133=Parameters!$B$13,$A133=Parameters!$B$14),0.75,1)-(IF(AND($A133=DATE(2026,11,29),NOV29BF="Yes"),AI133,0)+IF(OR($A133=DATE(2026,11,29),$A133=DATE(2026,11,30),$A133=DATE(2026,12,1),$A133=DATE(2026,12,2)),AJ133,0)+IF(OR($A133=DATE(2026,11,28),$A133=DATE(2026,12,1)),AK133,0))))</f>
        <v>0</v>
      </c>
      <c r="AM133" s="14" t="n">
        <f aca="false">IF(AND($A133&lt;&gt;"",$A133&lt;Parameters!$B$14),CityData!F7*(1+TAXRATE),0)</f>
        <v>0</v>
      </c>
      <c r="AN133" s="14" t="n">
        <f aca="false">IF($A133="",0,IFERROR(VLOOKUP((YEAR($A133)+IF(MONTH($A133)&gt;=10,1,0))&amp;"|Seattle|"&amp;MONTH($A133),Rates!$A$2:$I$181,5,FALSE()),0))</f>
        <v>0</v>
      </c>
      <c r="AO133" s="14" t="n">
        <f aca="false">IF(OR($A133="",$A133&gt;=Parameters!$B$14),1,IF(AND(AN133&gt;0,CityData!F7&lt;=AN133),1,0))</f>
        <v>1</v>
      </c>
    </row>
    <row r="134" customFormat="false" ht="15" hidden="false" customHeight="true" outlineLevel="0" collapsed="false">
      <c r="A134" s="23" t="str">
        <f aca="false">IF(AND(Parameters!$B$14&gt;=Parameters!$B$13,ROW()-2&lt;=Parameters!$B$14-Parameters!$B$13),Parameters!$B$13+ROW()-2,"")</f>
        <v/>
      </c>
      <c r="B134" s="14" t="n">
        <f aca="false">IF($A134="",0,IFERROR(VLOOKUP((YEAR($A134)+IF(MONTH($A134)&gt;=10,1,0))&amp;"|Boston|"&amp;MONTH($A134),Rates!$A$2:$I$181,6,FALSE()),0))</f>
        <v>0</v>
      </c>
      <c r="C134" s="14" t="n">
        <f aca="false">IF(B134=0,0,VLOOKUP(B134,MIE_Components!$A$2:$F$6,2,FALSE()))</f>
        <v>0</v>
      </c>
      <c r="D134" s="14" t="n">
        <f aca="false">IF(B134=0,0,VLOOKUP(B134,MIE_Components!$A$2:$F$6,3,FALSE()))</f>
        <v>0</v>
      </c>
      <c r="E134" s="14" t="n">
        <f aca="false">IF(B134=0,0,VLOOKUP(B134,MIE_Components!$A$2:$F$6,4,FALSE()))</f>
        <v>0</v>
      </c>
      <c r="F134" s="14" t="n">
        <f aca="false">IF(OR($A134="",B134=0),0,MAX(5,B134*IF(OR($A134=Parameters!$B$13,$A134=Parameters!$B$14),0.75,1)-(IF(AND($A134=DATE(2026,11,29),NOV29BF="Yes"),C134,0)+IF(OR($A134=DATE(2026,11,29),$A134=DATE(2026,11,30),$A134=DATE(2026,12,1),$A134=DATE(2026,12,2)),D134,0)+IF(OR($A134=DATE(2026,11,28),$A134=DATE(2026,12,1)),E134,0))))</f>
        <v>0</v>
      </c>
      <c r="G134" s="14" t="n">
        <f aca="false">IF(AND($A134&lt;&gt;"",$A134&lt;Parameters!$B$14),CityData!F3*(1+TAXRATE),0)</f>
        <v>0</v>
      </c>
      <c r="H134" s="14" t="n">
        <f aca="false">IF($A134="",0,IFERROR(VLOOKUP((YEAR($A134)+IF(MONTH($A134)&gt;=10,1,0))&amp;"|Boston|"&amp;MONTH($A134),Rates!$A$2:$I$181,5,FALSE()),0))</f>
        <v>0</v>
      </c>
      <c r="I134" s="14" t="n">
        <f aca="false">IF(OR($A134="",$A134&gt;=Parameters!$B$14),1,IF(AND(H134&gt;0,CityData!F3&lt;=H134),1,0))</f>
        <v>1</v>
      </c>
      <c r="J134" s="14" t="n">
        <f aca="false">IF($A134="",0,IFERROR(VLOOKUP((YEAR($A134)+IF(MONTH($A134)&gt;=10,1,0))&amp;"|Chicago|"&amp;MONTH($A134),Rates!$A$2:$I$181,6,FALSE()),0))</f>
        <v>0</v>
      </c>
      <c r="K134" s="14" t="n">
        <f aca="false">IF(J134=0,0,VLOOKUP(J134,MIE_Components!$A$2:$F$6,2,FALSE()))</f>
        <v>0</v>
      </c>
      <c r="L134" s="14" t="n">
        <f aca="false">IF(J134=0,0,VLOOKUP(J134,MIE_Components!$A$2:$F$6,3,FALSE()))</f>
        <v>0</v>
      </c>
      <c r="M134" s="14" t="n">
        <f aca="false">IF(J134=0,0,VLOOKUP(J134,MIE_Components!$A$2:$F$6,4,FALSE()))</f>
        <v>0</v>
      </c>
      <c r="N134" s="14" t="n">
        <f aca="false">IF(OR($A134="",J134=0),0,MAX(5,J134*IF(OR($A134=Parameters!$B$13,$A134=Parameters!$B$14),0.75,1)-(IF(AND($A134=DATE(2026,11,29),NOV29BF="Yes"),K134,0)+IF(OR($A134=DATE(2026,11,29),$A134=DATE(2026,11,30),$A134=DATE(2026,12,1),$A134=DATE(2026,12,2)),L134,0)+IF(OR($A134=DATE(2026,11,28),$A134=DATE(2026,12,1)),M134,0))))</f>
        <v>0</v>
      </c>
      <c r="O134" s="14" t="n">
        <f aca="false">IF(AND($A134&lt;&gt;"",$A134&lt;Parameters!$B$14),CityData!F4*(1+TAXRATE),0)</f>
        <v>0</v>
      </c>
      <c r="P134" s="14" t="n">
        <f aca="false">IF($A134="",0,IFERROR(VLOOKUP((YEAR($A134)+IF(MONTH($A134)&gt;=10,1,0))&amp;"|Chicago|"&amp;MONTH($A134),Rates!$A$2:$I$181,5,FALSE()),0))</f>
        <v>0</v>
      </c>
      <c r="Q134" s="14" t="n">
        <f aca="false">IF(OR($A134="",$A134&gt;=Parameters!$B$14),1,IF(AND(P134&gt;0,CityData!F4&lt;=P134),1,0))</f>
        <v>1</v>
      </c>
      <c r="R134" s="14" t="n">
        <f aca="false">IF($A134="",0,IFERROR(VLOOKUP((YEAR($A134)+IF(MONTH($A134)&gt;=10,1,0))&amp;"|Denver|"&amp;MONTH($A134),Rates!$A$2:$I$181,6,FALSE()),0))</f>
        <v>0</v>
      </c>
      <c r="S134" s="14" t="n">
        <f aca="false">IF(R134=0,0,VLOOKUP(R134,MIE_Components!$A$2:$F$6,2,FALSE()))</f>
        <v>0</v>
      </c>
      <c r="T134" s="14" t="n">
        <f aca="false">IF(R134=0,0,VLOOKUP(R134,MIE_Components!$A$2:$F$6,3,FALSE()))</f>
        <v>0</v>
      </c>
      <c r="U134" s="14" t="n">
        <f aca="false">IF(R134=0,0,VLOOKUP(R134,MIE_Components!$A$2:$F$6,4,FALSE()))</f>
        <v>0</v>
      </c>
      <c r="V134" s="14" t="n">
        <f aca="false">IF(OR($A134="",R134=0),0,MAX(5,R134*IF(OR($A134=Parameters!$B$13,$A134=Parameters!$B$14),0.75,1)-(IF(AND($A134=DATE(2026,11,29),NOV29BF="Yes"),S134,0)+IF(OR($A134=DATE(2026,11,29),$A134=DATE(2026,11,30),$A134=DATE(2026,12,1),$A134=DATE(2026,12,2)),T134,0)+IF(OR($A134=DATE(2026,11,28),$A134=DATE(2026,12,1)),U134,0))))</f>
        <v>0</v>
      </c>
      <c r="W134" s="14" t="n">
        <f aca="false">IF(AND($A134&lt;&gt;"",$A134&lt;Parameters!$B$14),CityData!F5*(1+TAXRATE),0)</f>
        <v>0</v>
      </c>
      <c r="X134" s="14" t="n">
        <f aca="false">IF($A134="",0,IFERROR(VLOOKUP((YEAR($A134)+IF(MONTH($A134)&gt;=10,1,0))&amp;"|Denver|"&amp;MONTH($A134),Rates!$A$2:$I$181,5,FALSE()),0))</f>
        <v>0</v>
      </c>
      <c r="Y134" s="14" t="n">
        <f aca="false">IF(OR($A134="",$A134&gt;=Parameters!$B$14),1,IF(AND(X134&gt;0,CityData!F5&lt;=X134),1,0))</f>
        <v>1</v>
      </c>
      <c r="Z134" s="14" t="n">
        <f aca="false">IF($A134="",0,IFERROR(VLOOKUP((YEAR($A134)+IF(MONTH($A134)&gt;=10,1,0))&amp;"|Phoenix|"&amp;MONTH($A134),Rates!$A$2:$I$181,6,FALSE()),0))</f>
        <v>0</v>
      </c>
      <c r="AA134" s="14" t="n">
        <f aca="false">IF(Z134=0,0,VLOOKUP(Z134,MIE_Components!$A$2:$F$6,2,FALSE()))</f>
        <v>0</v>
      </c>
      <c r="AB134" s="14" t="n">
        <f aca="false">IF(Z134=0,0,VLOOKUP(Z134,MIE_Components!$A$2:$F$6,3,FALSE()))</f>
        <v>0</v>
      </c>
      <c r="AC134" s="14" t="n">
        <f aca="false">IF(Z134=0,0,VLOOKUP(Z134,MIE_Components!$A$2:$F$6,4,FALSE()))</f>
        <v>0</v>
      </c>
      <c r="AD134" s="14" t="n">
        <f aca="false">IF(OR($A134="",Z134=0),0,MAX(5,Z134*IF(OR($A134=Parameters!$B$13,$A134=Parameters!$B$14),0.75,1)-(IF(AND($A134=DATE(2026,11,29),NOV29BF="Yes"),AA134,0)+IF(OR($A134=DATE(2026,11,29),$A134=DATE(2026,11,30),$A134=DATE(2026,12,1),$A134=DATE(2026,12,2)),AB134,0)+IF(OR($A134=DATE(2026,11,28),$A134=DATE(2026,12,1)),AC134,0))))</f>
        <v>0</v>
      </c>
      <c r="AE134" s="14" t="n">
        <f aca="false">IF(AND($A134&lt;&gt;"",$A134&lt;Parameters!$B$14),CityData!F6*(1+TAXRATE),0)</f>
        <v>0</v>
      </c>
      <c r="AF134" s="14" t="n">
        <f aca="false">IF($A134="",0,IFERROR(VLOOKUP((YEAR($A134)+IF(MONTH($A134)&gt;=10,1,0))&amp;"|Phoenix|"&amp;MONTH($A134),Rates!$A$2:$I$181,5,FALSE()),0))</f>
        <v>0</v>
      </c>
      <c r="AG134" s="14" t="n">
        <f aca="false">IF(OR($A134="",$A134&gt;=Parameters!$B$14),1,IF(AND(AF134&gt;0,CityData!F6&lt;=AF134),1,0))</f>
        <v>1</v>
      </c>
      <c r="AH134" s="14" t="n">
        <f aca="false">IF($A134="",0,IFERROR(VLOOKUP((YEAR($A134)+IF(MONTH($A134)&gt;=10,1,0))&amp;"|Seattle|"&amp;MONTH($A134),Rates!$A$2:$I$181,6,FALSE()),0))</f>
        <v>0</v>
      </c>
      <c r="AI134" s="14" t="n">
        <f aca="false">IF(AH134=0,0,VLOOKUP(AH134,MIE_Components!$A$2:$F$6,2,FALSE()))</f>
        <v>0</v>
      </c>
      <c r="AJ134" s="14" t="n">
        <f aca="false">IF(AH134=0,0,VLOOKUP(AH134,MIE_Components!$A$2:$F$6,3,FALSE()))</f>
        <v>0</v>
      </c>
      <c r="AK134" s="14" t="n">
        <f aca="false">IF(AH134=0,0,VLOOKUP(AH134,MIE_Components!$A$2:$F$6,4,FALSE()))</f>
        <v>0</v>
      </c>
      <c r="AL134" s="14" t="n">
        <f aca="false">IF(OR($A134="",AH134=0),0,MAX(5,AH134*IF(OR($A134=Parameters!$B$13,$A134=Parameters!$B$14),0.75,1)-(IF(AND($A134=DATE(2026,11,29),NOV29BF="Yes"),AI134,0)+IF(OR($A134=DATE(2026,11,29),$A134=DATE(2026,11,30),$A134=DATE(2026,12,1),$A134=DATE(2026,12,2)),AJ134,0)+IF(OR($A134=DATE(2026,11,28),$A134=DATE(2026,12,1)),AK134,0))))</f>
        <v>0</v>
      </c>
      <c r="AM134" s="14" t="n">
        <f aca="false">IF(AND($A134&lt;&gt;"",$A134&lt;Parameters!$B$14),CityData!F7*(1+TAXRATE),0)</f>
        <v>0</v>
      </c>
      <c r="AN134" s="14" t="n">
        <f aca="false">IF($A134="",0,IFERROR(VLOOKUP((YEAR($A134)+IF(MONTH($A134)&gt;=10,1,0))&amp;"|Seattle|"&amp;MONTH($A134),Rates!$A$2:$I$181,5,FALSE()),0))</f>
        <v>0</v>
      </c>
      <c r="AO134" s="14" t="n">
        <f aca="false">IF(OR($A134="",$A134&gt;=Parameters!$B$14),1,IF(AND(AN134&gt;0,CityData!F7&lt;=AN134),1,0))</f>
        <v>1</v>
      </c>
    </row>
    <row r="135" customFormat="false" ht="15" hidden="false" customHeight="true" outlineLevel="0" collapsed="false">
      <c r="A135" s="23" t="str">
        <f aca="false">IF(AND(Parameters!$B$14&gt;=Parameters!$B$13,ROW()-2&lt;=Parameters!$B$14-Parameters!$B$13),Parameters!$B$13+ROW()-2,"")</f>
        <v/>
      </c>
      <c r="B135" s="14" t="n">
        <f aca="false">IF($A135="",0,IFERROR(VLOOKUP((YEAR($A135)+IF(MONTH($A135)&gt;=10,1,0))&amp;"|Boston|"&amp;MONTH($A135),Rates!$A$2:$I$181,6,FALSE()),0))</f>
        <v>0</v>
      </c>
      <c r="C135" s="14" t="n">
        <f aca="false">IF(B135=0,0,VLOOKUP(B135,MIE_Components!$A$2:$F$6,2,FALSE()))</f>
        <v>0</v>
      </c>
      <c r="D135" s="14" t="n">
        <f aca="false">IF(B135=0,0,VLOOKUP(B135,MIE_Components!$A$2:$F$6,3,FALSE()))</f>
        <v>0</v>
      </c>
      <c r="E135" s="14" t="n">
        <f aca="false">IF(B135=0,0,VLOOKUP(B135,MIE_Components!$A$2:$F$6,4,FALSE()))</f>
        <v>0</v>
      </c>
      <c r="F135" s="14" t="n">
        <f aca="false">IF(OR($A135="",B135=0),0,MAX(5,B135*IF(OR($A135=Parameters!$B$13,$A135=Parameters!$B$14),0.75,1)-(IF(AND($A135=DATE(2026,11,29),NOV29BF="Yes"),C135,0)+IF(OR($A135=DATE(2026,11,29),$A135=DATE(2026,11,30),$A135=DATE(2026,12,1),$A135=DATE(2026,12,2)),D135,0)+IF(OR($A135=DATE(2026,11,28),$A135=DATE(2026,12,1)),E135,0))))</f>
        <v>0</v>
      </c>
      <c r="G135" s="14" t="n">
        <f aca="false">IF(AND($A135&lt;&gt;"",$A135&lt;Parameters!$B$14),CityData!F3*(1+TAXRATE),0)</f>
        <v>0</v>
      </c>
      <c r="H135" s="14" t="n">
        <f aca="false">IF($A135="",0,IFERROR(VLOOKUP((YEAR($A135)+IF(MONTH($A135)&gt;=10,1,0))&amp;"|Boston|"&amp;MONTH($A135),Rates!$A$2:$I$181,5,FALSE()),0))</f>
        <v>0</v>
      </c>
      <c r="I135" s="14" t="n">
        <f aca="false">IF(OR($A135="",$A135&gt;=Parameters!$B$14),1,IF(AND(H135&gt;0,CityData!F3&lt;=H135),1,0))</f>
        <v>1</v>
      </c>
      <c r="J135" s="14" t="n">
        <f aca="false">IF($A135="",0,IFERROR(VLOOKUP((YEAR($A135)+IF(MONTH($A135)&gt;=10,1,0))&amp;"|Chicago|"&amp;MONTH($A135),Rates!$A$2:$I$181,6,FALSE()),0))</f>
        <v>0</v>
      </c>
      <c r="K135" s="14" t="n">
        <f aca="false">IF(J135=0,0,VLOOKUP(J135,MIE_Components!$A$2:$F$6,2,FALSE()))</f>
        <v>0</v>
      </c>
      <c r="L135" s="14" t="n">
        <f aca="false">IF(J135=0,0,VLOOKUP(J135,MIE_Components!$A$2:$F$6,3,FALSE()))</f>
        <v>0</v>
      </c>
      <c r="M135" s="14" t="n">
        <f aca="false">IF(J135=0,0,VLOOKUP(J135,MIE_Components!$A$2:$F$6,4,FALSE()))</f>
        <v>0</v>
      </c>
      <c r="N135" s="14" t="n">
        <f aca="false">IF(OR($A135="",J135=0),0,MAX(5,J135*IF(OR($A135=Parameters!$B$13,$A135=Parameters!$B$14),0.75,1)-(IF(AND($A135=DATE(2026,11,29),NOV29BF="Yes"),K135,0)+IF(OR($A135=DATE(2026,11,29),$A135=DATE(2026,11,30),$A135=DATE(2026,12,1),$A135=DATE(2026,12,2)),L135,0)+IF(OR($A135=DATE(2026,11,28),$A135=DATE(2026,12,1)),M135,0))))</f>
        <v>0</v>
      </c>
      <c r="O135" s="14" t="n">
        <f aca="false">IF(AND($A135&lt;&gt;"",$A135&lt;Parameters!$B$14),CityData!F4*(1+TAXRATE),0)</f>
        <v>0</v>
      </c>
      <c r="P135" s="14" t="n">
        <f aca="false">IF($A135="",0,IFERROR(VLOOKUP((YEAR($A135)+IF(MONTH($A135)&gt;=10,1,0))&amp;"|Chicago|"&amp;MONTH($A135),Rates!$A$2:$I$181,5,FALSE()),0))</f>
        <v>0</v>
      </c>
      <c r="Q135" s="14" t="n">
        <f aca="false">IF(OR($A135="",$A135&gt;=Parameters!$B$14),1,IF(AND(P135&gt;0,CityData!F4&lt;=P135),1,0))</f>
        <v>1</v>
      </c>
      <c r="R135" s="14" t="n">
        <f aca="false">IF($A135="",0,IFERROR(VLOOKUP((YEAR($A135)+IF(MONTH($A135)&gt;=10,1,0))&amp;"|Denver|"&amp;MONTH($A135),Rates!$A$2:$I$181,6,FALSE()),0))</f>
        <v>0</v>
      </c>
      <c r="S135" s="14" t="n">
        <f aca="false">IF(R135=0,0,VLOOKUP(R135,MIE_Components!$A$2:$F$6,2,FALSE()))</f>
        <v>0</v>
      </c>
      <c r="T135" s="14" t="n">
        <f aca="false">IF(R135=0,0,VLOOKUP(R135,MIE_Components!$A$2:$F$6,3,FALSE()))</f>
        <v>0</v>
      </c>
      <c r="U135" s="14" t="n">
        <f aca="false">IF(R135=0,0,VLOOKUP(R135,MIE_Components!$A$2:$F$6,4,FALSE()))</f>
        <v>0</v>
      </c>
      <c r="V135" s="14" t="n">
        <f aca="false">IF(OR($A135="",R135=0),0,MAX(5,R135*IF(OR($A135=Parameters!$B$13,$A135=Parameters!$B$14),0.75,1)-(IF(AND($A135=DATE(2026,11,29),NOV29BF="Yes"),S135,0)+IF(OR($A135=DATE(2026,11,29),$A135=DATE(2026,11,30),$A135=DATE(2026,12,1),$A135=DATE(2026,12,2)),T135,0)+IF(OR($A135=DATE(2026,11,28),$A135=DATE(2026,12,1)),U135,0))))</f>
        <v>0</v>
      </c>
      <c r="W135" s="14" t="n">
        <f aca="false">IF(AND($A135&lt;&gt;"",$A135&lt;Parameters!$B$14),CityData!F5*(1+TAXRATE),0)</f>
        <v>0</v>
      </c>
      <c r="X135" s="14" t="n">
        <f aca="false">IF($A135="",0,IFERROR(VLOOKUP((YEAR($A135)+IF(MONTH($A135)&gt;=10,1,0))&amp;"|Denver|"&amp;MONTH($A135),Rates!$A$2:$I$181,5,FALSE()),0))</f>
        <v>0</v>
      </c>
      <c r="Y135" s="14" t="n">
        <f aca="false">IF(OR($A135="",$A135&gt;=Parameters!$B$14),1,IF(AND(X135&gt;0,CityData!F5&lt;=X135),1,0))</f>
        <v>1</v>
      </c>
      <c r="Z135" s="14" t="n">
        <f aca="false">IF($A135="",0,IFERROR(VLOOKUP((YEAR($A135)+IF(MONTH($A135)&gt;=10,1,0))&amp;"|Phoenix|"&amp;MONTH($A135),Rates!$A$2:$I$181,6,FALSE()),0))</f>
        <v>0</v>
      </c>
      <c r="AA135" s="14" t="n">
        <f aca="false">IF(Z135=0,0,VLOOKUP(Z135,MIE_Components!$A$2:$F$6,2,FALSE()))</f>
        <v>0</v>
      </c>
      <c r="AB135" s="14" t="n">
        <f aca="false">IF(Z135=0,0,VLOOKUP(Z135,MIE_Components!$A$2:$F$6,3,FALSE()))</f>
        <v>0</v>
      </c>
      <c r="AC135" s="14" t="n">
        <f aca="false">IF(Z135=0,0,VLOOKUP(Z135,MIE_Components!$A$2:$F$6,4,FALSE()))</f>
        <v>0</v>
      </c>
      <c r="AD135" s="14" t="n">
        <f aca="false">IF(OR($A135="",Z135=0),0,MAX(5,Z135*IF(OR($A135=Parameters!$B$13,$A135=Parameters!$B$14),0.75,1)-(IF(AND($A135=DATE(2026,11,29),NOV29BF="Yes"),AA135,0)+IF(OR($A135=DATE(2026,11,29),$A135=DATE(2026,11,30),$A135=DATE(2026,12,1),$A135=DATE(2026,12,2)),AB135,0)+IF(OR($A135=DATE(2026,11,28),$A135=DATE(2026,12,1)),AC135,0))))</f>
        <v>0</v>
      </c>
      <c r="AE135" s="14" t="n">
        <f aca="false">IF(AND($A135&lt;&gt;"",$A135&lt;Parameters!$B$14),CityData!F6*(1+TAXRATE),0)</f>
        <v>0</v>
      </c>
      <c r="AF135" s="14" t="n">
        <f aca="false">IF($A135="",0,IFERROR(VLOOKUP((YEAR($A135)+IF(MONTH($A135)&gt;=10,1,0))&amp;"|Phoenix|"&amp;MONTH($A135),Rates!$A$2:$I$181,5,FALSE()),0))</f>
        <v>0</v>
      </c>
      <c r="AG135" s="14" t="n">
        <f aca="false">IF(OR($A135="",$A135&gt;=Parameters!$B$14),1,IF(AND(AF135&gt;0,CityData!F6&lt;=AF135),1,0))</f>
        <v>1</v>
      </c>
      <c r="AH135" s="14" t="n">
        <f aca="false">IF($A135="",0,IFERROR(VLOOKUP((YEAR($A135)+IF(MONTH($A135)&gt;=10,1,0))&amp;"|Seattle|"&amp;MONTH($A135),Rates!$A$2:$I$181,6,FALSE()),0))</f>
        <v>0</v>
      </c>
      <c r="AI135" s="14" t="n">
        <f aca="false">IF(AH135=0,0,VLOOKUP(AH135,MIE_Components!$A$2:$F$6,2,FALSE()))</f>
        <v>0</v>
      </c>
      <c r="AJ135" s="14" t="n">
        <f aca="false">IF(AH135=0,0,VLOOKUP(AH135,MIE_Components!$A$2:$F$6,3,FALSE()))</f>
        <v>0</v>
      </c>
      <c r="AK135" s="14" t="n">
        <f aca="false">IF(AH135=0,0,VLOOKUP(AH135,MIE_Components!$A$2:$F$6,4,FALSE()))</f>
        <v>0</v>
      </c>
      <c r="AL135" s="14" t="n">
        <f aca="false">IF(OR($A135="",AH135=0),0,MAX(5,AH135*IF(OR($A135=Parameters!$B$13,$A135=Parameters!$B$14),0.75,1)-(IF(AND($A135=DATE(2026,11,29),NOV29BF="Yes"),AI135,0)+IF(OR($A135=DATE(2026,11,29),$A135=DATE(2026,11,30),$A135=DATE(2026,12,1),$A135=DATE(2026,12,2)),AJ135,0)+IF(OR($A135=DATE(2026,11,28),$A135=DATE(2026,12,1)),AK135,0))))</f>
        <v>0</v>
      </c>
      <c r="AM135" s="14" t="n">
        <f aca="false">IF(AND($A135&lt;&gt;"",$A135&lt;Parameters!$B$14),CityData!F7*(1+TAXRATE),0)</f>
        <v>0</v>
      </c>
      <c r="AN135" s="14" t="n">
        <f aca="false">IF($A135="",0,IFERROR(VLOOKUP((YEAR($A135)+IF(MONTH($A135)&gt;=10,1,0))&amp;"|Seattle|"&amp;MONTH($A135),Rates!$A$2:$I$181,5,FALSE()),0))</f>
        <v>0</v>
      </c>
      <c r="AO135" s="14" t="n">
        <f aca="false">IF(OR($A135="",$A135&gt;=Parameters!$B$14),1,IF(AND(AN135&gt;0,CityData!F7&lt;=AN135),1,0))</f>
        <v>1</v>
      </c>
    </row>
    <row r="136" customFormat="false" ht="15" hidden="false" customHeight="true" outlineLevel="0" collapsed="false">
      <c r="A136" s="23" t="str">
        <f aca="false">IF(AND(Parameters!$B$14&gt;=Parameters!$B$13,ROW()-2&lt;=Parameters!$B$14-Parameters!$B$13),Parameters!$B$13+ROW()-2,"")</f>
        <v/>
      </c>
      <c r="B136" s="14" t="n">
        <f aca="false">IF($A136="",0,IFERROR(VLOOKUP((YEAR($A136)+IF(MONTH($A136)&gt;=10,1,0))&amp;"|Boston|"&amp;MONTH($A136),Rates!$A$2:$I$181,6,FALSE()),0))</f>
        <v>0</v>
      </c>
      <c r="C136" s="14" t="n">
        <f aca="false">IF(B136=0,0,VLOOKUP(B136,MIE_Components!$A$2:$F$6,2,FALSE()))</f>
        <v>0</v>
      </c>
      <c r="D136" s="14" t="n">
        <f aca="false">IF(B136=0,0,VLOOKUP(B136,MIE_Components!$A$2:$F$6,3,FALSE()))</f>
        <v>0</v>
      </c>
      <c r="E136" s="14" t="n">
        <f aca="false">IF(B136=0,0,VLOOKUP(B136,MIE_Components!$A$2:$F$6,4,FALSE()))</f>
        <v>0</v>
      </c>
      <c r="F136" s="14" t="n">
        <f aca="false">IF(OR($A136="",B136=0),0,MAX(5,B136*IF(OR($A136=Parameters!$B$13,$A136=Parameters!$B$14),0.75,1)-(IF(AND($A136=DATE(2026,11,29),NOV29BF="Yes"),C136,0)+IF(OR($A136=DATE(2026,11,29),$A136=DATE(2026,11,30),$A136=DATE(2026,12,1),$A136=DATE(2026,12,2)),D136,0)+IF(OR($A136=DATE(2026,11,28),$A136=DATE(2026,12,1)),E136,0))))</f>
        <v>0</v>
      </c>
      <c r="G136" s="14" t="n">
        <f aca="false">IF(AND($A136&lt;&gt;"",$A136&lt;Parameters!$B$14),CityData!F3*(1+TAXRATE),0)</f>
        <v>0</v>
      </c>
      <c r="H136" s="14" t="n">
        <f aca="false">IF($A136="",0,IFERROR(VLOOKUP((YEAR($A136)+IF(MONTH($A136)&gt;=10,1,0))&amp;"|Boston|"&amp;MONTH($A136),Rates!$A$2:$I$181,5,FALSE()),0))</f>
        <v>0</v>
      </c>
      <c r="I136" s="14" t="n">
        <f aca="false">IF(OR($A136="",$A136&gt;=Parameters!$B$14),1,IF(AND(H136&gt;0,CityData!F3&lt;=H136),1,0))</f>
        <v>1</v>
      </c>
      <c r="J136" s="14" t="n">
        <f aca="false">IF($A136="",0,IFERROR(VLOOKUP((YEAR($A136)+IF(MONTH($A136)&gt;=10,1,0))&amp;"|Chicago|"&amp;MONTH($A136),Rates!$A$2:$I$181,6,FALSE()),0))</f>
        <v>0</v>
      </c>
      <c r="K136" s="14" t="n">
        <f aca="false">IF(J136=0,0,VLOOKUP(J136,MIE_Components!$A$2:$F$6,2,FALSE()))</f>
        <v>0</v>
      </c>
      <c r="L136" s="14" t="n">
        <f aca="false">IF(J136=0,0,VLOOKUP(J136,MIE_Components!$A$2:$F$6,3,FALSE()))</f>
        <v>0</v>
      </c>
      <c r="M136" s="14" t="n">
        <f aca="false">IF(J136=0,0,VLOOKUP(J136,MIE_Components!$A$2:$F$6,4,FALSE()))</f>
        <v>0</v>
      </c>
      <c r="N136" s="14" t="n">
        <f aca="false">IF(OR($A136="",J136=0),0,MAX(5,J136*IF(OR($A136=Parameters!$B$13,$A136=Parameters!$B$14),0.75,1)-(IF(AND($A136=DATE(2026,11,29),NOV29BF="Yes"),K136,0)+IF(OR($A136=DATE(2026,11,29),$A136=DATE(2026,11,30),$A136=DATE(2026,12,1),$A136=DATE(2026,12,2)),L136,0)+IF(OR($A136=DATE(2026,11,28),$A136=DATE(2026,12,1)),M136,0))))</f>
        <v>0</v>
      </c>
      <c r="O136" s="14" t="n">
        <f aca="false">IF(AND($A136&lt;&gt;"",$A136&lt;Parameters!$B$14),CityData!F4*(1+TAXRATE),0)</f>
        <v>0</v>
      </c>
      <c r="P136" s="14" t="n">
        <f aca="false">IF($A136="",0,IFERROR(VLOOKUP((YEAR($A136)+IF(MONTH($A136)&gt;=10,1,0))&amp;"|Chicago|"&amp;MONTH($A136),Rates!$A$2:$I$181,5,FALSE()),0))</f>
        <v>0</v>
      </c>
      <c r="Q136" s="14" t="n">
        <f aca="false">IF(OR($A136="",$A136&gt;=Parameters!$B$14),1,IF(AND(P136&gt;0,CityData!F4&lt;=P136),1,0))</f>
        <v>1</v>
      </c>
      <c r="R136" s="14" t="n">
        <f aca="false">IF($A136="",0,IFERROR(VLOOKUP((YEAR($A136)+IF(MONTH($A136)&gt;=10,1,0))&amp;"|Denver|"&amp;MONTH($A136),Rates!$A$2:$I$181,6,FALSE()),0))</f>
        <v>0</v>
      </c>
      <c r="S136" s="14" t="n">
        <f aca="false">IF(R136=0,0,VLOOKUP(R136,MIE_Components!$A$2:$F$6,2,FALSE()))</f>
        <v>0</v>
      </c>
      <c r="T136" s="14" t="n">
        <f aca="false">IF(R136=0,0,VLOOKUP(R136,MIE_Components!$A$2:$F$6,3,FALSE()))</f>
        <v>0</v>
      </c>
      <c r="U136" s="14" t="n">
        <f aca="false">IF(R136=0,0,VLOOKUP(R136,MIE_Components!$A$2:$F$6,4,FALSE()))</f>
        <v>0</v>
      </c>
      <c r="V136" s="14" t="n">
        <f aca="false">IF(OR($A136="",R136=0),0,MAX(5,R136*IF(OR($A136=Parameters!$B$13,$A136=Parameters!$B$14),0.75,1)-(IF(AND($A136=DATE(2026,11,29),NOV29BF="Yes"),S136,0)+IF(OR($A136=DATE(2026,11,29),$A136=DATE(2026,11,30),$A136=DATE(2026,12,1),$A136=DATE(2026,12,2)),T136,0)+IF(OR($A136=DATE(2026,11,28),$A136=DATE(2026,12,1)),U136,0))))</f>
        <v>0</v>
      </c>
      <c r="W136" s="14" t="n">
        <f aca="false">IF(AND($A136&lt;&gt;"",$A136&lt;Parameters!$B$14),CityData!F5*(1+TAXRATE),0)</f>
        <v>0</v>
      </c>
      <c r="X136" s="14" t="n">
        <f aca="false">IF($A136="",0,IFERROR(VLOOKUP((YEAR($A136)+IF(MONTH($A136)&gt;=10,1,0))&amp;"|Denver|"&amp;MONTH($A136),Rates!$A$2:$I$181,5,FALSE()),0))</f>
        <v>0</v>
      </c>
      <c r="Y136" s="14" t="n">
        <f aca="false">IF(OR($A136="",$A136&gt;=Parameters!$B$14),1,IF(AND(X136&gt;0,CityData!F5&lt;=X136),1,0))</f>
        <v>1</v>
      </c>
      <c r="Z136" s="14" t="n">
        <f aca="false">IF($A136="",0,IFERROR(VLOOKUP((YEAR($A136)+IF(MONTH($A136)&gt;=10,1,0))&amp;"|Phoenix|"&amp;MONTH($A136),Rates!$A$2:$I$181,6,FALSE()),0))</f>
        <v>0</v>
      </c>
      <c r="AA136" s="14" t="n">
        <f aca="false">IF(Z136=0,0,VLOOKUP(Z136,MIE_Components!$A$2:$F$6,2,FALSE()))</f>
        <v>0</v>
      </c>
      <c r="AB136" s="14" t="n">
        <f aca="false">IF(Z136=0,0,VLOOKUP(Z136,MIE_Components!$A$2:$F$6,3,FALSE()))</f>
        <v>0</v>
      </c>
      <c r="AC136" s="14" t="n">
        <f aca="false">IF(Z136=0,0,VLOOKUP(Z136,MIE_Components!$A$2:$F$6,4,FALSE()))</f>
        <v>0</v>
      </c>
      <c r="AD136" s="14" t="n">
        <f aca="false">IF(OR($A136="",Z136=0),0,MAX(5,Z136*IF(OR($A136=Parameters!$B$13,$A136=Parameters!$B$14),0.75,1)-(IF(AND($A136=DATE(2026,11,29),NOV29BF="Yes"),AA136,0)+IF(OR($A136=DATE(2026,11,29),$A136=DATE(2026,11,30),$A136=DATE(2026,12,1),$A136=DATE(2026,12,2)),AB136,0)+IF(OR($A136=DATE(2026,11,28),$A136=DATE(2026,12,1)),AC136,0))))</f>
        <v>0</v>
      </c>
      <c r="AE136" s="14" t="n">
        <f aca="false">IF(AND($A136&lt;&gt;"",$A136&lt;Parameters!$B$14),CityData!F6*(1+TAXRATE),0)</f>
        <v>0</v>
      </c>
      <c r="AF136" s="14" t="n">
        <f aca="false">IF($A136="",0,IFERROR(VLOOKUP((YEAR($A136)+IF(MONTH($A136)&gt;=10,1,0))&amp;"|Phoenix|"&amp;MONTH($A136),Rates!$A$2:$I$181,5,FALSE()),0))</f>
        <v>0</v>
      </c>
      <c r="AG136" s="14" t="n">
        <f aca="false">IF(OR($A136="",$A136&gt;=Parameters!$B$14),1,IF(AND(AF136&gt;0,CityData!F6&lt;=AF136),1,0))</f>
        <v>1</v>
      </c>
      <c r="AH136" s="14" t="n">
        <f aca="false">IF($A136="",0,IFERROR(VLOOKUP((YEAR($A136)+IF(MONTH($A136)&gt;=10,1,0))&amp;"|Seattle|"&amp;MONTH($A136),Rates!$A$2:$I$181,6,FALSE()),0))</f>
        <v>0</v>
      </c>
      <c r="AI136" s="14" t="n">
        <f aca="false">IF(AH136=0,0,VLOOKUP(AH136,MIE_Components!$A$2:$F$6,2,FALSE()))</f>
        <v>0</v>
      </c>
      <c r="AJ136" s="14" t="n">
        <f aca="false">IF(AH136=0,0,VLOOKUP(AH136,MIE_Components!$A$2:$F$6,3,FALSE()))</f>
        <v>0</v>
      </c>
      <c r="AK136" s="14" t="n">
        <f aca="false">IF(AH136=0,0,VLOOKUP(AH136,MIE_Components!$A$2:$F$6,4,FALSE()))</f>
        <v>0</v>
      </c>
      <c r="AL136" s="14" t="n">
        <f aca="false">IF(OR($A136="",AH136=0),0,MAX(5,AH136*IF(OR($A136=Parameters!$B$13,$A136=Parameters!$B$14),0.75,1)-(IF(AND($A136=DATE(2026,11,29),NOV29BF="Yes"),AI136,0)+IF(OR($A136=DATE(2026,11,29),$A136=DATE(2026,11,30),$A136=DATE(2026,12,1),$A136=DATE(2026,12,2)),AJ136,0)+IF(OR($A136=DATE(2026,11,28),$A136=DATE(2026,12,1)),AK136,0))))</f>
        <v>0</v>
      </c>
      <c r="AM136" s="14" t="n">
        <f aca="false">IF(AND($A136&lt;&gt;"",$A136&lt;Parameters!$B$14),CityData!F7*(1+TAXRATE),0)</f>
        <v>0</v>
      </c>
      <c r="AN136" s="14" t="n">
        <f aca="false">IF($A136="",0,IFERROR(VLOOKUP((YEAR($A136)+IF(MONTH($A136)&gt;=10,1,0))&amp;"|Seattle|"&amp;MONTH($A136),Rates!$A$2:$I$181,5,FALSE()),0))</f>
        <v>0</v>
      </c>
      <c r="AO136" s="14" t="n">
        <f aca="false">IF(OR($A136="",$A136&gt;=Parameters!$B$14),1,IF(AND(AN136&gt;0,CityData!F7&lt;=AN136),1,0))</f>
        <v>1</v>
      </c>
    </row>
    <row r="137" customFormat="false" ht="15" hidden="false" customHeight="true" outlineLevel="0" collapsed="false">
      <c r="A137" s="23" t="str">
        <f aca="false">IF(AND(Parameters!$B$14&gt;=Parameters!$B$13,ROW()-2&lt;=Parameters!$B$14-Parameters!$B$13),Parameters!$B$13+ROW()-2,"")</f>
        <v/>
      </c>
      <c r="B137" s="14" t="n">
        <f aca="false">IF($A137="",0,IFERROR(VLOOKUP((YEAR($A137)+IF(MONTH($A137)&gt;=10,1,0))&amp;"|Boston|"&amp;MONTH($A137),Rates!$A$2:$I$181,6,FALSE()),0))</f>
        <v>0</v>
      </c>
      <c r="C137" s="14" t="n">
        <f aca="false">IF(B137=0,0,VLOOKUP(B137,MIE_Components!$A$2:$F$6,2,FALSE()))</f>
        <v>0</v>
      </c>
      <c r="D137" s="14" t="n">
        <f aca="false">IF(B137=0,0,VLOOKUP(B137,MIE_Components!$A$2:$F$6,3,FALSE()))</f>
        <v>0</v>
      </c>
      <c r="E137" s="14" t="n">
        <f aca="false">IF(B137=0,0,VLOOKUP(B137,MIE_Components!$A$2:$F$6,4,FALSE()))</f>
        <v>0</v>
      </c>
      <c r="F137" s="14" t="n">
        <f aca="false">IF(OR($A137="",B137=0),0,MAX(5,B137*IF(OR($A137=Parameters!$B$13,$A137=Parameters!$B$14),0.75,1)-(IF(AND($A137=DATE(2026,11,29),NOV29BF="Yes"),C137,0)+IF(OR($A137=DATE(2026,11,29),$A137=DATE(2026,11,30),$A137=DATE(2026,12,1),$A137=DATE(2026,12,2)),D137,0)+IF(OR($A137=DATE(2026,11,28),$A137=DATE(2026,12,1)),E137,0))))</f>
        <v>0</v>
      </c>
      <c r="G137" s="14" t="n">
        <f aca="false">IF(AND($A137&lt;&gt;"",$A137&lt;Parameters!$B$14),CityData!F3*(1+TAXRATE),0)</f>
        <v>0</v>
      </c>
      <c r="H137" s="14" t="n">
        <f aca="false">IF($A137="",0,IFERROR(VLOOKUP((YEAR($A137)+IF(MONTH($A137)&gt;=10,1,0))&amp;"|Boston|"&amp;MONTH($A137),Rates!$A$2:$I$181,5,FALSE()),0))</f>
        <v>0</v>
      </c>
      <c r="I137" s="14" t="n">
        <f aca="false">IF(OR($A137="",$A137&gt;=Parameters!$B$14),1,IF(AND(H137&gt;0,CityData!F3&lt;=H137),1,0))</f>
        <v>1</v>
      </c>
      <c r="J137" s="14" t="n">
        <f aca="false">IF($A137="",0,IFERROR(VLOOKUP((YEAR($A137)+IF(MONTH($A137)&gt;=10,1,0))&amp;"|Chicago|"&amp;MONTH($A137),Rates!$A$2:$I$181,6,FALSE()),0))</f>
        <v>0</v>
      </c>
      <c r="K137" s="14" t="n">
        <f aca="false">IF(J137=0,0,VLOOKUP(J137,MIE_Components!$A$2:$F$6,2,FALSE()))</f>
        <v>0</v>
      </c>
      <c r="L137" s="14" t="n">
        <f aca="false">IF(J137=0,0,VLOOKUP(J137,MIE_Components!$A$2:$F$6,3,FALSE()))</f>
        <v>0</v>
      </c>
      <c r="M137" s="14" t="n">
        <f aca="false">IF(J137=0,0,VLOOKUP(J137,MIE_Components!$A$2:$F$6,4,FALSE()))</f>
        <v>0</v>
      </c>
      <c r="N137" s="14" t="n">
        <f aca="false">IF(OR($A137="",J137=0),0,MAX(5,J137*IF(OR($A137=Parameters!$B$13,$A137=Parameters!$B$14),0.75,1)-(IF(AND($A137=DATE(2026,11,29),NOV29BF="Yes"),K137,0)+IF(OR($A137=DATE(2026,11,29),$A137=DATE(2026,11,30),$A137=DATE(2026,12,1),$A137=DATE(2026,12,2)),L137,0)+IF(OR($A137=DATE(2026,11,28),$A137=DATE(2026,12,1)),M137,0))))</f>
        <v>0</v>
      </c>
      <c r="O137" s="14" t="n">
        <f aca="false">IF(AND($A137&lt;&gt;"",$A137&lt;Parameters!$B$14),CityData!F4*(1+TAXRATE),0)</f>
        <v>0</v>
      </c>
      <c r="P137" s="14" t="n">
        <f aca="false">IF($A137="",0,IFERROR(VLOOKUP((YEAR($A137)+IF(MONTH($A137)&gt;=10,1,0))&amp;"|Chicago|"&amp;MONTH($A137),Rates!$A$2:$I$181,5,FALSE()),0))</f>
        <v>0</v>
      </c>
      <c r="Q137" s="14" t="n">
        <f aca="false">IF(OR($A137="",$A137&gt;=Parameters!$B$14),1,IF(AND(P137&gt;0,CityData!F4&lt;=P137),1,0))</f>
        <v>1</v>
      </c>
      <c r="R137" s="14" t="n">
        <f aca="false">IF($A137="",0,IFERROR(VLOOKUP((YEAR($A137)+IF(MONTH($A137)&gt;=10,1,0))&amp;"|Denver|"&amp;MONTH($A137),Rates!$A$2:$I$181,6,FALSE()),0))</f>
        <v>0</v>
      </c>
      <c r="S137" s="14" t="n">
        <f aca="false">IF(R137=0,0,VLOOKUP(R137,MIE_Components!$A$2:$F$6,2,FALSE()))</f>
        <v>0</v>
      </c>
      <c r="T137" s="14" t="n">
        <f aca="false">IF(R137=0,0,VLOOKUP(R137,MIE_Components!$A$2:$F$6,3,FALSE()))</f>
        <v>0</v>
      </c>
      <c r="U137" s="14" t="n">
        <f aca="false">IF(R137=0,0,VLOOKUP(R137,MIE_Components!$A$2:$F$6,4,FALSE()))</f>
        <v>0</v>
      </c>
      <c r="V137" s="14" t="n">
        <f aca="false">IF(OR($A137="",R137=0),0,MAX(5,R137*IF(OR($A137=Parameters!$B$13,$A137=Parameters!$B$14),0.75,1)-(IF(AND($A137=DATE(2026,11,29),NOV29BF="Yes"),S137,0)+IF(OR($A137=DATE(2026,11,29),$A137=DATE(2026,11,30),$A137=DATE(2026,12,1),$A137=DATE(2026,12,2)),T137,0)+IF(OR($A137=DATE(2026,11,28),$A137=DATE(2026,12,1)),U137,0))))</f>
        <v>0</v>
      </c>
      <c r="W137" s="14" t="n">
        <f aca="false">IF(AND($A137&lt;&gt;"",$A137&lt;Parameters!$B$14),CityData!F5*(1+TAXRATE),0)</f>
        <v>0</v>
      </c>
      <c r="X137" s="14" t="n">
        <f aca="false">IF($A137="",0,IFERROR(VLOOKUP((YEAR($A137)+IF(MONTH($A137)&gt;=10,1,0))&amp;"|Denver|"&amp;MONTH($A137),Rates!$A$2:$I$181,5,FALSE()),0))</f>
        <v>0</v>
      </c>
      <c r="Y137" s="14" t="n">
        <f aca="false">IF(OR($A137="",$A137&gt;=Parameters!$B$14),1,IF(AND(X137&gt;0,CityData!F5&lt;=X137),1,0))</f>
        <v>1</v>
      </c>
      <c r="Z137" s="14" t="n">
        <f aca="false">IF($A137="",0,IFERROR(VLOOKUP((YEAR($A137)+IF(MONTH($A137)&gt;=10,1,0))&amp;"|Phoenix|"&amp;MONTH($A137),Rates!$A$2:$I$181,6,FALSE()),0))</f>
        <v>0</v>
      </c>
      <c r="AA137" s="14" t="n">
        <f aca="false">IF(Z137=0,0,VLOOKUP(Z137,MIE_Components!$A$2:$F$6,2,FALSE()))</f>
        <v>0</v>
      </c>
      <c r="AB137" s="14" t="n">
        <f aca="false">IF(Z137=0,0,VLOOKUP(Z137,MIE_Components!$A$2:$F$6,3,FALSE()))</f>
        <v>0</v>
      </c>
      <c r="AC137" s="14" t="n">
        <f aca="false">IF(Z137=0,0,VLOOKUP(Z137,MIE_Components!$A$2:$F$6,4,FALSE()))</f>
        <v>0</v>
      </c>
      <c r="AD137" s="14" t="n">
        <f aca="false">IF(OR($A137="",Z137=0),0,MAX(5,Z137*IF(OR($A137=Parameters!$B$13,$A137=Parameters!$B$14),0.75,1)-(IF(AND($A137=DATE(2026,11,29),NOV29BF="Yes"),AA137,0)+IF(OR($A137=DATE(2026,11,29),$A137=DATE(2026,11,30),$A137=DATE(2026,12,1),$A137=DATE(2026,12,2)),AB137,0)+IF(OR($A137=DATE(2026,11,28),$A137=DATE(2026,12,1)),AC137,0))))</f>
        <v>0</v>
      </c>
      <c r="AE137" s="14" t="n">
        <f aca="false">IF(AND($A137&lt;&gt;"",$A137&lt;Parameters!$B$14),CityData!F6*(1+TAXRATE),0)</f>
        <v>0</v>
      </c>
      <c r="AF137" s="14" t="n">
        <f aca="false">IF($A137="",0,IFERROR(VLOOKUP((YEAR($A137)+IF(MONTH($A137)&gt;=10,1,0))&amp;"|Phoenix|"&amp;MONTH($A137),Rates!$A$2:$I$181,5,FALSE()),0))</f>
        <v>0</v>
      </c>
      <c r="AG137" s="14" t="n">
        <f aca="false">IF(OR($A137="",$A137&gt;=Parameters!$B$14),1,IF(AND(AF137&gt;0,CityData!F6&lt;=AF137),1,0))</f>
        <v>1</v>
      </c>
      <c r="AH137" s="14" t="n">
        <f aca="false">IF($A137="",0,IFERROR(VLOOKUP((YEAR($A137)+IF(MONTH($A137)&gt;=10,1,0))&amp;"|Seattle|"&amp;MONTH($A137),Rates!$A$2:$I$181,6,FALSE()),0))</f>
        <v>0</v>
      </c>
      <c r="AI137" s="14" t="n">
        <f aca="false">IF(AH137=0,0,VLOOKUP(AH137,MIE_Components!$A$2:$F$6,2,FALSE()))</f>
        <v>0</v>
      </c>
      <c r="AJ137" s="14" t="n">
        <f aca="false">IF(AH137=0,0,VLOOKUP(AH137,MIE_Components!$A$2:$F$6,3,FALSE()))</f>
        <v>0</v>
      </c>
      <c r="AK137" s="14" t="n">
        <f aca="false">IF(AH137=0,0,VLOOKUP(AH137,MIE_Components!$A$2:$F$6,4,FALSE()))</f>
        <v>0</v>
      </c>
      <c r="AL137" s="14" t="n">
        <f aca="false">IF(OR($A137="",AH137=0),0,MAX(5,AH137*IF(OR($A137=Parameters!$B$13,$A137=Parameters!$B$14),0.75,1)-(IF(AND($A137=DATE(2026,11,29),NOV29BF="Yes"),AI137,0)+IF(OR($A137=DATE(2026,11,29),$A137=DATE(2026,11,30),$A137=DATE(2026,12,1),$A137=DATE(2026,12,2)),AJ137,0)+IF(OR($A137=DATE(2026,11,28),$A137=DATE(2026,12,1)),AK137,0))))</f>
        <v>0</v>
      </c>
      <c r="AM137" s="14" t="n">
        <f aca="false">IF(AND($A137&lt;&gt;"",$A137&lt;Parameters!$B$14),CityData!F7*(1+TAXRATE),0)</f>
        <v>0</v>
      </c>
      <c r="AN137" s="14" t="n">
        <f aca="false">IF($A137="",0,IFERROR(VLOOKUP((YEAR($A137)+IF(MONTH($A137)&gt;=10,1,0))&amp;"|Seattle|"&amp;MONTH($A137),Rates!$A$2:$I$181,5,FALSE()),0))</f>
        <v>0</v>
      </c>
      <c r="AO137" s="14" t="n">
        <f aca="false">IF(OR($A137="",$A137&gt;=Parameters!$B$14),1,IF(AND(AN137&gt;0,CityData!F7&lt;=AN137),1,0))</f>
        <v>1</v>
      </c>
    </row>
    <row r="138" customFormat="false" ht="15" hidden="false" customHeight="true" outlineLevel="0" collapsed="false">
      <c r="A138" s="23" t="str">
        <f aca="false">IF(AND(Parameters!$B$14&gt;=Parameters!$B$13,ROW()-2&lt;=Parameters!$B$14-Parameters!$B$13),Parameters!$B$13+ROW()-2,"")</f>
        <v/>
      </c>
      <c r="B138" s="14" t="n">
        <f aca="false">IF($A138="",0,IFERROR(VLOOKUP((YEAR($A138)+IF(MONTH($A138)&gt;=10,1,0))&amp;"|Boston|"&amp;MONTH($A138),Rates!$A$2:$I$181,6,FALSE()),0))</f>
        <v>0</v>
      </c>
      <c r="C138" s="14" t="n">
        <f aca="false">IF(B138=0,0,VLOOKUP(B138,MIE_Components!$A$2:$F$6,2,FALSE()))</f>
        <v>0</v>
      </c>
      <c r="D138" s="14" t="n">
        <f aca="false">IF(B138=0,0,VLOOKUP(B138,MIE_Components!$A$2:$F$6,3,FALSE()))</f>
        <v>0</v>
      </c>
      <c r="E138" s="14" t="n">
        <f aca="false">IF(B138=0,0,VLOOKUP(B138,MIE_Components!$A$2:$F$6,4,FALSE()))</f>
        <v>0</v>
      </c>
      <c r="F138" s="14" t="n">
        <f aca="false">IF(OR($A138="",B138=0),0,MAX(5,B138*IF(OR($A138=Parameters!$B$13,$A138=Parameters!$B$14),0.75,1)-(IF(AND($A138=DATE(2026,11,29),NOV29BF="Yes"),C138,0)+IF(OR($A138=DATE(2026,11,29),$A138=DATE(2026,11,30),$A138=DATE(2026,12,1),$A138=DATE(2026,12,2)),D138,0)+IF(OR($A138=DATE(2026,11,28),$A138=DATE(2026,12,1)),E138,0))))</f>
        <v>0</v>
      </c>
      <c r="G138" s="14" t="n">
        <f aca="false">IF(AND($A138&lt;&gt;"",$A138&lt;Parameters!$B$14),CityData!F3*(1+TAXRATE),0)</f>
        <v>0</v>
      </c>
      <c r="H138" s="14" t="n">
        <f aca="false">IF($A138="",0,IFERROR(VLOOKUP((YEAR($A138)+IF(MONTH($A138)&gt;=10,1,0))&amp;"|Boston|"&amp;MONTH($A138),Rates!$A$2:$I$181,5,FALSE()),0))</f>
        <v>0</v>
      </c>
      <c r="I138" s="14" t="n">
        <f aca="false">IF(OR($A138="",$A138&gt;=Parameters!$B$14),1,IF(AND(H138&gt;0,CityData!F3&lt;=H138),1,0))</f>
        <v>1</v>
      </c>
      <c r="J138" s="14" t="n">
        <f aca="false">IF($A138="",0,IFERROR(VLOOKUP((YEAR($A138)+IF(MONTH($A138)&gt;=10,1,0))&amp;"|Chicago|"&amp;MONTH($A138),Rates!$A$2:$I$181,6,FALSE()),0))</f>
        <v>0</v>
      </c>
      <c r="K138" s="14" t="n">
        <f aca="false">IF(J138=0,0,VLOOKUP(J138,MIE_Components!$A$2:$F$6,2,FALSE()))</f>
        <v>0</v>
      </c>
      <c r="L138" s="14" t="n">
        <f aca="false">IF(J138=0,0,VLOOKUP(J138,MIE_Components!$A$2:$F$6,3,FALSE()))</f>
        <v>0</v>
      </c>
      <c r="M138" s="14" t="n">
        <f aca="false">IF(J138=0,0,VLOOKUP(J138,MIE_Components!$A$2:$F$6,4,FALSE()))</f>
        <v>0</v>
      </c>
      <c r="N138" s="14" t="n">
        <f aca="false">IF(OR($A138="",J138=0),0,MAX(5,J138*IF(OR($A138=Parameters!$B$13,$A138=Parameters!$B$14),0.75,1)-(IF(AND($A138=DATE(2026,11,29),NOV29BF="Yes"),K138,0)+IF(OR($A138=DATE(2026,11,29),$A138=DATE(2026,11,30),$A138=DATE(2026,12,1),$A138=DATE(2026,12,2)),L138,0)+IF(OR($A138=DATE(2026,11,28),$A138=DATE(2026,12,1)),M138,0))))</f>
        <v>0</v>
      </c>
      <c r="O138" s="14" t="n">
        <f aca="false">IF(AND($A138&lt;&gt;"",$A138&lt;Parameters!$B$14),CityData!F4*(1+TAXRATE),0)</f>
        <v>0</v>
      </c>
      <c r="P138" s="14" t="n">
        <f aca="false">IF($A138="",0,IFERROR(VLOOKUP((YEAR($A138)+IF(MONTH($A138)&gt;=10,1,0))&amp;"|Chicago|"&amp;MONTH($A138),Rates!$A$2:$I$181,5,FALSE()),0))</f>
        <v>0</v>
      </c>
      <c r="Q138" s="14" t="n">
        <f aca="false">IF(OR($A138="",$A138&gt;=Parameters!$B$14),1,IF(AND(P138&gt;0,CityData!F4&lt;=P138),1,0))</f>
        <v>1</v>
      </c>
      <c r="R138" s="14" t="n">
        <f aca="false">IF($A138="",0,IFERROR(VLOOKUP((YEAR($A138)+IF(MONTH($A138)&gt;=10,1,0))&amp;"|Denver|"&amp;MONTH($A138),Rates!$A$2:$I$181,6,FALSE()),0))</f>
        <v>0</v>
      </c>
      <c r="S138" s="14" t="n">
        <f aca="false">IF(R138=0,0,VLOOKUP(R138,MIE_Components!$A$2:$F$6,2,FALSE()))</f>
        <v>0</v>
      </c>
      <c r="T138" s="14" t="n">
        <f aca="false">IF(R138=0,0,VLOOKUP(R138,MIE_Components!$A$2:$F$6,3,FALSE()))</f>
        <v>0</v>
      </c>
      <c r="U138" s="14" t="n">
        <f aca="false">IF(R138=0,0,VLOOKUP(R138,MIE_Components!$A$2:$F$6,4,FALSE()))</f>
        <v>0</v>
      </c>
      <c r="V138" s="14" t="n">
        <f aca="false">IF(OR($A138="",R138=0),0,MAX(5,R138*IF(OR($A138=Parameters!$B$13,$A138=Parameters!$B$14),0.75,1)-(IF(AND($A138=DATE(2026,11,29),NOV29BF="Yes"),S138,0)+IF(OR($A138=DATE(2026,11,29),$A138=DATE(2026,11,30),$A138=DATE(2026,12,1),$A138=DATE(2026,12,2)),T138,0)+IF(OR($A138=DATE(2026,11,28),$A138=DATE(2026,12,1)),U138,0))))</f>
        <v>0</v>
      </c>
      <c r="W138" s="14" t="n">
        <f aca="false">IF(AND($A138&lt;&gt;"",$A138&lt;Parameters!$B$14),CityData!F5*(1+TAXRATE),0)</f>
        <v>0</v>
      </c>
      <c r="X138" s="14" t="n">
        <f aca="false">IF($A138="",0,IFERROR(VLOOKUP((YEAR($A138)+IF(MONTH($A138)&gt;=10,1,0))&amp;"|Denver|"&amp;MONTH($A138),Rates!$A$2:$I$181,5,FALSE()),0))</f>
        <v>0</v>
      </c>
      <c r="Y138" s="14" t="n">
        <f aca="false">IF(OR($A138="",$A138&gt;=Parameters!$B$14),1,IF(AND(X138&gt;0,CityData!F5&lt;=X138),1,0))</f>
        <v>1</v>
      </c>
      <c r="Z138" s="14" t="n">
        <f aca="false">IF($A138="",0,IFERROR(VLOOKUP((YEAR($A138)+IF(MONTH($A138)&gt;=10,1,0))&amp;"|Phoenix|"&amp;MONTH($A138),Rates!$A$2:$I$181,6,FALSE()),0))</f>
        <v>0</v>
      </c>
      <c r="AA138" s="14" t="n">
        <f aca="false">IF(Z138=0,0,VLOOKUP(Z138,MIE_Components!$A$2:$F$6,2,FALSE()))</f>
        <v>0</v>
      </c>
      <c r="AB138" s="14" t="n">
        <f aca="false">IF(Z138=0,0,VLOOKUP(Z138,MIE_Components!$A$2:$F$6,3,FALSE()))</f>
        <v>0</v>
      </c>
      <c r="AC138" s="14" t="n">
        <f aca="false">IF(Z138=0,0,VLOOKUP(Z138,MIE_Components!$A$2:$F$6,4,FALSE()))</f>
        <v>0</v>
      </c>
      <c r="AD138" s="14" t="n">
        <f aca="false">IF(OR($A138="",Z138=0),0,MAX(5,Z138*IF(OR($A138=Parameters!$B$13,$A138=Parameters!$B$14),0.75,1)-(IF(AND($A138=DATE(2026,11,29),NOV29BF="Yes"),AA138,0)+IF(OR($A138=DATE(2026,11,29),$A138=DATE(2026,11,30),$A138=DATE(2026,12,1),$A138=DATE(2026,12,2)),AB138,0)+IF(OR($A138=DATE(2026,11,28),$A138=DATE(2026,12,1)),AC138,0))))</f>
        <v>0</v>
      </c>
      <c r="AE138" s="14" t="n">
        <f aca="false">IF(AND($A138&lt;&gt;"",$A138&lt;Parameters!$B$14),CityData!F6*(1+TAXRATE),0)</f>
        <v>0</v>
      </c>
      <c r="AF138" s="14" t="n">
        <f aca="false">IF($A138="",0,IFERROR(VLOOKUP((YEAR($A138)+IF(MONTH($A138)&gt;=10,1,0))&amp;"|Phoenix|"&amp;MONTH($A138),Rates!$A$2:$I$181,5,FALSE()),0))</f>
        <v>0</v>
      </c>
      <c r="AG138" s="14" t="n">
        <f aca="false">IF(OR($A138="",$A138&gt;=Parameters!$B$14),1,IF(AND(AF138&gt;0,CityData!F6&lt;=AF138),1,0))</f>
        <v>1</v>
      </c>
      <c r="AH138" s="14" t="n">
        <f aca="false">IF($A138="",0,IFERROR(VLOOKUP((YEAR($A138)+IF(MONTH($A138)&gt;=10,1,0))&amp;"|Seattle|"&amp;MONTH($A138),Rates!$A$2:$I$181,6,FALSE()),0))</f>
        <v>0</v>
      </c>
      <c r="AI138" s="14" t="n">
        <f aca="false">IF(AH138=0,0,VLOOKUP(AH138,MIE_Components!$A$2:$F$6,2,FALSE()))</f>
        <v>0</v>
      </c>
      <c r="AJ138" s="14" t="n">
        <f aca="false">IF(AH138=0,0,VLOOKUP(AH138,MIE_Components!$A$2:$F$6,3,FALSE()))</f>
        <v>0</v>
      </c>
      <c r="AK138" s="14" t="n">
        <f aca="false">IF(AH138=0,0,VLOOKUP(AH138,MIE_Components!$A$2:$F$6,4,FALSE()))</f>
        <v>0</v>
      </c>
      <c r="AL138" s="14" t="n">
        <f aca="false">IF(OR($A138="",AH138=0),0,MAX(5,AH138*IF(OR($A138=Parameters!$B$13,$A138=Parameters!$B$14),0.75,1)-(IF(AND($A138=DATE(2026,11,29),NOV29BF="Yes"),AI138,0)+IF(OR($A138=DATE(2026,11,29),$A138=DATE(2026,11,30),$A138=DATE(2026,12,1),$A138=DATE(2026,12,2)),AJ138,0)+IF(OR($A138=DATE(2026,11,28),$A138=DATE(2026,12,1)),AK138,0))))</f>
        <v>0</v>
      </c>
      <c r="AM138" s="14" t="n">
        <f aca="false">IF(AND($A138&lt;&gt;"",$A138&lt;Parameters!$B$14),CityData!F7*(1+TAXRATE),0)</f>
        <v>0</v>
      </c>
      <c r="AN138" s="14" t="n">
        <f aca="false">IF($A138="",0,IFERROR(VLOOKUP((YEAR($A138)+IF(MONTH($A138)&gt;=10,1,0))&amp;"|Seattle|"&amp;MONTH($A138),Rates!$A$2:$I$181,5,FALSE()),0))</f>
        <v>0</v>
      </c>
      <c r="AO138" s="14" t="n">
        <f aca="false">IF(OR($A138="",$A138&gt;=Parameters!$B$14),1,IF(AND(AN138&gt;0,CityData!F7&lt;=AN138),1,0))</f>
        <v>1</v>
      </c>
    </row>
    <row r="139" customFormat="false" ht="15" hidden="false" customHeight="true" outlineLevel="0" collapsed="false">
      <c r="A139" s="23" t="str">
        <f aca="false">IF(AND(Parameters!$B$14&gt;=Parameters!$B$13,ROW()-2&lt;=Parameters!$B$14-Parameters!$B$13),Parameters!$B$13+ROW()-2,"")</f>
        <v/>
      </c>
      <c r="B139" s="14" t="n">
        <f aca="false">IF($A139="",0,IFERROR(VLOOKUP((YEAR($A139)+IF(MONTH($A139)&gt;=10,1,0))&amp;"|Boston|"&amp;MONTH($A139),Rates!$A$2:$I$181,6,FALSE()),0))</f>
        <v>0</v>
      </c>
      <c r="C139" s="14" t="n">
        <f aca="false">IF(B139=0,0,VLOOKUP(B139,MIE_Components!$A$2:$F$6,2,FALSE()))</f>
        <v>0</v>
      </c>
      <c r="D139" s="14" t="n">
        <f aca="false">IF(B139=0,0,VLOOKUP(B139,MIE_Components!$A$2:$F$6,3,FALSE()))</f>
        <v>0</v>
      </c>
      <c r="E139" s="14" t="n">
        <f aca="false">IF(B139=0,0,VLOOKUP(B139,MIE_Components!$A$2:$F$6,4,FALSE()))</f>
        <v>0</v>
      </c>
      <c r="F139" s="14" t="n">
        <f aca="false">IF(OR($A139="",B139=0),0,MAX(5,B139*IF(OR($A139=Parameters!$B$13,$A139=Parameters!$B$14),0.75,1)-(IF(AND($A139=DATE(2026,11,29),NOV29BF="Yes"),C139,0)+IF(OR($A139=DATE(2026,11,29),$A139=DATE(2026,11,30),$A139=DATE(2026,12,1),$A139=DATE(2026,12,2)),D139,0)+IF(OR($A139=DATE(2026,11,28),$A139=DATE(2026,12,1)),E139,0))))</f>
        <v>0</v>
      </c>
      <c r="G139" s="14" t="n">
        <f aca="false">IF(AND($A139&lt;&gt;"",$A139&lt;Parameters!$B$14),CityData!F3*(1+TAXRATE),0)</f>
        <v>0</v>
      </c>
      <c r="H139" s="14" t="n">
        <f aca="false">IF($A139="",0,IFERROR(VLOOKUP((YEAR($A139)+IF(MONTH($A139)&gt;=10,1,0))&amp;"|Boston|"&amp;MONTH($A139),Rates!$A$2:$I$181,5,FALSE()),0))</f>
        <v>0</v>
      </c>
      <c r="I139" s="14" t="n">
        <f aca="false">IF(OR($A139="",$A139&gt;=Parameters!$B$14),1,IF(AND(H139&gt;0,CityData!F3&lt;=H139),1,0))</f>
        <v>1</v>
      </c>
      <c r="J139" s="14" t="n">
        <f aca="false">IF($A139="",0,IFERROR(VLOOKUP((YEAR($A139)+IF(MONTH($A139)&gt;=10,1,0))&amp;"|Chicago|"&amp;MONTH($A139),Rates!$A$2:$I$181,6,FALSE()),0))</f>
        <v>0</v>
      </c>
      <c r="K139" s="14" t="n">
        <f aca="false">IF(J139=0,0,VLOOKUP(J139,MIE_Components!$A$2:$F$6,2,FALSE()))</f>
        <v>0</v>
      </c>
      <c r="L139" s="14" t="n">
        <f aca="false">IF(J139=0,0,VLOOKUP(J139,MIE_Components!$A$2:$F$6,3,FALSE()))</f>
        <v>0</v>
      </c>
      <c r="M139" s="14" t="n">
        <f aca="false">IF(J139=0,0,VLOOKUP(J139,MIE_Components!$A$2:$F$6,4,FALSE()))</f>
        <v>0</v>
      </c>
      <c r="N139" s="14" t="n">
        <f aca="false">IF(OR($A139="",J139=0),0,MAX(5,J139*IF(OR($A139=Parameters!$B$13,$A139=Parameters!$B$14),0.75,1)-(IF(AND($A139=DATE(2026,11,29),NOV29BF="Yes"),K139,0)+IF(OR($A139=DATE(2026,11,29),$A139=DATE(2026,11,30),$A139=DATE(2026,12,1),$A139=DATE(2026,12,2)),L139,0)+IF(OR($A139=DATE(2026,11,28),$A139=DATE(2026,12,1)),M139,0))))</f>
        <v>0</v>
      </c>
      <c r="O139" s="14" t="n">
        <f aca="false">IF(AND($A139&lt;&gt;"",$A139&lt;Parameters!$B$14),CityData!F4*(1+TAXRATE),0)</f>
        <v>0</v>
      </c>
      <c r="P139" s="14" t="n">
        <f aca="false">IF($A139="",0,IFERROR(VLOOKUP((YEAR($A139)+IF(MONTH($A139)&gt;=10,1,0))&amp;"|Chicago|"&amp;MONTH($A139),Rates!$A$2:$I$181,5,FALSE()),0))</f>
        <v>0</v>
      </c>
      <c r="Q139" s="14" t="n">
        <f aca="false">IF(OR($A139="",$A139&gt;=Parameters!$B$14),1,IF(AND(P139&gt;0,CityData!F4&lt;=P139),1,0))</f>
        <v>1</v>
      </c>
      <c r="R139" s="14" t="n">
        <f aca="false">IF($A139="",0,IFERROR(VLOOKUP((YEAR($A139)+IF(MONTH($A139)&gt;=10,1,0))&amp;"|Denver|"&amp;MONTH($A139),Rates!$A$2:$I$181,6,FALSE()),0))</f>
        <v>0</v>
      </c>
      <c r="S139" s="14" t="n">
        <f aca="false">IF(R139=0,0,VLOOKUP(R139,MIE_Components!$A$2:$F$6,2,FALSE()))</f>
        <v>0</v>
      </c>
      <c r="T139" s="14" t="n">
        <f aca="false">IF(R139=0,0,VLOOKUP(R139,MIE_Components!$A$2:$F$6,3,FALSE()))</f>
        <v>0</v>
      </c>
      <c r="U139" s="14" t="n">
        <f aca="false">IF(R139=0,0,VLOOKUP(R139,MIE_Components!$A$2:$F$6,4,FALSE()))</f>
        <v>0</v>
      </c>
      <c r="V139" s="14" t="n">
        <f aca="false">IF(OR($A139="",R139=0),0,MAX(5,R139*IF(OR($A139=Parameters!$B$13,$A139=Parameters!$B$14),0.75,1)-(IF(AND($A139=DATE(2026,11,29),NOV29BF="Yes"),S139,0)+IF(OR($A139=DATE(2026,11,29),$A139=DATE(2026,11,30),$A139=DATE(2026,12,1),$A139=DATE(2026,12,2)),T139,0)+IF(OR($A139=DATE(2026,11,28),$A139=DATE(2026,12,1)),U139,0))))</f>
        <v>0</v>
      </c>
      <c r="W139" s="14" t="n">
        <f aca="false">IF(AND($A139&lt;&gt;"",$A139&lt;Parameters!$B$14),CityData!F5*(1+TAXRATE),0)</f>
        <v>0</v>
      </c>
      <c r="X139" s="14" t="n">
        <f aca="false">IF($A139="",0,IFERROR(VLOOKUP((YEAR($A139)+IF(MONTH($A139)&gt;=10,1,0))&amp;"|Denver|"&amp;MONTH($A139),Rates!$A$2:$I$181,5,FALSE()),0))</f>
        <v>0</v>
      </c>
      <c r="Y139" s="14" t="n">
        <f aca="false">IF(OR($A139="",$A139&gt;=Parameters!$B$14),1,IF(AND(X139&gt;0,CityData!F5&lt;=X139),1,0))</f>
        <v>1</v>
      </c>
      <c r="Z139" s="14" t="n">
        <f aca="false">IF($A139="",0,IFERROR(VLOOKUP((YEAR($A139)+IF(MONTH($A139)&gt;=10,1,0))&amp;"|Phoenix|"&amp;MONTH($A139),Rates!$A$2:$I$181,6,FALSE()),0))</f>
        <v>0</v>
      </c>
      <c r="AA139" s="14" t="n">
        <f aca="false">IF(Z139=0,0,VLOOKUP(Z139,MIE_Components!$A$2:$F$6,2,FALSE()))</f>
        <v>0</v>
      </c>
      <c r="AB139" s="14" t="n">
        <f aca="false">IF(Z139=0,0,VLOOKUP(Z139,MIE_Components!$A$2:$F$6,3,FALSE()))</f>
        <v>0</v>
      </c>
      <c r="AC139" s="14" t="n">
        <f aca="false">IF(Z139=0,0,VLOOKUP(Z139,MIE_Components!$A$2:$F$6,4,FALSE()))</f>
        <v>0</v>
      </c>
      <c r="AD139" s="14" t="n">
        <f aca="false">IF(OR($A139="",Z139=0),0,MAX(5,Z139*IF(OR($A139=Parameters!$B$13,$A139=Parameters!$B$14),0.75,1)-(IF(AND($A139=DATE(2026,11,29),NOV29BF="Yes"),AA139,0)+IF(OR($A139=DATE(2026,11,29),$A139=DATE(2026,11,30),$A139=DATE(2026,12,1),$A139=DATE(2026,12,2)),AB139,0)+IF(OR($A139=DATE(2026,11,28),$A139=DATE(2026,12,1)),AC139,0))))</f>
        <v>0</v>
      </c>
      <c r="AE139" s="14" t="n">
        <f aca="false">IF(AND($A139&lt;&gt;"",$A139&lt;Parameters!$B$14),CityData!F6*(1+TAXRATE),0)</f>
        <v>0</v>
      </c>
      <c r="AF139" s="14" t="n">
        <f aca="false">IF($A139="",0,IFERROR(VLOOKUP((YEAR($A139)+IF(MONTH($A139)&gt;=10,1,0))&amp;"|Phoenix|"&amp;MONTH($A139),Rates!$A$2:$I$181,5,FALSE()),0))</f>
        <v>0</v>
      </c>
      <c r="AG139" s="14" t="n">
        <f aca="false">IF(OR($A139="",$A139&gt;=Parameters!$B$14),1,IF(AND(AF139&gt;0,CityData!F6&lt;=AF139),1,0))</f>
        <v>1</v>
      </c>
      <c r="AH139" s="14" t="n">
        <f aca="false">IF($A139="",0,IFERROR(VLOOKUP((YEAR($A139)+IF(MONTH($A139)&gt;=10,1,0))&amp;"|Seattle|"&amp;MONTH($A139),Rates!$A$2:$I$181,6,FALSE()),0))</f>
        <v>0</v>
      </c>
      <c r="AI139" s="14" t="n">
        <f aca="false">IF(AH139=0,0,VLOOKUP(AH139,MIE_Components!$A$2:$F$6,2,FALSE()))</f>
        <v>0</v>
      </c>
      <c r="AJ139" s="14" t="n">
        <f aca="false">IF(AH139=0,0,VLOOKUP(AH139,MIE_Components!$A$2:$F$6,3,FALSE()))</f>
        <v>0</v>
      </c>
      <c r="AK139" s="14" t="n">
        <f aca="false">IF(AH139=0,0,VLOOKUP(AH139,MIE_Components!$A$2:$F$6,4,FALSE()))</f>
        <v>0</v>
      </c>
      <c r="AL139" s="14" t="n">
        <f aca="false">IF(OR($A139="",AH139=0),0,MAX(5,AH139*IF(OR($A139=Parameters!$B$13,$A139=Parameters!$B$14),0.75,1)-(IF(AND($A139=DATE(2026,11,29),NOV29BF="Yes"),AI139,0)+IF(OR($A139=DATE(2026,11,29),$A139=DATE(2026,11,30),$A139=DATE(2026,12,1),$A139=DATE(2026,12,2)),AJ139,0)+IF(OR($A139=DATE(2026,11,28),$A139=DATE(2026,12,1)),AK139,0))))</f>
        <v>0</v>
      </c>
      <c r="AM139" s="14" t="n">
        <f aca="false">IF(AND($A139&lt;&gt;"",$A139&lt;Parameters!$B$14),CityData!F7*(1+TAXRATE),0)</f>
        <v>0</v>
      </c>
      <c r="AN139" s="14" t="n">
        <f aca="false">IF($A139="",0,IFERROR(VLOOKUP((YEAR($A139)+IF(MONTH($A139)&gt;=10,1,0))&amp;"|Seattle|"&amp;MONTH($A139),Rates!$A$2:$I$181,5,FALSE()),0))</f>
        <v>0</v>
      </c>
      <c r="AO139" s="14" t="n">
        <f aca="false">IF(OR($A139="",$A139&gt;=Parameters!$B$14),1,IF(AND(AN139&gt;0,CityData!F7&lt;=AN139),1,0))</f>
        <v>1</v>
      </c>
    </row>
    <row r="140" customFormat="false" ht="15" hidden="false" customHeight="true" outlineLevel="0" collapsed="false">
      <c r="A140" s="23" t="str">
        <f aca="false">IF(AND(Parameters!$B$14&gt;=Parameters!$B$13,ROW()-2&lt;=Parameters!$B$14-Parameters!$B$13),Parameters!$B$13+ROW()-2,"")</f>
        <v/>
      </c>
      <c r="B140" s="14" t="n">
        <f aca="false">IF($A140="",0,IFERROR(VLOOKUP((YEAR($A140)+IF(MONTH($A140)&gt;=10,1,0))&amp;"|Boston|"&amp;MONTH($A140),Rates!$A$2:$I$181,6,FALSE()),0))</f>
        <v>0</v>
      </c>
      <c r="C140" s="14" t="n">
        <f aca="false">IF(B140=0,0,VLOOKUP(B140,MIE_Components!$A$2:$F$6,2,FALSE()))</f>
        <v>0</v>
      </c>
      <c r="D140" s="14" t="n">
        <f aca="false">IF(B140=0,0,VLOOKUP(B140,MIE_Components!$A$2:$F$6,3,FALSE()))</f>
        <v>0</v>
      </c>
      <c r="E140" s="14" t="n">
        <f aca="false">IF(B140=0,0,VLOOKUP(B140,MIE_Components!$A$2:$F$6,4,FALSE()))</f>
        <v>0</v>
      </c>
      <c r="F140" s="14" t="n">
        <f aca="false">IF(OR($A140="",B140=0),0,MAX(5,B140*IF(OR($A140=Parameters!$B$13,$A140=Parameters!$B$14),0.75,1)-(IF(AND($A140=DATE(2026,11,29),NOV29BF="Yes"),C140,0)+IF(OR($A140=DATE(2026,11,29),$A140=DATE(2026,11,30),$A140=DATE(2026,12,1),$A140=DATE(2026,12,2)),D140,0)+IF(OR($A140=DATE(2026,11,28),$A140=DATE(2026,12,1)),E140,0))))</f>
        <v>0</v>
      </c>
      <c r="G140" s="14" t="n">
        <f aca="false">IF(AND($A140&lt;&gt;"",$A140&lt;Parameters!$B$14),CityData!F3*(1+TAXRATE),0)</f>
        <v>0</v>
      </c>
      <c r="H140" s="14" t="n">
        <f aca="false">IF($A140="",0,IFERROR(VLOOKUP((YEAR($A140)+IF(MONTH($A140)&gt;=10,1,0))&amp;"|Boston|"&amp;MONTH($A140),Rates!$A$2:$I$181,5,FALSE()),0))</f>
        <v>0</v>
      </c>
      <c r="I140" s="14" t="n">
        <f aca="false">IF(OR($A140="",$A140&gt;=Parameters!$B$14),1,IF(AND(H140&gt;0,CityData!F3&lt;=H140),1,0))</f>
        <v>1</v>
      </c>
      <c r="J140" s="14" t="n">
        <f aca="false">IF($A140="",0,IFERROR(VLOOKUP((YEAR($A140)+IF(MONTH($A140)&gt;=10,1,0))&amp;"|Chicago|"&amp;MONTH($A140),Rates!$A$2:$I$181,6,FALSE()),0))</f>
        <v>0</v>
      </c>
      <c r="K140" s="14" t="n">
        <f aca="false">IF(J140=0,0,VLOOKUP(J140,MIE_Components!$A$2:$F$6,2,FALSE()))</f>
        <v>0</v>
      </c>
      <c r="L140" s="14" t="n">
        <f aca="false">IF(J140=0,0,VLOOKUP(J140,MIE_Components!$A$2:$F$6,3,FALSE()))</f>
        <v>0</v>
      </c>
      <c r="M140" s="14" t="n">
        <f aca="false">IF(J140=0,0,VLOOKUP(J140,MIE_Components!$A$2:$F$6,4,FALSE()))</f>
        <v>0</v>
      </c>
      <c r="N140" s="14" t="n">
        <f aca="false">IF(OR($A140="",J140=0),0,MAX(5,J140*IF(OR($A140=Parameters!$B$13,$A140=Parameters!$B$14),0.75,1)-(IF(AND($A140=DATE(2026,11,29),NOV29BF="Yes"),K140,0)+IF(OR($A140=DATE(2026,11,29),$A140=DATE(2026,11,30),$A140=DATE(2026,12,1),$A140=DATE(2026,12,2)),L140,0)+IF(OR($A140=DATE(2026,11,28),$A140=DATE(2026,12,1)),M140,0))))</f>
        <v>0</v>
      </c>
      <c r="O140" s="14" t="n">
        <f aca="false">IF(AND($A140&lt;&gt;"",$A140&lt;Parameters!$B$14),CityData!F4*(1+TAXRATE),0)</f>
        <v>0</v>
      </c>
      <c r="P140" s="14" t="n">
        <f aca="false">IF($A140="",0,IFERROR(VLOOKUP((YEAR($A140)+IF(MONTH($A140)&gt;=10,1,0))&amp;"|Chicago|"&amp;MONTH($A140),Rates!$A$2:$I$181,5,FALSE()),0))</f>
        <v>0</v>
      </c>
      <c r="Q140" s="14" t="n">
        <f aca="false">IF(OR($A140="",$A140&gt;=Parameters!$B$14),1,IF(AND(P140&gt;0,CityData!F4&lt;=P140),1,0))</f>
        <v>1</v>
      </c>
      <c r="R140" s="14" t="n">
        <f aca="false">IF($A140="",0,IFERROR(VLOOKUP((YEAR($A140)+IF(MONTH($A140)&gt;=10,1,0))&amp;"|Denver|"&amp;MONTH($A140),Rates!$A$2:$I$181,6,FALSE()),0))</f>
        <v>0</v>
      </c>
      <c r="S140" s="14" t="n">
        <f aca="false">IF(R140=0,0,VLOOKUP(R140,MIE_Components!$A$2:$F$6,2,FALSE()))</f>
        <v>0</v>
      </c>
      <c r="T140" s="14" t="n">
        <f aca="false">IF(R140=0,0,VLOOKUP(R140,MIE_Components!$A$2:$F$6,3,FALSE()))</f>
        <v>0</v>
      </c>
      <c r="U140" s="14" t="n">
        <f aca="false">IF(R140=0,0,VLOOKUP(R140,MIE_Components!$A$2:$F$6,4,FALSE()))</f>
        <v>0</v>
      </c>
      <c r="V140" s="14" t="n">
        <f aca="false">IF(OR($A140="",R140=0),0,MAX(5,R140*IF(OR($A140=Parameters!$B$13,$A140=Parameters!$B$14),0.75,1)-(IF(AND($A140=DATE(2026,11,29),NOV29BF="Yes"),S140,0)+IF(OR($A140=DATE(2026,11,29),$A140=DATE(2026,11,30),$A140=DATE(2026,12,1),$A140=DATE(2026,12,2)),T140,0)+IF(OR($A140=DATE(2026,11,28),$A140=DATE(2026,12,1)),U140,0))))</f>
        <v>0</v>
      </c>
      <c r="W140" s="14" t="n">
        <f aca="false">IF(AND($A140&lt;&gt;"",$A140&lt;Parameters!$B$14),CityData!F5*(1+TAXRATE),0)</f>
        <v>0</v>
      </c>
      <c r="X140" s="14" t="n">
        <f aca="false">IF($A140="",0,IFERROR(VLOOKUP((YEAR($A140)+IF(MONTH($A140)&gt;=10,1,0))&amp;"|Denver|"&amp;MONTH($A140),Rates!$A$2:$I$181,5,FALSE()),0))</f>
        <v>0</v>
      </c>
      <c r="Y140" s="14" t="n">
        <f aca="false">IF(OR($A140="",$A140&gt;=Parameters!$B$14),1,IF(AND(X140&gt;0,CityData!F5&lt;=X140),1,0))</f>
        <v>1</v>
      </c>
      <c r="Z140" s="14" t="n">
        <f aca="false">IF($A140="",0,IFERROR(VLOOKUP((YEAR($A140)+IF(MONTH($A140)&gt;=10,1,0))&amp;"|Phoenix|"&amp;MONTH($A140),Rates!$A$2:$I$181,6,FALSE()),0))</f>
        <v>0</v>
      </c>
      <c r="AA140" s="14" t="n">
        <f aca="false">IF(Z140=0,0,VLOOKUP(Z140,MIE_Components!$A$2:$F$6,2,FALSE()))</f>
        <v>0</v>
      </c>
      <c r="AB140" s="14" t="n">
        <f aca="false">IF(Z140=0,0,VLOOKUP(Z140,MIE_Components!$A$2:$F$6,3,FALSE()))</f>
        <v>0</v>
      </c>
      <c r="AC140" s="14" t="n">
        <f aca="false">IF(Z140=0,0,VLOOKUP(Z140,MIE_Components!$A$2:$F$6,4,FALSE()))</f>
        <v>0</v>
      </c>
      <c r="AD140" s="14" t="n">
        <f aca="false">IF(OR($A140="",Z140=0),0,MAX(5,Z140*IF(OR($A140=Parameters!$B$13,$A140=Parameters!$B$14),0.75,1)-(IF(AND($A140=DATE(2026,11,29),NOV29BF="Yes"),AA140,0)+IF(OR($A140=DATE(2026,11,29),$A140=DATE(2026,11,30),$A140=DATE(2026,12,1),$A140=DATE(2026,12,2)),AB140,0)+IF(OR($A140=DATE(2026,11,28),$A140=DATE(2026,12,1)),AC140,0))))</f>
        <v>0</v>
      </c>
      <c r="AE140" s="14" t="n">
        <f aca="false">IF(AND($A140&lt;&gt;"",$A140&lt;Parameters!$B$14),CityData!F6*(1+TAXRATE),0)</f>
        <v>0</v>
      </c>
      <c r="AF140" s="14" t="n">
        <f aca="false">IF($A140="",0,IFERROR(VLOOKUP((YEAR($A140)+IF(MONTH($A140)&gt;=10,1,0))&amp;"|Phoenix|"&amp;MONTH($A140),Rates!$A$2:$I$181,5,FALSE()),0))</f>
        <v>0</v>
      </c>
      <c r="AG140" s="14" t="n">
        <f aca="false">IF(OR($A140="",$A140&gt;=Parameters!$B$14),1,IF(AND(AF140&gt;0,CityData!F6&lt;=AF140),1,0))</f>
        <v>1</v>
      </c>
      <c r="AH140" s="14" t="n">
        <f aca="false">IF($A140="",0,IFERROR(VLOOKUP((YEAR($A140)+IF(MONTH($A140)&gt;=10,1,0))&amp;"|Seattle|"&amp;MONTH($A140),Rates!$A$2:$I$181,6,FALSE()),0))</f>
        <v>0</v>
      </c>
      <c r="AI140" s="14" t="n">
        <f aca="false">IF(AH140=0,0,VLOOKUP(AH140,MIE_Components!$A$2:$F$6,2,FALSE()))</f>
        <v>0</v>
      </c>
      <c r="AJ140" s="14" t="n">
        <f aca="false">IF(AH140=0,0,VLOOKUP(AH140,MIE_Components!$A$2:$F$6,3,FALSE()))</f>
        <v>0</v>
      </c>
      <c r="AK140" s="14" t="n">
        <f aca="false">IF(AH140=0,0,VLOOKUP(AH140,MIE_Components!$A$2:$F$6,4,FALSE()))</f>
        <v>0</v>
      </c>
      <c r="AL140" s="14" t="n">
        <f aca="false">IF(OR($A140="",AH140=0),0,MAX(5,AH140*IF(OR($A140=Parameters!$B$13,$A140=Parameters!$B$14),0.75,1)-(IF(AND($A140=DATE(2026,11,29),NOV29BF="Yes"),AI140,0)+IF(OR($A140=DATE(2026,11,29),$A140=DATE(2026,11,30),$A140=DATE(2026,12,1),$A140=DATE(2026,12,2)),AJ140,0)+IF(OR($A140=DATE(2026,11,28),$A140=DATE(2026,12,1)),AK140,0))))</f>
        <v>0</v>
      </c>
      <c r="AM140" s="14" t="n">
        <f aca="false">IF(AND($A140&lt;&gt;"",$A140&lt;Parameters!$B$14),CityData!F7*(1+TAXRATE),0)</f>
        <v>0</v>
      </c>
      <c r="AN140" s="14" t="n">
        <f aca="false">IF($A140="",0,IFERROR(VLOOKUP((YEAR($A140)+IF(MONTH($A140)&gt;=10,1,0))&amp;"|Seattle|"&amp;MONTH($A140),Rates!$A$2:$I$181,5,FALSE()),0))</f>
        <v>0</v>
      </c>
      <c r="AO140" s="14" t="n">
        <f aca="false">IF(OR($A140="",$A140&gt;=Parameters!$B$14),1,IF(AND(AN140&gt;0,CityData!F7&lt;=AN140),1,0))</f>
        <v>1</v>
      </c>
    </row>
    <row r="141" customFormat="false" ht="15" hidden="false" customHeight="true" outlineLevel="0" collapsed="false">
      <c r="A141" s="23" t="str">
        <f aca="false">IF(AND(Parameters!$B$14&gt;=Parameters!$B$13,ROW()-2&lt;=Parameters!$B$14-Parameters!$B$13),Parameters!$B$13+ROW()-2,"")</f>
        <v/>
      </c>
      <c r="B141" s="14" t="n">
        <f aca="false">IF($A141="",0,IFERROR(VLOOKUP((YEAR($A141)+IF(MONTH($A141)&gt;=10,1,0))&amp;"|Boston|"&amp;MONTH($A141),Rates!$A$2:$I$181,6,FALSE()),0))</f>
        <v>0</v>
      </c>
      <c r="C141" s="14" t="n">
        <f aca="false">IF(B141=0,0,VLOOKUP(B141,MIE_Components!$A$2:$F$6,2,FALSE()))</f>
        <v>0</v>
      </c>
      <c r="D141" s="14" t="n">
        <f aca="false">IF(B141=0,0,VLOOKUP(B141,MIE_Components!$A$2:$F$6,3,FALSE()))</f>
        <v>0</v>
      </c>
      <c r="E141" s="14" t="n">
        <f aca="false">IF(B141=0,0,VLOOKUP(B141,MIE_Components!$A$2:$F$6,4,FALSE()))</f>
        <v>0</v>
      </c>
      <c r="F141" s="14" t="n">
        <f aca="false">IF(OR($A141="",B141=0),0,MAX(5,B141*IF(OR($A141=Parameters!$B$13,$A141=Parameters!$B$14),0.75,1)-(IF(AND($A141=DATE(2026,11,29),NOV29BF="Yes"),C141,0)+IF(OR($A141=DATE(2026,11,29),$A141=DATE(2026,11,30),$A141=DATE(2026,12,1),$A141=DATE(2026,12,2)),D141,0)+IF(OR($A141=DATE(2026,11,28),$A141=DATE(2026,12,1)),E141,0))))</f>
        <v>0</v>
      </c>
      <c r="G141" s="14" t="n">
        <f aca="false">IF(AND($A141&lt;&gt;"",$A141&lt;Parameters!$B$14),CityData!F3*(1+TAXRATE),0)</f>
        <v>0</v>
      </c>
      <c r="H141" s="14" t="n">
        <f aca="false">IF($A141="",0,IFERROR(VLOOKUP((YEAR($A141)+IF(MONTH($A141)&gt;=10,1,0))&amp;"|Boston|"&amp;MONTH($A141),Rates!$A$2:$I$181,5,FALSE()),0))</f>
        <v>0</v>
      </c>
      <c r="I141" s="14" t="n">
        <f aca="false">IF(OR($A141="",$A141&gt;=Parameters!$B$14),1,IF(AND(H141&gt;0,CityData!F3&lt;=H141),1,0))</f>
        <v>1</v>
      </c>
      <c r="J141" s="14" t="n">
        <f aca="false">IF($A141="",0,IFERROR(VLOOKUP((YEAR($A141)+IF(MONTH($A141)&gt;=10,1,0))&amp;"|Chicago|"&amp;MONTH($A141),Rates!$A$2:$I$181,6,FALSE()),0))</f>
        <v>0</v>
      </c>
      <c r="K141" s="14" t="n">
        <f aca="false">IF(J141=0,0,VLOOKUP(J141,MIE_Components!$A$2:$F$6,2,FALSE()))</f>
        <v>0</v>
      </c>
      <c r="L141" s="14" t="n">
        <f aca="false">IF(J141=0,0,VLOOKUP(J141,MIE_Components!$A$2:$F$6,3,FALSE()))</f>
        <v>0</v>
      </c>
      <c r="M141" s="14" t="n">
        <f aca="false">IF(J141=0,0,VLOOKUP(J141,MIE_Components!$A$2:$F$6,4,FALSE()))</f>
        <v>0</v>
      </c>
      <c r="N141" s="14" t="n">
        <f aca="false">IF(OR($A141="",J141=0),0,MAX(5,J141*IF(OR($A141=Parameters!$B$13,$A141=Parameters!$B$14),0.75,1)-(IF(AND($A141=DATE(2026,11,29),NOV29BF="Yes"),K141,0)+IF(OR($A141=DATE(2026,11,29),$A141=DATE(2026,11,30),$A141=DATE(2026,12,1),$A141=DATE(2026,12,2)),L141,0)+IF(OR($A141=DATE(2026,11,28),$A141=DATE(2026,12,1)),M141,0))))</f>
        <v>0</v>
      </c>
      <c r="O141" s="14" t="n">
        <f aca="false">IF(AND($A141&lt;&gt;"",$A141&lt;Parameters!$B$14),CityData!F4*(1+TAXRATE),0)</f>
        <v>0</v>
      </c>
      <c r="P141" s="14" t="n">
        <f aca="false">IF($A141="",0,IFERROR(VLOOKUP((YEAR($A141)+IF(MONTH($A141)&gt;=10,1,0))&amp;"|Chicago|"&amp;MONTH($A141),Rates!$A$2:$I$181,5,FALSE()),0))</f>
        <v>0</v>
      </c>
      <c r="Q141" s="14" t="n">
        <f aca="false">IF(OR($A141="",$A141&gt;=Parameters!$B$14),1,IF(AND(P141&gt;0,CityData!F4&lt;=P141),1,0))</f>
        <v>1</v>
      </c>
      <c r="R141" s="14" t="n">
        <f aca="false">IF($A141="",0,IFERROR(VLOOKUP((YEAR($A141)+IF(MONTH($A141)&gt;=10,1,0))&amp;"|Denver|"&amp;MONTH($A141),Rates!$A$2:$I$181,6,FALSE()),0))</f>
        <v>0</v>
      </c>
      <c r="S141" s="14" t="n">
        <f aca="false">IF(R141=0,0,VLOOKUP(R141,MIE_Components!$A$2:$F$6,2,FALSE()))</f>
        <v>0</v>
      </c>
      <c r="T141" s="14" t="n">
        <f aca="false">IF(R141=0,0,VLOOKUP(R141,MIE_Components!$A$2:$F$6,3,FALSE()))</f>
        <v>0</v>
      </c>
      <c r="U141" s="14" t="n">
        <f aca="false">IF(R141=0,0,VLOOKUP(R141,MIE_Components!$A$2:$F$6,4,FALSE()))</f>
        <v>0</v>
      </c>
      <c r="V141" s="14" t="n">
        <f aca="false">IF(OR($A141="",R141=0),0,MAX(5,R141*IF(OR($A141=Parameters!$B$13,$A141=Parameters!$B$14),0.75,1)-(IF(AND($A141=DATE(2026,11,29),NOV29BF="Yes"),S141,0)+IF(OR($A141=DATE(2026,11,29),$A141=DATE(2026,11,30),$A141=DATE(2026,12,1),$A141=DATE(2026,12,2)),T141,0)+IF(OR($A141=DATE(2026,11,28),$A141=DATE(2026,12,1)),U141,0))))</f>
        <v>0</v>
      </c>
      <c r="W141" s="14" t="n">
        <f aca="false">IF(AND($A141&lt;&gt;"",$A141&lt;Parameters!$B$14),CityData!F5*(1+TAXRATE),0)</f>
        <v>0</v>
      </c>
      <c r="X141" s="14" t="n">
        <f aca="false">IF($A141="",0,IFERROR(VLOOKUP((YEAR($A141)+IF(MONTH($A141)&gt;=10,1,0))&amp;"|Denver|"&amp;MONTH($A141),Rates!$A$2:$I$181,5,FALSE()),0))</f>
        <v>0</v>
      </c>
      <c r="Y141" s="14" t="n">
        <f aca="false">IF(OR($A141="",$A141&gt;=Parameters!$B$14),1,IF(AND(X141&gt;0,CityData!F5&lt;=X141),1,0))</f>
        <v>1</v>
      </c>
      <c r="Z141" s="14" t="n">
        <f aca="false">IF($A141="",0,IFERROR(VLOOKUP((YEAR($A141)+IF(MONTH($A141)&gt;=10,1,0))&amp;"|Phoenix|"&amp;MONTH($A141),Rates!$A$2:$I$181,6,FALSE()),0))</f>
        <v>0</v>
      </c>
      <c r="AA141" s="14" t="n">
        <f aca="false">IF(Z141=0,0,VLOOKUP(Z141,MIE_Components!$A$2:$F$6,2,FALSE()))</f>
        <v>0</v>
      </c>
      <c r="AB141" s="14" t="n">
        <f aca="false">IF(Z141=0,0,VLOOKUP(Z141,MIE_Components!$A$2:$F$6,3,FALSE()))</f>
        <v>0</v>
      </c>
      <c r="AC141" s="14" t="n">
        <f aca="false">IF(Z141=0,0,VLOOKUP(Z141,MIE_Components!$A$2:$F$6,4,FALSE()))</f>
        <v>0</v>
      </c>
      <c r="AD141" s="14" t="n">
        <f aca="false">IF(OR($A141="",Z141=0),0,MAX(5,Z141*IF(OR($A141=Parameters!$B$13,$A141=Parameters!$B$14),0.75,1)-(IF(AND($A141=DATE(2026,11,29),NOV29BF="Yes"),AA141,0)+IF(OR($A141=DATE(2026,11,29),$A141=DATE(2026,11,30),$A141=DATE(2026,12,1),$A141=DATE(2026,12,2)),AB141,0)+IF(OR($A141=DATE(2026,11,28),$A141=DATE(2026,12,1)),AC141,0))))</f>
        <v>0</v>
      </c>
      <c r="AE141" s="14" t="n">
        <f aca="false">IF(AND($A141&lt;&gt;"",$A141&lt;Parameters!$B$14),CityData!F6*(1+TAXRATE),0)</f>
        <v>0</v>
      </c>
      <c r="AF141" s="14" t="n">
        <f aca="false">IF($A141="",0,IFERROR(VLOOKUP((YEAR($A141)+IF(MONTH($A141)&gt;=10,1,0))&amp;"|Phoenix|"&amp;MONTH($A141),Rates!$A$2:$I$181,5,FALSE()),0))</f>
        <v>0</v>
      </c>
      <c r="AG141" s="14" t="n">
        <f aca="false">IF(OR($A141="",$A141&gt;=Parameters!$B$14),1,IF(AND(AF141&gt;0,CityData!F6&lt;=AF141),1,0))</f>
        <v>1</v>
      </c>
      <c r="AH141" s="14" t="n">
        <f aca="false">IF($A141="",0,IFERROR(VLOOKUP((YEAR($A141)+IF(MONTH($A141)&gt;=10,1,0))&amp;"|Seattle|"&amp;MONTH($A141),Rates!$A$2:$I$181,6,FALSE()),0))</f>
        <v>0</v>
      </c>
      <c r="AI141" s="14" t="n">
        <f aca="false">IF(AH141=0,0,VLOOKUP(AH141,MIE_Components!$A$2:$F$6,2,FALSE()))</f>
        <v>0</v>
      </c>
      <c r="AJ141" s="14" t="n">
        <f aca="false">IF(AH141=0,0,VLOOKUP(AH141,MIE_Components!$A$2:$F$6,3,FALSE()))</f>
        <v>0</v>
      </c>
      <c r="AK141" s="14" t="n">
        <f aca="false">IF(AH141=0,0,VLOOKUP(AH141,MIE_Components!$A$2:$F$6,4,FALSE()))</f>
        <v>0</v>
      </c>
      <c r="AL141" s="14" t="n">
        <f aca="false">IF(OR($A141="",AH141=0),0,MAX(5,AH141*IF(OR($A141=Parameters!$B$13,$A141=Parameters!$B$14),0.75,1)-(IF(AND($A141=DATE(2026,11,29),NOV29BF="Yes"),AI141,0)+IF(OR($A141=DATE(2026,11,29),$A141=DATE(2026,11,30),$A141=DATE(2026,12,1),$A141=DATE(2026,12,2)),AJ141,0)+IF(OR($A141=DATE(2026,11,28),$A141=DATE(2026,12,1)),AK141,0))))</f>
        <v>0</v>
      </c>
      <c r="AM141" s="14" t="n">
        <f aca="false">IF(AND($A141&lt;&gt;"",$A141&lt;Parameters!$B$14),CityData!F7*(1+TAXRATE),0)</f>
        <v>0</v>
      </c>
      <c r="AN141" s="14" t="n">
        <f aca="false">IF($A141="",0,IFERROR(VLOOKUP((YEAR($A141)+IF(MONTH($A141)&gt;=10,1,0))&amp;"|Seattle|"&amp;MONTH($A141),Rates!$A$2:$I$181,5,FALSE()),0))</f>
        <v>0</v>
      </c>
      <c r="AO141" s="14" t="n">
        <f aca="false">IF(OR($A141="",$A141&gt;=Parameters!$B$14),1,IF(AND(AN141&gt;0,CityData!F7&lt;=AN141),1,0))</f>
        <v>1</v>
      </c>
    </row>
    <row r="142" customFormat="false" ht="15" hidden="false" customHeight="true" outlineLevel="0" collapsed="false">
      <c r="A142" s="23" t="str">
        <f aca="false">IF(AND(Parameters!$B$14&gt;=Parameters!$B$13,ROW()-2&lt;=Parameters!$B$14-Parameters!$B$13),Parameters!$B$13+ROW()-2,"")</f>
        <v/>
      </c>
      <c r="B142" s="14" t="n">
        <f aca="false">IF($A142="",0,IFERROR(VLOOKUP((YEAR($A142)+IF(MONTH($A142)&gt;=10,1,0))&amp;"|Boston|"&amp;MONTH($A142),Rates!$A$2:$I$181,6,FALSE()),0))</f>
        <v>0</v>
      </c>
      <c r="C142" s="14" t="n">
        <f aca="false">IF(B142=0,0,VLOOKUP(B142,MIE_Components!$A$2:$F$6,2,FALSE()))</f>
        <v>0</v>
      </c>
      <c r="D142" s="14" t="n">
        <f aca="false">IF(B142=0,0,VLOOKUP(B142,MIE_Components!$A$2:$F$6,3,FALSE()))</f>
        <v>0</v>
      </c>
      <c r="E142" s="14" t="n">
        <f aca="false">IF(B142=0,0,VLOOKUP(B142,MIE_Components!$A$2:$F$6,4,FALSE()))</f>
        <v>0</v>
      </c>
      <c r="F142" s="14" t="n">
        <f aca="false">IF(OR($A142="",B142=0),0,MAX(5,B142*IF(OR($A142=Parameters!$B$13,$A142=Parameters!$B$14),0.75,1)-(IF(AND($A142=DATE(2026,11,29),NOV29BF="Yes"),C142,0)+IF(OR($A142=DATE(2026,11,29),$A142=DATE(2026,11,30),$A142=DATE(2026,12,1),$A142=DATE(2026,12,2)),D142,0)+IF(OR($A142=DATE(2026,11,28),$A142=DATE(2026,12,1)),E142,0))))</f>
        <v>0</v>
      </c>
      <c r="G142" s="14" t="n">
        <f aca="false">IF(AND($A142&lt;&gt;"",$A142&lt;Parameters!$B$14),CityData!F3*(1+TAXRATE),0)</f>
        <v>0</v>
      </c>
      <c r="H142" s="14" t="n">
        <f aca="false">IF($A142="",0,IFERROR(VLOOKUP((YEAR($A142)+IF(MONTH($A142)&gt;=10,1,0))&amp;"|Boston|"&amp;MONTH($A142),Rates!$A$2:$I$181,5,FALSE()),0))</f>
        <v>0</v>
      </c>
      <c r="I142" s="14" t="n">
        <f aca="false">IF(OR($A142="",$A142&gt;=Parameters!$B$14),1,IF(AND(H142&gt;0,CityData!F3&lt;=H142),1,0))</f>
        <v>1</v>
      </c>
      <c r="J142" s="14" t="n">
        <f aca="false">IF($A142="",0,IFERROR(VLOOKUP((YEAR($A142)+IF(MONTH($A142)&gt;=10,1,0))&amp;"|Chicago|"&amp;MONTH($A142),Rates!$A$2:$I$181,6,FALSE()),0))</f>
        <v>0</v>
      </c>
      <c r="K142" s="14" t="n">
        <f aca="false">IF(J142=0,0,VLOOKUP(J142,MIE_Components!$A$2:$F$6,2,FALSE()))</f>
        <v>0</v>
      </c>
      <c r="L142" s="14" t="n">
        <f aca="false">IF(J142=0,0,VLOOKUP(J142,MIE_Components!$A$2:$F$6,3,FALSE()))</f>
        <v>0</v>
      </c>
      <c r="M142" s="14" t="n">
        <f aca="false">IF(J142=0,0,VLOOKUP(J142,MIE_Components!$A$2:$F$6,4,FALSE()))</f>
        <v>0</v>
      </c>
      <c r="N142" s="14" t="n">
        <f aca="false">IF(OR($A142="",J142=0),0,MAX(5,J142*IF(OR($A142=Parameters!$B$13,$A142=Parameters!$B$14),0.75,1)-(IF(AND($A142=DATE(2026,11,29),NOV29BF="Yes"),K142,0)+IF(OR($A142=DATE(2026,11,29),$A142=DATE(2026,11,30),$A142=DATE(2026,12,1),$A142=DATE(2026,12,2)),L142,0)+IF(OR($A142=DATE(2026,11,28),$A142=DATE(2026,12,1)),M142,0))))</f>
        <v>0</v>
      </c>
      <c r="O142" s="14" t="n">
        <f aca="false">IF(AND($A142&lt;&gt;"",$A142&lt;Parameters!$B$14),CityData!F4*(1+TAXRATE),0)</f>
        <v>0</v>
      </c>
      <c r="P142" s="14" t="n">
        <f aca="false">IF($A142="",0,IFERROR(VLOOKUP((YEAR($A142)+IF(MONTH($A142)&gt;=10,1,0))&amp;"|Chicago|"&amp;MONTH($A142),Rates!$A$2:$I$181,5,FALSE()),0))</f>
        <v>0</v>
      </c>
      <c r="Q142" s="14" t="n">
        <f aca="false">IF(OR($A142="",$A142&gt;=Parameters!$B$14),1,IF(AND(P142&gt;0,CityData!F4&lt;=P142),1,0))</f>
        <v>1</v>
      </c>
      <c r="R142" s="14" t="n">
        <f aca="false">IF($A142="",0,IFERROR(VLOOKUP((YEAR($A142)+IF(MONTH($A142)&gt;=10,1,0))&amp;"|Denver|"&amp;MONTH($A142),Rates!$A$2:$I$181,6,FALSE()),0))</f>
        <v>0</v>
      </c>
      <c r="S142" s="14" t="n">
        <f aca="false">IF(R142=0,0,VLOOKUP(R142,MIE_Components!$A$2:$F$6,2,FALSE()))</f>
        <v>0</v>
      </c>
      <c r="T142" s="14" t="n">
        <f aca="false">IF(R142=0,0,VLOOKUP(R142,MIE_Components!$A$2:$F$6,3,FALSE()))</f>
        <v>0</v>
      </c>
      <c r="U142" s="14" t="n">
        <f aca="false">IF(R142=0,0,VLOOKUP(R142,MIE_Components!$A$2:$F$6,4,FALSE()))</f>
        <v>0</v>
      </c>
      <c r="V142" s="14" t="n">
        <f aca="false">IF(OR($A142="",R142=0),0,MAX(5,R142*IF(OR($A142=Parameters!$B$13,$A142=Parameters!$B$14),0.75,1)-(IF(AND($A142=DATE(2026,11,29),NOV29BF="Yes"),S142,0)+IF(OR($A142=DATE(2026,11,29),$A142=DATE(2026,11,30),$A142=DATE(2026,12,1),$A142=DATE(2026,12,2)),T142,0)+IF(OR($A142=DATE(2026,11,28),$A142=DATE(2026,12,1)),U142,0))))</f>
        <v>0</v>
      </c>
      <c r="W142" s="14" t="n">
        <f aca="false">IF(AND($A142&lt;&gt;"",$A142&lt;Parameters!$B$14),CityData!F5*(1+TAXRATE),0)</f>
        <v>0</v>
      </c>
      <c r="X142" s="14" t="n">
        <f aca="false">IF($A142="",0,IFERROR(VLOOKUP((YEAR($A142)+IF(MONTH($A142)&gt;=10,1,0))&amp;"|Denver|"&amp;MONTH($A142),Rates!$A$2:$I$181,5,FALSE()),0))</f>
        <v>0</v>
      </c>
      <c r="Y142" s="14" t="n">
        <f aca="false">IF(OR($A142="",$A142&gt;=Parameters!$B$14),1,IF(AND(X142&gt;0,CityData!F5&lt;=X142),1,0))</f>
        <v>1</v>
      </c>
      <c r="Z142" s="14" t="n">
        <f aca="false">IF($A142="",0,IFERROR(VLOOKUP((YEAR($A142)+IF(MONTH($A142)&gt;=10,1,0))&amp;"|Phoenix|"&amp;MONTH($A142),Rates!$A$2:$I$181,6,FALSE()),0))</f>
        <v>0</v>
      </c>
      <c r="AA142" s="14" t="n">
        <f aca="false">IF(Z142=0,0,VLOOKUP(Z142,MIE_Components!$A$2:$F$6,2,FALSE()))</f>
        <v>0</v>
      </c>
      <c r="AB142" s="14" t="n">
        <f aca="false">IF(Z142=0,0,VLOOKUP(Z142,MIE_Components!$A$2:$F$6,3,FALSE()))</f>
        <v>0</v>
      </c>
      <c r="AC142" s="14" t="n">
        <f aca="false">IF(Z142=0,0,VLOOKUP(Z142,MIE_Components!$A$2:$F$6,4,FALSE()))</f>
        <v>0</v>
      </c>
      <c r="AD142" s="14" t="n">
        <f aca="false">IF(OR($A142="",Z142=0),0,MAX(5,Z142*IF(OR($A142=Parameters!$B$13,$A142=Parameters!$B$14),0.75,1)-(IF(AND($A142=DATE(2026,11,29),NOV29BF="Yes"),AA142,0)+IF(OR($A142=DATE(2026,11,29),$A142=DATE(2026,11,30),$A142=DATE(2026,12,1),$A142=DATE(2026,12,2)),AB142,0)+IF(OR($A142=DATE(2026,11,28),$A142=DATE(2026,12,1)),AC142,0))))</f>
        <v>0</v>
      </c>
      <c r="AE142" s="14" t="n">
        <f aca="false">IF(AND($A142&lt;&gt;"",$A142&lt;Parameters!$B$14),CityData!F6*(1+TAXRATE),0)</f>
        <v>0</v>
      </c>
      <c r="AF142" s="14" t="n">
        <f aca="false">IF($A142="",0,IFERROR(VLOOKUP((YEAR($A142)+IF(MONTH($A142)&gt;=10,1,0))&amp;"|Phoenix|"&amp;MONTH($A142),Rates!$A$2:$I$181,5,FALSE()),0))</f>
        <v>0</v>
      </c>
      <c r="AG142" s="14" t="n">
        <f aca="false">IF(OR($A142="",$A142&gt;=Parameters!$B$14),1,IF(AND(AF142&gt;0,CityData!F6&lt;=AF142),1,0))</f>
        <v>1</v>
      </c>
      <c r="AH142" s="14" t="n">
        <f aca="false">IF($A142="",0,IFERROR(VLOOKUP((YEAR($A142)+IF(MONTH($A142)&gt;=10,1,0))&amp;"|Seattle|"&amp;MONTH($A142),Rates!$A$2:$I$181,6,FALSE()),0))</f>
        <v>0</v>
      </c>
      <c r="AI142" s="14" t="n">
        <f aca="false">IF(AH142=0,0,VLOOKUP(AH142,MIE_Components!$A$2:$F$6,2,FALSE()))</f>
        <v>0</v>
      </c>
      <c r="AJ142" s="14" t="n">
        <f aca="false">IF(AH142=0,0,VLOOKUP(AH142,MIE_Components!$A$2:$F$6,3,FALSE()))</f>
        <v>0</v>
      </c>
      <c r="AK142" s="14" t="n">
        <f aca="false">IF(AH142=0,0,VLOOKUP(AH142,MIE_Components!$A$2:$F$6,4,FALSE()))</f>
        <v>0</v>
      </c>
      <c r="AL142" s="14" t="n">
        <f aca="false">IF(OR($A142="",AH142=0),0,MAX(5,AH142*IF(OR($A142=Parameters!$B$13,$A142=Parameters!$B$14),0.75,1)-(IF(AND($A142=DATE(2026,11,29),NOV29BF="Yes"),AI142,0)+IF(OR($A142=DATE(2026,11,29),$A142=DATE(2026,11,30),$A142=DATE(2026,12,1),$A142=DATE(2026,12,2)),AJ142,0)+IF(OR($A142=DATE(2026,11,28),$A142=DATE(2026,12,1)),AK142,0))))</f>
        <v>0</v>
      </c>
      <c r="AM142" s="14" t="n">
        <f aca="false">IF(AND($A142&lt;&gt;"",$A142&lt;Parameters!$B$14),CityData!F7*(1+TAXRATE),0)</f>
        <v>0</v>
      </c>
      <c r="AN142" s="14" t="n">
        <f aca="false">IF($A142="",0,IFERROR(VLOOKUP((YEAR($A142)+IF(MONTH($A142)&gt;=10,1,0))&amp;"|Seattle|"&amp;MONTH($A142),Rates!$A$2:$I$181,5,FALSE()),0))</f>
        <v>0</v>
      </c>
      <c r="AO142" s="14" t="n">
        <f aca="false">IF(OR($A142="",$A142&gt;=Parameters!$B$14),1,IF(AND(AN142&gt;0,CityData!F7&lt;=AN142),1,0))</f>
        <v>1</v>
      </c>
    </row>
    <row r="143" customFormat="false" ht="15" hidden="false" customHeight="true" outlineLevel="0" collapsed="false">
      <c r="A143" s="23" t="str">
        <f aca="false">IF(AND(Parameters!$B$14&gt;=Parameters!$B$13,ROW()-2&lt;=Parameters!$B$14-Parameters!$B$13),Parameters!$B$13+ROW()-2,"")</f>
        <v/>
      </c>
      <c r="B143" s="14" t="n">
        <f aca="false">IF($A143="",0,IFERROR(VLOOKUP((YEAR($A143)+IF(MONTH($A143)&gt;=10,1,0))&amp;"|Boston|"&amp;MONTH($A143),Rates!$A$2:$I$181,6,FALSE()),0))</f>
        <v>0</v>
      </c>
      <c r="C143" s="14" t="n">
        <f aca="false">IF(B143=0,0,VLOOKUP(B143,MIE_Components!$A$2:$F$6,2,FALSE()))</f>
        <v>0</v>
      </c>
      <c r="D143" s="14" t="n">
        <f aca="false">IF(B143=0,0,VLOOKUP(B143,MIE_Components!$A$2:$F$6,3,FALSE()))</f>
        <v>0</v>
      </c>
      <c r="E143" s="14" t="n">
        <f aca="false">IF(B143=0,0,VLOOKUP(B143,MIE_Components!$A$2:$F$6,4,FALSE()))</f>
        <v>0</v>
      </c>
      <c r="F143" s="14" t="n">
        <f aca="false">IF(OR($A143="",B143=0),0,MAX(5,B143*IF(OR($A143=Parameters!$B$13,$A143=Parameters!$B$14),0.75,1)-(IF(AND($A143=DATE(2026,11,29),NOV29BF="Yes"),C143,0)+IF(OR($A143=DATE(2026,11,29),$A143=DATE(2026,11,30),$A143=DATE(2026,12,1),$A143=DATE(2026,12,2)),D143,0)+IF(OR($A143=DATE(2026,11,28),$A143=DATE(2026,12,1)),E143,0))))</f>
        <v>0</v>
      </c>
      <c r="G143" s="14" t="n">
        <f aca="false">IF(AND($A143&lt;&gt;"",$A143&lt;Parameters!$B$14),CityData!F3*(1+TAXRATE),0)</f>
        <v>0</v>
      </c>
      <c r="H143" s="14" t="n">
        <f aca="false">IF($A143="",0,IFERROR(VLOOKUP((YEAR($A143)+IF(MONTH($A143)&gt;=10,1,0))&amp;"|Boston|"&amp;MONTH($A143),Rates!$A$2:$I$181,5,FALSE()),0))</f>
        <v>0</v>
      </c>
      <c r="I143" s="14" t="n">
        <f aca="false">IF(OR($A143="",$A143&gt;=Parameters!$B$14),1,IF(AND(H143&gt;0,CityData!F3&lt;=H143),1,0))</f>
        <v>1</v>
      </c>
      <c r="J143" s="14" t="n">
        <f aca="false">IF($A143="",0,IFERROR(VLOOKUP((YEAR($A143)+IF(MONTH($A143)&gt;=10,1,0))&amp;"|Chicago|"&amp;MONTH($A143),Rates!$A$2:$I$181,6,FALSE()),0))</f>
        <v>0</v>
      </c>
      <c r="K143" s="14" t="n">
        <f aca="false">IF(J143=0,0,VLOOKUP(J143,MIE_Components!$A$2:$F$6,2,FALSE()))</f>
        <v>0</v>
      </c>
      <c r="L143" s="14" t="n">
        <f aca="false">IF(J143=0,0,VLOOKUP(J143,MIE_Components!$A$2:$F$6,3,FALSE()))</f>
        <v>0</v>
      </c>
      <c r="M143" s="14" t="n">
        <f aca="false">IF(J143=0,0,VLOOKUP(J143,MIE_Components!$A$2:$F$6,4,FALSE()))</f>
        <v>0</v>
      </c>
      <c r="N143" s="14" t="n">
        <f aca="false">IF(OR($A143="",J143=0),0,MAX(5,J143*IF(OR($A143=Parameters!$B$13,$A143=Parameters!$B$14),0.75,1)-(IF(AND($A143=DATE(2026,11,29),NOV29BF="Yes"),K143,0)+IF(OR($A143=DATE(2026,11,29),$A143=DATE(2026,11,30),$A143=DATE(2026,12,1),$A143=DATE(2026,12,2)),L143,0)+IF(OR($A143=DATE(2026,11,28),$A143=DATE(2026,12,1)),M143,0))))</f>
        <v>0</v>
      </c>
      <c r="O143" s="14" t="n">
        <f aca="false">IF(AND($A143&lt;&gt;"",$A143&lt;Parameters!$B$14),CityData!F4*(1+TAXRATE),0)</f>
        <v>0</v>
      </c>
      <c r="P143" s="14" t="n">
        <f aca="false">IF($A143="",0,IFERROR(VLOOKUP((YEAR($A143)+IF(MONTH($A143)&gt;=10,1,0))&amp;"|Chicago|"&amp;MONTH($A143),Rates!$A$2:$I$181,5,FALSE()),0))</f>
        <v>0</v>
      </c>
      <c r="Q143" s="14" t="n">
        <f aca="false">IF(OR($A143="",$A143&gt;=Parameters!$B$14),1,IF(AND(P143&gt;0,CityData!F4&lt;=P143),1,0))</f>
        <v>1</v>
      </c>
      <c r="R143" s="14" t="n">
        <f aca="false">IF($A143="",0,IFERROR(VLOOKUP((YEAR($A143)+IF(MONTH($A143)&gt;=10,1,0))&amp;"|Denver|"&amp;MONTH($A143),Rates!$A$2:$I$181,6,FALSE()),0))</f>
        <v>0</v>
      </c>
      <c r="S143" s="14" t="n">
        <f aca="false">IF(R143=0,0,VLOOKUP(R143,MIE_Components!$A$2:$F$6,2,FALSE()))</f>
        <v>0</v>
      </c>
      <c r="T143" s="14" t="n">
        <f aca="false">IF(R143=0,0,VLOOKUP(R143,MIE_Components!$A$2:$F$6,3,FALSE()))</f>
        <v>0</v>
      </c>
      <c r="U143" s="14" t="n">
        <f aca="false">IF(R143=0,0,VLOOKUP(R143,MIE_Components!$A$2:$F$6,4,FALSE()))</f>
        <v>0</v>
      </c>
      <c r="V143" s="14" t="n">
        <f aca="false">IF(OR($A143="",R143=0),0,MAX(5,R143*IF(OR($A143=Parameters!$B$13,$A143=Parameters!$B$14),0.75,1)-(IF(AND($A143=DATE(2026,11,29),NOV29BF="Yes"),S143,0)+IF(OR($A143=DATE(2026,11,29),$A143=DATE(2026,11,30),$A143=DATE(2026,12,1),$A143=DATE(2026,12,2)),T143,0)+IF(OR($A143=DATE(2026,11,28),$A143=DATE(2026,12,1)),U143,0))))</f>
        <v>0</v>
      </c>
      <c r="W143" s="14" t="n">
        <f aca="false">IF(AND($A143&lt;&gt;"",$A143&lt;Parameters!$B$14),CityData!F5*(1+TAXRATE),0)</f>
        <v>0</v>
      </c>
      <c r="X143" s="14" t="n">
        <f aca="false">IF($A143="",0,IFERROR(VLOOKUP((YEAR($A143)+IF(MONTH($A143)&gt;=10,1,0))&amp;"|Denver|"&amp;MONTH($A143),Rates!$A$2:$I$181,5,FALSE()),0))</f>
        <v>0</v>
      </c>
      <c r="Y143" s="14" t="n">
        <f aca="false">IF(OR($A143="",$A143&gt;=Parameters!$B$14),1,IF(AND(X143&gt;0,CityData!F5&lt;=X143),1,0))</f>
        <v>1</v>
      </c>
      <c r="Z143" s="14" t="n">
        <f aca="false">IF($A143="",0,IFERROR(VLOOKUP((YEAR($A143)+IF(MONTH($A143)&gt;=10,1,0))&amp;"|Phoenix|"&amp;MONTH($A143),Rates!$A$2:$I$181,6,FALSE()),0))</f>
        <v>0</v>
      </c>
      <c r="AA143" s="14" t="n">
        <f aca="false">IF(Z143=0,0,VLOOKUP(Z143,MIE_Components!$A$2:$F$6,2,FALSE()))</f>
        <v>0</v>
      </c>
      <c r="AB143" s="14" t="n">
        <f aca="false">IF(Z143=0,0,VLOOKUP(Z143,MIE_Components!$A$2:$F$6,3,FALSE()))</f>
        <v>0</v>
      </c>
      <c r="AC143" s="14" t="n">
        <f aca="false">IF(Z143=0,0,VLOOKUP(Z143,MIE_Components!$A$2:$F$6,4,FALSE()))</f>
        <v>0</v>
      </c>
      <c r="AD143" s="14" t="n">
        <f aca="false">IF(OR($A143="",Z143=0),0,MAX(5,Z143*IF(OR($A143=Parameters!$B$13,$A143=Parameters!$B$14),0.75,1)-(IF(AND($A143=DATE(2026,11,29),NOV29BF="Yes"),AA143,0)+IF(OR($A143=DATE(2026,11,29),$A143=DATE(2026,11,30),$A143=DATE(2026,12,1),$A143=DATE(2026,12,2)),AB143,0)+IF(OR($A143=DATE(2026,11,28),$A143=DATE(2026,12,1)),AC143,0))))</f>
        <v>0</v>
      </c>
      <c r="AE143" s="14" t="n">
        <f aca="false">IF(AND($A143&lt;&gt;"",$A143&lt;Parameters!$B$14),CityData!F6*(1+TAXRATE),0)</f>
        <v>0</v>
      </c>
      <c r="AF143" s="14" t="n">
        <f aca="false">IF($A143="",0,IFERROR(VLOOKUP((YEAR($A143)+IF(MONTH($A143)&gt;=10,1,0))&amp;"|Phoenix|"&amp;MONTH($A143),Rates!$A$2:$I$181,5,FALSE()),0))</f>
        <v>0</v>
      </c>
      <c r="AG143" s="14" t="n">
        <f aca="false">IF(OR($A143="",$A143&gt;=Parameters!$B$14),1,IF(AND(AF143&gt;0,CityData!F6&lt;=AF143),1,0))</f>
        <v>1</v>
      </c>
      <c r="AH143" s="14" t="n">
        <f aca="false">IF($A143="",0,IFERROR(VLOOKUP((YEAR($A143)+IF(MONTH($A143)&gt;=10,1,0))&amp;"|Seattle|"&amp;MONTH($A143),Rates!$A$2:$I$181,6,FALSE()),0))</f>
        <v>0</v>
      </c>
      <c r="AI143" s="14" t="n">
        <f aca="false">IF(AH143=0,0,VLOOKUP(AH143,MIE_Components!$A$2:$F$6,2,FALSE()))</f>
        <v>0</v>
      </c>
      <c r="AJ143" s="14" t="n">
        <f aca="false">IF(AH143=0,0,VLOOKUP(AH143,MIE_Components!$A$2:$F$6,3,FALSE()))</f>
        <v>0</v>
      </c>
      <c r="AK143" s="14" t="n">
        <f aca="false">IF(AH143=0,0,VLOOKUP(AH143,MIE_Components!$A$2:$F$6,4,FALSE()))</f>
        <v>0</v>
      </c>
      <c r="AL143" s="14" t="n">
        <f aca="false">IF(OR($A143="",AH143=0),0,MAX(5,AH143*IF(OR($A143=Parameters!$B$13,$A143=Parameters!$B$14),0.75,1)-(IF(AND($A143=DATE(2026,11,29),NOV29BF="Yes"),AI143,0)+IF(OR($A143=DATE(2026,11,29),$A143=DATE(2026,11,30),$A143=DATE(2026,12,1),$A143=DATE(2026,12,2)),AJ143,0)+IF(OR($A143=DATE(2026,11,28),$A143=DATE(2026,12,1)),AK143,0))))</f>
        <v>0</v>
      </c>
      <c r="AM143" s="14" t="n">
        <f aca="false">IF(AND($A143&lt;&gt;"",$A143&lt;Parameters!$B$14),CityData!F7*(1+TAXRATE),0)</f>
        <v>0</v>
      </c>
      <c r="AN143" s="14" t="n">
        <f aca="false">IF($A143="",0,IFERROR(VLOOKUP((YEAR($A143)+IF(MONTH($A143)&gt;=10,1,0))&amp;"|Seattle|"&amp;MONTH($A143),Rates!$A$2:$I$181,5,FALSE()),0))</f>
        <v>0</v>
      </c>
      <c r="AO143" s="14" t="n">
        <f aca="false">IF(OR($A143="",$A143&gt;=Parameters!$B$14),1,IF(AND(AN143&gt;0,CityData!F7&lt;=AN143),1,0))</f>
        <v>1</v>
      </c>
    </row>
    <row r="144" customFormat="false" ht="15" hidden="false" customHeight="true" outlineLevel="0" collapsed="false">
      <c r="A144" s="23" t="str">
        <f aca="false">IF(AND(Parameters!$B$14&gt;=Parameters!$B$13,ROW()-2&lt;=Parameters!$B$14-Parameters!$B$13),Parameters!$B$13+ROW()-2,"")</f>
        <v/>
      </c>
      <c r="B144" s="14" t="n">
        <f aca="false">IF($A144="",0,IFERROR(VLOOKUP((YEAR($A144)+IF(MONTH($A144)&gt;=10,1,0))&amp;"|Boston|"&amp;MONTH($A144),Rates!$A$2:$I$181,6,FALSE()),0))</f>
        <v>0</v>
      </c>
      <c r="C144" s="14" t="n">
        <f aca="false">IF(B144=0,0,VLOOKUP(B144,MIE_Components!$A$2:$F$6,2,FALSE()))</f>
        <v>0</v>
      </c>
      <c r="D144" s="14" t="n">
        <f aca="false">IF(B144=0,0,VLOOKUP(B144,MIE_Components!$A$2:$F$6,3,FALSE()))</f>
        <v>0</v>
      </c>
      <c r="E144" s="14" t="n">
        <f aca="false">IF(B144=0,0,VLOOKUP(B144,MIE_Components!$A$2:$F$6,4,FALSE()))</f>
        <v>0</v>
      </c>
      <c r="F144" s="14" t="n">
        <f aca="false">IF(OR($A144="",B144=0),0,MAX(5,B144*IF(OR($A144=Parameters!$B$13,$A144=Parameters!$B$14),0.75,1)-(IF(AND($A144=DATE(2026,11,29),NOV29BF="Yes"),C144,0)+IF(OR($A144=DATE(2026,11,29),$A144=DATE(2026,11,30),$A144=DATE(2026,12,1),$A144=DATE(2026,12,2)),D144,0)+IF(OR($A144=DATE(2026,11,28),$A144=DATE(2026,12,1)),E144,0))))</f>
        <v>0</v>
      </c>
      <c r="G144" s="14" t="n">
        <f aca="false">IF(AND($A144&lt;&gt;"",$A144&lt;Parameters!$B$14),CityData!F3*(1+TAXRATE),0)</f>
        <v>0</v>
      </c>
      <c r="H144" s="14" t="n">
        <f aca="false">IF($A144="",0,IFERROR(VLOOKUP((YEAR($A144)+IF(MONTH($A144)&gt;=10,1,0))&amp;"|Boston|"&amp;MONTH($A144),Rates!$A$2:$I$181,5,FALSE()),0))</f>
        <v>0</v>
      </c>
      <c r="I144" s="14" t="n">
        <f aca="false">IF(OR($A144="",$A144&gt;=Parameters!$B$14),1,IF(AND(H144&gt;0,CityData!F3&lt;=H144),1,0))</f>
        <v>1</v>
      </c>
      <c r="J144" s="14" t="n">
        <f aca="false">IF($A144="",0,IFERROR(VLOOKUP((YEAR($A144)+IF(MONTH($A144)&gt;=10,1,0))&amp;"|Chicago|"&amp;MONTH($A144),Rates!$A$2:$I$181,6,FALSE()),0))</f>
        <v>0</v>
      </c>
      <c r="K144" s="14" t="n">
        <f aca="false">IF(J144=0,0,VLOOKUP(J144,MIE_Components!$A$2:$F$6,2,FALSE()))</f>
        <v>0</v>
      </c>
      <c r="L144" s="14" t="n">
        <f aca="false">IF(J144=0,0,VLOOKUP(J144,MIE_Components!$A$2:$F$6,3,FALSE()))</f>
        <v>0</v>
      </c>
      <c r="M144" s="14" t="n">
        <f aca="false">IF(J144=0,0,VLOOKUP(J144,MIE_Components!$A$2:$F$6,4,FALSE()))</f>
        <v>0</v>
      </c>
      <c r="N144" s="14" t="n">
        <f aca="false">IF(OR($A144="",J144=0),0,MAX(5,J144*IF(OR($A144=Parameters!$B$13,$A144=Parameters!$B$14),0.75,1)-(IF(AND($A144=DATE(2026,11,29),NOV29BF="Yes"),K144,0)+IF(OR($A144=DATE(2026,11,29),$A144=DATE(2026,11,30),$A144=DATE(2026,12,1),$A144=DATE(2026,12,2)),L144,0)+IF(OR($A144=DATE(2026,11,28),$A144=DATE(2026,12,1)),M144,0))))</f>
        <v>0</v>
      </c>
      <c r="O144" s="14" t="n">
        <f aca="false">IF(AND($A144&lt;&gt;"",$A144&lt;Parameters!$B$14),CityData!F4*(1+TAXRATE),0)</f>
        <v>0</v>
      </c>
      <c r="P144" s="14" t="n">
        <f aca="false">IF($A144="",0,IFERROR(VLOOKUP((YEAR($A144)+IF(MONTH($A144)&gt;=10,1,0))&amp;"|Chicago|"&amp;MONTH($A144),Rates!$A$2:$I$181,5,FALSE()),0))</f>
        <v>0</v>
      </c>
      <c r="Q144" s="14" t="n">
        <f aca="false">IF(OR($A144="",$A144&gt;=Parameters!$B$14),1,IF(AND(P144&gt;0,CityData!F4&lt;=P144),1,0))</f>
        <v>1</v>
      </c>
      <c r="R144" s="14" t="n">
        <f aca="false">IF($A144="",0,IFERROR(VLOOKUP((YEAR($A144)+IF(MONTH($A144)&gt;=10,1,0))&amp;"|Denver|"&amp;MONTH($A144),Rates!$A$2:$I$181,6,FALSE()),0))</f>
        <v>0</v>
      </c>
      <c r="S144" s="14" t="n">
        <f aca="false">IF(R144=0,0,VLOOKUP(R144,MIE_Components!$A$2:$F$6,2,FALSE()))</f>
        <v>0</v>
      </c>
      <c r="T144" s="14" t="n">
        <f aca="false">IF(R144=0,0,VLOOKUP(R144,MIE_Components!$A$2:$F$6,3,FALSE()))</f>
        <v>0</v>
      </c>
      <c r="U144" s="14" t="n">
        <f aca="false">IF(R144=0,0,VLOOKUP(R144,MIE_Components!$A$2:$F$6,4,FALSE()))</f>
        <v>0</v>
      </c>
      <c r="V144" s="14" t="n">
        <f aca="false">IF(OR($A144="",R144=0),0,MAX(5,R144*IF(OR($A144=Parameters!$B$13,$A144=Parameters!$B$14),0.75,1)-(IF(AND($A144=DATE(2026,11,29),NOV29BF="Yes"),S144,0)+IF(OR($A144=DATE(2026,11,29),$A144=DATE(2026,11,30),$A144=DATE(2026,12,1),$A144=DATE(2026,12,2)),T144,0)+IF(OR($A144=DATE(2026,11,28),$A144=DATE(2026,12,1)),U144,0))))</f>
        <v>0</v>
      </c>
      <c r="W144" s="14" t="n">
        <f aca="false">IF(AND($A144&lt;&gt;"",$A144&lt;Parameters!$B$14),CityData!F5*(1+TAXRATE),0)</f>
        <v>0</v>
      </c>
      <c r="X144" s="14" t="n">
        <f aca="false">IF($A144="",0,IFERROR(VLOOKUP((YEAR($A144)+IF(MONTH($A144)&gt;=10,1,0))&amp;"|Denver|"&amp;MONTH($A144),Rates!$A$2:$I$181,5,FALSE()),0))</f>
        <v>0</v>
      </c>
      <c r="Y144" s="14" t="n">
        <f aca="false">IF(OR($A144="",$A144&gt;=Parameters!$B$14),1,IF(AND(X144&gt;0,CityData!F5&lt;=X144),1,0))</f>
        <v>1</v>
      </c>
      <c r="Z144" s="14" t="n">
        <f aca="false">IF($A144="",0,IFERROR(VLOOKUP((YEAR($A144)+IF(MONTH($A144)&gt;=10,1,0))&amp;"|Phoenix|"&amp;MONTH($A144),Rates!$A$2:$I$181,6,FALSE()),0))</f>
        <v>0</v>
      </c>
      <c r="AA144" s="14" t="n">
        <f aca="false">IF(Z144=0,0,VLOOKUP(Z144,MIE_Components!$A$2:$F$6,2,FALSE()))</f>
        <v>0</v>
      </c>
      <c r="AB144" s="14" t="n">
        <f aca="false">IF(Z144=0,0,VLOOKUP(Z144,MIE_Components!$A$2:$F$6,3,FALSE()))</f>
        <v>0</v>
      </c>
      <c r="AC144" s="14" t="n">
        <f aca="false">IF(Z144=0,0,VLOOKUP(Z144,MIE_Components!$A$2:$F$6,4,FALSE()))</f>
        <v>0</v>
      </c>
      <c r="AD144" s="14" t="n">
        <f aca="false">IF(OR($A144="",Z144=0),0,MAX(5,Z144*IF(OR($A144=Parameters!$B$13,$A144=Parameters!$B$14),0.75,1)-(IF(AND($A144=DATE(2026,11,29),NOV29BF="Yes"),AA144,0)+IF(OR($A144=DATE(2026,11,29),$A144=DATE(2026,11,30),$A144=DATE(2026,12,1),$A144=DATE(2026,12,2)),AB144,0)+IF(OR($A144=DATE(2026,11,28),$A144=DATE(2026,12,1)),AC144,0))))</f>
        <v>0</v>
      </c>
      <c r="AE144" s="14" t="n">
        <f aca="false">IF(AND($A144&lt;&gt;"",$A144&lt;Parameters!$B$14),CityData!F6*(1+TAXRATE),0)</f>
        <v>0</v>
      </c>
      <c r="AF144" s="14" t="n">
        <f aca="false">IF($A144="",0,IFERROR(VLOOKUP((YEAR($A144)+IF(MONTH($A144)&gt;=10,1,0))&amp;"|Phoenix|"&amp;MONTH($A144),Rates!$A$2:$I$181,5,FALSE()),0))</f>
        <v>0</v>
      </c>
      <c r="AG144" s="14" t="n">
        <f aca="false">IF(OR($A144="",$A144&gt;=Parameters!$B$14),1,IF(AND(AF144&gt;0,CityData!F6&lt;=AF144),1,0))</f>
        <v>1</v>
      </c>
      <c r="AH144" s="14" t="n">
        <f aca="false">IF($A144="",0,IFERROR(VLOOKUP((YEAR($A144)+IF(MONTH($A144)&gt;=10,1,0))&amp;"|Seattle|"&amp;MONTH($A144),Rates!$A$2:$I$181,6,FALSE()),0))</f>
        <v>0</v>
      </c>
      <c r="AI144" s="14" t="n">
        <f aca="false">IF(AH144=0,0,VLOOKUP(AH144,MIE_Components!$A$2:$F$6,2,FALSE()))</f>
        <v>0</v>
      </c>
      <c r="AJ144" s="14" t="n">
        <f aca="false">IF(AH144=0,0,VLOOKUP(AH144,MIE_Components!$A$2:$F$6,3,FALSE()))</f>
        <v>0</v>
      </c>
      <c r="AK144" s="14" t="n">
        <f aca="false">IF(AH144=0,0,VLOOKUP(AH144,MIE_Components!$A$2:$F$6,4,FALSE()))</f>
        <v>0</v>
      </c>
      <c r="AL144" s="14" t="n">
        <f aca="false">IF(OR($A144="",AH144=0),0,MAX(5,AH144*IF(OR($A144=Parameters!$B$13,$A144=Parameters!$B$14),0.75,1)-(IF(AND($A144=DATE(2026,11,29),NOV29BF="Yes"),AI144,0)+IF(OR($A144=DATE(2026,11,29),$A144=DATE(2026,11,30),$A144=DATE(2026,12,1),$A144=DATE(2026,12,2)),AJ144,0)+IF(OR($A144=DATE(2026,11,28),$A144=DATE(2026,12,1)),AK144,0))))</f>
        <v>0</v>
      </c>
      <c r="AM144" s="14" t="n">
        <f aca="false">IF(AND($A144&lt;&gt;"",$A144&lt;Parameters!$B$14),CityData!F7*(1+TAXRATE),0)</f>
        <v>0</v>
      </c>
      <c r="AN144" s="14" t="n">
        <f aca="false">IF($A144="",0,IFERROR(VLOOKUP((YEAR($A144)+IF(MONTH($A144)&gt;=10,1,0))&amp;"|Seattle|"&amp;MONTH($A144),Rates!$A$2:$I$181,5,FALSE()),0))</f>
        <v>0</v>
      </c>
      <c r="AO144" s="14" t="n">
        <f aca="false">IF(OR($A144="",$A144&gt;=Parameters!$B$14),1,IF(AND(AN144&gt;0,CityData!F7&lt;=AN144),1,0))</f>
        <v>1</v>
      </c>
    </row>
    <row r="145" customFormat="false" ht="15" hidden="false" customHeight="true" outlineLevel="0" collapsed="false">
      <c r="A145" s="23" t="str">
        <f aca="false">IF(AND(Parameters!$B$14&gt;=Parameters!$B$13,ROW()-2&lt;=Parameters!$B$14-Parameters!$B$13),Parameters!$B$13+ROW()-2,"")</f>
        <v/>
      </c>
      <c r="B145" s="14" t="n">
        <f aca="false">IF($A145="",0,IFERROR(VLOOKUP((YEAR($A145)+IF(MONTH($A145)&gt;=10,1,0))&amp;"|Boston|"&amp;MONTH($A145),Rates!$A$2:$I$181,6,FALSE()),0))</f>
        <v>0</v>
      </c>
      <c r="C145" s="14" t="n">
        <f aca="false">IF(B145=0,0,VLOOKUP(B145,MIE_Components!$A$2:$F$6,2,FALSE()))</f>
        <v>0</v>
      </c>
      <c r="D145" s="14" t="n">
        <f aca="false">IF(B145=0,0,VLOOKUP(B145,MIE_Components!$A$2:$F$6,3,FALSE()))</f>
        <v>0</v>
      </c>
      <c r="E145" s="14" t="n">
        <f aca="false">IF(B145=0,0,VLOOKUP(B145,MIE_Components!$A$2:$F$6,4,FALSE()))</f>
        <v>0</v>
      </c>
      <c r="F145" s="14" t="n">
        <f aca="false">IF(OR($A145="",B145=0),0,MAX(5,B145*IF(OR($A145=Parameters!$B$13,$A145=Parameters!$B$14),0.75,1)-(IF(AND($A145=DATE(2026,11,29),NOV29BF="Yes"),C145,0)+IF(OR($A145=DATE(2026,11,29),$A145=DATE(2026,11,30),$A145=DATE(2026,12,1),$A145=DATE(2026,12,2)),D145,0)+IF(OR($A145=DATE(2026,11,28),$A145=DATE(2026,12,1)),E145,0))))</f>
        <v>0</v>
      </c>
      <c r="G145" s="14" t="n">
        <f aca="false">IF(AND($A145&lt;&gt;"",$A145&lt;Parameters!$B$14),CityData!F3*(1+TAXRATE),0)</f>
        <v>0</v>
      </c>
      <c r="H145" s="14" t="n">
        <f aca="false">IF($A145="",0,IFERROR(VLOOKUP((YEAR($A145)+IF(MONTH($A145)&gt;=10,1,0))&amp;"|Boston|"&amp;MONTH($A145),Rates!$A$2:$I$181,5,FALSE()),0))</f>
        <v>0</v>
      </c>
      <c r="I145" s="14" t="n">
        <f aca="false">IF(OR($A145="",$A145&gt;=Parameters!$B$14),1,IF(AND(H145&gt;0,CityData!F3&lt;=H145),1,0))</f>
        <v>1</v>
      </c>
      <c r="J145" s="14" t="n">
        <f aca="false">IF($A145="",0,IFERROR(VLOOKUP((YEAR($A145)+IF(MONTH($A145)&gt;=10,1,0))&amp;"|Chicago|"&amp;MONTH($A145),Rates!$A$2:$I$181,6,FALSE()),0))</f>
        <v>0</v>
      </c>
      <c r="K145" s="14" t="n">
        <f aca="false">IF(J145=0,0,VLOOKUP(J145,MIE_Components!$A$2:$F$6,2,FALSE()))</f>
        <v>0</v>
      </c>
      <c r="L145" s="14" t="n">
        <f aca="false">IF(J145=0,0,VLOOKUP(J145,MIE_Components!$A$2:$F$6,3,FALSE()))</f>
        <v>0</v>
      </c>
      <c r="M145" s="14" t="n">
        <f aca="false">IF(J145=0,0,VLOOKUP(J145,MIE_Components!$A$2:$F$6,4,FALSE()))</f>
        <v>0</v>
      </c>
      <c r="N145" s="14" t="n">
        <f aca="false">IF(OR($A145="",J145=0),0,MAX(5,J145*IF(OR($A145=Parameters!$B$13,$A145=Parameters!$B$14),0.75,1)-(IF(AND($A145=DATE(2026,11,29),NOV29BF="Yes"),K145,0)+IF(OR($A145=DATE(2026,11,29),$A145=DATE(2026,11,30),$A145=DATE(2026,12,1),$A145=DATE(2026,12,2)),L145,0)+IF(OR($A145=DATE(2026,11,28),$A145=DATE(2026,12,1)),M145,0))))</f>
        <v>0</v>
      </c>
      <c r="O145" s="14" t="n">
        <f aca="false">IF(AND($A145&lt;&gt;"",$A145&lt;Parameters!$B$14),CityData!F4*(1+TAXRATE),0)</f>
        <v>0</v>
      </c>
      <c r="P145" s="14" t="n">
        <f aca="false">IF($A145="",0,IFERROR(VLOOKUP((YEAR($A145)+IF(MONTH($A145)&gt;=10,1,0))&amp;"|Chicago|"&amp;MONTH($A145),Rates!$A$2:$I$181,5,FALSE()),0))</f>
        <v>0</v>
      </c>
      <c r="Q145" s="14" t="n">
        <f aca="false">IF(OR($A145="",$A145&gt;=Parameters!$B$14),1,IF(AND(P145&gt;0,CityData!F4&lt;=P145),1,0))</f>
        <v>1</v>
      </c>
      <c r="R145" s="14" t="n">
        <f aca="false">IF($A145="",0,IFERROR(VLOOKUP((YEAR($A145)+IF(MONTH($A145)&gt;=10,1,0))&amp;"|Denver|"&amp;MONTH($A145),Rates!$A$2:$I$181,6,FALSE()),0))</f>
        <v>0</v>
      </c>
      <c r="S145" s="14" t="n">
        <f aca="false">IF(R145=0,0,VLOOKUP(R145,MIE_Components!$A$2:$F$6,2,FALSE()))</f>
        <v>0</v>
      </c>
      <c r="T145" s="14" t="n">
        <f aca="false">IF(R145=0,0,VLOOKUP(R145,MIE_Components!$A$2:$F$6,3,FALSE()))</f>
        <v>0</v>
      </c>
      <c r="U145" s="14" t="n">
        <f aca="false">IF(R145=0,0,VLOOKUP(R145,MIE_Components!$A$2:$F$6,4,FALSE()))</f>
        <v>0</v>
      </c>
      <c r="V145" s="14" t="n">
        <f aca="false">IF(OR($A145="",R145=0),0,MAX(5,R145*IF(OR($A145=Parameters!$B$13,$A145=Parameters!$B$14),0.75,1)-(IF(AND($A145=DATE(2026,11,29),NOV29BF="Yes"),S145,0)+IF(OR($A145=DATE(2026,11,29),$A145=DATE(2026,11,30),$A145=DATE(2026,12,1),$A145=DATE(2026,12,2)),T145,0)+IF(OR($A145=DATE(2026,11,28),$A145=DATE(2026,12,1)),U145,0))))</f>
        <v>0</v>
      </c>
      <c r="W145" s="14" t="n">
        <f aca="false">IF(AND($A145&lt;&gt;"",$A145&lt;Parameters!$B$14),CityData!F5*(1+TAXRATE),0)</f>
        <v>0</v>
      </c>
      <c r="X145" s="14" t="n">
        <f aca="false">IF($A145="",0,IFERROR(VLOOKUP((YEAR($A145)+IF(MONTH($A145)&gt;=10,1,0))&amp;"|Denver|"&amp;MONTH($A145),Rates!$A$2:$I$181,5,FALSE()),0))</f>
        <v>0</v>
      </c>
      <c r="Y145" s="14" t="n">
        <f aca="false">IF(OR($A145="",$A145&gt;=Parameters!$B$14),1,IF(AND(X145&gt;0,CityData!F5&lt;=X145),1,0))</f>
        <v>1</v>
      </c>
      <c r="Z145" s="14" t="n">
        <f aca="false">IF($A145="",0,IFERROR(VLOOKUP((YEAR($A145)+IF(MONTH($A145)&gt;=10,1,0))&amp;"|Phoenix|"&amp;MONTH($A145),Rates!$A$2:$I$181,6,FALSE()),0))</f>
        <v>0</v>
      </c>
      <c r="AA145" s="14" t="n">
        <f aca="false">IF(Z145=0,0,VLOOKUP(Z145,MIE_Components!$A$2:$F$6,2,FALSE()))</f>
        <v>0</v>
      </c>
      <c r="AB145" s="14" t="n">
        <f aca="false">IF(Z145=0,0,VLOOKUP(Z145,MIE_Components!$A$2:$F$6,3,FALSE()))</f>
        <v>0</v>
      </c>
      <c r="AC145" s="14" t="n">
        <f aca="false">IF(Z145=0,0,VLOOKUP(Z145,MIE_Components!$A$2:$F$6,4,FALSE()))</f>
        <v>0</v>
      </c>
      <c r="AD145" s="14" t="n">
        <f aca="false">IF(OR($A145="",Z145=0),0,MAX(5,Z145*IF(OR($A145=Parameters!$B$13,$A145=Parameters!$B$14),0.75,1)-(IF(AND($A145=DATE(2026,11,29),NOV29BF="Yes"),AA145,0)+IF(OR($A145=DATE(2026,11,29),$A145=DATE(2026,11,30),$A145=DATE(2026,12,1),$A145=DATE(2026,12,2)),AB145,0)+IF(OR($A145=DATE(2026,11,28),$A145=DATE(2026,12,1)),AC145,0))))</f>
        <v>0</v>
      </c>
      <c r="AE145" s="14" t="n">
        <f aca="false">IF(AND($A145&lt;&gt;"",$A145&lt;Parameters!$B$14),CityData!F6*(1+TAXRATE),0)</f>
        <v>0</v>
      </c>
      <c r="AF145" s="14" t="n">
        <f aca="false">IF($A145="",0,IFERROR(VLOOKUP((YEAR($A145)+IF(MONTH($A145)&gt;=10,1,0))&amp;"|Phoenix|"&amp;MONTH($A145),Rates!$A$2:$I$181,5,FALSE()),0))</f>
        <v>0</v>
      </c>
      <c r="AG145" s="14" t="n">
        <f aca="false">IF(OR($A145="",$A145&gt;=Parameters!$B$14),1,IF(AND(AF145&gt;0,CityData!F6&lt;=AF145),1,0))</f>
        <v>1</v>
      </c>
      <c r="AH145" s="14" t="n">
        <f aca="false">IF($A145="",0,IFERROR(VLOOKUP((YEAR($A145)+IF(MONTH($A145)&gt;=10,1,0))&amp;"|Seattle|"&amp;MONTH($A145),Rates!$A$2:$I$181,6,FALSE()),0))</f>
        <v>0</v>
      </c>
      <c r="AI145" s="14" t="n">
        <f aca="false">IF(AH145=0,0,VLOOKUP(AH145,MIE_Components!$A$2:$F$6,2,FALSE()))</f>
        <v>0</v>
      </c>
      <c r="AJ145" s="14" t="n">
        <f aca="false">IF(AH145=0,0,VLOOKUP(AH145,MIE_Components!$A$2:$F$6,3,FALSE()))</f>
        <v>0</v>
      </c>
      <c r="AK145" s="14" t="n">
        <f aca="false">IF(AH145=0,0,VLOOKUP(AH145,MIE_Components!$A$2:$F$6,4,FALSE()))</f>
        <v>0</v>
      </c>
      <c r="AL145" s="14" t="n">
        <f aca="false">IF(OR($A145="",AH145=0),0,MAX(5,AH145*IF(OR($A145=Parameters!$B$13,$A145=Parameters!$B$14),0.75,1)-(IF(AND($A145=DATE(2026,11,29),NOV29BF="Yes"),AI145,0)+IF(OR($A145=DATE(2026,11,29),$A145=DATE(2026,11,30),$A145=DATE(2026,12,1),$A145=DATE(2026,12,2)),AJ145,0)+IF(OR($A145=DATE(2026,11,28),$A145=DATE(2026,12,1)),AK145,0))))</f>
        <v>0</v>
      </c>
      <c r="AM145" s="14" t="n">
        <f aca="false">IF(AND($A145&lt;&gt;"",$A145&lt;Parameters!$B$14),CityData!F7*(1+TAXRATE),0)</f>
        <v>0</v>
      </c>
      <c r="AN145" s="14" t="n">
        <f aca="false">IF($A145="",0,IFERROR(VLOOKUP((YEAR($A145)+IF(MONTH($A145)&gt;=10,1,0))&amp;"|Seattle|"&amp;MONTH($A145),Rates!$A$2:$I$181,5,FALSE()),0))</f>
        <v>0</v>
      </c>
      <c r="AO145" s="14" t="n">
        <f aca="false">IF(OR($A145="",$A145&gt;=Parameters!$B$14),1,IF(AND(AN145&gt;0,CityData!F7&lt;=AN145),1,0))</f>
        <v>1</v>
      </c>
    </row>
    <row r="146" customFormat="false" ht="15" hidden="false" customHeight="true" outlineLevel="0" collapsed="false">
      <c r="A146" s="23" t="str">
        <f aca="false">IF(AND(Parameters!$B$14&gt;=Parameters!$B$13,ROW()-2&lt;=Parameters!$B$14-Parameters!$B$13),Parameters!$B$13+ROW()-2,"")</f>
        <v/>
      </c>
      <c r="B146" s="14" t="n">
        <f aca="false">IF($A146="",0,IFERROR(VLOOKUP((YEAR($A146)+IF(MONTH($A146)&gt;=10,1,0))&amp;"|Boston|"&amp;MONTH($A146),Rates!$A$2:$I$181,6,FALSE()),0))</f>
        <v>0</v>
      </c>
      <c r="C146" s="14" t="n">
        <f aca="false">IF(B146=0,0,VLOOKUP(B146,MIE_Components!$A$2:$F$6,2,FALSE()))</f>
        <v>0</v>
      </c>
      <c r="D146" s="14" t="n">
        <f aca="false">IF(B146=0,0,VLOOKUP(B146,MIE_Components!$A$2:$F$6,3,FALSE()))</f>
        <v>0</v>
      </c>
      <c r="E146" s="14" t="n">
        <f aca="false">IF(B146=0,0,VLOOKUP(B146,MIE_Components!$A$2:$F$6,4,FALSE()))</f>
        <v>0</v>
      </c>
      <c r="F146" s="14" t="n">
        <f aca="false">IF(OR($A146="",B146=0),0,MAX(5,B146*IF(OR($A146=Parameters!$B$13,$A146=Parameters!$B$14),0.75,1)-(IF(AND($A146=DATE(2026,11,29),NOV29BF="Yes"),C146,0)+IF(OR($A146=DATE(2026,11,29),$A146=DATE(2026,11,30),$A146=DATE(2026,12,1),$A146=DATE(2026,12,2)),D146,0)+IF(OR($A146=DATE(2026,11,28),$A146=DATE(2026,12,1)),E146,0))))</f>
        <v>0</v>
      </c>
      <c r="G146" s="14" t="n">
        <f aca="false">IF(AND($A146&lt;&gt;"",$A146&lt;Parameters!$B$14),CityData!F3*(1+TAXRATE),0)</f>
        <v>0</v>
      </c>
      <c r="H146" s="14" t="n">
        <f aca="false">IF($A146="",0,IFERROR(VLOOKUP((YEAR($A146)+IF(MONTH($A146)&gt;=10,1,0))&amp;"|Boston|"&amp;MONTH($A146),Rates!$A$2:$I$181,5,FALSE()),0))</f>
        <v>0</v>
      </c>
      <c r="I146" s="14" t="n">
        <f aca="false">IF(OR($A146="",$A146&gt;=Parameters!$B$14),1,IF(AND(H146&gt;0,CityData!F3&lt;=H146),1,0))</f>
        <v>1</v>
      </c>
      <c r="J146" s="14" t="n">
        <f aca="false">IF($A146="",0,IFERROR(VLOOKUP((YEAR($A146)+IF(MONTH($A146)&gt;=10,1,0))&amp;"|Chicago|"&amp;MONTH($A146),Rates!$A$2:$I$181,6,FALSE()),0))</f>
        <v>0</v>
      </c>
      <c r="K146" s="14" t="n">
        <f aca="false">IF(J146=0,0,VLOOKUP(J146,MIE_Components!$A$2:$F$6,2,FALSE()))</f>
        <v>0</v>
      </c>
      <c r="L146" s="14" t="n">
        <f aca="false">IF(J146=0,0,VLOOKUP(J146,MIE_Components!$A$2:$F$6,3,FALSE()))</f>
        <v>0</v>
      </c>
      <c r="M146" s="14" t="n">
        <f aca="false">IF(J146=0,0,VLOOKUP(J146,MIE_Components!$A$2:$F$6,4,FALSE()))</f>
        <v>0</v>
      </c>
      <c r="N146" s="14" t="n">
        <f aca="false">IF(OR($A146="",J146=0),0,MAX(5,J146*IF(OR($A146=Parameters!$B$13,$A146=Parameters!$B$14),0.75,1)-(IF(AND($A146=DATE(2026,11,29),NOV29BF="Yes"),K146,0)+IF(OR($A146=DATE(2026,11,29),$A146=DATE(2026,11,30),$A146=DATE(2026,12,1),$A146=DATE(2026,12,2)),L146,0)+IF(OR($A146=DATE(2026,11,28),$A146=DATE(2026,12,1)),M146,0))))</f>
        <v>0</v>
      </c>
      <c r="O146" s="14" t="n">
        <f aca="false">IF(AND($A146&lt;&gt;"",$A146&lt;Parameters!$B$14),CityData!F4*(1+TAXRATE),0)</f>
        <v>0</v>
      </c>
      <c r="P146" s="14" t="n">
        <f aca="false">IF($A146="",0,IFERROR(VLOOKUP((YEAR($A146)+IF(MONTH($A146)&gt;=10,1,0))&amp;"|Chicago|"&amp;MONTH($A146),Rates!$A$2:$I$181,5,FALSE()),0))</f>
        <v>0</v>
      </c>
      <c r="Q146" s="14" t="n">
        <f aca="false">IF(OR($A146="",$A146&gt;=Parameters!$B$14),1,IF(AND(P146&gt;0,CityData!F4&lt;=P146),1,0))</f>
        <v>1</v>
      </c>
      <c r="R146" s="14" t="n">
        <f aca="false">IF($A146="",0,IFERROR(VLOOKUP((YEAR($A146)+IF(MONTH($A146)&gt;=10,1,0))&amp;"|Denver|"&amp;MONTH($A146),Rates!$A$2:$I$181,6,FALSE()),0))</f>
        <v>0</v>
      </c>
      <c r="S146" s="14" t="n">
        <f aca="false">IF(R146=0,0,VLOOKUP(R146,MIE_Components!$A$2:$F$6,2,FALSE()))</f>
        <v>0</v>
      </c>
      <c r="T146" s="14" t="n">
        <f aca="false">IF(R146=0,0,VLOOKUP(R146,MIE_Components!$A$2:$F$6,3,FALSE()))</f>
        <v>0</v>
      </c>
      <c r="U146" s="14" t="n">
        <f aca="false">IF(R146=0,0,VLOOKUP(R146,MIE_Components!$A$2:$F$6,4,FALSE()))</f>
        <v>0</v>
      </c>
      <c r="V146" s="14" t="n">
        <f aca="false">IF(OR($A146="",R146=0),0,MAX(5,R146*IF(OR($A146=Parameters!$B$13,$A146=Parameters!$B$14),0.75,1)-(IF(AND($A146=DATE(2026,11,29),NOV29BF="Yes"),S146,0)+IF(OR($A146=DATE(2026,11,29),$A146=DATE(2026,11,30),$A146=DATE(2026,12,1),$A146=DATE(2026,12,2)),T146,0)+IF(OR($A146=DATE(2026,11,28),$A146=DATE(2026,12,1)),U146,0))))</f>
        <v>0</v>
      </c>
      <c r="W146" s="14" t="n">
        <f aca="false">IF(AND($A146&lt;&gt;"",$A146&lt;Parameters!$B$14),CityData!F5*(1+TAXRATE),0)</f>
        <v>0</v>
      </c>
      <c r="X146" s="14" t="n">
        <f aca="false">IF($A146="",0,IFERROR(VLOOKUP((YEAR($A146)+IF(MONTH($A146)&gt;=10,1,0))&amp;"|Denver|"&amp;MONTH($A146),Rates!$A$2:$I$181,5,FALSE()),0))</f>
        <v>0</v>
      </c>
      <c r="Y146" s="14" t="n">
        <f aca="false">IF(OR($A146="",$A146&gt;=Parameters!$B$14),1,IF(AND(X146&gt;0,CityData!F5&lt;=X146),1,0))</f>
        <v>1</v>
      </c>
      <c r="Z146" s="14" t="n">
        <f aca="false">IF($A146="",0,IFERROR(VLOOKUP((YEAR($A146)+IF(MONTH($A146)&gt;=10,1,0))&amp;"|Phoenix|"&amp;MONTH($A146),Rates!$A$2:$I$181,6,FALSE()),0))</f>
        <v>0</v>
      </c>
      <c r="AA146" s="14" t="n">
        <f aca="false">IF(Z146=0,0,VLOOKUP(Z146,MIE_Components!$A$2:$F$6,2,FALSE()))</f>
        <v>0</v>
      </c>
      <c r="AB146" s="14" t="n">
        <f aca="false">IF(Z146=0,0,VLOOKUP(Z146,MIE_Components!$A$2:$F$6,3,FALSE()))</f>
        <v>0</v>
      </c>
      <c r="AC146" s="14" t="n">
        <f aca="false">IF(Z146=0,0,VLOOKUP(Z146,MIE_Components!$A$2:$F$6,4,FALSE()))</f>
        <v>0</v>
      </c>
      <c r="AD146" s="14" t="n">
        <f aca="false">IF(OR($A146="",Z146=0),0,MAX(5,Z146*IF(OR($A146=Parameters!$B$13,$A146=Parameters!$B$14),0.75,1)-(IF(AND($A146=DATE(2026,11,29),NOV29BF="Yes"),AA146,0)+IF(OR($A146=DATE(2026,11,29),$A146=DATE(2026,11,30),$A146=DATE(2026,12,1),$A146=DATE(2026,12,2)),AB146,0)+IF(OR($A146=DATE(2026,11,28),$A146=DATE(2026,12,1)),AC146,0))))</f>
        <v>0</v>
      </c>
      <c r="AE146" s="14" t="n">
        <f aca="false">IF(AND($A146&lt;&gt;"",$A146&lt;Parameters!$B$14),CityData!F6*(1+TAXRATE),0)</f>
        <v>0</v>
      </c>
      <c r="AF146" s="14" t="n">
        <f aca="false">IF($A146="",0,IFERROR(VLOOKUP((YEAR($A146)+IF(MONTH($A146)&gt;=10,1,0))&amp;"|Phoenix|"&amp;MONTH($A146),Rates!$A$2:$I$181,5,FALSE()),0))</f>
        <v>0</v>
      </c>
      <c r="AG146" s="14" t="n">
        <f aca="false">IF(OR($A146="",$A146&gt;=Parameters!$B$14),1,IF(AND(AF146&gt;0,CityData!F6&lt;=AF146),1,0))</f>
        <v>1</v>
      </c>
      <c r="AH146" s="14" t="n">
        <f aca="false">IF($A146="",0,IFERROR(VLOOKUP((YEAR($A146)+IF(MONTH($A146)&gt;=10,1,0))&amp;"|Seattle|"&amp;MONTH($A146),Rates!$A$2:$I$181,6,FALSE()),0))</f>
        <v>0</v>
      </c>
      <c r="AI146" s="14" t="n">
        <f aca="false">IF(AH146=0,0,VLOOKUP(AH146,MIE_Components!$A$2:$F$6,2,FALSE()))</f>
        <v>0</v>
      </c>
      <c r="AJ146" s="14" t="n">
        <f aca="false">IF(AH146=0,0,VLOOKUP(AH146,MIE_Components!$A$2:$F$6,3,FALSE()))</f>
        <v>0</v>
      </c>
      <c r="AK146" s="14" t="n">
        <f aca="false">IF(AH146=0,0,VLOOKUP(AH146,MIE_Components!$A$2:$F$6,4,FALSE()))</f>
        <v>0</v>
      </c>
      <c r="AL146" s="14" t="n">
        <f aca="false">IF(OR($A146="",AH146=0),0,MAX(5,AH146*IF(OR($A146=Parameters!$B$13,$A146=Parameters!$B$14),0.75,1)-(IF(AND($A146=DATE(2026,11,29),NOV29BF="Yes"),AI146,0)+IF(OR($A146=DATE(2026,11,29),$A146=DATE(2026,11,30),$A146=DATE(2026,12,1),$A146=DATE(2026,12,2)),AJ146,0)+IF(OR($A146=DATE(2026,11,28),$A146=DATE(2026,12,1)),AK146,0))))</f>
        <v>0</v>
      </c>
      <c r="AM146" s="14" t="n">
        <f aca="false">IF(AND($A146&lt;&gt;"",$A146&lt;Parameters!$B$14),CityData!F7*(1+TAXRATE),0)</f>
        <v>0</v>
      </c>
      <c r="AN146" s="14" t="n">
        <f aca="false">IF($A146="",0,IFERROR(VLOOKUP((YEAR($A146)+IF(MONTH($A146)&gt;=10,1,0))&amp;"|Seattle|"&amp;MONTH($A146),Rates!$A$2:$I$181,5,FALSE()),0))</f>
        <v>0</v>
      </c>
      <c r="AO146" s="14" t="n">
        <f aca="false">IF(OR($A146="",$A146&gt;=Parameters!$B$14),1,IF(AND(AN146&gt;0,CityData!F7&lt;=AN146),1,0))</f>
        <v>1</v>
      </c>
    </row>
    <row r="147" customFormat="false" ht="15" hidden="false" customHeight="true" outlineLevel="0" collapsed="false">
      <c r="A147" s="23" t="str">
        <f aca="false">IF(AND(Parameters!$B$14&gt;=Parameters!$B$13,ROW()-2&lt;=Parameters!$B$14-Parameters!$B$13),Parameters!$B$13+ROW()-2,"")</f>
        <v/>
      </c>
      <c r="B147" s="14" t="n">
        <f aca="false">IF($A147="",0,IFERROR(VLOOKUP((YEAR($A147)+IF(MONTH($A147)&gt;=10,1,0))&amp;"|Boston|"&amp;MONTH($A147),Rates!$A$2:$I$181,6,FALSE()),0))</f>
        <v>0</v>
      </c>
      <c r="C147" s="14" t="n">
        <f aca="false">IF(B147=0,0,VLOOKUP(B147,MIE_Components!$A$2:$F$6,2,FALSE()))</f>
        <v>0</v>
      </c>
      <c r="D147" s="14" t="n">
        <f aca="false">IF(B147=0,0,VLOOKUP(B147,MIE_Components!$A$2:$F$6,3,FALSE()))</f>
        <v>0</v>
      </c>
      <c r="E147" s="14" t="n">
        <f aca="false">IF(B147=0,0,VLOOKUP(B147,MIE_Components!$A$2:$F$6,4,FALSE()))</f>
        <v>0</v>
      </c>
      <c r="F147" s="14" t="n">
        <f aca="false">IF(OR($A147="",B147=0),0,MAX(5,B147*IF(OR($A147=Parameters!$B$13,$A147=Parameters!$B$14),0.75,1)-(IF(AND($A147=DATE(2026,11,29),NOV29BF="Yes"),C147,0)+IF(OR($A147=DATE(2026,11,29),$A147=DATE(2026,11,30),$A147=DATE(2026,12,1),$A147=DATE(2026,12,2)),D147,0)+IF(OR($A147=DATE(2026,11,28),$A147=DATE(2026,12,1)),E147,0))))</f>
        <v>0</v>
      </c>
      <c r="G147" s="14" t="n">
        <f aca="false">IF(AND($A147&lt;&gt;"",$A147&lt;Parameters!$B$14),CityData!F3*(1+TAXRATE),0)</f>
        <v>0</v>
      </c>
      <c r="H147" s="14" t="n">
        <f aca="false">IF($A147="",0,IFERROR(VLOOKUP((YEAR($A147)+IF(MONTH($A147)&gt;=10,1,0))&amp;"|Boston|"&amp;MONTH($A147),Rates!$A$2:$I$181,5,FALSE()),0))</f>
        <v>0</v>
      </c>
      <c r="I147" s="14" t="n">
        <f aca="false">IF(OR($A147="",$A147&gt;=Parameters!$B$14),1,IF(AND(H147&gt;0,CityData!F3&lt;=H147),1,0))</f>
        <v>1</v>
      </c>
      <c r="J147" s="14" t="n">
        <f aca="false">IF($A147="",0,IFERROR(VLOOKUP((YEAR($A147)+IF(MONTH($A147)&gt;=10,1,0))&amp;"|Chicago|"&amp;MONTH($A147),Rates!$A$2:$I$181,6,FALSE()),0))</f>
        <v>0</v>
      </c>
      <c r="K147" s="14" t="n">
        <f aca="false">IF(J147=0,0,VLOOKUP(J147,MIE_Components!$A$2:$F$6,2,FALSE()))</f>
        <v>0</v>
      </c>
      <c r="L147" s="14" t="n">
        <f aca="false">IF(J147=0,0,VLOOKUP(J147,MIE_Components!$A$2:$F$6,3,FALSE()))</f>
        <v>0</v>
      </c>
      <c r="M147" s="14" t="n">
        <f aca="false">IF(J147=0,0,VLOOKUP(J147,MIE_Components!$A$2:$F$6,4,FALSE()))</f>
        <v>0</v>
      </c>
      <c r="N147" s="14" t="n">
        <f aca="false">IF(OR($A147="",J147=0),0,MAX(5,J147*IF(OR($A147=Parameters!$B$13,$A147=Parameters!$B$14),0.75,1)-(IF(AND($A147=DATE(2026,11,29),NOV29BF="Yes"),K147,0)+IF(OR($A147=DATE(2026,11,29),$A147=DATE(2026,11,30),$A147=DATE(2026,12,1),$A147=DATE(2026,12,2)),L147,0)+IF(OR($A147=DATE(2026,11,28),$A147=DATE(2026,12,1)),M147,0))))</f>
        <v>0</v>
      </c>
      <c r="O147" s="14" t="n">
        <f aca="false">IF(AND($A147&lt;&gt;"",$A147&lt;Parameters!$B$14),CityData!F4*(1+TAXRATE),0)</f>
        <v>0</v>
      </c>
      <c r="P147" s="14" t="n">
        <f aca="false">IF($A147="",0,IFERROR(VLOOKUP((YEAR($A147)+IF(MONTH($A147)&gt;=10,1,0))&amp;"|Chicago|"&amp;MONTH($A147),Rates!$A$2:$I$181,5,FALSE()),0))</f>
        <v>0</v>
      </c>
      <c r="Q147" s="14" t="n">
        <f aca="false">IF(OR($A147="",$A147&gt;=Parameters!$B$14),1,IF(AND(P147&gt;0,CityData!F4&lt;=P147),1,0))</f>
        <v>1</v>
      </c>
      <c r="R147" s="14" t="n">
        <f aca="false">IF($A147="",0,IFERROR(VLOOKUP((YEAR($A147)+IF(MONTH($A147)&gt;=10,1,0))&amp;"|Denver|"&amp;MONTH($A147),Rates!$A$2:$I$181,6,FALSE()),0))</f>
        <v>0</v>
      </c>
      <c r="S147" s="14" t="n">
        <f aca="false">IF(R147=0,0,VLOOKUP(R147,MIE_Components!$A$2:$F$6,2,FALSE()))</f>
        <v>0</v>
      </c>
      <c r="T147" s="14" t="n">
        <f aca="false">IF(R147=0,0,VLOOKUP(R147,MIE_Components!$A$2:$F$6,3,FALSE()))</f>
        <v>0</v>
      </c>
      <c r="U147" s="14" t="n">
        <f aca="false">IF(R147=0,0,VLOOKUP(R147,MIE_Components!$A$2:$F$6,4,FALSE()))</f>
        <v>0</v>
      </c>
      <c r="V147" s="14" t="n">
        <f aca="false">IF(OR($A147="",R147=0),0,MAX(5,R147*IF(OR($A147=Parameters!$B$13,$A147=Parameters!$B$14),0.75,1)-(IF(AND($A147=DATE(2026,11,29),NOV29BF="Yes"),S147,0)+IF(OR($A147=DATE(2026,11,29),$A147=DATE(2026,11,30),$A147=DATE(2026,12,1),$A147=DATE(2026,12,2)),T147,0)+IF(OR($A147=DATE(2026,11,28),$A147=DATE(2026,12,1)),U147,0))))</f>
        <v>0</v>
      </c>
      <c r="W147" s="14" t="n">
        <f aca="false">IF(AND($A147&lt;&gt;"",$A147&lt;Parameters!$B$14),CityData!F5*(1+TAXRATE),0)</f>
        <v>0</v>
      </c>
      <c r="X147" s="14" t="n">
        <f aca="false">IF($A147="",0,IFERROR(VLOOKUP((YEAR($A147)+IF(MONTH($A147)&gt;=10,1,0))&amp;"|Denver|"&amp;MONTH($A147),Rates!$A$2:$I$181,5,FALSE()),0))</f>
        <v>0</v>
      </c>
      <c r="Y147" s="14" t="n">
        <f aca="false">IF(OR($A147="",$A147&gt;=Parameters!$B$14),1,IF(AND(X147&gt;0,CityData!F5&lt;=X147),1,0))</f>
        <v>1</v>
      </c>
      <c r="Z147" s="14" t="n">
        <f aca="false">IF($A147="",0,IFERROR(VLOOKUP((YEAR($A147)+IF(MONTH($A147)&gt;=10,1,0))&amp;"|Phoenix|"&amp;MONTH($A147),Rates!$A$2:$I$181,6,FALSE()),0))</f>
        <v>0</v>
      </c>
      <c r="AA147" s="14" t="n">
        <f aca="false">IF(Z147=0,0,VLOOKUP(Z147,MIE_Components!$A$2:$F$6,2,FALSE()))</f>
        <v>0</v>
      </c>
      <c r="AB147" s="14" t="n">
        <f aca="false">IF(Z147=0,0,VLOOKUP(Z147,MIE_Components!$A$2:$F$6,3,FALSE()))</f>
        <v>0</v>
      </c>
      <c r="AC147" s="14" t="n">
        <f aca="false">IF(Z147=0,0,VLOOKUP(Z147,MIE_Components!$A$2:$F$6,4,FALSE()))</f>
        <v>0</v>
      </c>
      <c r="AD147" s="14" t="n">
        <f aca="false">IF(OR($A147="",Z147=0),0,MAX(5,Z147*IF(OR($A147=Parameters!$B$13,$A147=Parameters!$B$14),0.75,1)-(IF(AND($A147=DATE(2026,11,29),NOV29BF="Yes"),AA147,0)+IF(OR($A147=DATE(2026,11,29),$A147=DATE(2026,11,30),$A147=DATE(2026,12,1),$A147=DATE(2026,12,2)),AB147,0)+IF(OR($A147=DATE(2026,11,28),$A147=DATE(2026,12,1)),AC147,0))))</f>
        <v>0</v>
      </c>
      <c r="AE147" s="14" t="n">
        <f aca="false">IF(AND($A147&lt;&gt;"",$A147&lt;Parameters!$B$14),CityData!F6*(1+TAXRATE),0)</f>
        <v>0</v>
      </c>
      <c r="AF147" s="14" t="n">
        <f aca="false">IF($A147="",0,IFERROR(VLOOKUP((YEAR($A147)+IF(MONTH($A147)&gt;=10,1,0))&amp;"|Phoenix|"&amp;MONTH($A147),Rates!$A$2:$I$181,5,FALSE()),0))</f>
        <v>0</v>
      </c>
      <c r="AG147" s="14" t="n">
        <f aca="false">IF(OR($A147="",$A147&gt;=Parameters!$B$14),1,IF(AND(AF147&gt;0,CityData!F6&lt;=AF147),1,0))</f>
        <v>1</v>
      </c>
      <c r="AH147" s="14" t="n">
        <f aca="false">IF($A147="",0,IFERROR(VLOOKUP((YEAR($A147)+IF(MONTH($A147)&gt;=10,1,0))&amp;"|Seattle|"&amp;MONTH($A147),Rates!$A$2:$I$181,6,FALSE()),0))</f>
        <v>0</v>
      </c>
      <c r="AI147" s="14" t="n">
        <f aca="false">IF(AH147=0,0,VLOOKUP(AH147,MIE_Components!$A$2:$F$6,2,FALSE()))</f>
        <v>0</v>
      </c>
      <c r="AJ147" s="14" t="n">
        <f aca="false">IF(AH147=0,0,VLOOKUP(AH147,MIE_Components!$A$2:$F$6,3,FALSE()))</f>
        <v>0</v>
      </c>
      <c r="AK147" s="14" t="n">
        <f aca="false">IF(AH147=0,0,VLOOKUP(AH147,MIE_Components!$A$2:$F$6,4,FALSE()))</f>
        <v>0</v>
      </c>
      <c r="AL147" s="14" t="n">
        <f aca="false">IF(OR($A147="",AH147=0),0,MAX(5,AH147*IF(OR($A147=Parameters!$B$13,$A147=Parameters!$B$14),0.75,1)-(IF(AND($A147=DATE(2026,11,29),NOV29BF="Yes"),AI147,0)+IF(OR($A147=DATE(2026,11,29),$A147=DATE(2026,11,30),$A147=DATE(2026,12,1),$A147=DATE(2026,12,2)),AJ147,0)+IF(OR($A147=DATE(2026,11,28),$A147=DATE(2026,12,1)),AK147,0))))</f>
        <v>0</v>
      </c>
      <c r="AM147" s="14" t="n">
        <f aca="false">IF(AND($A147&lt;&gt;"",$A147&lt;Parameters!$B$14),CityData!F7*(1+TAXRATE),0)</f>
        <v>0</v>
      </c>
      <c r="AN147" s="14" t="n">
        <f aca="false">IF($A147="",0,IFERROR(VLOOKUP((YEAR($A147)+IF(MONTH($A147)&gt;=10,1,0))&amp;"|Seattle|"&amp;MONTH($A147),Rates!$A$2:$I$181,5,FALSE()),0))</f>
        <v>0</v>
      </c>
      <c r="AO147" s="14" t="n">
        <f aca="false">IF(OR($A147="",$A147&gt;=Parameters!$B$14),1,IF(AND(AN147&gt;0,CityData!F7&lt;=AN147),1,0))</f>
        <v>1</v>
      </c>
    </row>
    <row r="148" customFormat="false" ht="15" hidden="false" customHeight="true" outlineLevel="0" collapsed="false">
      <c r="A148" s="23" t="str">
        <f aca="false">IF(AND(Parameters!$B$14&gt;=Parameters!$B$13,ROW()-2&lt;=Parameters!$B$14-Parameters!$B$13),Parameters!$B$13+ROW()-2,"")</f>
        <v/>
      </c>
      <c r="B148" s="14" t="n">
        <f aca="false">IF($A148="",0,IFERROR(VLOOKUP((YEAR($A148)+IF(MONTH($A148)&gt;=10,1,0))&amp;"|Boston|"&amp;MONTH($A148),Rates!$A$2:$I$181,6,FALSE()),0))</f>
        <v>0</v>
      </c>
      <c r="C148" s="14" t="n">
        <f aca="false">IF(B148=0,0,VLOOKUP(B148,MIE_Components!$A$2:$F$6,2,FALSE()))</f>
        <v>0</v>
      </c>
      <c r="D148" s="14" t="n">
        <f aca="false">IF(B148=0,0,VLOOKUP(B148,MIE_Components!$A$2:$F$6,3,FALSE()))</f>
        <v>0</v>
      </c>
      <c r="E148" s="14" t="n">
        <f aca="false">IF(B148=0,0,VLOOKUP(B148,MIE_Components!$A$2:$F$6,4,FALSE()))</f>
        <v>0</v>
      </c>
      <c r="F148" s="14" t="n">
        <f aca="false">IF(OR($A148="",B148=0),0,MAX(5,B148*IF(OR($A148=Parameters!$B$13,$A148=Parameters!$B$14),0.75,1)-(IF(AND($A148=DATE(2026,11,29),NOV29BF="Yes"),C148,0)+IF(OR($A148=DATE(2026,11,29),$A148=DATE(2026,11,30),$A148=DATE(2026,12,1),$A148=DATE(2026,12,2)),D148,0)+IF(OR($A148=DATE(2026,11,28),$A148=DATE(2026,12,1)),E148,0))))</f>
        <v>0</v>
      </c>
      <c r="G148" s="14" t="n">
        <f aca="false">IF(AND($A148&lt;&gt;"",$A148&lt;Parameters!$B$14),CityData!F3*(1+TAXRATE),0)</f>
        <v>0</v>
      </c>
      <c r="H148" s="14" t="n">
        <f aca="false">IF($A148="",0,IFERROR(VLOOKUP((YEAR($A148)+IF(MONTH($A148)&gt;=10,1,0))&amp;"|Boston|"&amp;MONTH($A148),Rates!$A$2:$I$181,5,FALSE()),0))</f>
        <v>0</v>
      </c>
      <c r="I148" s="14" t="n">
        <f aca="false">IF(OR($A148="",$A148&gt;=Parameters!$B$14),1,IF(AND(H148&gt;0,CityData!F3&lt;=H148),1,0))</f>
        <v>1</v>
      </c>
      <c r="J148" s="14" t="n">
        <f aca="false">IF($A148="",0,IFERROR(VLOOKUP((YEAR($A148)+IF(MONTH($A148)&gt;=10,1,0))&amp;"|Chicago|"&amp;MONTH($A148),Rates!$A$2:$I$181,6,FALSE()),0))</f>
        <v>0</v>
      </c>
      <c r="K148" s="14" t="n">
        <f aca="false">IF(J148=0,0,VLOOKUP(J148,MIE_Components!$A$2:$F$6,2,FALSE()))</f>
        <v>0</v>
      </c>
      <c r="L148" s="14" t="n">
        <f aca="false">IF(J148=0,0,VLOOKUP(J148,MIE_Components!$A$2:$F$6,3,FALSE()))</f>
        <v>0</v>
      </c>
      <c r="M148" s="14" t="n">
        <f aca="false">IF(J148=0,0,VLOOKUP(J148,MIE_Components!$A$2:$F$6,4,FALSE()))</f>
        <v>0</v>
      </c>
      <c r="N148" s="14" t="n">
        <f aca="false">IF(OR($A148="",J148=0),0,MAX(5,J148*IF(OR($A148=Parameters!$B$13,$A148=Parameters!$B$14),0.75,1)-(IF(AND($A148=DATE(2026,11,29),NOV29BF="Yes"),K148,0)+IF(OR($A148=DATE(2026,11,29),$A148=DATE(2026,11,30),$A148=DATE(2026,12,1),$A148=DATE(2026,12,2)),L148,0)+IF(OR($A148=DATE(2026,11,28),$A148=DATE(2026,12,1)),M148,0))))</f>
        <v>0</v>
      </c>
      <c r="O148" s="14" t="n">
        <f aca="false">IF(AND($A148&lt;&gt;"",$A148&lt;Parameters!$B$14),CityData!F4*(1+TAXRATE),0)</f>
        <v>0</v>
      </c>
      <c r="P148" s="14" t="n">
        <f aca="false">IF($A148="",0,IFERROR(VLOOKUP((YEAR($A148)+IF(MONTH($A148)&gt;=10,1,0))&amp;"|Chicago|"&amp;MONTH($A148),Rates!$A$2:$I$181,5,FALSE()),0))</f>
        <v>0</v>
      </c>
      <c r="Q148" s="14" t="n">
        <f aca="false">IF(OR($A148="",$A148&gt;=Parameters!$B$14),1,IF(AND(P148&gt;0,CityData!F4&lt;=P148),1,0))</f>
        <v>1</v>
      </c>
      <c r="R148" s="14" t="n">
        <f aca="false">IF($A148="",0,IFERROR(VLOOKUP((YEAR($A148)+IF(MONTH($A148)&gt;=10,1,0))&amp;"|Denver|"&amp;MONTH($A148),Rates!$A$2:$I$181,6,FALSE()),0))</f>
        <v>0</v>
      </c>
      <c r="S148" s="14" t="n">
        <f aca="false">IF(R148=0,0,VLOOKUP(R148,MIE_Components!$A$2:$F$6,2,FALSE()))</f>
        <v>0</v>
      </c>
      <c r="T148" s="14" t="n">
        <f aca="false">IF(R148=0,0,VLOOKUP(R148,MIE_Components!$A$2:$F$6,3,FALSE()))</f>
        <v>0</v>
      </c>
      <c r="U148" s="14" t="n">
        <f aca="false">IF(R148=0,0,VLOOKUP(R148,MIE_Components!$A$2:$F$6,4,FALSE()))</f>
        <v>0</v>
      </c>
      <c r="V148" s="14" t="n">
        <f aca="false">IF(OR($A148="",R148=0),0,MAX(5,R148*IF(OR($A148=Parameters!$B$13,$A148=Parameters!$B$14),0.75,1)-(IF(AND($A148=DATE(2026,11,29),NOV29BF="Yes"),S148,0)+IF(OR($A148=DATE(2026,11,29),$A148=DATE(2026,11,30),$A148=DATE(2026,12,1),$A148=DATE(2026,12,2)),T148,0)+IF(OR($A148=DATE(2026,11,28),$A148=DATE(2026,12,1)),U148,0))))</f>
        <v>0</v>
      </c>
      <c r="W148" s="14" t="n">
        <f aca="false">IF(AND($A148&lt;&gt;"",$A148&lt;Parameters!$B$14),CityData!F5*(1+TAXRATE),0)</f>
        <v>0</v>
      </c>
      <c r="X148" s="14" t="n">
        <f aca="false">IF($A148="",0,IFERROR(VLOOKUP((YEAR($A148)+IF(MONTH($A148)&gt;=10,1,0))&amp;"|Denver|"&amp;MONTH($A148),Rates!$A$2:$I$181,5,FALSE()),0))</f>
        <v>0</v>
      </c>
      <c r="Y148" s="14" t="n">
        <f aca="false">IF(OR($A148="",$A148&gt;=Parameters!$B$14),1,IF(AND(X148&gt;0,CityData!F5&lt;=X148),1,0))</f>
        <v>1</v>
      </c>
      <c r="Z148" s="14" t="n">
        <f aca="false">IF($A148="",0,IFERROR(VLOOKUP((YEAR($A148)+IF(MONTH($A148)&gt;=10,1,0))&amp;"|Phoenix|"&amp;MONTH($A148),Rates!$A$2:$I$181,6,FALSE()),0))</f>
        <v>0</v>
      </c>
      <c r="AA148" s="14" t="n">
        <f aca="false">IF(Z148=0,0,VLOOKUP(Z148,MIE_Components!$A$2:$F$6,2,FALSE()))</f>
        <v>0</v>
      </c>
      <c r="AB148" s="14" t="n">
        <f aca="false">IF(Z148=0,0,VLOOKUP(Z148,MIE_Components!$A$2:$F$6,3,FALSE()))</f>
        <v>0</v>
      </c>
      <c r="AC148" s="14" t="n">
        <f aca="false">IF(Z148=0,0,VLOOKUP(Z148,MIE_Components!$A$2:$F$6,4,FALSE()))</f>
        <v>0</v>
      </c>
      <c r="AD148" s="14" t="n">
        <f aca="false">IF(OR($A148="",Z148=0),0,MAX(5,Z148*IF(OR($A148=Parameters!$B$13,$A148=Parameters!$B$14),0.75,1)-(IF(AND($A148=DATE(2026,11,29),NOV29BF="Yes"),AA148,0)+IF(OR($A148=DATE(2026,11,29),$A148=DATE(2026,11,30),$A148=DATE(2026,12,1),$A148=DATE(2026,12,2)),AB148,0)+IF(OR($A148=DATE(2026,11,28),$A148=DATE(2026,12,1)),AC148,0))))</f>
        <v>0</v>
      </c>
      <c r="AE148" s="14" t="n">
        <f aca="false">IF(AND($A148&lt;&gt;"",$A148&lt;Parameters!$B$14),CityData!F6*(1+TAXRATE),0)</f>
        <v>0</v>
      </c>
      <c r="AF148" s="14" t="n">
        <f aca="false">IF($A148="",0,IFERROR(VLOOKUP((YEAR($A148)+IF(MONTH($A148)&gt;=10,1,0))&amp;"|Phoenix|"&amp;MONTH($A148),Rates!$A$2:$I$181,5,FALSE()),0))</f>
        <v>0</v>
      </c>
      <c r="AG148" s="14" t="n">
        <f aca="false">IF(OR($A148="",$A148&gt;=Parameters!$B$14),1,IF(AND(AF148&gt;0,CityData!F6&lt;=AF148),1,0))</f>
        <v>1</v>
      </c>
      <c r="AH148" s="14" t="n">
        <f aca="false">IF($A148="",0,IFERROR(VLOOKUP((YEAR($A148)+IF(MONTH($A148)&gt;=10,1,0))&amp;"|Seattle|"&amp;MONTH($A148),Rates!$A$2:$I$181,6,FALSE()),0))</f>
        <v>0</v>
      </c>
      <c r="AI148" s="14" t="n">
        <f aca="false">IF(AH148=0,0,VLOOKUP(AH148,MIE_Components!$A$2:$F$6,2,FALSE()))</f>
        <v>0</v>
      </c>
      <c r="AJ148" s="14" t="n">
        <f aca="false">IF(AH148=0,0,VLOOKUP(AH148,MIE_Components!$A$2:$F$6,3,FALSE()))</f>
        <v>0</v>
      </c>
      <c r="AK148" s="14" t="n">
        <f aca="false">IF(AH148=0,0,VLOOKUP(AH148,MIE_Components!$A$2:$F$6,4,FALSE()))</f>
        <v>0</v>
      </c>
      <c r="AL148" s="14" t="n">
        <f aca="false">IF(OR($A148="",AH148=0),0,MAX(5,AH148*IF(OR($A148=Parameters!$B$13,$A148=Parameters!$B$14),0.75,1)-(IF(AND($A148=DATE(2026,11,29),NOV29BF="Yes"),AI148,0)+IF(OR($A148=DATE(2026,11,29),$A148=DATE(2026,11,30),$A148=DATE(2026,12,1),$A148=DATE(2026,12,2)),AJ148,0)+IF(OR($A148=DATE(2026,11,28),$A148=DATE(2026,12,1)),AK148,0))))</f>
        <v>0</v>
      </c>
      <c r="AM148" s="14" t="n">
        <f aca="false">IF(AND($A148&lt;&gt;"",$A148&lt;Parameters!$B$14),CityData!F7*(1+TAXRATE),0)</f>
        <v>0</v>
      </c>
      <c r="AN148" s="14" t="n">
        <f aca="false">IF($A148="",0,IFERROR(VLOOKUP((YEAR($A148)+IF(MONTH($A148)&gt;=10,1,0))&amp;"|Seattle|"&amp;MONTH($A148),Rates!$A$2:$I$181,5,FALSE()),0))</f>
        <v>0</v>
      </c>
      <c r="AO148" s="14" t="n">
        <f aca="false">IF(OR($A148="",$A148&gt;=Parameters!$B$14),1,IF(AND(AN148&gt;0,CityData!F7&lt;=AN148),1,0))</f>
        <v>1</v>
      </c>
    </row>
    <row r="149" customFormat="false" ht="15" hidden="false" customHeight="true" outlineLevel="0" collapsed="false">
      <c r="A149" s="23" t="str">
        <f aca="false">IF(AND(Parameters!$B$14&gt;=Parameters!$B$13,ROW()-2&lt;=Parameters!$B$14-Parameters!$B$13),Parameters!$B$13+ROW()-2,"")</f>
        <v/>
      </c>
      <c r="B149" s="14" t="n">
        <f aca="false">IF($A149="",0,IFERROR(VLOOKUP((YEAR($A149)+IF(MONTH($A149)&gt;=10,1,0))&amp;"|Boston|"&amp;MONTH($A149),Rates!$A$2:$I$181,6,FALSE()),0))</f>
        <v>0</v>
      </c>
      <c r="C149" s="14" t="n">
        <f aca="false">IF(B149=0,0,VLOOKUP(B149,MIE_Components!$A$2:$F$6,2,FALSE()))</f>
        <v>0</v>
      </c>
      <c r="D149" s="14" t="n">
        <f aca="false">IF(B149=0,0,VLOOKUP(B149,MIE_Components!$A$2:$F$6,3,FALSE()))</f>
        <v>0</v>
      </c>
      <c r="E149" s="14" t="n">
        <f aca="false">IF(B149=0,0,VLOOKUP(B149,MIE_Components!$A$2:$F$6,4,FALSE()))</f>
        <v>0</v>
      </c>
      <c r="F149" s="14" t="n">
        <f aca="false">IF(OR($A149="",B149=0),0,MAX(5,B149*IF(OR($A149=Parameters!$B$13,$A149=Parameters!$B$14),0.75,1)-(IF(AND($A149=DATE(2026,11,29),NOV29BF="Yes"),C149,0)+IF(OR($A149=DATE(2026,11,29),$A149=DATE(2026,11,30),$A149=DATE(2026,12,1),$A149=DATE(2026,12,2)),D149,0)+IF(OR($A149=DATE(2026,11,28),$A149=DATE(2026,12,1)),E149,0))))</f>
        <v>0</v>
      </c>
      <c r="G149" s="14" t="n">
        <f aca="false">IF(AND($A149&lt;&gt;"",$A149&lt;Parameters!$B$14),CityData!F3*(1+TAXRATE),0)</f>
        <v>0</v>
      </c>
      <c r="H149" s="14" t="n">
        <f aca="false">IF($A149="",0,IFERROR(VLOOKUP((YEAR($A149)+IF(MONTH($A149)&gt;=10,1,0))&amp;"|Boston|"&amp;MONTH($A149),Rates!$A$2:$I$181,5,FALSE()),0))</f>
        <v>0</v>
      </c>
      <c r="I149" s="14" t="n">
        <f aca="false">IF(OR($A149="",$A149&gt;=Parameters!$B$14),1,IF(AND(H149&gt;0,CityData!F3&lt;=H149),1,0))</f>
        <v>1</v>
      </c>
      <c r="J149" s="14" t="n">
        <f aca="false">IF($A149="",0,IFERROR(VLOOKUP((YEAR($A149)+IF(MONTH($A149)&gt;=10,1,0))&amp;"|Chicago|"&amp;MONTH($A149),Rates!$A$2:$I$181,6,FALSE()),0))</f>
        <v>0</v>
      </c>
      <c r="K149" s="14" t="n">
        <f aca="false">IF(J149=0,0,VLOOKUP(J149,MIE_Components!$A$2:$F$6,2,FALSE()))</f>
        <v>0</v>
      </c>
      <c r="L149" s="14" t="n">
        <f aca="false">IF(J149=0,0,VLOOKUP(J149,MIE_Components!$A$2:$F$6,3,FALSE()))</f>
        <v>0</v>
      </c>
      <c r="M149" s="14" t="n">
        <f aca="false">IF(J149=0,0,VLOOKUP(J149,MIE_Components!$A$2:$F$6,4,FALSE()))</f>
        <v>0</v>
      </c>
      <c r="N149" s="14" t="n">
        <f aca="false">IF(OR($A149="",J149=0),0,MAX(5,J149*IF(OR($A149=Parameters!$B$13,$A149=Parameters!$B$14),0.75,1)-(IF(AND($A149=DATE(2026,11,29),NOV29BF="Yes"),K149,0)+IF(OR($A149=DATE(2026,11,29),$A149=DATE(2026,11,30),$A149=DATE(2026,12,1),$A149=DATE(2026,12,2)),L149,0)+IF(OR($A149=DATE(2026,11,28),$A149=DATE(2026,12,1)),M149,0))))</f>
        <v>0</v>
      </c>
      <c r="O149" s="14" t="n">
        <f aca="false">IF(AND($A149&lt;&gt;"",$A149&lt;Parameters!$B$14),CityData!F4*(1+TAXRATE),0)</f>
        <v>0</v>
      </c>
      <c r="P149" s="14" t="n">
        <f aca="false">IF($A149="",0,IFERROR(VLOOKUP((YEAR($A149)+IF(MONTH($A149)&gt;=10,1,0))&amp;"|Chicago|"&amp;MONTH($A149),Rates!$A$2:$I$181,5,FALSE()),0))</f>
        <v>0</v>
      </c>
      <c r="Q149" s="14" t="n">
        <f aca="false">IF(OR($A149="",$A149&gt;=Parameters!$B$14),1,IF(AND(P149&gt;0,CityData!F4&lt;=P149),1,0))</f>
        <v>1</v>
      </c>
      <c r="R149" s="14" t="n">
        <f aca="false">IF($A149="",0,IFERROR(VLOOKUP((YEAR($A149)+IF(MONTH($A149)&gt;=10,1,0))&amp;"|Denver|"&amp;MONTH($A149),Rates!$A$2:$I$181,6,FALSE()),0))</f>
        <v>0</v>
      </c>
      <c r="S149" s="14" t="n">
        <f aca="false">IF(R149=0,0,VLOOKUP(R149,MIE_Components!$A$2:$F$6,2,FALSE()))</f>
        <v>0</v>
      </c>
      <c r="T149" s="14" t="n">
        <f aca="false">IF(R149=0,0,VLOOKUP(R149,MIE_Components!$A$2:$F$6,3,FALSE()))</f>
        <v>0</v>
      </c>
      <c r="U149" s="14" t="n">
        <f aca="false">IF(R149=0,0,VLOOKUP(R149,MIE_Components!$A$2:$F$6,4,FALSE()))</f>
        <v>0</v>
      </c>
      <c r="V149" s="14" t="n">
        <f aca="false">IF(OR($A149="",R149=0),0,MAX(5,R149*IF(OR($A149=Parameters!$B$13,$A149=Parameters!$B$14),0.75,1)-(IF(AND($A149=DATE(2026,11,29),NOV29BF="Yes"),S149,0)+IF(OR($A149=DATE(2026,11,29),$A149=DATE(2026,11,30),$A149=DATE(2026,12,1),$A149=DATE(2026,12,2)),T149,0)+IF(OR($A149=DATE(2026,11,28),$A149=DATE(2026,12,1)),U149,0))))</f>
        <v>0</v>
      </c>
      <c r="W149" s="14" t="n">
        <f aca="false">IF(AND($A149&lt;&gt;"",$A149&lt;Parameters!$B$14),CityData!F5*(1+TAXRATE),0)</f>
        <v>0</v>
      </c>
      <c r="X149" s="14" t="n">
        <f aca="false">IF($A149="",0,IFERROR(VLOOKUP((YEAR($A149)+IF(MONTH($A149)&gt;=10,1,0))&amp;"|Denver|"&amp;MONTH($A149),Rates!$A$2:$I$181,5,FALSE()),0))</f>
        <v>0</v>
      </c>
      <c r="Y149" s="14" t="n">
        <f aca="false">IF(OR($A149="",$A149&gt;=Parameters!$B$14),1,IF(AND(X149&gt;0,CityData!F5&lt;=X149),1,0))</f>
        <v>1</v>
      </c>
      <c r="Z149" s="14" t="n">
        <f aca="false">IF($A149="",0,IFERROR(VLOOKUP((YEAR($A149)+IF(MONTH($A149)&gt;=10,1,0))&amp;"|Phoenix|"&amp;MONTH($A149),Rates!$A$2:$I$181,6,FALSE()),0))</f>
        <v>0</v>
      </c>
      <c r="AA149" s="14" t="n">
        <f aca="false">IF(Z149=0,0,VLOOKUP(Z149,MIE_Components!$A$2:$F$6,2,FALSE()))</f>
        <v>0</v>
      </c>
      <c r="AB149" s="14" t="n">
        <f aca="false">IF(Z149=0,0,VLOOKUP(Z149,MIE_Components!$A$2:$F$6,3,FALSE()))</f>
        <v>0</v>
      </c>
      <c r="AC149" s="14" t="n">
        <f aca="false">IF(Z149=0,0,VLOOKUP(Z149,MIE_Components!$A$2:$F$6,4,FALSE()))</f>
        <v>0</v>
      </c>
      <c r="AD149" s="14" t="n">
        <f aca="false">IF(OR($A149="",Z149=0),0,MAX(5,Z149*IF(OR($A149=Parameters!$B$13,$A149=Parameters!$B$14),0.75,1)-(IF(AND($A149=DATE(2026,11,29),NOV29BF="Yes"),AA149,0)+IF(OR($A149=DATE(2026,11,29),$A149=DATE(2026,11,30),$A149=DATE(2026,12,1),$A149=DATE(2026,12,2)),AB149,0)+IF(OR($A149=DATE(2026,11,28),$A149=DATE(2026,12,1)),AC149,0))))</f>
        <v>0</v>
      </c>
      <c r="AE149" s="14" t="n">
        <f aca="false">IF(AND($A149&lt;&gt;"",$A149&lt;Parameters!$B$14),CityData!F6*(1+TAXRATE),0)</f>
        <v>0</v>
      </c>
      <c r="AF149" s="14" t="n">
        <f aca="false">IF($A149="",0,IFERROR(VLOOKUP((YEAR($A149)+IF(MONTH($A149)&gt;=10,1,0))&amp;"|Phoenix|"&amp;MONTH($A149),Rates!$A$2:$I$181,5,FALSE()),0))</f>
        <v>0</v>
      </c>
      <c r="AG149" s="14" t="n">
        <f aca="false">IF(OR($A149="",$A149&gt;=Parameters!$B$14),1,IF(AND(AF149&gt;0,CityData!F6&lt;=AF149),1,0))</f>
        <v>1</v>
      </c>
      <c r="AH149" s="14" t="n">
        <f aca="false">IF($A149="",0,IFERROR(VLOOKUP((YEAR($A149)+IF(MONTH($A149)&gt;=10,1,0))&amp;"|Seattle|"&amp;MONTH($A149),Rates!$A$2:$I$181,6,FALSE()),0))</f>
        <v>0</v>
      </c>
      <c r="AI149" s="14" t="n">
        <f aca="false">IF(AH149=0,0,VLOOKUP(AH149,MIE_Components!$A$2:$F$6,2,FALSE()))</f>
        <v>0</v>
      </c>
      <c r="AJ149" s="14" t="n">
        <f aca="false">IF(AH149=0,0,VLOOKUP(AH149,MIE_Components!$A$2:$F$6,3,FALSE()))</f>
        <v>0</v>
      </c>
      <c r="AK149" s="14" t="n">
        <f aca="false">IF(AH149=0,0,VLOOKUP(AH149,MIE_Components!$A$2:$F$6,4,FALSE()))</f>
        <v>0</v>
      </c>
      <c r="AL149" s="14" t="n">
        <f aca="false">IF(OR($A149="",AH149=0),0,MAX(5,AH149*IF(OR($A149=Parameters!$B$13,$A149=Parameters!$B$14),0.75,1)-(IF(AND($A149=DATE(2026,11,29),NOV29BF="Yes"),AI149,0)+IF(OR($A149=DATE(2026,11,29),$A149=DATE(2026,11,30),$A149=DATE(2026,12,1),$A149=DATE(2026,12,2)),AJ149,0)+IF(OR($A149=DATE(2026,11,28),$A149=DATE(2026,12,1)),AK149,0))))</f>
        <v>0</v>
      </c>
      <c r="AM149" s="14" t="n">
        <f aca="false">IF(AND($A149&lt;&gt;"",$A149&lt;Parameters!$B$14),CityData!F7*(1+TAXRATE),0)</f>
        <v>0</v>
      </c>
      <c r="AN149" s="14" t="n">
        <f aca="false">IF($A149="",0,IFERROR(VLOOKUP((YEAR($A149)+IF(MONTH($A149)&gt;=10,1,0))&amp;"|Seattle|"&amp;MONTH($A149),Rates!$A$2:$I$181,5,FALSE()),0))</f>
        <v>0</v>
      </c>
      <c r="AO149" s="14" t="n">
        <f aca="false">IF(OR($A149="",$A149&gt;=Parameters!$B$14),1,IF(AND(AN149&gt;0,CityData!F7&lt;=AN149),1,0))</f>
        <v>1</v>
      </c>
    </row>
    <row r="150" customFormat="false" ht="15" hidden="false" customHeight="true" outlineLevel="0" collapsed="false">
      <c r="A150" s="23" t="str">
        <f aca="false">IF(AND(Parameters!$B$14&gt;=Parameters!$B$13,ROW()-2&lt;=Parameters!$B$14-Parameters!$B$13),Parameters!$B$13+ROW()-2,"")</f>
        <v/>
      </c>
      <c r="B150" s="14" t="n">
        <f aca="false">IF($A150="",0,IFERROR(VLOOKUP((YEAR($A150)+IF(MONTH($A150)&gt;=10,1,0))&amp;"|Boston|"&amp;MONTH($A150),Rates!$A$2:$I$181,6,FALSE()),0))</f>
        <v>0</v>
      </c>
      <c r="C150" s="14" t="n">
        <f aca="false">IF(B150=0,0,VLOOKUP(B150,MIE_Components!$A$2:$F$6,2,FALSE()))</f>
        <v>0</v>
      </c>
      <c r="D150" s="14" t="n">
        <f aca="false">IF(B150=0,0,VLOOKUP(B150,MIE_Components!$A$2:$F$6,3,FALSE()))</f>
        <v>0</v>
      </c>
      <c r="E150" s="14" t="n">
        <f aca="false">IF(B150=0,0,VLOOKUP(B150,MIE_Components!$A$2:$F$6,4,FALSE()))</f>
        <v>0</v>
      </c>
      <c r="F150" s="14" t="n">
        <f aca="false">IF(OR($A150="",B150=0),0,MAX(5,B150*IF(OR($A150=Parameters!$B$13,$A150=Parameters!$B$14),0.75,1)-(IF(AND($A150=DATE(2026,11,29),NOV29BF="Yes"),C150,0)+IF(OR($A150=DATE(2026,11,29),$A150=DATE(2026,11,30),$A150=DATE(2026,12,1),$A150=DATE(2026,12,2)),D150,0)+IF(OR($A150=DATE(2026,11,28),$A150=DATE(2026,12,1)),E150,0))))</f>
        <v>0</v>
      </c>
      <c r="G150" s="14" t="n">
        <f aca="false">IF(AND($A150&lt;&gt;"",$A150&lt;Parameters!$B$14),CityData!F3*(1+TAXRATE),0)</f>
        <v>0</v>
      </c>
      <c r="H150" s="14" t="n">
        <f aca="false">IF($A150="",0,IFERROR(VLOOKUP((YEAR($A150)+IF(MONTH($A150)&gt;=10,1,0))&amp;"|Boston|"&amp;MONTH($A150),Rates!$A$2:$I$181,5,FALSE()),0))</f>
        <v>0</v>
      </c>
      <c r="I150" s="14" t="n">
        <f aca="false">IF(OR($A150="",$A150&gt;=Parameters!$B$14),1,IF(AND(H150&gt;0,CityData!F3&lt;=H150),1,0))</f>
        <v>1</v>
      </c>
      <c r="J150" s="14" t="n">
        <f aca="false">IF($A150="",0,IFERROR(VLOOKUP((YEAR($A150)+IF(MONTH($A150)&gt;=10,1,0))&amp;"|Chicago|"&amp;MONTH($A150),Rates!$A$2:$I$181,6,FALSE()),0))</f>
        <v>0</v>
      </c>
      <c r="K150" s="14" t="n">
        <f aca="false">IF(J150=0,0,VLOOKUP(J150,MIE_Components!$A$2:$F$6,2,FALSE()))</f>
        <v>0</v>
      </c>
      <c r="L150" s="14" t="n">
        <f aca="false">IF(J150=0,0,VLOOKUP(J150,MIE_Components!$A$2:$F$6,3,FALSE()))</f>
        <v>0</v>
      </c>
      <c r="M150" s="14" t="n">
        <f aca="false">IF(J150=0,0,VLOOKUP(J150,MIE_Components!$A$2:$F$6,4,FALSE()))</f>
        <v>0</v>
      </c>
      <c r="N150" s="14" t="n">
        <f aca="false">IF(OR($A150="",J150=0),0,MAX(5,J150*IF(OR($A150=Parameters!$B$13,$A150=Parameters!$B$14),0.75,1)-(IF(AND($A150=DATE(2026,11,29),NOV29BF="Yes"),K150,0)+IF(OR($A150=DATE(2026,11,29),$A150=DATE(2026,11,30),$A150=DATE(2026,12,1),$A150=DATE(2026,12,2)),L150,0)+IF(OR($A150=DATE(2026,11,28),$A150=DATE(2026,12,1)),M150,0))))</f>
        <v>0</v>
      </c>
      <c r="O150" s="14" t="n">
        <f aca="false">IF(AND($A150&lt;&gt;"",$A150&lt;Parameters!$B$14),CityData!F4*(1+TAXRATE),0)</f>
        <v>0</v>
      </c>
      <c r="P150" s="14" t="n">
        <f aca="false">IF($A150="",0,IFERROR(VLOOKUP((YEAR($A150)+IF(MONTH($A150)&gt;=10,1,0))&amp;"|Chicago|"&amp;MONTH($A150),Rates!$A$2:$I$181,5,FALSE()),0))</f>
        <v>0</v>
      </c>
      <c r="Q150" s="14" t="n">
        <f aca="false">IF(OR($A150="",$A150&gt;=Parameters!$B$14),1,IF(AND(P150&gt;0,CityData!F4&lt;=P150),1,0))</f>
        <v>1</v>
      </c>
      <c r="R150" s="14" t="n">
        <f aca="false">IF($A150="",0,IFERROR(VLOOKUP((YEAR($A150)+IF(MONTH($A150)&gt;=10,1,0))&amp;"|Denver|"&amp;MONTH($A150),Rates!$A$2:$I$181,6,FALSE()),0))</f>
        <v>0</v>
      </c>
      <c r="S150" s="14" t="n">
        <f aca="false">IF(R150=0,0,VLOOKUP(R150,MIE_Components!$A$2:$F$6,2,FALSE()))</f>
        <v>0</v>
      </c>
      <c r="T150" s="14" t="n">
        <f aca="false">IF(R150=0,0,VLOOKUP(R150,MIE_Components!$A$2:$F$6,3,FALSE()))</f>
        <v>0</v>
      </c>
      <c r="U150" s="14" t="n">
        <f aca="false">IF(R150=0,0,VLOOKUP(R150,MIE_Components!$A$2:$F$6,4,FALSE()))</f>
        <v>0</v>
      </c>
      <c r="V150" s="14" t="n">
        <f aca="false">IF(OR($A150="",R150=0),0,MAX(5,R150*IF(OR($A150=Parameters!$B$13,$A150=Parameters!$B$14),0.75,1)-(IF(AND($A150=DATE(2026,11,29),NOV29BF="Yes"),S150,0)+IF(OR($A150=DATE(2026,11,29),$A150=DATE(2026,11,30),$A150=DATE(2026,12,1),$A150=DATE(2026,12,2)),T150,0)+IF(OR($A150=DATE(2026,11,28),$A150=DATE(2026,12,1)),U150,0))))</f>
        <v>0</v>
      </c>
      <c r="W150" s="14" t="n">
        <f aca="false">IF(AND($A150&lt;&gt;"",$A150&lt;Parameters!$B$14),CityData!F5*(1+TAXRATE),0)</f>
        <v>0</v>
      </c>
      <c r="X150" s="14" t="n">
        <f aca="false">IF($A150="",0,IFERROR(VLOOKUP((YEAR($A150)+IF(MONTH($A150)&gt;=10,1,0))&amp;"|Denver|"&amp;MONTH($A150),Rates!$A$2:$I$181,5,FALSE()),0))</f>
        <v>0</v>
      </c>
      <c r="Y150" s="14" t="n">
        <f aca="false">IF(OR($A150="",$A150&gt;=Parameters!$B$14),1,IF(AND(X150&gt;0,CityData!F5&lt;=X150),1,0))</f>
        <v>1</v>
      </c>
      <c r="Z150" s="14" t="n">
        <f aca="false">IF($A150="",0,IFERROR(VLOOKUP((YEAR($A150)+IF(MONTH($A150)&gt;=10,1,0))&amp;"|Phoenix|"&amp;MONTH($A150),Rates!$A$2:$I$181,6,FALSE()),0))</f>
        <v>0</v>
      </c>
      <c r="AA150" s="14" t="n">
        <f aca="false">IF(Z150=0,0,VLOOKUP(Z150,MIE_Components!$A$2:$F$6,2,FALSE()))</f>
        <v>0</v>
      </c>
      <c r="AB150" s="14" t="n">
        <f aca="false">IF(Z150=0,0,VLOOKUP(Z150,MIE_Components!$A$2:$F$6,3,FALSE()))</f>
        <v>0</v>
      </c>
      <c r="AC150" s="14" t="n">
        <f aca="false">IF(Z150=0,0,VLOOKUP(Z150,MIE_Components!$A$2:$F$6,4,FALSE()))</f>
        <v>0</v>
      </c>
      <c r="AD150" s="14" t="n">
        <f aca="false">IF(OR($A150="",Z150=0),0,MAX(5,Z150*IF(OR($A150=Parameters!$B$13,$A150=Parameters!$B$14),0.75,1)-(IF(AND($A150=DATE(2026,11,29),NOV29BF="Yes"),AA150,0)+IF(OR($A150=DATE(2026,11,29),$A150=DATE(2026,11,30),$A150=DATE(2026,12,1),$A150=DATE(2026,12,2)),AB150,0)+IF(OR($A150=DATE(2026,11,28),$A150=DATE(2026,12,1)),AC150,0))))</f>
        <v>0</v>
      </c>
      <c r="AE150" s="14" t="n">
        <f aca="false">IF(AND($A150&lt;&gt;"",$A150&lt;Parameters!$B$14),CityData!F6*(1+TAXRATE),0)</f>
        <v>0</v>
      </c>
      <c r="AF150" s="14" t="n">
        <f aca="false">IF($A150="",0,IFERROR(VLOOKUP((YEAR($A150)+IF(MONTH($A150)&gt;=10,1,0))&amp;"|Phoenix|"&amp;MONTH($A150),Rates!$A$2:$I$181,5,FALSE()),0))</f>
        <v>0</v>
      </c>
      <c r="AG150" s="14" t="n">
        <f aca="false">IF(OR($A150="",$A150&gt;=Parameters!$B$14),1,IF(AND(AF150&gt;0,CityData!F6&lt;=AF150),1,0))</f>
        <v>1</v>
      </c>
      <c r="AH150" s="14" t="n">
        <f aca="false">IF($A150="",0,IFERROR(VLOOKUP((YEAR($A150)+IF(MONTH($A150)&gt;=10,1,0))&amp;"|Seattle|"&amp;MONTH($A150),Rates!$A$2:$I$181,6,FALSE()),0))</f>
        <v>0</v>
      </c>
      <c r="AI150" s="14" t="n">
        <f aca="false">IF(AH150=0,0,VLOOKUP(AH150,MIE_Components!$A$2:$F$6,2,FALSE()))</f>
        <v>0</v>
      </c>
      <c r="AJ150" s="14" t="n">
        <f aca="false">IF(AH150=0,0,VLOOKUP(AH150,MIE_Components!$A$2:$F$6,3,FALSE()))</f>
        <v>0</v>
      </c>
      <c r="AK150" s="14" t="n">
        <f aca="false">IF(AH150=0,0,VLOOKUP(AH150,MIE_Components!$A$2:$F$6,4,FALSE()))</f>
        <v>0</v>
      </c>
      <c r="AL150" s="14" t="n">
        <f aca="false">IF(OR($A150="",AH150=0),0,MAX(5,AH150*IF(OR($A150=Parameters!$B$13,$A150=Parameters!$B$14),0.75,1)-(IF(AND($A150=DATE(2026,11,29),NOV29BF="Yes"),AI150,0)+IF(OR($A150=DATE(2026,11,29),$A150=DATE(2026,11,30),$A150=DATE(2026,12,1),$A150=DATE(2026,12,2)),AJ150,0)+IF(OR($A150=DATE(2026,11,28),$A150=DATE(2026,12,1)),AK150,0))))</f>
        <v>0</v>
      </c>
      <c r="AM150" s="14" t="n">
        <f aca="false">IF(AND($A150&lt;&gt;"",$A150&lt;Parameters!$B$14),CityData!F7*(1+TAXRATE),0)</f>
        <v>0</v>
      </c>
      <c r="AN150" s="14" t="n">
        <f aca="false">IF($A150="",0,IFERROR(VLOOKUP((YEAR($A150)+IF(MONTH($A150)&gt;=10,1,0))&amp;"|Seattle|"&amp;MONTH($A150),Rates!$A$2:$I$181,5,FALSE()),0))</f>
        <v>0</v>
      </c>
      <c r="AO150" s="14" t="n">
        <f aca="false">IF(OR($A150="",$A150&gt;=Parameters!$B$14),1,IF(AND(AN150&gt;0,CityData!F7&lt;=AN150),1,0))</f>
        <v>1</v>
      </c>
    </row>
    <row r="151" customFormat="false" ht="15" hidden="false" customHeight="true" outlineLevel="0" collapsed="false">
      <c r="A151" s="23" t="str">
        <f aca="false">IF(AND(Parameters!$B$14&gt;=Parameters!$B$13,ROW()-2&lt;=Parameters!$B$14-Parameters!$B$13),Parameters!$B$13+ROW()-2,"")</f>
        <v/>
      </c>
      <c r="B151" s="14" t="n">
        <f aca="false">IF($A151="",0,IFERROR(VLOOKUP((YEAR($A151)+IF(MONTH($A151)&gt;=10,1,0))&amp;"|Boston|"&amp;MONTH($A151),Rates!$A$2:$I$181,6,FALSE()),0))</f>
        <v>0</v>
      </c>
      <c r="C151" s="14" t="n">
        <f aca="false">IF(B151=0,0,VLOOKUP(B151,MIE_Components!$A$2:$F$6,2,FALSE()))</f>
        <v>0</v>
      </c>
      <c r="D151" s="14" t="n">
        <f aca="false">IF(B151=0,0,VLOOKUP(B151,MIE_Components!$A$2:$F$6,3,FALSE()))</f>
        <v>0</v>
      </c>
      <c r="E151" s="14" t="n">
        <f aca="false">IF(B151=0,0,VLOOKUP(B151,MIE_Components!$A$2:$F$6,4,FALSE()))</f>
        <v>0</v>
      </c>
      <c r="F151" s="14" t="n">
        <f aca="false">IF(OR($A151="",B151=0),0,MAX(5,B151*IF(OR($A151=Parameters!$B$13,$A151=Parameters!$B$14),0.75,1)-(IF(AND($A151=DATE(2026,11,29),NOV29BF="Yes"),C151,0)+IF(OR($A151=DATE(2026,11,29),$A151=DATE(2026,11,30),$A151=DATE(2026,12,1),$A151=DATE(2026,12,2)),D151,0)+IF(OR($A151=DATE(2026,11,28),$A151=DATE(2026,12,1)),E151,0))))</f>
        <v>0</v>
      </c>
      <c r="G151" s="14" t="n">
        <f aca="false">IF(AND($A151&lt;&gt;"",$A151&lt;Parameters!$B$14),CityData!F3*(1+TAXRATE),0)</f>
        <v>0</v>
      </c>
      <c r="H151" s="14" t="n">
        <f aca="false">IF($A151="",0,IFERROR(VLOOKUP((YEAR($A151)+IF(MONTH($A151)&gt;=10,1,0))&amp;"|Boston|"&amp;MONTH($A151),Rates!$A$2:$I$181,5,FALSE()),0))</f>
        <v>0</v>
      </c>
      <c r="I151" s="14" t="n">
        <f aca="false">IF(OR($A151="",$A151&gt;=Parameters!$B$14),1,IF(AND(H151&gt;0,CityData!F3&lt;=H151),1,0))</f>
        <v>1</v>
      </c>
      <c r="J151" s="14" t="n">
        <f aca="false">IF($A151="",0,IFERROR(VLOOKUP((YEAR($A151)+IF(MONTH($A151)&gt;=10,1,0))&amp;"|Chicago|"&amp;MONTH($A151),Rates!$A$2:$I$181,6,FALSE()),0))</f>
        <v>0</v>
      </c>
      <c r="K151" s="14" t="n">
        <f aca="false">IF(J151=0,0,VLOOKUP(J151,MIE_Components!$A$2:$F$6,2,FALSE()))</f>
        <v>0</v>
      </c>
      <c r="L151" s="14" t="n">
        <f aca="false">IF(J151=0,0,VLOOKUP(J151,MIE_Components!$A$2:$F$6,3,FALSE()))</f>
        <v>0</v>
      </c>
      <c r="M151" s="14" t="n">
        <f aca="false">IF(J151=0,0,VLOOKUP(J151,MIE_Components!$A$2:$F$6,4,FALSE()))</f>
        <v>0</v>
      </c>
      <c r="N151" s="14" t="n">
        <f aca="false">IF(OR($A151="",J151=0),0,MAX(5,J151*IF(OR($A151=Parameters!$B$13,$A151=Parameters!$B$14),0.75,1)-(IF(AND($A151=DATE(2026,11,29),NOV29BF="Yes"),K151,0)+IF(OR($A151=DATE(2026,11,29),$A151=DATE(2026,11,30),$A151=DATE(2026,12,1),$A151=DATE(2026,12,2)),L151,0)+IF(OR($A151=DATE(2026,11,28),$A151=DATE(2026,12,1)),M151,0))))</f>
        <v>0</v>
      </c>
      <c r="O151" s="14" t="n">
        <f aca="false">IF(AND($A151&lt;&gt;"",$A151&lt;Parameters!$B$14),CityData!F4*(1+TAXRATE),0)</f>
        <v>0</v>
      </c>
      <c r="P151" s="14" t="n">
        <f aca="false">IF($A151="",0,IFERROR(VLOOKUP((YEAR($A151)+IF(MONTH($A151)&gt;=10,1,0))&amp;"|Chicago|"&amp;MONTH($A151),Rates!$A$2:$I$181,5,FALSE()),0))</f>
        <v>0</v>
      </c>
      <c r="Q151" s="14" t="n">
        <f aca="false">IF(OR($A151="",$A151&gt;=Parameters!$B$14),1,IF(AND(P151&gt;0,CityData!F4&lt;=P151),1,0))</f>
        <v>1</v>
      </c>
      <c r="R151" s="14" t="n">
        <f aca="false">IF($A151="",0,IFERROR(VLOOKUP((YEAR($A151)+IF(MONTH($A151)&gt;=10,1,0))&amp;"|Denver|"&amp;MONTH($A151),Rates!$A$2:$I$181,6,FALSE()),0))</f>
        <v>0</v>
      </c>
      <c r="S151" s="14" t="n">
        <f aca="false">IF(R151=0,0,VLOOKUP(R151,MIE_Components!$A$2:$F$6,2,FALSE()))</f>
        <v>0</v>
      </c>
      <c r="T151" s="14" t="n">
        <f aca="false">IF(R151=0,0,VLOOKUP(R151,MIE_Components!$A$2:$F$6,3,FALSE()))</f>
        <v>0</v>
      </c>
      <c r="U151" s="14" t="n">
        <f aca="false">IF(R151=0,0,VLOOKUP(R151,MIE_Components!$A$2:$F$6,4,FALSE()))</f>
        <v>0</v>
      </c>
      <c r="V151" s="14" t="n">
        <f aca="false">IF(OR($A151="",R151=0),0,MAX(5,R151*IF(OR($A151=Parameters!$B$13,$A151=Parameters!$B$14),0.75,1)-(IF(AND($A151=DATE(2026,11,29),NOV29BF="Yes"),S151,0)+IF(OR($A151=DATE(2026,11,29),$A151=DATE(2026,11,30),$A151=DATE(2026,12,1),$A151=DATE(2026,12,2)),T151,0)+IF(OR($A151=DATE(2026,11,28),$A151=DATE(2026,12,1)),U151,0))))</f>
        <v>0</v>
      </c>
      <c r="W151" s="14" t="n">
        <f aca="false">IF(AND($A151&lt;&gt;"",$A151&lt;Parameters!$B$14),CityData!F5*(1+TAXRATE),0)</f>
        <v>0</v>
      </c>
      <c r="X151" s="14" t="n">
        <f aca="false">IF($A151="",0,IFERROR(VLOOKUP((YEAR($A151)+IF(MONTH($A151)&gt;=10,1,0))&amp;"|Denver|"&amp;MONTH($A151),Rates!$A$2:$I$181,5,FALSE()),0))</f>
        <v>0</v>
      </c>
      <c r="Y151" s="14" t="n">
        <f aca="false">IF(OR($A151="",$A151&gt;=Parameters!$B$14),1,IF(AND(X151&gt;0,CityData!F5&lt;=X151),1,0))</f>
        <v>1</v>
      </c>
      <c r="Z151" s="14" t="n">
        <f aca="false">IF($A151="",0,IFERROR(VLOOKUP((YEAR($A151)+IF(MONTH($A151)&gt;=10,1,0))&amp;"|Phoenix|"&amp;MONTH($A151),Rates!$A$2:$I$181,6,FALSE()),0))</f>
        <v>0</v>
      </c>
      <c r="AA151" s="14" t="n">
        <f aca="false">IF(Z151=0,0,VLOOKUP(Z151,MIE_Components!$A$2:$F$6,2,FALSE()))</f>
        <v>0</v>
      </c>
      <c r="AB151" s="14" t="n">
        <f aca="false">IF(Z151=0,0,VLOOKUP(Z151,MIE_Components!$A$2:$F$6,3,FALSE()))</f>
        <v>0</v>
      </c>
      <c r="AC151" s="14" t="n">
        <f aca="false">IF(Z151=0,0,VLOOKUP(Z151,MIE_Components!$A$2:$F$6,4,FALSE()))</f>
        <v>0</v>
      </c>
      <c r="AD151" s="14" t="n">
        <f aca="false">IF(OR($A151="",Z151=0),0,MAX(5,Z151*IF(OR($A151=Parameters!$B$13,$A151=Parameters!$B$14),0.75,1)-(IF(AND($A151=DATE(2026,11,29),NOV29BF="Yes"),AA151,0)+IF(OR($A151=DATE(2026,11,29),$A151=DATE(2026,11,30),$A151=DATE(2026,12,1),$A151=DATE(2026,12,2)),AB151,0)+IF(OR($A151=DATE(2026,11,28),$A151=DATE(2026,12,1)),AC151,0))))</f>
        <v>0</v>
      </c>
      <c r="AE151" s="14" t="n">
        <f aca="false">IF(AND($A151&lt;&gt;"",$A151&lt;Parameters!$B$14),CityData!F6*(1+TAXRATE),0)</f>
        <v>0</v>
      </c>
      <c r="AF151" s="14" t="n">
        <f aca="false">IF($A151="",0,IFERROR(VLOOKUP((YEAR($A151)+IF(MONTH($A151)&gt;=10,1,0))&amp;"|Phoenix|"&amp;MONTH($A151),Rates!$A$2:$I$181,5,FALSE()),0))</f>
        <v>0</v>
      </c>
      <c r="AG151" s="14" t="n">
        <f aca="false">IF(OR($A151="",$A151&gt;=Parameters!$B$14),1,IF(AND(AF151&gt;0,CityData!F6&lt;=AF151),1,0))</f>
        <v>1</v>
      </c>
      <c r="AH151" s="14" t="n">
        <f aca="false">IF($A151="",0,IFERROR(VLOOKUP((YEAR($A151)+IF(MONTH($A151)&gt;=10,1,0))&amp;"|Seattle|"&amp;MONTH($A151),Rates!$A$2:$I$181,6,FALSE()),0))</f>
        <v>0</v>
      </c>
      <c r="AI151" s="14" t="n">
        <f aca="false">IF(AH151=0,0,VLOOKUP(AH151,MIE_Components!$A$2:$F$6,2,FALSE()))</f>
        <v>0</v>
      </c>
      <c r="AJ151" s="14" t="n">
        <f aca="false">IF(AH151=0,0,VLOOKUP(AH151,MIE_Components!$A$2:$F$6,3,FALSE()))</f>
        <v>0</v>
      </c>
      <c r="AK151" s="14" t="n">
        <f aca="false">IF(AH151=0,0,VLOOKUP(AH151,MIE_Components!$A$2:$F$6,4,FALSE()))</f>
        <v>0</v>
      </c>
      <c r="AL151" s="14" t="n">
        <f aca="false">IF(OR($A151="",AH151=0),0,MAX(5,AH151*IF(OR($A151=Parameters!$B$13,$A151=Parameters!$B$14),0.75,1)-(IF(AND($A151=DATE(2026,11,29),NOV29BF="Yes"),AI151,0)+IF(OR($A151=DATE(2026,11,29),$A151=DATE(2026,11,30),$A151=DATE(2026,12,1),$A151=DATE(2026,12,2)),AJ151,0)+IF(OR($A151=DATE(2026,11,28),$A151=DATE(2026,12,1)),AK151,0))))</f>
        <v>0</v>
      </c>
      <c r="AM151" s="14" t="n">
        <f aca="false">IF(AND($A151&lt;&gt;"",$A151&lt;Parameters!$B$14),CityData!F7*(1+TAXRATE),0)</f>
        <v>0</v>
      </c>
      <c r="AN151" s="14" t="n">
        <f aca="false">IF($A151="",0,IFERROR(VLOOKUP((YEAR($A151)+IF(MONTH($A151)&gt;=10,1,0))&amp;"|Seattle|"&amp;MONTH($A151),Rates!$A$2:$I$181,5,FALSE()),0))</f>
        <v>0</v>
      </c>
      <c r="AO151" s="14" t="n">
        <f aca="false">IF(OR($A151="",$A151&gt;=Parameters!$B$14),1,IF(AND(AN151&gt;0,CityData!F7&lt;=AN151),1,0))</f>
        <v>1</v>
      </c>
    </row>
    <row r="152" customFormat="false" ht="15" hidden="false" customHeight="true" outlineLevel="0" collapsed="false">
      <c r="A152" s="23" t="str">
        <f aca="false">IF(AND(Parameters!$B$14&gt;=Parameters!$B$13,ROW()-2&lt;=Parameters!$B$14-Parameters!$B$13),Parameters!$B$13+ROW()-2,"")</f>
        <v/>
      </c>
      <c r="B152" s="14" t="n">
        <f aca="false">IF($A152="",0,IFERROR(VLOOKUP((YEAR($A152)+IF(MONTH($A152)&gt;=10,1,0))&amp;"|Boston|"&amp;MONTH($A152),Rates!$A$2:$I$181,6,FALSE()),0))</f>
        <v>0</v>
      </c>
      <c r="C152" s="14" t="n">
        <f aca="false">IF(B152=0,0,VLOOKUP(B152,MIE_Components!$A$2:$F$6,2,FALSE()))</f>
        <v>0</v>
      </c>
      <c r="D152" s="14" t="n">
        <f aca="false">IF(B152=0,0,VLOOKUP(B152,MIE_Components!$A$2:$F$6,3,FALSE()))</f>
        <v>0</v>
      </c>
      <c r="E152" s="14" t="n">
        <f aca="false">IF(B152=0,0,VLOOKUP(B152,MIE_Components!$A$2:$F$6,4,FALSE()))</f>
        <v>0</v>
      </c>
      <c r="F152" s="14" t="n">
        <f aca="false">IF(OR($A152="",B152=0),0,MAX(5,B152*IF(OR($A152=Parameters!$B$13,$A152=Parameters!$B$14),0.75,1)-(IF(AND($A152=DATE(2026,11,29),NOV29BF="Yes"),C152,0)+IF(OR($A152=DATE(2026,11,29),$A152=DATE(2026,11,30),$A152=DATE(2026,12,1),$A152=DATE(2026,12,2)),D152,0)+IF(OR($A152=DATE(2026,11,28),$A152=DATE(2026,12,1)),E152,0))))</f>
        <v>0</v>
      </c>
      <c r="G152" s="14" t="n">
        <f aca="false">IF(AND($A152&lt;&gt;"",$A152&lt;Parameters!$B$14),CityData!F3*(1+TAXRATE),0)</f>
        <v>0</v>
      </c>
      <c r="H152" s="14" t="n">
        <f aca="false">IF($A152="",0,IFERROR(VLOOKUP((YEAR($A152)+IF(MONTH($A152)&gt;=10,1,0))&amp;"|Boston|"&amp;MONTH($A152),Rates!$A$2:$I$181,5,FALSE()),0))</f>
        <v>0</v>
      </c>
      <c r="I152" s="14" t="n">
        <f aca="false">IF(OR($A152="",$A152&gt;=Parameters!$B$14),1,IF(AND(H152&gt;0,CityData!F3&lt;=H152),1,0))</f>
        <v>1</v>
      </c>
      <c r="J152" s="14" t="n">
        <f aca="false">IF($A152="",0,IFERROR(VLOOKUP((YEAR($A152)+IF(MONTH($A152)&gt;=10,1,0))&amp;"|Chicago|"&amp;MONTH($A152),Rates!$A$2:$I$181,6,FALSE()),0))</f>
        <v>0</v>
      </c>
      <c r="K152" s="14" t="n">
        <f aca="false">IF(J152=0,0,VLOOKUP(J152,MIE_Components!$A$2:$F$6,2,FALSE()))</f>
        <v>0</v>
      </c>
      <c r="L152" s="14" t="n">
        <f aca="false">IF(J152=0,0,VLOOKUP(J152,MIE_Components!$A$2:$F$6,3,FALSE()))</f>
        <v>0</v>
      </c>
      <c r="M152" s="14" t="n">
        <f aca="false">IF(J152=0,0,VLOOKUP(J152,MIE_Components!$A$2:$F$6,4,FALSE()))</f>
        <v>0</v>
      </c>
      <c r="N152" s="14" t="n">
        <f aca="false">IF(OR($A152="",J152=0),0,MAX(5,J152*IF(OR($A152=Parameters!$B$13,$A152=Parameters!$B$14),0.75,1)-(IF(AND($A152=DATE(2026,11,29),NOV29BF="Yes"),K152,0)+IF(OR($A152=DATE(2026,11,29),$A152=DATE(2026,11,30),$A152=DATE(2026,12,1),$A152=DATE(2026,12,2)),L152,0)+IF(OR($A152=DATE(2026,11,28),$A152=DATE(2026,12,1)),M152,0))))</f>
        <v>0</v>
      </c>
      <c r="O152" s="14" t="n">
        <f aca="false">IF(AND($A152&lt;&gt;"",$A152&lt;Parameters!$B$14),CityData!F4*(1+TAXRATE),0)</f>
        <v>0</v>
      </c>
      <c r="P152" s="14" t="n">
        <f aca="false">IF($A152="",0,IFERROR(VLOOKUP((YEAR($A152)+IF(MONTH($A152)&gt;=10,1,0))&amp;"|Chicago|"&amp;MONTH($A152),Rates!$A$2:$I$181,5,FALSE()),0))</f>
        <v>0</v>
      </c>
      <c r="Q152" s="14" t="n">
        <f aca="false">IF(OR($A152="",$A152&gt;=Parameters!$B$14),1,IF(AND(P152&gt;0,CityData!F4&lt;=P152),1,0))</f>
        <v>1</v>
      </c>
      <c r="R152" s="14" t="n">
        <f aca="false">IF($A152="",0,IFERROR(VLOOKUP((YEAR($A152)+IF(MONTH($A152)&gt;=10,1,0))&amp;"|Denver|"&amp;MONTH($A152),Rates!$A$2:$I$181,6,FALSE()),0))</f>
        <v>0</v>
      </c>
      <c r="S152" s="14" t="n">
        <f aca="false">IF(R152=0,0,VLOOKUP(R152,MIE_Components!$A$2:$F$6,2,FALSE()))</f>
        <v>0</v>
      </c>
      <c r="T152" s="14" t="n">
        <f aca="false">IF(R152=0,0,VLOOKUP(R152,MIE_Components!$A$2:$F$6,3,FALSE()))</f>
        <v>0</v>
      </c>
      <c r="U152" s="14" t="n">
        <f aca="false">IF(R152=0,0,VLOOKUP(R152,MIE_Components!$A$2:$F$6,4,FALSE()))</f>
        <v>0</v>
      </c>
      <c r="V152" s="14" t="n">
        <f aca="false">IF(OR($A152="",R152=0),0,MAX(5,R152*IF(OR($A152=Parameters!$B$13,$A152=Parameters!$B$14),0.75,1)-(IF(AND($A152=DATE(2026,11,29),NOV29BF="Yes"),S152,0)+IF(OR($A152=DATE(2026,11,29),$A152=DATE(2026,11,30),$A152=DATE(2026,12,1),$A152=DATE(2026,12,2)),T152,0)+IF(OR($A152=DATE(2026,11,28),$A152=DATE(2026,12,1)),U152,0))))</f>
        <v>0</v>
      </c>
      <c r="W152" s="14" t="n">
        <f aca="false">IF(AND($A152&lt;&gt;"",$A152&lt;Parameters!$B$14),CityData!F5*(1+TAXRATE),0)</f>
        <v>0</v>
      </c>
      <c r="X152" s="14" t="n">
        <f aca="false">IF($A152="",0,IFERROR(VLOOKUP((YEAR($A152)+IF(MONTH($A152)&gt;=10,1,0))&amp;"|Denver|"&amp;MONTH($A152),Rates!$A$2:$I$181,5,FALSE()),0))</f>
        <v>0</v>
      </c>
      <c r="Y152" s="14" t="n">
        <f aca="false">IF(OR($A152="",$A152&gt;=Parameters!$B$14),1,IF(AND(X152&gt;0,CityData!F5&lt;=X152),1,0))</f>
        <v>1</v>
      </c>
      <c r="Z152" s="14" t="n">
        <f aca="false">IF($A152="",0,IFERROR(VLOOKUP((YEAR($A152)+IF(MONTH($A152)&gt;=10,1,0))&amp;"|Phoenix|"&amp;MONTH($A152),Rates!$A$2:$I$181,6,FALSE()),0))</f>
        <v>0</v>
      </c>
      <c r="AA152" s="14" t="n">
        <f aca="false">IF(Z152=0,0,VLOOKUP(Z152,MIE_Components!$A$2:$F$6,2,FALSE()))</f>
        <v>0</v>
      </c>
      <c r="AB152" s="14" t="n">
        <f aca="false">IF(Z152=0,0,VLOOKUP(Z152,MIE_Components!$A$2:$F$6,3,FALSE()))</f>
        <v>0</v>
      </c>
      <c r="AC152" s="14" t="n">
        <f aca="false">IF(Z152=0,0,VLOOKUP(Z152,MIE_Components!$A$2:$F$6,4,FALSE()))</f>
        <v>0</v>
      </c>
      <c r="AD152" s="14" t="n">
        <f aca="false">IF(OR($A152="",Z152=0),0,MAX(5,Z152*IF(OR($A152=Parameters!$B$13,$A152=Parameters!$B$14),0.75,1)-(IF(AND($A152=DATE(2026,11,29),NOV29BF="Yes"),AA152,0)+IF(OR($A152=DATE(2026,11,29),$A152=DATE(2026,11,30),$A152=DATE(2026,12,1),$A152=DATE(2026,12,2)),AB152,0)+IF(OR($A152=DATE(2026,11,28),$A152=DATE(2026,12,1)),AC152,0))))</f>
        <v>0</v>
      </c>
      <c r="AE152" s="14" t="n">
        <f aca="false">IF(AND($A152&lt;&gt;"",$A152&lt;Parameters!$B$14),CityData!F6*(1+TAXRATE),0)</f>
        <v>0</v>
      </c>
      <c r="AF152" s="14" t="n">
        <f aca="false">IF($A152="",0,IFERROR(VLOOKUP((YEAR($A152)+IF(MONTH($A152)&gt;=10,1,0))&amp;"|Phoenix|"&amp;MONTH($A152),Rates!$A$2:$I$181,5,FALSE()),0))</f>
        <v>0</v>
      </c>
      <c r="AG152" s="14" t="n">
        <f aca="false">IF(OR($A152="",$A152&gt;=Parameters!$B$14),1,IF(AND(AF152&gt;0,CityData!F6&lt;=AF152),1,0))</f>
        <v>1</v>
      </c>
      <c r="AH152" s="14" t="n">
        <f aca="false">IF($A152="",0,IFERROR(VLOOKUP((YEAR($A152)+IF(MONTH($A152)&gt;=10,1,0))&amp;"|Seattle|"&amp;MONTH($A152),Rates!$A$2:$I$181,6,FALSE()),0))</f>
        <v>0</v>
      </c>
      <c r="AI152" s="14" t="n">
        <f aca="false">IF(AH152=0,0,VLOOKUP(AH152,MIE_Components!$A$2:$F$6,2,FALSE()))</f>
        <v>0</v>
      </c>
      <c r="AJ152" s="14" t="n">
        <f aca="false">IF(AH152=0,0,VLOOKUP(AH152,MIE_Components!$A$2:$F$6,3,FALSE()))</f>
        <v>0</v>
      </c>
      <c r="AK152" s="14" t="n">
        <f aca="false">IF(AH152=0,0,VLOOKUP(AH152,MIE_Components!$A$2:$F$6,4,FALSE()))</f>
        <v>0</v>
      </c>
      <c r="AL152" s="14" t="n">
        <f aca="false">IF(OR($A152="",AH152=0),0,MAX(5,AH152*IF(OR($A152=Parameters!$B$13,$A152=Parameters!$B$14),0.75,1)-(IF(AND($A152=DATE(2026,11,29),NOV29BF="Yes"),AI152,0)+IF(OR($A152=DATE(2026,11,29),$A152=DATE(2026,11,30),$A152=DATE(2026,12,1),$A152=DATE(2026,12,2)),AJ152,0)+IF(OR($A152=DATE(2026,11,28),$A152=DATE(2026,12,1)),AK152,0))))</f>
        <v>0</v>
      </c>
      <c r="AM152" s="14" t="n">
        <f aca="false">IF(AND($A152&lt;&gt;"",$A152&lt;Parameters!$B$14),CityData!F7*(1+TAXRATE),0)</f>
        <v>0</v>
      </c>
      <c r="AN152" s="14" t="n">
        <f aca="false">IF($A152="",0,IFERROR(VLOOKUP((YEAR($A152)+IF(MONTH($A152)&gt;=10,1,0))&amp;"|Seattle|"&amp;MONTH($A152),Rates!$A$2:$I$181,5,FALSE()),0))</f>
        <v>0</v>
      </c>
      <c r="AO152" s="14" t="n">
        <f aca="false">IF(OR($A152="",$A152&gt;=Parameters!$B$14),1,IF(AND(AN152&gt;0,CityData!F7&lt;=AN152),1,0))</f>
        <v>1</v>
      </c>
    </row>
    <row r="153" customFormat="false" ht="15" hidden="false" customHeight="true" outlineLevel="0" collapsed="false">
      <c r="A153" s="23" t="str">
        <f aca="false">IF(AND(Parameters!$B$14&gt;=Parameters!$B$13,ROW()-2&lt;=Parameters!$B$14-Parameters!$B$13),Parameters!$B$13+ROW()-2,"")</f>
        <v/>
      </c>
      <c r="B153" s="14" t="n">
        <f aca="false">IF($A153="",0,IFERROR(VLOOKUP((YEAR($A153)+IF(MONTH($A153)&gt;=10,1,0))&amp;"|Boston|"&amp;MONTH($A153),Rates!$A$2:$I$181,6,FALSE()),0))</f>
        <v>0</v>
      </c>
      <c r="C153" s="14" t="n">
        <f aca="false">IF(B153=0,0,VLOOKUP(B153,MIE_Components!$A$2:$F$6,2,FALSE()))</f>
        <v>0</v>
      </c>
      <c r="D153" s="14" t="n">
        <f aca="false">IF(B153=0,0,VLOOKUP(B153,MIE_Components!$A$2:$F$6,3,FALSE()))</f>
        <v>0</v>
      </c>
      <c r="E153" s="14" t="n">
        <f aca="false">IF(B153=0,0,VLOOKUP(B153,MIE_Components!$A$2:$F$6,4,FALSE()))</f>
        <v>0</v>
      </c>
      <c r="F153" s="14" t="n">
        <f aca="false">IF(OR($A153="",B153=0),0,MAX(5,B153*IF(OR($A153=Parameters!$B$13,$A153=Parameters!$B$14),0.75,1)-(IF(AND($A153=DATE(2026,11,29),NOV29BF="Yes"),C153,0)+IF(OR($A153=DATE(2026,11,29),$A153=DATE(2026,11,30),$A153=DATE(2026,12,1),$A153=DATE(2026,12,2)),D153,0)+IF(OR($A153=DATE(2026,11,28),$A153=DATE(2026,12,1)),E153,0))))</f>
        <v>0</v>
      </c>
      <c r="G153" s="14" t="n">
        <f aca="false">IF(AND($A153&lt;&gt;"",$A153&lt;Parameters!$B$14),CityData!F3*(1+TAXRATE),0)</f>
        <v>0</v>
      </c>
      <c r="H153" s="14" t="n">
        <f aca="false">IF($A153="",0,IFERROR(VLOOKUP((YEAR($A153)+IF(MONTH($A153)&gt;=10,1,0))&amp;"|Boston|"&amp;MONTH($A153),Rates!$A$2:$I$181,5,FALSE()),0))</f>
        <v>0</v>
      </c>
      <c r="I153" s="14" t="n">
        <f aca="false">IF(OR($A153="",$A153&gt;=Parameters!$B$14),1,IF(AND(H153&gt;0,CityData!F3&lt;=H153),1,0))</f>
        <v>1</v>
      </c>
      <c r="J153" s="14" t="n">
        <f aca="false">IF($A153="",0,IFERROR(VLOOKUP((YEAR($A153)+IF(MONTH($A153)&gt;=10,1,0))&amp;"|Chicago|"&amp;MONTH($A153),Rates!$A$2:$I$181,6,FALSE()),0))</f>
        <v>0</v>
      </c>
      <c r="K153" s="14" t="n">
        <f aca="false">IF(J153=0,0,VLOOKUP(J153,MIE_Components!$A$2:$F$6,2,FALSE()))</f>
        <v>0</v>
      </c>
      <c r="L153" s="14" t="n">
        <f aca="false">IF(J153=0,0,VLOOKUP(J153,MIE_Components!$A$2:$F$6,3,FALSE()))</f>
        <v>0</v>
      </c>
      <c r="M153" s="14" t="n">
        <f aca="false">IF(J153=0,0,VLOOKUP(J153,MIE_Components!$A$2:$F$6,4,FALSE()))</f>
        <v>0</v>
      </c>
      <c r="N153" s="14" t="n">
        <f aca="false">IF(OR($A153="",J153=0),0,MAX(5,J153*IF(OR($A153=Parameters!$B$13,$A153=Parameters!$B$14),0.75,1)-(IF(AND($A153=DATE(2026,11,29),NOV29BF="Yes"),K153,0)+IF(OR($A153=DATE(2026,11,29),$A153=DATE(2026,11,30),$A153=DATE(2026,12,1),$A153=DATE(2026,12,2)),L153,0)+IF(OR($A153=DATE(2026,11,28),$A153=DATE(2026,12,1)),M153,0))))</f>
        <v>0</v>
      </c>
      <c r="O153" s="14" t="n">
        <f aca="false">IF(AND($A153&lt;&gt;"",$A153&lt;Parameters!$B$14),CityData!F4*(1+TAXRATE),0)</f>
        <v>0</v>
      </c>
      <c r="P153" s="14" t="n">
        <f aca="false">IF($A153="",0,IFERROR(VLOOKUP((YEAR($A153)+IF(MONTH($A153)&gt;=10,1,0))&amp;"|Chicago|"&amp;MONTH($A153),Rates!$A$2:$I$181,5,FALSE()),0))</f>
        <v>0</v>
      </c>
      <c r="Q153" s="14" t="n">
        <f aca="false">IF(OR($A153="",$A153&gt;=Parameters!$B$14),1,IF(AND(P153&gt;0,CityData!F4&lt;=P153),1,0))</f>
        <v>1</v>
      </c>
      <c r="R153" s="14" t="n">
        <f aca="false">IF($A153="",0,IFERROR(VLOOKUP((YEAR($A153)+IF(MONTH($A153)&gt;=10,1,0))&amp;"|Denver|"&amp;MONTH($A153),Rates!$A$2:$I$181,6,FALSE()),0))</f>
        <v>0</v>
      </c>
      <c r="S153" s="14" t="n">
        <f aca="false">IF(R153=0,0,VLOOKUP(R153,MIE_Components!$A$2:$F$6,2,FALSE()))</f>
        <v>0</v>
      </c>
      <c r="T153" s="14" t="n">
        <f aca="false">IF(R153=0,0,VLOOKUP(R153,MIE_Components!$A$2:$F$6,3,FALSE()))</f>
        <v>0</v>
      </c>
      <c r="U153" s="14" t="n">
        <f aca="false">IF(R153=0,0,VLOOKUP(R153,MIE_Components!$A$2:$F$6,4,FALSE()))</f>
        <v>0</v>
      </c>
      <c r="V153" s="14" t="n">
        <f aca="false">IF(OR($A153="",R153=0),0,MAX(5,R153*IF(OR($A153=Parameters!$B$13,$A153=Parameters!$B$14),0.75,1)-(IF(AND($A153=DATE(2026,11,29),NOV29BF="Yes"),S153,0)+IF(OR($A153=DATE(2026,11,29),$A153=DATE(2026,11,30),$A153=DATE(2026,12,1),$A153=DATE(2026,12,2)),T153,0)+IF(OR($A153=DATE(2026,11,28),$A153=DATE(2026,12,1)),U153,0))))</f>
        <v>0</v>
      </c>
      <c r="W153" s="14" t="n">
        <f aca="false">IF(AND($A153&lt;&gt;"",$A153&lt;Parameters!$B$14),CityData!F5*(1+TAXRATE),0)</f>
        <v>0</v>
      </c>
      <c r="X153" s="14" t="n">
        <f aca="false">IF($A153="",0,IFERROR(VLOOKUP((YEAR($A153)+IF(MONTH($A153)&gt;=10,1,0))&amp;"|Denver|"&amp;MONTH($A153),Rates!$A$2:$I$181,5,FALSE()),0))</f>
        <v>0</v>
      </c>
      <c r="Y153" s="14" t="n">
        <f aca="false">IF(OR($A153="",$A153&gt;=Parameters!$B$14),1,IF(AND(X153&gt;0,CityData!F5&lt;=X153),1,0))</f>
        <v>1</v>
      </c>
      <c r="Z153" s="14" t="n">
        <f aca="false">IF($A153="",0,IFERROR(VLOOKUP((YEAR($A153)+IF(MONTH($A153)&gt;=10,1,0))&amp;"|Phoenix|"&amp;MONTH($A153),Rates!$A$2:$I$181,6,FALSE()),0))</f>
        <v>0</v>
      </c>
      <c r="AA153" s="14" t="n">
        <f aca="false">IF(Z153=0,0,VLOOKUP(Z153,MIE_Components!$A$2:$F$6,2,FALSE()))</f>
        <v>0</v>
      </c>
      <c r="AB153" s="14" t="n">
        <f aca="false">IF(Z153=0,0,VLOOKUP(Z153,MIE_Components!$A$2:$F$6,3,FALSE()))</f>
        <v>0</v>
      </c>
      <c r="AC153" s="14" t="n">
        <f aca="false">IF(Z153=0,0,VLOOKUP(Z153,MIE_Components!$A$2:$F$6,4,FALSE()))</f>
        <v>0</v>
      </c>
      <c r="AD153" s="14" t="n">
        <f aca="false">IF(OR($A153="",Z153=0),0,MAX(5,Z153*IF(OR($A153=Parameters!$B$13,$A153=Parameters!$B$14),0.75,1)-(IF(AND($A153=DATE(2026,11,29),NOV29BF="Yes"),AA153,0)+IF(OR($A153=DATE(2026,11,29),$A153=DATE(2026,11,30),$A153=DATE(2026,12,1),$A153=DATE(2026,12,2)),AB153,0)+IF(OR($A153=DATE(2026,11,28),$A153=DATE(2026,12,1)),AC153,0))))</f>
        <v>0</v>
      </c>
      <c r="AE153" s="14" t="n">
        <f aca="false">IF(AND($A153&lt;&gt;"",$A153&lt;Parameters!$B$14),CityData!F6*(1+TAXRATE),0)</f>
        <v>0</v>
      </c>
      <c r="AF153" s="14" t="n">
        <f aca="false">IF($A153="",0,IFERROR(VLOOKUP((YEAR($A153)+IF(MONTH($A153)&gt;=10,1,0))&amp;"|Phoenix|"&amp;MONTH($A153),Rates!$A$2:$I$181,5,FALSE()),0))</f>
        <v>0</v>
      </c>
      <c r="AG153" s="14" t="n">
        <f aca="false">IF(OR($A153="",$A153&gt;=Parameters!$B$14),1,IF(AND(AF153&gt;0,CityData!F6&lt;=AF153),1,0))</f>
        <v>1</v>
      </c>
      <c r="AH153" s="14" t="n">
        <f aca="false">IF($A153="",0,IFERROR(VLOOKUP((YEAR($A153)+IF(MONTH($A153)&gt;=10,1,0))&amp;"|Seattle|"&amp;MONTH($A153),Rates!$A$2:$I$181,6,FALSE()),0))</f>
        <v>0</v>
      </c>
      <c r="AI153" s="14" t="n">
        <f aca="false">IF(AH153=0,0,VLOOKUP(AH153,MIE_Components!$A$2:$F$6,2,FALSE()))</f>
        <v>0</v>
      </c>
      <c r="AJ153" s="14" t="n">
        <f aca="false">IF(AH153=0,0,VLOOKUP(AH153,MIE_Components!$A$2:$F$6,3,FALSE()))</f>
        <v>0</v>
      </c>
      <c r="AK153" s="14" t="n">
        <f aca="false">IF(AH153=0,0,VLOOKUP(AH153,MIE_Components!$A$2:$F$6,4,FALSE()))</f>
        <v>0</v>
      </c>
      <c r="AL153" s="14" t="n">
        <f aca="false">IF(OR($A153="",AH153=0),0,MAX(5,AH153*IF(OR($A153=Parameters!$B$13,$A153=Parameters!$B$14),0.75,1)-(IF(AND($A153=DATE(2026,11,29),NOV29BF="Yes"),AI153,0)+IF(OR($A153=DATE(2026,11,29),$A153=DATE(2026,11,30),$A153=DATE(2026,12,1),$A153=DATE(2026,12,2)),AJ153,0)+IF(OR($A153=DATE(2026,11,28),$A153=DATE(2026,12,1)),AK153,0))))</f>
        <v>0</v>
      </c>
      <c r="AM153" s="14" t="n">
        <f aca="false">IF(AND($A153&lt;&gt;"",$A153&lt;Parameters!$B$14),CityData!F7*(1+TAXRATE),0)</f>
        <v>0</v>
      </c>
      <c r="AN153" s="14" t="n">
        <f aca="false">IF($A153="",0,IFERROR(VLOOKUP((YEAR($A153)+IF(MONTH($A153)&gt;=10,1,0))&amp;"|Seattle|"&amp;MONTH($A153),Rates!$A$2:$I$181,5,FALSE()),0))</f>
        <v>0</v>
      </c>
      <c r="AO153" s="14" t="n">
        <f aca="false">IF(OR($A153="",$A153&gt;=Parameters!$B$14),1,IF(AND(AN153&gt;0,CityData!F7&lt;=AN153),1,0))</f>
        <v>1</v>
      </c>
    </row>
    <row r="154" customFormat="false" ht="15" hidden="false" customHeight="true" outlineLevel="0" collapsed="false">
      <c r="A154" s="23" t="str">
        <f aca="false">IF(AND(Parameters!$B$14&gt;=Parameters!$B$13,ROW()-2&lt;=Parameters!$B$14-Parameters!$B$13),Parameters!$B$13+ROW()-2,"")</f>
        <v/>
      </c>
      <c r="B154" s="14" t="n">
        <f aca="false">IF($A154="",0,IFERROR(VLOOKUP((YEAR($A154)+IF(MONTH($A154)&gt;=10,1,0))&amp;"|Boston|"&amp;MONTH($A154),Rates!$A$2:$I$181,6,FALSE()),0))</f>
        <v>0</v>
      </c>
      <c r="C154" s="14" t="n">
        <f aca="false">IF(B154=0,0,VLOOKUP(B154,MIE_Components!$A$2:$F$6,2,FALSE()))</f>
        <v>0</v>
      </c>
      <c r="D154" s="14" t="n">
        <f aca="false">IF(B154=0,0,VLOOKUP(B154,MIE_Components!$A$2:$F$6,3,FALSE()))</f>
        <v>0</v>
      </c>
      <c r="E154" s="14" t="n">
        <f aca="false">IF(B154=0,0,VLOOKUP(B154,MIE_Components!$A$2:$F$6,4,FALSE()))</f>
        <v>0</v>
      </c>
      <c r="F154" s="14" t="n">
        <f aca="false">IF(OR($A154="",B154=0),0,MAX(5,B154*IF(OR($A154=Parameters!$B$13,$A154=Parameters!$B$14),0.75,1)-(IF(AND($A154=DATE(2026,11,29),NOV29BF="Yes"),C154,0)+IF(OR($A154=DATE(2026,11,29),$A154=DATE(2026,11,30),$A154=DATE(2026,12,1),$A154=DATE(2026,12,2)),D154,0)+IF(OR($A154=DATE(2026,11,28),$A154=DATE(2026,12,1)),E154,0))))</f>
        <v>0</v>
      </c>
      <c r="G154" s="14" t="n">
        <f aca="false">IF(AND($A154&lt;&gt;"",$A154&lt;Parameters!$B$14),CityData!F3*(1+TAXRATE),0)</f>
        <v>0</v>
      </c>
      <c r="H154" s="14" t="n">
        <f aca="false">IF($A154="",0,IFERROR(VLOOKUP((YEAR($A154)+IF(MONTH($A154)&gt;=10,1,0))&amp;"|Boston|"&amp;MONTH($A154),Rates!$A$2:$I$181,5,FALSE()),0))</f>
        <v>0</v>
      </c>
      <c r="I154" s="14" t="n">
        <f aca="false">IF(OR($A154="",$A154&gt;=Parameters!$B$14),1,IF(AND(H154&gt;0,CityData!F3&lt;=H154),1,0))</f>
        <v>1</v>
      </c>
      <c r="J154" s="14" t="n">
        <f aca="false">IF($A154="",0,IFERROR(VLOOKUP((YEAR($A154)+IF(MONTH($A154)&gt;=10,1,0))&amp;"|Chicago|"&amp;MONTH($A154),Rates!$A$2:$I$181,6,FALSE()),0))</f>
        <v>0</v>
      </c>
      <c r="K154" s="14" t="n">
        <f aca="false">IF(J154=0,0,VLOOKUP(J154,MIE_Components!$A$2:$F$6,2,FALSE()))</f>
        <v>0</v>
      </c>
      <c r="L154" s="14" t="n">
        <f aca="false">IF(J154=0,0,VLOOKUP(J154,MIE_Components!$A$2:$F$6,3,FALSE()))</f>
        <v>0</v>
      </c>
      <c r="M154" s="14" t="n">
        <f aca="false">IF(J154=0,0,VLOOKUP(J154,MIE_Components!$A$2:$F$6,4,FALSE()))</f>
        <v>0</v>
      </c>
      <c r="N154" s="14" t="n">
        <f aca="false">IF(OR($A154="",J154=0),0,MAX(5,J154*IF(OR($A154=Parameters!$B$13,$A154=Parameters!$B$14),0.75,1)-(IF(AND($A154=DATE(2026,11,29),NOV29BF="Yes"),K154,0)+IF(OR($A154=DATE(2026,11,29),$A154=DATE(2026,11,30),$A154=DATE(2026,12,1),$A154=DATE(2026,12,2)),L154,0)+IF(OR($A154=DATE(2026,11,28),$A154=DATE(2026,12,1)),M154,0))))</f>
        <v>0</v>
      </c>
      <c r="O154" s="14" t="n">
        <f aca="false">IF(AND($A154&lt;&gt;"",$A154&lt;Parameters!$B$14),CityData!F4*(1+TAXRATE),0)</f>
        <v>0</v>
      </c>
      <c r="P154" s="14" t="n">
        <f aca="false">IF($A154="",0,IFERROR(VLOOKUP((YEAR($A154)+IF(MONTH($A154)&gt;=10,1,0))&amp;"|Chicago|"&amp;MONTH($A154),Rates!$A$2:$I$181,5,FALSE()),0))</f>
        <v>0</v>
      </c>
      <c r="Q154" s="14" t="n">
        <f aca="false">IF(OR($A154="",$A154&gt;=Parameters!$B$14),1,IF(AND(P154&gt;0,CityData!F4&lt;=P154),1,0))</f>
        <v>1</v>
      </c>
      <c r="R154" s="14" t="n">
        <f aca="false">IF($A154="",0,IFERROR(VLOOKUP((YEAR($A154)+IF(MONTH($A154)&gt;=10,1,0))&amp;"|Denver|"&amp;MONTH($A154),Rates!$A$2:$I$181,6,FALSE()),0))</f>
        <v>0</v>
      </c>
      <c r="S154" s="14" t="n">
        <f aca="false">IF(R154=0,0,VLOOKUP(R154,MIE_Components!$A$2:$F$6,2,FALSE()))</f>
        <v>0</v>
      </c>
      <c r="T154" s="14" t="n">
        <f aca="false">IF(R154=0,0,VLOOKUP(R154,MIE_Components!$A$2:$F$6,3,FALSE()))</f>
        <v>0</v>
      </c>
      <c r="U154" s="14" t="n">
        <f aca="false">IF(R154=0,0,VLOOKUP(R154,MIE_Components!$A$2:$F$6,4,FALSE()))</f>
        <v>0</v>
      </c>
      <c r="V154" s="14" t="n">
        <f aca="false">IF(OR($A154="",R154=0),0,MAX(5,R154*IF(OR($A154=Parameters!$B$13,$A154=Parameters!$B$14),0.75,1)-(IF(AND($A154=DATE(2026,11,29),NOV29BF="Yes"),S154,0)+IF(OR($A154=DATE(2026,11,29),$A154=DATE(2026,11,30),$A154=DATE(2026,12,1),$A154=DATE(2026,12,2)),T154,0)+IF(OR($A154=DATE(2026,11,28),$A154=DATE(2026,12,1)),U154,0))))</f>
        <v>0</v>
      </c>
      <c r="W154" s="14" t="n">
        <f aca="false">IF(AND($A154&lt;&gt;"",$A154&lt;Parameters!$B$14),CityData!F5*(1+TAXRATE),0)</f>
        <v>0</v>
      </c>
      <c r="X154" s="14" t="n">
        <f aca="false">IF($A154="",0,IFERROR(VLOOKUP((YEAR($A154)+IF(MONTH($A154)&gt;=10,1,0))&amp;"|Denver|"&amp;MONTH($A154),Rates!$A$2:$I$181,5,FALSE()),0))</f>
        <v>0</v>
      </c>
      <c r="Y154" s="14" t="n">
        <f aca="false">IF(OR($A154="",$A154&gt;=Parameters!$B$14),1,IF(AND(X154&gt;0,CityData!F5&lt;=X154),1,0))</f>
        <v>1</v>
      </c>
      <c r="Z154" s="14" t="n">
        <f aca="false">IF($A154="",0,IFERROR(VLOOKUP((YEAR($A154)+IF(MONTH($A154)&gt;=10,1,0))&amp;"|Phoenix|"&amp;MONTH($A154),Rates!$A$2:$I$181,6,FALSE()),0))</f>
        <v>0</v>
      </c>
      <c r="AA154" s="14" t="n">
        <f aca="false">IF(Z154=0,0,VLOOKUP(Z154,MIE_Components!$A$2:$F$6,2,FALSE()))</f>
        <v>0</v>
      </c>
      <c r="AB154" s="14" t="n">
        <f aca="false">IF(Z154=0,0,VLOOKUP(Z154,MIE_Components!$A$2:$F$6,3,FALSE()))</f>
        <v>0</v>
      </c>
      <c r="AC154" s="14" t="n">
        <f aca="false">IF(Z154=0,0,VLOOKUP(Z154,MIE_Components!$A$2:$F$6,4,FALSE()))</f>
        <v>0</v>
      </c>
      <c r="AD154" s="14" t="n">
        <f aca="false">IF(OR($A154="",Z154=0),0,MAX(5,Z154*IF(OR($A154=Parameters!$B$13,$A154=Parameters!$B$14),0.75,1)-(IF(AND($A154=DATE(2026,11,29),NOV29BF="Yes"),AA154,0)+IF(OR($A154=DATE(2026,11,29),$A154=DATE(2026,11,30),$A154=DATE(2026,12,1),$A154=DATE(2026,12,2)),AB154,0)+IF(OR($A154=DATE(2026,11,28),$A154=DATE(2026,12,1)),AC154,0))))</f>
        <v>0</v>
      </c>
      <c r="AE154" s="14" t="n">
        <f aca="false">IF(AND($A154&lt;&gt;"",$A154&lt;Parameters!$B$14),CityData!F6*(1+TAXRATE),0)</f>
        <v>0</v>
      </c>
      <c r="AF154" s="14" t="n">
        <f aca="false">IF($A154="",0,IFERROR(VLOOKUP((YEAR($A154)+IF(MONTH($A154)&gt;=10,1,0))&amp;"|Phoenix|"&amp;MONTH($A154),Rates!$A$2:$I$181,5,FALSE()),0))</f>
        <v>0</v>
      </c>
      <c r="AG154" s="14" t="n">
        <f aca="false">IF(OR($A154="",$A154&gt;=Parameters!$B$14),1,IF(AND(AF154&gt;0,CityData!F6&lt;=AF154),1,0))</f>
        <v>1</v>
      </c>
      <c r="AH154" s="14" t="n">
        <f aca="false">IF($A154="",0,IFERROR(VLOOKUP((YEAR($A154)+IF(MONTH($A154)&gt;=10,1,0))&amp;"|Seattle|"&amp;MONTH($A154),Rates!$A$2:$I$181,6,FALSE()),0))</f>
        <v>0</v>
      </c>
      <c r="AI154" s="14" t="n">
        <f aca="false">IF(AH154=0,0,VLOOKUP(AH154,MIE_Components!$A$2:$F$6,2,FALSE()))</f>
        <v>0</v>
      </c>
      <c r="AJ154" s="14" t="n">
        <f aca="false">IF(AH154=0,0,VLOOKUP(AH154,MIE_Components!$A$2:$F$6,3,FALSE()))</f>
        <v>0</v>
      </c>
      <c r="AK154" s="14" t="n">
        <f aca="false">IF(AH154=0,0,VLOOKUP(AH154,MIE_Components!$A$2:$F$6,4,FALSE()))</f>
        <v>0</v>
      </c>
      <c r="AL154" s="14" t="n">
        <f aca="false">IF(OR($A154="",AH154=0),0,MAX(5,AH154*IF(OR($A154=Parameters!$B$13,$A154=Parameters!$B$14),0.75,1)-(IF(AND($A154=DATE(2026,11,29),NOV29BF="Yes"),AI154,0)+IF(OR($A154=DATE(2026,11,29),$A154=DATE(2026,11,30),$A154=DATE(2026,12,1),$A154=DATE(2026,12,2)),AJ154,0)+IF(OR($A154=DATE(2026,11,28),$A154=DATE(2026,12,1)),AK154,0))))</f>
        <v>0</v>
      </c>
      <c r="AM154" s="14" t="n">
        <f aca="false">IF(AND($A154&lt;&gt;"",$A154&lt;Parameters!$B$14),CityData!F7*(1+TAXRATE),0)</f>
        <v>0</v>
      </c>
      <c r="AN154" s="14" t="n">
        <f aca="false">IF($A154="",0,IFERROR(VLOOKUP((YEAR($A154)+IF(MONTH($A154)&gt;=10,1,0))&amp;"|Seattle|"&amp;MONTH($A154),Rates!$A$2:$I$181,5,FALSE()),0))</f>
        <v>0</v>
      </c>
      <c r="AO154" s="14" t="n">
        <f aca="false">IF(OR($A154="",$A154&gt;=Parameters!$B$14),1,IF(AND(AN154&gt;0,CityData!F7&lt;=AN154),1,0))</f>
        <v>1</v>
      </c>
    </row>
    <row r="155" customFormat="false" ht="15" hidden="false" customHeight="true" outlineLevel="0" collapsed="false">
      <c r="A155" s="23" t="str">
        <f aca="false">IF(AND(Parameters!$B$14&gt;=Parameters!$B$13,ROW()-2&lt;=Parameters!$B$14-Parameters!$B$13),Parameters!$B$13+ROW()-2,"")</f>
        <v/>
      </c>
      <c r="B155" s="14" t="n">
        <f aca="false">IF($A155="",0,IFERROR(VLOOKUP((YEAR($A155)+IF(MONTH($A155)&gt;=10,1,0))&amp;"|Boston|"&amp;MONTH($A155),Rates!$A$2:$I$181,6,FALSE()),0))</f>
        <v>0</v>
      </c>
      <c r="C155" s="14" t="n">
        <f aca="false">IF(B155=0,0,VLOOKUP(B155,MIE_Components!$A$2:$F$6,2,FALSE()))</f>
        <v>0</v>
      </c>
      <c r="D155" s="14" t="n">
        <f aca="false">IF(B155=0,0,VLOOKUP(B155,MIE_Components!$A$2:$F$6,3,FALSE()))</f>
        <v>0</v>
      </c>
      <c r="E155" s="14" t="n">
        <f aca="false">IF(B155=0,0,VLOOKUP(B155,MIE_Components!$A$2:$F$6,4,FALSE()))</f>
        <v>0</v>
      </c>
      <c r="F155" s="14" t="n">
        <f aca="false">IF(OR($A155="",B155=0),0,MAX(5,B155*IF(OR($A155=Parameters!$B$13,$A155=Parameters!$B$14),0.75,1)-(IF(AND($A155=DATE(2026,11,29),NOV29BF="Yes"),C155,0)+IF(OR($A155=DATE(2026,11,29),$A155=DATE(2026,11,30),$A155=DATE(2026,12,1),$A155=DATE(2026,12,2)),D155,0)+IF(OR($A155=DATE(2026,11,28),$A155=DATE(2026,12,1)),E155,0))))</f>
        <v>0</v>
      </c>
      <c r="G155" s="14" t="n">
        <f aca="false">IF(AND($A155&lt;&gt;"",$A155&lt;Parameters!$B$14),CityData!F3*(1+TAXRATE),0)</f>
        <v>0</v>
      </c>
      <c r="H155" s="14" t="n">
        <f aca="false">IF($A155="",0,IFERROR(VLOOKUP((YEAR($A155)+IF(MONTH($A155)&gt;=10,1,0))&amp;"|Boston|"&amp;MONTH($A155),Rates!$A$2:$I$181,5,FALSE()),0))</f>
        <v>0</v>
      </c>
      <c r="I155" s="14" t="n">
        <f aca="false">IF(OR($A155="",$A155&gt;=Parameters!$B$14),1,IF(AND(H155&gt;0,CityData!F3&lt;=H155),1,0))</f>
        <v>1</v>
      </c>
      <c r="J155" s="14" t="n">
        <f aca="false">IF($A155="",0,IFERROR(VLOOKUP((YEAR($A155)+IF(MONTH($A155)&gt;=10,1,0))&amp;"|Chicago|"&amp;MONTH($A155),Rates!$A$2:$I$181,6,FALSE()),0))</f>
        <v>0</v>
      </c>
      <c r="K155" s="14" t="n">
        <f aca="false">IF(J155=0,0,VLOOKUP(J155,MIE_Components!$A$2:$F$6,2,FALSE()))</f>
        <v>0</v>
      </c>
      <c r="L155" s="14" t="n">
        <f aca="false">IF(J155=0,0,VLOOKUP(J155,MIE_Components!$A$2:$F$6,3,FALSE()))</f>
        <v>0</v>
      </c>
      <c r="M155" s="14" t="n">
        <f aca="false">IF(J155=0,0,VLOOKUP(J155,MIE_Components!$A$2:$F$6,4,FALSE()))</f>
        <v>0</v>
      </c>
      <c r="N155" s="14" t="n">
        <f aca="false">IF(OR($A155="",J155=0),0,MAX(5,J155*IF(OR($A155=Parameters!$B$13,$A155=Parameters!$B$14),0.75,1)-(IF(AND($A155=DATE(2026,11,29),NOV29BF="Yes"),K155,0)+IF(OR($A155=DATE(2026,11,29),$A155=DATE(2026,11,30),$A155=DATE(2026,12,1),$A155=DATE(2026,12,2)),L155,0)+IF(OR($A155=DATE(2026,11,28),$A155=DATE(2026,12,1)),M155,0))))</f>
        <v>0</v>
      </c>
      <c r="O155" s="14" t="n">
        <f aca="false">IF(AND($A155&lt;&gt;"",$A155&lt;Parameters!$B$14),CityData!F4*(1+TAXRATE),0)</f>
        <v>0</v>
      </c>
      <c r="P155" s="14" t="n">
        <f aca="false">IF($A155="",0,IFERROR(VLOOKUP((YEAR($A155)+IF(MONTH($A155)&gt;=10,1,0))&amp;"|Chicago|"&amp;MONTH($A155),Rates!$A$2:$I$181,5,FALSE()),0))</f>
        <v>0</v>
      </c>
      <c r="Q155" s="14" t="n">
        <f aca="false">IF(OR($A155="",$A155&gt;=Parameters!$B$14),1,IF(AND(P155&gt;0,CityData!F4&lt;=P155),1,0))</f>
        <v>1</v>
      </c>
      <c r="R155" s="14" t="n">
        <f aca="false">IF($A155="",0,IFERROR(VLOOKUP((YEAR($A155)+IF(MONTH($A155)&gt;=10,1,0))&amp;"|Denver|"&amp;MONTH($A155),Rates!$A$2:$I$181,6,FALSE()),0))</f>
        <v>0</v>
      </c>
      <c r="S155" s="14" t="n">
        <f aca="false">IF(R155=0,0,VLOOKUP(R155,MIE_Components!$A$2:$F$6,2,FALSE()))</f>
        <v>0</v>
      </c>
      <c r="T155" s="14" t="n">
        <f aca="false">IF(R155=0,0,VLOOKUP(R155,MIE_Components!$A$2:$F$6,3,FALSE()))</f>
        <v>0</v>
      </c>
      <c r="U155" s="14" t="n">
        <f aca="false">IF(R155=0,0,VLOOKUP(R155,MIE_Components!$A$2:$F$6,4,FALSE()))</f>
        <v>0</v>
      </c>
      <c r="V155" s="14" t="n">
        <f aca="false">IF(OR($A155="",R155=0),0,MAX(5,R155*IF(OR($A155=Parameters!$B$13,$A155=Parameters!$B$14),0.75,1)-(IF(AND($A155=DATE(2026,11,29),NOV29BF="Yes"),S155,0)+IF(OR($A155=DATE(2026,11,29),$A155=DATE(2026,11,30),$A155=DATE(2026,12,1),$A155=DATE(2026,12,2)),T155,0)+IF(OR($A155=DATE(2026,11,28),$A155=DATE(2026,12,1)),U155,0))))</f>
        <v>0</v>
      </c>
      <c r="W155" s="14" t="n">
        <f aca="false">IF(AND($A155&lt;&gt;"",$A155&lt;Parameters!$B$14),CityData!F5*(1+TAXRATE),0)</f>
        <v>0</v>
      </c>
      <c r="X155" s="14" t="n">
        <f aca="false">IF($A155="",0,IFERROR(VLOOKUP((YEAR($A155)+IF(MONTH($A155)&gt;=10,1,0))&amp;"|Denver|"&amp;MONTH($A155),Rates!$A$2:$I$181,5,FALSE()),0))</f>
        <v>0</v>
      </c>
      <c r="Y155" s="14" t="n">
        <f aca="false">IF(OR($A155="",$A155&gt;=Parameters!$B$14),1,IF(AND(X155&gt;0,CityData!F5&lt;=X155),1,0))</f>
        <v>1</v>
      </c>
      <c r="Z155" s="14" t="n">
        <f aca="false">IF($A155="",0,IFERROR(VLOOKUP((YEAR($A155)+IF(MONTH($A155)&gt;=10,1,0))&amp;"|Phoenix|"&amp;MONTH($A155),Rates!$A$2:$I$181,6,FALSE()),0))</f>
        <v>0</v>
      </c>
      <c r="AA155" s="14" t="n">
        <f aca="false">IF(Z155=0,0,VLOOKUP(Z155,MIE_Components!$A$2:$F$6,2,FALSE()))</f>
        <v>0</v>
      </c>
      <c r="AB155" s="14" t="n">
        <f aca="false">IF(Z155=0,0,VLOOKUP(Z155,MIE_Components!$A$2:$F$6,3,FALSE()))</f>
        <v>0</v>
      </c>
      <c r="AC155" s="14" t="n">
        <f aca="false">IF(Z155=0,0,VLOOKUP(Z155,MIE_Components!$A$2:$F$6,4,FALSE()))</f>
        <v>0</v>
      </c>
      <c r="AD155" s="14" t="n">
        <f aca="false">IF(OR($A155="",Z155=0),0,MAX(5,Z155*IF(OR($A155=Parameters!$B$13,$A155=Parameters!$B$14),0.75,1)-(IF(AND($A155=DATE(2026,11,29),NOV29BF="Yes"),AA155,0)+IF(OR($A155=DATE(2026,11,29),$A155=DATE(2026,11,30),$A155=DATE(2026,12,1),$A155=DATE(2026,12,2)),AB155,0)+IF(OR($A155=DATE(2026,11,28),$A155=DATE(2026,12,1)),AC155,0))))</f>
        <v>0</v>
      </c>
      <c r="AE155" s="14" t="n">
        <f aca="false">IF(AND($A155&lt;&gt;"",$A155&lt;Parameters!$B$14),CityData!F6*(1+TAXRATE),0)</f>
        <v>0</v>
      </c>
      <c r="AF155" s="14" t="n">
        <f aca="false">IF($A155="",0,IFERROR(VLOOKUP((YEAR($A155)+IF(MONTH($A155)&gt;=10,1,0))&amp;"|Phoenix|"&amp;MONTH($A155),Rates!$A$2:$I$181,5,FALSE()),0))</f>
        <v>0</v>
      </c>
      <c r="AG155" s="14" t="n">
        <f aca="false">IF(OR($A155="",$A155&gt;=Parameters!$B$14),1,IF(AND(AF155&gt;0,CityData!F6&lt;=AF155),1,0))</f>
        <v>1</v>
      </c>
      <c r="AH155" s="14" t="n">
        <f aca="false">IF($A155="",0,IFERROR(VLOOKUP((YEAR($A155)+IF(MONTH($A155)&gt;=10,1,0))&amp;"|Seattle|"&amp;MONTH($A155),Rates!$A$2:$I$181,6,FALSE()),0))</f>
        <v>0</v>
      </c>
      <c r="AI155" s="14" t="n">
        <f aca="false">IF(AH155=0,0,VLOOKUP(AH155,MIE_Components!$A$2:$F$6,2,FALSE()))</f>
        <v>0</v>
      </c>
      <c r="AJ155" s="14" t="n">
        <f aca="false">IF(AH155=0,0,VLOOKUP(AH155,MIE_Components!$A$2:$F$6,3,FALSE()))</f>
        <v>0</v>
      </c>
      <c r="AK155" s="14" t="n">
        <f aca="false">IF(AH155=0,0,VLOOKUP(AH155,MIE_Components!$A$2:$F$6,4,FALSE()))</f>
        <v>0</v>
      </c>
      <c r="AL155" s="14" t="n">
        <f aca="false">IF(OR($A155="",AH155=0),0,MAX(5,AH155*IF(OR($A155=Parameters!$B$13,$A155=Parameters!$B$14),0.75,1)-(IF(AND($A155=DATE(2026,11,29),NOV29BF="Yes"),AI155,0)+IF(OR($A155=DATE(2026,11,29),$A155=DATE(2026,11,30),$A155=DATE(2026,12,1),$A155=DATE(2026,12,2)),AJ155,0)+IF(OR($A155=DATE(2026,11,28),$A155=DATE(2026,12,1)),AK155,0))))</f>
        <v>0</v>
      </c>
      <c r="AM155" s="14" t="n">
        <f aca="false">IF(AND($A155&lt;&gt;"",$A155&lt;Parameters!$B$14),CityData!F7*(1+TAXRATE),0)</f>
        <v>0</v>
      </c>
      <c r="AN155" s="14" t="n">
        <f aca="false">IF($A155="",0,IFERROR(VLOOKUP((YEAR($A155)+IF(MONTH($A155)&gt;=10,1,0))&amp;"|Seattle|"&amp;MONTH($A155),Rates!$A$2:$I$181,5,FALSE()),0))</f>
        <v>0</v>
      </c>
      <c r="AO155" s="14" t="n">
        <f aca="false">IF(OR($A155="",$A155&gt;=Parameters!$B$14),1,IF(AND(AN155&gt;0,CityData!F7&lt;=AN155),1,0))</f>
        <v>1</v>
      </c>
    </row>
    <row r="156" customFormat="false" ht="15" hidden="false" customHeight="true" outlineLevel="0" collapsed="false">
      <c r="A156" s="23" t="str">
        <f aca="false">IF(AND(Parameters!$B$14&gt;=Parameters!$B$13,ROW()-2&lt;=Parameters!$B$14-Parameters!$B$13),Parameters!$B$13+ROW()-2,"")</f>
        <v/>
      </c>
      <c r="B156" s="14" t="n">
        <f aca="false">IF($A156="",0,IFERROR(VLOOKUP((YEAR($A156)+IF(MONTH($A156)&gt;=10,1,0))&amp;"|Boston|"&amp;MONTH($A156),Rates!$A$2:$I$181,6,FALSE()),0))</f>
        <v>0</v>
      </c>
      <c r="C156" s="14" t="n">
        <f aca="false">IF(B156=0,0,VLOOKUP(B156,MIE_Components!$A$2:$F$6,2,FALSE()))</f>
        <v>0</v>
      </c>
      <c r="D156" s="14" t="n">
        <f aca="false">IF(B156=0,0,VLOOKUP(B156,MIE_Components!$A$2:$F$6,3,FALSE()))</f>
        <v>0</v>
      </c>
      <c r="E156" s="14" t="n">
        <f aca="false">IF(B156=0,0,VLOOKUP(B156,MIE_Components!$A$2:$F$6,4,FALSE()))</f>
        <v>0</v>
      </c>
      <c r="F156" s="14" t="n">
        <f aca="false">IF(OR($A156="",B156=0),0,MAX(5,B156*IF(OR($A156=Parameters!$B$13,$A156=Parameters!$B$14),0.75,1)-(IF(AND($A156=DATE(2026,11,29),NOV29BF="Yes"),C156,0)+IF(OR($A156=DATE(2026,11,29),$A156=DATE(2026,11,30),$A156=DATE(2026,12,1),$A156=DATE(2026,12,2)),D156,0)+IF(OR($A156=DATE(2026,11,28),$A156=DATE(2026,12,1)),E156,0))))</f>
        <v>0</v>
      </c>
      <c r="G156" s="14" t="n">
        <f aca="false">IF(AND($A156&lt;&gt;"",$A156&lt;Parameters!$B$14),CityData!F3*(1+TAXRATE),0)</f>
        <v>0</v>
      </c>
      <c r="H156" s="14" t="n">
        <f aca="false">IF($A156="",0,IFERROR(VLOOKUP((YEAR($A156)+IF(MONTH($A156)&gt;=10,1,0))&amp;"|Boston|"&amp;MONTH($A156),Rates!$A$2:$I$181,5,FALSE()),0))</f>
        <v>0</v>
      </c>
      <c r="I156" s="14" t="n">
        <f aca="false">IF(OR($A156="",$A156&gt;=Parameters!$B$14),1,IF(AND(H156&gt;0,CityData!F3&lt;=H156),1,0))</f>
        <v>1</v>
      </c>
      <c r="J156" s="14" t="n">
        <f aca="false">IF($A156="",0,IFERROR(VLOOKUP((YEAR($A156)+IF(MONTH($A156)&gt;=10,1,0))&amp;"|Chicago|"&amp;MONTH($A156),Rates!$A$2:$I$181,6,FALSE()),0))</f>
        <v>0</v>
      </c>
      <c r="K156" s="14" t="n">
        <f aca="false">IF(J156=0,0,VLOOKUP(J156,MIE_Components!$A$2:$F$6,2,FALSE()))</f>
        <v>0</v>
      </c>
      <c r="L156" s="14" t="n">
        <f aca="false">IF(J156=0,0,VLOOKUP(J156,MIE_Components!$A$2:$F$6,3,FALSE()))</f>
        <v>0</v>
      </c>
      <c r="M156" s="14" t="n">
        <f aca="false">IF(J156=0,0,VLOOKUP(J156,MIE_Components!$A$2:$F$6,4,FALSE()))</f>
        <v>0</v>
      </c>
      <c r="N156" s="14" t="n">
        <f aca="false">IF(OR($A156="",J156=0),0,MAX(5,J156*IF(OR($A156=Parameters!$B$13,$A156=Parameters!$B$14),0.75,1)-(IF(AND($A156=DATE(2026,11,29),NOV29BF="Yes"),K156,0)+IF(OR($A156=DATE(2026,11,29),$A156=DATE(2026,11,30),$A156=DATE(2026,12,1),$A156=DATE(2026,12,2)),L156,0)+IF(OR($A156=DATE(2026,11,28),$A156=DATE(2026,12,1)),M156,0))))</f>
        <v>0</v>
      </c>
      <c r="O156" s="14" t="n">
        <f aca="false">IF(AND($A156&lt;&gt;"",$A156&lt;Parameters!$B$14),CityData!F4*(1+TAXRATE),0)</f>
        <v>0</v>
      </c>
      <c r="P156" s="14" t="n">
        <f aca="false">IF($A156="",0,IFERROR(VLOOKUP((YEAR($A156)+IF(MONTH($A156)&gt;=10,1,0))&amp;"|Chicago|"&amp;MONTH($A156),Rates!$A$2:$I$181,5,FALSE()),0))</f>
        <v>0</v>
      </c>
      <c r="Q156" s="14" t="n">
        <f aca="false">IF(OR($A156="",$A156&gt;=Parameters!$B$14),1,IF(AND(P156&gt;0,CityData!F4&lt;=P156),1,0))</f>
        <v>1</v>
      </c>
      <c r="R156" s="14" t="n">
        <f aca="false">IF($A156="",0,IFERROR(VLOOKUP((YEAR($A156)+IF(MONTH($A156)&gt;=10,1,0))&amp;"|Denver|"&amp;MONTH($A156),Rates!$A$2:$I$181,6,FALSE()),0))</f>
        <v>0</v>
      </c>
      <c r="S156" s="14" t="n">
        <f aca="false">IF(R156=0,0,VLOOKUP(R156,MIE_Components!$A$2:$F$6,2,FALSE()))</f>
        <v>0</v>
      </c>
      <c r="T156" s="14" t="n">
        <f aca="false">IF(R156=0,0,VLOOKUP(R156,MIE_Components!$A$2:$F$6,3,FALSE()))</f>
        <v>0</v>
      </c>
      <c r="U156" s="14" t="n">
        <f aca="false">IF(R156=0,0,VLOOKUP(R156,MIE_Components!$A$2:$F$6,4,FALSE()))</f>
        <v>0</v>
      </c>
      <c r="V156" s="14" t="n">
        <f aca="false">IF(OR($A156="",R156=0),0,MAX(5,R156*IF(OR($A156=Parameters!$B$13,$A156=Parameters!$B$14),0.75,1)-(IF(AND($A156=DATE(2026,11,29),NOV29BF="Yes"),S156,0)+IF(OR($A156=DATE(2026,11,29),$A156=DATE(2026,11,30),$A156=DATE(2026,12,1),$A156=DATE(2026,12,2)),T156,0)+IF(OR($A156=DATE(2026,11,28),$A156=DATE(2026,12,1)),U156,0))))</f>
        <v>0</v>
      </c>
      <c r="W156" s="14" t="n">
        <f aca="false">IF(AND($A156&lt;&gt;"",$A156&lt;Parameters!$B$14),CityData!F5*(1+TAXRATE),0)</f>
        <v>0</v>
      </c>
      <c r="X156" s="14" t="n">
        <f aca="false">IF($A156="",0,IFERROR(VLOOKUP((YEAR($A156)+IF(MONTH($A156)&gt;=10,1,0))&amp;"|Denver|"&amp;MONTH($A156),Rates!$A$2:$I$181,5,FALSE()),0))</f>
        <v>0</v>
      </c>
      <c r="Y156" s="14" t="n">
        <f aca="false">IF(OR($A156="",$A156&gt;=Parameters!$B$14),1,IF(AND(X156&gt;0,CityData!F5&lt;=X156),1,0))</f>
        <v>1</v>
      </c>
      <c r="Z156" s="14" t="n">
        <f aca="false">IF($A156="",0,IFERROR(VLOOKUP((YEAR($A156)+IF(MONTH($A156)&gt;=10,1,0))&amp;"|Phoenix|"&amp;MONTH($A156),Rates!$A$2:$I$181,6,FALSE()),0))</f>
        <v>0</v>
      </c>
      <c r="AA156" s="14" t="n">
        <f aca="false">IF(Z156=0,0,VLOOKUP(Z156,MIE_Components!$A$2:$F$6,2,FALSE()))</f>
        <v>0</v>
      </c>
      <c r="AB156" s="14" t="n">
        <f aca="false">IF(Z156=0,0,VLOOKUP(Z156,MIE_Components!$A$2:$F$6,3,FALSE()))</f>
        <v>0</v>
      </c>
      <c r="AC156" s="14" t="n">
        <f aca="false">IF(Z156=0,0,VLOOKUP(Z156,MIE_Components!$A$2:$F$6,4,FALSE()))</f>
        <v>0</v>
      </c>
      <c r="AD156" s="14" t="n">
        <f aca="false">IF(OR($A156="",Z156=0),0,MAX(5,Z156*IF(OR($A156=Parameters!$B$13,$A156=Parameters!$B$14),0.75,1)-(IF(AND($A156=DATE(2026,11,29),NOV29BF="Yes"),AA156,0)+IF(OR($A156=DATE(2026,11,29),$A156=DATE(2026,11,30),$A156=DATE(2026,12,1),$A156=DATE(2026,12,2)),AB156,0)+IF(OR($A156=DATE(2026,11,28),$A156=DATE(2026,12,1)),AC156,0))))</f>
        <v>0</v>
      </c>
      <c r="AE156" s="14" t="n">
        <f aca="false">IF(AND($A156&lt;&gt;"",$A156&lt;Parameters!$B$14),CityData!F6*(1+TAXRATE),0)</f>
        <v>0</v>
      </c>
      <c r="AF156" s="14" t="n">
        <f aca="false">IF($A156="",0,IFERROR(VLOOKUP((YEAR($A156)+IF(MONTH($A156)&gt;=10,1,0))&amp;"|Phoenix|"&amp;MONTH($A156),Rates!$A$2:$I$181,5,FALSE()),0))</f>
        <v>0</v>
      </c>
      <c r="AG156" s="14" t="n">
        <f aca="false">IF(OR($A156="",$A156&gt;=Parameters!$B$14),1,IF(AND(AF156&gt;0,CityData!F6&lt;=AF156),1,0))</f>
        <v>1</v>
      </c>
      <c r="AH156" s="14" t="n">
        <f aca="false">IF($A156="",0,IFERROR(VLOOKUP((YEAR($A156)+IF(MONTH($A156)&gt;=10,1,0))&amp;"|Seattle|"&amp;MONTH($A156),Rates!$A$2:$I$181,6,FALSE()),0))</f>
        <v>0</v>
      </c>
      <c r="AI156" s="14" t="n">
        <f aca="false">IF(AH156=0,0,VLOOKUP(AH156,MIE_Components!$A$2:$F$6,2,FALSE()))</f>
        <v>0</v>
      </c>
      <c r="AJ156" s="14" t="n">
        <f aca="false">IF(AH156=0,0,VLOOKUP(AH156,MIE_Components!$A$2:$F$6,3,FALSE()))</f>
        <v>0</v>
      </c>
      <c r="AK156" s="14" t="n">
        <f aca="false">IF(AH156=0,0,VLOOKUP(AH156,MIE_Components!$A$2:$F$6,4,FALSE()))</f>
        <v>0</v>
      </c>
      <c r="AL156" s="14" t="n">
        <f aca="false">IF(OR($A156="",AH156=0),0,MAX(5,AH156*IF(OR($A156=Parameters!$B$13,$A156=Parameters!$B$14),0.75,1)-(IF(AND($A156=DATE(2026,11,29),NOV29BF="Yes"),AI156,0)+IF(OR($A156=DATE(2026,11,29),$A156=DATE(2026,11,30),$A156=DATE(2026,12,1),$A156=DATE(2026,12,2)),AJ156,0)+IF(OR($A156=DATE(2026,11,28),$A156=DATE(2026,12,1)),AK156,0))))</f>
        <v>0</v>
      </c>
      <c r="AM156" s="14" t="n">
        <f aca="false">IF(AND($A156&lt;&gt;"",$A156&lt;Parameters!$B$14),CityData!F7*(1+TAXRATE),0)</f>
        <v>0</v>
      </c>
      <c r="AN156" s="14" t="n">
        <f aca="false">IF($A156="",0,IFERROR(VLOOKUP((YEAR($A156)+IF(MONTH($A156)&gt;=10,1,0))&amp;"|Seattle|"&amp;MONTH($A156),Rates!$A$2:$I$181,5,FALSE()),0))</f>
        <v>0</v>
      </c>
      <c r="AO156" s="14" t="n">
        <f aca="false">IF(OR($A156="",$A156&gt;=Parameters!$B$14),1,IF(AND(AN156&gt;0,CityData!F7&lt;=AN156),1,0))</f>
        <v>1</v>
      </c>
    </row>
    <row r="157" customFormat="false" ht="15" hidden="false" customHeight="true" outlineLevel="0" collapsed="false">
      <c r="A157" s="23" t="str">
        <f aca="false">IF(AND(Parameters!$B$14&gt;=Parameters!$B$13,ROW()-2&lt;=Parameters!$B$14-Parameters!$B$13),Parameters!$B$13+ROW()-2,"")</f>
        <v/>
      </c>
      <c r="B157" s="14" t="n">
        <f aca="false">IF($A157="",0,IFERROR(VLOOKUP((YEAR($A157)+IF(MONTH($A157)&gt;=10,1,0))&amp;"|Boston|"&amp;MONTH($A157),Rates!$A$2:$I$181,6,FALSE()),0))</f>
        <v>0</v>
      </c>
      <c r="C157" s="14" t="n">
        <f aca="false">IF(B157=0,0,VLOOKUP(B157,MIE_Components!$A$2:$F$6,2,FALSE()))</f>
        <v>0</v>
      </c>
      <c r="D157" s="14" t="n">
        <f aca="false">IF(B157=0,0,VLOOKUP(B157,MIE_Components!$A$2:$F$6,3,FALSE()))</f>
        <v>0</v>
      </c>
      <c r="E157" s="14" t="n">
        <f aca="false">IF(B157=0,0,VLOOKUP(B157,MIE_Components!$A$2:$F$6,4,FALSE()))</f>
        <v>0</v>
      </c>
      <c r="F157" s="14" t="n">
        <f aca="false">IF(OR($A157="",B157=0),0,MAX(5,B157*IF(OR($A157=Parameters!$B$13,$A157=Parameters!$B$14),0.75,1)-(IF(AND($A157=DATE(2026,11,29),NOV29BF="Yes"),C157,0)+IF(OR($A157=DATE(2026,11,29),$A157=DATE(2026,11,30),$A157=DATE(2026,12,1),$A157=DATE(2026,12,2)),D157,0)+IF(OR($A157=DATE(2026,11,28),$A157=DATE(2026,12,1)),E157,0))))</f>
        <v>0</v>
      </c>
      <c r="G157" s="14" t="n">
        <f aca="false">IF(AND($A157&lt;&gt;"",$A157&lt;Parameters!$B$14),CityData!F3*(1+TAXRATE),0)</f>
        <v>0</v>
      </c>
      <c r="H157" s="14" t="n">
        <f aca="false">IF($A157="",0,IFERROR(VLOOKUP((YEAR($A157)+IF(MONTH($A157)&gt;=10,1,0))&amp;"|Boston|"&amp;MONTH($A157),Rates!$A$2:$I$181,5,FALSE()),0))</f>
        <v>0</v>
      </c>
      <c r="I157" s="14" t="n">
        <f aca="false">IF(OR($A157="",$A157&gt;=Parameters!$B$14),1,IF(AND(H157&gt;0,CityData!F3&lt;=H157),1,0))</f>
        <v>1</v>
      </c>
      <c r="J157" s="14" t="n">
        <f aca="false">IF($A157="",0,IFERROR(VLOOKUP((YEAR($A157)+IF(MONTH($A157)&gt;=10,1,0))&amp;"|Chicago|"&amp;MONTH($A157),Rates!$A$2:$I$181,6,FALSE()),0))</f>
        <v>0</v>
      </c>
      <c r="K157" s="14" t="n">
        <f aca="false">IF(J157=0,0,VLOOKUP(J157,MIE_Components!$A$2:$F$6,2,FALSE()))</f>
        <v>0</v>
      </c>
      <c r="L157" s="14" t="n">
        <f aca="false">IF(J157=0,0,VLOOKUP(J157,MIE_Components!$A$2:$F$6,3,FALSE()))</f>
        <v>0</v>
      </c>
      <c r="M157" s="14" t="n">
        <f aca="false">IF(J157=0,0,VLOOKUP(J157,MIE_Components!$A$2:$F$6,4,FALSE()))</f>
        <v>0</v>
      </c>
      <c r="N157" s="14" t="n">
        <f aca="false">IF(OR($A157="",J157=0),0,MAX(5,J157*IF(OR($A157=Parameters!$B$13,$A157=Parameters!$B$14),0.75,1)-(IF(AND($A157=DATE(2026,11,29),NOV29BF="Yes"),K157,0)+IF(OR($A157=DATE(2026,11,29),$A157=DATE(2026,11,30),$A157=DATE(2026,12,1),$A157=DATE(2026,12,2)),L157,0)+IF(OR($A157=DATE(2026,11,28),$A157=DATE(2026,12,1)),M157,0))))</f>
        <v>0</v>
      </c>
      <c r="O157" s="14" t="n">
        <f aca="false">IF(AND($A157&lt;&gt;"",$A157&lt;Parameters!$B$14),CityData!F4*(1+TAXRATE),0)</f>
        <v>0</v>
      </c>
      <c r="P157" s="14" t="n">
        <f aca="false">IF($A157="",0,IFERROR(VLOOKUP((YEAR($A157)+IF(MONTH($A157)&gt;=10,1,0))&amp;"|Chicago|"&amp;MONTH($A157),Rates!$A$2:$I$181,5,FALSE()),0))</f>
        <v>0</v>
      </c>
      <c r="Q157" s="14" t="n">
        <f aca="false">IF(OR($A157="",$A157&gt;=Parameters!$B$14),1,IF(AND(P157&gt;0,CityData!F4&lt;=P157),1,0))</f>
        <v>1</v>
      </c>
      <c r="R157" s="14" t="n">
        <f aca="false">IF($A157="",0,IFERROR(VLOOKUP((YEAR($A157)+IF(MONTH($A157)&gt;=10,1,0))&amp;"|Denver|"&amp;MONTH($A157),Rates!$A$2:$I$181,6,FALSE()),0))</f>
        <v>0</v>
      </c>
      <c r="S157" s="14" t="n">
        <f aca="false">IF(R157=0,0,VLOOKUP(R157,MIE_Components!$A$2:$F$6,2,FALSE()))</f>
        <v>0</v>
      </c>
      <c r="T157" s="14" t="n">
        <f aca="false">IF(R157=0,0,VLOOKUP(R157,MIE_Components!$A$2:$F$6,3,FALSE()))</f>
        <v>0</v>
      </c>
      <c r="U157" s="14" t="n">
        <f aca="false">IF(R157=0,0,VLOOKUP(R157,MIE_Components!$A$2:$F$6,4,FALSE()))</f>
        <v>0</v>
      </c>
      <c r="V157" s="14" t="n">
        <f aca="false">IF(OR($A157="",R157=0),0,MAX(5,R157*IF(OR($A157=Parameters!$B$13,$A157=Parameters!$B$14),0.75,1)-(IF(AND($A157=DATE(2026,11,29),NOV29BF="Yes"),S157,0)+IF(OR($A157=DATE(2026,11,29),$A157=DATE(2026,11,30),$A157=DATE(2026,12,1),$A157=DATE(2026,12,2)),T157,0)+IF(OR($A157=DATE(2026,11,28),$A157=DATE(2026,12,1)),U157,0))))</f>
        <v>0</v>
      </c>
      <c r="W157" s="14" t="n">
        <f aca="false">IF(AND($A157&lt;&gt;"",$A157&lt;Parameters!$B$14),CityData!F5*(1+TAXRATE),0)</f>
        <v>0</v>
      </c>
      <c r="X157" s="14" t="n">
        <f aca="false">IF($A157="",0,IFERROR(VLOOKUP((YEAR($A157)+IF(MONTH($A157)&gt;=10,1,0))&amp;"|Denver|"&amp;MONTH($A157),Rates!$A$2:$I$181,5,FALSE()),0))</f>
        <v>0</v>
      </c>
      <c r="Y157" s="14" t="n">
        <f aca="false">IF(OR($A157="",$A157&gt;=Parameters!$B$14),1,IF(AND(X157&gt;0,CityData!F5&lt;=X157),1,0))</f>
        <v>1</v>
      </c>
      <c r="Z157" s="14" t="n">
        <f aca="false">IF($A157="",0,IFERROR(VLOOKUP((YEAR($A157)+IF(MONTH($A157)&gt;=10,1,0))&amp;"|Phoenix|"&amp;MONTH($A157),Rates!$A$2:$I$181,6,FALSE()),0))</f>
        <v>0</v>
      </c>
      <c r="AA157" s="14" t="n">
        <f aca="false">IF(Z157=0,0,VLOOKUP(Z157,MIE_Components!$A$2:$F$6,2,FALSE()))</f>
        <v>0</v>
      </c>
      <c r="AB157" s="14" t="n">
        <f aca="false">IF(Z157=0,0,VLOOKUP(Z157,MIE_Components!$A$2:$F$6,3,FALSE()))</f>
        <v>0</v>
      </c>
      <c r="AC157" s="14" t="n">
        <f aca="false">IF(Z157=0,0,VLOOKUP(Z157,MIE_Components!$A$2:$F$6,4,FALSE()))</f>
        <v>0</v>
      </c>
      <c r="AD157" s="14" t="n">
        <f aca="false">IF(OR($A157="",Z157=0),0,MAX(5,Z157*IF(OR($A157=Parameters!$B$13,$A157=Parameters!$B$14),0.75,1)-(IF(AND($A157=DATE(2026,11,29),NOV29BF="Yes"),AA157,0)+IF(OR($A157=DATE(2026,11,29),$A157=DATE(2026,11,30),$A157=DATE(2026,12,1),$A157=DATE(2026,12,2)),AB157,0)+IF(OR($A157=DATE(2026,11,28),$A157=DATE(2026,12,1)),AC157,0))))</f>
        <v>0</v>
      </c>
      <c r="AE157" s="14" t="n">
        <f aca="false">IF(AND($A157&lt;&gt;"",$A157&lt;Parameters!$B$14),CityData!F6*(1+TAXRATE),0)</f>
        <v>0</v>
      </c>
      <c r="AF157" s="14" t="n">
        <f aca="false">IF($A157="",0,IFERROR(VLOOKUP((YEAR($A157)+IF(MONTH($A157)&gt;=10,1,0))&amp;"|Phoenix|"&amp;MONTH($A157),Rates!$A$2:$I$181,5,FALSE()),0))</f>
        <v>0</v>
      </c>
      <c r="AG157" s="14" t="n">
        <f aca="false">IF(OR($A157="",$A157&gt;=Parameters!$B$14),1,IF(AND(AF157&gt;0,CityData!F6&lt;=AF157),1,0))</f>
        <v>1</v>
      </c>
      <c r="AH157" s="14" t="n">
        <f aca="false">IF($A157="",0,IFERROR(VLOOKUP((YEAR($A157)+IF(MONTH($A157)&gt;=10,1,0))&amp;"|Seattle|"&amp;MONTH($A157),Rates!$A$2:$I$181,6,FALSE()),0))</f>
        <v>0</v>
      </c>
      <c r="AI157" s="14" t="n">
        <f aca="false">IF(AH157=0,0,VLOOKUP(AH157,MIE_Components!$A$2:$F$6,2,FALSE()))</f>
        <v>0</v>
      </c>
      <c r="AJ157" s="14" t="n">
        <f aca="false">IF(AH157=0,0,VLOOKUP(AH157,MIE_Components!$A$2:$F$6,3,FALSE()))</f>
        <v>0</v>
      </c>
      <c r="AK157" s="14" t="n">
        <f aca="false">IF(AH157=0,0,VLOOKUP(AH157,MIE_Components!$A$2:$F$6,4,FALSE()))</f>
        <v>0</v>
      </c>
      <c r="AL157" s="14" t="n">
        <f aca="false">IF(OR($A157="",AH157=0),0,MAX(5,AH157*IF(OR($A157=Parameters!$B$13,$A157=Parameters!$B$14),0.75,1)-(IF(AND($A157=DATE(2026,11,29),NOV29BF="Yes"),AI157,0)+IF(OR($A157=DATE(2026,11,29),$A157=DATE(2026,11,30),$A157=DATE(2026,12,1),$A157=DATE(2026,12,2)),AJ157,0)+IF(OR($A157=DATE(2026,11,28),$A157=DATE(2026,12,1)),AK157,0))))</f>
        <v>0</v>
      </c>
      <c r="AM157" s="14" t="n">
        <f aca="false">IF(AND($A157&lt;&gt;"",$A157&lt;Parameters!$B$14),CityData!F7*(1+TAXRATE),0)</f>
        <v>0</v>
      </c>
      <c r="AN157" s="14" t="n">
        <f aca="false">IF($A157="",0,IFERROR(VLOOKUP((YEAR($A157)+IF(MONTH($A157)&gt;=10,1,0))&amp;"|Seattle|"&amp;MONTH($A157),Rates!$A$2:$I$181,5,FALSE()),0))</f>
        <v>0</v>
      </c>
      <c r="AO157" s="14" t="n">
        <f aca="false">IF(OR($A157="",$A157&gt;=Parameters!$B$14),1,IF(AND(AN157&gt;0,CityData!F7&lt;=AN157),1,0))</f>
        <v>1</v>
      </c>
    </row>
    <row r="158" customFormat="false" ht="15" hidden="false" customHeight="true" outlineLevel="0" collapsed="false">
      <c r="A158" s="23" t="str">
        <f aca="false">IF(AND(Parameters!$B$14&gt;=Parameters!$B$13,ROW()-2&lt;=Parameters!$B$14-Parameters!$B$13),Parameters!$B$13+ROW()-2,"")</f>
        <v/>
      </c>
      <c r="B158" s="14" t="n">
        <f aca="false">IF($A158="",0,IFERROR(VLOOKUP((YEAR($A158)+IF(MONTH($A158)&gt;=10,1,0))&amp;"|Boston|"&amp;MONTH($A158),Rates!$A$2:$I$181,6,FALSE()),0))</f>
        <v>0</v>
      </c>
      <c r="C158" s="14" t="n">
        <f aca="false">IF(B158=0,0,VLOOKUP(B158,MIE_Components!$A$2:$F$6,2,FALSE()))</f>
        <v>0</v>
      </c>
      <c r="D158" s="14" t="n">
        <f aca="false">IF(B158=0,0,VLOOKUP(B158,MIE_Components!$A$2:$F$6,3,FALSE()))</f>
        <v>0</v>
      </c>
      <c r="E158" s="14" t="n">
        <f aca="false">IF(B158=0,0,VLOOKUP(B158,MIE_Components!$A$2:$F$6,4,FALSE()))</f>
        <v>0</v>
      </c>
      <c r="F158" s="14" t="n">
        <f aca="false">IF(OR($A158="",B158=0),0,MAX(5,B158*IF(OR($A158=Parameters!$B$13,$A158=Parameters!$B$14),0.75,1)-(IF(AND($A158=DATE(2026,11,29),NOV29BF="Yes"),C158,0)+IF(OR($A158=DATE(2026,11,29),$A158=DATE(2026,11,30),$A158=DATE(2026,12,1),$A158=DATE(2026,12,2)),D158,0)+IF(OR($A158=DATE(2026,11,28),$A158=DATE(2026,12,1)),E158,0))))</f>
        <v>0</v>
      </c>
      <c r="G158" s="14" t="n">
        <f aca="false">IF(AND($A158&lt;&gt;"",$A158&lt;Parameters!$B$14),CityData!F3*(1+TAXRATE),0)</f>
        <v>0</v>
      </c>
      <c r="H158" s="14" t="n">
        <f aca="false">IF($A158="",0,IFERROR(VLOOKUP((YEAR($A158)+IF(MONTH($A158)&gt;=10,1,0))&amp;"|Boston|"&amp;MONTH($A158),Rates!$A$2:$I$181,5,FALSE()),0))</f>
        <v>0</v>
      </c>
      <c r="I158" s="14" t="n">
        <f aca="false">IF(OR($A158="",$A158&gt;=Parameters!$B$14),1,IF(AND(H158&gt;0,CityData!F3&lt;=H158),1,0))</f>
        <v>1</v>
      </c>
      <c r="J158" s="14" t="n">
        <f aca="false">IF($A158="",0,IFERROR(VLOOKUP((YEAR($A158)+IF(MONTH($A158)&gt;=10,1,0))&amp;"|Chicago|"&amp;MONTH($A158),Rates!$A$2:$I$181,6,FALSE()),0))</f>
        <v>0</v>
      </c>
      <c r="K158" s="14" t="n">
        <f aca="false">IF(J158=0,0,VLOOKUP(J158,MIE_Components!$A$2:$F$6,2,FALSE()))</f>
        <v>0</v>
      </c>
      <c r="L158" s="14" t="n">
        <f aca="false">IF(J158=0,0,VLOOKUP(J158,MIE_Components!$A$2:$F$6,3,FALSE()))</f>
        <v>0</v>
      </c>
      <c r="M158" s="14" t="n">
        <f aca="false">IF(J158=0,0,VLOOKUP(J158,MIE_Components!$A$2:$F$6,4,FALSE()))</f>
        <v>0</v>
      </c>
      <c r="N158" s="14" t="n">
        <f aca="false">IF(OR($A158="",J158=0),0,MAX(5,J158*IF(OR($A158=Parameters!$B$13,$A158=Parameters!$B$14),0.75,1)-(IF(AND($A158=DATE(2026,11,29),NOV29BF="Yes"),K158,0)+IF(OR($A158=DATE(2026,11,29),$A158=DATE(2026,11,30),$A158=DATE(2026,12,1),$A158=DATE(2026,12,2)),L158,0)+IF(OR($A158=DATE(2026,11,28),$A158=DATE(2026,12,1)),M158,0))))</f>
        <v>0</v>
      </c>
      <c r="O158" s="14" t="n">
        <f aca="false">IF(AND($A158&lt;&gt;"",$A158&lt;Parameters!$B$14),CityData!F4*(1+TAXRATE),0)</f>
        <v>0</v>
      </c>
      <c r="P158" s="14" t="n">
        <f aca="false">IF($A158="",0,IFERROR(VLOOKUP((YEAR($A158)+IF(MONTH($A158)&gt;=10,1,0))&amp;"|Chicago|"&amp;MONTH($A158),Rates!$A$2:$I$181,5,FALSE()),0))</f>
        <v>0</v>
      </c>
      <c r="Q158" s="14" t="n">
        <f aca="false">IF(OR($A158="",$A158&gt;=Parameters!$B$14),1,IF(AND(P158&gt;0,CityData!F4&lt;=P158),1,0))</f>
        <v>1</v>
      </c>
      <c r="R158" s="14" t="n">
        <f aca="false">IF($A158="",0,IFERROR(VLOOKUP((YEAR($A158)+IF(MONTH($A158)&gt;=10,1,0))&amp;"|Denver|"&amp;MONTH($A158),Rates!$A$2:$I$181,6,FALSE()),0))</f>
        <v>0</v>
      </c>
      <c r="S158" s="14" t="n">
        <f aca="false">IF(R158=0,0,VLOOKUP(R158,MIE_Components!$A$2:$F$6,2,FALSE()))</f>
        <v>0</v>
      </c>
      <c r="T158" s="14" t="n">
        <f aca="false">IF(R158=0,0,VLOOKUP(R158,MIE_Components!$A$2:$F$6,3,FALSE()))</f>
        <v>0</v>
      </c>
      <c r="U158" s="14" t="n">
        <f aca="false">IF(R158=0,0,VLOOKUP(R158,MIE_Components!$A$2:$F$6,4,FALSE()))</f>
        <v>0</v>
      </c>
      <c r="V158" s="14" t="n">
        <f aca="false">IF(OR($A158="",R158=0),0,MAX(5,R158*IF(OR($A158=Parameters!$B$13,$A158=Parameters!$B$14),0.75,1)-(IF(AND($A158=DATE(2026,11,29),NOV29BF="Yes"),S158,0)+IF(OR($A158=DATE(2026,11,29),$A158=DATE(2026,11,30),$A158=DATE(2026,12,1),$A158=DATE(2026,12,2)),T158,0)+IF(OR($A158=DATE(2026,11,28),$A158=DATE(2026,12,1)),U158,0))))</f>
        <v>0</v>
      </c>
      <c r="W158" s="14" t="n">
        <f aca="false">IF(AND($A158&lt;&gt;"",$A158&lt;Parameters!$B$14),CityData!F5*(1+TAXRATE),0)</f>
        <v>0</v>
      </c>
      <c r="X158" s="14" t="n">
        <f aca="false">IF($A158="",0,IFERROR(VLOOKUP((YEAR($A158)+IF(MONTH($A158)&gt;=10,1,0))&amp;"|Denver|"&amp;MONTH($A158),Rates!$A$2:$I$181,5,FALSE()),0))</f>
        <v>0</v>
      </c>
      <c r="Y158" s="14" t="n">
        <f aca="false">IF(OR($A158="",$A158&gt;=Parameters!$B$14),1,IF(AND(X158&gt;0,CityData!F5&lt;=X158),1,0))</f>
        <v>1</v>
      </c>
      <c r="Z158" s="14" t="n">
        <f aca="false">IF($A158="",0,IFERROR(VLOOKUP((YEAR($A158)+IF(MONTH($A158)&gt;=10,1,0))&amp;"|Phoenix|"&amp;MONTH($A158),Rates!$A$2:$I$181,6,FALSE()),0))</f>
        <v>0</v>
      </c>
      <c r="AA158" s="14" t="n">
        <f aca="false">IF(Z158=0,0,VLOOKUP(Z158,MIE_Components!$A$2:$F$6,2,FALSE()))</f>
        <v>0</v>
      </c>
      <c r="AB158" s="14" t="n">
        <f aca="false">IF(Z158=0,0,VLOOKUP(Z158,MIE_Components!$A$2:$F$6,3,FALSE()))</f>
        <v>0</v>
      </c>
      <c r="AC158" s="14" t="n">
        <f aca="false">IF(Z158=0,0,VLOOKUP(Z158,MIE_Components!$A$2:$F$6,4,FALSE()))</f>
        <v>0</v>
      </c>
      <c r="AD158" s="14" t="n">
        <f aca="false">IF(OR($A158="",Z158=0),0,MAX(5,Z158*IF(OR($A158=Parameters!$B$13,$A158=Parameters!$B$14),0.75,1)-(IF(AND($A158=DATE(2026,11,29),NOV29BF="Yes"),AA158,0)+IF(OR($A158=DATE(2026,11,29),$A158=DATE(2026,11,30),$A158=DATE(2026,12,1),$A158=DATE(2026,12,2)),AB158,0)+IF(OR($A158=DATE(2026,11,28),$A158=DATE(2026,12,1)),AC158,0))))</f>
        <v>0</v>
      </c>
      <c r="AE158" s="14" t="n">
        <f aca="false">IF(AND($A158&lt;&gt;"",$A158&lt;Parameters!$B$14),CityData!F6*(1+TAXRATE),0)</f>
        <v>0</v>
      </c>
      <c r="AF158" s="14" t="n">
        <f aca="false">IF($A158="",0,IFERROR(VLOOKUP((YEAR($A158)+IF(MONTH($A158)&gt;=10,1,0))&amp;"|Phoenix|"&amp;MONTH($A158),Rates!$A$2:$I$181,5,FALSE()),0))</f>
        <v>0</v>
      </c>
      <c r="AG158" s="14" t="n">
        <f aca="false">IF(OR($A158="",$A158&gt;=Parameters!$B$14),1,IF(AND(AF158&gt;0,CityData!F6&lt;=AF158),1,0))</f>
        <v>1</v>
      </c>
      <c r="AH158" s="14" t="n">
        <f aca="false">IF($A158="",0,IFERROR(VLOOKUP((YEAR($A158)+IF(MONTH($A158)&gt;=10,1,0))&amp;"|Seattle|"&amp;MONTH($A158),Rates!$A$2:$I$181,6,FALSE()),0))</f>
        <v>0</v>
      </c>
      <c r="AI158" s="14" t="n">
        <f aca="false">IF(AH158=0,0,VLOOKUP(AH158,MIE_Components!$A$2:$F$6,2,FALSE()))</f>
        <v>0</v>
      </c>
      <c r="AJ158" s="14" t="n">
        <f aca="false">IF(AH158=0,0,VLOOKUP(AH158,MIE_Components!$A$2:$F$6,3,FALSE()))</f>
        <v>0</v>
      </c>
      <c r="AK158" s="14" t="n">
        <f aca="false">IF(AH158=0,0,VLOOKUP(AH158,MIE_Components!$A$2:$F$6,4,FALSE()))</f>
        <v>0</v>
      </c>
      <c r="AL158" s="14" t="n">
        <f aca="false">IF(OR($A158="",AH158=0),0,MAX(5,AH158*IF(OR($A158=Parameters!$B$13,$A158=Parameters!$B$14),0.75,1)-(IF(AND($A158=DATE(2026,11,29),NOV29BF="Yes"),AI158,0)+IF(OR($A158=DATE(2026,11,29),$A158=DATE(2026,11,30),$A158=DATE(2026,12,1),$A158=DATE(2026,12,2)),AJ158,0)+IF(OR($A158=DATE(2026,11,28),$A158=DATE(2026,12,1)),AK158,0))))</f>
        <v>0</v>
      </c>
      <c r="AM158" s="14" t="n">
        <f aca="false">IF(AND($A158&lt;&gt;"",$A158&lt;Parameters!$B$14),CityData!F7*(1+TAXRATE),0)</f>
        <v>0</v>
      </c>
      <c r="AN158" s="14" t="n">
        <f aca="false">IF($A158="",0,IFERROR(VLOOKUP((YEAR($A158)+IF(MONTH($A158)&gt;=10,1,0))&amp;"|Seattle|"&amp;MONTH($A158),Rates!$A$2:$I$181,5,FALSE()),0))</f>
        <v>0</v>
      </c>
      <c r="AO158" s="14" t="n">
        <f aca="false">IF(OR($A158="",$A158&gt;=Parameters!$B$14),1,IF(AND(AN158&gt;0,CityData!F7&lt;=AN158),1,0))</f>
        <v>1</v>
      </c>
    </row>
    <row r="159" customFormat="false" ht="15" hidden="false" customHeight="true" outlineLevel="0" collapsed="false">
      <c r="A159" s="23" t="str">
        <f aca="false">IF(AND(Parameters!$B$14&gt;=Parameters!$B$13,ROW()-2&lt;=Parameters!$B$14-Parameters!$B$13),Parameters!$B$13+ROW()-2,"")</f>
        <v/>
      </c>
      <c r="B159" s="14" t="n">
        <f aca="false">IF($A159="",0,IFERROR(VLOOKUP((YEAR($A159)+IF(MONTH($A159)&gt;=10,1,0))&amp;"|Boston|"&amp;MONTH($A159),Rates!$A$2:$I$181,6,FALSE()),0))</f>
        <v>0</v>
      </c>
      <c r="C159" s="14" t="n">
        <f aca="false">IF(B159=0,0,VLOOKUP(B159,MIE_Components!$A$2:$F$6,2,FALSE()))</f>
        <v>0</v>
      </c>
      <c r="D159" s="14" t="n">
        <f aca="false">IF(B159=0,0,VLOOKUP(B159,MIE_Components!$A$2:$F$6,3,FALSE()))</f>
        <v>0</v>
      </c>
      <c r="E159" s="14" t="n">
        <f aca="false">IF(B159=0,0,VLOOKUP(B159,MIE_Components!$A$2:$F$6,4,FALSE()))</f>
        <v>0</v>
      </c>
      <c r="F159" s="14" t="n">
        <f aca="false">IF(OR($A159="",B159=0),0,MAX(5,B159*IF(OR($A159=Parameters!$B$13,$A159=Parameters!$B$14),0.75,1)-(IF(AND($A159=DATE(2026,11,29),NOV29BF="Yes"),C159,0)+IF(OR($A159=DATE(2026,11,29),$A159=DATE(2026,11,30),$A159=DATE(2026,12,1),$A159=DATE(2026,12,2)),D159,0)+IF(OR($A159=DATE(2026,11,28),$A159=DATE(2026,12,1)),E159,0))))</f>
        <v>0</v>
      </c>
      <c r="G159" s="14" t="n">
        <f aca="false">IF(AND($A159&lt;&gt;"",$A159&lt;Parameters!$B$14),CityData!F3*(1+TAXRATE),0)</f>
        <v>0</v>
      </c>
      <c r="H159" s="14" t="n">
        <f aca="false">IF($A159="",0,IFERROR(VLOOKUP((YEAR($A159)+IF(MONTH($A159)&gt;=10,1,0))&amp;"|Boston|"&amp;MONTH($A159),Rates!$A$2:$I$181,5,FALSE()),0))</f>
        <v>0</v>
      </c>
      <c r="I159" s="14" t="n">
        <f aca="false">IF(OR($A159="",$A159&gt;=Parameters!$B$14),1,IF(AND(H159&gt;0,CityData!F3&lt;=H159),1,0))</f>
        <v>1</v>
      </c>
      <c r="J159" s="14" t="n">
        <f aca="false">IF($A159="",0,IFERROR(VLOOKUP((YEAR($A159)+IF(MONTH($A159)&gt;=10,1,0))&amp;"|Chicago|"&amp;MONTH($A159),Rates!$A$2:$I$181,6,FALSE()),0))</f>
        <v>0</v>
      </c>
      <c r="K159" s="14" t="n">
        <f aca="false">IF(J159=0,0,VLOOKUP(J159,MIE_Components!$A$2:$F$6,2,FALSE()))</f>
        <v>0</v>
      </c>
      <c r="L159" s="14" t="n">
        <f aca="false">IF(J159=0,0,VLOOKUP(J159,MIE_Components!$A$2:$F$6,3,FALSE()))</f>
        <v>0</v>
      </c>
      <c r="M159" s="14" t="n">
        <f aca="false">IF(J159=0,0,VLOOKUP(J159,MIE_Components!$A$2:$F$6,4,FALSE()))</f>
        <v>0</v>
      </c>
      <c r="N159" s="14" t="n">
        <f aca="false">IF(OR($A159="",J159=0),0,MAX(5,J159*IF(OR($A159=Parameters!$B$13,$A159=Parameters!$B$14),0.75,1)-(IF(AND($A159=DATE(2026,11,29),NOV29BF="Yes"),K159,0)+IF(OR($A159=DATE(2026,11,29),$A159=DATE(2026,11,30),$A159=DATE(2026,12,1),$A159=DATE(2026,12,2)),L159,0)+IF(OR($A159=DATE(2026,11,28),$A159=DATE(2026,12,1)),M159,0))))</f>
        <v>0</v>
      </c>
      <c r="O159" s="14" t="n">
        <f aca="false">IF(AND($A159&lt;&gt;"",$A159&lt;Parameters!$B$14),CityData!F4*(1+TAXRATE),0)</f>
        <v>0</v>
      </c>
      <c r="P159" s="14" t="n">
        <f aca="false">IF($A159="",0,IFERROR(VLOOKUP((YEAR($A159)+IF(MONTH($A159)&gt;=10,1,0))&amp;"|Chicago|"&amp;MONTH($A159),Rates!$A$2:$I$181,5,FALSE()),0))</f>
        <v>0</v>
      </c>
      <c r="Q159" s="14" t="n">
        <f aca="false">IF(OR($A159="",$A159&gt;=Parameters!$B$14),1,IF(AND(P159&gt;0,CityData!F4&lt;=P159),1,0))</f>
        <v>1</v>
      </c>
      <c r="R159" s="14" t="n">
        <f aca="false">IF($A159="",0,IFERROR(VLOOKUP((YEAR($A159)+IF(MONTH($A159)&gt;=10,1,0))&amp;"|Denver|"&amp;MONTH($A159),Rates!$A$2:$I$181,6,FALSE()),0))</f>
        <v>0</v>
      </c>
      <c r="S159" s="14" t="n">
        <f aca="false">IF(R159=0,0,VLOOKUP(R159,MIE_Components!$A$2:$F$6,2,FALSE()))</f>
        <v>0</v>
      </c>
      <c r="T159" s="14" t="n">
        <f aca="false">IF(R159=0,0,VLOOKUP(R159,MIE_Components!$A$2:$F$6,3,FALSE()))</f>
        <v>0</v>
      </c>
      <c r="U159" s="14" t="n">
        <f aca="false">IF(R159=0,0,VLOOKUP(R159,MIE_Components!$A$2:$F$6,4,FALSE()))</f>
        <v>0</v>
      </c>
      <c r="V159" s="14" t="n">
        <f aca="false">IF(OR($A159="",R159=0),0,MAX(5,R159*IF(OR($A159=Parameters!$B$13,$A159=Parameters!$B$14),0.75,1)-(IF(AND($A159=DATE(2026,11,29),NOV29BF="Yes"),S159,0)+IF(OR($A159=DATE(2026,11,29),$A159=DATE(2026,11,30),$A159=DATE(2026,12,1),$A159=DATE(2026,12,2)),T159,0)+IF(OR($A159=DATE(2026,11,28),$A159=DATE(2026,12,1)),U159,0))))</f>
        <v>0</v>
      </c>
      <c r="W159" s="14" t="n">
        <f aca="false">IF(AND($A159&lt;&gt;"",$A159&lt;Parameters!$B$14),CityData!F5*(1+TAXRATE),0)</f>
        <v>0</v>
      </c>
      <c r="X159" s="14" t="n">
        <f aca="false">IF($A159="",0,IFERROR(VLOOKUP((YEAR($A159)+IF(MONTH($A159)&gt;=10,1,0))&amp;"|Denver|"&amp;MONTH($A159),Rates!$A$2:$I$181,5,FALSE()),0))</f>
        <v>0</v>
      </c>
      <c r="Y159" s="14" t="n">
        <f aca="false">IF(OR($A159="",$A159&gt;=Parameters!$B$14),1,IF(AND(X159&gt;0,CityData!F5&lt;=X159),1,0))</f>
        <v>1</v>
      </c>
      <c r="Z159" s="14" t="n">
        <f aca="false">IF($A159="",0,IFERROR(VLOOKUP((YEAR($A159)+IF(MONTH($A159)&gt;=10,1,0))&amp;"|Phoenix|"&amp;MONTH($A159),Rates!$A$2:$I$181,6,FALSE()),0))</f>
        <v>0</v>
      </c>
      <c r="AA159" s="14" t="n">
        <f aca="false">IF(Z159=0,0,VLOOKUP(Z159,MIE_Components!$A$2:$F$6,2,FALSE()))</f>
        <v>0</v>
      </c>
      <c r="AB159" s="14" t="n">
        <f aca="false">IF(Z159=0,0,VLOOKUP(Z159,MIE_Components!$A$2:$F$6,3,FALSE()))</f>
        <v>0</v>
      </c>
      <c r="AC159" s="14" t="n">
        <f aca="false">IF(Z159=0,0,VLOOKUP(Z159,MIE_Components!$A$2:$F$6,4,FALSE()))</f>
        <v>0</v>
      </c>
      <c r="AD159" s="14" t="n">
        <f aca="false">IF(OR($A159="",Z159=0),0,MAX(5,Z159*IF(OR($A159=Parameters!$B$13,$A159=Parameters!$B$14),0.75,1)-(IF(AND($A159=DATE(2026,11,29),NOV29BF="Yes"),AA159,0)+IF(OR($A159=DATE(2026,11,29),$A159=DATE(2026,11,30),$A159=DATE(2026,12,1),$A159=DATE(2026,12,2)),AB159,0)+IF(OR($A159=DATE(2026,11,28),$A159=DATE(2026,12,1)),AC159,0))))</f>
        <v>0</v>
      </c>
      <c r="AE159" s="14" t="n">
        <f aca="false">IF(AND($A159&lt;&gt;"",$A159&lt;Parameters!$B$14),CityData!F6*(1+TAXRATE),0)</f>
        <v>0</v>
      </c>
      <c r="AF159" s="14" t="n">
        <f aca="false">IF($A159="",0,IFERROR(VLOOKUP((YEAR($A159)+IF(MONTH($A159)&gt;=10,1,0))&amp;"|Phoenix|"&amp;MONTH($A159),Rates!$A$2:$I$181,5,FALSE()),0))</f>
        <v>0</v>
      </c>
      <c r="AG159" s="14" t="n">
        <f aca="false">IF(OR($A159="",$A159&gt;=Parameters!$B$14),1,IF(AND(AF159&gt;0,CityData!F6&lt;=AF159),1,0))</f>
        <v>1</v>
      </c>
      <c r="AH159" s="14" t="n">
        <f aca="false">IF($A159="",0,IFERROR(VLOOKUP((YEAR($A159)+IF(MONTH($A159)&gt;=10,1,0))&amp;"|Seattle|"&amp;MONTH($A159),Rates!$A$2:$I$181,6,FALSE()),0))</f>
        <v>0</v>
      </c>
      <c r="AI159" s="14" t="n">
        <f aca="false">IF(AH159=0,0,VLOOKUP(AH159,MIE_Components!$A$2:$F$6,2,FALSE()))</f>
        <v>0</v>
      </c>
      <c r="AJ159" s="14" t="n">
        <f aca="false">IF(AH159=0,0,VLOOKUP(AH159,MIE_Components!$A$2:$F$6,3,FALSE()))</f>
        <v>0</v>
      </c>
      <c r="AK159" s="14" t="n">
        <f aca="false">IF(AH159=0,0,VLOOKUP(AH159,MIE_Components!$A$2:$F$6,4,FALSE()))</f>
        <v>0</v>
      </c>
      <c r="AL159" s="14" t="n">
        <f aca="false">IF(OR($A159="",AH159=0),0,MAX(5,AH159*IF(OR($A159=Parameters!$B$13,$A159=Parameters!$B$14),0.75,1)-(IF(AND($A159=DATE(2026,11,29),NOV29BF="Yes"),AI159,0)+IF(OR($A159=DATE(2026,11,29),$A159=DATE(2026,11,30),$A159=DATE(2026,12,1),$A159=DATE(2026,12,2)),AJ159,0)+IF(OR($A159=DATE(2026,11,28),$A159=DATE(2026,12,1)),AK159,0))))</f>
        <v>0</v>
      </c>
      <c r="AM159" s="14" t="n">
        <f aca="false">IF(AND($A159&lt;&gt;"",$A159&lt;Parameters!$B$14),CityData!F7*(1+TAXRATE),0)</f>
        <v>0</v>
      </c>
      <c r="AN159" s="14" t="n">
        <f aca="false">IF($A159="",0,IFERROR(VLOOKUP((YEAR($A159)+IF(MONTH($A159)&gt;=10,1,0))&amp;"|Seattle|"&amp;MONTH($A159),Rates!$A$2:$I$181,5,FALSE()),0))</f>
        <v>0</v>
      </c>
      <c r="AO159" s="14" t="n">
        <f aca="false">IF(OR($A159="",$A159&gt;=Parameters!$B$14),1,IF(AND(AN159&gt;0,CityData!F7&lt;=AN159),1,0))</f>
        <v>1</v>
      </c>
    </row>
    <row r="160" customFormat="false" ht="15" hidden="false" customHeight="true" outlineLevel="0" collapsed="false">
      <c r="A160" s="23" t="str">
        <f aca="false">IF(AND(Parameters!$B$14&gt;=Parameters!$B$13,ROW()-2&lt;=Parameters!$B$14-Parameters!$B$13),Parameters!$B$13+ROW()-2,"")</f>
        <v/>
      </c>
      <c r="B160" s="14" t="n">
        <f aca="false">IF($A160="",0,IFERROR(VLOOKUP((YEAR($A160)+IF(MONTH($A160)&gt;=10,1,0))&amp;"|Boston|"&amp;MONTH($A160),Rates!$A$2:$I$181,6,FALSE()),0))</f>
        <v>0</v>
      </c>
      <c r="C160" s="14" t="n">
        <f aca="false">IF(B160=0,0,VLOOKUP(B160,MIE_Components!$A$2:$F$6,2,FALSE()))</f>
        <v>0</v>
      </c>
      <c r="D160" s="14" t="n">
        <f aca="false">IF(B160=0,0,VLOOKUP(B160,MIE_Components!$A$2:$F$6,3,FALSE()))</f>
        <v>0</v>
      </c>
      <c r="E160" s="14" t="n">
        <f aca="false">IF(B160=0,0,VLOOKUP(B160,MIE_Components!$A$2:$F$6,4,FALSE()))</f>
        <v>0</v>
      </c>
      <c r="F160" s="14" t="n">
        <f aca="false">IF(OR($A160="",B160=0),0,MAX(5,B160*IF(OR($A160=Parameters!$B$13,$A160=Parameters!$B$14),0.75,1)-(IF(AND($A160=DATE(2026,11,29),NOV29BF="Yes"),C160,0)+IF(OR($A160=DATE(2026,11,29),$A160=DATE(2026,11,30),$A160=DATE(2026,12,1),$A160=DATE(2026,12,2)),D160,0)+IF(OR($A160=DATE(2026,11,28),$A160=DATE(2026,12,1)),E160,0))))</f>
        <v>0</v>
      </c>
      <c r="G160" s="14" t="n">
        <f aca="false">IF(AND($A160&lt;&gt;"",$A160&lt;Parameters!$B$14),CityData!F3*(1+TAXRATE),0)</f>
        <v>0</v>
      </c>
      <c r="H160" s="14" t="n">
        <f aca="false">IF($A160="",0,IFERROR(VLOOKUP((YEAR($A160)+IF(MONTH($A160)&gt;=10,1,0))&amp;"|Boston|"&amp;MONTH($A160),Rates!$A$2:$I$181,5,FALSE()),0))</f>
        <v>0</v>
      </c>
      <c r="I160" s="14" t="n">
        <f aca="false">IF(OR($A160="",$A160&gt;=Parameters!$B$14),1,IF(AND(H160&gt;0,CityData!F3&lt;=H160),1,0))</f>
        <v>1</v>
      </c>
      <c r="J160" s="14" t="n">
        <f aca="false">IF($A160="",0,IFERROR(VLOOKUP((YEAR($A160)+IF(MONTH($A160)&gt;=10,1,0))&amp;"|Chicago|"&amp;MONTH($A160),Rates!$A$2:$I$181,6,FALSE()),0))</f>
        <v>0</v>
      </c>
      <c r="K160" s="14" t="n">
        <f aca="false">IF(J160=0,0,VLOOKUP(J160,MIE_Components!$A$2:$F$6,2,FALSE()))</f>
        <v>0</v>
      </c>
      <c r="L160" s="14" t="n">
        <f aca="false">IF(J160=0,0,VLOOKUP(J160,MIE_Components!$A$2:$F$6,3,FALSE()))</f>
        <v>0</v>
      </c>
      <c r="M160" s="14" t="n">
        <f aca="false">IF(J160=0,0,VLOOKUP(J160,MIE_Components!$A$2:$F$6,4,FALSE()))</f>
        <v>0</v>
      </c>
      <c r="N160" s="14" t="n">
        <f aca="false">IF(OR($A160="",J160=0),0,MAX(5,J160*IF(OR($A160=Parameters!$B$13,$A160=Parameters!$B$14),0.75,1)-(IF(AND($A160=DATE(2026,11,29),NOV29BF="Yes"),K160,0)+IF(OR($A160=DATE(2026,11,29),$A160=DATE(2026,11,30),$A160=DATE(2026,12,1),$A160=DATE(2026,12,2)),L160,0)+IF(OR($A160=DATE(2026,11,28),$A160=DATE(2026,12,1)),M160,0))))</f>
        <v>0</v>
      </c>
      <c r="O160" s="14" t="n">
        <f aca="false">IF(AND($A160&lt;&gt;"",$A160&lt;Parameters!$B$14),CityData!F4*(1+TAXRATE),0)</f>
        <v>0</v>
      </c>
      <c r="P160" s="14" t="n">
        <f aca="false">IF($A160="",0,IFERROR(VLOOKUP((YEAR($A160)+IF(MONTH($A160)&gt;=10,1,0))&amp;"|Chicago|"&amp;MONTH($A160),Rates!$A$2:$I$181,5,FALSE()),0))</f>
        <v>0</v>
      </c>
      <c r="Q160" s="14" t="n">
        <f aca="false">IF(OR($A160="",$A160&gt;=Parameters!$B$14),1,IF(AND(P160&gt;0,CityData!F4&lt;=P160),1,0))</f>
        <v>1</v>
      </c>
      <c r="R160" s="14" t="n">
        <f aca="false">IF($A160="",0,IFERROR(VLOOKUP((YEAR($A160)+IF(MONTH($A160)&gt;=10,1,0))&amp;"|Denver|"&amp;MONTH($A160),Rates!$A$2:$I$181,6,FALSE()),0))</f>
        <v>0</v>
      </c>
      <c r="S160" s="14" t="n">
        <f aca="false">IF(R160=0,0,VLOOKUP(R160,MIE_Components!$A$2:$F$6,2,FALSE()))</f>
        <v>0</v>
      </c>
      <c r="T160" s="14" t="n">
        <f aca="false">IF(R160=0,0,VLOOKUP(R160,MIE_Components!$A$2:$F$6,3,FALSE()))</f>
        <v>0</v>
      </c>
      <c r="U160" s="14" t="n">
        <f aca="false">IF(R160=0,0,VLOOKUP(R160,MIE_Components!$A$2:$F$6,4,FALSE()))</f>
        <v>0</v>
      </c>
      <c r="V160" s="14" t="n">
        <f aca="false">IF(OR($A160="",R160=0),0,MAX(5,R160*IF(OR($A160=Parameters!$B$13,$A160=Parameters!$B$14),0.75,1)-(IF(AND($A160=DATE(2026,11,29),NOV29BF="Yes"),S160,0)+IF(OR($A160=DATE(2026,11,29),$A160=DATE(2026,11,30),$A160=DATE(2026,12,1),$A160=DATE(2026,12,2)),T160,0)+IF(OR($A160=DATE(2026,11,28),$A160=DATE(2026,12,1)),U160,0))))</f>
        <v>0</v>
      </c>
      <c r="W160" s="14" t="n">
        <f aca="false">IF(AND($A160&lt;&gt;"",$A160&lt;Parameters!$B$14),CityData!F5*(1+TAXRATE),0)</f>
        <v>0</v>
      </c>
      <c r="X160" s="14" t="n">
        <f aca="false">IF($A160="",0,IFERROR(VLOOKUP((YEAR($A160)+IF(MONTH($A160)&gt;=10,1,0))&amp;"|Denver|"&amp;MONTH($A160),Rates!$A$2:$I$181,5,FALSE()),0))</f>
        <v>0</v>
      </c>
      <c r="Y160" s="14" t="n">
        <f aca="false">IF(OR($A160="",$A160&gt;=Parameters!$B$14),1,IF(AND(X160&gt;0,CityData!F5&lt;=X160),1,0))</f>
        <v>1</v>
      </c>
      <c r="Z160" s="14" t="n">
        <f aca="false">IF($A160="",0,IFERROR(VLOOKUP((YEAR($A160)+IF(MONTH($A160)&gt;=10,1,0))&amp;"|Phoenix|"&amp;MONTH($A160),Rates!$A$2:$I$181,6,FALSE()),0))</f>
        <v>0</v>
      </c>
      <c r="AA160" s="14" t="n">
        <f aca="false">IF(Z160=0,0,VLOOKUP(Z160,MIE_Components!$A$2:$F$6,2,FALSE()))</f>
        <v>0</v>
      </c>
      <c r="AB160" s="14" t="n">
        <f aca="false">IF(Z160=0,0,VLOOKUP(Z160,MIE_Components!$A$2:$F$6,3,FALSE()))</f>
        <v>0</v>
      </c>
      <c r="AC160" s="14" t="n">
        <f aca="false">IF(Z160=0,0,VLOOKUP(Z160,MIE_Components!$A$2:$F$6,4,FALSE()))</f>
        <v>0</v>
      </c>
      <c r="AD160" s="14" t="n">
        <f aca="false">IF(OR($A160="",Z160=0),0,MAX(5,Z160*IF(OR($A160=Parameters!$B$13,$A160=Parameters!$B$14),0.75,1)-(IF(AND($A160=DATE(2026,11,29),NOV29BF="Yes"),AA160,0)+IF(OR($A160=DATE(2026,11,29),$A160=DATE(2026,11,30),$A160=DATE(2026,12,1),$A160=DATE(2026,12,2)),AB160,0)+IF(OR($A160=DATE(2026,11,28),$A160=DATE(2026,12,1)),AC160,0))))</f>
        <v>0</v>
      </c>
      <c r="AE160" s="14" t="n">
        <f aca="false">IF(AND($A160&lt;&gt;"",$A160&lt;Parameters!$B$14),CityData!F6*(1+TAXRATE),0)</f>
        <v>0</v>
      </c>
      <c r="AF160" s="14" t="n">
        <f aca="false">IF($A160="",0,IFERROR(VLOOKUP((YEAR($A160)+IF(MONTH($A160)&gt;=10,1,0))&amp;"|Phoenix|"&amp;MONTH($A160),Rates!$A$2:$I$181,5,FALSE()),0))</f>
        <v>0</v>
      </c>
      <c r="AG160" s="14" t="n">
        <f aca="false">IF(OR($A160="",$A160&gt;=Parameters!$B$14),1,IF(AND(AF160&gt;0,CityData!F6&lt;=AF160),1,0))</f>
        <v>1</v>
      </c>
      <c r="AH160" s="14" t="n">
        <f aca="false">IF($A160="",0,IFERROR(VLOOKUP((YEAR($A160)+IF(MONTH($A160)&gt;=10,1,0))&amp;"|Seattle|"&amp;MONTH($A160),Rates!$A$2:$I$181,6,FALSE()),0))</f>
        <v>0</v>
      </c>
      <c r="AI160" s="14" t="n">
        <f aca="false">IF(AH160=0,0,VLOOKUP(AH160,MIE_Components!$A$2:$F$6,2,FALSE()))</f>
        <v>0</v>
      </c>
      <c r="AJ160" s="14" t="n">
        <f aca="false">IF(AH160=0,0,VLOOKUP(AH160,MIE_Components!$A$2:$F$6,3,FALSE()))</f>
        <v>0</v>
      </c>
      <c r="AK160" s="14" t="n">
        <f aca="false">IF(AH160=0,0,VLOOKUP(AH160,MIE_Components!$A$2:$F$6,4,FALSE()))</f>
        <v>0</v>
      </c>
      <c r="AL160" s="14" t="n">
        <f aca="false">IF(OR($A160="",AH160=0),0,MAX(5,AH160*IF(OR($A160=Parameters!$B$13,$A160=Parameters!$B$14),0.75,1)-(IF(AND($A160=DATE(2026,11,29),NOV29BF="Yes"),AI160,0)+IF(OR($A160=DATE(2026,11,29),$A160=DATE(2026,11,30),$A160=DATE(2026,12,1),$A160=DATE(2026,12,2)),AJ160,0)+IF(OR($A160=DATE(2026,11,28),$A160=DATE(2026,12,1)),AK160,0))))</f>
        <v>0</v>
      </c>
      <c r="AM160" s="14" t="n">
        <f aca="false">IF(AND($A160&lt;&gt;"",$A160&lt;Parameters!$B$14),CityData!F7*(1+TAXRATE),0)</f>
        <v>0</v>
      </c>
      <c r="AN160" s="14" t="n">
        <f aca="false">IF($A160="",0,IFERROR(VLOOKUP((YEAR($A160)+IF(MONTH($A160)&gt;=10,1,0))&amp;"|Seattle|"&amp;MONTH($A160),Rates!$A$2:$I$181,5,FALSE()),0))</f>
        <v>0</v>
      </c>
      <c r="AO160" s="14" t="n">
        <f aca="false">IF(OR($A160="",$A160&gt;=Parameters!$B$14),1,IF(AND(AN160&gt;0,CityData!F7&lt;=AN160),1,0))</f>
        <v>1</v>
      </c>
    </row>
    <row r="161" customFormat="false" ht="15" hidden="false" customHeight="true" outlineLevel="0" collapsed="false">
      <c r="A161" s="23" t="str">
        <f aca="false">IF(AND(Parameters!$B$14&gt;=Parameters!$B$13,ROW()-2&lt;=Parameters!$B$14-Parameters!$B$13),Parameters!$B$13+ROW()-2,"")</f>
        <v/>
      </c>
      <c r="B161" s="14" t="n">
        <f aca="false">IF($A161="",0,IFERROR(VLOOKUP((YEAR($A161)+IF(MONTH($A161)&gt;=10,1,0))&amp;"|Boston|"&amp;MONTH($A161),Rates!$A$2:$I$181,6,FALSE()),0))</f>
        <v>0</v>
      </c>
      <c r="C161" s="14" t="n">
        <f aca="false">IF(B161=0,0,VLOOKUP(B161,MIE_Components!$A$2:$F$6,2,FALSE()))</f>
        <v>0</v>
      </c>
      <c r="D161" s="14" t="n">
        <f aca="false">IF(B161=0,0,VLOOKUP(B161,MIE_Components!$A$2:$F$6,3,FALSE()))</f>
        <v>0</v>
      </c>
      <c r="E161" s="14" t="n">
        <f aca="false">IF(B161=0,0,VLOOKUP(B161,MIE_Components!$A$2:$F$6,4,FALSE()))</f>
        <v>0</v>
      </c>
      <c r="F161" s="14" t="n">
        <f aca="false">IF(OR($A161="",B161=0),0,MAX(5,B161*IF(OR($A161=Parameters!$B$13,$A161=Parameters!$B$14),0.75,1)-(IF(AND($A161=DATE(2026,11,29),NOV29BF="Yes"),C161,0)+IF(OR($A161=DATE(2026,11,29),$A161=DATE(2026,11,30),$A161=DATE(2026,12,1),$A161=DATE(2026,12,2)),D161,0)+IF(OR($A161=DATE(2026,11,28),$A161=DATE(2026,12,1)),E161,0))))</f>
        <v>0</v>
      </c>
      <c r="G161" s="14" t="n">
        <f aca="false">IF(AND($A161&lt;&gt;"",$A161&lt;Parameters!$B$14),CityData!F3*(1+TAXRATE),0)</f>
        <v>0</v>
      </c>
      <c r="H161" s="14" t="n">
        <f aca="false">IF($A161="",0,IFERROR(VLOOKUP((YEAR($A161)+IF(MONTH($A161)&gt;=10,1,0))&amp;"|Boston|"&amp;MONTH($A161),Rates!$A$2:$I$181,5,FALSE()),0))</f>
        <v>0</v>
      </c>
      <c r="I161" s="14" t="n">
        <f aca="false">IF(OR($A161="",$A161&gt;=Parameters!$B$14),1,IF(AND(H161&gt;0,CityData!F3&lt;=H161),1,0))</f>
        <v>1</v>
      </c>
      <c r="J161" s="14" t="n">
        <f aca="false">IF($A161="",0,IFERROR(VLOOKUP((YEAR($A161)+IF(MONTH($A161)&gt;=10,1,0))&amp;"|Chicago|"&amp;MONTH($A161),Rates!$A$2:$I$181,6,FALSE()),0))</f>
        <v>0</v>
      </c>
      <c r="K161" s="14" t="n">
        <f aca="false">IF(J161=0,0,VLOOKUP(J161,MIE_Components!$A$2:$F$6,2,FALSE()))</f>
        <v>0</v>
      </c>
      <c r="L161" s="14" t="n">
        <f aca="false">IF(J161=0,0,VLOOKUP(J161,MIE_Components!$A$2:$F$6,3,FALSE()))</f>
        <v>0</v>
      </c>
      <c r="M161" s="14" t="n">
        <f aca="false">IF(J161=0,0,VLOOKUP(J161,MIE_Components!$A$2:$F$6,4,FALSE()))</f>
        <v>0</v>
      </c>
      <c r="N161" s="14" t="n">
        <f aca="false">IF(OR($A161="",J161=0),0,MAX(5,J161*IF(OR($A161=Parameters!$B$13,$A161=Parameters!$B$14),0.75,1)-(IF(AND($A161=DATE(2026,11,29),NOV29BF="Yes"),K161,0)+IF(OR($A161=DATE(2026,11,29),$A161=DATE(2026,11,30),$A161=DATE(2026,12,1),$A161=DATE(2026,12,2)),L161,0)+IF(OR($A161=DATE(2026,11,28),$A161=DATE(2026,12,1)),M161,0))))</f>
        <v>0</v>
      </c>
      <c r="O161" s="14" t="n">
        <f aca="false">IF(AND($A161&lt;&gt;"",$A161&lt;Parameters!$B$14),CityData!F4*(1+TAXRATE),0)</f>
        <v>0</v>
      </c>
      <c r="P161" s="14" t="n">
        <f aca="false">IF($A161="",0,IFERROR(VLOOKUP((YEAR($A161)+IF(MONTH($A161)&gt;=10,1,0))&amp;"|Chicago|"&amp;MONTH($A161),Rates!$A$2:$I$181,5,FALSE()),0))</f>
        <v>0</v>
      </c>
      <c r="Q161" s="14" t="n">
        <f aca="false">IF(OR($A161="",$A161&gt;=Parameters!$B$14),1,IF(AND(P161&gt;0,CityData!F4&lt;=P161),1,0))</f>
        <v>1</v>
      </c>
      <c r="R161" s="14" t="n">
        <f aca="false">IF($A161="",0,IFERROR(VLOOKUP((YEAR($A161)+IF(MONTH($A161)&gt;=10,1,0))&amp;"|Denver|"&amp;MONTH($A161),Rates!$A$2:$I$181,6,FALSE()),0))</f>
        <v>0</v>
      </c>
      <c r="S161" s="14" t="n">
        <f aca="false">IF(R161=0,0,VLOOKUP(R161,MIE_Components!$A$2:$F$6,2,FALSE()))</f>
        <v>0</v>
      </c>
      <c r="T161" s="14" t="n">
        <f aca="false">IF(R161=0,0,VLOOKUP(R161,MIE_Components!$A$2:$F$6,3,FALSE()))</f>
        <v>0</v>
      </c>
      <c r="U161" s="14" t="n">
        <f aca="false">IF(R161=0,0,VLOOKUP(R161,MIE_Components!$A$2:$F$6,4,FALSE()))</f>
        <v>0</v>
      </c>
      <c r="V161" s="14" t="n">
        <f aca="false">IF(OR($A161="",R161=0),0,MAX(5,R161*IF(OR($A161=Parameters!$B$13,$A161=Parameters!$B$14),0.75,1)-(IF(AND($A161=DATE(2026,11,29),NOV29BF="Yes"),S161,0)+IF(OR($A161=DATE(2026,11,29),$A161=DATE(2026,11,30),$A161=DATE(2026,12,1),$A161=DATE(2026,12,2)),T161,0)+IF(OR($A161=DATE(2026,11,28),$A161=DATE(2026,12,1)),U161,0))))</f>
        <v>0</v>
      </c>
      <c r="W161" s="14" t="n">
        <f aca="false">IF(AND($A161&lt;&gt;"",$A161&lt;Parameters!$B$14),CityData!F5*(1+TAXRATE),0)</f>
        <v>0</v>
      </c>
      <c r="X161" s="14" t="n">
        <f aca="false">IF($A161="",0,IFERROR(VLOOKUP((YEAR($A161)+IF(MONTH($A161)&gt;=10,1,0))&amp;"|Denver|"&amp;MONTH($A161),Rates!$A$2:$I$181,5,FALSE()),0))</f>
        <v>0</v>
      </c>
      <c r="Y161" s="14" t="n">
        <f aca="false">IF(OR($A161="",$A161&gt;=Parameters!$B$14),1,IF(AND(X161&gt;0,CityData!F5&lt;=X161),1,0))</f>
        <v>1</v>
      </c>
      <c r="Z161" s="14" t="n">
        <f aca="false">IF($A161="",0,IFERROR(VLOOKUP((YEAR($A161)+IF(MONTH($A161)&gt;=10,1,0))&amp;"|Phoenix|"&amp;MONTH($A161),Rates!$A$2:$I$181,6,FALSE()),0))</f>
        <v>0</v>
      </c>
      <c r="AA161" s="14" t="n">
        <f aca="false">IF(Z161=0,0,VLOOKUP(Z161,MIE_Components!$A$2:$F$6,2,FALSE()))</f>
        <v>0</v>
      </c>
      <c r="AB161" s="14" t="n">
        <f aca="false">IF(Z161=0,0,VLOOKUP(Z161,MIE_Components!$A$2:$F$6,3,FALSE()))</f>
        <v>0</v>
      </c>
      <c r="AC161" s="14" t="n">
        <f aca="false">IF(Z161=0,0,VLOOKUP(Z161,MIE_Components!$A$2:$F$6,4,FALSE()))</f>
        <v>0</v>
      </c>
      <c r="AD161" s="14" t="n">
        <f aca="false">IF(OR($A161="",Z161=0),0,MAX(5,Z161*IF(OR($A161=Parameters!$B$13,$A161=Parameters!$B$14),0.75,1)-(IF(AND($A161=DATE(2026,11,29),NOV29BF="Yes"),AA161,0)+IF(OR($A161=DATE(2026,11,29),$A161=DATE(2026,11,30),$A161=DATE(2026,12,1),$A161=DATE(2026,12,2)),AB161,0)+IF(OR($A161=DATE(2026,11,28),$A161=DATE(2026,12,1)),AC161,0))))</f>
        <v>0</v>
      </c>
      <c r="AE161" s="14" t="n">
        <f aca="false">IF(AND($A161&lt;&gt;"",$A161&lt;Parameters!$B$14),CityData!F6*(1+TAXRATE),0)</f>
        <v>0</v>
      </c>
      <c r="AF161" s="14" t="n">
        <f aca="false">IF($A161="",0,IFERROR(VLOOKUP((YEAR($A161)+IF(MONTH($A161)&gt;=10,1,0))&amp;"|Phoenix|"&amp;MONTH($A161),Rates!$A$2:$I$181,5,FALSE()),0))</f>
        <v>0</v>
      </c>
      <c r="AG161" s="14" t="n">
        <f aca="false">IF(OR($A161="",$A161&gt;=Parameters!$B$14),1,IF(AND(AF161&gt;0,CityData!F6&lt;=AF161),1,0))</f>
        <v>1</v>
      </c>
      <c r="AH161" s="14" t="n">
        <f aca="false">IF($A161="",0,IFERROR(VLOOKUP((YEAR($A161)+IF(MONTH($A161)&gt;=10,1,0))&amp;"|Seattle|"&amp;MONTH($A161),Rates!$A$2:$I$181,6,FALSE()),0))</f>
        <v>0</v>
      </c>
      <c r="AI161" s="14" t="n">
        <f aca="false">IF(AH161=0,0,VLOOKUP(AH161,MIE_Components!$A$2:$F$6,2,FALSE()))</f>
        <v>0</v>
      </c>
      <c r="AJ161" s="14" t="n">
        <f aca="false">IF(AH161=0,0,VLOOKUP(AH161,MIE_Components!$A$2:$F$6,3,FALSE()))</f>
        <v>0</v>
      </c>
      <c r="AK161" s="14" t="n">
        <f aca="false">IF(AH161=0,0,VLOOKUP(AH161,MIE_Components!$A$2:$F$6,4,FALSE()))</f>
        <v>0</v>
      </c>
      <c r="AL161" s="14" t="n">
        <f aca="false">IF(OR($A161="",AH161=0),0,MAX(5,AH161*IF(OR($A161=Parameters!$B$13,$A161=Parameters!$B$14),0.75,1)-(IF(AND($A161=DATE(2026,11,29),NOV29BF="Yes"),AI161,0)+IF(OR($A161=DATE(2026,11,29),$A161=DATE(2026,11,30),$A161=DATE(2026,12,1),$A161=DATE(2026,12,2)),AJ161,0)+IF(OR($A161=DATE(2026,11,28),$A161=DATE(2026,12,1)),AK161,0))))</f>
        <v>0</v>
      </c>
      <c r="AM161" s="14" t="n">
        <f aca="false">IF(AND($A161&lt;&gt;"",$A161&lt;Parameters!$B$14),CityData!F7*(1+TAXRATE),0)</f>
        <v>0</v>
      </c>
      <c r="AN161" s="14" t="n">
        <f aca="false">IF($A161="",0,IFERROR(VLOOKUP((YEAR($A161)+IF(MONTH($A161)&gt;=10,1,0))&amp;"|Seattle|"&amp;MONTH($A161),Rates!$A$2:$I$181,5,FALSE()),0))</f>
        <v>0</v>
      </c>
      <c r="AO161" s="14" t="n">
        <f aca="false">IF(OR($A161="",$A161&gt;=Parameters!$B$14),1,IF(AND(AN161&gt;0,CityData!F7&lt;=AN161),1,0))</f>
        <v>1</v>
      </c>
    </row>
    <row r="162" customFormat="false" ht="15" hidden="false" customHeight="true" outlineLevel="0" collapsed="false">
      <c r="A162" s="23" t="str">
        <f aca="false">IF(AND(Parameters!$B$14&gt;=Parameters!$B$13,ROW()-2&lt;=Parameters!$B$14-Parameters!$B$13),Parameters!$B$13+ROW()-2,"")</f>
        <v/>
      </c>
      <c r="B162" s="14" t="n">
        <f aca="false">IF($A162="",0,IFERROR(VLOOKUP((YEAR($A162)+IF(MONTH($A162)&gt;=10,1,0))&amp;"|Boston|"&amp;MONTH($A162),Rates!$A$2:$I$181,6,FALSE()),0))</f>
        <v>0</v>
      </c>
      <c r="C162" s="14" t="n">
        <f aca="false">IF(B162=0,0,VLOOKUP(B162,MIE_Components!$A$2:$F$6,2,FALSE()))</f>
        <v>0</v>
      </c>
      <c r="D162" s="14" t="n">
        <f aca="false">IF(B162=0,0,VLOOKUP(B162,MIE_Components!$A$2:$F$6,3,FALSE()))</f>
        <v>0</v>
      </c>
      <c r="E162" s="14" t="n">
        <f aca="false">IF(B162=0,0,VLOOKUP(B162,MIE_Components!$A$2:$F$6,4,FALSE()))</f>
        <v>0</v>
      </c>
      <c r="F162" s="14" t="n">
        <f aca="false">IF(OR($A162="",B162=0),0,MAX(5,B162*IF(OR($A162=Parameters!$B$13,$A162=Parameters!$B$14),0.75,1)-(IF(AND($A162=DATE(2026,11,29),NOV29BF="Yes"),C162,0)+IF(OR($A162=DATE(2026,11,29),$A162=DATE(2026,11,30),$A162=DATE(2026,12,1),$A162=DATE(2026,12,2)),D162,0)+IF(OR($A162=DATE(2026,11,28),$A162=DATE(2026,12,1)),E162,0))))</f>
        <v>0</v>
      </c>
      <c r="G162" s="14" t="n">
        <f aca="false">IF(AND($A162&lt;&gt;"",$A162&lt;Parameters!$B$14),CityData!F3*(1+TAXRATE),0)</f>
        <v>0</v>
      </c>
      <c r="H162" s="14" t="n">
        <f aca="false">IF($A162="",0,IFERROR(VLOOKUP((YEAR($A162)+IF(MONTH($A162)&gt;=10,1,0))&amp;"|Boston|"&amp;MONTH($A162),Rates!$A$2:$I$181,5,FALSE()),0))</f>
        <v>0</v>
      </c>
      <c r="I162" s="14" t="n">
        <f aca="false">IF(OR($A162="",$A162&gt;=Parameters!$B$14),1,IF(AND(H162&gt;0,CityData!F3&lt;=H162),1,0))</f>
        <v>1</v>
      </c>
      <c r="J162" s="14" t="n">
        <f aca="false">IF($A162="",0,IFERROR(VLOOKUP((YEAR($A162)+IF(MONTH($A162)&gt;=10,1,0))&amp;"|Chicago|"&amp;MONTH($A162),Rates!$A$2:$I$181,6,FALSE()),0))</f>
        <v>0</v>
      </c>
      <c r="K162" s="14" t="n">
        <f aca="false">IF(J162=0,0,VLOOKUP(J162,MIE_Components!$A$2:$F$6,2,FALSE()))</f>
        <v>0</v>
      </c>
      <c r="L162" s="14" t="n">
        <f aca="false">IF(J162=0,0,VLOOKUP(J162,MIE_Components!$A$2:$F$6,3,FALSE()))</f>
        <v>0</v>
      </c>
      <c r="M162" s="14" t="n">
        <f aca="false">IF(J162=0,0,VLOOKUP(J162,MIE_Components!$A$2:$F$6,4,FALSE()))</f>
        <v>0</v>
      </c>
      <c r="N162" s="14" t="n">
        <f aca="false">IF(OR($A162="",J162=0),0,MAX(5,J162*IF(OR($A162=Parameters!$B$13,$A162=Parameters!$B$14),0.75,1)-(IF(AND($A162=DATE(2026,11,29),NOV29BF="Yes"),K162,0)+IF(OR($A162=DATE(2026,11,29),$A162=DATE(2026,11,30),$A162=DATE(2026,12,1),$A162=DATE(2026,12,2)),L162,0)+IF(OR($A162=DATE(2026,11,28),$A162=DATE(2026,12,1)),M162,0))))</f>
        <v>0</v>
      </c>
      <c r="O162" s="14" t="n">
        <f aca="false">IF(AND($A162&lt;&gt;"",$A162&lt;Parameters!$B$14),CityData!F4*(1+TAXRATE),0)</f>
        <v>0</v>
      </c>
      <c r="P162" s="14" t="n">
        <f aca="false">IF($A162="",0,IFERROR(VLOOKUP((YEAR($A162)+IF(MONTH($A162)&gt;=10,1,0))&amp;"|Chicago|"&amp;MONTH($A162),Rates!$A$2:$I$181,5,FALSE()),0))</f>
        <v>0</v>
      </c>
      <c r="Q162" s="14" t="n">
        <f aca="false">IF(OR($A162="",$A162&gt;=Parameters!$B$14),1,IF(AND(P162&gt;0,CityData!F4&lt;=P162),1,0))</f>
        <v>1</v>
      </c>
      <c r="R162" s="14" t="n">
        <f aca="false">IF($A162="",0,IFERROR(VLOOKUP((YEAR($A162)+IF(MONTH($A162)&gt;=10,1,0))&amp;"|Denver|"&amp;MONTH($A162),Rates!$A$2:$I$181,6,FALSE()),0))</f>
        <v>0</v>
      </c>
      <c r="S162" s="14" t="n">
        <f aca="false">IF(R162=0,0,VLOOKUP(R162,MIE_Components!$A$2:$F$6,2,FALSE()))</f>
        <v>0</v>
      </c>
      <c r="T162" s="14" t="n">
        <f aca="false">IF(R162=0,0,VLOOKUP(R162,MIE_Components!$A$2:$F$6,3,FALSE()))</f>
        <v>0</v>
      </c>
      <c r="U162" s="14" t="n">
        <f aca="false">IF(R162=0,0,VLOOKUP(R162,MIE_Components!$A$2:$F$6,4,FALSE()))</f>
        <v>0</v>
      </c>
      <c r="V162" s="14" t="n">
        <f aca="false">IF(OR($A162="",R162=0),0,MAX(5,R162*IF(OR($A162=Parameters!$B$13,$A162=Parameters!$B$14),0.75,1)-(IF(AND($A162=DATE(2026,11,29),NOV29BF="Yes"),S162,0)+IF(OR($A162=DATE(2026,11,29),$A162=DATE(2026,11,30),$A162=DATE(2026,12,1),$A162=DATE(2026,12,2)),T162,0)+IF(OR($A162=DATE(2026,11,28),$A162=DATE(2026,12,1)),U162,0))))</f>
        <v>0</v>
      </c>
      <c r="W162" s="14" t="n">
        <f aca="false">IF(AND($A162&lt;&gt;"",$A162&lt;Parameters!$B$14),CityData!F5*(1+TAXRATE),0)</f>
        <v>0</v>
      </c>
      <c r="X162" s="14" t="n">
        <f aca="false">IF($A162="",0,IFERROR(VLOOKUP((YEAR($A162)+IF(MONTH($A162)&gt;=10,1,0))&amp;"|Denver|"&amp;MONTH($A162),Rates!$A$2:$I$181,5,FALSE()),0))</f>
        <v>0</v>
      </c>
      <c r="Y162" s="14" t="n">
        <f aca="false">IF(OR($A162="",$A162&gt;=Parameters!$B$14),1,IF(AND(X162&gt;0,CityData!F5&lt;=X162),1,0))</f>
        <v>1</v>
      </c>
      <c r="Z162" s="14" t="n">
        <f aca="false">IF($A162="",0,IFERROR(VLOOKUP((YEAR($A162)+IF(MONTH($A162)&gt;=10,1,0))&amp;"|Phoenix|"&amp;MONTH($A162),Rates!$A$2:$I$181,6,FALSE()),0))</f>
        <v>0</v>
      </c>
      <c r="AA162" s="14" t="n">
        <f aca="false">IF(Z162=0,0,VLOOKUP(Z162,MIE_Components!$A$2:$F$6,2,FALSE()))</f>
        <v>0</v>
      </c>
      <c r="AB162" s="14" t="n">
        <f aca="false">IF(Z162=0,0,VLOOKUP(Z162,MIE_Components!$A$2:$F$6,3,FALSE()))</f>
        <v>0</v>
      </c>
      <c r="AC162" s="14" t="n">
        <f aca="false">IF(Z162=0,0,VLOOKUP(Z162,MIE_Components!$A$2:$F$6,4,FALSE()))</f>
        <v>0</v>
      </c>
      <c r="AD162" s="14" t="n">
        <f aca="false">IF(OR($A162="",Z162=0),0,MAX(5,Z162*IF(OR($A162=Parameters!$B$13,$A162=Parameters!$B$14),0.75,1)-(IF(AND($A162=DATE(2026,11,29),NOV29BF="Yes"),AA162,0)+IF(OR($A162=DATE(2026,11,29),$A162=DATE(2026,11,30),$A162=DATE(2026,12,1),$A162=DATE(2026,12,2)),AB162,0)+IF(OR($A162=DATE(2026,11,28),$A162=DATE(2026,12,1)),AC162,0))))</f>
        <v>0</v>
      </c>
      <c r="AE162" s="14" t="n">
        <f aca="false">IF(AND($A162&lt;&gt;"",$A162&lt;Parameters!$B$14),CityData!F6*(1+TAXRATE),0)</f>
        <v>0</v>
      </c>
      <c r="AF162" s="14" t="n">
        <f aca="false">IF($A162="",0,IFERROR(VLOOKUP((YEAR($A162)+IF(MONTH($A162)&gt;=10,1,0))&amp;"|Phoenix|"&amp;MONTH($A162),Rates!$A$2:$I$181,5,FALSE()),0))</f>
        <v>0</v>
      </c>
      <c r="AG162" s="14" t="n">
        <f aca="false">IF(OR($A162="",$A162&gt;=Parameters!$B$14),1,IF(AND(AF162&gt;0,CityData!F6&lt;=AF162),1,0))</f>
        <v>1</v>
      </c>
      <c r="AH162" s="14" t="n">
        <f aca="false">IF($A162="",0,IFERROR(VLOOKUP((YEAR($A162)+IF(MONTH($A162)&gt;=10,1,0))&amp;"|Seattle|"&amp;MONTH($A162),Rates!$A$2:$I$181,6,FALSE()),0))</f>
        <v>0</v>
      </c>
      <c r="AI162" s="14" t="n">
        <f aca="false">IF(AH162=0,0,VLOOKUP(AH162,MIE_Components!$A$2:$F$6,2,FALSE()))</f>
        <v>0</v>
      </c>
      <c r="AJ162" s="14" t="n">
        <f aca="false">IF(AH162=0,0,VLOOKUP(AH162,MIE_Components!$A$2:$F$6,3,FALSE()))</f>
        <v>0</v>
      </c>
      <c r="AK162" s="14" t="n">
        <f aca="false">IF(AH162=0,0,VLOOKUP(AH162,MIE_Components!$A$2:$F$6,4,FALSE()))</f>
        <v>0</v>
      </c>
      <c r="AL162" s="14" t="n">
        <f aca="false">IF(OR($A162="",AH162=0),0,MAX(5,AH162*IF(OR($A162=Parameters!$B$13,$A162=Parameters!$B$14),0.75,1)-(IF(AND($A162=DATE(2026,11,29),NOV29BF="Yes"),AI162,0)+IF(OR($A162=DATE(2026,11,29),$A162=DATE(2026,11,30),$A162=DATE(2026,12,1),$A162=DATE(2026,12,2)),AJ162,0)+IF(OR($A162=DATE(2026,11,28),$A162=DATE(2026,12,1)),AK162,0))))</f>
        <v>0</v>
      </c>
      <c r="AM162" s="14" t="n">
        <f aca="false">IF(AND($A162&lt;&gt;"",$A162&lt;Parameters!$B$14),CityData!F7*(1+TAXRATE),0)</f>
        <v>0</v>
      </c>
      <c r="AN162" s="14" t="n">
        <f aca="false">IF($A162="",0,IFERROR(VLOOKUP((YEAR($A162)+IF(MONTH($A162)&gt;=10,1,0))&amp;"|Seattle|"&amp;MONTH($A162),Rates!$A$2:$I$181,5,FALSE()),0))</f>
        <v>0</v>
      </c>
      <c r="AO162" s="14" t="n">
        <f aca="false">IF(OR($A162="",$A162&gt;=Parameters!$B$14),1,IF(AND(AN162&gt;0,CityData!F7&lt;=AN162),1,0))</f>
        <v>1</v>
      </c>
    </row>
    <row r="163" customFormat="false" ht="15" hidden="false" customHeight="true" outlineLevel="0" collapsed="false">
      <c r="A163" s="23" t="str">
        <f aca="false">IF(AND(Parameters!$B$14&gt;=Parameters!$B$13,ROW()-2&lt;=Parameters!$B$14-Parameters!$B$13),Parameters!$B$13+ROW()-2,"")</f>
        <v/>
      </c>
      <c r="B163" s="14" t="n">
        <f aca="false">IF($A163="",0,IFERROR(VLOOKUP((YEAR($A163)+IF(MONTH($A163)&gt;=10,1,0))&amp;"|Boston|"&amp;MONTH($A163),Rates!$A$2:$I$181,6,FALSE()),0))</f>
        <v>0</v>
      </c>
      <c r="C163" s="14" t="n">
        <f aca="false">IF(B163=0,0,VLOOKUP(B163,MIE_Components!$A$2:$F$6,2,FALSE()))</f>
        <v>0</v>
      </c>
      <c r="D163" s="14" t="n">
        <f aca="false">IF(B163=0,0,VLOOKUP(B163,MIE_Components!$A$2:$F$6,3,FALSE()))</f>
        <v>0</v>
      </c>
      <c r="E163" s="14" t="n">
        <f aca="false">IF(B163=0,0,VLOOKUP(B163,MIE_Components!$A$2:$F$6,4,FALSE()))</f>
        <v>0</v>
      </c>
      <c r="F163" s="14" t="n">
        <f aca="false">IF(OR($A163="",B163=0),0,MAX(5,B163*IF(OR($A163=Parameters!$B$13,$A163=Parameters!$B$14),0.75,1)-(IF(AND($A163=DATE(2026,11,29),NOV29BF="Yes"),C163,0)+IF(OR($A163=DATE(2026,11,29),$A163=DATE(2026,11,30),$A163=DATE(2026,12,1),$A163=DATE(2026,12,2)),D163,0)+IF(OR($A163=DATE(2026,11,28),$A163=DATE(2026,12,1)),E163,0))))</f>
        <v>0</v>
      </c>
      <c r="G163" s="14" t="n">
        <f aca="false">IF(AND($A163&lt;&gt;"",$A163&lt;Parameters!$B$14),CityData!F3*(1+TAXRATE),0)</f>
        <v>0</v>
      </c>
      <c r="H163" s="14" t="n">
        <f aca="false">IF($A163="",0,IFERROR(VLOOKUP((YEAR($A163)+IF(MONTH($A163)&gt;=10,1,0))&amp;"|Boston|"&amp;MONTH($A163),Rates!$A$2:$I$181,5,FALSE()),0))</f>
        <v>0</v>
      </c>
      <c r="I163" s="14" t="n">
        <f aca="false">IF(OR($A163="",$A163&gt;=Parameters!$B$14),1,IF(AND(H163&gt;0,CityData!F3&lt;=H163),1,0))</f>
        <v>1</v>
      </c>
      <c r="J163" s="14" t="n">
        <f aca="false">IF($A163="",0,IFERROR(VLOOKUP((YEAR($A163)+IF(MONTH($A163)&gt;=10,1,0))&amp;"|Chicago|"&amp;MONTH($A163),Rates!$A$2:$I$181,6,FALSE()),0))</f>
        <v>0</v>
      </c>
      <c r="K163" s="14" t="n">
        <f aca="false">IF(J163=0,0,VLOOKUP(J163,MIE_Components!$A$2:$F$6,2,FALSE()))</f>
        <v>0</v>
      </c>
      <c r="L163" s="14" t="n">
        <f aca="false">IF(J163=0,0,VLOOKUP(J163,MIE_Components!$A$2:$F$6,3,FALSE()))</f>
        <v>0</v>
      </c>
      <c r="M163" s="14" t="n">
        <f aca="false">IF(J163=0,0,VLOOKUP(J163,MIE_Components!$A$2:$F$6,4,FALSE()))</f>
        <v>0</v>
      </c>
      <c r="N163" s="14" t="n">
        <f aca="false">IF(OR($A163="",J163=0),0,MAX(5,J163*IF(OR($A163=Parameters!$B$13,$A163=Parameters!$B$14),0.75,1)-(IF(AND($A163=DATE(2026,11,29),NOV29BF="Yes"),K163,0)+IF(OR($A163=DATE(2026,11,29),$A163=DATE(2026,11,30),$A163=DATE(2026,12,1),$A163=DATE(2026,12,2)),L163,0)+IF(OR($A163=DATE(2026,11,28),$A163=DATE(2026,12,1)),M163,0))))</f>
        <v>0</v>
      </c>
      <c r="O163" s="14" t="n">
        <f aca="false">IF(AND($A163&lt;&gt;"",$A163&lt;Parameters!$B$14),CityData!F4*(1+TAXRATE),0)</f>
        <v>0</v>
      </c>
      <c r="P163" s="14" t="n">
        <f aca="false">IF($A163="",0,IFERROR(VLOOKUP((YEAR($A163)+IF(MONTH($A163)&gt;=10,1,0))&amp;"|Chicago|"&amp;MONTH($A163),Rates!$A$2:$I$181,5,FALSE()),0))</f>
        <v>0</v>
      </c>
      <c r="Q163" s="14" t="n">
        <f aca="false">IF(OR($A163="",$A163&gt;=Parameters!$B$14),1,IF(AND(P163&gt;0,CityData!F4&lt;=P163),1,0))</f>
        <v>1</v>
      </c>
      <c r="R163" s="14" t="n">
        <f aca="false">IF($A163="",0,IFERROR(VLOOKUP((YEAR($A163)+IF(MONTH($A163)&gt;=10,1,0))&amp;"|Denver|"&amp;MONTH($A163),Rates!$A$2:$I$181,6,FALSE()),0))</f>
        <v>0</v>
      </c>
      <c r="S163" s="14" t="n">
        <f aca="false">IF(R163=0,0,VLOOKUP(R163,MIE_Components!$A$2:$F$6,2,FALSE()))</f>
        <v>0</v>
      </c>
      <c r="T163" s="14" t="n">
        <f aca="false">IF(R163=0,0,VLOOKUP(R163,MIE_Components!$A$2:$F$6,3,FALSE()))</f>
        <v>0</v>
      </c>
      <c r="U163" s="14" t="n">
        <f aca="false">IF(R163=0,0,VLOOKUP(R163,MIE_Components!$A$2:$F$6,4,FALSE()))</f>
        <v>0</v>
      </c>
      <c r="V163" s="14" t="n">
        <f aca="false">IF(OR($A163="",R163=0),0,MAX(5,R163*IF(OR($A163=Parameters!$B$13,$A163=Parameters!$B$14),0.75,1)-(IF(AND($A163=DATE(2026,11,29),NOV29BF="Yes"),S163,0)+IF(OR($A163=DATE(2026,11,29),$A163=DATE(2026,11,30),$A163=DATE(2026,12,1),$A163=DATE(2026,12,2)),T163,0)+IF(OR($A163=DATE(2026,11,28),$A163=DATE(2026,12,1)),U163,0))))</f>
        <v>0</v>
      </c>
      <c r="W163" s="14" t="n">
        <f aca="false">IF(AND($A163&lt;&gt;"",$A163&lt;Parameters!$B$14),CityData!F5*(1+TAXRATE),0)</f>
        <v>0</v>
      </c>
      <c r="X163" s="14" t="n">
        <f aca="false">IF($A163="",0,IFERROR(VLOOKUP((YEAR($A163)+IF(MONTH($A163)&gt;=10,1,0))&amp;"|Denver|"&amp;MONTH($A163),Rates!$A$2:$I$181,5,FALSE()),0))</f>
        <v>0</v>
      </c>
      <c r="Y163" s="14" t="n">
        <f aca="false">IF(OR($A163="",$A163&gt;=Parameters!$B$14),1,IF(AND(X163&gt;0,CityData!F5&lt;=X163),1,0))</f>
        <v>1</v>
      </c>
      <c r="Z163" s="14" t="n">
        <f aca="false">IF($A163="",0,IFERROR(VLOOKUP((YEAR($A163)+IF(MONTH($A163)&gt;=10,1,0))&amp;"|Phoenix|"&amp;MONTH($A163),Rates!$A$2:$I$181,6,FALSE()),0))</f>
        <v>0</v>
      </c>
      <c r="AA163" s="14" t="n">
        <f aca="false">IF(Z163=0,0,VLOOKUP(Z163,MIE_Components!$A$2:$F$6,2,FALSE()))</f>
        <v>0</v>
      </c>
      <c r="AB163" s="14" t="n">
        <f aca="false">IF(Z163=0,0,VLOOKUP(Z163,MIE_Components!$A$2:$F$6,3,FALSE()))</f>
        <v>0</v>
      </c>
      <c r="AC163" s="14" t="n">
        <f aca="false">IF(Z163=0,0,VLOOKUP(Z163,MIE_Components!$A$2:$F$6,4,FALSE()))</f>
        <v>0</v>
      </c>
      <c r="AD163" s="14" t="n">
        <f aca="false">IF(OR($A163="",Z163=0),0,MAX(5,Z163*IF(OR($A163=Parameters!$B$13,$A163=Parameters!$B$14),0.75,1)-(IF(AND($A163=DATE(2026,11,29),NOV29BF="Yes"),AA163,0)+IF(OR($A163=DATE(2026,11,29),$A163=DATE(2026,11,30),$A163=DATE(2026,12,1),$A163=DATE(2026,12,2)),AB163,0)+IF(OR($A163=DATE(2026,11,28),$A163=DATE(2026,12,1)),AC163,0))))</f>
        <v>0</v>
      </c>
      <c r="AE163" s="14" t="n">
        <f aca="false">IF(AND($A163&lt;&gt;"",$A163&lt;Parameters!$B$14),CityData!F6*(1+TAXRATE),0)</f>
        <v>0</v>
      </c>
      <c r="AF163" s="14" t="n">
        <f aca="false">IF($A163="",0,IFERROR(VLOOKUP((YEAR($A163)+IF(MONTH($A163)&gt;=10,1,0))&amp;"|Phoenix|"&amp;MONTH($A163),Rates!$A$2:$I$181,5,FALSE()),0))</f>
        <v>0</v>
      </c>
      <c r="AG163" s="14" t="n">
        <f aca="false">IF(OR($A163="",$A163&gt;=Parameters!$B$14),1,IF(AND(AF163&gt;0,CityData!F6&lt;=AF163),1,0))</f>
        <v>1</v>
      </c>
      <c r="AH163" s="14" t="n">
        <f aca="false">IF($A163="",0,IFERROR(VLOOKUP((YEAR($A163)+IF(MONTH($A163)&gt;=10,1,0))&amp;"|Seattle|"&amp;MONTH($A163),Rates!$A$2:$I$181,6,FALSE()),0))</f>
        <v>0</v>
      </c>
      <c r="AI163" s="14" t="n">
        <f aca="false">IF(AH163=0,0,VLOOKUP(AH163,MIE_Components!$A$2:$F$6,2,FALSE()))</f>
        <v>0</v>
      </c>
      <c r="AJ163" s="14" t="n">
        <f aca="false">IF(AH163=0,0,VLOOKUP(AH163,MIE_Components!$A$2:$F$6,3,FALSE()))</f>
        <v>0</v>
      </c>
      <c r="AK163" s="14" t="n">
        <f aca="false">IF(AH163=0,0,VLOOKUP(AH163,MIE_Components!$A$2:$F$6,4,FALSE()))</f>
        <v>0</v>
      </c>
      <c r="AL163" s="14" t="n">
        <f aca="false">IF(OR($A163="",AH163=0),0,MAX(5,AH163*IF(OR($A163=Parameters!$B$13,$A163=Parameters!$B$14),0.75,1)-(IF(AND($A163=DATE(2026,11,29),NOV29BF="Yes"),AI163,0)+IF(OR($A163=DATE(2026,11,29),$A163=DATE(2026,11,30),$A163=DATE(2026,12,1),$A163=DATE(2026,12,2)),AJ163,0)+IF(OR($A163=DATE(2026,11,28),$A163=DATE(2026,12,1)),AK163,0))))</f>
        <v>0</v>
      </c>
      <c r="AM163" s="14" t="n">
        <f aca="false">IF(AND($A163&lt;&gt;"",$A163&lt;Parameters!$B$14),CityData!F7*(1+TAXRATE),0)</f>
        <v>0</v>
      </c>
      <c r="AN163" s="14" t="n">
        <f aca="false">IF($A163="",0,IFERROR(VLOOKUP((YEAR($A163)+IF(MONTH($A163)&gt;=10,1,0))&amp;"|Seattle|"&amp;MONTH($A163),Rates!$A$2:$I$181,5,FALSE()),0))</f>
        <v>0</v>
      </c>
      <c r="AO163" s="14" t="n">
        <f aca="false">IF(OR($A163="",$A163&gt;=Parameters!$B$14),1,IF(AND(AN163&gt;0,CityData!F7&lt;=AN163),1,0))</f>
        <v>1</v>
      </c>
    </row>
    <row r="164" customFormat="false" ht="15" hidden="false" customHeight="true" outlineLevel="0" collapsed="false">
      <c r="A164" s="23" t="str">
        <f aca="false">IF(AND(Parameters!$B$14&gt;=Parameters!$B$13,ROW()-2&lt;=Parameters!$B$14-Parameters!$B$13),Parameters!$B$13+ROW()-2,"")</f>
        <v/>
      </c>
      <c r="B164" s="14" t="n">
        <f aca="false">IF($A164="",0,IFERROR(VLOOKUP((YEAR($A164)+IF(MONTH($A164)&gt;=10,1,0))&amp;"|Boston|"&amp;MONTH($A164),Rates!$A$2:$I$181,6,FALSE()),0))</f>
        <v>0</v>
      </c>
      <c r="C164" s="14" t="n">
        <f aca="false">IF(B164=0,0,VLOOKUP(B164,MIE_Components!$A$2:$F$6,2,FALSE()))</f>
        <v>0</v>
      </c>
      <c r="D164" s="14" t="n">
        <f aca="false">IF(B164=0,0,VLOOKUP(B164,MIE_Components!$A$2:$F$6,3,FALSE()))</f>
        <v>0</v>
      </c>
      <c r="E164" s="14" t="n">
        <f aca="false">IF(B164=0,0,VLOOKUP(B164,MIE_Components!$A$2:$F$6,4,FALSE()))</f>
        <v>0</v>
      </c>
      <c r="F164" s="14" t="n">
        <f aca="false">IF(OR($A164="",B164=0),0,MAX(5,B164*IF(OR($A164=Parameters!$B$13,$A164=Parameters!$B$14),0.75,1)-(IF(AND($A164=DATE(2026,11,29),NOV29BF="Yes"),C164,0)+IF(OR($A164=DATE(2026,11,29),$A164=DATE(2026,11,30),$A164=DATE(2026,12,1),$A164=DATE(2026,12,2)),D164,0)+IF(OR($A164=DATE(2026,11,28),$A164=DATE(2026,12,1)),E164,0))))</f>
        <v>0</v>
      </c>
      <c r="G164" s="14" t="n">
        <f aca="false">IF(AND($A164&lt;&gt;"",$A164&lt;Parameters!$B$14),CityData!F3*(1+TAXRATE),0)</f>
        <v>0</v>
      </c>
      <c r="H164" s="14" t="n">
        <f aca="false">IF($A164="",0,IFERROR(VLOOKUP((YEAR($A164)+IF(MONTH($A164)&gt;=10,1,0))&amp;"|Boston|"&amp;MONTH($A164),Rates!$A$2:$I$181,5,FALSE()),0))</f>
        <v>0</v>
      </c>
      <c r="I164" s="14" t="n">
        <f aca="false">IF(OR($A164="",$A164&gt;=Parameters!$B$14),1,IF(AND(H164&gt;0,CityData!F3&lt;=H164),1,0))</f>
        <v>1</v>
      </c>
      <c r="J164" s="14" t="n">
        <f aca="false">IF($A164="",0,IFERROR(VLOOKUP((YEAR($A164)+IF(MONTH($A164)&gt;=10,1,0))&amp;"|Chicago|"&amp;MONTH($A164),Rates!$A$2:$I$181,6,FALSE()),0))</f>
        <v>0</v>
      </c>
      <c r="K164" s="14" t="n">
        <f aca="false">IF(J164=0,0,VLOOKUP(J164,MIE_Components!$A$2:$F$6,2,FALSE()))</f>
        <v>0</v>
      </c>
      <c r="L164" s="14" t="n">
        <f aca="false">IF(J164=0,0,VLOOKUP(J164,MIE_Components!$A$2:$F$6,3,FALSE()))</f>
        <v>0</v>
      </c>
      <c r="M164" s="14" t="n">
        <f aca="false">IF(J164=0,0,VLOOKUP(J164,MIE_Components!$A$2:$F$6,4,FALSE()))</f>
        <v>0</v>
      </c>
      <c r="N164" s="14" t="n">
        <f aca="false">IF(OR($A164="",J164=0),0,MAX(5,J164*IF(OR($A164=Parameters!$B$13,$A164=Parameters!$B$14),0.75,1)-(IF(AND($A164=DATE(2026,11,29),NOV29BF="Yes"),K164,0)+IF(OR($A164=DATE(2026,11,29),$A164=DATE(2026,11,30),$A164=DATE(2026,12,1),$A164=DATE(2026,12,2)),L164,0)+IF(OR($A164=DATE(2026,11,28),$A164=DATE(2026,12,1)),M164,0))))</f>
        <v>0</v>
      </c>
      <c r="O164" s="14" t="n">
        <f aca="false">IF(AND($A164&lt;&gt;"",$A164&lt;Parameters!$B$14),CityData!F4*(1+TAXRATE),0)</f>
        <v>0</v>
      </c>
      <c r="P164" s="14" t="n">
        <f aca="false">IF($A164="",0,IFERROR(VLOOKUP((YEAR($A164)+IF(MONTH($A164)&gt;=10,1,0))&amp;"|Chicago|"&amp;MONTH($A164),Rates!$A$2:$I$181,5,FALSE()),0))</f>
        <v>0</v>
      </c>
      <c r="Q164" s="14" t="n">
        <f aca="false">IF(OR($A164="",$A164&gt;=Parameters!$B$14),1,IF(AND(P164&gt;0,CityData!F4&lt;=P164),1,0))</f>
        <v>1</v>
      </c>
      <c r="R164" s="14" t="n">
        <f aca="false">IF($A164="",0,IFERROR(VLOOKUP((YEAR($A164)+IF(MONTH($A164)&gt;=10,1,0))&amp;"|Denver|"&amp;MONTH($A164),Rates!$A$2:$I$181,6,FALSE()),0))</f>
        <v>0</v>
      </c>
      <c r="S164" s="14" t="n">
        <f aca="false">IF(R164=0,0,VLOOKUP(R164,MIE_Components!$A$2:$F$6,2,FALSE()))</f>
        <v>0</v>
      </c>
      <c r="T164" s="14" t="n">
        <f aca="false">IF(R164=0,0,VLOOKUP(R164,MIE_Components!$A$2:$F$6,3,FALSE()))</f>
        <v>0</v>
      </c>
      <c r="U164" s="14" t="n">
        <f aca="false">IF(R164=0,0,VLOOKUP(R164,MIE_Components!$A$2:$F$6,4,FALSE()))</f>
        <v>0</v>
      </c>
      <c r="V164" s="14" t="n">
        <f aca="false">IF(OR($A164="",R164=0),0,MAX(5,R164*IF(OR($A164=Parameters!$B$13,$A164=Parameters!$B$14),0.75,1)-(IF(AND($A164=DATE(2026,11,29),NOV29BF="Yes"),S164,0)+IF(OR($A164=DATE(2026,11,29),$A164=DATE(2026,11,30),$A164=DATE(2026,12,1),$A164=DATE(2026,12,2)),T164,0)+IF(OR($A164=DATE(2026,11,28),$A164=DATE(2026,12,1)),U164,0))))</f>
        <v>0</v>
      </c>
      <c r="W164" s="14" t="n">
        <f aca="false">IF(AND($A164&lt;&gt;"",$A164&lt;Parameters!$B$14),CityData!F5*(1+TAXRATE),0)</f>
        <v>0</v>
      </c>
      <c r="X164" s="14" t="n">
        <f aca="false">IF($A164="",0,IFERROR(VLOOKUP((YEAR($A164)+IF(MONTH($A164)&gt;=10,1,0))&amp;"|Denver|"&amp;MONTH($A164),Rates!$A$2:$I$181,5,FALSE()),0))</f>
        <v>0</v>
      </c>
      <c r="Y164" s="14" t="n">
        <f aca="false">IF(OR($A164="",$A164&gt;=Parameters!$B$14),1,IF(AND(X164&gt;0,CityData!F5&lt;=X164),1,0))</f>
        <v>1</v>
      </c>
      <c r="Z164" s="14" t="n">
        <f aca="false">IF($A164="",0,IFERROR(VLOOKUP((YEAR($A164)+IF(MONTH($A164)&gt;=10,1,0))&amp;"|Phoenix|"&amp;MONTH($A164),Rates!$A$2:$I$181,6,FALSE()),0))</f>
        <v>0</v>
      </c>
      <c r="AA164" s="14" t="n">
        <f aca="false">IF(Z164=0,0,VLOOKUP(Z164,MIE_Components!$A$2:$F$6,2,FALSE()))</f>
        <v>0</v>
      </c>
      <c r="AB164" s="14" t="n">
        <f aca="false">IF(Z164=0,0,VLOOKUP(Z164,MIE_Components!$A$2:$F$6,3,FALSE()))</f>
        <v>0</v>
      </c>
      <c r="AC164" s="14" t="n">
        <f aca="false">IF(Z164=0,0,VLOOKUP(Z164,MIE_Components!$A$2:$F$6,4,FALSE()))</f>
        <v>0</v>
      </c>
      <c r="AD164" s="14" t="n">
        <f aca="false">IF(OR($A164="",Z164=0),0,MAX(5,Z164*IF(OR($A164=Parameters!$B$13,$A164=Parameters!$B$14),0.75,1)-(IF(AND($A164=DATE(2026,11,29),NOV29BF="Yes"),AA164,0)+IF(OR($A164=DATE(2026,11,29),$A164=DATE(2026,11,30),$A164=DATE(2026,12,1),$A164=DATE(2026,12,2)),AB164,0)+IF(OR($A164=DATE(2026,11,28),$A164=DATE(2026,12,1)),AC164,0))))</f>
        <v>0</v>
      </c>
      <c r="AE164" s="14" t="n">
        <f aca="false">IF(AND($A164&lt;&gt;"",$A164&lt;Parameters!$B$14),CityData!F6*(1+TAXRATE),0)</f>
        <v>0</v>
      </c>
      <c r="AF164" s="14" t="n">
        <f aca="false">IF($A164="",0,IFERROR(VLOOKUP((YEAR($A164)+IF(MONTH($A164)&gt;=10,1,0))&amp;"|Phoenix|"&amp;MONTH($A164),Rates!$A$2:$I$181,5,FALSE()),0))</f>
        <v>0</v>
      </c>
      <c r="AG164" s="14" t="n">
        <f aca="false">IF(OR($A164="",$A164&gt;=Parameters!$B$14),1,IF(AND(AF164&gt;0,CityData!F6&lt;=AF164),1,0))</f>
        <v>1</v>
      </c>
      <c r="AH164" s="14" t="n">
        <f aca="false">IF($A164="",0,IFERROR(VLOOKUP((YEAR($A164)+IF(MONTH($A164)&gt;=10,1,0))&amp;"|Seattle|"&amp;MONTH($A164),Rates!$A$2:$I$181,6,FALSE()),0))</f>
        <v>0</v>
      </c>
      <c r="AI164" s="14" t="n">
        <f aca="false">IF(AH164=0,0,VLOOKUP(AH164,MIE_Components!$A$2:$F$6,2,FALSE()))</f>
        <v>0</v>
      </c>
      <c r="AJ164" s="14" t="n">
        <f aca="false">IF(AH164=0,0,VLOOKUP(AH164,MIE_Components!$A$2:$F$6,3,FALSE()))</f>
        <v>0</v>
      </c>
      <c r="AK164" s="14" t="n">
        <f aca="false">IF(AH164=0,0,VLOOKUP(AH164,MIE_Components!$A$2:$F$6,4,FALSE()))</f>
        <v>0</v>
      </c>
      <c r="AL164" s="14" t="n">
        <f aca="false">IF(OR($A164="",AH164=0),0,MAX(5,AH164*IF(OR($A164=Parameters!$B$13,$A164=Parameters!$B$14),0.75,1)-(IF(AND($A164=DATE(2026,11,29),NOV29BF="Yes"),AI164,0)+IF(OR($A164=DATE(2026,11,29),$A164=DATE(2026,11,30),$A164=DATE(2026,12,1),$A164=DATE(2026,12,2)),AJ164,0)+IF(OR($A164=DATE(2026,11,28),$A164=DATE(2026,12,1)),AK164,0))))</f>
        <v>0</v>
      </c>
      <c r="AM164" s="14" t="n">
        <f aca="false">IF(AND($A164&lt;&gt;"",$A164&lt;Parameters!$B$14),CityData!F7*(1+TAXRATE),0)</f>
        <v>0</v>
      </c>
      <c r="AN164" s="14" t="n">
        <f aca="false">IF($A164="",0,IFERROR(VLOOKUP((YEAR($A164)+IF(MONTH($A164)&gt;=10,1,0))&amp;"|Seattle|"&amp;MONTH($A164),Rates!$A$2:$I$181,5,FALSE()),0))</f>
        <v>0</v>
      </c>
      <c r="AO164" s="14" t="n">
        <f aca="false">IF(OR($A164="",$A164&gt;=Parameters!$B$14),1,IF(AND(AN164&gt;0,CityData!F7&lt;=AN164),1,0))</f>
        <v>1</v>
      </c>
    </row>
    <row r="165" customFormat="false" ht="15" hidden="false" customHeight="true" outlineLevel="0" collapsed="false">
      <c r="A165" s="23" t="str">
        <f aca="false">IF(AND(Parameters!$B$14&gt;=Parameters!$B$13,ROW()-2&lt;=Parameters!$B$14-Parameters!$B$13),Parameters!$B$13+ROW()-2,"")</f>
        <v/>
      </c>
      <c r="B165" s="14" t="n">
        <f aca="false">IF($A165="",0,IFERROR(VLOOKUP((YEAR($A165)+IF(MONTH($A165)&gt;=10,1,0))&amp;"|Boston|"&amp;MONTH($A165),Rates!$A$2:$I$181,6,FALSE()),0))</f>
        <v>0</v>
      </c>
      <c r="C165" s="14" t="n">
        <f aca="false">IF(B165=0,0,VLOOKUP(B165,MIE_Components!$A$2:$F$6,2,FALSE()))</f>
        <v>0</v>
      </c>
      <c r="D165" s="14" t="n">
        <f aca="false">IF(B165=0,0,VLOOKUP(B165,MIE_Components!$A$2:$F$6,3,FALSE()))</f>
        <v>0</v>
      </c>
      <c r="E165" s="14" t="n">
        <f aca="false">IF(B165=0,0,VLOOKUP(B165,MIE_Components!$A$2:$F$6,4,FALSE()))</f>
        <v>0</v>
      </c>
      <c r="F165" s="14" t="n">
        <f aca="false">IF(OR($A165="",B165=0),0,MAX(5,B165*IF(OR($A165=Parameters!$B$13,$A165=Parameters!$B$14),0.75,1)-(IF(AND($A165=DATE(2026,11,29),NOV29BF="Yes"),C165,0)+IF(OR($A165=DATE(2026,11,29),$A165=DATE(2026,11,30),$A165=DATE(2026,12,1),$A165=DATE(2026,12,2)),D165,0)+IF(OR($A165=DATE(2026,11,28),$A165=DATE(2026,12,1)),E165,0))))</f>
        <v>0</v>
      </c>
      <c r="G165" s="14" t="n">
        <f aca="false">IF(AND($A165&lt;&gt;"",$A165&lt;Parameters!$B$14),CityData!F3*(1+TAXRATE),0)</f>
        <v>0</v>
      </c>
      <c r="H165" s="14" t="n">
        <f aca="false">IF($A165="",0,IFERROR(VLOOKUP((YEAR($A165)+IF(MONTH($A165)&gt;=10,1,0))&amp;"|Boston|"&amp;MONTH($A165),Rates!$A$2:$I$181,5,FALSE()),0))</f>
        <v>0</v>
      </c>
      <c r="I165" s="14" t="n">
        <f aca="false">IF(OR($A165="",$A165&gt;=Parameters!$B$14),1,IF(AND(H165&gt;0,CityData!F3&lt;=H165),1,0))</f>
        <v>1</v>
      </c>
      <c r="J165" s="14" t="n">
        <f aca="false">IF($A165="",0,IFERROR(VLOOKUP((YEAR($A165)+IF(MONTH($A165)&gt;=10,1,0))&amp;"|Chicago|"&amp;MONTH($A165),Rates!$A$2:$I$181,6,FALSE()),0))</f>
        <v>0</v>
      </c>
      <c r="K165" s="14" t="n">
        <f aca="false">IF(J165=0,0,VLOOKUP(J165,MIE_Components!$A$2:$F$6,2,FALSE()))</f>
        <v>0</v>
      </c>
      <c r="L165" s="14" t="n">
        <f aca="false">IF(J165=0,0,VLOOKUP(J165,MIE_Components!$A$2:$F$6,3,FALSE()))</f>
        <v>0</v>
      </c>
      <c r="M165" s="14" t="n">
        <f aca="false">IF(J165=0,0,VLOOKUP(J165,MIE_Components!$A$2:$F$6,4,FALSE()))</f>
        <v>0</v>
      </c>
      <c r="N165" s="14" t="n">
        <f aca="false">IF(OR($A165="",J165=0),0,MAX(5,J165*IF(OR($A165=Parameters!$B$13,$A165=Parameters!$B$14),0.75,1)-(IF(AND($A165=DATE(2026,11,29),NOV29BF="Yes"),K165,0)+IF(OR($A165=DATE(2026,11,29),$A165=DATE(2026,11,30),$A165=DATE(2026,12,1),$A165=DATE(2026,12,2)),L165,0)+IF(OR($A165=DATE(2026,11,28),$A165=DATE(2026,12,1)),M165,0))))</f>
        <v>0</v>
      </c>
      <c r="O165" s="14" t="n">
        <f aca="false">IF(AND($A165&lt;&gt;"",$A165&lt;Parameters!$B$14),CityData!F4*(1+TAXRATE),0)</f>
        <v>0</v>
      </c>
      <c r="P165" s="14" t="n">
        <f aca="false">IF($A165="",0,IFERROR(VLOOKUP((YEAR($A165)+IF(MONTH($A165)&gt;=10,1,0))&amp;"|Chicago|"&amp;MONTH($A165),Rates!$A$2:$I$181,5,FALSE()),0))</f>
        <v>0</v>
      </c>
      <c r="Q165" s="14" t="n">
        <f aca="false">IF(OR($A165="",$A165&gt;=Parameters!$B$14),1,IF(AND(P165&gt;0,CityData!F4&lt;=P165),1,0))</f>
        <v>1</v>
      </c>
      <c r="R165" s="14" t="n">
        <f aca="false">IF($A165="",0,IFERROR(VLOOKUP((YEAR($A165)+IF(MONTH($A165)&gt;=10,1,0))&amp;"|Denver|"&amp;MONTH($A165),Rates!$A$2:$I$181,6,FALSE()),0))</f>
        <v>0</v>
      </c>
      <c r="S165" s="14" t="n">
        <f aca="false">IF(R165=0,0,VLOOKUP(R165,MIE_Components!$A$2:$F$6,2,FALSE()))</f>
        <v>0</v>
      </c>
      <c r="T165" s="14" t="n">
        <f aca="false">IF(R165=0,0,VLOOKUP(R165,MIE_Components!$A$2:$F$6,3,FALSE()))</f>
        <v>0</v>
      </c>
      <c r="U165" s="14" t="n">
        <f aca="false">IF(R165=0,0,VLOOKUP(R165,MIE_Components!$A$2:$F$6,4,FALSE()))</f>
        <v>0</v>
      </c>
      <c r="V165" s="14" t="n">
        <f aca="false">IF(OR($A165="",R165=0),0,MAX(5,R165*IF(OR($A165=Parameters!$B$13,$A165=Parameters!$B$14),0.75,1)-(IF(AND($A165=DATE(2026,11,29),NOV29BF="Yes"),S165,0)+IF(OR($A165=DATE(2026,11,29),$A165=DATE(2026,11,30),$A165=DATE(2026,12,1),$A165=DATE(2026,12,2)),T165,0)+IF(OR($A165=DATE(2026,11,28),$A165=DATE(2026,12,1)),U165,0))))</f>
        <v>0</v>
      </c>
      <c r="W165" s="14" t="n">
        <f aca="false">IF(AND($A165&lt;&gt;"",$A165&lt;Parameters!$B$14),CityData!F5*(1+TAXRATE),0)</f>
        <v>0</v>
      </c>
      <c r="X165" s="14" t="n">
        <f aca="false">IF($A165="",0,IFERROR(VLOOKUP((YEAR($A165)+IF(MONTH($A165)&gt;=10,1,0))&amp;"|Denver|"&amp;MONTH($A165),Rates!$A$2:$I$181,5,FALSE()),0))</f>
        <v>0</v>
      </c>
      <c r="Y165" s="14" t="n">
        <f aca="false">IF(OR($A165="",$A165&gt;=Parameters!$B$14),1,IF(AND(X165&gt;0,CityData!F5&lt;=X165),1,0))</f>
        <v>1</v>
      </c>
      <c r="Z165" s="14" t="n">
        <f aca="false">IF($A165="",0,IFERROR(VLOOKUP((YEAR($A165)+IF(MONTH($A165)&gt;=10,1,0))&amp;"|Phoenix|"&amp;MONTH($A165),Rates!$A$2:$I$181,6,FALSE()),0))</f>
        <v>0</v>
      </c>
      <c r="AA165" s="14" t="n">
        <f aca="false">IF(Z165=0,0,VLOOKUP(Z165,MIE_Components!$A$2:$F$6,2,FALSE()))</f>
        <v>0</v>
      </c>
      <c r="AB165" s="14" t="n">
        <f aca="false">IF(Z165=0,0,VLOOKUP(Z165,MIE_Components!$A$2:$F$6,3,FALSE()))</f>
        <v>0</v>
      </c>
      <c r="AC165" s="14" t="n">
        <f aca="false">IF(Z165=0,0,VLOOKUP(Z165,MIE_Components!$A$2:$F$6,4,FALSE()))</f>
        <v>0</v>
      </c>
      <c r="AD165" s="14" t="n">
        <f aca="false">IF(OR($A165="",Z165=0),0,MAX(5,Z165*IF(OR($A165=Parameters!$B$13,$A165=Parameters!$B$14),0.75,1)-(IF(AND($A165=DATE(2026,11,29),NOV29BF="Yes"),AA165,0)+IF(OR($A165=DATE(2026,11,29),$A165=DATE(2026,11,30),$A165=DATE(2026,12,1),$A165=DATE(2026,12,2)),AB165,0)+IF(OR($A165=DATE(2026,11,28),$A165=DATE(2026,12,1)),AC165,0))))</f>
        <v>0</v>
      </c>
      <c r="AE165" s="14" t="n">
        <f aca="false">IF(AND($A165&lt;&gt;"",$A165&lt;Parameters!$B$14),CityData!F6*(1+TAXRATE),0)</f>
        <v>0</v>
      </c>
      <c r="AF165" s="14" t="n">
        <f aca="false">IF($A165="",0,IFERROR(VLOOKUP((YEAR($A165)+IF(MONTH($A165)&gt;=10,1,0))&amp;"|Phoenix|"&amp;MONTH($A165),Rates!$A$2:$I$181,5,FALSE()),0))</f>
        <v>0</v>
      </c>
      <c r="AG165" s="14" t="n">
        <f aca="false">IF(OR($A165="",$A165&gt;=Parameters!$B$14),1,IF(AND(AF165&gt;0,CityData!F6&lt;=AF165),1,0))</f>
        <v>1</v>
      </c>
      <c r="AH165" s="14" t="n">
        <f aca="false">IF($A165="",0,IFERROR(VLOOKUP((YEAR($A165)+IF(MONTH($A165)&gt;=10,1,0))&amp;"|Seattle|"&amp;MONTH($A165),Rates!$A$2:$I$181,6,FALSE()),0))</f>
        <v>0</v>
      </c>
      <c r="AI165" s="14" t="n">
        <f aca="false">IF(AH165=0,0,VLOOKUP(AH165,MIE_Components!$A$2:$F$6,2,FALSE()))</f>
        <v>0</v>
      </c>
      <c r="AJ165" s="14" t="n">
        <f aca="false">IF(AH165=0,0,VLOOKUP(AH165,MIE_Components!$A$2:$F$6,3,FALSE()))</f>
        <v>0</v>
      </c>
      <c r="AK165" s="14" t="n">
        <f aca="false">IF(AH165=0,0,VLOOKUP(AH165,MIE_Components!$A$2:$F$6,4,FALSE()))</f>
        <v>0</v>
      </c>
      <c r="AL165" s="14" t="n">
        <f aca="false">IF(OR($A165="",AH165=0),0,MAX(5,AH165*IF(OR($A165=Parameters!$B$13,$A165=Parameters!$B$14),0.75,1)-(IF(AND($A165=DATE(2026,11,29),NOV29BF="Yes"),AI165,0)+IF(OR($A165=DATE(2026,11,29),$A165=DATE(2026,11,30),$A165=DATE(2026,12,1),$A165=DATE(2026,12,2)),AJ165,0)+IF(OR($A165=DATE(2026,11,28),$A165=DATE(2026,12,1)),AK165,0))))</f>
        <v>0</v>
      </c>
      <c r="AM165" s="14" t="n">
        <f aca="false">IF(AND($A165&lt;&gt;"",$A165&lt;Parameters!$B$14),CityData!F7*(1+TAXRATE),0)</f>
        <v>0</v>
      </c>
      <c r="AN165" s="14" t="n">
        <f aca="false">IF($A165="",0,IFERROR(VLOOKUP((YEAR($A165)+IF(MONTH($A165)&gt;=10,1,0))&amp;"|Seattle|"&amp;MONTH($A165),Rates!$A$2:$I$181,5,FALSE()),0))</f>
        <v>0</v>
      </c>
      <c r="AO165" s="14" t="n">
        <f aca="false">IF(OR($A165="",$A165&gt;=Parameters!$B$14),1,IF(AND(AN165&gt;0,CityData!F7&lt;=AN165),1,0))</f>
        <v>1</v>
      </c>
    </row>
    <row r="166" customFormat="false" ht="15" hidden="false" customHeight="true" outlineLevel="0" collapsed="false">
      <c r="A166" s="23" t="str">
        <f aca="false">IF(AND(Parameters!$B$14&gt;=Parameters!$B$13,ROW()-2&lt;=Parameters!$B$14-Parameters!$B$13),Parameters!$B$13+ROW()-2,"")</f>
        <v/>
      </c>
      <c r="B166" s="14" t="n">
        <f aca="false">IF($A166="",0,IFERROR(VLOOKUP((YEAR($A166)+IF(MONTH($A166)&gt;=10,1,0))&amp;"|Boston|"&amp;MONTH($A166),Rates!$A$2:$I$181,6,FALSE()),0))</f>
        <v>0</v>
      </c>
      <c r="C166" s="14" t="n">
        <f aca="false">IF(B166=0,0,VLOOKUP(B166,MIE_Components!$A$2:$F$6,2,FALSE()))</f>
        <v>0</v>
      </c>
      <c r="D166" s="14" t="n">
        <f aca="false">IF(B166=0,0,VLOOKUP(B166,MIE_Components!$A$2:$F$6,3,FALSE()))</f>
        <v>0</v>
      </c>
      <c r="E166" s="14" t="n">
        <f aca="false">IF(B166=0,0,VLOOKUP(B166,MIE_Components!$A$2:$F$6,4,FALSE()))</f>
        <v>0</v>
      </c>
      <c r="F166" s="14" t="n">
        <f aca="false">IF(OR($A166="",B166=0),0,MAX(5,B166*IF(OR($A166=Parameters!$B$13,$A166=Parameters!$B$14),0.75,1)-(IF(AND($A166=DATE(2026,11,29),NOV29BF="Yes"),C166,0)+IF(OR($A166=DATE(2026,11,29),$A166=DATE(2026,11,30),$A166=DATE(2026,12,1),$A166=DATE(2026,12,2)),D166,0)+IF(OR($A166=DATE(2026,11,28),$A166=DATE(2026,12,1)),E166,0))))</f>
        <v>0</v>
      </c>
      <c r="G166" s="14" t="n">
        <f aca="false">IF(AND($A166&lt;&gt;"",$A166&lt;Parameters!$B$14),CityData!F3*(1+TAXRATE),0)</f>
        <v>0</v>
      </c>
      <c r="H166" s="14" t="n">
        <f aca="false">IF($A166="",0,IFERROR(VLOOKUP((YEAR($A166)+IF(MONTH($A166)&gt;=10,1,0))&amp;"|Boston|"&amp;MONTH($A166),Rates!$A$2:$I$181,5,FALSE()),0))</f>
        <v>0</v>
      </c>
      <c r="I166" s="14" t="n">
        <f aca="false">IF(OR($A166="",$A166&gt;=Parameters!$B$14),1,IF(AND(H166&gt;0,CityData!F3&lt;=H166),1,0))</f>
        <v>1</v>
      </c>
      <c r="J166" s="14" t="n">
        <f aca="false">IF($A166="",0,IFERROR(VLOOKUP((YEAR($A166)+IF(MONTH($A166)&gt;=10,1,0))&amp;"|Chicago|"&amp;MONTH($A166),Rates!$A$2:$I$181,6,FALSE()),0))</f>
        <v>0</v>
      </c>
      <c r="K166" s="14" t="n">
        <f aca="false">IF(J166=0,0,VLOOKUP(J166,MIE_Components!$A$2:$F$6,2,FALSE()))</f>
        <v>0</v>
      </c>
      <c r="L166" s="14" t="n">
        <f aca="false">IF(J166=0,0,VLOOKUP(J166,MIE_Components!$A$2:$F$6,3,FALSE()))</f>
        <v>0</v>
      </c>
      <c r="M166" s="14" t="n">
        <f aca="false">IF(J166=0,0,VLOOKUP(J166,MIE_Components!$A$2:$F$6,4,FALSE()))</f>
        <v>0</v>
      </c>
      <c r="N166" s="14" t="n">
        <f aca="false">IF(OR($A166="",J166=0),0,MAX(5,J166*IF(OR($A166=Parameters!$B$13,$A166=Parameters!$B$14),0.75,1)-(IF(AND($A166=DATE(2026,11,29),NOV29BF="Yes"),K166,0)+IF(OR($A166=DATE(2026,11,29),$A166=DATE(2026,11,30),$A166=DATE(2026,12,1),$A166=DATE(2026,12,2)),L166,0)+IF(OR($A166=DATE(2026,11,28),$A166=DATE(2026,12,1)),M166,0))))</f>
        <v>0</v>
      </c>
      <c r="O166" s="14" t="n">
        <f aca="false">IF(AND($A166&lt;&gt;"",$A166&lt;Parameters!$B$14),CityData!F4*(1+TAXRATE),0)</f>
        <v>0</v>
      </c>
      <c r="P166" s="14" t="n">
        <f aca="false">IF($A166="",0,IFERROR(VLOOKUP((YEAR($A166)+IF(MONTH($A166)&gt;=10,1,0))&amp;"|Chicago|"&amp;MONTH($A166),Rates!$A$2:$I$181,5,FALSE()),0))</f>
        <v>0</v>
      </c>
      <c r="Q166" s="14" t="n">
        <f aca="false">IF(OR($A166="",$A166&gt;=Parameters!$B$14),1,IF(AND(P166&gt;0,CityData!F4&lt;=P166),1,0))</f>
        <v>1</v>
      </c>
      <c r="R166" s="14" t="n">
        <f aca="false">IF($A166="",0,IFERROR(VLOOKUP((YEAR($A166)+IF(MONTH($A166)&gt;=10,1,0))&amp;"|Denver|"&amp;MONTH($A166),Rates!$A$2:$I$181,6,FALSE()),0))</f>
        <v>0</v>
      </c>
      <c r="S166" s="14" t="n">
        <f aca="false">IF(R166=0,0,VLOOKUP(R166,MIE_Components!$A$2:$F$6,2,FALSE()))</f>
        <v>0</v>
      </c>
      <c r="T166" s="14" t="n">
        <f aca="false">IF(R166=0,0,VLOOKUP(R166,MIE_Components!$A$2:$F$6,3,FALSE()))</f>
        <v>0</v>
      </c>
      <c r="U166" s="14" t="n">
        <f aca="false">IF(R166=0,0,VLOOKUP(R166,MIE_Components!$A$2:$F$6,4,FALSE()))</f>
        <v>0</v>
      </c>
      <c r="V166" s="14" t="n">
        <f aca="false">IF(OR($A166="",R166=0),0,MAX(5,R166*IF(OR($A166=Parameters!$B$13,$A166=Parameters!$B$14),0.75,1)-(IF(AND($A166=DATE(2026,11,29),NOV29BF="Yes"),S166,0)+IF(OR($A166=DATE(2026,11,29),$A166=DATE(2026,11,30),$A166=DATE(2026,12,1),$A166=DATE(2026,12,2)),T166,0)+IF(OR($A166=DATE(2026,11,28),$A166=DATE(2026,12,1)),U166,0))))</f>
        <v>0</v>
      </c>
      <c r="W166" s="14" t="n">
        <f aca="false">IF(AND($A166&lt;&gt;"",$A166&lt;Parameters!$B$14),CityData!F5*(1+TAXRATE),0)</f>
        <v>0</v>
      </c>
      <c r="X166" s="14" t="n">
        <f aca="false">IF($A166="",0,IFERROR(VLOOKUP((YEAR($A166)+IF(MONTH($A166)&gt;=10,1,0))&amp;"|Denver|"&amp;MONTH($A166),Rates!$A$2:$I$181,5,FALSE()),0))</f>
        <v>0</v>
      </c>
      <c r="Y166" s="14" t="n">
        <f aca="false">IF(OR($A166="",$A166&gt;=Parameters!$B$14),1,IF(AND(X166&gt;0,CityData!F5&lt;=X166),1,0))</f>
        <v>1</v>
      </c>
      <c r="Z166" s="14" t="n">
        <f aca="false">IF($A166="",0,IFERROR(VLOOKUP((YEAR($A166)+IF(MONTH($A166)&gt;=10,1,0))&amp;"|Phoenix|"&amp;MONTH($A166),Rates!$A$2:$I$181,6,FALSE()),0))</f>
        <v>0</v>
      </c>
      <c r="AA166" s="14" t="n">
        <f aca="false">IF(Z166=0,0,VLOOKUP(Z166,MIE_Components!$A$2:$F$6,2,FALSE()))</f>
        <v>0</v>
      </c>
      <c r="AB166" s="14" t="n">
        <f aca="false">IF(Z166=0,0,VLOOKUP(Z166,MIE_Components!$A$2:$F$6,3,FALSE()))</f>
        <v>0</v>
      </c>
      <c r="AC166" s="14" t="n">
        <f aca="false">IF(Z166=0,0,VLOOKUP(Z166,MIE_Components!$A$2:$F$6,4,FALSE()))</f>
        <v>0</v>
      </c>
      <c r="AD166" s="14" t="n">
        <f aca="false">IF(OR($A166="",Z166=0),0,MAX(5,Z166*IF(OR($A166=Parameters!$B$13,$A166=Parameters!$B$14),0.75,1)-(IF(AND($A166=DATE(2026,11,29),NOV29BF="Yes"),AA166,0)+IF(OR($A166=DATE(2026,11,29),$A166=DATE(2026,11,30),$A166=DATE(2026,12,1),$A166=DATE(2026,12,2)),AB166,0)+IF(OR($A166=DATE(2026,11,28),$A166=DATE(2026,12,1)),AC166,0))))</f>
        <v>0</v>
      </c>
      <c r="AE166" s="14" t="n">
        <f aca="false">IF(AND($A166&lt;&gt;"",$A166&lt;Parameters!$B$14),CityData!F6*(1+TAXRATE),0)</f>
        <v>0</v>
      </c>
      <c r="AF166" s="14" t="n">
        <f aca="false">IF($A166="",0,IFERROR(VLOOKUP((YEAR($A166)+IF(MONTH($A166)&gt;=10,1,0))&amp;"|Phoenix|"&amp;MONTH($A166),Rates!$A$2:$I$181,5,FALSE()),0))</f>
        <v>0</v>
      </c>
      <c r="AG166" s="14" t="n">
        <f aca="false">IF(OR($A166="",$A166&gt;=Parameters!$B$14),1,IF(AND(AF166&gt;0,CityData!F6&lt;=AF166),1,0))</f>
        <v>1</v>
      </c>
      <c r="AH166" s="14" t="n">
        <f aca="false">IF($A166="",0,IFERROR(VLOOKUP((YEAR($A166)+IF(MONTH($A166)&gt;=10,1,0))&amp;"|Seattle|"&amp;MONTH($A166),Rates!$A$2:$I$181,6,FALSE()),0))</f>
        <v>0</v>
      </c>
      <c r="AI166" s="14" t="n">
        <f aca="false">IF(AH166=0,0,VLOOKUP(AH166,MIE_Components!$A$2:$F$6,2,FALSE()))</f>
        <v>0</v>
      </c>
      <c r="AJ166" s="14" t="n">
        <f aca="false">IF(AH166=0,0,VLOOKUP(AH166,MIE_Components!$A$2:$F$6,3,FALSE()))</f>
        <v>0</v>
      </c>
      <c r="AK166" s="14" t="n">
        <f aca="false">IF(AH166=0,0,VLOOKUP(AH166,MIE_Components!$A$2:$F$6,4,FALSE()))</f>
        <v>0</v>
      </c>
      <c r="AL166" s="14" t="n">
        <f aca="false">IF(OR($A166="",AH166=0),0,MAX(5,AH166*IF(OR($A166=Parameters!$B$13,$A166=Parameters!$B$14),0.75,1)-(IF(AND($A166=DATE(2026,11,29),NOV29BF="Yes"),AI166,0)+IF(OR($A166=DATE(2026,11,29),$A166=DATE(2026,11,30),$A166=DATE(2026,12,1),$A166=DATE(2026,12,2)),AJ166,0)+IF(OR($A166=DATE(2026,11,28),$A166=DATE(2026,12,1)),AK166,0))))</f>
        <v>0</v>
      </c>
      <c r="AM166" s="14" t="n">
        <f aca="false">IF(AND($A166&lt;&gt;"",$A166&lt;Parameters!$B$14),CityData!F7*(1+TAXRATE),0)</f>
        <v>0</v>
      </c>
      <c r="AN166" s="14" t="n">
        <f aca="false">IF($A166="",0,IFERROR(VLOOKUP((YEAR($A166)+IF(MONTH($A166)&gt;=10,1,0))&amp;"|Seattle|"&amp;MONTH($A166),Rates!$A$2:$I$181,5,FALSE()),0))</f>
        <v>0</v>
      </c>
      <c r="AO166" s="14" t="n">
        <f aca="false">IF(OR($A166="",$A166&gt;=Parameters!$B$14),1,IF(AND(AN166&gt;0,CityData!F7&lt;=AN166),1,0))</f>
        <v>1</v>
      </c>
    </row>
    <row r="167" customFormat="false" ht="15" hidden="false" customHeight="true" outlineLevel="0" collapsed="false">
      <c r="A167" s="23" t="str">
        <f aca="false">IF(AND(Parameters!$B$14&gt;=Parameters!$B$13,ROW()-2&lt;=Parameters!$B$14-Parameters!$B$13),Parameters!$B$13+ROW()-2,"")</f>
        <v/>
      </c>
      <c r="B167" s="14" t="n">
        <f aca="false">IF($A167="",0,IFERROR(VLOOKUP((YEAR($A167)+IF(MONTH($A167)&gt;=10,1,0))&amp;"|Boston|"&amp;MONTH($A167),Rates!$A$2:$I$181,6,FALSE()),0))</f>
        <v>0</v>
      </c>
      <c r="C167" s="14" t="n">
        <f aca="false">IF(B167=0,0,VLOOKUP(B167,MIE_Components!$A$2:$F$6,2,FALSE()))</f>
        <v>0</v>
      </c>
      <c r="D167" s="14" t="n">
        <f aca="false">IF(B167=0,0,VLOOKUP(B167,MIE_Components!$A$2:$F$6,3,FALSE()))</f>
        <v>0</v>
      </c>
      <c r="E167" s="14" t="n">
        <f aca="false">IF(B167=0,0,VLOOKUP(B167,MIE_Components!$A$2:$F$6,4,FALSE()))</f>
        <v>0</v>
      </c>
      <c r="F167" s="14" t="n">
        <f aca="false">IF(OR($A167="",B167=0),0,MAX(5,B167*IF(OR($A167=Parameters!$B$13,$A167=Parameters!$B$14),0.75,1)-(IF(AND($A167=DATE(2026,11,29),NOV29BF="Yes"),C167,0)+IF(OR($A167=DATE(2026,11,29),$A167=DATE(2026,11,30),$A167=DATE(2026,12,1),$A167=DATE(2026,12,2)),D167,0)+IF(OR($A167=DATE(2026,11,28),$A167=DATE(2026,12,1)),E167,0))))</f>
        <v>0</v>
      </c>
      <c r="G167" s="14" t="n">
        <f aca="false">IF(AND($A167&lt;&gt;"",$A167&lt;Parameters!$B$14),CityData!F3*(1+TAXRATE),0)</f>
        <v>0</v>
      </c>
      <c r="H167" s="14" t="n">
        <f aca="false">IF($A167="",0,IFERROR(VLOOKUP((YEAR($A167)+IF(MONTH($A167)&gt;=10,1,0))&amp;"|Boston|"&amp;MONTH($A167),Rates!$A$2:$I$181,5,FALSE()),0))</f>
        <v>0</v>
      </c>
      <c r="I167" s="14" t="n">
        <f aca="false">IF(OR($A167="",$A167&gt;=Parameters!$B$14),1,IF(AND(H167&gt;0,CityData!F3&lt;=H167),1,0))</f>
        <v>1</v>
      </c>
      <c r="J167" s="14" t="n">
        <f aca="false">IF($A167="",0,IFERROR(VLOOKUP((YEAR($A167)+IF(MONTH($A167)&gt;=10,1,0))&amp;"|Chicago|"&amp;MONTH($A167),Rates!$A$2:$I$181,6,FALSE()),0))</f>
        <v>0</v>
      </c>
      <c r="K167" s="14" t="n">
        <f aca="false">IF(J167=0,0,VLOOKUP(J167,MIE_Components!$A$2:$F$6,2,FALSE()))</f>
        <v>0</v>
      </c>
      <c r="L167" s="14" t="n">
        <f aca="false">IF(J167=0,0,VLOOKUP(J167,MIE_Components!$A$2:$F$6,3,FALSE()))</f>
        <v>0</v>
      </c>
      <c r="M167" s="14" t="n">
        <f aca="false">IF(J167=0,0,VLOOKUP(J167,MIE_Components!$A$2:$F$6,4,FALSE()))</f>
        <v>0</v>
      </c>
      <c r="N167" s="14" t="n">
        <f aca="false">IF(OR($A167="",J167=0),0,MAX(5,J167*IF(OR($A167=Parameters!$B$13,$A167=Parameters!$B$14),0.75,1)-(IF(AND($A167=DATE(2026,11,29),NOV29BF="Yes"),K167,0)+IF(OR($A167=DATE(2026,11,29),$A167=DATE(2026,11,30),$A167=DATE(2026,12,1),$A167=DATE(2026,12,2)),L167,0)+IF(OR($A167=DATE(2026,11,28),$A167=DATE(2026,12,1)),M167,0))))</f>
        <v>0</v>
      </c>
      <c r="O167" s="14" t="n">
        <f aca="false">IF(AND($A167&lt;&gt;"",$A167&lt;Parameters!$B$14),CityData!F4*(1+TAXRATE),0)</f>
        <v>0</v>
      </c>
      <c r="P167" s="14" t="n">
        <f aca="false">IF($A167="",0,IFERROR(VLOOKUP((YEAR($A167)+IF(MONTH($A167)&gt;=10,1,0))&amp;"|Chicago|"&amp;MONTH($A167),Rates!$A$2:$I$181,5,FALSE()),0))</f>
        <v>0</v>
      </c>
      <c r="Q167" s="14" t="n">
        <f aca="false">IF(OR($A167="",$A167&gt;=Parameters!$B$14),1,IF(AND(P167&gt;0,CityData!F4&lt;=P167),1,0))</f>
        <v>1</v>
      </c>
      <c r="R167" s="14" t="n">
        <f aca="false">IF($A167="",0,IFERROR(VLOOKUP((YEAR($A167)+IF(MONTH($A167)&gt;=10,1,0))&amp;"|Denver|"&amp;MONTH($A167),Rates!$A$2:$I$181,6,FALSE()),0))</f>
        <v>0</v>
      </c>
      <c r="S167" s="14" t="n">
        <f aca="false">IF(R167=0,0,VLOOKUP(R167,MIE_Components!$A$2:$F$6,2,FALSE()))</f>
        <v>0</v>
      </c>
      <c r="T167" s="14" t="n">
        <f aca="false">IF(R167=0,0,VLOOKUP(R167,MIE_Components!$A$2:$F$6,3,FALSE()))</f>
        <v>0</v>
      </c>
      <c r="U167" s="14" t="n">
        <f aca="false">IF(R167=0,0,VLOOKUP(R167,MIE_Components!$A$2:$F$6,4,FALSE()))</f>
        <v>0</v>
      </c>
      <c r="V167" s="14" t="n">
        <f aca="false">IF(OR($A167="",R167=0),0,MAX(5,R167*IF(OR($A167=Parameters!$B$13,$A167=Parameters!$B$14),0.75,1)-(IF(AND($A167=DATE(2026,11,29),NOV29BF="Yes"),S167,0)+IF(OR($A167=DATE(2026,11,29),$A167=DATE(2026,11,30),$A167=DATE(2026,12,1),$A167=DATE(2026,12,2)),T167,0)+IF(OR($A167=DATE(2026,11,28),$A167=DATE(2026,12,1)),U167,0))))</f>
        <v>0</v>
      </c>
      <c r="W167" s="14" t="n">
        <f aca="false">IF(AND($A167&lt;&gt;"",$A167&lt;Parameters!$B$14),CityData!F5*(1+TAXRATE),0)</f>
        <v>0</v>
      </c>
      <c r="X167" s="14" t="n">
        <f aca="false">IF($A167="",0,IFERROR(VLOOKUP((YEAR($A167)+IF(MONTH($A167)&gt;=10,1,0))&amp;"|Denver|"&amp;MONTH($A167),Rates!$A$2:$I$181,5,FALSE()),0))</f>
        <v>0</v>
      </c>
      <c r="Y167" s="14" t="n">
        <f aca="false">IF(OR($A167="",$A167&gt;=Parameters!$B$14),1,IF(AND(X167&gt;0,CityData!F5&lt;=X167),1,0))</f>
        <v>1</v>
      </c>
      <c r="Z167" s="14" t="n">
        <f aca="false">IF($A167="",0,IFERROR(VLOOKUP((YEAR($A167)+IF(MONTH($A167)&gt;=10,1,0))&amp;"|Phoenix|"&amp;MONTH($A167),Rates!$A$2:$I$181,6,FALSE()),0))</f>
        <v>0</v>
      </c>
      <c r="AA167" s="14" t="n">
        <f aca="false">IF(Z167=0,0,VLOOKUP(Z167,MIE_Components!$A$2:$F$6,2,FALSE()))</f>
        <v>0</v>
      </c>
      <c r="AB167" s="14" t="n">
        <f aca="false">IF(Z167=0,0,VLOOKUP(Z167,MIE_Components!$A$2:$F$6,3,FALSE()))</f>
        <v>0</v>
      </c>
      <c r="AC167" s="14" t="n">
        <f aca="false">IF(Z167=0,0,VLOOKUP(Z167,MIE_Components!$A$2:$F$6,4,FALSE()))</f>
        <v>0</v>
      </c>
      <c r="AD167" s="14" t="n">
        <f aca="false">IF(OR($A167="",Z167=0),0,MAX(5,Z167*IF(OR($A167=Parameters!$B$13,$A167=Parameters!$B$14),0.75,1)-(IF(AND($A167=DATE(2026,11,29),NOV29BF="Yes"),AA167,0)+IF(OR($A167=DATE(2026,11,29),$A167=DATE(2026,11,30),$A167=DATE(2026,12,1),$A167=DATE(2026,12,2)),AB167,0)+IF(OR($A167=DATE(2026,11,28),$A167=DATE(2026,12,1)),AC167,0))))</f>
        <v>0</v>
      </c>
      <c r="AE167" s="14" t="n">
        <f aca="false">IF(AND($A167&lt;&gt;"",$A167&lt;Parameters!$B$14),CityData!F6*(1+TAXRATE),0)</f>
        <v>0</v>
      </c>
      <c r="AF167" s="14" t="n">
        <f aca="false">IF($A167="",0,IFERROR(VLOOKUP((YEAR($A167)+IF(MONTH($A167)&gt;=10,1,0))&amp;"|Phoenix|"&amp;MONTH($A167),Rates!$A$2:$I$181,5,FALSE()),0))</f>
        <v>0</v>
      </c>
      <c r="AG167" s="14" t="n">
        <f aca="false">IF(OR($A167="",$A167&gt;=Parameters!$B$14),1,IF(AND(AF167&gt;0,CityData!F6&lt;=AF167),1,0))</f>
        <v>1</v>
      </c>
      <c r="AH167" s="14" t="n">
        <f aca="false">IF($A167="",0,IFERROR(VLOOKUP((YEAR($A167)+IF(MONTH($A167)&gt;=10,1,0))&amp;"|Seattle|"&amp;MONTH($A167),Rates!$A$2:$I$181,6,FALSE()),0))</f>
        <v>0</v>
      </c>
      <c r="AI167" s="14" t="n">
        <f aca="false">IF(AH167=0,0,VLOOKUP(AH167,MIE_Components!$A$2:$F$6,2,FALSE()))</f>
        <v>0</v>
      </c>
      <c r="AJ167" s="14" t="n">
        <f aca="false">IF(AH167=0,0,VLOOKUP(AH167,MIE_Components!$A$2:$F$6,3,FALSE()))</f>
        <v>0</v>
      </c>
      <c r="AK167" s="14" t="n">
        <f aca="false">IF(AH167=0,0,VLOOKUP(AH167,MIE_Components!$A$2:$F$6,4,FALSE()))</f>
        <v>0</v>
      </c>
      <c r="AL167" s="14" t="n">
        <f aca="false">IF(OR($A167="",AH167=0),0,MAX(5,AH167*IF(OR($A167=Parameters!$B$13,$A167=Parameters!$B$14),0.75,1)-(IF(AND($A167=DATE(2026,11,29),NOV29BF="Yes"),AI167,0)+IF(OR($A167=DATE(2026,11,29),$A167=DATE(2026,11,30),$A167=DATE(2026,12,1),$A167=DATE(2026,12,2)),AJ167,0)+IF(OR($A167=DATE(2026,11,28),$A167=DATE(2026,12,1)),AK167,0))))</f>
        <v>0</v>
      </c>
      <c r="AM167" s="14" t="n">
        <f aca="false">IF(AND($A167&lt;&gt;"",$A167&lt;Parameters!$B$14),CityData!F7*(1+TAXRATE),0)</f>
        <v>0</v>
      </c>
      <c r="AN167" s="14" t="n">
        <f aca="false">IF($A167="",0,IFERROR(VLOOKUP((YEAR($A167)+IF(MONTH($A167)&gt;=10,1,0))&amp;"|Seattle|"&amp;MONTH($A167),Rates!$A$2:$I$181,5,FALSE()),0))</f>
        <v>0</v>
      </c>
      <c r="AO167" s="14" t="n">
        <f aca="false">IF(OR($A167="",$A167&gt;=Parameters!$B$14),1,IF(AND(AN167&gt;0,CityData!F7&lt;=AN167),1,0))</f>
        <v>1</v>
      </c>
    </row>
    <row r="168" customFormat="false" ht="15" hidden="false" customHeight="true" outlineLevel="0" collapsed="false">
      <c r="A168" s="23" t="str">
        <f aca="false">IF(AND(Parameters!$B$14&gt;=Parameters!$B$13,ROW()-2&lt;=Parameters!$B$14-Parameters!$B$13),Parameters!$B$13+ROW()-2,"")</f>
        <v/>
      </c>
      <c r="B168" s="14" t="n">
        <f aca="false">IF($A168="",0,IFERROR(VLOOKUP((YEAR($A168)+IF(MONTH($A168)&gt;=10,1,0))&amp;"|Boston|"&amp;MONTH($A168),Rates!$A$2:$I$181,6,FALSE()),0))</f>
        <v>0</v>
      </c>
      <c r="C168" s="14" t="n">
        <f aca="false">IF(B168=0,0,VLOOKUP(B168,MIE_Components!$A$2:$F$6,2,FALSE()))</f>
        <v>0</v>
      </c>
      <c r="D168" s="14" t="n">
        <f aca="false">IF(B168=0,0,VLOOKUP(B168,MIE_Components!$A$2:$F$6,3,FALSE()))</f>
        <v>0</v>
      </c>
      <c r="E168" s="14" t="n">
        <f aca="false">IF(B168=0,0,VLOOKUP(B168,MIE_Components!$A$2:$F$6,4,FALSE()))</f>
        <v>0</v>
      </c>
      <c r="F168" s="14" t="n">
        <f aca="false">IF(OR($A168="",B168=0),0,MAX(5,B168*IF(OR($A168=Parameters!$B$13,$A168=Parameters!$B$14),0.75,1)-(IF(AND($A168=DATE(2026,11,29),NOV29BF="Yes"),C168,0)+IF(OR($A168=DATE(2026,11,29),$A168=DATE(2026,11,30),$A168=DATE(2026,12,1),$A168=DATE(2026,12,2)),D168,0)+IF(OR($A168=DATE(2026,11,28),$A168=DATE(2026,12,1)),E168,0))))</f>
        <v>0</v>
      </c>
      <c r="G168" s="14" t="n">
        <f aca="false">IF(AND($A168&lt;&gt;"",$A168&lt;Parameters!$B$14),CityData!F3*(1+TAXRATE),0)</f>
        <v>0</v>
      </c>
      <c r="H168" s="14" t="n">
        <f aca="false">IF($A168="",0,IFERROR(VLOOKUP((YEAR($A168)+IF(MONTH($A168)&gt;=10,1,0))&amp;"|Boston|"&amp;MONTH($A168),Rates!$A$2:$I$181,5,FALSE()),0))</f>
        <v>0</v>
      </c>
      <c r="I168" s="14" t="n">
        <f aca="false">IF(OR($A168="",$A168&gt;=Parameters!$B$14),1,IF(AND(H168&gt;0,CityData!F3&lt;=H168),1,0))</f>
        <v>1</v>
      </c>
      <c r="J168" s="14" t="n">
        <f aca="false">IF($A168="",0,IFERROR(VLOOKUP((YEAR($A168)+IF(MONTH($A168)&gt;=10,1,0))&amp;"|Chicago|"&amp;MONTH($A168),Rates!$A$2:$I$181,6,FALSE()),0))</f>
        <v>0</v>
      </c>
      <c r="K168" s="14" t="n">
        <f aca="false">IF(J168=0,0,VLOOKUP(J168,MIE_Components!$A$2:$F$6,2,FALSE()))</f>
        <v>0</v>
      </c>
      <c r="L168" s="14" t="n">
        <f aca="false">IF(J168=0,0,VLOOKUP(J168,MIE_Components!$A$2:$F$6,3,FALSE()))</f>
        <v>0</v>
      </c>
      <c r="M168" s="14" t="n">
        <f aca="false">IF(J168=0,0,VLOOKUP(J168,MIE_Components!$A$2:$F$6,4,FALSE()))</f>
        <v>0</v>
      </c>
      <c r="N168" s="14" t="n">
        <f aca="false">IF(OR($A168="",J168=0),0,MAX(5,J168*IF(OR($A168=Parameters!$B$13,$A168=Parameters!$B$14),0.75,1)-(IF(AND($A168=DATE(2026,11,29),NOV29BF="Yes"),K168,0)+IF(OR($A168=DATE(2026,11,29),$A168=DATE(2026,11,30),$A168=DATE(2026,12,1),$A168=DATE(2026,12,2)),L168,0)+IF(OR($A168=DATE(2026,11,28),$A168=DATE(2026,12,1)),M168,0))))</f>
        <v>0</v>
      </c>
      <c r="O168" s="14" t="n">
        <f aca="false">IF(AND($A168&lt;&gt;"",$A168&lt;Parameters!$B$14),CityData!F4*(1+TAXRATE),0)</f>
        <v>0</v>
      </c>
      <c r="P168" s="14" t="n">
        <f aca="false">IF($A168="",0,IFERROR(VLOOKUP((YEAR($A168)+IF(MONTH($A168)&gt;=10,1,0))&amp;"|Chicago|"&amp;MONTH($A168),Rates!$A$2:$I$181,5,FALSE()),0))</f>
        <v>0</v>
      </c>
      <c r="Q168" s="14" t="n">
        <f aca="false">IF(OR($A168="",$A168&gt;=Parameters!$B$14),1,IF(AND(P168&gt;0,CityData!F4&lt;=P168),1,0))</f>
        <v>1</v>
      </c>
      <c r="R168" s="14" t="n">
        <f aca="false">IF($A168="",0,IFERROR(VLOOKUP((YEAR($A168)+IF(MONTH($A168)&gt;=10,1,0))&amp;"|Denver|"&amp;MONTH($A168),Rates!$A$2:$I$181,6,FALSE()),0))</f>
        <v>0</v>
      </c>
      <c r="S168" s="14" t="n">
        <f aca="false">IF(R168=0,0,VLOOKUP(R168,MIE_Components!$A$2:$F$6,2,FALSE()))</f>
        <v>0</v>
      </c>
      <c r="T168" s="14" t="n">
        <f aca="false">IF(R168=0,0,VLOOKUP(R168,MIE_Components!$A$2:$F$6,3,FALSE()))</f>
        <v>0</v>
      </c>
      <c r="U168" s="14" t="n">
        <f aca="false">IF(R168=0,0,VLOOKUP(R168,MIE_Components!$A$2:$F$6,4,FALSE()))</f>
        <v>0</v>
      </c>
      <c r="V168" s="14" t="n">
        <f aca="false">IF(OR($A168="",R168=0),0,MAX(5,R168*IF(OR($A168=Parameters!$B$13,$A168=Parameters!$B$14),0.75,1)-(IF(AND($A168=DATE(2026,11,29),NOV29BF="Yes"),S168,0)+IF(OR($A168=DATE(2026,11,29),$A168=DATE(2026,11,30),$A168=DATE(2026,12,1),$A168=DATE(2026,12,2)),T168,0)+IF(OR($A168=DATE(2026,11,28),$A168=DATE(2026,12,1)),U168,0))))</f>
        <v>0</v>
      </c>
      <c r="W168" s="14" t="n">
        <f aca="false">IF(AND($A168&lt;&gt;"",$A168&lt;Parameters!$B$14),CityData!F5*(1+TAXRATE),0)</f>
        <v>0</v>
      </c>
      <c r="X168" s="14" t="n">
        <f aca="false">IF($A168="",0,IFERROR(VLOOKUP((YEAR($A168)+IF(MONTH($A168)&gt;=10,1,0))&amp;"|Denver|"&amp;MONTH($A168),Rates!$A$2:$I$181,5,FALSE()),0))</f>
        <v>0</v>
      </c>
      <c r="Y168" s="14" t="n">
        <f aca="false">IF(OR($A168="",$A168&gt;=Parameters!$B$14),1,IF(AND(X168&gt;0,CityData!F5&lt;=X168),1,0))</f>
        <v>1</v>
      </c>
      <c r="Z168" s="14" t="n">
        <f aca="false">IF($A168="",0,IFERROR(VLOOKUP((YEAR($A168)+IF(MONTH($A168)&gt;=10,1,0))&amp;"|Phoenix|"&amp;MONTH($A168),Rates!$A$2:$I$181,6,FALSE()),0))</f>
        <v>0</v>
      </c>
      <c r="AA168" s="14" t="n">
        <f aca="false">IF(Z168=0,0,VLOOKUP(Z168,MIE_Components!$A$2:$F$6,2,FALSE()))</f>
        <v>0</v>
      </c>
      <c r="AB168" s="14" t="n">
        <f aca="false">IF(Z168=0,0,VLOOKUP(Z168,MIE_Components!$A$2:$F$6,3,FALSE()))</f>
        <v>0</v>
      </c>
      <c r="AC168" s="14" t="n">
        <f aca="false">IF(Z168=0,0,VLOOKUP(Z168,MIE_Components!$A$2:$F$6,4,FALSE()))</f>
        <v>0</v>
      </c>
      <c r="AD168" s="14" t="n">
        <f aca="false">IF(OR($A168="",Z168=0),0,MAX(5,Z168*IF(OR($A168=Parameters!$B$13,$A168=Parameters!$B$14),0.75,1)-(IF(AND($A168=DATE(2026,11,29),NOV29BF="Yes"),AA168,0)+IF(OR($A168=DATE(2026,11,29),$A168=DATE(2026,11,30),$A168=DATE(2026,12,1),$A168=DATE(2026,12,2)),AB168,0)+IF(OR($A168=DATE(2026,11,28),$A168=DATE(2026,12,1)),AC168,0))))</f>
        <v>0</v>
      </c>
      <c r="AE168" s="14" t="n">
        <f aca="false">IF(AND($A168&lt;&gt;"",$A168&lt;Parameters!$B$14),CityData!F6*(1+TAXRATE),0)</f>
        <v>0</v>
      </c>
      <c r="AF168" s="14" t="n">
        <f aca="false">IF($A168="",0,IFERROR(VLOOKUP((YEAR($A168)+IF(MONTH($A168)&gt;=10,1,0))&amp;"|Phoenix|"&amp;MONTH($A168),Rates!$A$2:$I$181,5,FALSE()),0))</f>
        <v>0</v>
      </c>
      <c r="AG168" s="14" t="n">
        <f aca="false">IF(OR($A168="",$A168&gt;=Parameters!$B$14),1,IF(AND(AF168&gt;0,CityData!F6&lt;=AF168),1,0))</f>
        <v>1</v>
      </c>
      <c r="AH168" s="14" t="n">
        <f aca="false">IF($A168="",0,IFERROR(VLOOKUP((YEAR($A168)+IF(MONTH($A168)&gt;=10,1,0))&amp;"|Seattle|"&amp;MONTH($A168),Rates!$A$2:$I$181,6,FALSE()),0))</f>
        <v>0</v>
      </c>
      <c r="AI168" s="14" t="n">
        <f aca="false">IF(AH168=0,0,VLOOKUP(AH168,MIE_Components!$A$2:$F$6,2,FALSE()))</f>
        <v>0</v>
      </c>
      <c r="AJ168" s="14" t="n">
        <f aca="false">IF(AH168=0,0,VLOOKUP(AH168,MIE_Components!$A$2:$F$6,3,FALSE()))</f>
        <v>0</v>
      </c>
      <c r="AK168" s="14" t="n">
        <f aca="false">IF(AH168=0,0,VLOOKUP(AH168,MIE_Components!$A$2:$F$6,4,FALSE()))</f>
        <v>0</v>
      </c>
      <c r="AL168" s="14" t="n">
        <f aca="false">IF(OR($A168="",AH168=0),0,MAX(5,AH168*IF(OR($A168=Parameters!$B$13,$A168=Parameters!$B$14),0.75,1)-(IF(AND($A168=DATE(2026,11,29),NOV29BF="Yes"),AI168,0)+IF(OR($A168=DATE(2026,11,29),$A168=DATE(2026,11,30),$A168=DATE(2026,12,1),$A168=DATE(2026,12,2)),AJ168,0)+IF(OR($A168=DATE(2026,11,28),$A168=DATE(2026,12,1)),AK168,0))))</f>
        <v>0</v>
      </c>
      <c r="AM168" s="14" t="n">
        <f aca="false">IF(AND($A168&lt;&gt;"",$A168&lt;Parameters!$B$14),CityData!F7*(1+TAXRATE),0)</f>
        <v>0</v>
      </c>
      <c r="AN168" s="14" t="n">
        <f aca="false">IF($A168="",0,IFERROR(VLOOKUP((YEAR($A168)+IF(MONTH($A168)&gt;=10,1,0))&amp;"|Seattle|"&amp;MONTH($A168),Rates!$A$2:$I$181,5,FALSE()),0))</f>
        <v>0</v>
      </c>
      <c r="AO168" s="14" t="n">
        <f aca="false">IF(OR($A168="",$A168&gt;=Parameters!$B$14),1,IF(AND(AN168&gt;0,CityData!F7&lt;=AN168),1,0))</f>
        <v>1</v>
      </c>
    </row>
    <row r="169" customFormat="false" ht="15" hidden="false" customHeight="true" outlineLevel="0" collapsed="false">
      <c r="A169" s="23" t="str">
        <f aca="false">IF(AND(Parameters!$B$14&gt;=Parameters!$B$13,ROW()-2&lt;=Parameters!$B$14-Parameters!$B$13),Parameters!$B$13+ROW()-2,"")</f>
        <v/>
      </c>
      <c r="B169" s="14" t="n">
        <f aca="false">IF($A169="",0,IFERROR(VLOOKUP((YEAR($A169)+IF(MONTH($A169)&gt;=10,1,0))&amp;"|Boston|"&amp;MONTH($A169),Rates!$A$2:$I$181,6,FALSE()),0))</f>
        <v>0</v>
      </c>
      <c r="C169" s="14" t="n">
        <f aca="false">IF(B169=0,0,VLOOKUP(B169,MIE_Components!$A$2:$F$6,2,FALSE()))</f>
        <v>0</v>
      </c>
      <c r="D169" s="14" t="n">
        <f aca="false">IF(B169=0,0,VLOOKUP(B169,MIE_Components!$A$2:$F$6,3,FALSE()))</f>
        <v>0</v>
      </c>
      <c r="E169" s="14" t="n">
        <f aca="false">IF(B169=0,0,VLOOKUP(B169,MIE_Components!$A$2:$F$6,4,FALSE()))</f>
        <v>0</v>
      </c>
      <c r="F169" s="14" t="n">
        <f aca="false">IF(OR($A169="",B169=0),0,MAX(5,B169*IF(OR($A169=Parameters!$B$13,$A169=Parameters!$B$14),0.75,1)-(IF(AND($A169=DATE(2026,11,29),NOV29BF="Yes"),C169,0)+IF(OR($A169=DATE(2026,11,29),$A169=DATE(2026,11,30),$A169=DATE(2026,12,1),$A169=DATE(2026,12,2)),D169,0)+IF(OR($A169=DATE(2026,11,28),$A169=DATE(2026,12,1)),E169,0))))</f>
        <v>0</v>
      </c>
      <c r="G169" s="14" t="n">
        <f aca="false">IF(AND($A169&lt;&gt;"",$A169&lt;Parameters!$B$14),CityData!F3*(1+TAXRATE),0)</f>
        <v>0</v>
      </c>
      <c r="H169" s="14" t="n">
        <f aca="false">IF($A169="",0,IFERROR(VLOOKUP((YEAR($A169)+IF(MONTH($A169)&gt;=10,1,0))&amp;"|Boston|"&amp;MONTH($A169),Rates!$A$2:$I$181,5,FALSE()),0))</f>
        <v>0</v>
      </c>
      <c r="I169" s="14" t="n">
        <f aca="false">IF(OR($A169="",$A169&gt;=Parameters!$B$14),1,IF(AND(H169&gt;0,CityData!F3&lt;=H169),1,0))</f>
        <v>1</v>
      </c>
      <c r="J169" s="14" t="n">
        <f aca="false">IF($A169="",0,IFERROR(VLOOKUP((YEAR($A169)+IF(MONTH($A169)&gt;=10,1,0))&amp;"|Chicago|"&amp;MONTH($A169),Rates!$A$2:$I$181,6,FALSE()),0))</f>
        <v>0</v>
      </c>
      <c r="K169" s="14" t="n">
        <f aca="false">IF(J169=0,0,VLOOKUP(J169,MIE_Components!$A$2:$F$6,2,FALSE()))</f>
        <v>0</v>
      </c>
      <c r="L169" s="14" t="n">
        <f aca="false">IF(J169=0,0,VLOOKUP(J169,MIE_Components!$A$2:$F$6,3,FALSE()))</f>
        <v>0</v>
      </c>
      <c r="M169" s="14" t="n">
        <f aca="false">IF(J169=0,0,VLOOKUP(J169,MIE_Components!$A$2:$F$6,4,FALSE()))</f>
        <v>0</v>
      </c>
      <c r="N169" s="14" t="n">
        <f aca="false">IF(OR($A169="",J169=0),0,MAX(5,J169*IF(OR($A169=Parameters!$B$13,$A169=Parameters!$B$14),0.75,1)-(IF(AND($A169=DATE(2026,11,29),NOV29BF="Yes"),K169,0)+IF(OR($A169=DATE(2026,11,29),$A169=DATE(2026,11,30),$A169=DATE(2026,12,1),$A169=DATE(2026,12,2)),L169,0)+IF(OR($A169=DATE(2026,11,28),$A169=DATE(2026,12,1)),M169,0))))</f>
        <v>0</v>
      </c>
      <c r="O169" s="14" t="n">
        <f aca="false">IF(AND($A169&lt;&gt;"",$A169&lt;Parameters!$B$14),CityData!F4*(1+TAXRATE),0)</f>
        <v>0</v>
      </c>
      <c r="P169" s="14" t="n">
        <f aca="false">IF($A169="",0,IFERROR(VLOOKUP((YEAR($A169)+IF(MONTH($A169)&gt;=10,1,0))&amp;"|Chicago|"&amp;MONTH($A169),Rates!$A$2:$I$181,5,FALSE()),0))</f>
        <v>0</v>
      </c>
      <c r="Q169" s="14" t="n">
        <f aca="false">IF(OR($A169="",$A169&gt;=Parameters!$B$14),1,IF(AND(P169&gt;0,CityData!F4&lt;=P169),1,0))</f>
        <v>1</v>
      </c>
      <c r="R169" s="14" t="n">
        <f aca="false">IF($A169="",0,IFERROR(VLOOKUP((YEAR($A169)+IF(MONTH($A169)&gt;=10,1,0))&amp;"|Denver|"&amp;MONTH($A169),Rates!$A$2:$I$181,6,FALSE()),0))</f>
        <v>0</v>
      </c>
      <c r="S169" s="14" t="n">
        <f aca="false">IF(R169=0,0,VLOOKUP(R169,MIE_Components!$A$2:$F$6,2,FALSE()))</f>
        <v>0</v>
      </c>
      <c r="T169" s="14" t="n">
        <f aca="false">IF(R169=0,0,VLOOKUP(R169,MIE_Components!$A$2:$F$6,3,FALSE()))</f>
        <v>0</v>
      </c>
      <c r="U169" s="14" t="n">
        <f aca="false">IF(R169=0,0,VLOOKUP(R169,MIE_Components!$A$2:$F$6,4,FALSE()))</f>
        <v>0</v>
      </c>
      <c r="V169" s="14" t="n">
        <f aca="false">IF(OR($A169="",R169=0),0,MAX(5,R169*IF(OR($A169=Parameters!$B$13,$A169=Parameters!$B$14),0.75,1)-(IF(AND($A169=DATE(2026,11,29),NOV29BF="Yes"),S169,0)+IF(OR($A169=DATE(2026,11,29),$A169=DATE(2026,11,30),$A169=DATE(2026,12,1),$A169=DATE(2026,12,2)),T169,0)+IF(OR($A169=DATE(2026,11,28),$A169=DATE(2026,12,1)),U169,0))))</f>
        <v>0</v>
      </c>
      <c r="W169" s="14" t="n">
        <f aca="false">IF(AND($A169&lt;&gt;"",$A169&lt;Parameters!$B$14),CityData!F5*(1+TAXRATE),0)</f>
        <v>0</v>
      </c>
      <c r="X169" s="14" t="n">
        <f aca="false">IF($A169="",0,IFERROR(VLOOKUP((YEAR($A169)+IF(MONTH($A169)&gt;=10,1,0))&amp;"|Denver|"&amp;MONTH($A169),Rates!$A$2:$I$181,5,FALSE()),0))</f>
        <v>0</v>
      </c>
      <c r="Y169" s="14" t="n">
        <f aca="false">IF(OR($A169="",$A169&gt;=Parameters!$B$14),1,IF(AND(X169&gt;0,CityData!F5&lt;=X169),1,0))</f>
        <v>1</v>
      </c>
      <c r="Z169" s="14" t="n">
        <f aca="false">IF($A169="",0,IFERROR(VLOOKUP((YEAR($A169)+IF(MONTH($A169)&gt;=10,1,0))&amp;"|Phoenix|"&amp;MONTH($A169),Rates!$A$2:$I$181,6,FALSE()),0))</f>
        <v>0</v>
      </c>
      <c r="AA169" s="14" t="n">
        <f aca="false">IF(Z169=0,0,VLOOKUP(Z169,MIE_Components!$A$2:$F$6,2,FALSE()))</f>
        <v>0</v>
      </c>
      <c r="AB169" s="14" t="n">
        <f aca="false">IF(Z169=0,0,VLOOKUP(Z169,MIE_Components!$A$2:$F$6,3,FALSE()))</f>
        <v>0</v>
      </c>
      <c r="AC169" s="14" t="n">
        <f aca="false">IF(Z169=0,0,VLOOKUP(Z169,MIE_Components!$A$2:$F$6,4,FALSE()))</f>
        <v>0</v>
      </c>
      <c r="AD169" s="14" t="n">
        <f aca="false">IF(OR($A169="",Z169=0),0,MAX(5,Z169*IF(OR($A169=Parameters!$B$13,$A169=Parameters!$B$14),0.75,1)-(IF(AND($A169=DATE(2026,11,29),NOV29BF="Yes"),AA169,0)+IF(OR($A169=DATE(2026,11,29),$A169=DATE(2026,11,30),$A169=DATE(2026,12,1),$A169=DATE(2026,12,2)),AB169,0)+IF(OR($A169=DATE(2026,11,28),$A169=DATE(2026,12,1)),AC169,0))))</f>
        <v>0</v>
      </c>
      <c r="AE169" s="14" t="n">
        <f aca="false">IF(AND($A169&lt;&gt;"",$A169&lt;Parameters!$B$14),CityData!F6*(1+TAXRATE),0)</f>
        <v>0</v>
      </c>
      <c r="AF169" s="14" t="n">
        <f aca="false">IF($A169="",0,IFERROR(VLOOKUP((YEAR($A169)+IF(MONTH($A169)&gt;=10,1,0))&amp;"|Phoenix|"&amp;MONTH($A169),Rates!$A$2:$I$181,5,FALSE()),0))</f>
        <v>0</v>
      </c>
      <c r="AG169" s="14" t="n">
        <f aca="false">IF(OR($A169="",$A169&gt;=Parameters!$B$14),1,IF(AND(AF169&gt;0,CityData!F6&lt;=AF169),1,0))</f>
        <v>1</v>
      </c>
      <c r="AH169" s="14" t="n">
        <f aca="false">IF($A169="",0,IFERROR(VLOOKUP((YEAR($A169)+IF(MONTH($A169)&gt;=10,1,0))&amp;"|Seattle|"&amp;MONTH($A169),Rates!$A$2:$I$181,6,FALSE()),0))</f>
        <v>0</v>
      </c>
      <c r="AI169" s="14" t="n">
        <f aca="false">IF(AH169=0,0,VLOOKUP(AH169,MIE_Components!$A$2:$F$6,2,FALSE()))</f>
        <v>0</v>
      </c>
      <c r="AJ169" s="14" t="n">
        <f aca="false">IF(AH169=0,0,VLOOKUP(AH169,MIE_Components!$A$2:$F$6,3,FALSE()))</f>
        <v>0</v>
      </c>
      <c r="AK169" s="14" t="n">
        <f aca="false">IF(AH169=0,0,VLOOKUP(AH169,MIE_Components!$A$2:$F$6,4,FALSE()))</f>
        <v>0</v>
      </c>
      <c r="AL169" s="14" t="n">
        <f aca="false">IF(OR($A169="",AH169=0),0,MAX(5,AH169*IF(OR($A169=Parameters!$B$13,$A169=Parameters!$B$14),0.75,1)-(IF(AND($A169=DATE(2026,11,29),NOV29BF="Yes"),AI169,0)+IF(OR($A169=DATE(2026,11,29),$A169=DATE(2026,11,30),$A169=DATE(2026,12,1),$A169=DATE(2026,12,2)),AJ169,0)+IF(OR($A169=DATE(2026,11,28),$A169=DATE(2026,12,1)),AK169,0))))</f>
        <v>0</v>
      </c>
      <c r="AM169" s="14" t="n">
        <f aca="false">IF(AND($A169&lt;&gt;"",$A169&lt;Parameters!$B$14),CityData!F7*(1+TAXRATE),0)</f>
        <v>0</v>
      </c>
      <c r="AN169" s="14" t="n">
        <f aca="false">IF($A169="",0,IFERROR(VLOOKUP((YEAR($A169)+IF(MONTH($A169)&gt;=10,1,0))&amp;"|Seattle|"&amp;MONTH($A169),Rates!$A$2:$I$181,5,FALSE()),0))</f>
        <v>0</v>
      </c>
      <c r="AO169" s="14" t="n">
        <f aca="false">IF(OR($A169="",$A169&gt;=Parameters!$B$14),1,IF(AND(AN169&gt;0,CityData!F7&lt;=AN169),1,0))</f>
        <v>1</v>
      </c>
    </row>
    <row r="170" customFormat="false" ht="15" hidden="false" customHeight="true" outlineLevel="0" collapsed="false">
      <c r="A170" s="23" t="str">
        <f aca="false">IF(AND(Parameters!$B$14&gt;=Parameters!$B$13,ROW()-2&lt;=Parameters!$B$14-Parameters!$B$13),Parameters!$B$13+ROW()-2,"")</f>
        <v/>
      </c>
      <c r="B170" s="14" t="n">
        <f aca="false">IF($A170="",0,IFERROR(VLOOKUP((YEAR($A170)+IF(MONTH($A170)&gt;=10,1,0))&amp;"|Boston|"&amp;MONTH($A170),Rates!$A$2:$I$181,6,FALSE()),0))</f>
        <v>0</v>
      </c>
      <c r="C170" s="14" t="n">
        <f aca="false">IF(B170=0,0,VLOOKUP(B170,MIE_Components!$A$2:$F$6,2,FALSE()))</f>
        <v>0</v>
      </c>
      <c r="D170" s="14" t="n">
        <f aca="false">IF(B170=0,0,VLOOKUP(B170,MIE_Components!$A$2:$F$6,3,FALSE()))</f>
        <v>0</v>
      </c>
      <c r="E170" s="14" t="n">
        <f aca="false">IF(B170=0,0,VLOOKUP(B170,MIE_Components!$A$2:$F$6,4,FALSE()))</f>
        <v>0</v>
      </c>
      <c r="F170" s="14" t="n">
        <f aca="false">IF(OR($A170="",B170=0),0,MAX(5,B170*IF(OR($A170=Parameters!$B$13,$A170=Parameters!$B$14),0.75,1)-(IF(AND($A170=DATE(2026,11,29),NOV29BF="Yes"),C170,0)+IF(OR($A170=DATE(2026,11,29),$A170=DATE(2026,11,30),$A170=DATE(2026,12,1),$A170=DATE(2026,12,2)),D170,0)+IF(OR($A170=DATE(2026,11,28),$A170=DATE(2026,12,1)),E170,0))))</f>
        <v>0</v>
      </c>
      <c r="G170" s="14" t="n">
        <f aca="false">IF(AND($A170&lt;&gt;"",$A170&lt;Parameters!$B$14),CityData!F3*(1+TAXRATE),0)</f>
        <v>0</v>
      </c>
      <c r="H170" s="14" t="n">
        <f aca="false">IF($A170="",0,IFERROR(VLOOKUP((YEAR($A170)+IF(MONTH($A170)&gt;=10,1,0))&amp;"|Boston|"&amp;MONTH($A170),Rates!$A$2:$I$181,5,FALSE()),0))</f>
        <v>0</v>
      </c>
      <c r="I170" s="14" t="n">
        <f aca="false">IF(OR($A170="",$A170&gt;=Parameters!$B$14),1,IF(AND(H170&gt;0,CityData!F3&lt;=H170),1,0))</f>
        <v>1</v>
      </c>
      <c r="J170" s="14" t="n">
        <f aca="false">IF($A170="",0,IFERROR(VLOOKUP((YEAR($A170)+IF(MONTH($A170)&gt;=10,1,0))&amp;"|Chicago|"&amp;MONTH($A170),Rates!$A$2:$I$181,6,FALSE()),0))</f>
        <v>0</v>
      </c>
      <c r="K170" s="14" t="n">
        <f aca="false">IF(J170=0,0,VLOOKUP(J170,MIE_Components!$A$2:$F$6,2,FALSE()))</f>
        <v>0</v>
      </c>
      <c r="L170" s="14" t="n">
        <f aca="false">IF(J170=0,0,VLOOKUP(J170,MIE_Components!$A$2:$F$6,3,FALSE()))</f>
        <v>0</v>
      </c>
      <c r="M170" s="14" t="n">
        <f aca="false">IF(J170=0,0,VLOOKUP(J170,MIE_Components!$A$2:$F$6,4,FALSE()))</f>
        <v>0</v>
      </c>
      <c r="N170" s="14" t="n">
        <f aca="false">IF(OR($A170="",J170=0),0,MAX(5,J170*IF(OR($A170=Parameters!$B$13,$A170=Parameters!$B$14),0.75,1)-(IF(AND($A170=DATE(2026,11,29),NOV29BF="Yes"),K170,0)+IF(OR($A170=DATE(2026,11,29),$A170=DATE(2026,11,30),$A170=DATE(2026,12,1),$A170=DATE(2026,12,2)),L170,0)+IF(OR($A170=DATE(2026,11,28),$A170=DATE(2026,12,1)),M170,0))))</f>
        <v>0</v>
      </c>
      <c r="O170" s="14" t="n">
        <f aca="false">IF(AND($A170&lt;&gt;"",$A170&lt;Parameters!$B$14),CityData!F4*(1+TAXRATE),0)</f>
        <v>0</v>
      </c>
      <c r="P170" s="14" t="n">
        <f aca="false">IF($A170="",0,IFERROR(VLOOKUP((YEAR($A170)+IF(MONTH($A170)&gt;=10,1,0))&amp;"|Chicago|"&amp;MONTH($A170),Rates!$A$2:$I$181,5,FALSE()),0))</f>
        <v>0</v>
      </c>
      <c r="Q170" s="14" t="n">
        <f aca="false">IF(OR($A170="",$A170&gt;=Parameters!$B$14),1,IF(AND(P170&gt;0,CityData!F4&lt;=P170),1,0))</f>
        <v>1</v>
      </c>
      <c r="R170" s="14" t="n">
        <f aca="false">IF($A170="",0,IFERROR(VLOOKUP((YEAR($A170)+IF(MONTH($A170)&gt;=10,1,0))&amp;"|Denver|"&amp;MONTH($A170),Rates!$A$2:$I$181,6,FALSE()),0))</f>
        <v>0</v>
      </c>
      <c r="S170" s="14" t="n">
        <f aca="false">IF(R170=0,0,VLOOKUP(R170,MIE_Components!$A$2:$F$6,2,FALSE()))</f>
        <v>0</v>
      </c>
      <c r="T170" s="14" t="n">
        <f aca="false">IF(R170=0,0,VLOOKUP(R170,MIE_Components!$A$2:$F$6,3,FALSE()))</f>
        <v>0</v>
      </c>
      <c r="U170" s="14" t="n">
        <f aca="false">IF(R170=0,0,VLOOKUP(R170,MIE_Components!$A$2:$F$6,4,FALSE()))</f>
        <v>0</v>
      </c>
      <c r="V170" s="14" t="n">
        <f aca="false">IF(OR($A170="",R170=0),0,MAX(5,R170*IF(OR($A170=Parameters!$B$13,$A170=Parameters!$B$14),0.75,1)-(IF(AND($A170=DATE(2026,11,29),NOV29BF="Yes"),S170,0)+IF(OR($A170=DATE(2026,11,29),$A170=DATE(2026,11,30),$A170=DATE(2026,12,1),$A170=DATE(2026,12,2)),T170,0)+IF(OR($A170=DATE(2026,11,28),$A170=DATE(2026,12,1)),U170,0))))</f>
        <v>0</v>
      </c>
      <c r="W170" s="14" t="n">
        <f aca="false">IF(AND($A170&lt;&gt;"",$A170&lt;Parameters!$B$14),CityData!F5*(1+TAXRATE),0)</f>
        <v>0</v>
      </c>
      <c r="X170" s="14" t="n">
        <f aca="false">IF($A170="",0,IFERROR(VLOOKUP((YEAR($A170)+IF(MONTH($A170)&gt;=10,1,0))&amp;"|Denver|"&amp;MONTH($A170),Rates!$A$2:$I$181,5,FALSE()),0))</f>
        <v>0</v>
      </c>
      <c r="Y170" s="14" t="n">
        <f aca="false">IF(OR($A170="",$A170&gt;=Parameters!$B$14),1,IF(AND(X170&gt;0,CityData!F5&lt;=X170),1,0))</f>
        <v>1</v>
      </c>
      <c r="Z170" s="14" t="n">
        <f aca="false">IF($A170="",0,IFERROR(VLOOKUP((YEAR($A170)+IF(MONTH($A170)&gt;=10,1,0))&amp;"|Phoenix|"&amp;MONTH($A170),Rates!$A$2:$I$181,6,FALSE()),0))</f>
        <v>0</v>
      </c>
      <c r="AA170" s="14" t="n">
        <f aca="false">IF(Z170=0,0,VLOOKUP(Z170,MIE_Components!$A$2:$F$6,2,FALSE()))</f>
        <v>0</v>
      </c>
      <c r="AB170" s="14" t="n">
        <f aca="false">IF(Z170=0,0,VLOOKUP(Z170,MIE_Components!$A$2:$F$6,3,FALSE()))</f>
        <v>0</v>
      </c>
      <c r="AC170" s="14" t="n">
        <f aca="false">IF(Z170=0,0,VLOOKUP(Z170,MIE_Components!$A$2:$F$6,4,FALSE()))</f>
        <v>0</v>
      </c>
      <c r="AD170" s="14" t="n">
        <f aca="false">IF(OR($A170="",Z170=0),0,MAX(5,Z170*IF(OR($A170=Parameters!$B$13,$A170=Parameters!$B$14),0.75,1)-(IF(AND($A170=DATE(2026,11,29),NOV29BF="Yes"),AA170,0)+IF(OR($A170=DATE(2026,11,29),$A170=DATE(2026,11,30),$A170=DATE(2026,12,1),$A170=DATE(2026,12,2)),AB170,0)+IF(OR($A170=DATE(2026,11,28),$A170=DATE(2026,12,1)),AC170,0))))</f>
        <v>0</v>
      </c>
      <c r="AE170" s="14" t="n">
        <f aca="false">IF(AND($A170&lt;&gt;"",$A170&lt;Parameters!$B$14),CityData!F6*(1+TAXRATE),0)</f>
        <v>0</v>
      </c>
      <c r="AF170" s="14" t="n">
        <f aca="false">IF($A170="",0,IFERROR(VLOOKUP((YEAR($A170)+IF(MONTH($A170)&gt;=10,1,0))&amp;"|Phoenix|"&amp;MONTH($A170),Rates!$A$2:$I$181,5,FALSE()),0))</f>
        <v>0</v>
      </c>
      <c r="AG170" s="14" t="n">
        <f aca="false">IF(OR($A170="",$A170&gt;=Parameters!$B$14),1,IF(AND(AF170&gt;0,CityData!F6&lt;=AF170),1,0))</f>
        <v>1</v>
      </c>
      <c r="AH170" s="14" t="n">
        <f aca="false">IF($A170="",0,IFERROR(VLOOKUP((YEAR($A170)+IF(MONTH($A170)&gt;=10,1,0))&amp;"|Seattle|"&amp;MONTH($A170),Rates!$A$2:$I$181,6,FALSE()),0))</f>
        <v>0</v>
      </c>
      <c r="AI170" s="14" t="n">
        <f aca="false">IF(AH170=0,0,VLOOKUP(AH170,MIE_Components!$A$2:$F$6,2,FALSE()))</f>
        <v>0</v>
      </c>
      <c r="AJ170" s="14" t="n">
        <f aca="false">IF(AH170=0,0,VLOOKUP(AH170,MIE_Components!$A$2:$F$6,3,FALSE()))</f>
        <v>0</v>
      </c>
      <c r="AK170" s="14" t="n">
        <f aca="false">IF(AH170=0,0,VLOOKUP(AH170,MIE_Components!$A$2:$F$6,4,FALSE()))</f>
        <v>0</v>
      </c>
      <c r="AL170" s="14" t="n">
        <f aca="false">IF(OR($A170="",AH170=0),0,MAX(5,AH170*IF(OR($A170=Parameters!$B$13,$A170=Parameters!$B$14),0.75,1)-(IF(AND($A170=DATE(2026,11,29),NOV29BF="Yes"),AI170,0)+IF(OR($A170=DATE(2026,11,29),$A170=DATE(2026,11,30),$A170=DATE(2026,12,1),$A170=DATE(2026,12,2)),AJ170,0)+IF(OR($A170=DATE(2026,11,28),$A170=DATE(2026,12,1)),AK170,0))))</f>
        <v>0</v>
      </c>
      <c r="AM170" s="14" t="n">
        <f aca="false">IF(AND($A170&lt;&gt;"",$A170&lt;Parameters!$B$14),CityData!F7*(1+TAXRATE),0)</f>
        <v>0</v>
      </c>
      <c r="AN170" s="14" t="n">
        <f aca="false">IF($A170="",0,IFERROR(VLOOKUP((YEAR($A170)+IF(MONTH($A170)&gt;=10,1,0))&amp;"|Seattle|"&amp;MONTH($A170),Rates!$A$2:$I$181,5,FALSE()),0))</f>
        <v>0</v>
      </c>
      <c r="AO170" s="14" t="n">
        <f aca="false">IF(OR($A170="",$A170&gt;=Parameters!$B$14),1,IF(AND(AN170&gt;0,CityData!F7&lt;=AN170),1,0))</f>
        <v>1</v>
      </c>
    </row>
    <row r="171" customFormat="false" ht="15" hidden="false" customHeight="true" outlineLevel="0" collapsed="false">
      <c r="A171" s="23" t="str">
        <f aca="false">IF(AND(Parameters!$B$14&gt;=Parameters!$B$13,ROW()-2&lt;=Parameters!$B$14-Parameters!$B$13),Parameters!$B$13+ROW()-2,"")</f>
        <v/>
      </c>
      <c r="B171" s="14" t="n">
        <f aca="false">IF($A171="",0,IFERROR(VLOOKUP((YEAR($A171)+IF(MONTH($A171)&gt;=10,1,0))&amp;"|Boston|"&amp;MONTH($A171),Rates!$A$2:$I$181,6,FALSE()),0))</f>
        <v>0</v>
      </c>
      <c r="C171" s="14" t="n">
        <f aca="false">IF(B171=0,0,VLOOKUP(B171,MIE_Components!$A$2:$F$6,2,FALSE()))</f>
        <v>0</v>
      </c>
      <c r="D171" s="14" t="n">
        <f aca="false">IF(B171=0,0,VLOOKUP(B171,MIE_Components!$A$2:$F$6,3,FALSE()))</f>
        <v>0</v>
      </c>
      <c r="E171" s="14" t="n">
        <f aca="false">IF(B171=0,0,VLOOKUP(B171,MIE_Components!$A$2:$F$6,4,FALSE()))</f>
        <v>0</v>
      </c>
      <c r="F171" s="14" t="n">
        <f aca="false">IF(OR($A171="",B171=0),0,MAX(5,B171*IF(OR($A171=Parameters!$B$13,$A171=Parameters!$B$14),0.75,1)-(IF(AND($A171=DATE(2026,11,29),NOV29BF="Yes"),C171,0)+IF(OR($A171=DATE(2026,11,29),$A171=DATE(2026,11,30),$A171=DATE(2026,12,1),$A171=DATE(2026,12,2)),D171,0)+IF(OR($A171=DATE(2026,11,28),$A171=DATE(2026,12,1)),E171,0))))</f>
        <v>0</v>
      </c>
      <c r="G171" s="14" t="n">
        <f aca="false">IF(AND($A171&lt;&gt;"",$A171&lt;Parameters!$B$14),CityData!F3*(1+TAXRATE),0)</f>
        <v>0</v>
      </c>
      <c r="H171" s="14" t="n">
        <f aca="false">IF($A171="",0,IFERROR(VLOOKUP((YEAR($A171)+IF(MONTH($A171)&gt;=10,1,0))&amp;"|Boston|"&amp;MONTH($A171),Rates!$A$2:$I$181,5,FALSE()),0))</f>
        <v>0</v>
      </c>
      <c r="I171" s="14" t="n">
        <f aca="false">IF(OR($A171="",$A171&gt;=Parameters!$B$14),1,IF(AND(H171&gt;0,CityData!F3&lt;=H171),1,0))</f>
        <v>1</v>
      </c>
      <c r="J171" s="14" t="n">
        <f aca="false">IF($A171="",0,IFERROR(VLOOKUP((YEAR($A171)+IF(MONTH($A171)&gt;=10,1,0))&amp;"|Chicago|"&amp;MONTH($A171),Rates!$A$2:$I$181,6,FALSE()),0))</f>
        <v>0</v>
      </c>
      <c r="K171" s="14" t="n">
        <f aca="false">IF(J171=0,0,VLOOKUP(J171,MIE_Components!$A$2:$F$6,2,FALSE()))</f>
        <v>0</v>
      </c>
      <c r="L171" s="14" t="n">
        <f aca="false">IF(J171=0,0,VLOOKUP(J171,MIE_Components!$A$2:$F$6,3,FALSE()))</f>
        <v>0</v>
      </c>
      <c r="M171" s="14" t="n">
        <f aca="false">IF(J171=0,0,VLOOKUP(J171,MIE_Components!$A$2:$F$6,4,FALSE()))</f>
        <v>0</v>
      </c>
      <c r="N171" s="14" t="n">
        <f aca="false">IF(OR($A171="",J171=0),0,MAX(5,J171*IF(OR($A171=Parameters!$B$13,$A171=Parameters!$B$14),0.75,1)-(IF(AND($A171=DATE(2026,11,29),NOV29BF="Yes"),K171,0)+IF(OR($A171=DATE(2026,11,29),$A171=DATE(2026,11,30),$A171=DATE(2026,12,1),$A171=DATE(2026,12,2)),L171,0)+IF(OR($A171=DATE(2026,11,28),$A171=DATE(2026,12,1)),M171,0))))</f>
        <v>0</v>
      </c>
      <c r="O171" s="14" t="n">
        <f aca="false">IF(AND($A171&lt;&gt;"",$A171&lt;Parameters!$B$14),CityData!F4*(1+TAXRATE),0)</f>
        <v>0</v>
      </c>
      <c r="P171" s="14" t="n">
        <f aca="false">IF($A171="",0,IFERROR(VLOOKUP((YEAR($A171)+IF(MONTH($A171)&gt;=10,1,0))&amp;"|Chicago|"&amp;MONTH($A171),Rates!$A$2:$I$181,5,FALSE()),0))</f>
        <v>0</v>
      </c>
      <c r="Q171" s="14" t="n">
        <f aca="false">IF(OR($A171="",$A171&gt;=Parameters!$B$14),1,IF(AND(P171&gt;0,CityData!F4&lt;=P171),1,0))</f>
        <v>1</v>
      </c>
      <c r="R171" s="14" t="n">
        <f aca="false">IF($A171="",0,IFERROR(VLOOKUP((YEAR($A171)+IF(MONTH($A171)&gt;=10,1,0))&amp;"|Denver|"&amp;MONTH($A171),Rates!$A$2:$I$181,6,FALSE()),0))</f>
        <v>0</v>
      </c>
      <c r="S171" s="14" t="n">
        <f aca="false">IF(R171=0,0,VLOOKUP(R171,MIE_Components!$A$2:$F$6,2,FALSE()))</f>
        <v>0</v>
      </c>
      <c r="T171" s="14" t="n">
        <f aca="false">IF(R171=0,0,VLOOKUP(R171,MIE_Components!$A$2:$F$6,3,FALSE()))</f>
        <v>0</v>
      </c>
      <c r="U171" s="14" t="n">
        <f aca="false">IF(R171=0,0,VLOOKUP(R171,MIE_Components!$A$2:$F$6,4,FALSE()))</f>
        <v>0</v>
      </c>
      <c r="V171" s="14" t="n">
        <f aca="false">IF(OR($A171="",R171=0),0,MAX(5,R171*IF(OR($A171=Parameters!$B$13,$A171=Parameters!$B$14),0.75,1)-(IF(AND($A171=DATE(2026,11,29),NOV29BF="Yes"),S171,0)+IF(OR($A171=DATE(2026,11,29),$A171=DATE(2026,11,30),$A171=DATE(2026,12,1),$A171=DATE(2026,12,2)),T171,0)+IF(OR($A171=DATE(2026,11,28),$A171=DATE(2026,12,1)),U171,0))))</f>
        <v>0</v>
      </c>
      <c r="W171" s="14" t="n">
        <f aca="false">IF(AND($A171&lt;&gt;"",$A171&lt;Parameters!$B$14),CityData!F5*(1+TAXRATE),0)</f>
        <v>0</v>
      </c>
      <c r="X171" s="14" t="n">
        <f aca="false">IF($A171="",0,IFERROR(VLOOKUP((YEAR($A171)+IF(MONTH($A171)&gt;=10,1,0))&amp;"|Denver|"&amp;MONTH($A171),Rates!$A$2:$I$181,5,FALSE()),0))</f>
        <v>0</v>
      </c>
      <c r="Y171" s="14" t="n">
        <f aca="false">IF(OR($A171="",$A171&gt;=Parameters!$B$14),1,IF(AND(X171&gt;0,CityData!F5&lt;=X171),1,0))</f>
        <v>1</v>
      </c>
      <c r="Z171" s="14" t="n">
        <f aca="false">IF($A171="",0,IFERROR(VLOOKUP((YEAR($A171)+IF(MONTH($A171)&gt;=10,1,0))&amp;"|Phoenix|"&amp;MONTH($A171),Rates!$A$2:$I$181,6,FALSE()),0))</f>
        <v>0</v>
      </c>
      <c r="AA171" s="14" t="n">
        <f aca="false">IF(Z171=0,0,VLOOKUP(Z171,MIE_Components!$A$2:$F$6,2,FALSE()))</f>
        <v>0</v>
      </c>
      <c r="AB171" s="14" t="n">
        <f aca="false">IF(Z171=0,0,VLOOKUP(Z171,MIE_Components!$A$2:$F$6,3,FALSE()))</f>
        <v>0</v>
      </c>
      <c r="AC171" s="14" t="n">
        <f aca="false">IF(Z171=0,0,VLOOKUP(Z171,MIE_Components!$A$2:$F$6,4,FALSE()))</f>
        <v>0</v>
      </c>
      <c r="AD171" s="14" t="n">
        <f aca="false">IF(OR($A171="",Z171=0),0,MAX(5,Z171*IF(OR($A171=Parameters!$B$13,$A171=Parameters!$B$14),0.75,1)-(IF(AND($A171=DATE(2026,11,29),NOV29BF="Yes"),AA171,0)+IF(OR($A171=DATE(2026,11,29),$A171=DATE(2026,11,30),$A171=DATE(2026,12,1),$A171=DATE(2026,12,2)),AB171,0)+IF(OR($A171=DATE(2026,11,28),$A171=DATE(2026,12,1)),AC171,0))))</f>
        <v>0</v>
      </c>
      <c r="AE171" s="14" t="n">
        <f aca="false">IF(AND($A171&lt;&gt;"",$A171&lt;Parameters!$B$14),CityData!F6*(1+TAXRATE),0)</f>
        <v>0</v>
      </c>
      <c r="AF171" s="14" t="n">
        <f aca="false">IF($A171="",0,IFERROR(VLOOKUP((YEAR($A171)+IF(MONTH($A171)&gt;=10,1,0))&amp;"|Phoenix|"&amp;MONTH($A171),Rates!$A$2:$I$181,5,FALSE()),0))</f>
        <v>0</v>
      </c>
      <c r="AG171" s="14" t="n">
        <f aca="false">IF(OR($A171="",$A171&gt;=Parameters!$B$14),1,IF(AND(AF171&gt;0,CityData!F6&lt;=AF171),1,0))</f>
        <v>1</v>
      </c>
      <c r="AH171" s="14" t="n">
        <f aca="false">IF($A171="",0,IFERROR(VLOOKUP((YEAR($A171)+IF(MONTH($A171)&gt;=10,1,0))&amp;"|Seattle|"&amp;MONTH($A171),Rates!$A$2:$I$181,6,FALSE()),0))</f>
        <v>0</v>
      </c>
      <c r="AI171" s="14" t="n">
        <f aca="false">IF(AH171=0,0,VLOOKUP(AH171,MIE_Components!$A$2:$F$6,2,FALSE()))</f>
        <v>0</v>
      </c>
      <c r="AJ171" s="14" t="n">
        <f aca="false">IF(AH171=0,0,VLOOKUP(AH171,MIE_Components!$A$2:$F$6,3,FALSE()))</f>
        <v>0</v>
      </c>
      <c r="AK171" s="14" t="n">
        <f aca="false">IF(AH171=0,0,VLOOKUP(AH171,MIE_Components!$A$2:$F$6,4,FALSE()))</f>
        <v>0</v>
      </c>
      <c r="AL171" s="14" t="n">
        <f aca="false">IF(OR($A171="",AH171=0),0,MAX(5,AH171*IF(OR($A171=Parameters!$B$13,$A171=Parameters!$B$14),0.75,1)-(IF(AND($A171=DATE(2026,11,29),NOV29BF="Yes"),AI171,0)+IF(OR($A171=DATE(2026,11,29),$A171=DATE(2026,11,30),$A171=DATE(2026,12,1),$A171=DATE(2026,12,2)),AJ171,0)+IF(OR($A171=DATE(2026,11,28),$A171=DATE(2026,12,1)),AK171,0))))</f>
        <v>0</v>
      </c>
      <c r="AM171" s="14" t="n">
        <f aca="false">IF(AND($A171&lt;&gt;"",$A171&lt;Parameters!$B$14),CityData!F7*(1+TAXRATE),0)</f>
        <v>0</v>
      </c>
      <c r="AN171" s="14" t="n">
        <f aca="false">IF($A171="",0,IFERROR(VLOOKUP((YEAR($A171)+IF(MONTH($A171)&gt;=10,1,0))&amp;"|Seattle|"&amp;MONTH($A171),Rates!$A$2:$I$181,5,FALSE()),0))</f>
        <v>0</v>
      </c>
      <c r="AO171" s="14" t="n">
        <f aca="false">IF(OR($A171="",$A171&gt;=Parameters!$B$14),1,IF(AND(AN171&gt;0,CityData!F7&lt;=AN171),1,0))</f>
        <v>1</v>
      </c>
    </row>
    <row r="172" customFormat="false" ht="15" hidden="false" customHeight="true" outlineLevel="0" collapsed="false">
      <c r="A172" s="23" t="str">
        <f aca="false">IF(AND(Parameters!$B$14&gt;=Parameters!$B$13,ROW()-2&lt;=Parameters!$B$14-Parameters!$B$13),Parameters!$B$13+ROW()-2,"")</f>
        <v/>
      </c>
      <c r="B172" s="14" t="n">
        <f aca="false">IF($A172="",0,IFERROR(VLOOKUP((YEAR($A172)+IF(MONTH($A172)&gt;=10,1,0))&amp;"|Boston|"&amp;MONTH($A172),Rates!$A$2:$I$181,6,FALSE()),0))</f>
        <v>0</v>
      </c>
      <c r="C172" s="14" t="n">
        <f aca="false">IF(B172=0,0,VLOOKUP(B172,MIE_Components!$A$2:$F$6,2,FALSE()))</f>
        <v>0</v>
      </c>
      <c r="D172" s="14" t="n">
        <f aca="false">IF(B172=0,0,VLOOKUP(B172,MIE_Components!$A$2:$F$6,3,FALSE()))</f>
        <v>0</v>
      </c>
      <c r="E172" s="14" t="n">
        <f aca="false">IF(B172=0,0,VLOOKUP(B172,MIE_Components!$A$2:$F$6,4,FALSE()))</f>
        <v>0</v>
      </c>
      <c r="F172" s="14" t="n">
        <f aca="false">IF(OR($A172="",B172=0),0,MAX(5,B172*IF(OR($A172=Parameters!$B$13,$A172=Parameters!$B$14),0.75,1)-(IF(AND($A172=DATE(2026,11,29),NOV29BF="Yes"),C172,0)+IF(OR($A172=DATE(2026,11,29),$A172=DATE(2026,11,30),$A172=DATE(2026,12,1),$A172=DATE(2026,12,2)),D172,0)+IF(OR($A172=DATE(2026,11,28),$A172=DATE(2026,12,1)),E172,0))))</f>
        <v>0</v>
      </c>
      <c r="G172" s="14" t="n">
        <f aca="false">IF(AND($A172&lt;&gt;"",$A172&lt;Parameters!$B$14),CityData!F3*(1+TAXRATE),0)</f>
        <v>0</v>
      </c>
      <c r="H172" s="14" t="n">
        <f aca="false">IF($A172="",0,IFERROR(VLOOKUP((YEAR($A172)+IF(MONTH($A172)&gt;=10,1,0))&amp;"|Boston|"&amp;MONTH($A172),Rates!$A$2:$I$181,5,FALSE()),0))</f>
        <v>0</v>
      </c>
      <c r="I172" s="14" t="n">
        <f aca="false">IF(OR($A172="",$A172&gt;=Parameters!$B$14),1,IF(AND(H172&gt;0,CityData!F3&lt;=H172),1,0))</f>
        <v>1</v>
      </c>
      <c r="J172" s="14" t="n">
        <f aca="false">IF($A172="",0,IFERROR(VLOOKUP((YEAR($A172)+IF(MONTH($A172)&gt;=10,1,0))&amp;"|Chicago|"&amp;MONTH($A172),Rates!$A$2:$I$181,6,FALSE()),0))</f>
        <v>0</v>
      </c>
      <c r="K172" s="14" t="n">
        <f aca="false">IF(J172=0,0,VLOOKUP(J172,MIE_Components!$A$2:$F$6,2,FALSE()))</f>
        <v>0</v>
      </c>
      <c r="L172" s="14" t="n">
        <f aca="false">IF(J172=0,0,VLOOKUP(J172,MIE_Components!$A$2:$F$6,3,FALSE()))</f>
        <v>0</v>
      </c>
      <c r="M172" s="14" t="n">
        <f aca="false">IF(J172=0,0,VLOOKUP(J172,MIE_Components!$A$2:$F$6,4,FALSE()))</f>
        <v>0</v>
      </c>
      <c r="N172" s="14" t="n">
        <f aca="false">IF(OR($A172="",J172=0),0,MAX(5,J172*IF(OR($A172=Parameters!$B$13,$A172=Parameters!$B$14),0.75,1)-(IF(AND($A172=DATE(2026,11,29),NOV29BF="Yes"),K172,0)+IF(OR($A172=DATE(2026,11,29),$A172=DATE(2026,11,30),$A172=DATE(2026,12,1),$A172=DATE(2026,12,2)),L172,0)+IF(OR($A172=DATE(2026,11,28),$A172=DATE(2026,12,1)),M172,0))))</f>
        <v>0</v>
      </c>
      <c r="O172" s="14" t="n">
        <f aca="false">IF(AND($A172&lt;&gt;"",$A172&lt;Parameters!$B$14),CityData!F4*(1+TAXRATE),0)</f>
        <v>0</v>
      </c>
      <c r="P172" s="14" t="n">
        <f aca="false">IF($A172="",0,IFERROR(VLOOKUP((YEAR($A172)+IF(MONTH($A172)&gt;=10,1,0))&amp;"|Chicago|"&amp;MONTH($A172),Rates!$A$2:$I$181,5,FALSE()),0))</f>
        <v>0</v>
      </c>
      <c r="Q172" s="14" t="n">
        <f aca="false">IF(OR($A172="",$A172&gt;=Parameters!$B$14),1,IF(AND(P172&gt;0,CityData!F4&lt;=P172),1,0))</f>
        <v>1</v>
      </c>
      <c r="R172" s="14" t="n">
        <f aca="false">IF($A172="",0,IFERROR(VLOOKUP((YEAR($A172)+IF(MONTH($A172)&gt;=10,1,0))&amp;"|Denver|"&amp;MONTH($A172),Rates!$A$2:$I$181,6,FALSE()),0))</f>
        <v>0</v>
      </c>
      <c r="S172" s="14" t="n">
        <f aca="false">IF(R172=0,0,VLOOKUP(R172,MIE_Components!$A$2:$F$6,2,FALSE()))</f>
        <v>0</v>
      </c>
      <c r="T172" s="14" t="n">
        <f aca="false">IF(R172=0,0,VLOOKUP(R172,MIE_Components!$A$2:$F$6,3,FALSE()))</f>
        <v>0</v>
      </c>
      <c r="U172" s="14" t="n">
        <f aca="false">IF(R172=0,0,VLOOKUP(R172,MIE_Components!$A$2:$F$6,4,FALSE()))</f>
        <v>0</v>
      </c>
      <c r="V172" s="14" t="n">
        <f aca="false">IF(OR($A172="",R172=0),0,MAX(5,R172*IF(OR($A172=Parameters!$B$13,$A172=Parameters!$B$14),0.75,1)-(IF(AND($A172=DATE(2026,11,29),NOV29BF="Yes"),S172,0)+IF(OR($A172=DATE(2026,11,29),$A172=DATE(2026,11,30),$A172=DATE(2026,12,1),$A172=DATE(2026,12,2)),T172,0)+IF(OR($A172=DATE(2026,11,28),$A172=DATE(2026,12,1)),U172,0))))</f>
        <v>0</v>
      </c>
      <c r="W172" s="14" t="n">
        <f aca="false">IF(AND($A172&lt;&gt;"",$A172&lt;Parameters!$B$14),CityData!F5*(1+TAXRATE),0)</f>
        <v>0</v>
      </c>
      <c r="X172" s="14" t="n">
        <f aca="false">IF($A172="",0,IFERROR(VLOOKUP((YEAR($A172)+IF(MONTH($A172)&gt;=10,1,0))&amp;"|Denver|"&amp;MONTH($A172),Rates!$A$2:$I$181,5,FALSE()),0))</f>
        <v>0</v>
      </c>
      <c r="Y172" s="14" t="n">
        <f aca="false">IF(OR($A172="",$A172&gt;=Parameters!$B$14),1,IF(AND(X172&gt;0,CityData!F5&lt;=X172),1,0))</f>
        <v>1</v>
      </c>
      <c r="Z172" s="14" t="n">
        <f aca="false">IF($A172="",0,IFERROR(VLOOKUP((YEAR($A172)+IF(MONTH($A172)&gt;=10,1,0))&amp;"|Phoenix|"&amp;MONTH($A172),Rates!$A$2:$I$181,6,FALSE()),0))</f>
        <v>0</v>
      </c>
      <c r="AA172" s="14" t="n">
        <f aca="false">IF(Z172=0,0,VLOOKUP(Z172,MIE_Components!$A$2:$F$6,2,FALSE()))</f>
        <v>0</v>
      </c>
      <c r="AB172" s="14" t="n">
        <f aca="false">IF(Z172=0,0,VLOOKUP(Z172,MIE_Components!$A$2:$F$6,3,FALSE()))</f>
        <v>0</v>
      </c>
      <c r="AC172" s="14" t="n">
        <f aca="false">IF(Z172=0,0,VLOOKUP(Z172,MIE_Components!$A$2:$F$6,4,FALSE()))</f>
        <v>0</v>
      </c>
      <c r="AD172" s="14" t="n">
        <f aca="false">IF(OR($A172="",Z172=0),0,MAX(5,Z172*IF(OR($A172=Parameters!$B$13,$A172=Parameters!$B$14),0.75,1)-(IF(AND($A172=DATE(2026,11,29),NOV29BF="Yes"),AA172,0)+IF(OR($A172=DATE(2026,11,29),$A172=DATE(2026,11,30),$A172=DATE(2026,12,1),$A172=DATE(2026,12,2)),AB172,0)+IF(OR($A172=DATE(2026,11,28),$A172=DATE(2026,12,1)),AC172,0))))</f>
        <v>0</v>
      </c>
      <c r="AE172" s="14" t="n">
        <f aca="false">IF(AND($A172&lt;&gt;"",$A172&lt;Parameters!$B$14),CityData!F6*(1+TAXRATE),0)</f>
        <v>0</v>
      </c>
      <c r="AF172" s="14" t="n">
        <f aca="false">IF($A172="",0,IFERROR(VLOOKUP((YEAR($A172)+IF(MONTH($A172)&gt;=10,1,0))&amp;"|Phoenix|"&amp;MONTH($A172),Rates!$A$2:$I$181,5,FALSE()),0))</f>
        <v>0</v>
      </c>
      <c r="AG172" s="14" t="n">
        <f aca="false">IF(OR($A172="",$A172&gt;=Parameters!$B$14),1,IF(AND(AF172&gt;0,CityData!F6&lt;=AF172),1,0))</f>
        <v>1</v>
      </c>
      <c r="AH172" s="14" t="n">
        <f aca="false">IF($A172="",0,IFERROR(VLOOKUP((YEAR($A172)+IF(MONTH($A172)&gt;=10,1,0))&amp;"|Seattle|"&amp;MONTH($A172),Rates!$A$2:$I$181,6,FALSE()),0))</f>
        <v>0</v>
      </c>
      <c r="AI172" s="14" t="n">
        <f aca="false">IF(AH172=0,0,VLOOKUP(AH172,MIE_Components!$A$2:$F$6,2,FALSE()))</f>
        <v>0</v>
      </c>
      <c r="AJ172" s="14" t="n">
        <f aca="false">IF(AH172=0,0,VLOOKUP(AH172,MIE_Components!$A$2:$F$6,3,FALSE()))</f>
        <v>0</v>
      </c>
      <c r="AK172" s="14" t="n">
        <f aca="false">IF(AH172=0,0,VLOOKUP(AH172,MIE_Components!$A$2:$F$6,4,FALSE()))</f>
        <v>0</v>
      </c>
      <c r="AL172" s="14" t="n">
        <f aca="false">IF(OR($A172="",AH172=0),0,MAX(5,AH172*IF(OR($A172=Parameters!$B$13,$A172=Parameters!$B$14),0.75,1)-(IF(AND($A172=DATE(2026,11,29),NOV29BF="Yes"),AI172,0)+IF(OR($A172=DATE(2026,11,29),$A172=DATE(2026,11,30),$A172=DATE(2026,12,1),$A172=DATE(2026,12,2)),AJ172,0)+IF(OR($A172=DATE(2026,11,28),$A172=DATE(2026,12,1)),AK172,0))))</f>
        <v>0</v>
      </c>
      <c r="AM172" s="14" t="n">
        <f aca="false">IF(AND($A172&lt;&gt;"",$A172&lt;Parameters!$B$14),CityData!F7*(1+TAXRATE),0)</f>
        <v>0</v>
      </c>
      <c r="AN172" s="14" t="n">
        <f aca="false">IF($A172="",0,IFERROR(VLOOKUP((YEAR($A172)+IF(MONTH($A172)&gt;=10,1,0))&amp;"|Seattle|"&amp;MONTH($A172),Rates!$A$2:$I$181,5,FALSE()),0))</f>
        <v>0</v>
      </c>
      <c r="AO172" s="14" t="n">
        <f aca="false">IF(OR($A172="",$A172&gt;=Parameters!$B$14),1,IF(AND(AN172&gt;0,CityData!F7&lt;=AN172),1,0))</f>
        <v>1</v>
      </c>
    </row>
    <row r="173" customFormat="false" ht="15" hidden="false" customHeight="true" outlineLevel="0" collapsed="false">
      <c r="A173" s="23" t="str">
        <f aca="false">IF(AND(Parameters!$B$14&gt;=Parameters!$B$13,ROW()-2&lt;=Parameters!$B$14-Parameters!$B$13),Parameters!$B$13+ROW()-2,"")</f>
        <v/>
      </c>
      <c r="B173" s="14" t="n">
        <f aca="false">IF($A173="",0,IFERROR(VLOOKUP((YEAR($A173)+IF(MONTH($A173)&gt;=10,1,0))&amp;"|Boston|"&amp;MONTH($A173),Rates!$A$2:$I$181,6,FALSE()),0))</f>
        <v>0</v>
      </c>
      <c r="C173" s="14" t="n">
        <f aca="false">IF(B173=0,0,VLOOKUP(B173,MIE_Components!$A$2:$F$6,2,FALSE()))</f>
        <v>0</v>
      </c>
      <c r="D173" s="14" t="n">
        <f aca="false">IF(B173=0,0,VLOOKUP(B173,MIE_Components!$A$2:$F$6,3,FALSE()))</f>
        <v>0</v>
      </c>
      <c r="E173" s="14" t="n">
        <f aca="false">IF(B173=0,0,VLOOKUP(B173,MIE_Components!$A$2:$F$6,4,FALSE()))</f>
        <v>0</v>
      </c>
      <c r="F173" s="14" t="n">
        <f aca="false">IF(OR($A173="",B173=0),0,MAX(5,B173*IF(OR($A173=Parameters!$B$13,$A173=Parameters!$B$14),0.75,1)-(IF(AND($A173=DATE(2026,11,29),NOV29BF="Yes"),C173,0)+IF(OR($A173=DATE(2026,11,29),$A173=DATE(2026,11,30),$A173=DATE(2026,12,1),$A173=DATE(2026,12,2)),D173,0)+IF(OR($A173=DATE(2026,11,28),$A173=DATE(2026,12,1)),E173,0))))</f>
        <v>0</v>
      </c>
      <c r="G173" s="14" t="n">
        <f aca="false">IF(AND($A173&lt;&gt;"",$A173&lt;Parameters!$B$14),CityData!F3*(1+TAXRATE),0)</f>
        <v>0</v>
      </c>
      <c r="H173" s="14" t="n">
        <f aca="false">IF($A173="",0,IFERROR(VLOOKUP((YEAR($A173)+IF(MONTH($A173)&gt;=10,1,0))&amp;"|Boston|"&amp;MONTH($A173),Rates!$A$2:$I$181,5,FALSE()),0))</f>
        <v>0</v>
      </c>
      <c r="I173" s="14" t="n">
        <f aca="false">IF(OR($A173="",$A173&gt;=Parameters!$B$14),1,IF(AND(H173&gt;0,CityData!F3&lt;=H173),1,0))</f>
        <v>1</v>
      </c>
      <c r="J173" s="14" t="n">
        <f aca="false">IF($A173="",0,IFERROR(VLOOKUP((YEAR($A173)+IF(MONTH($A173)&gt;=10,1,0))&amp;"|Chicago|"&amp;MONTH($A173),Rates!$A$2:$I$181,6,FALSE()),0))</f>
        <v>0</v>
      </c>
      <c r="K173" s="14" t="n">
        <f aca="false">IF(J173=0,0,VLOOKUP(J173,MIE_Components!$A$2:$F$6,2,FALSE()))</f>
        <v>0</v>
      </c>
      <c r="L173" s="14" t="n">
        <f aca="false">IF(J173=0,0,VLOOKUP(J173,MIE_Components!$A$2:$F$6,3,FALSE()))</f>
        <v>0</v>
      </c>
      <c r="M173" s="14" t="n">
        <f aca="false">IF(J173=0,0,VLOOKUP(J173,MIE_Components!$A$2:$F$6,4,FALSE()))</f>
        <v>0</v>
      </c>
      <c r="N173" s="14" t="n">
        <f aca="false">IF(OR($A173="",J173=0),0,MAX(5,J173*IF(OR($A173=Parameters!$B$13,$A173=Parameters!$B$14),0.75,1)-(IF(AND($A173=DATE(2026,11,29),NOV29BF="Yes"),K173,0)+IF(OR($A173=DATE(2026,11,29),$A173=DATE(2026,11,30),$A173=DATE(2026,12,1),$A173=DATE(2026,12,2)),L173,0)+IF(OR($A173=DATE(2026,11,28),$A173=DATE(2026,12,1)),M173,0))))</f>
        <v>0</v>
      </c>
      <c r="O173" s="14" t="n">
        <f aca="false">IF(AND($A173&lt;&gt;"",$A173&lt;Parameters!$B$14),CityData!F4*(1+TAXRATE),0)</f>
        <v>0</v>
      </c>
      <c r="P173" s="14" t="n">
        <f aca="false">IF($A173="",0,IFERROR(VLOOKUP((YEAR($A173)+IF(MONTH($A173)&gt;=10,1,0))&amp;"|Chicago|"&amp;MONTH($A173),Rates!$A$2:$I$181,5,FALSE()),0))</f>
        <v>0</v>
      </c>
      <c r="Q173" s="14" t="n">
        <f aca="false">IF(OR($A173="",$A173&gt;=Parameters!$B$14),1,IF(AND(P173&gt;0,CityData!F4&lt;=P173),1,0))</f>
        <v>1</v>
      </c>
      <c r="R173" s="14" t="n">
        <f aca="false">IF($A173="",0,IFERROR(VLOOKUP((YEAR($A173)+IF(MONTH($A173)&gt;=10,1,0))&amp;"|Denver|"&amp;MONTH($A173),Rates!$A$2:$I$181,6,FALSE()),0))</f>
        <v>0</v>
      </c>
      <c r="S173" s="14" t="n">
        <f aca="false">IF(R173=0,0,VLOOKUP(R173,MIE_Components!$A$2:$F$6,2,FALSE()))</f>
        <v>0</v>
      </c>
      <c r="T173" s="14" t="n">
        <f aca="false">IF(R173=0,0,VLOOKUP(R173,MIE_Components!$A$2:$F$6,3,FALSE()))</f>
        <v>0</v>
      </c>
      <c r="U173" s="14" t="n">
        <f aca="false">IF(R173=0,0,VLOOKUP(R173,MIE_Components!$A$2:$F$6,4,FALSE()))</f>
        <v>0</v>
      </c>
      <c r="V173" s="14" t="n">
        <f aca="false">IF(OR($A173="",R173=0),0,MAX(5,R173*IF(OR($A173=Parameters!$B$13,$A173=Parameters!$B$14),0.75,1)-(IF(AND($A173=DATE(2026,11,29),NOV29BF="Yes"),S173,0)+IF(OR($A173=DATE(2026,11,29),$A173=DATE(2026,11,30),$A173=DATE(2026,12,1),$A173=DATE(2026,12,2)),T173,0)+IF(OR($A173=DATE(2026,11,28),$A173=DATE(2026,12,1)),U173,0))))</f>
        <v>0</v>
      </c>
      <c r="W173" s="14" t="n">
        <f aca="false">IF(AND($A173&lt;&gt;"",$A173&lt;Parameters!$B$14),CityData!F5*(1+TAXRATE),0)</f>
        <v>0</v>
      </c>
      <c r="X173" s="14" t="n">
        <f aca="false">IF($A173="",0,IFERROR(VLOOKUP((YEAR($A173)+IF(MONTH($A173)&gt;=10,1,0))&amp;"|Denver|"&amp;MONTH($A173),Rates!$A$2:$I$181,5,FALSE()),0))</f>
        <v>0</v>
      </c>
      <c r="Y173" s="14" t="n">
        <f aca="false">IF(OR($A173="",$A173&gt;=Parameters!$B$14),1,IF(AND(X173&gt;0,CityData!F5&lt;=X173),1,0))</f>
        <v>1</v>
      </c>
      <c r="Z173" s="14" t="n">
        <f aca="false">IF($A173="",0,IFERROR(VLOOKUP((YEAR($A173)+IF(MONTH($A173)&gt;=10,1,0))&amp;"|Phoenix|"&amp;MONTH($A173),Rates!$A$2:$I$181,6,FALSE()),0))</f>
        <v>0</v>
      </c>
      <c r="AA173" s="14" t="n">
        <f aca="false">IF(Z173=0,0,VLOOKUP(Z173,MIE_Components!$A$2:$F$6,2,FALSE()))</f>
        <v>0</v>
      </c>
      <c r="AB173" s="14" t="n">
        <f aca="false">IF(Z173=0,0,VLOOKUP(Z173,MIE_Components!$A$2:$F$6,3,FALSE()))</f>
        <v>0</v>
      </c>
      <c r="AC173" s="14" t="n">
        <f aca="false">IF(Z173=0,0,VLOOKUP(Z173,MIE_Components!$A$2:$F$6,4,FALSE()))</f>
        <v>0</v>
      </c>
      <c r="AD173" s="14" t="n">
        <f aca="false">IF(OR($A173="",Z173=0),0,MAX(5,Z173*IF(OR($A173=Parameters!$B$13,$A173=Parameters!$B$14),0.75,1)-(IF(AND($A173=DATE(2026,11,29),NOV29BF="Yes"),AA173,0)+IF(OR($A173=DATE(2026,11,29),$A173=DATE(2026,11,30),$A173=DATE(2026,12,1),$A173=DATE(2026,12,2)),AB173,0)+IF(OR($A173=DATE(2026,11,28),$A173=DATE(2026,12,1)),AC173,0))))</f>
        <v>0</v>
      </c>
      <c r="AE173" s="14" t="n">
        <f aca="false">IF(AND($A173&lt;&gt;"",$A173&lt;Parameters!$B$14),CityData!F6*(1+TAXRATE),0)</f>
        <v>0</v>
      </c>
      <c r="AF173" s="14" t="n">
        <f aca="false">IF($A173="",0,IFERROR(VLOOKUP((YEAR($A173)+IF(MONTH($A173)&gt;=10,1,0))&amp;"|Phoenix|"&amp;MONTH($A173),Rates!$A$2:$I$181,5,FALSE()),0))</f>
        <v>0</v>
      </c>
      <c r="AG173" s="14" t="n">
        <f aca="false">IF(OR($A173="",$A173&gt;=Parameters!$B$14),1,IF(AND(AF173&gt;0,CityData!F6&lt;=AF173),1,0))</f>
        <v>1</v>
      </c>
      <c r="AH173" s="14" t="n">
        <f aca="false">IF($A173="",0,IFERROR(VLOOKUP((YEAR($A173)+IF(MONTH($A173)&gt;=10,1,0))&amp;"|Seattle|"&amp;MONTH($A173),Rates!$A$2:$I$181,6,FALSE()),0))</f>
        <v>0</v>
      </c>
      <c r="AI173" s="14" t="n">
        <f aca="false">IF(AH173=0,0,VLOOKUP(AH173,MIE_Components!$A$2:$F$6,2,FALSE()))</f>
        <v>0</v>
      </c>
      <c r="AJ173" s="14" t="n">
        <f aca="false">IF(AH173=0,0,VLOOKUP(AH173,MIE_Components!$A$2:$F$6,3,FALSE()))</f>
        <v>0</v>
      </c>
      <c r="AK173" s="14" t="n">
        <f aca="false">IF(AH173=0,0,VLOOKUP(AH173,MIE_Components!$A$2:$F$6,4,FALSE()))</f>
        <v>0</v>
      </c>
      <c r="AL173" s="14" t="n">
        <f aca="false">IF(OR($A173="",AH173=0),0,MAX(5,AH173*IF(OR($A173=Parameters!$B$13,$A173=Parameters!$B$14),0.75,1)-(IF(AND($A173=DATE(2026,11,29),NOV29BF="Yes"),AI173,0)+IF(OR($A173=DATE(2026,11,29),$A173=DATE(2026,11,30),$A173=DATE(2026,12,1),$A173=DATE(2026,12,2)),AJ173,0)+IF(OR($A173=DATE(2026,11,28),$A173=DATE(2026,12,1)),AK173,0))))</f>
        <v>0</v>
      </c>
      <c r="AM173" s="14" t="n">
        <f aca="false">IF(AND($A173&lt;&gt;"",$A173&lt;Parameters!$B$14),CityData!F7*(1+TAXRATE),0)</f>
        <v>0</v>
      </c>
      <c r="AN173" s="14" t="n">
        <f aca="false">IF($A173="",0,IFERROR(VLOOKUP((YEAR($A173)+IF(MONTH($A173)&gt;=10,1,0))&amp;"|Seattle|"&amp;MONTH($A173),Rates!$A$2:$I$181,5,FALSE()),0))</f>
        <v>0</v>
      </c>
      <c r="AO173" s="14" t="n">
        <f aca="false">IF(OR($A173="",$A173&gt;=Parameters!$B$14),1,IF(AND(AN173&gt;0,CityData!F7&lt;=AN173),1,0))</f>
        <v>1</v>
      </c>
    </row>
    <row r="174" customFormat="false" ht="15" hidden="false" customHeight="true" outlineLevel="0" collapsed="false">
      <c r="A174" s="23" t="str">
        <f aca="false">IF(AND(Parameters!$B$14&gt;=Parameters!$B$13,ROW()-2&lt;=Parameters!$B$14-Parameters!$B$13),Parameters!$B$13+ROW()-2,"")</f>
        <v/>
      </c>
      <c r="B174" s="14" t="n">
        <f aca="false">IF($A174="",0,IFERROR(VLOOKUP((YEAR($A174)+IF(MONTH($A174)&gt;=10,1,0))&amp;"|Boston|"&amp;MONTH($A174),Rates!$A$2:$I$181,6,FALSE()),0))</f>
        <v>0</v>
      </c>
      <c r="C174" s="14" t="n">
        <f aca="false">IF(B174=0,0,VLOOKUP(B174,MIE_Components!$A$2:$F$6,2,FALSE()))</f>
        <v>0</v>
      </c>
      <c r="D174" s="14" t="n">
        <f aca="false">IF(B174=0,0,VLOOKUP(B174,MIE_Components!$A$2:$F$6,3,FALSE()))</f>
        <v>0</v>
      </c>
      <c r="E174" s="14" t="n">
        <f aca="false">IF(B174=0,0,VLOOKUP(B174,MIE_Components!$A$2:$F$6,4,FALSE()))</f>
        <v>0</v>
      </c>
      <c r="F174" s="14" t="n">
        <f aca="false">IF(OR($A174="",B174=0),0,MAX(5,B174*IF(OR($A174=Parameters!$B$13,$A174=Parameters!$B$14),0.75,1)-(IF(AND($A174=DATE(2026,11,29),NOV29BF="Yes"),C174,0)+IF(OR($A174=DATE(2026,11,29),$A174=DATE(2026,11,30),$A174=DATE(2026,12,1),$A174=DATE(2026,12,2)),D174,0)+IF(OR($A174=DATE(2026,11,28),$A174=DATE(2026,12,1)),E174,0))))</f>
        <v>0</v>
      </c>
      <c r="G174" s="14" t="n">
        <f aca="false">IF(AND($A174&lt;&gt;"",$A174&lt;Parameters!$B$14),CityData!F3*(1+TAXRATE),0)</f>
        <v>0</v>
      </c>
      <c r="H174" s="14" t="n">
        <f aca="false">IF($A174="",0,IFERROR(VLOOKUP((YEAR($A174)+IF(MONTH($A174)&gt;=10,1,0))&amp;"|Boston|"&amp;MONTH($A174),Rates!$A$2:$I$181,5,FALSE()),0))</f>
        <v>0</v>
      </c>
      <c r="I174" s="14" t="n">
        <f aca="false">IF(OR($A174="",$A174&gt;=Parameters!$B$14),1,IF(AND(H174&gt;0,CityData!F3&lt;=H174),1,0))</f>
        <v>1</v>
      </c>
      <c r="J174" s="14" t="n">
        <f aca="false">IF($A174="",0,IFERROR(VLOOKUP((YEAR($A174)+IF(MONTH($A174)&gt;=10,1,0))&amp;"|Chicago|"&amp;MONTH($A174),Rates!$A$2:$I$181,6,FALSE()),0))</f>
        <v>0</v>
      </c>
      <c r="K174" s="14" t="n">
        <f aca="false">IF(J174=0,0,VLOOKUP(J174,MIE_Components!$A$2:$F$6,2,FALSE()))</f>
        <v>0</v>
      </c>
      <c r="L174" s="14" t="n">
        <f aca="false">IF(J174=0,0,VLOOKUP(J174,MIE_Components!$A$2:$F$6,3,FALSE()))</f>
        <v>0</v>
      </c>
      <c r="M174" s="14" t="n">
        <f aca="false">IF(J174=0,0,VLOOKUP(J174,MIE_Components!$A$2:$F$6,4,FALSE()))</f>
        <v>0</v>
      </c>
      <c r="N174" s="14" t="n">
        <f aca="false">IF(OR($A174="",J174=0),0,MAX(5,J174*IF(OR($A174=Parameters!$B$13,$A174=Parameters!$B$14),0.75,1)-(IF(AND($A174=DATE(2026,11,29),NOV29BF="Yes"),K174,0)+IF(OR($A174=DATE(2026,11,29),$A174=DATE(2026,11,30),$A174=DATE(2026,12,1),$A174=DATE(2026,12,2)),L174,0)+IF(OR($A174=DATE(2026,11,28),$A174=DATE(2026,12,1)),M174,0))))</f>
        <v>0</v>
      </c>
      <c r="O174" s="14" t="n">
        <f aca="false">IF(AND($A174&lt;&gt;"",$A174&lt;Parameters!$B$14),CityData!F4*(1+TAXRATE),0)</f>
        <v>0</v>
      </c>
      <c r="P174" s="14" t="n">
        <f aca="false">IF($A174="",0,IFERROR(VLOOKUP((YEAR($A174)+IF(MONTH($A174)&gt;=10,1,0))&amp;"|Chicago|"&amp;MONTH($A174),Rates!$A$2:$I$181,5,FALSE()),0))</f>
        <v>0</v>
      </c>
      <c r="Q174" s="14" t="n">
        <f aca="false">IF(OR($A174="",$A174&gt;=Parameters!$B$14),1,IF(AND(P174&gt;0,CityData!F4&lt;=P174),1,0))</f>
        <v>1</v>
      </c>
      <c r="R174" s="14" t="n">
        <f aca="false">IF($A174="",0,IFERROR(VLOOKUP((YEAR($A174)+IF(MONTH($A174)&gt;=10,1,0))&amp;"|Denver|"&amp;MONTH($A174),Rates!$A$2:$I$181,6,FALSE()),0))</f>
        <v>0</v>
      </c>
      <c r="S174" s="14" t="n">
        <f aca="false">IF(R174=0,0,VLOOKUP(R174,MIE_Components!$A$2:$F$6,2,FALSE()))</f>
        <v>0</v>
      </c>
      <c r="T174" s="14" t="n">
        <f aca="false">IF(R174=0,0,VLOOKUP(R174,MIE_Components!$A$2:$F$6,3,FALSE()))</f>
        <v>0</v>
      </c>
      <c r="U174" s="14" t="n">
        <f aca="false">IF(R174=0,0,VLOOKUP(R174,MIE_Components!$A$2:$F$6,4,FALSE()))</f>
        <v>0</v>
      </c>
      <c r="V174" s="14" t="n">
        <f aca="false">IF(OR($A174="",R174=0),0,MAX(5,R174*IF(OR($A174=Parameters!$B$13,$A174=Parameters!$B$14),0.75,1)-(IF(AND($A174=DATE(2026,11,29),NOV29BF="Yes"),S174,0)+IF(OR($A174=DATE(2026,11,29),$A174=DATE(2026,11,30),$A174=DATE(2026,12,1),$A174=DATE(2026,12,2)),T174,0)+IF(OR($A174=DATE(2026,11,28),$A174=DATE(2026,12,1)),U174,0))))</f>
        <v>0</v>
      </c>
      <c r="W174" s="14" t="n">
        <f aca="false">IF(AND($A174&lt;&gt;"",$A174&lt;Parameters!$B$14),CityData!F5*(1+TAXRATE),0)</f>
        <v>0</v>
      </c>
      <c r="X174" s="14" t="n">
        <f aca="false">IF($A174="",0,IFERROR(VLOOKUP((YEAR($A174)+IF(MONTH($A174)&gt;=10,1,0))&amp;"|Denver|"&amp;MONTH($A174),Rates!$A$2:$I$181,5,FALSE()),0))</f>
        <v>0</v>
      </c>
      <c r="Y174" s="14" t="n">
        <f aca="false">IF(OR($A174="",$A174&gt;=Parameters!$B$14),1,IF(AND(X174&gt;0,CityData!F5&lt;=X174),1,0))</f>
        <v>1</v>
      </c>
      <c r="Z174" s="14" t="n">
        <f aca="false">IF($A174="",0,IFERROR(VLOOKUP((YEAR($A174)+IF(MONTH($A174)&gt;=10,1,0))&amp;"|Phoenix|"&amp;MONTH($A174),Rates!$A$2:$I$181,6,FALSE()),0))</f>
        <v>0</v>
      </c>
      <c r="AA174" s="14" t="n">
        <f aca="false">IF(Z174=0,0,VLOOKUP(Z174,MIE_Components!$A$2:$F$6,2,FALSE()))</f>
        <v>0</v>
      </c>
      <c r="AB174" s="14" t="n">
        <f aca="false">IF(Z174=0,0,VLOOKUP(Z174,MIE_Components!$A$2:$F$6,3,FALSE()))</f>
        <v>0</v>
      </c>
      <c r="AC174" s="14" t="n">
        <f aca="false">IF(Z174=0,0,VLOOKUP(Z174,MIE_Components!$A$2:$F$6,4,FALSE()))</f>
        <v>0</v>
      </c>
      <c r="AD174" s="14" t="n">
        <f aca="false">IF(OR($A174="",Z174=0),0,MAX(5,Z174*IF(OR($A174=Parameters!$B$13,$A174=Parameters!$B$14),0.75,1)-(IF(AND($A174=DATE(2026,11,29),NOV29BF="Yes"),AA174,0)+IF(OR($A174=DATE(2026,11,29),$A174=DATE(2026,11,30),$A174=DATE(2026,12,1),$A174=DATE(2026,12,2)),AB174,0)+IF(OR($A174=DATE(2026,11,28),$A174=DATE(2026,12,1)),AC174,0))))</f>
        <v>0</v>
      </c>
      <c r="AE174" s="14" t="n">
        <f aca="false">IF(AND($A174&lt;&gt;"",$A174&lt;Parameters!$B$14),CityData!F6*(1+TAXRATE),0)</f>
        <v>0</v>
      </c>
      <c r="AF174" s="14" t="n">
        <f aca="false">IF($A174="",0,IFERROR(VLOOKUP((YEAR($A174)+IF(MONTH($A174)&gt;=10,1,0))&amp;"|Phoenix|"&amp;MONTH($A174),Rates!$A$2:$I$181,5,FALSE()),0))</f>
        <v>0</v>
      </c>
      <c r="AG174" s="14" t="n">
        <f aca="false">IF(OR($A174="",$A174&gt;=Parameters!$B$14),1,IF(AND(AF174&gt;0,CityData!F6&lt;=AF174),1,0))</f>
        <v>1</v>
      </c>
      <c r="AH174" s="14" t="n">
        <f aca="false">IF($A174="",0,IFERROR(VLOOKUP((YEAR($A174)+IF(MONTH($A174)&gt;=10,1,0))&amp;"|Seattle|"&amp;MONTH($A174),Rates!$A$2:$I$181,6,FALSE()),0))</f>
        <v>0</v>
      </c>
      <c r="AI174" s="14" t="n">
        <f aca="false">IF(AH174=0,0,VLOOKUP(AH174,MIE_Components!$A$2:$F$6,2,FALSE()))</f>
        <v>0</v>
      </c>
      <c r="AJ174" s="14" t="n">
        <f aca="false">IF(AH174=0,0,VLOOKUP(AH174,MIE_Components!$A$2:$F$6,3,FALSE()))</f>
        <v>0</v>
      </c>
      <c r="AK174" s="14" t="n">
        <f aca="false">IF(AH174=0,0,VLOOKUP(AH174,MIE_Components!$A$2:$F$6,4,FALSE()))</f>
        <v>0</v>
      </c>
      <c r="AL174" s="14" t="n">
        <f aca="false">IF(OR($A174="",AH174=0),0,MAX(5,AH174*IF(OR($A174=Parameters!$B$13,$A174=Parameters!$B$14),0.75,1)-(IF(AND($A174=DATE(2026,11,29),NOV29BF="Yes"),AI174,0)+IF(OR($A174=DATE(2026,11,29),$A174=DATE(2026,11,30),$A174=DATE(2026,12,1),$A174=DATE(2026,12,2)),AJ174,0)+IF(OR($A174=DATE(2026,11,28),$A174=DATE(2026,12,1)),AK174,0))))</f>
        <v>0</v>
      </c>
      <c r="AM174" s="14" t="n">
        <f aca="false">IF(AND($A174&lt;&gt;"",$A174&lt;Parameters!$B$14),CityData!F7*(1+TAXRATE),0)</f>
        <v>0</v>
      </c>
      <c r="AN174" s="14" t="n">
        <f aca="false">IF($A174="",0,IFERROR(VLOOKUP((YEAR($A174)+IF(MONTH($A174)&gt;=10,1,0))&amp;"|Seattle|"&amp;MONTH($A174),Rates!$A$2:$I$181,5,FALSE()),0))</f>
        <v>0</v>
      </c>
      <c r="AO174" s="14" t="n">
        <f aca="false">IF(OR($A174="",$A174&gt;=Parameters!$B$14),1,IF(AND(AN174&gt;0,CityData!F7&lt;=AN174),1,0))</f>
        <v>1</v>
      </c>
    </row>
    <row r="175" customFormat="false" ht="15" hidden="false" customHeight="true" outlineLevel="0" collapsed="false">
      <c r="A175" s="23" t="str">
        <f aca="false">IF(AND(Parameters!$B$14&gt;=Parameters!$B$13,ROW()-2&lt;=Parameters!$B$14-Parameters!$B$13),Parameters!$B$13+ROW()-2,"")</f>
        <v/>
      </c>
      <c r="B175" s="14" t="n">
        <f aca="false">IF($A175="",0,IFERROR(VLOOKUP((YEAR($A175)+IF(MONTH($A175)&gt;=10,1,0))&amp;"|Boston|"&amp;MONTH($A175),Rates!$A$2:$I$181,6,FALSE()),0))</f>
        <v>0</v>
      </c>
      <c r="C175" s="14" t="n">
        <f aca="false">IF(B175=0,0,VLOOKUP(B175,MIE_Components!$A$2:$F$6,2,FALSE()))</f>
        <v>0</v>
      </c>
      <c r="D175" s="14" t="n">
        <f aca="false">IF(B175=0,0,VLOOKUP(B175,MIE_Components!$A$2:$F$6,3,FALSE()))</f>
        <v>0</v>
      </c>
      <c r="E175" s="14" t="n">
        <f aca="false">IF(B175=0,0,VLOOKUP(B175,MIE_Components!$A$2:$F$6,4,FALSE()))</f>
        <v>0</v>
      </c>
      <c r="F175" s="14" t="n">
        <f aca="false">IF(OR($A175="",B175=0),0,MAX(5,B175*IF(OR($A175=Parameters!$B$13,$A175=Parameters!$B$14),0.75,1)-(IF(AND($A175=DATE(2026,11,29),NOV29BF="Yes"),C175,0)+IF(OR($A175=DATE(2026,11,29),$A175=DATE(2026,11,30),$A175=DATE(2026,12,1),$A175=DATE(2026,12,2)),D175,0)+IF(OR($A175=DATE(2026,11,28),$A175=DATE(2026,12,1)),E175,0))))</f>
        <v>0</v>
      </c>
      <c r="G175" s="14" t="n">
        <f aca="false">IF(AND($A175&lt;&gt;"",$A175&lt;Parameters!$B$14),CityData!F3*(1+TAXRATE),0)</f>
        <v>0</v>
      </c>
      <c r="H175" s="14" t="n">
        <f aca="false">IF($A175="",0,IFERROR(VLOOKUP((YEAR($A175)+IF(MONTH($A175)&gt;=10,1,0))&amp;"|Boston|"&amp;MONTH($A175),Rates!$A$2:$I$181,5,FALSE()),0))</f>
        <v>0</v>
      </c>
      <c r="I175" s="14" t="n">
        <f aca="false">IF(OR($A175="",$A175&gt;=Parameters!$B$14),1,IF(AND(H175&gt;0,CityData!F3&lt;=H175),1,0))</f>
        <v>1</v>
      </c>
      <c r="J175" s="14" t="n">
        <f aca="false">IF($A175="",0,IFERROR(VLOOKUP((YEAR($A175)+IF(MONTH($A175)&gt;=10,1,0))&amp;"|Chicago|"&amp;MONTH($A175),Rates!$A$2:$I$181,6,FALSE()),0))</f>
        <v>0</v>
      </c>
      <c r="K175" s="14" t="n">
        <f aca="false">IF(J175=0,0,VLOOKUP(J175,MIE_Components!$A$2:$F$6,2,FALSE()))</f>
        <v>0</v>
      </c>
      <c r="L175" s="14" t="n">
        <f aca="false">IF(J175=0,0,VLOOKUP(J175,MIE_Components!$A$2:$F$6,3,FALSE()))</f>
        <v>0</v>
      </c>
      <c r="M175" s="14" t="n">
        <f aca="false">IF(J175=0,0,VLOOKUP(J175,MIE_Components!$A$2:$F$6,4,FALSE()))</f>
        <v>0</v>
      </c>
      <c r="N175" s="14" t="n">
        <f aca="false">IF(OR($A175="",J175=0),0,MAX(5,J175*IF(OR($A175=Parameters!$B$13,$A175=Parameters!$B$14),0.75,1)-(IF(AND($A175=DATE(2026,11,29),NOV29BF="Yes"),K175,0)+IF(OR($A175=DATE(2026,11,29),$A175=DATE(2026,11,30),$A175=DATE(2026,12,1),$A175=DATE(2026,12,2)),L175,0)+IF(OR($A175=DATE(2026,11,28),$A175=DATE(2026,12,1)),M175,0))))</f>
        <v>0</v>
      </c>
      <c r="O175" s="14" t="n">
        <f aca="false">IF(AND($A175&lt;&gt;"",$A175&lt;Parameters!$B$14),CityData!F4*(1+TAXRATE),0)</f>
        <v>0</v>
      </c>
      <c r="P175" s="14" t="n">
        <f aca="false">IF($A175="",0,IFERROR(VLOOKUP((YEAR($A175)+IF(MONTH($A175)&gt;=10,1,0))&amp;"|Chicago|"&amp;MONTH($A175),Rates!$A$2:$I$181,5,FALSE()),0))</f>
        <v>0</v>
      </c>
      <c r="Q175" s="14" t="n">
        <f aca="false">IF(OR($A175="",$A175&gt;=Parameters!$B$14),1,IF(AND(P175&gt;0,CityData!F4&lt;=P175),1,0))</f>
        <v>1</v>
      </c>
      <c r="R175" s="14" t="n">
        <f aca="false">IF($A175="",0,IFERROR(VLOOKUP((YEAR($A175)+IF(MONTH($A175)&gt;=10,1,0))&amp;"|Denver|"&amp;MONTH($A175),Rates!$A$2:$I$181,6,FALSE()),0))</f>
        <v>0</v>
      </c>
      <c r="S175" s="14" t="n">
        <f aca="false">IF(R175=0,0,VLOOKUP(R175,MIE_Components!$A$2:$F$6,2,FALSE()))</f>
        <v>0</v>
      </c>
      <c r="T175" s="14" t="n">
        <f aca="false">IF(R175=0,0,VLOOKUP(R175,MIE_Components!$A$2:$F$6,3,FALSE()))</f>
        <v>0</v>
      </c>
      <c r="U175" s="14" t="n">
        <f aca="false">IF(R175=0,0,VLOOKUP(R175,MIE_Components!$A$2:$F$6,4,FALSE()))</f>
        <v>0</v>
      </c>
      <c r="V175" s="14" t="n">
        <f aca="false">IF(OR($A175="",R175=0),0,MAX(5,R175*IF(OR($A175=Parameters!$B$13,$A175=Parameters!$B$14),0.75,1)-(IF(AND($A175=DATE(2026,11,29),NOV29BF="Yes"),S175,0)+IF(OR($A175=DATE(2026,11,29),$A175=DATE(2026,11,30),$A175=DATE(2026,12,1),$A175=DATE(2026,12,2)),T175,0)+IF(OR($A175=DATE(2026,11,28),$A175=DATE(2026,12,1)),U175,0))))</f>
        <v>0</v>
      </c>
      <c r="W175" s="14" t="n">
        <f aca="false">IF(AND($A175&lt;&gt;"",$A175&lt;Parameters!$B$14),CityData!F5*(1+TAXRATE),0)</f>
        <v>0</v>
      </c>
      <c r="X175" s="14" t="n">
        <f aca="false">IF($A175="",0,IFERROR(VLOOKUP((YEAR($A175)+IF(MONTH($A175)&gt;=10,1,0))&amp;"|Denver|"&amp;MONTH($A175),Rates!$A$2:$I$181,5,FALSE()),0))</f>
        <v>0</v>
      </c>
      <c r="Y175" s="14" t="n">
        <f aca="false">IF(OR($A175="",$A175&gt;=Parameters!$B$14),1,IF(AND(X175&gt;0,CityData!F5&lt;=X175),1,0))</f>
        <v>1</v>
      </c>
      <c r="Z175" s="14" t="n">
        <f aca="false">IF($A175="",0,IFERROR(VLOOKUP((YEAR($A175)+IF(MONTH($A175)&gt;=10,1,0))&amp;"|Phoenix|"&amp;MONTH($A175),Rates!$A$2:$I$181,6,FALSE()),0))</f>
        <v>0</v>
      </c>
      <c r="AA175" s="14" t="n">
        <f aca="false">IF(Z175=0,0,VLOOKUP(Z175,MIE_Components!$A$2:$F$6,2,FALSE()))</f>
        <v>0</v>
      </c>
      <c r="AB175" s="14" t="n">
        <f aca="false">IF(Z175=0,0,VLOOKUP(Z175,MIE_Components!$A$2:$F$6,3,FALSE()))</f>
        <v>0</v>
      </c>
      <c r="AC175" s="14" t="n">
        <f aca="false">IF(Z175=0,0,VLOOKUP(Z175,MIE_Components!$A$2:$F$6,4,FALSE()))</f>
        <v>0</v>
      </c>
      <c r="AD175" s="14" t="n">
        <f aca="false">IF(OR($A175="",Z175=0),0,MAX(5,Z175*IF(OR($A175=Parameters!$B$13,$A175=Parameters!$B$14),0.75,1)-(IF(AND($A175=DATE(2026,11,29),NOV29BF="Yes"),AA175,0)+IF(OR($A175=DATE(2026,11,29),$A175=DATE(2026,11,30),$A175=DATE(2026,12,1),$A175=DATE(2026,12,2)),AB175,0)+IF(OR($A175=DATE(2026,11,28),$A175=DATE(2026,12,1)),AC175,0))))</f>
        <v>0</v>
      </c>
      <c r="AE175" s="14" t="n">
        <f aca="false">IF(AND($A175&lt;&gt;"",$A175&lt;Parameters!$B$14),CityData!F6*(1+TAXRATE),0)</f>
        <v>0</v>
      </c>
      <c r="AF175" s="14" t="n">
        <f aca="false">IF($A175="",0,IFERROR(VLOOKUP((YEAR($A175)+IF(MONTH($A175)&gt;=10,1,0))&amp;"|Phoenix|"&amp;MONTH($A175),Rates!$A$2:$I$181,5,FALSE()),0))</f>
        <v>0</v>
      </c>
      <c r="AG175" s="14" t="n">
        <f aca="false">IF(OR($A175="",$A175&gt;=Parameters!$B$14),1,IF(AND(AF175&gt;0,CityData!F6&lt;=AF175),1,0))</f>
        <v>1</v>
      </c>
      <c r="AH175" s="14" t="n">
        <f aca="false">IF($A175="",0,IFERROR(VLOOKUP((YEAR($A175)+IF(MONTH($A175)&gt;=10,1,0))&amp;"|Seattle|"&amp;MONTH($A175),Rates!$A$2:$I$181,6,FALSE()),0))</f>
        <v>0</v>
      </c>
      <c r="AI175" s="14" t="n">
        <f aca="false">IF(AH175=0,0,VLOOKUP(AH175,MIE_Components!$A$2:$F$6,2,FALSE()))</f>
        <v>0</v>
      </c>
      <c r="AJ175" s="14" t="n">
        <f aca="false">IF(AH175=0,0,VLOOKUP(AH175,MIE_Components!$A$2:$F$6,3,FALSE()))</f>
        <v>0</v>
      </c>
      <c r="AK175" s="14" t="n">
        <f aca="false">IF(AH175=0,0,VLOOKUP(AH175,MIE_Components!$A$2:$F$6,4,FALSE()))</f>
        <v>0</v>
      </c>
      <c r="AL175" s="14" t="n">
        <f aca="false">IF(OR($A175="",AH175=0),0,MAX(5,AH175*IF(OR($A175=Parameters!$B$13,$A175=Parameters!$B$14),0.75,1)-(IF(AND($A175=DATE(2026,11,29),NOV29BF="Yes"),AI175,0)+IF(OR($A175=DATE(2026,11,29),$A175=DATE(2026,11,30),$A175=DATE(2026,12,1),$A175=DATE(2026,12,2)),AJ175,0)+IF(OR($A175=DATE(2026,11,28),$A175=DATE(2026,12,1)),AK175,0))))</f>
        <v>0</v>
      </c>
      <c r="AM175" s="14" t="n">
        <f aca="false">IF(AND($A175&lt;&gt;"",$A175&lt;Parameters!$B$14),CityData!F7*(1+TAXRATE),0)</f>
        <v>0</v>
      </c>
      <c r="AN175" s="14" t="n">
        <f aca="false">IF($A175="",0,IFERROR(VLOOKUP((YEAR($A175)+IF(MONTH($A175)&gt;=10,1,0))&amp;"|Seattle|"&amp;MONTH($A175),Rates!$A$2:$I$181,5,FALSE()),0))</f>
        <v>0</v>
      </c>
      <c r="AO175" s="14" t="n">
        <f aca="false">IF(OR($A175="",$A175&gt;=Parameters!$B$14),1,IF(AND(AN175&gt;0,CityData!F7&lt;=AN175),1,0))</f>
        <v>1</v>
      </c>
    </row>
    <row r="176" customFormat="false" ht="15" hidden="false" customHeight="true" outlineLevel="0" collapsed="false">
      <c r="A176" s="23" t="str">
        <f aca="false">IF(AND(Parameters!$B$14&gt;=Parameters!$B$13,ROW()-2&lt;=Parameters!$B$14-Parameters!$B$13),Parameters!$B$13+ROW()-2,"")</f>
        <v/>
      </c>
      <c r="B176" s="14" t="n">
        <f aca="false">IF($A176="",0,IFERROR(VLOOKUP((YEAR($A176)+IF(MONTH($A176)&gt;=10,1,0))&amp;"|Boston|"&amp;MONTH($A176),Rates!$A$2:$I$181,6,FALSE()),0))</f>
        <v>0</v>
      </c>
      <c r="C176" s="14" t="n">
        <f aca="false">IF(B176=0,0,VLOOKUP(B176,MIE_Components!$A$2:$F$6,2,FALSE()))</f>
        <v>0</v>
      </c>
      <c r="D176" s="14" t="n">
        <f aca="false">IF(B176=0,0,VLOOKUP(B176,MIE_Components!$A$2:$F$6,3,FALSE()))</f>
        <v>0</v>
      </c>
      <c r="E176" s="14" t="n">
        <f aca="false">IF(B176=0,0,VLOOKUP(B176,MIE_Components!$A$2:$F$6,4,FALSE()))</f>
        <v>0</v>
      </c>
      <c r="F176" s="14" t="n">
        <f aca="false">IF(OR($A176="",B176=0),0,MAX(5,B176*IF(OR($A176=Parameters!$B$13,$A176=Parameters!$B$14),0.75,1)-(IF(AND($A176=DATE(2026,11,29),NOV29BF="Yes"),C176,0)+IF(OR($A176=DATE(2026,11,29),$A176=DATE(2026,11,30),$A176=DATE(2026,12,1),$A176=DATE(2026,12,2)),D176,0)+IF(OR($A176=DATE(2026,11,28),$A176=DATE(2026,12,1)),E176,0))))</f>
        <v>0</v>
      </c>
      <c r="G176" s="14" t="n">
        <f aca="false">IF(AND($A176&lt;&gt;"",$A176&lt;Parameters!$B$14),CityData!F3*(1+TAXRATE),0)</f>
        <v>0</v>
      </c>
      <c r="H176" s="14" t="n">
        <f aca="false">IF($A176="",0,IFERROR(VLOOKUP((YEAR($A176)+IF(MONTH($A176)&gt;=10,1,0))&amp;"|Boston|"&amp;MONTH($A176),Rates!$A$2:$I$181,5,FALSE()),0))</f>
        <v>0</v>
      </c>
      <c r="I176" s="14" t="n">
        <f aca="false">IF(OR($A176="",$A176&gt;=Parameters!$B$14),1,IF(AND(H176&gt;0,CityData!F3&lt;=H176),1,0))</f>
        <v>1</v>
      </c>
      <c r="J176" s="14" t="n">
        <f aca="false">IF($A176="",0,IFERROR(VLOOKUP((YEAR($A176)+IF(MONTH($A176)&gt;=10,1,0))&amp;"|Chicago|"&amp;MONTH($A176),Rates!$A$2:$I$181,6,FALSE()),0))</f>
        <v>0</v>
      </c>
      <c r="K176" s="14" t="n">
        <f aca="false">IF(J176=0,0,VLOOKUP(J176,MIE_Components!$A$2:$F$6,2,FALSE()))</f>
        <v>0</v>
      </c>
      <c r="L176" s="14" t="n">
        <f aca="false">IF(J176=0,0,VLOOKUP(J176,MIE_Components!$A$2:$F$6,3,FALSE()))</f>
        <v>0</v>
      </c>
      <c r="M176" s="14" t="n">
        <f aca="false">IF(J176=0,0,VLOOKUP(J176,MIE_Components!$A$2:$F$6,4,FALSE()))</f>
        <v>0</v>
      </c>
      <c r="N176" s="14" t="n">
        <f aca="false">IF(OR($A176="",J176=0),0,MAX(5,J176*IF(OR($A176=Parameters!$B$13,$A176=Parameters!$B$14),0.75,1)-(IF(AND($A176=DATE(2026,11,29),NOV29BF="Yes"),K176,0)+IF(OR($A176=DATE(2026,11,29),$A176=DATE(2026,11,30),$A176=DATE(2026,12,1),$A176=DATE(2026,12,2)),L176,0)+IF(OR($A176=DATE(2026,11,28),$A176=DATE(2026,12,1)),M176,0))))</f>
        <v>0</v>
      </c>
      <c r="O176" s="14" t="n">
        <f aca="false">IF(AND($A176&lt;&gt;"",$A176&lt;Parameters!$B$14),CityData!F4*(1+TAXRATE),0)</f>
        <v>0</v>
      </c>
      <c r="P176" s="14" t="n">
        <f aca="false">IF($A176="",0,IFERROR(VLOOKUP((YEAR($A176)+IF(MONTH($A176)&gt;=10,1,0))&amp;"|Chicago|"&amp;MONTH($A176),Rates!$A$2:$I$181,5,FALSE()),0))</f>
        <v>0</v>
      </c>
      <c r="Q176" s="14" t="n">
        <f aca="false">IF(OR($A176="",$A176&gt;=Parameters!$B$14),1,IF(AND(P176&gt;0,CityData!F4&lt;=P176),1,0))</f>
        <v>1</v>
      </c>
      <c r="R176" s="14" t="n">
        <f aca="false">IF($A176="",0,IFERROR(VLOOKUP((YEAR($A176)+IF(MONTH($A176)&gt;=10,1,0))&amp;"|Denver|"&amp;MONTH($A176),Rates!$A$2:$I$181,6,FALSE()),0))</f>
        <v>0</v>
      </c>
      <c r="S176" s="14" t="n">
        <f aca="false">IF(R176=0,0,VLOOKUP(R176,MIE_Components!$A$2:$F$6,2,FALSE()))</f>
        <v>0</v>
      </c>
      <c r="T176" s="14" t="n">
        <f aca="false">IF(R176=0,0,VLOOKUP(R176,MIE_Components!$A$2:$F$6,3,FALSE()))</f>
        <v>0</v>
      </c>
      <c r="U176" s="14" t="n">
        <f aca="false">IF(R176=0,0,VLOOKUP(R176,MIE_Components!$A$2:$F$6,4,FALSE()))</f>
        <v>0</v>
      </c>
      <c r="V176" s="14" t="n">
        <f aca="false">IF(OR($A176="",R176=0),0,MAX(5,R176*IF(OR($A176=Parameters!$B$13,$A176=Parameters!$B$14),0.75,1)-(IF(AND($A176=DATE(2026,11,29),NOV29BF="Yes"),S176,0)+IF(OR($A176=DATE(2026,11,29),$A176=DATE(2026,11,30),$A176=DATE(2026,12,1),$A176=DATE(2026,12,2)),T176,0)+IF(OR($A176=DATE(2026,11,28),$A176=DATE(2026,12,1)),U176,0))))</f>
        <v>0</v>
      </c>
      <c r="W176" s="14" t="n">
        <f aca="false">IF(AND($A176&lt;&gt;"",$A176&lt;Parameters!$B$14),CityData!F5*(1+TAXRATE),0)</f>
        <v>0</v>
      </c>
      <c r="X176" s="14" t="n">
        <f aca="false">IF($A176="",0,IFERROR(VLOOKUP((YEAR($A176)+IF(MONTH($A176)&gt;=10,1,0))&amp;"|Denver|"&amp;MONTH($A176),Rates!$A$2:$I$181,5,FALSE()),0))</f>
        <v>0</v>
      </c>
      <c r="Y176" s="14" t="n">
        <f aca="false">IF(OR($A176="",$A176&gt;=Parameters!$B$14),1,IF(AND(X176&gt;0,CityData!F5&lt;=X176),1,0))</f>
        <v>1</v>
      </c>
      <c r="Z176" s="14" t="n">
        <f aca="false">IF($A176="",0,IFERROR(VLOOKUP((YEAR($A176)+IF(MONTH($A176)&gt;=10,1,0))&amp;"|Phoenix|"&amp;MONTH($A176),Rates!$A$2:$I$181,6,FALSE()),0))</f>
        <v>0</v>
      </c>
      <c r="AA176" s="14" t="n">
        <f aca="false">IF(Z176=0,0,VLOOKUP(Z176,MIE_Components!$A$2:$F$6,2,FALSE()))</f>
        <v>0</v>
      </c>
      <c r="AB176" s="14" t="n">
        <f aca="false">IF(Z176=0,0,VLOOKUP(Z176,MIE_Components!$A$2:$F$6,3,FALSE()))</f>
        <v>0</v>
      </c>
      <c r="AC176" s="14" t="n">
        <f aca="false">IF(Z176=0,0,VLOOKUP(Z176,MIE_Components!$A$2:$F$6,4,FALSE()))</f>
        <v>0</v>
      </c>
      <c r="AD176" s="14" t="n">
        <f aca="false">IF(OR($A176="",Z176=0),0,MAX(5,Z176*IF(OR($A176=Parameters!$B$13,$A176=Parameters!$B$14),0.75,1)-(IF(AND($A176=DATE(2026,11,29),NOV29BF="Yes"),AA176,0)+IF(OR($A176=DATE(2026,11,29),$A176=DATE(2026,11,30),$A176=DATE(2026,12,1),$A176=DATE(2026,12,2)),AB176,0)+IF(OR($A176=DATE(2026,11,28),$A176=DATE(2026,12,1)),AC176,0))))</f>
        <v>0</v>
      </c>
      <c r="AE176" s="14" t="n">
        <f aca="false">IF(AND($A176&lt;&gt;"",$A176&lt;Parameters!$B$14),CityData!F6*(1+TAXRATE),0)</f>
        <v>0</v>
      </c>
      <c r="AF176" s="14" t="n">
        <f aca="false">IF($A176="",0,IFERROR(VLOOKUP((YEAR($A176)+IF(MONTH($A176)&gt;=10,1,0))&amp;"|Phoenix|"&amp;MONTH($A176),Rates!$A$2:$I$181,5,FALSE()),0))</f>
        <v>0</v>
      </c>
      <c r="AG176" s="14" t="n">
        <f aca="false">IF(OR($A176="",$A176&gt;=Parameters!$B$14),1,IF(AND(AF176&gt;0,CityData!F6&lt;=AF176),1,0))</f>
        <v>1</v>
      </c>
      <c r="AH176" s="14" t="n">
        <f aca="false">IF($A176="",0,IFERROR(VLOOKUP((YEAR($A176)+IF(MONTH($A176)&gt;=10,1,0))&amp;"|Seattle|"&amp;MONTH($A176),Rates!$A$2:$I$181,6,FALSE()),0))</f>
        <v>0</v>
      </c>
      <c r="AI176" s="14" t="n">
        <f aca="false">IF(AH176=0,0,VLOOKUP(AH176,MIE_Components!$A$2:$F$6,2,FALSE()))</f>
        <v>0</v>
      </c>
      <c r="AJ176" s="14" t="n">
        <f aca="false">IF(AH176=0,0,VLOOKUP(AH176,MIE_Components!$A$2:$F$6,3,FALSE()))</f>
        <v>0</v>
      </c>
      <c r="AK176" s="14" t="n">
        <f aca="false">IF(AH176=0,0,VLOOKUP(AH176,MIE_Components!$A$2:$F$6,4,FALSE()))</f>
        <v>0</v>
      </c>
      <c r="AL176" s="14" t="n">
        <f aca="false">IF(OR($A176="",AH176=0),0,MAX(5,AH176*IF(OR($A176=Parameters!$B$13,$A176=Parameters!$B$14),0.75,1)-(IF(AND($A176=DATE(2026,11,29),NOV29BF="Yes"),AI176,0)+IF(OR($A176=DATE(2026,11,29),$A176=DATE(2026,11,30),$A176=DATE(2026,12,1),$A176=DATE(2026,12,2)),AJ176,0)+IF(OR($A176=DATE(2026,11,28),$A176=DATE(2026,12,1)),AK176,0))))</f>
        <v>0</v>
      </c>
      <c r="AM176" s="14" t="n">
        <f aca="false">IF(AND($A176&lt;&gt;"",$A176&lt;Parameters!$B$14),CityData!F7*(1+TAXRATE),0)</f>
        <v>0</v>
      </c>
      <c r="AN176" s="14" t="n">
        <f aca="false">IF($A176="",0,IFERROR(VLOOKUP((YEAR($A176)+IF(MONTH($A176)&gt;=10,1,0))&amp;"|Seattle|"&amp;MONTH($A176),Rates!$A$2:$I$181,5,FALSE()),0))</f>
        <v>0</v>
      </c>
      <c r="AO176" s="14" t="n">
        <f aca="false">IF(OR($A176="",$A176&gt;=Parameters!$B$14),1,IF(AND(AN176&gt;0,CityData!F7&lt;=AN176),1,0))</f>
        <v>1</v>
      </c>
    </row>
    <row r="177" customFormat="false" ht="15" hidden="false" customHeight="true" outlineLevel="0" collapsed="false">
      <c r="A177" s="23" t="str">
        <f aca="false">IF(AND(Parameters!$B$14&gt;=Parameters!$B$13,ROW()-2&lt;=Parameters!$B$14-Parameters!$B$13),Parameters!$B$13+ROW()-2,"")</f>
        <v/>
      </c>
      <c r="B177" s="14" t="n">
        <f aca="false">IF($A177="",0,IFERROR(VLOOKUP((YEAR($A177)+IF(MONTH($A177)&gt;=10,1,0))&amp;"|Boston|"&amp;MONTH($A177),Rates!$A$2:$I$181,6,FALSE()),0))</f>
        <v>0</v>
      </c>
      <c r="C177" s="14" t="n">
        <f aca="false">IF(B177=0,0,VLOOKUP(B177,MIE_Components!$A$2:$F$6,2,FALSE()))</f>
        <v>0</v>
      </c>
      <c r="D177" s="14" t="n">
        <f aca="false">IF(B177=0,0,VLOOKUP(B177,MIE_Components!$A$2:$F$6,3,FALSE()))</f>
        <v>0</v>
      </c>
      <c r="E177" s="14" t="n">
        <f aca="false">IF(B177=0,0,VLOOKUP(B177,MIE_Components!$A$2:$F$6,4,FALSE()))</f>
        <v>0</v>
      </c>
      <c r="F177" s="14" t="n">
        <f aca="false">IF(OR($A177="",B177=0),0,MAX(5,B177*IF(OR($A177=Parameters!$B$13,$A177=Parameters!$B$14),0.75,1)-(IF(AND($A177=DATE(2026,11,29),NOV29BF="Yes"),C177,0)+IF(OR($A177=DATE(2026,11,29),$A177=DATE(2026,11,30),$A177=DATE(2026,12,1),$A177=DATE(2026,12,2)),D177,0)+IF(OR($A177=DATE(2026,11,28),$A177=DATE(2026,12,1)),E177,0))))</f>
        <v>0</v>
      </c>
      <c r="G177" s="14" t="n">
        <f aca="false">IF(AND($A177&lt;&gt;"",$A177&lt;Parameters!$B$14),CityData!F3*(1+TAXRATE),0)</f>
        <v>0</v>
      </c>
      <c r="H177" s="14" t="n">
        <f aca="false">IF($A177="",0,IFERROR(VLOOKUP((YEAR($A177)+IF(MONTH($A177)&gt;=10,1,0))&amp;"|Boston|"&amp;MONTH($A177),Rates!$A$2:$I$181,5,FALSE()),0))</f>
        <v>0</v>
      </c>
      <c r="I177" s="14" t="n">
        <f aca="false">IF(OR($A177="",$A177&gt;=Parameters!$B$14),1,IF(AND(H177&gt;0,CityData!F3&lt;=H177),1,0))</f>
        <v>1</v>
      </c>
      <c r="J177" s="14" t="n">
        <f aca="false">IF($A177="",0,IFERROR(VLOOKUP((YEAR($A177)+IF(MONTH($A177)&gt;=10,1,0))&amp;"|Chicago|"&amp;MONTH($A177),Rates!$A$2:$I$181,6,FALSE()),0))</f>
        <v>0</v>
      </c>
      <c r="K177" s="14" t="n">
        <f aca="false">IF(J177=0,0,VLOOKUP(J177,MIE_Components!$A$2:$F$6,2,FALSE()))</f>
        <v>0</v>
      </c>
      <c r="L177" s="14" t="n">
        <f aca="false">IF(J177=0,0,VLOOKUP(J177,MIE_Components!$A$2:$F$6,3,FALSE()))</f>
        <v>0</v>
      </c>
      <c r="M177" s="14" t="n">
        <f aca="false">IF(J177=0,0,VLOOKUP(J177,MIE_Components!$A$2:$F$6,4,FALSE()))</f>
        <v>0</v>
      </c>
      <c r="N177" s="14" t="n">
        <f aca="false">IF(OR($A177="",J177=0),0,MAX(5,J177*IF(OR($A177=Parameters!$B$13,$A177=Parameters!$B$14),0.75,1)-(IF(AND($A177=DATE(2026,11,29),NOV29BF="Yes"),K177,0)+IF(OR($A177=DATE(2026,11,29),$A177=DATE(2026,11,30),$A177=DATE(2026,12,1),$A177=DATE(2026,12,2)),L177,0)+IF(OR($A177=DATE(2026,11,28),$A177=DATE(2026,12,1)),M177,0))))</f>
        <v>0</v>
      </c>
      <c r="O177" s="14" t="n">
        <f aca="false">IF(AND($A177&lt;&gt;"",$A177&lt;Parameters!$B$14),CityData!F4*(1+TAXRATE),0)</f>
        <v>0</v>
      </c>
      <c r="P177" s="14" t="n">
        <f aca="false">IF($A177="",0,IFERROR(VLOOKUP((YEAR($A177)+IF(MONTH($A177)&gt;=10,1,0))&amp;"|Chicago|"&amp;MONTH($A177),Rates!$A$2:$I$181,5,FALSE()),0))</f>
        <v>0</v>
      </c>
      <c r="Q177" s="14" t="n">
        <f aca="false">IF(OR($A177="",$A177&gt;=Parameters!$B$14),1,IF(AND(P177&gt;0,CityData!F4&lt;=P177),1,0))</f>
        <v>1</v>
      </c>
      <c r="R177" s="14" t="n">
        <f aca="false">IF($A177="",0,IFERROR(VLOOKUP((YEAR($A177)+IF(MONTH($A177)&gt;=10,1,0))&amp;"|Denver|"&amp;MONTH($A177),Rates!$A$2:$I$181,6,FALSE()),0))</f>
        <v>0</v>
      </c>
      <c r="S177" s="14" t="n">
        <f aca="false">IF(R177=0,0,VLOOKUP(R177,MIE_Components!$A$2:$F$6,2,FALSE()))</f>
        <v>0</v>
      </c>
      <c r="T177" s="14" t="n">
        <f aca="false">IF(R177=0,0,VLOOKUP(R177,MIE_Components!$A$2:$F$6,3,FALSE()))</f>
        <v>0</v>
      </c>
      <c r="U177" s="14" t="n">
        <f aca="false">IF(R177=0,0,VLOOKUP(R177,MIE_Components!$A$2:$F$6,4,FALSE()))</f>
        <v>0</v>
      </c>
      <c r="V177" s="14" t="n">
        <f aca="false">IF(OR($A177="",R177=0),0,MAX(5,R177*IF(OR($A177=Parameters!$B$13,$A177=Parameters!$B$14),0.75,1)-(IF(AND($A177=DATE(2026,11,29),NOV29BF="Yes"),S177,0)+IF(OR($A177=DATE(2026,11,29),$A177=DATE(2026,11,30),$A177=DATE(2026,12,1),$A177=DATE(2026,12,2)),T177,0)+IF(OR($A177=DATE(2026,11,28),$A177=DATE(2026,12,1)),U177,0))))</f>
        <v>0</v>
      </c>
      <c r="W177" s="14" t="n">
        <f aca="false">IF(AND($A177&lt;&gt;"",$A177&lt;Parameters!$B$14),CityData!F5*(1+TAXRATE),0)</f>
        <v>0</v>
      </c>
      <c r="X177" s="14" t="n">
        <f aca="false">IF($A177="",0,IFERROR(VLOOKUP((YEAR($A177)+IF(MONTH($A177)&gt;=10,1,0))&amp;"|Denver|"&amp;MONTH($A177),Rates!$A$2:$I$181,5,FALSE()),0))</f>
        <v>0</v>
      </c>
      <c r="Y177" s="14" t="n">
        <f aca="false">IF(OR($A177="",$A177&gt;=Parameters!$B$14),1,IF(AND(X177&gt;0,CityData!F5&lt;=X177),1,0))</f>
        <v>1</v>
      </c>
      <c r="Z177" s="14" t="n">
        <f aca="false">IF($A177="",0,IFERROR(VLOOKUP((YEAR($A177)+IF(MONTH($A177)&gt;=10,1,0))&amp;"|Phoenix|"&amp;MONTH($A177),Rates!$A$2:$I$181,6,FALSE()),0))</f>
        <v>0</v>
      </c>
      <c r="AA177" s="14" t="n">
        <f aca="false">IF(Z177=0,0,VLOOKUP(Z177,MIE_Components!$A$2:$F$6,2,FALSE()))</f>
        <v>0</v>
      </c>
      <c r="AB177" s="14" t="n">
        <f aca="false">IF(Z177=0,0,VLOOKUP(Z177,MIE_Components!$A$2:$F$6,3,FALSE()))</f>
        <v>0</v>
      </c>
      <c r="AC177" s="14" t="n">
        <f aca="false">IF(Z177=0,0,VLOOKUP(Z177,MIE_Components!$A$2:$F$6,4,FALSE()))</f>
        <v>0</v>
      </c>
      <c r="AD177" s="14" t="n">
        <f aca="false">IF(OR($A177="",Z177=0),0,MAX(5,Z177*IF(OR($A177=Parameters!$B$13,$A177=Parameters!$B$14),0.75,1)-(IF(AND($A177=DATE(2026,11,29),NOV29BF="Yes"),AA177,0)+IF(OR($A177=DATE(2026,11,29),$A177=DATE(2026,11,30),$A177=DATE(2026,12,1),$A177=DATE(2026,12,2)),AB177,0)+IF(OR($A177=DATE(2026,11,28),$A177=DATE(2026,12,1)),AC177,0))))</f>
        <v>0</v>
      </c>
      <c r="AE177" s="14" t="n">
        <f aca="false">IF(AND($A177&lt;&gt;"",$A177&lt;Parameters!$B$14),CityData!F6*(1+TAXRATE),0)</f>
        <v>0</v>
      </c>
      <c r="AF177" s="14" t="n">
        <f aca="false">IF($A177="",0,IFERROR(VLOOKUP((YEAR($A177)+IF(MONTH($A177)&gt;=10,1,0))&amp;"|Phoenix|"&amp;MONTH($A177),Rates!$A$2:$I$181,5,FALSE()),0))</f>
        <v>0</v>
      </c>
      <c r="AG177" s="14" t="n">
        <f aca="false">IF(OR($A177="",$A177&gt;=Parameters!$B$14),1,IF(AND(AF177&gt;0,CityData!F6&lt;=AF177),1,0))</f>
        <v>1</v>
      </c>
      <c r="AH177" s="14" t="n">
        <f aca="false">IF($A177="",0,IFERROR(VLOOKUP((YEAR($A177)+IF(MONTH($A177)&gt;=10,1,0))&amp;"|Seattle|"&amp;MONTH($A177),Rates!$A$2:$I$181,6,FALSE()),0))</f>
        <v>0</v>
      </c>
      <c r="AI177" s="14" t="n">
        <f aca="false">IF(AH177=0,0,VLOOKUP(AH177,MIE_Components!$A$2:$F$6,2,FALSE()))</f>
        <v>0</v>
      </c>
      <c r="AJ177" s="14" t="n">
        <f aca="false">IF(AH177=0,0,VLOOKUP(AH177,MIE_Components!$A$2:$F$6,3,FALSE()))</f>
        <v>0</v>
      </c>
      <c r="AK177" s="14" t="n">
        <f aca="false">IF(AH177=0,0,VLOOKUP(AH177,MIE_Components!$A$2:$F$6,4,FALSE()))</f>
        <v>0</v>
      </c>
      <c r="AL177" s="14" t="n">
        <f aca="false">IF(OR($A177="",AH177=0),0,MAX(5,AH177*IF(OR($A177=Parameters!$B$13,$A177=Parameters!$B$14),0.75,1)-(IF(AND($A177=DATE(2026,11,29),NOV29BF="Yes"),AI177,0)+IF(OR($A177=DATE(2026,11,29),$A177=DATE(2026,11,30),$A177=DATE(2026,12,1),$A177=DATE(2026,12,2)),AJ177,0)+IF(OR($A177=DATE(2026,11,28),$A177=DATE(2026,12,1)),AK177,0))))</f>
        <v>0</v>
      </c>
      <c r="AM177" s="14" t="n">
        <f aca="false">IF(AND($A177&lt;&gt;"",$A177&lt;Parameters!$B$14),CityData!F7*(1+TAXRATE),0)</f>
        <v>0</v>
      </c>
      <c r="AN177" s="14" t="n">
        <f aca="false">IF($A177="",0,IFERROR(VLOOKUP((YEAR($A177)+IF(MONTH($A177)&gt;=10,1,0))&amp;"|Seattle|"&amp;MONTH($A177),Rates!$A$2:$I$181,5,FALSE()),0))</f>
        <v>0</v>
      </c>
      <c r="AO177" s="14" t="n">
        <f aca="false">IF(OR($A177="",$A177&gt;=Parameters!$B$14),1,IF(AND(AN177&gt;0,CityData!F7&lt;=AN177),1,0))</f>
        <v>1</v>
      </c>
    </row>
    <row r="178" customFormat="false" ht="15" hidden="false" customHeight="true" outlineLevel="0" collapsed="false">
      <c r="A178" s="23" t="str">
        <f aca="false">IF(AND(Parameters!$B$14&gt;=Parameters!$B$13,ROW()-2&lt;=Parameters!$B$14-Parameters!$B$13),Parameters!$B$13+ROW()-2,"")</f>
        <v/>
      </c>
      <c r="B178" s="14" t="n">
        <f aca="false">IF($A178="",0,IFERROR(VLOOKUP((YEAR($A178)+IF(MONTH($A178)&gt;=10,1,0))&amp;"|Boston|"&amp;MONTH($A178),Rates!$A$2:$I$181,6,FALSE()),0))</f>
        <v>0</v>
      </c>
      <c r="C178" s="14" t="n">
        <f aca="false">IF(B178=0,0,VLOOKUP(B178,MIE_Components!$A$2:$F$6,2,FALSE()))</f>
        <v>0</v>
      </c>
      <c r="D178" s="14" t="n">
        <f aca="false">IF(B178=0,0,VLOOKUP(B178,MIE_Components!$A$2:$F$6,3,FALSE()))</f>
        <v>0</v>
      </c>
      <c r="E178" s="14" t="n">
        <f aca="false">IF(B178=0,0,VLOOKUP(B178,MIE_Components!$A$2:$F$6,4,FALSE()))</f>
        <v>0</v>
      </c>
      <c r="F178" s="14" t="n">
        <f aca="false">IF(OR($A178="",B178=0),0,MAX(5,B178*IF(OR($A178=Parameters!$B$13,$A178=Parameters!$B$14),0.75,1)-(IF(AND($A178=DATE(2026,11,29),NOV29BF="Yes"),C178,0)+IF(OR($A178=DATE(2026,11,29),$A178=DATE(2026,11,30),$A178=DATE(2026,12,1),$A178=DATE(2026,12,2)),D178,0)+IF(OR($A178=DATE(2026,11,28),$A178=DATE(2026,12,1)),E178,0))))</f>
        <v>0</v>
      </c>
      <c r="G178" s="14" t="n">
        <f aca="false">IF(AND($A178&lt;&gt;"",$A178&lt;Parameters!$B$14),CityData!F3*(1+TAXRATE),0)</f>
        <v>0</v>
      </c>
      <c r="H178" s="14" t="n">
        <f aca="false">IF($A178="",0,IFERROR(VLOOKUP((YEAR($A178)+IF(MONTH($A178)&gt;=10,1,0))&amp;"|Boston|"&amp;MONTH($A178),Rates!$A$2:$I$181,5,FALSE()),0))</f>
        <v>0</v>
      </c>
      <c r="I178" s="14" t="n">
        <f aca="false">IF(OR($A178="",$A178&gt;=Parameters!$B$14),1,IF(AND(H178&gt;0,CityData!F3&lt;=H178),1,0))</f>
        <v>1</v>
      </c>
      <c r="J178" s="14" t="n">
        <f aca="false">IF($A178="",0,IFERROR(VLOOKUP((YEAR($A178)+IF(MONTH($A178)&gt;=10,1,0))&amp;"|Chicago|"&amp;MONTH($A178),Rates!$A$2:$I$181,6,FALSE()),0))</f>
        <v>0</v>
      </c>
      <c r="K178" s="14" t="n">
        <f aca="false">IF(J178=0,0,VLOOKUP(J178,MIE_Components!$A$2:$F$6,2,FALSE()))</f>
        <v>0</v>
      </c>
      <c r="L178" s="14" t="n">
        <f aca="false">IF(J178=0,0,VLOOKUP(J178,MIE_Components!$A$2:$F$6,3,FALSE()))</f>
        <v>0</v>
      </c>
      <c r="M178" s="14" t="n">
        <f aca="false">IF(J178=0,0,VLOOKUP(J178,MIE_Components!$A$2:$F$6,4,FALSE()))</f>
        <v>0</v>
      </c>
      <c r="N178" s="14" t="n">
        <f aca="false">IF(OR($A178="",J178=0),0,MAX(5,J178*IF(OR($A178=Parameters!$B$13,$A178=Parameters!$B$14),0.75,1)-(IF(AND($A178=DATE(2026,11,29),NOV29BF="Yes"),K178,0)+IF(OR($A178=DATE(2026,11,29),$A178=DATE(2026,11,30),$A178=DATE(2026,12,1),$A178=DATE(2026,12,2)),L178,0)+IF(OR($A178=DATE(2026,11,28),$A178=DATE(2026,12,1)),M178,0))))</f>
        <v>0</v>
      </c>
      <c r="O178" s="14" t="n">
        <f aca="false">IF(AND($A178&lt;&gt;"",$A178&lt;Parameters!$B$14),CityData!F4*(1+TAXRATE),0)</f>
        <v>0</v>
      </c>
      <c r="P178" s="14" t="n">
        <f aca="false">IF($A178="",0,IFERROR(VLOOKUP((YEAR($A178)+IF(MONTH($A178)&gt;=10,1,0))&amp;"|Chicago|"&amp;MONTH($A178),Rates!$A$2:$I$181,5,FALSE()),0))</f>
        <v>0</v>
      </c>
      <c r="Q178" s="14" t="n">
        <f aca="false">IF(OR($A178="",$A178&gt;=Parameters!$B$14),1,IF(AND(P178&gt;0,CityData!F4&lt;=P178),1,0))</f>
        <v>1</v>
      </c>
      <c r="R178" s="14" t="n">
        <f aca="false">IF($A178="",0,IFERROR(VLOOKUP((YEAR($A178)+IF(MONTH($A178)&gt;=10,1,0))&amp;"|Denver|"&amp;MONTH($A178),Rates!$A$2:$I$181,6,FALSE()),0))</f>
        <v>0</v>
      </c>
      <c r="S178" s="14" t="n">
        <f aca="false">IF(R178=0,0,VLOOKUP(R178,MIE_Components!$A$2:$F$6,2,FALSE()))</f>
        <v>0</v>
      </c>
      <c r="T178" s="14" t="n">
        <f aca="false">IF(R178=0,0,VLOOKUP(R178,MIE_Components!$A$2:$F$6,3,FALSE()))</f>
        <v>0</v>
      </c>
      <c r="U178" s="14" t="n">
        <f aca="false">IF(R178=0,0,VLOOKUP(R178,MIE_Components!$A$2:$F$6,4,FALSE()))</f>
        <v>0</v>
      </c>
      <c r="V178" s="14" t="n">
        <f aca="false">IF(OR($A178="",R178=0),0,MAX(5,R178*IF(OR($A178=Parameters!$B$13,$A178=Parameters!$B$14),0.75,1)-(IF(AND($A178=DATE(2026,11,29),NOV29BF="Yes"),S178,0)+IF(OR($A178=DATE(2026,11,29),$A178=DATE(2026,11,30),$A178=DATE(2026,12,1),$A178=DATE(2026,12,2)),T178,0)+IF(OR($A178=DATE(2026,11,28),$A178=DATE(2026,12,1)),U178,0))))</f>
        <v>0</v>
      </c>
      <c r="W178" s="14" t="n">
        <f aca="false">IF(AND($A178&lt;&gt;"",$A178&lt;Parameters!$B$14),CityData!F5*(1+TAXRATE),0)</f>
        <v>0</v>
      </c>
      <c r="X178" s="14" t="n">
        <f aca="false">IF($A178="",0,IFERROR(VLOOKUP((YEAR($A178)+IF(MONTH($A178)&gt;=10,1,0))&amp;"|Denver|"&amp;MONTH($A178),Rates!$A$2:$I$181,5,FALSE()),0))</f>
        <v>0</v>
      </c>
      <c r="Y178" s="14" t="n">
        <f aca="false">IF(OR($A178="",$A178&gt;=Parameters!$B$14),1,IF(AND(X178&gt;0,CityData!F5&lt;=X178),1,0))</f>
        <v>1</v>
      </c>
      <c r="Z178" s="14" t="n">
        <f aca="false">IF($A178="",0,IFERROR(VLOOKUP((YEAR($A178)+IF(MONTH($A178)&gt;=10,1,0))&amp;"|Phoenix|"&amp;MONTH($A178),Rates!$A$2:$I$181,6,FALSE()),0))</f>
        <v>0</v>
      </c>
      <c r="AA178" s="14" t="n">
        <f aca="false">IF(Z178=0,0,VLOOKUP(Z178,MIE_Components!$A$2:$F$6,2,FALSE()))</f>
        <v>0</v>
      </c>
      <c r="AB178" s="14" t="n">
        <f aca="false">IF(Z178=0,0,VLOOKUP(Z178,MIE_Components!$A$2:$F$6,3,FALSE()))</f>
        <v>0</v>
      </c>
      <c r="AC178" s="14" t="n">
        <f aca="false">IF(Z178=0,0,VLOOKUP(Z178,MIE_Components!$A$2:$F$6,4,FALSE()))</f>
        <v>0</v>
      </c>
      <c r="AD178" s="14" t="n">
        <f aca="false">IF(OR($A178="",Z178=0),0,MAX(5,Z178*IF(OR($A178=Parameters!$B$13,$A178=Parameters!$B$14),0.75,1)-(IF(AND($A178=DATE(2026,11,29),NOV29BF="Yes"),AA178,0)+IF(OR($A178=DATE(2026,11,29),$A178=DATE(2026,11,30),$A178=DATE(2026,12,1),$A178=DATE(2026,12,2)),AB178,0)+IF(OR($A178=DATE(2026,11,28),$A178=DATE(2026,12,1)),AC178,0))))</f>
        <v>0</v>
      </c>
      <c r="AE178" s="14" t="n">
        <f aca="false">IF(AND($A178&lt;&gt;"",$A178&lt;Parameters!$B$14),CityData!F6*(1+TAXRATE),0)</f>
        <v>0</v>
      </c>
      <c r="AF178" s="14" t="n">
        <f aca="false">IF($A178="",0,IFERROR(VLOOKUP((YEAR($A178)+IF(MONTH($A178)&gt;=10,1,0))&amp;"|Phoenix|"&amp;MONTH($A178),Rates!$A$2:$I$181,5,FALSE()),0))</f>
        <v>0</v>
      </c>
      <c r="AG178" s="14" t="n">
        <f aca="false">IF(OR($A178="",$A178&gt;=Parameters!$B$14),1,IF(AND(AF178&gt;0,CityData!F6&lt;=AF178),1,0))</f>
        <v>1</v>
      </c>
      <c r="AH178" s="14" t="n">
        <f aca="false">IF($A178="",0,IFERROR(VLOOKUP((YEAR($A178)+IF(MONTH($A178)&gt;=10,1,0))&amp;"|Seattle|"&amp;MONTH($A178),Rates!$A$2:$I$181,6,FALSE()),0))</f>
        <v>0</v>
      </c>
      <c r="AI178" s="14" t="n">
        <f aca="false">IF(AH178=0,0,VLOOKUP(AH178,MIE_Components!$A$2:$F$6,2,FALSE()))</f>
        <v>0</v>
      </c>
      <c r="AJ178" s="14" t="n">
        <f aca="false">IF(AH178=0,0,VLOOKUP(AH178,MIE_Components!$A$2:$F$6,3,FALSE()))</f>
        <v>0</v>
      </c>
      <c r="AK178" s="14" t="n">
        <f aca="false">IF(AH178=0,0,VLOOKUP(AH178,MIE_Components!$A$2:$F$6,4,FALSE()))</f>
        <v>0</v>
      </c>
      <c r="AL178" s="14" t="n">
        <f aca="false">IF(OR($A178="",AH178=0),0,MAX(5,AH178*IF(OR($A178=Parameters!$B$13,$A178=Parameters!$B$14),0.75,1)-(IF(AND($A178=DATE(2026,11,29),NOV29BF="Yes"),AI178,0)+IF(OR($A178=DATE(2026,11,29),$A178=DATE(2026,11,30),$A178=DATE(2026,12,1),$A178=DATE(2026,12,2)),AJ178,0)+IF(OR($A178=DATE(2026,11,28),$A178=DATE(2026,12,1)),AK178,0))))</f>
        <v>0</v>
      </c>
      <c r="AM178" s="14" t="n">
        <f aca="false">IF(AND($A178&lt;&gt;"",$A178&lt;Parameters!$B$14),CityData!F7*(1+TAXRATE),0)</f>
        <v>0</v>
      </c>
      <c r="AN178" s="14" t="n">
        <f aca="false">IF($A178="",0,IFERROR(VLOOKUP((YEAR($A178)+IF(MONTH($A178)&gt;=10,1,0))&amp;"|Seattle|"&amp;MONTH($A178),Rates!$A$2:$I$181,5,FALSE()),0))</f>
        <v>0</v>
      </c>
      <c r="AO178" s="14" t="n">
        <f aca="false">IF(OR($A178="",$A178&gt;=Parameters!$B$14),1,IF(AND(AN178&gt;0,CityData!F7&lt;=AN178),1,0))</f>
        <v>1</v>
      </c>
    </row>
    <row r="179" customFormat="false" ht="15" hidden="false" customHeight="true" outlineLevel="0" collapsed="false">
      <c r="A179" s="23" t="str">
        <f aca="false">IF(AND(Parameters!$B$14&gt;=Parameters!$B$13,ROW()-2&lt;=Parameters!$B$14-Parameters!$B$13),Parameters!$B$13+ROW()-2,"")</f>
        <v/>
      </c>
      <c r="B179" s="14" t="n">
        <f aca="false">IF($A179="",0,IFERROR(VLOOKUP((YEAR($A179)+IF(MONTH($A179)&gt;=10,1,0))&amp;"|Boston|"&amp;MONTH($A179),Rates!$A$2:$I$181,6,FALSE()),0))</f>
        <v>0</v>
      </c>
      <c r="C179" s="14" t="n">
        <f aca="false">IF(B179=0,0,VLOOKUP(B179,MIE_Components!$A$2:$F$6,2,FALSE()))</f>
        <v>0</v>
      </c>
      <c r="D179" s="14" t="n">
        <f aca="false">IF(B179=0,0,VLOOKUP(B179,MIE_Components!$A$2:$F$6,3,FALSE()))</f>
        <v>0</v>
      </c>
      <c r="E179" s="14" t="n">
        <f aca="false">IF(B179=0,0,VLOOKUP(B179,MIE_Components!$A$2:$F$6,4,FALSE()))</f>
        <v>0</v>
      </c>
      <c r="F179" s="14" t="n">
        <f aca="false">IF(OR($A179="",B179=0),0,MAX(5,B179*IF(OR($A179=Parameters!$B$13,$A179=Parameters!$B$14),0.75,1)-(IF(AND($A179=DATE(2026,11,29),NOV29BF="Yes"),C179,0)+IF(OR($A179=DATE(2026,11,29),$A179=DATE(2026,11,30),$A179=DATE(2026,12,1),$A179=DATE(2026,12,2)),D179,0)+IF(OR($A179=DATE(2026,11,28),$A179=DATE(2026,12,1)),E179,0))))</f>
        <v>0</v>
      </c>
      <c r="G179" s="14" t="n">
        <f aca="false">IF(AND($A179&lt;&gt;"",$A179&lt;Parameters!$B$14),CityData!F3*(1+TAXRATE),0)</f>
        <v>0</v>
      </c>
      <c r="H179" s="14" t="n">
        <f aca="false">IF($A179="",0,IFERROR(VLOOKUP((YEAR($A179)+IF(MONTH($A179)&gt;=10,1,0))&amp;"|Boston|"&amp;MONTH($A179),Rates!$A$2:$I$181,5,FALSE()),0))</f>
        <v>0</v>
      </c>
      <c r="I179" s="14" t="n">
        <f aca="false">IF(OR($A179="",$A179&gt;=Parameters!$B$14),1,IF(AND(H179&gt;0,CityData!F3&lt;=H179),1,0))</f>
        <v>1</v>
      </c>
      <c r="J179" s="14" t="n">
        <f aca="false">IF($A179="",0,IFERROR(VLOOKUP((YEAR($A179)+IF(MONTH($A179)&gt;=10,1,0))&amp;"|Chicago|"&amp;MONTH($A179),Rates!$A$2:$I$181,6,FALSE()),0))</f>
        <v>0</v>
      </c>
      <c r="K179" s="14" t="n">
        <f aca="false">IF(J179=0,0,VLOOKUP(J179,MIE_Components!$A$2:$F$6,2,FALSE()))</f>
        <v>0</v>
      </c>
      <c r="L179" s="14" t="n">
        <f aca="false">IF(J179=0,0,VLOOKUP(J179,MIE_Components!$A$2:$F$6,3,FALSE()))</f>
        <v>0</v>
      </c>
      <c r="M179" s="14" t="n">
        <f aca="false">IF(J179=0,0,VLOOKUP(J179,MIE_Components!$A$2:$F$6,4,FALSE()))</f>
        <v>0</v>
      </c>
      <c r="N179" s="14" t="n">
        <f aca="false">IF(OR($A179="",J179=0),0,MAX(5,J179*IF(OR($A179=Parameters!$B$13,$A179=Parameters!$B$14),0.75,1)-(IF(AND($A179=DATE(2026,11,29),NOV29BF="Yes"),K179,0)+IF(OR($A179=DATE(2026,11,29),$A179=DATE(2026,11,30),$A179=DATE(2026,12,1),$A179=DATE(2026,12,2)),L179,0)+IF(OR($A179=DATE(2026,11,28),$A179=DATE(2026,12,1)),M179,0))))</f>
        <v>0</v>
      </c>
      <c r="O179" s="14" t="n">
        <f aca="false">IF(AND($A179&lt;&gt;"",$A179&lt;Parameters!$B$14),CityData!F4*(1+TAXRATE),0)</f>
        <v>0</v>
      </c>
      <c r="P179" s="14" t="n">
        <f aca="false">IF($A179="",0,IFERROR(VLOOKUP((YEAR($A179)+IF(MONTH($A179)&gt;=10,1,0))&amp;"|Chicago|"&amp;MONTH($A179),Rates!$A$2:$I$181,5,FALSE()),0))</f>
        <v>0</v>
      </c>
      <c r="Q179" s="14" t="n">
        <f aca="false">IF(OR($A179="",$A179&gt;=Parameters!$B$14),1,IF(AND(P179&gt;0,CityData!F4&lt;=P179),1,0))</f>
        <v>1</v>
      </c>
      <c r="R179" s="14" t="n">
        <f aca="false">IF($A179="",0,IFERROR(VLOOKUP((YEAR($A179)+IF(MONTH($A179)&gt;=10,1,0))&amp;"|Denver|"&amp;MONTH($A179),Rates!$A$2:$I$181,6,FALSE()),0))</f>
        <v>0</v>
      </c>
      <c r="S179" s="14" t="n">
        <f aca="false">IF(R179=0,0,VLOOKUP(R179,MIE_Components!$A$2:$F$6,2,FALSE()))</f>
        <v>0</v>
      </c>
      <c r="T179" s="14" t="n">
        <f aca="false">IF(R179=0,0,VLOOKUP(R179,MIE_Components!$A$2:$F$6,3,FALSE()))</f>
        <v>0</v>
      </c>
      <c r="U179" s="14" t="n">
        <f aca="false">IF(R179=0,0,VLOOKUP(R179,MIE_Components!$A$2:$F$6,4,FALSE()))</f>
        <v>0</v>
      </c>
      <c r="V179" s="14" t="n">
        <f aca="false">IF(OR($A179="",R179=0),0,MAX(5,R179*IF(OR($A179=Parameters!$B$13,$A179=Parameters!$B$14),0.75,1)-(IF(AND($A179=DATE(2026,11,29),NOV29BF="Yes"),S179,0)+IF(OR($A179=DATE(2026,11,29),$A179=DATE(2026,11,30),$A179=DATE(2026,12,1),$A179=DATE(2026,12,2)),T179,0)+IF(OR($A179=DATE(2026,11,28),$A179=DATE(2026,12,1)),U179,0))))</f>
        <v>0</v>
      </c>
      <c r="W179" s="14" t="n">
        <f aca="false">IF(AND($A179&lt;&gt;"",$A179&lt;Parameters!$B$14),CityData!F5*(1+TAXRATE),0)</f>
        <v>0</v>
      </c>
      <c r="X179" s="14" t="n">
        <f aca="false">IF($A179="",0,IFERROR(VLOOKUP((YEAR($A179)+IF(MONTH($A179)&gt;=10,1,0))&amp;"|Denver|"&amp;MONTH($A179),Rates!$A$2:$I$181,5,FALSE()),0))</f>
        <v>0</v>
      </c>
      <c r="Y179" s="14" t="n">
        <f aca="false">IF(OR($A179="",$A179&gt;=Parameters!$B$14),1,IF(AND(X179&gt;0,CityData!F5&lt;=X179),1,0))</f>
        <v>1</v>
      </c>
      <c r="Z179" s="14" t="n">
        <f aca="false">IF($A179="",0,IFERROR(VLOOKUP((YEAR($A179)+IF(MONTH($A179)&gt;=10,1,0))&amp;"|Phoenix|"&amp;MONTH($A179),Rates!$A$2:$I$181,6,FALSE()),0))</f>
        <v>0</v>
      </c>
      <c r="AA179" s="14" t="n">
        <f aca="false">IF(Z179=0,0,VLOOKUP(Z179,MIE_Components!$A$2:$F$6,2,FALSE()))</f>
        <v>0</v>
      </c>
      <c r="AB179" s="14" t="n">
        <f aca="false">IF(Z179=0,0,VLOOKUP(Z179,MIE_Components!$A$2:$F$6,3,FALSE()))</f>
        <v>0</v>
      </c>
      <c r="AC179" s="14" t="n">
        <f aca="false">IF(Z179=0,0,VLOOKUP(Z179,MIE_Components!$A$2:$F$6,4,FALSE()))</f>
        <v>0</v>
      </c>
      <c r="AD179" s="14" t="n">
        <f aca="false">IF(OR($A179="",Z179=0),0,MAX(5,Z179*IF(OR($A179=Parameters!$B$13,$A179=Parameters!$B$14),0.75,1)-(IF(AND($A179=DATE(2026,11,29),NOV29BF="Yes"),AA179,0)+IF(OR($A179=DATE(2026,11,29),$A179=DATE(2026,11,30),$A179=DATE(2026,12,1),$A179=DATE(2026,12,2)),AB179,0)+IF(OR($A179=DATE(2026,11,28),$A179=DATE(2026,12,1)),AC179,0))))</f>
        <v>0</v>
      </c>
      <c r="AE179" s="14" t="n">
        <f aca="false">IF(AND($A179&lt;&gt;"",$A179&lt;Parameters!$B$14),CityData!F6*(1+TAXRATE),0)</f>
        <v>0</v>
      </c>
      <c r="AF179" s="14" t="n">
        <f aca="false">IF($A179="",0,IFERROR(VLOOKUP((YEAR($A179)+IF(MONTH($A179)&gt;=10,1,0))&amp;"|Phoenix|"&amp;MONTH($A179),Rates!$A$2:$I$181,5,FALSE()),0))</f>
        <v>0</v>
      </c>
      <c r="AG179" s="14" t="n">
        <f aca="false">IF(OR($A179="",$A179&gt;=Parameters!$B$14),1,IF(AND(AF179&gt;0,CityData!F6&lt;=AF179),1,0))</f>
        <v>1</v>
      </c>
      <c r="AH179" s="14" t="n">
        <f aca="false">IF($A179="",0,IFERROR(VLOOKUP((YEAR($A179)+IF(MONTH($A179)&gt;=10,1,0))&amp;"|Seattle|"&amp;MONTH($A179),Rates!$A$2:$I$181,6,FALSE()),0))</f>
        <v>0</v>
      </c>
      <c r="AI179" s="14" t="n">
        <f aca="false">IF(AH179=0,0,VLOOKUP(AH179,MIE_Components!$A$2:$F$6,2,FALSE()))</f>
        <v>0</v>
      </c>
      <c r="AJ179" s="14" t="n">
        <f aca="false">IF(AH179=0,0,VLOOKUP(AH179,MIE_Components!$A$2:$F$6,3,FALSE()))</f>
        <v>0</v>
      </c>
      <c r="AK179" s="14" t="n">
        <f aca="false">IF(AH179=0,0,VLOOKUP(AH179,MIE_Components!$A$2:$F$6,4,FALSE()))</f>
        <v>0</v>
      </c>
      <c r="AL179" s="14" t="n">
        <f aca="false">IF(OR($A179="",AH179=0),0,MAX(5,AH179*IF(OR($A179=Parameters!$B$13,$A179=Parameters!$B$14),0.75,1)-(IF(AND($A179=DATE(2026,11,29),NOV29BF="Yes"),AI179,0)+IF(OR($A179=DATE(2026,11,29),$A179=DATE(2026,11,30),$A179=DATE(2026,12,1),$A179=DATE(2026,12,2)),AJ179,0)+IF(OR($A179=DATE(2026,11,28),$A179=DATE(2026,12,1)),AK179,0))))</f>
        <v>0</v>
      </c>
      <c r="AM179" s="14" t="n">
        <f aca="false">IF(AND($A179&lt;&gt;"",$A179&lt;Parameters!$B$14),CityData!F7*(1+TAXRATE),0)</f>
        <v>0</v>
      </c>
      <c r="AN179" s="14" t="n">
        <f aca="false">IF($A179="",0,IFERROR(VLOOKUP((YEAR($A179)+IF(MONTH($A179)&gt;=10,1,0))&amp;"|Seattle|"&amp;MONTH($A179),Rates!$A$2:$I$181,5,FALSE()),0))</f>
        <v>0</v>
      </c>
      <c r="AO179" s="14" t="n">
        <f aca="false">IF(OR($A179="",$A179&gt;=Parameters!$B$14),1,IF(AND(AN179&gt;0,CityData!F7&lt;=AN179),1,0))</f>
        <v>1</v>
      </c>
    </row>
    <row r="180" customFormat="false" ht="15" hidden="false" customHeight="true" outlineLevel="0" collapsed="false">
      <c r="A180" s="23" t="str">
        <f aca="false">IF(AND(Parameters!$B$14&gt;=Parameters!$B$13,ROW()-2&lt;=Parameters!$B$14-Parameters!$B$13),Parameters!$B$13+ROW()-2,"")</f>
        <v/>
      </c>
      <c r="B180" s="14" t="n">
        <f aca="false">IF($A180="",0,IFERROR(VLOOKUP((YEAR($A180)+IF(MONTH($A180)&gt;=10,1,0))&amp;"|Boston|"&amp;MONTH($A180),Rates!$A$2:$I$181,6,FALSE()),0))</f>
        <v>0</v>
      </c>
      <c r="C180" s="14" t="n">
        <f aca="false">IF(B180=0,0,VLOOKUP(B180,MIE_Components!$A$2:$F$6,2,FALSE()))</f>
        <v>0</v>
      </c>
      <c r="D180" s="14" t="n">
        <f aca="false">IF(B180=0,0,VLOOKUP(B180,MIE_Components!$A$2:$F$6,3,FALSE()))</f>
        <v>0</v>
      </c>
      <c r="E180" s="14" t="n">
        <f aca="false">IF(B180=0,0,VLOOKUP(B180,MIE_Components!$A$2:$F$6,4,FALSE()))</f>
        <v>0</v>
      </c>
      <c r="F180" s="14" t="n">
        <f aca="false">IF(OR($A180="",B180=0),0,MAX(5,B180*IF(OR($A180=Parameters!$B$13,$A180=Parameters!$B$14),0.75,1)-(IF(AND($A180=DATE(2026,11,29),NOV29BF="Yes"),C180,0)+IF(OR($A180=DATE(2026,11,29),$A180=DATE(2026,11,30),$A180=DATE(2026,12,1),$A180=DATE(2026,12,2)),D180,0)+IF(OR($A180=DATE(2026,11,28),$A180=DATE(2026,12,1)),E180,0))))</f>
        <v>0</v>
      </c>
      <c r="G180" s="14" t="n">
        <f aca="false">IF(AND($A180&lt;&gt;"",$A180&lt;Parameters!$B$14),CityData!F3*(1+TAXRATE),0)</f>
        <v>0</v>
      </c>
      <c r="H180" s="14" t="n">
        <f aca="false">IF($A180="",0,IFERROR(VLOOKUP((YEAR($A180)+IF(MONTH($A180)&gt;=10,1,0))&amp;"|Boston|"&amp;MONTH($A180),Rates!$A$2:$I$181,5,FALSE()),0))</f>
        <v>0</v>
      </c>
      <c r="I180" s="14" t="n">
        <f aca="false">IF(OR($A180="",$A180&gt;=Parameters!$B$14),1,IF(AND(H180&gt;0,CityData!F3&lt;=H180),1,0))</f>
        <v>1</v>
      </c>
      <c r="J180" s="14" t="n">
        <f aca="false">IF($A180="",0,IFERROR(VLOOKUP((YEAR($A180)+IF(MONTH($A180)&gt;=10,1,0))&amp;"|Chicago|"&amp;MONTH($A180),Rates!$A$2:$I$181,6,FALSE()),0))</f>
        <v>0</v>
      </c>
      <c r="K180" s="14" t="n">
        <f aca="false">IF(J180=0,0,VLOOKUP(J180,MIE_Components!$A$2:$F$6,2,FALSE()))</f>
        <v>0</v>
      </c>
      <c r="L180" s="14" t="n">
        <f aca="false">IF(J180=0,0,VLOOKUP(J180,MIE_Components!$A$2:$F$6,3,FALSE()))</f>
        <v>0</v>
      </c>
      <c r="M180" s="14" t="n">
        <f aca="false">IF(J180=0,0,VLOOKUP(J180,MIE_Components!$A$2:$F$6,4,FALSE()))</f>
        <v>0</v>
      </c>
      <c r="N180" s="14" t="n">
        <f aca="false">IF(OR($A180="",J180=0),0,MAX(5,J180*IF(OR($A180=Parameters!$B$13,$A180=Parameters!$B$14),0.75,1)-(IF(AND($A180=DATE(2026,11,29),NOV29BF="Yes"),K180,0)+IF(OR($A180=DATE(2026,11,29),$A180=DATE(2026,11,30),$A180=DATE(2026,12,1),$A180=DATE(2026,12,2)),L180,0)+IF(OR($A180=DATE(2026,11,28),$A180=DATE(2026,12,1)),M180,0))))</f>
        <v>0</v>
      </c>
      <c r="O180" s="14" t="n">
        <f aca="false">IF(AND($A180&lt;&gt;"",$A180&lt;Parameters!$B$14),CityData!F4*(1+TAXRATE),0)</f>
        <v>0</v>
      </c>
      <c r="P180" s="14" t="n">
        <f aca="false">IF($A180="",0,IFERROR(VLOOKUP((YEAR($A180)+IF(MONTH($A180)&gt;=10,1,0))&amp;"|Chicago|"&amp;MONTH($A180),Rates!$A$2:$I$181,5,FALSE()),0))</f>
        <v>0</v>
      </c>
      <c r="Q180" s="14" t="n">
        <f aca="false">IF(OR($A180="",$A180&gt;=Parameters!$B$14),1,IF(AND(P180&gt;0,CityData!F4&lt;=P180),1,0))</f>
        <v>1</v>
      </c>
      <c r="R180" s="14" t="n">
        <f aca="false">IF($A180="",0,IFERROR(VLOOKUP((YEAR($A180)+IF(MONTH($A180)&gt;=10,1,0))&amp;"|Denver|"&amp;MONTH($A180),Rates!$A$2:$I$181,6,FALSE()),0))</f>
        <v>0</v>
      </c>
      <c r="S180" s="14" t="n">
        <f aca="false">IF(R180=0,0,VLOOKUP(R180,MIE_Components!$A$2:$F$6,2,FALSE()))</f>
        <v>0</v>
      </c>
      <c r="T180" s="14" t="n">
        <f aca="false">IF(R180=0,0,VLOOKUP(R180,MIE_Components!$A$2:$F$6,3,FALSE()))</f>
        <v>0</v>
      </c>
      <c r="U180" s="14" t="n">
        <f aca="false">IF(R180=0,0,VLOOKUP(R180,MIE_Components!$A$2:$F$6,4,FALSE()))</f>
        <v>0</v>
      </c>
      <c r="V180" s="14" t="n">
        <f aca="false">IF(OR($A180="",R180=0),0,MAX(5,R180*IF(OR($A180=Parameters!$B$13,$A180=Parameters!$B$14),0.75,1)-(IF(AND($A180=DATE(2026,11,29),NOV29BF="Yes"),S180,0)+IF(OR($A180=DATE(2026,11,29),$A180=DATE(2026,11,30),$A180=DATE(2026,12,1),$A180=DATE(2026,12,2)),T180,0)+IF(OR($A180=DATE(2026,11,28),$A180=DATE(2026,12,1)),U180,0))))</f>
        <v>0</v>
      </c>
      <c r="W180" s="14" t="n">
        <f aca="false">IF(AND($A180&lt;&gt;"",$A180&lt;Parameters!$B$14),CityData!F5*(1+TAXRATE),0)</f>
        <v>0</v>
      </c>
      <c r="X180" s="14" t="n">
        <f aca="false">IF($A180="",0,IFERROR(VLOOKUP((YEAR($A180)+IF(MONTH($A180)&gt;=10,1,0))&amp;"|Denver|"&amp;MONTH($A180),Rates!$A$2:$I$181,5,FALSE()),0))</f>
        <v>0</v>
      </c>
      <c r="Y180" s="14" t="n">
        <f aca="false">IF(OR($A180="",$A180&gt;=Parameters!$B$14),1,IF(AND(X180&gt;0,CityData!F5&lt;=X180),1,0))</f>
        <v>1</v>
      </c>
      <c r="Z180" s="14" t="n">
        <f aca="false">IF($A180="",0,IFERROR(VLOOKUP((YEAR($A180)+IF(MONTH($A180)&gt;=10,1,0))&amp;"|Phoenix|"&amp;MONTH($A180),Rates!$A$2:$I$181,6,FALSE()),0))</f>
        <v>0</v>
      </c>
      <c r="AA180" s="14" t="n">
        <f aca="false">IF(Z180=0,0,VLOOKUP(Z180,MIE_Components!$A$2:$F$6,2,FALSE()))</f>
        <v>0</v>
      </c>
      <c r="AB180" s="14" t="n">
        <f aca="false">IF(Z180=0,0,VLOOKUP(Z180,MIE_Components!$A$2:$F$6,3,FALSE()))</f>
        <v>0</v>
      </c>
      <c r="AC180" s="14" t="n">
        <f aca="false">IF(Z180=0,0,VLOOKUP(Z180,MIE_Components!$A$2:$F$6,4,FALSE()))</f>
        <v>0</v>
      </c>
      <c r="AD180" s="14" t="n">
        <f aca="false">IF(OR($A180="",Z180=0),0,MAX(5,Z180*IF(OR($A180=Parameters!$B$13,$A180=Parameters!$B$14),0.75,1)-(IF(AND($A180=DATE(2026,11,29),NOV29BF="Yes"),AA180,0)+IF(OR($A180=DATE(2026,11,29),$A180=DATE(2026,11,30),$A180=DATE(2026,12,1),$A180=DATE(2026,12,2)),AB180,0)+IF(OR($A180=DATE(2026,11,28),$A180=DATE(2026,12,1)),AC180,0))))</f>
        <v>0</v>
      </c>
      <c r="AE180" s="14" t="n">
        <f aca="false">IF(AND($A180&lt;&gt;"",$A180&lt;Parameters!$B$14),CityData!F6*(1+TAXRATE),0)</f>
        <v>0</v>
      </c>
      <c r="AF180" s="14" t="n">
        <f aca="false">IF($A180="",0,IFERROR(VLOOKUP((YEAR($A180)+IF(MONTH($A180)&gt;=10,1,0))&amp;"|Phoenix|"&amp;MONTH($A180),Rates!$A$2:$I$181,5,FALSE()),0))</f>
        <v>0</v>
      </c>
      <c r="AG180" s="14" t="n">
        <f aca="false">IF(OR($A180="",$A180&gt;=Parameters!$B$14),1,IF(AND(AF180&gt;0,CityData!F6&lt;=AF180),1,0))</f>
        <v>1</v>
      </c>
      <c r="AH180" s="14" t="n">
        <f aca="false">IF($A180="",0,IFERROR(VLOOKUP((YEAR($A180)+IF(MONTH($A180)&gt;=10,1,0))&amp;"|Seattle|"&amp;MONTH($A180),Rates!$A$2:$I$181,6,FALSE()),0))</f>
        <v>0</v>
      </c>
      <c r="AI180" s="14" t="n">
        <f aca="false">IF(AH180=0,0,VLOOKUP(AH180,MIE_Components!$A$2:$F$6,2,FALSE()))</f>
        <v>0</v>
      </c>
      <c r="AJ180" s="14" t="n">
        <f aca="false">IF(AH180=0,0,VLOOKUP(AH180,MIE_Components!$A$2:$F$6,3,FALSE()))</f>
        <v>0</v>
      </c>
      <c r="AK180" s="14" t="n">
        <f aca="false">IF(AH180=0,0,VLOOKUP(AH180,MIE_Components!$A$2:$F$6,4,FALSE()))</f>
        <v>0</v>
      </c>
      <c r="AL180" s="14" t="n">
        <f aca="false">IF(OR($A180="",AH180=0),0,MAX(5,AH180*IF(OR($A180=Parameters!$B$13,$A180=Parameters!$B$14),0.75,1)-(IF(AND($A180=DATE(2026,11,29),NOV29BF="Yes"),AI180,0)+IF(OR($A180=DATE(2026,11,29),$A180=DATE(2026,11,30),$A180=DATE(2026,12,1),$A180=DATE(2026,12,2)),AJ180,0)+IF(OR($A180=DATE(2026,11,28),$A180=DATE(2026,12,1)),AK180,0))))</f>
        <v>0</v>
      </c>
      <c r="AM180" s="14" t="n">
        <f aca="false">IF(AND($A180&lt;&gt;"",$A180&lt;Parameters!$B$14),CityData!F7*(1+TAXRATE),0)</f>
        <v>0</v>
      </c>
      <c r="AN180" s="14" t="n">
        <f aca="false">IF($A180="",0,IFERROR(VLOOKUP((YEAR($A180)+IF(MONTH($A180)&gt;=10,1,0))&amp;"|Seattle|"&amp;MONTH($A180),Rates!$A$2:$I$181,5,FALSE()),0))</f>
        <v>0</v>
      </c>
      <c r="AO180" s="14" t="n">
        <f aca="false">IF(OR($A180="",$A180&gt;=Parameters!$B$14),1,IF(AND(AN180&gt;0,CityData!F7&lt;=AN180),1,0))</f>
        <v>1</v>
      </c>
    </row>
    <row r="181" customFormat="false" ht="15" hidden="false" customHeight="true" outlineLevel="0" collapsed="false">
      <c r="A181" s="23" t="str">
        <f aca="false">IF(AND(Parameters!$B$14&gt;=Parameters!$B$13,ROW()-2&lt;=Parameters!$B$14-Parameters!$B$13),Parameters!$B$13+ROW()-2,"")</f>
        <v/>
      </c>
      <c r="B181" s="14" t="n">
        <f aca="false">IF($A181="",0,IFERROR(VLOOKUP((YEAR($A181)+IF(MONTH($A181)&gt;=10,1,0))&amp;"|Boston|"&amp;MONTH($A181),Rates!$A$2:$I$181,6,FALSE()),0))</f>
        <v>0</v>
      </c>
      <c r="C181" s="14" t="n">
        <f aca="false">IF(B181=0,0,VLOOKUP(B181,MIE_Components!$A$2:$F$6,2,FALSE()))</f>
        <v>0</v>
      </c>
      <c r="D181" s="14" t="n">
        <f aca="false">IF(B181=0,0,VLOOKUP(B181,MIE_Components!$A$2:$F$6,3,FALSE()))</f>
        <v>0</v>
      </c>
      <c r="E181" s="14" t="n">
        <f aca="false">IF(B181=0,0,VLOOKUP(B181,MIE_Components!$A$2:$F$6,4,FALSE()))</f>
        <v>0</v>
      </c>
      <c r="F181" s="14" t="n">
        <f aca="false">IF(OR($A181="",B181=0),0,MAX(5,B181*IF(OR($A181=Parameters!$B$13,$A181=Parameters!$B$14),0.75,1)-(IF(AND($A181=DATE(2026,11,29),NOV29BF="Yes"),C181,0)+IF(OR($A181=DATE(2026,11,29),$A181=DATE(2026,11,30),$A181=DATE(2026,12,1),$A181=DATE(2026,12,2)),D181,0)+IF(OR($A181=DATE(2026,11,28),$A181=DATE(2026,12,1)),E181,0))))</f>
        <v>0</v>
      </c>
      <c r="G181" s="14" t="n">
        <f aca="false">IF(AND($A181&lt;&gt;"",$A181&lt;Parameters!$B$14),CityData!F3*(1+TAXRATE),0)</f>
        <v>0</v>
      </c>
      <c r="H181" s="14" t="n">
        <f aca="false">IF($A181="",0,IFERROR(VLOOKUP((YEAR($A181)+IF(MONTH($A181)&gt;=10,1,0))&amp;"|Boston|"&amp;MONTH($A181),Rates!$A$2:$I$181,5,FALSE()),0))</f>
        <v>0</v>
      </c>
      <c r="I181" s="14" t="n">
        <f aca="false">IF(OR($A181="",$A181&gt;=Parameters!$B$14),1,IF(AND(H181&gt;0,CityData!F3&lt;=H181),1,0))</f>
        <v>1</v>
      </c>
      <c r="J181" s="14" t="n">
        <f aca="false">IF($A181="",0,IFERROR(VLOOKUP((YEAR($A181)+IF(MONTH($A181)&gt;=10,1,0))&amp;"|Chicago|"&amp;MONTH($A181),Rates!$A$2:$I$181,6,FALSE()),0))</f>
        <v>0</v>
      </c>
      <c r="K181" s="14" t="n">
        <f aca="false">IF(J181=0,0,VLOOKUP(J181,MIE_Components!$A$2:$F$6,2,FALSE()))</f>
        <v>0</v>
      </c>
      <c r="L181" s="14" t="n">
        <f aca="false">IF(J181=0,0,VLOOKUP(J181,MIE_Components!$A$2:$F$6,3,FALSE()))</f>
        <v>0</v>
      </c>
      <c r="M181" s="14" t="n">
        <f aca="false">IF(J181=0,0,VLOOKUP(J181,MIE_Components!$A$2:$F$6,4,FALSE()))</f>
        <v>0</v>
      </c>
      <c r="N181" s="14" t="n">
        <f aca="false">IF(OR($A181="",J181=0),0,MAX(5,J181*IF(OR($A181=Parameters!$B$13,$A181=Parameters!$B$14),0.75,1)-(IF(AND($A181=DATE(2026,11,29),NOV29BF="Yes"),K181,0)+IF(OR($A181=DATE(2026,11,29),$A181=DATE(2026,11,30),$A181=DATE(2026,12,1),$A181=DATE(2026,12,2)),L181,0)+IF(OR($A181=DATE(2026,11,28),$A181=DATE(2026,12,1)),M181,0))))</f>
        <v>0</v>
      </c>
      <c r="O181" s="14" t="n">
        <f aca="false">IF(AND($A181&lt;&gt;"",$A181&lt;Parameters!$B$14),CityData!F4*(1+TAXRATE),0)</f>
        <v>0</v>
      </c>
      <c r="P181" s="14" t="n">
        <f aca="false">IF($A181="",0,IFERROR(VLOOKUP((YEAR($A181)+IF(MONTH($A181)&gt;=10,1,0))&amp;"|Chicago|"&amp;MONTH($A181),Rates!$A$2:$I$181,5,FALSE()),0))</f>
        <v>0</v>
      </c>
      <c r="Q181" s="14" t="n">
        <f aca="false">IF(OR($A181="",$A181&gt;=Parameters!$B$14),1,IF(AND(P181&gt;0,CityData!F4&lt;=P181),1,0))</f>
        <v>1</v>
      </c>
      <c r="R181" s="14" t="n">
        <f aca="false">IF($A181="",0,IFERROR(VLOOKUP((YEAR($A181)+IF(MONTH($A181)&gt;=10,1,0))&amp;"|Denver|"&amp;MONTH($A181),Rates!$A$2:$I$181,6,FALSE()),0))</f>
        <v>0</v>
      </c>
      <c r="S181" s="14" t="n">
        <f aca="false">IF(R181=0,0,VLOOKUP(R181,MIE_Components!$A$2:$F$6,2,FALSE()))</f>
        <v>0</v>
      </c>
      <c r="T181" s="14" t="n">
        <f aca="false">IF(R181=0,0,VLOOKUP(R181,MIE_Components!$A$2:$F$6,3,FALSE()))</f>
        <v>0</v>
      </c>
      <c r="U181" s="14" t="n">
        <f aca="false">IF(R181=0,0,VLOOKUP(R181,MIE_Components!$A$2:$F$6,4,FALSE()))</f>
        <v>0</v>
      </c>
      <c r="V181" s="14" t="n">
        <f aca="false">IF(OR($A181="",R181=0),0,MAX(5,R181*IF(OR($A181=Parameters!$B$13,$A181=Parameters!$B$14),0.75,1)-(IF(AND($A181=DATE(2026,11,29),NOV29BF="Yes"),S181,0)+IF(OR($A181=DATE(2026,11,29),$A181=DATE(2026,11,30),$A181=DATE(2026,12,1),$A181=DATE(2026,12,2)),T181,0)+IF(OR($A181=DATE(2026,11,28),$A181=DATE(2026,12,1)),U181,0))))</f>
        <v>0</v>
      </c>
      <c r="W181" s="14" t="n">
        <f aca="false">IF(AND($A181&lt;&gt;"",$A181&lt;Parameters!$B$14),CityData!F5*(1+TAXRATE),0)</f>
        <v>0</v>
      </c>
      <c r="X181" s="14" t="n">
        <f aca="false">IF($A181="",0,IFERROR(VLOOKUP((YEAR($A181)+IF(MONTH($A181)&gt;=10,1,0))&amp;"|Denver|"&amp;MONTH($A181),Rates!$A$2:$I$181,5,FALSE()),0))</f>
        <v>0</v>
      </c>
      <c r="Y181" s="14" t="n">
        <f aca="false">IF(OR($A181="",$A181&gt;=Parameters!$B$14),1,IF(AND(X181&gt;0,CityData!F5&lt;=X181),1,0))</f>
        <v>1</v>
      </c>
      <c r="Z181" s="14" t="n">
        <f aca="false">IF($A181="",0,IFERROR(VLOOKUP((YEAR($A181)+IF(MONTH($A181)&gt;=10,1,0))&amp;"|Phoenix|"&amp;MONTH($A181),Rates!$A$2:$I$181,6,FALSE()),0))</f>
        <v>0</v>
      </c>
      <c r="AA181" s="14" t="n">
        <f aca="false">IF(Z181=0,0,VLOOKUP(Z181,MIE_Components!$A$2:$F$6,2,FALSE()))</f>
        <v>0</v>
      </c>
      <c r="AB181" s="14" t="n">
        <f aca="false">IF(Z181=0,0,VLOOKUP(Z181,MIE_Components!$A$2:$F$6,3,FALSE()))</f>
        <v>0</v>
      </c>
      <c r="AC181" s="14" t="n">
        <f aca="false">IF(Z181=0,0,VLOOKUP(Z181,MIE_Components!$A$2:$F$6,4,FALSE()))</f>
        <v>0</v>
      </c>
      <c r="AD181" s="14" t="n">
        <f aca="false">IF(OR($A181="",Z181=0),0,MAX(5,Z181*IF(OR($A181=Parameters!$B$13,$A181=Parameters!$B$14),0.75,1)-(IF(AND($A181=DATE(2026,11,29),NOV29BF="Yes"),AA181,0)+IF(OR($A181=DATE(2026,11,29),$A181=DATE(2026,11,30),$A181=DATE(2026,12,1),$A181=DATE(2026,12,2)),AB181,0)+IF(OR($A181=DATE(2026,11,28),$A181=DATE(2026,12,1)),AC181,0))))</f>
        <v>0</v>
      </c>
      <c r="AE181" s="14" t="n">
        <f aca="false">IF(AND($A181&lt;&gt;"",$A181&lt;Parameters!$B$14),CityData!F6*(1+TAXRATE),0)</f>
        <v>0</v>
      </c>
      <c r="AF181" s="14" t="n">
        <f aca="false">IF($A181="",0,IFERROR(VLOOKUP((YEAR($A181)+IF(MONTH($A181)&gt;=10,1,0))&amp;"|Phoenix|"&amp;MONTH($A181),Rates!$A$2:$I$181,5,FALSE()),0))</f>
        <v>0</v>
      </c>
      <c r="AG181" s="14" t="n">
        <f aca="false">IF(OR($A181="",$A181&gt;=Parameters!$B$14),1,IF(AND(AF181&gt;0,CityData!F6&lt;=AF181),1,0))</f>
        <v>1</v>
      </c>
      <c r="AH181" s="14" t="n">
        <f aca="false">IF($A181="",0,IFERROR(VLOOKUP((YEAR($A181)+IF(MONTH($A181)&gt;=10,1,0))&amp;"|Seattle|"&amp;MONTH($A181),Rates!$A$2:$I$181,6,FALSE()),0))</f>
        <v>0</v>
      </c>
      <c r="AI181" s="14" t="n">
        <f aca="false">IF(AH181=0,0,VLOOKUP(AH181,MIE_Components!$A$2:$F$6,2,FALSE()))</f>
        <v>0</v>
      </c>
      <c r="AJ181" s="14" t="n">
        <f aca="false">IF(AH181=0,0,VLOOKUP(AH181,MIE_Components!$A$2:$F$6,3,FALSE()))</f>
        <v>0</v>
      </c>
      <c r="AK181" s="14" t="n">
        <f aca="false">IF(AH181=0,0,VLOOKUP(AH181,MIE_Components!$A$2:$F$6,4,FALSE()))</f>
        <v>0</v>
      </c>
      <c r="AL181" s="14" t="n">
        <f aca="false">IF(OR($A181="",AH181=0),0,MAX(5,AH181*IF(OR($A181=Parameters!$B$13,$A181=Parameters!$B$14),0.75,1)-(IF(AND($A181=DATE(2026,11,29),NOV29BF="Yes"),AI181,0)+IF(OR($A181=DATE(2026,11,29),$A181=DATE(2026,11,30),$A181=DATE(2026,12,1),$A181=DATE(2026,12,2)),AJ181,0)+IF(OR($A181=DATE(2026,11,28),$A181=DATE(2026,12,1)),AK181,0))))</f>
        <v>0</v>
      </c>
      <c r="AM181" s="14" t="n">
        <f aca="false">IF(AND($A181&lt;&gt;"",$A181&lt;Parameters!$B$14),CityData!F7*(1+TAXRATE),0)</f>
        <v>0</v>
      </c>
      <c r="AN181" s="14" t="n">
        <f aca="false">IF($A181="",0,IFERROR(VLOOKUP((YEAR($A181)+IF(MONTH($A181)&gt;=10,1,0))&amp;"|Seattle|"&amp;MONTH($A181),Rates!$A$2:$I$181,5,FALSE()),0))</f>
        <v>0</v>
      </c>
      <c r="AO181" s="14" t="n">
        <f aca="false">IF(OR($A181="",$A181&gt;=Parameters!$B$14),1,IF(AND(AN181&gt;0,CityData!F7&lt;=AN181),1,0))</f>
        <v>1</v>
      </c>
    </row>
    <row r="182" customFormat="false" ht="15" hidden="false" customHeight="true" outlineLevel="0" collapsed="false">
      <c r="A182" s="23" t="str">
        <f aca="false">IF(AND(Parameters!$B$14&gt;=Parameters!$B$13,ROW()-2&lt;=Parameters!$B$14-Parameters!$B$13),Parameters!$B$13+ROW()-2,"")</f>
        <v/>
      </c>
      <c r="B182" s="14" t="n">
        <f aca="false">IF($A182="",0,IFERROR(VLOOKUP((YEAR($A182)+IF(MONTH($A182)&gt;=10,1,0))&amp;"|Boston|"&amp;MONTH($A182),Rates!$A$2:$I$181,6,FALSE()),0))</f>
        <v>0</v>
      </c>
      <c r="C182" s="14" t="n">
        <f aca="false">IF(B182=0,0,VLOOKUP(B182,MIE_Components!$A$2:$F$6,2,FALSE()))</f>
        <v>0</v>
      </c>
      <c r="D182" s="14" t="n">
        <f aca="false">IF(B182=0,0,VLOOKUP(B182,MIE_Components!$A$2:$F$6,3,FALSE()))</f>
        <v>0</v>
      </c>
      <c r="E182" s="14" t="n">
        <f aca="false">IF(B182=0,0,VLOOKUP(B182,MIE_Components!$A$2:$F$6,4,FALSE()))</f>
        <v>0</v>
      </c>
      <c r="F182" s="14" t="n">
        <f aca="false">IF(OR($A182="",B182=0),0,MAX(5,B182*IF(OR($A182=Parameters!$B$13,$A182=Parameters!$B$14),0.75,1)-(IF(AND($A182=DATE(2026,11,29),NOV29BF="Yes"),C182,0)+IF(OR($A182=DATE(2026,11,29),$A182=DATE(2026,11,30),$A182=DATE(2026,12,1),$A182=DATE(2026,12,2)),D182,0)+IF(OR($A182=DATE(2026,11,28),$A182=DATE(2026,12,1)),E182,0))))</f>
        <v>0</v>
      </c>
      <c r="G182" s="14" t="n">
        <f aca="false">IF(AND($A182&lt;&gt;"",$A182&lt;Parameters!$B$14),CityData!F3*(1+TAXRATE),0)</f>
        <v>0</v>
      </c>
      <c r="H182" s="14" t="n">
        <f aca="false">IF($A182="",0,IFERROR(VLOOKUP((YEAR($A182)+IF(MONTH($A182)&gt;=10,1,0))&amp;"|Boston|"&amp;MONTH($A182),Rates!$A$2:$I$181,5,FALSE()),0))</f>
        <v>0</v>
      </c>
      <c r="I182" s="14" t="n">
        <f aca="false">IF(OR($A182="",$A182&gt;=Parameters!$B$14),1,IF(AND(H182&gt;0,CityData!F3&lt;=H182),1,0))</f>
        <v>1</v>
      </c>
      <c r="J182" s="14" t="n">
        <f aca="false">IF($A182="",0,IFERROR(VLOOKUP((YEAR($A182)+IF(MONTH($A182)&gt;=10,1,0))&amp;"|Chicago|"&amp;MONTH($A182),Rates!$A$2:$I$181,6,FALSE()),0))</f>
        <v>0</v>
      </c>
      <c r="K182" s="14" t="n">
        <f aca="false">IF(J182=0,0,VLOOKUP(J182,MIE_Components!$A$2:$F$6,2,FALSE()))</f>
        <v>0</v>
      </c>
      <c r="L182" s="14" t="n">
        <f aca="false">IF(J182=0,0,VLOOKUP(J182,MIE_Components!$A$2:$F$6,3,FALSE()))</f>
        <v>0</v>
      </c>
      <c r="M182" s="14" t="n">
        <f aca="false">IF(J182=0,0,VLOOKUP(J182,MIE_Components!$A$2:$F$6,4,FALSE()))</f>
        <v>0</v>
      </c>
      <c r="N182" s="14" t="n">
        <f aca="false">IF(OR($A182="",J182=0),0,MAX(5,J182*IF(OR($A182=Parameters!$B$13,$A182=Parameters!$B$14),0.75,1)-(IF(AND($A182=DATE(2026,11,29),NOV29BF="Yes"),K182,0)+IF(OR($A182=DATE(2026,11,29),$A182=DATE(2026,11,30),$A182=DATE(2026,12,1),$A182=DATE(2026,12,2)),L182,0)+IF(OR($A182=DATE(2026,11,28),$A182=DATE(2026,12,1)),M182,0))))</f>
        <v>0</v>
      </c>
      <c r="O182" s="14" t="n">
        <f aca="false">IF(AND($A182&lt;&gt;"",$A182&lt;Parameters!$B$14),CityData!F4*(1+TAXRATE),0)</f>
        <v>0</v>
      </c>
      <c r="P182" s="14" t="n">
        <f aca="false">IF($A182="",0,IFERROR(VLOOKUP((YEAR($A182)+IF(MONTH($A182)&gt;=10,1,0))&amp;"|Chicago|"&amp;MONTH($A182),Rates!$A$2:$I$181,5,FALSE()),0))</f>
        <v>0</v>
      </c>
      <c r="Q182" s="14" t="n">
        <f aca="false">IF(OR($A182="",$A182&gt;=Parameters!$B$14),1,IF(AND(P182&gt;0,CityData!F4&lt;=P182),1,0))</f>
        <v>1</v>
      </c>
      <c r="R182" s="14" t="n">
        <f aca="false">IF($A182="",0,IFERROR(VLOOKUP((YEAR($A182)+IF(MONTH($A182)&gt;=10,1,0))&amp;"|Denver|"&amp;MONTH($A182),Rates!$A$2:$I$181,6,FALSE()),0))</f>
        <v>0</v>
      </c>
      <c r="S182" s="14" t="n">
        <f aca="false">IF(R182=0,0,VLOOKUP(R182,MIE_Components!$A$2:$F$6,2,FALSE()))</f>
        <v>0</v>
      </c>
      <c r="T182" s="14" t="n">
        <f aca="false">IF(R182=0,0,VLOOKUP(R182,MIE_Components!$A$2:$F$6,3,FALSE()))</f>
        <v>0</v>
      </c>
      <c r="U182" s="14" t="n">
        <f aca="false">IF(R182=0,0,VLOOKUP(R182,MIE_Components!$A$2:$F$6,4,FALSE()))</f>
        <v>0</v>
      </c>
      <c r="V182" s="14" t="n">
        <f aca="false">IF(OR($A182="",R182=0),0,MAX(5,R182*IF(OR($A182=Parameters!$B$13,$A182=Parameters!$B$14),0.75,1)-(IF(AND($A182=DATE(2026,11,29),NOV29BF="Yes"),S182,0)+IF(OR($A182=DATE(2026,11,29),$A182=DATE(2026,11,30),$A182=DATE(2026,12,1),$A182=DATE(2026,12,2)),T182,0)+IF(OR($A182=DATE(2026,11,28),$A182=DATE(2026,12,1)),U182,0))))</f>
        <v>0</v>
      </c>
      <c r="W182" s="14" t="n">
        <f aca="false">IF(AND($A182&lt;&gt;"",$A182&lt;Parameters!$B$14),CityData!F5*(1+TAXRATE),0)</f>
        <v>0</v>
      </c>
      <c r="X182" s="14" t="n">
        <f aca="false">IF($A182="",0,IFERROR(VLOOKUP((YEAR($A182)+IF(MONTH($A182)&gt;=10,1,0))&amp;"|Denver|"&amp;MONTH($A182),Rates!$A$2:$I$181,5,FALSE()),0))</f>
        <v>0</v>
      </c>
      <c r="Y182" s="14" t="n">
        <f aca="false">IF(OR($A182="",$A182&gt;=Parameters!$B$14),1,IF(AND(X182&gt;0,CityData!F5&lt;=X182),1,0))</f>
        <v>1</v>
      </c>
      <c r="Z182" s="14" t="n">
        <f aca="false">IF($A182="",0,IFERROR(VLOOKUP((YEAR($A182)+IF(MONTH($A182)&gt;=10,1,0))&amp;"|Phoenix|"&amp;MONTH($A182),Rates!$A$2:$I$181,6,FALSE()),0))</f>
        <v>0</v>
      </c>
      <c r="AA182" s="14" t="n">
        <f aca="false">IF(Z182=0,0,VLOOKUP(Z182,MIE_Components!$A$2:$F$6,2,FALSE()))</f>
        <v>0</v>
      </c>
      <c r="AB182" s="14" t="n">
        <f aca="false">IF(Z182=0,0,VLOOKUP(Z182,MIE_Components!$A$2:$F$6,3,FALSE()))</f>
        <v>0</v>
      </c>
      <c r="AC182" s="14" t="n">
        <f aca="false">IF(Z182=0,0,VLOOKUP(Z182,MIE_Components!$A$2:$F$6,4,FALSE()))</f>
        <v>0</v>
      </c>
      <c r="AD182" s="14" t="n">
        <f aca="false">IF(OR($A182="",Z182=0),0,MAX(5,Z182*IF(OR($A182=Parameters!$B$13,$A182=Parameters!$B$14),0.75,1)-(IF(AND($A182=DATE(2026,11,29),NOV29BF="Yes"),AA182,0)+IF(OR($A182=DATE(2026,11,29),$A182=DATE(2026,11,30),$A182=DATE(2026,12,1),$A182=DATE(2026,12,2)),AB182,0)+IF(OR($A182=DATE(2026,11,28),$A182=DATE(2026,12,1)),AC182,0))))</f>
        <v>0</v>
      </c>
      <c r="AE182" s="14" t="n">
        <f aca="false">IF(AND($A182&lt;&gt;"",$A182&lt;Parameters!$B$14),CityData!F6*(1+TAXRATE),0)</f>
        <v>0</v>
      </c>
      <c r="AF182" s="14" t="n">
        <f aca="false">IF($A182="",0,IFERROR(VLOOKUP((YEAR($A182)+IF(MONTH($A182)&gt;=10,1,0))&amp;"|Phoenix|"&amp;MONTH($A182),Rates!$A$2:$I$181,5,FALSE()),0))</f>
        <v>0</v>
      </c>
      <c r="AG182" s="14" t="n">
        <f aca="false">IF(OR($A182="",$A182&gt;=Parameters!$B$14),1,IF(AND(AF182&gt;0,CityData!F6&lt;=AF182),1,0))</f>
        <v>1</v>
      </c>
      <c r="AH182" s="14" t="n">
        <f aca="false">IF($A182="",0,IFERROR(VLOOKUP((YEAR($A182)+IF(MONTH($A182)&gt;=10,1,0))&amp;"|Seattle|"&amp;MONTH($A182),Rates!$A$2:$I$181,6,FALSE()),0))</f>
        <v>0</v>
      </c>
      <c r="AI182" s="14" t="n">
        <f aca="false">IF(AH182=0,0,VLOOKUP(AH182,MIE_Components!$A$2:$F$6,2,FALSE()))</f>
        <v>0</v>
      </c>
      <c r="AJ182" s="14" t="n">
        <f aca="false">IF(AH182=0,0,VLOOKUP(AH182,MIE_Components!$A$2:$F$6,3,FALSE()))</f>
        <v>0</v>
      </c>
      <c r="AK182" s="14" t="n">
        <f aca="false">IF(AH182=0,0,VLOOKUP(AH182,MIE_Components!$A$2:$F$6,4,FALSE()))</f>
        <v>0</v>
      </c>
      <c r="AL182" s="14" t="n">
        <f aca="false">IF(OR($A182="",AH182=0),0,MAX(5,AH182*IF(OR($A182=Parameters!$B$13,$A182=Parameters!$B$14),0.75,1)-(IF(AND($A182=DATE(2026,11,29),NOV29BF="Yes"),AI182,0)+IF(OR($A182=DATE(2026,11,29),$A182=DATE(2026,11,30),$A182=DATE(2026,12,1),$A182=DATE(2026,12,2)),AJ182,0)+IF(OR($A182=DATE(2026,11,28),$A182=DATE(2026,12,1)),AK182,0))))</f>
        <v>0</v>
      </c>
      <c r="AM182" s="14" t="n">
        <f aca="false">IF(AND($A182&lt;&gt;"",$A182&lt;Parameters!$B$14),CityData!F7*(1+TAXRATE),0)</f>
        <v>0</v>
      </c>
      <c r="AN182" s="14" t="n">
        <f aca="false">IF($A182="",0,IFERROR(VLOOKUP((YEAR($A182)+IF(MONTH($A182)&gt;=10,1,0))&amp;"|Seattle|"&amp;MONTH($A182),Rates!$A$2:$I$181,5,FALSE()),0))</f>
        <v>0</v>
      </c>
      <c r="AO182" s="14" t="n">
        <f aca="false">IF(OR($A182="",$A182&gt;=Parameters!$B$14),1,IF(AND(AN182&gt;0,CityData!F7&lt;=AN182),1,0))</f>
        <v>1</v>
      </c>
    </row>
    <row r="183" customFormat="false" ht="15" hidden="false" customHeight="true" outlineLevel="0" collapsed="false">
      <c r="A183" s="23" t="str">
        <f aca="false">IF(AND(Parameters!$B$14&gt;=Parameters!$B$13,ROW()-2&lt;=Parameters!$B$14-Parameters!$B$13),Parameters!$B$13+ROW()-2,"")</f>
        <v/>
      </c>
      <c r="B183" s="14" t="n">
        <f aca="false">IF($A183="",0,IFERROR(VLOOKUP((YEAR($A183)+IF(MONTH($A183)&gt;=10,1,0))&amp;"|Boston|"&amp;MONTH($A183),Rates!$A$2:$I$181,6,FALSE()),0))</f>
        <v>0</v>
      </c>
      <c r="C183" s="14" t="n">
        <f aca="false">IF(B183=0,0,VLOOKUP(B183,MIE_Components!$A$2:$F$6,2,FALSE()))</f>
        <v>0</v>
      </c>
      <c r="D183" s="14" t="n">
        <f aca="false">IF(B183=0,0,VLOOKUP(B183,MIE_Components!$A$2:$F$6,3,FALSE()))</f>
        <v>0</v>
      </c>
      <c r="E183" s="14" t="n">
        <f aca="false">IF(B183=0,0,VLOOKUP(B183,MIE_Components!$A$2:$F$6,4,FALSE()))</f>
        <v>0</v>
      </c>
      <c r="F183" s="14" t="n">
        <f aca="false">IF(OR($A183="",B183=0),0,MAX(5,B183*IF(OR($A183=Parameters!$B$13,$A183=Parameters!$B$14),0.75,1)-(IF(AND($A183=DATE(2026,11,29),NOV29BF="Yes"),C183,0)+IF(OR($A183=DATE(2026,11,29),$A183=DATE(2026,11,30),$A183=DATE(2026,12,1),$A183=DATE(2026,12,2)),D183,0)+IF(OR($A183=DATE(2026,11,28),$A183=DATE(2026,12,1)),E183,0))))</f>
        <v>0</v>
      </c>
      <c r="G183" s="14" t="n">
        <f aca="false">IF(AND($A183&lt;&gt;"",$A183&lt;Parameters!$B$14),CityData!F3*(1+TAXRATE),0)</f>
        <v>0</v>
      </c>
      <c r="H183" s="14" t="n">
        <f aca="false">IF($A183="",0,IFERROR(VLOOKUP((YEAR($A183)+IF(MONTH($A183)&gt;=10,1,0))&amp;"|Boston|"&amp;MONTH($A183),Rates!$A$2:$I$181,5,FALSE()),0))</f>
        <v>0</v>
      </c>
      <c r="I183" s="14" t="n">
        <f aca="false">IF(OR($A183="",$A183&gt;=Parameters!$B$14),1,IF(AND(H183&gt;0,CityData!F3&lt;=H183),1,0))</f>
        <v>1</v>
      </c>
      <c r="J183" s="14" t="n">
        <f aca="false">IF($A183="",0,IFERROR(VLOOKUP((YEAR($A183)+IF(MONTH($A183)&gt;=10,1,0))&amp;"|Chicago|"&amp;MONTH($A183),Rates!$A$2:$I$181,6,FALSE()),0))</f>
        <v>0</v>
      </c>
      <c r="K183" s="14" t="n">
        <f aca="false">IF(J183=0,0,VLOOKUP(J183,MIE_Components!$A$2:$F$6,2,FALSE()))</f>
        <v>0</v>
      </c>
      <c r="L183" s="14" t="n">
        <f aca="false">IF(J183=0,0,VLOOKUP(J183,MIE_Components!$A$2:$F$6,3,FALSE()))</f>
        <v>0</v>
      </c>
      <c r="M183" s="14" t="n">
        <f aca="false">IF(J183=0,0,VLOOKUP(J183,MIE_Components!$A$2:$F$6,4,FALSE()))</f>
        <v>0</v>
      </c>
      <c r="N183" s="14" t="n">
        <f aca="false">IF(OR($A183="",J183=0),0,MAX(5,J183*IF(OR($A183=Parameters!$B$13,$A183=Parameters!$B$14),0.75,1)-(IF(AND($A183=DATE(2026,11,29),NOV29BF="Yes"),K183,0)+IF(OR($A183=DATE(2026,11,29),$A183=DATE(2026,11,30),$A183=DATE(2026,12,1),$A183=DATE(2026,12,2)),L183,0)+IF(OR($A183=DATE(2026,11,28),$A183=DATE(2026,12,1)),M183,0))))</f>
        <v>0</v>
      </c>
      <c r="O183" s="14" t="n">
        <f aca="false">IF(AND($A183&lt;&gt;"",$A183&lt;Parameters!$B$14),CityData!F4*(1+TAXRATE),0)</f>
        <v>0</v>
      </c>
      <c r="P183" s="14" t="n">
        <f aca="false">IF($A183="",0,IFERROR(VLOOKUP((YEAR($A183)+IF(MONTH($A183)&gt;=10,1,0))&amp;"|Chicago|"&amp;MONTH($A183),Rates!$A$2:$I$181,5,FALSE()),0))</f>
        <v>0</v>
      </c>
      <c r="Q183" s="14" t="n">
        <f aca="false">IF(OR($A183="",$A183&gt;=Parameters!$B$14),1,IF(AND(P183&gt;0,CityData!F4&lt;=P183),1,0))</f>
        <v>1</v>
      </c>
      <c r="R183" s="14" t="n">
        <f aca="false">IF($A183="",0,IFERROR(VLOOKUP((YEAR($A183)+IF(MONTH($A183)&gt;=10,1,0))&amp;"|Denver|"&amp;MONTH($A183),Rates!$A$2:$I$181,6,FALSE()),0))</f>
        <v>0</v>
      </c>
      <c r="S183" s="14" t="n">
        <f aca="false">IF(R183=0,0,VLOOKUP(R183,MIE_Components!$A$2:$F$6,2,FALSE()))</f>
        <v>0</v>
      </c>
      <c r="T183" s="14" t="n">
        <f aca="false">IF(R183=0,0,VLOOKUP(R183,MIE_Components!$A$2:$F$6,3,FALSE()))</f>
        <v>0</v>
      </c>
      <c r="U183" s="14" t="n">
        <f aca="false">IF(R183=0,0,VLOOKUP(R183,MIE_Components!$A$2:$F$6,4,FALSE()))</f>
        <v>0</v>
      </c>
      <c r="V183" s="14" t="n">
        <f aca="false">IF(OR($A183="",R183=0),0,MAX(5,R183*IF(OR($A183=Parameters!$B$13,$A183=Parameters!$B$14),0.75,1)-(IF(AND($A183=DATE(2026,11,29),NOV29BF="Yes"),S183,0)+IF(OR($A183=DATE(2026,11,29),$A183=DATE(2026,11,30),$A183=DATE(2026,12,1),$A183=DATE(2026,12,2)),T183,0)+IF(OR($A183=DATE(2026,11,28),$A183=DATE(2026,12,1)),U183,0))))</f>
        <v>0</v>
      </c>
      <c r="W183" s="14" t="n">
        <f aca="false">IF(AND($A183&lt;&gt;"",$A183&lt;Parameters!$B$14),CityData!F5*(1+TAXRATE),0)</f>
        <v>0</v>
      </c>
      <c r="X183" s="14" t="n">
        <f aca="false">IF($A183="",0,IFERROR(VLOOKUP((YEAR($A183)+IF(MONTH($A183)&gt;=10,1,0))&amp;"|Denver|"&amp;MONTH($A183),Rates!$A$2:$I$181,5,FALSE()),0))</f>
        <v>0</v>
      </c>
      <c r="Y183" s="14" t="n">
        <f aca="false">IF(OR($A183="",$A183&gt;=Parameters!$B$14),1,IF(AND(X183&gt;0,CityData!F5&lt;=X183),1,0))</f>
        <v>1</v>
      </c>
      <c r="Z183" s="14" t="n">
        <f aca="false">IF($A183="",0,IFERROR(VLOOKUP((YEAR($A183)+IF(MONTH($A183)&gt;=10,1,0))&amp;"|Phoenix|"&amp;MONTH($A183),Rates!$A$2:$I$181,6,FALSE()),0))</f>
        <v>0</v>
      </c>
      <c r="AA183" s="14" t="n">
        <f aca="false">IF(Z183=0,0,VLOOKUP(Z183,MIE_Components!$A$2:$F$6,2,FALSE()))</f>
        <v>0</v>
      </c>
      <c r="AB183" s="14" t="n">
        <f aca="false">IF(Z183=0,0,VLOOKUP(Z183,MIE_Components!$A$2:$F$6,3,FALSE()))</f>
        <v>0</v>
      </c>
      <c r="AC183" s="14" t="n">
        <f aca="false">IF(Z183=0,0,VLOOKUP(Z183,MIE_Components!$A$2:$F$6,4,FALSE()))</f>
        <v>0</v>
      </c>
      <c r="AD183" s="14" t="n">
        <f aca="false">IF(OR($A183="",Z183=0),0,MAX(5,Z183*IF(OR($A183=Parameters!$B$13,$A183=Parameters!$B$14),0.75,1)-(IF(AND($A183=DATE(2026,11,29),NOV29BF="Yes"),AA183,0)+IF(OR($A183=DATE(2026,11,29),$A183=DATE(2026,11,30),$A183=DATE(2026,12,1),$A183=DATE(2026,12,2)),AB183,0)+IF(OR($A183=DATE(2026,11,28),$A183=DATE(2026,12,1)),AC183,0))))</f>
        <v>0</v>
      </c>
      <c r="AE183" s="14" t="n">
        <f aca="false">IF(AND($A183&lt;&gt;"",$A183&lt;Parameters!$B$14),CityData!F6*(1+TAXRATE),0)</f>
        <v>0</v>
      </c>
      <c r="AF183" s="14" t="n">
        <f aca="false">IF($A183="",0,IFERROR(VLOOKUP((YEAR($A183)+IF(MONTH($A183)&gt;=10,1,0))&amp;"|Phoenix|"&amp;MONTH($A183),Rates!$A$2:$I$181,5,FALSE()),0))</f>
        <v>0</v>
      </c>
      <c r="AG183" s="14" t="n">
        <f aca="false">IF(OR($A183="",$A183&gt;=Parameters!$B$14),1,IF(AND(AF183&gt;0,CityData!F6&lt;=AF183),1,0))</f>
        <v>1</v>
      </c>
      <c r="AH183" s="14" t="n">
        <f aca="false">IF($A183="",0,IFERROR(VLOOKUP((YEAR($A183)+IF(MONTH($A183)&gt;=10,1,0))&amp;"|Seattle|"&amp;MONTH($A183),Rates!$A$2:$I$181,6,FALSE()),0))</f>
        <v>0</v>
      </c>
      <c r="AI183" s="14" t="n">
        <f aca="false">IF(AH183=0,0,VLOOKUP(AH183,MIE_Components!$A$2:$F$6,2,FALSE()))</f>
        <v>0</v>
      </c>
      <c r="AJ183" s="14" t="n">
        <f aca="false">IF(AH183=0,0,VLOOKUP(AH183,MIE_Components!$A$2:$F$6,3,FALSE()))</f>
        <v>0</v>
      </c>
      <c r="AK183" s="14" t="n">
        <f aca="false">IF(AH183=0,0,VLOOKUP(AH183,MIE_Components!$A$2:$F$6,4,FALSE()))</f>
        <v>0</v>
      </c>
      <c r="AL183" s="14" t="n">
        <f aca="false">IF(OR($A183="",AH183=0),0,MAX(5,AH183*IF(OR($A183=Parameters!$B$13,$A183=Parameters!$B$14),0.75,1)-(IF(AND($A183=DATE(2026,11,29),NOV29BF="Yes"),AI183,0)+IF(OR($A183=DATE(2026,11,29),$A183=DATE(2026,11,30),$A183=DATE(2026,12,1),$A183=DATE(2026,12,2)),AJ183,0)+IF(OR($A183=DATE(2026,11,28),$A183=DATE(2026,12,1)),AK183,0))))</f>
        <v>0</v>
      </c>
      <c r="AM183" s="14" t="n">
        <f aca="false">IF(AND($A183&lt;&gt;"",$A183&lt;Parameters!$B$14),CityData!F7*(1+TAXRATE),0)</f>
        <v>0</v>
      </c>
      <c r="AN183" s="14" t="n">
        <f aca="false">IF($A183="",0,IFERROR(VLOOKUP((YEAR($A183)+IF(MONTH($A183)&gt;=10,1,0))&amp;"|Seattle|"&amp;MONTH($A183),Rates!$A$2:$I$181,5,FALSE()),0))</f>
        <v>0</v>
      </c>
      <c r="AO183" s="14" t="n">
        <f aca="false">IF(OR($A183="",$A183&gt;=Parameters!$B$14),1,IF(AND(AN183&gt;0,CityData!F7&lt;=AN183),1,0))</f>
        <v>1</v>
      </c>
    </row>
    <row r="184" customFormat="false" ht="15" hidden="false" customHeight="true" outlineLevel="0" collapsed="false">
      <c r="A184" s="23" t="str">
        <f aca="false">IF(AND(Parameters!$B$14&gt;=Parameters!$B$13,ROW()-2&lt;=Parameters!$B$14-Parameters!$B$13),Parameters!$B$13+ROW()-2,"")</f>
        <v/>
      </c>
      <c r="B184" s="14" t="n">
        <f aca="false">IF($A184="",0,IFERROR(VLOOKUP((YEAR($A184)+IF(MONTH($A184)&gt;=10,1,0))&amp;"|Boston|"&amp;MONTH($A184),Rates!$A$2:$I$181,6,FALSE()),0))</f>
        <v>0</v>
      </c>
      <c r="C184" s="14" t="n">
        <f aca="false">IF(B184=0,0,VLOOKUP(B184,MIE_Components!$A$2:$F$6,2,FALSE()))</f>
        <v>0</v>
      </c>
      <c r="D184" s="14" t="n">
        <f aca="false">IF(B184=0,0,VLOOKUP(B184,MIE_Components!$A$2:$F$6,3,FALSE()))</f>
        <v>0</v>
      </c>
      <c r="E184" s="14" t="n">
        <f aca="false">IF(B184=0,0,VLOOKUP(B184,MIE_Components!$A$2:$F$6,4,FALSE()))</f>
        <v>0</v>
      </c>
      <c r="F184" s="14" t="n">
        <f aca="false">IF(OR($A184="",B184=0),0,MAX(5,B184*IF(OR($A184=Parameters!$B$13,$A184=Parameters!$B$14),0.75,1)-(IF(AND($A184=DATE(2026,11,29),NOV29BF="Yes"),C184,0)+IF(OR($A184=DATE(2026,11,29),$A184=DATE(2026,11,30),$A184=DATE(2026,12,1),$A184=DATE(2026,12,2)),D184,0)+IF(OR($A184=DATE(2026,11,28),$A184=DATE(2026,12,1)),E184,0))))</f>
        <v>0</v>
      </c>
      <c r="G184" s="14" t="n">
        <f aca="false">IF(AND($A184&lt;&gt;"",$A184&lt;Parameters!$B$14),CityData!F3*(1+TAXRATE),0)</f>
        <v>0</v>
      </c>
      <c r="H184" s="14" t="n">
        <f aca="false">IF($A184="",0,IFERROR(VLOOKUP((YEAR($A184)+IF(MONTH($A184)&gt;=10,1,0))&amp;"|Boston|"&amp;MONTH($A184),Rates!$A$2:$I$181,5,FALSE()),0))</f>
        <v>0</v>
      </c>
      <c r="I184" s="14" t="n">
        <f aca="false">IF(OR($A184="",$A184&gt;=Parameters!$B$14),1,IF(AND(H184&gt;0,CityData!F3&lt;=H184),1,0))</f>
        <v>1</v>
      </c>
      <c r="J184" s="14" t="n">
        <f aca="false">IF($A184="",0,IFERROR(VLOOKUP((YEAR($A184)+IF(MONTH($A184)&gt;=10,1,0))&amp;"|Chicago|"&amp;MONTH($A184),Rates!$A$2:$I$181,6,FALSE()),0))</f>
        <v>0</v>
      </c>
      <c r="K184" s="14" t="n">
        <f aca="false">IF(J184=0,0,VLOOKUP(J184,MIE_Components!$A$2:$F$6,2,FALSE()))</f>
        <v>0</v>
      </c>
      <c r="L184" s="14" t="n">
        <f aca="false">IF(J184=0,0,VLOOKUP(J184,MIE_Components!$A$2:$F$6,3,FALSE()))</f>
        <v>0</v>
      </c>
      <c r="M184" s="14" t="n">
        <f aca="false">IF(J184=0,0,VLOOKUP(J184,MIE_Components!$A$2:$F$6,4,FALSE()))</f>
        <v>0</v>
      </c>
      <c r="N184" s="14" t="n">
        <f aca="false">IF(OR($A184="",J184=0),0,MAX(5,J184*IF(OR($A184=Parameters!$B$13,$A184=Parameters!$B$14),0.75,1)-(IF(AND($A184=DATE(2026,11,29),NOV29BF="Yes"),K184,0)+IF(OR($A184=DATE(2026,11,29),$A184=DATE(2026,11,30),$A184=DATE(2026,12,1),$A184=DATE(2026,12,2)),L184,0)+IF(OR($A184=DATE(2026,11,28),$A184=DATE(2026,12,1)),M184,0))))</f>
        <v>0</v>
      </c>
      <c r="O184" s="14" t="n">
        <f aca="false">IF(AND($A184&lt;&gt;"",$A184&lt;Parameters!$B$14),CityData!F4*(1+TAXRATE),0)</f>
        <v>0</v>
      </c>
      <c r="P184" s="14" t="n">
        <f aca="false">IF($A184="",0,IFERROR(VLOOKUP((YEAR($A184)+IF(MONTH($A184)&gt;=10,1,0))&amp;"|Chicago|"&amp;MONTH($A184),Rates!$A$2:$I$181,5,FALSE()),0))</f>
        <v>0</v>
      </c>
      <c r="Q184" s="14" t="n">
        <f aca="false">IF(OR($A184="",$A184&gt;=Parameters!$B$14),1,IF(AND(P184&gt;0,CityData!F4&lt;=P184),1,0))</f>
        <v>1</v>
      </c>
      <c r="R184" s="14" t="n">
        <f aca="false">IF($A184="",0,IFERROR(VLOOKUP((YEAR($A184)+IF(MONTH($A184)&gt;=10,1,0))&amp;"|Denver|"&amp;MONTH($A184),Rates!$A$2:$I$181,6,FALSE()),0))</f>
        <v>0</v>
      </c>
      <c r="S184" s="14" t="n">
        <f aca="false">IF(R184=0,0,VLOOKUP(R184,MIE_Components!$A$2:$F$6,2,FALSE()))</f>
        <v>0</v>
      </c>
      <c r="T184" s="14" t="n">
        <f aca="false">IF(R184=0,0,VLOOKUP(R184,MIE_Components!$A$2:$F$6,3,FALSE()))</f>
        <v>0</v>
      </c>
      <c r="U184" s="14" t="n">
        <f aca="false">IF(R184=0,0,VLOOKUP(R184,MIE_Components!$A$2:$F$6,4,FALSE()))</f>
        <v>0</v>
      </c>
      <c r="V184" s="14" t="n">
        <f aca="false">IF(OR($A184="",R184=0),0,MAX(5,R184*IF(OR($A184=Parameters!$B$13,$A184=Parameters!$B$14),0.75,1)-(IF(AND($A184=DATE(2026,11,29),NOV29BF="Yes"),S184,0)+IF(OR($A184=DATE(2026,11,29),$A184=DATE(2026,11,30),$A184=DATE(2026,12,1),$A184=DATE(2026,12,2)),T184,0)+IF(OR($A184=DATE(2026,11,28),$A184=DATE(2026,12,1)),U184,0))))</f>
        <v>0</v>
      </c>
      <c r="W184" s="14" t="n">
        <f aca="false">IF(AND($A184&lt;&gt;"",$A184&lt;Parameters!$B$14),CityData!F5*(1+TAXRATE),0)</f>
        <v>0</v>
      </c>
      <c r="X184" s="14" t="n">
        <f aca="false">IF($A184="",0,IFERROR(VLOOKUP((YEAR($A184)+IF(MONTH($A184)&gt;=10,1,0))&amp;"|Denver|"&amp;MONTH($A184),Rates!$A$2:$I$181,5,FALSE()),0))</f>
        <v>0</v>
      </c>
      <c r="Y184" s="14" t="n">
        <f aca="false">IF(OR($A184="",$A184&gt;=Parameters!$B$14),1,IF(AND(X184&gt;0,CityData!F5&lt;=X184),1,0))</f>
        <v>1</v>
      </c>
      <c r="Z184" s="14" t="n">
        <f aca="false">IF($A184="",0,IFERROR(VLOOKUP((YEAR($A184)+IF(MONTH($A184)&gt;=10,1,0))&amp;"|Phoenix|"&amp;MONTH($A184),Rates!$A$2:$I$181,6,FALSE()),0))</f>
        <v>0</v>
      </c>
      <c r="AA184" s="14" t="n">
        <f aca="false">IF(Z184=0,0,VLOOKUP(Z184,MIE_Components!$A$2:$F$6,2,FALSE()))</f>
        <v>0</v>
      </c>
      <c r="AB184" s="14" t="n">
        <f aca="false">IF(Z184=0,0,VLOOKUP(Z184,MIE_Components!$A$2:$F$6,3,FALSE()))</f>
        <v>0</v>
      </c>
      <c r="AC184" s="14" t="n">
        <f aca="false">IF(Z184=0,0,VLOOKUP(Z184,MIE_Components!$A$2:$F$6,4,FALSE()))</f>
        <v>0</v>
      </c>
      <c r="AD184" s="14" t="n">
        <f aca="false">IF(OR($A184="",Z184=0),0,MAX(5,Z184*IF(OR($A184=Parameters!$B$13,$A184=Parameters!$B$14),0.75,1)-(IF(AND($A184=DATE(2026,11,29),NOV29BF="Yes"),AA184,0)+IF(OR($A184=DATE(2026,11,29),$A184=DATE(2026,11,30),$A184=DATE(2026,12,1),$A184=DATE(2026,12,2)),AB184,0)+IF(OR($A184=DATE(2026,11,28),$A184=DATE(2026,12,1)),AC184,0))))</f>
        <v>0</v>
      </c>
      <c r="AE184" s="14" t="n">
        <f aca="false">IF(AND($A184&lt;&gt;"",$A184&lt;Parameters!$B$14),CityData!F6*(1+TAXRATE),0)</f>
        <v>0</v>
      </c>
      <c r="AF184" s="14" t="n">
        <f aca="false">IF($A184="",0,IFERROR(VLOOKUP((YEAR($A184)+IF(MONTH($A184)&gt;=10,1,0))&amp;"|Phoenix|"&amp;MONTH($A184),Rates!$A$2:$I$181,5,FALSE()),0))</f>
        <v>0</v>
      </c>
      <c r="AG184" s="14" t="n">
        <f aca="false">IF(OR($A184="",$A184&gt;=Parameters!$B$14),1,IF(AND(AF184&gt;0,CityData!F6&lt;=AF184),1,0))</f>
        <v>1</v>
      </c>
      <c r="AH184" s="14" t="n">
        <f aca="false">IF($A184="",0,IFERROR(VLOOKUP((YEAR($A184)+IF(MONTH($A184)&gt;=10,1,0))&amp;"|Seattle|"&amp;MONTH($A184),Rates!$A$2:$I$181,6,FALSE()),0))</f>
        <v>0</v>
      </c>
      <c r="AI184" s="14" t="n">
        <f aca="false">IF(AH184=0,0,VLOOKUP(AH184,MIE_Components!$A$2:$F$6,2,FALSE()))</f>
        <v>0</v>
      </c>
      <c r="AJ184" s="14" t="n">
        <f aca="false">IF(AH184=0,0,VLOOKUP(AH184,MIE_Components!$A$2:$F$6,3,FALSE()))</f>
        <v>0</v>
      </c>
      <c r="AK184" s="14" t="n">
        <f aca="false">IF(AH184=0,0,VLOOKUP(AH184,MIE_Components!$A$2:$F$6,4,FALSE()))</f>
        <v>0</v>
      </c>
      <c r="AL184" s="14" t="n">
        <f aca="false">IF(OR($A184="",AH184=0),0,MAX(5,AH184*IF(OR($A184=Parameters!$B$13,$A184=Parameters!$B$14),0.75,1)-(IF(AND($A184=DATE(2026,11,29),NOV29BF="Yes"),AI184,0)+IF(OR($A184=DATE(2026,11,29),$A184=DATE(2026,11,30),$A184=DATE(2026,12,1),$A184=DATE(2026,12,2)),AJ184,0)+IF(OR($A184=DATE(2026,11,28),$A184=DATE(2026,12,1)),AK184,0))))</f>
        <v>0</v>
      </c>
      <c r="AM184" s="14" t="n">
        <f aca="false">IF(AND($A184&lt;&gt;"",$A184&lt;Parameters!$B$14),CityData!F7*(1+TAXRATE),0)</f>
        <v>0</v>
      </c>
      <c r="AN184" s="14" t="n">
        <f aca="false">IF($A184="",0,IFERROR(VLOOKUP((YEAR($A184)+IF(MONTH($A184)&gt;=10,1,0))&amp;"|Seattle|"&amp;MONTH($A184),Rates!$A$2:$I$181,5,FALSE()),0))</f>
        <v>0</v>
      </c>
      <c r="AO184" s="14" t="n">
        <f aca="false">IF(OR($A184="",$A184&gt;=Parameters!$B$14),1,IF(AND(AN184&gt;0,CityData!F7&lt;=AN184),1,0))</f>
        <v>1</v>
      </c>
    </row>
    <row r="185" customFormat="false" ht="15" hidden="false" customHeight="true" outlineLevel="0" collapsed="false">
      <c r="A185" s="23" t="str">
        <f aca="false">IF(AND(Parameters!$B$14&gt;=Parameters!$B$13,ROW()-2&lt;=Parameters!$B$14-Parameters!$B$13),Parameters!$B$13+ROW()-2,"")</f>
        <v/>
      </c>
      <c r="B185" s="14" t="n">
        <f aca="false">IF($A185="",0,IFERROR(VLOOKUP((YEAR($A185)+IF(MONTH($A185)&gt;=10,1,0))&amp;"|Boston|"&amp;MONTH($A185),Rates!$A$2:$I$181,6,FALSE()),0))</f>
        <v>0</v>
      </c>
      <c r="C185" s="14" t="n">
        <f aca="false">IF(B185=0,0,VLOOKUP(B185,MIE_Components!$A$2:$F$6,2,FALSE()))</f>
        <v>0</v>
      </c>
      <c r="D185" s="14" t="n">
        <f aca="false">IF(B185=0,0,VLOOKUP(B185,MIE_Components!$A$2:$F$6,3,FALSE()))</f>
        <v>0</v>
      </c>
      <c r="E185" s="14" t="n">
        <f aca="false">IF(B185=0,0,VLOOKUP(B185,MIE_Components!$A$2:$F$6,4,FALSE()))</f>
        <v>0</v>
      </c>
      <c r="F185" s="14" t="n">
        <f aca="false">IF(OR($A185="",B185=0),0,MAX(5,B185*IF(OR($A185=Parameters!$B$13,$A185=Parameters!$B$14),0.75,1)-(IF(AND($A185=DATE(2026,11,29),NOV29BF="Yes"),C185,0)+IF(OR($A185=DATE(2026,11,29),$A185=DATE(2026,11,30),$A185=DATE(2026,12,1),$A185=DATE(2026,12,2)),D185,0)+IF(OR($A185=DATE(2026,11,28),$A185=DATE(2026,12,1)),E185,0))))</f>
        <v>0</v>
      </c>
      <c r="G185" s="14" t="n">
        <f aca="false">IF(AND($A185&lt;&gt;"",$A185&lt;Parameters!$B$14),CityData!F3*(1+TAXRATE),0)</f>
        <v>0</v>
      </c>
      <c r="H185" s="14" t="n">
        <f aca="false">IF($A185="",0,IFERROR(VLOOKUP((YEAR($A185)+IF(MONTH($A185)&gt;=10,1,0))&amp;"|Boston|"&amp;MONTH($A185),Rates!$A$2:$I$181,5,FALSE()),0))</f>
        <v>0</v>
      </c>
      <c r="I185" s="14" t="n">
        <f aca="false">IF(OR($A185="",$A185&gt;=Parameters!$B$14),1,IF(AND(H185&gt;0,CityData!F3&lt;=H185),1,0))</f>
        <v>1</v>
      </c>
      <c r="J185" s="14" t="n">
        <f aca="false">IF($A185="",0,IFERROR(VLOOKUP((YEAR($A185)+IF(MONTH($A185)&gt;=10,1,0))&amp;"|Chicago|"&amp;MONTH($A185),Rates!$A$2:$I$181,6,FALSE()),0))</f>
        <v>0</v>
      </c>
      <c r="K185" s="14" t="n">
        <f aca="false">IF(J185=0,0,VLOOKUP(J185,MIE_Components!$A$2:$F$6,2,FALSE()))</f>
        <v>0</v>
      </c>
      <c r="L185" s="14" t="n">
        <f aca="false">IF(J185=0,0,VLOOKUP(J185,MIE_Components!$A$2:$F$6,3,FALSE()))</f>
        <v>0</v>
      </c>
      <c r="M185" s="14" t="n">
        <f aca="false">IF(J185=0,0,VLOOKUP(J185,MIE_Components!$A$2:$F$6,4,FALSE()))</f>
        <v>0</v>
      </c>
      <c r="N185" s="14" t="n">
        <f aca="false">IF(OR($A185="",J185=0),0,MAX(5,J185*IF(OR($A185=Parameters!$B$13,$A185=Parameters!$B$14),0.75,1)-(IF(AND($A185=DATE(2026,11,29),NOV29BF="Yes"),K185,0)+IF(OR($A185=DATE(2026,11,29),$A185=DATE(2026,11,30),$A185=DATE(2026,12,1),$A185=DATE(2026,12,2)),L185,0)+IF(OR($A185=DATE(2026,11,28),$A185=DATE(2026,12,1)),M185,0))))</f>
        <v>0</v>
      </c>
      <c r="O185" s="14" t="n">
        <f aca="false">IF(AND($A185&lt;&gt;"",$A185&lt;Parameters!$B$14),CityData!F4*(1+TAXRATE),0)</f>
        <v>0</v>
      </c>
      <c r="P185" s="14" t="n">
        <f aca="false">IF($A185="",0,IFERROR(VLOOKUP((YEAR($A185)+IF(MONTH($A185)&gt;=10,1,0))&amp;"|Chicago|"&amp;MONTH($A185),Rates!$A$2:$I$181,5,FALSE()),0))</f>
        <v>0</v>
      </c>
      <c r="Q185" s="14" t="n">
        <f aca="false">IF(OR($A185="",$A185&gt;=Parameters!$B$14),1,IF(AND(P185&gt;0,CityData!F4&lt;=P185),1,0))</f>
        <v>1</v>
      </c>
      <c r="R185" s="14" t="n">
        <f aca="false">IF($A185="",0,IFERROR(VLOOKUP((YEAR($A185)+IF(MONTH($A185)&gt;=10,1,0))&amp;"|Denver|"&amp;MONTH($A185),Rates!$A$2:$I$181,6,FALSE()),0))</f>
        <v>0</v>
      </c>
      <c r="S185" s="14" t="n">
        <f aca="false">IF(R185=0,0,VLOOKUP(R185,MIE_Components!$A$2:$F$6,2,FALSE()))</f>
        <v>0</v>
      </c>
      <c r="T185" s="14" t="n">
        <f aca="false">IF(R185=0,0,VLOOKUP(R185,MIE_Components!$A$2:$F$6,3,FALSE()))</f>
        <v>0</v>
      </c>
      <c r="U185" s="14" t="n">
        <f aca="false">IF(R185=0,0,VLOOKUP(R185,MIE_Components!$A$2:$F$6,4,FALSE()))</f>
        <v>0</v>
      </c>
      <c r="V185" s="14" t="n">
        <f aca="false">IF(OR($A185="",R185=0),0,MAX(5,R185*IF(OR($A185=Parameters!$B$13,$A185=Parameters!$B$14),0.75,1)-(IF(AND($A185=DATE(2026,11,29),NOV29BF="Yes"),S185,0)+IF(OR($A185=DATE(2026,11,29),$A185=DATE(2026,11,30),$A185=DATE(2026,12,1),$A185=DATE(2026,12,2)),T185,0)+IF(OR($A185=DATE(2026,11,28),$A185=DATE(2026,12,1)),U185,0))))</f>
        <v>0</v>
      </c>
      <c r="W185" s="14" t="n">
        <f aca="false">IF(AND($A185&lt;&gt;"",$A185&lt;Parameters!$B$14),CityData!F5*(1+TAXRATE),0)</f>
        <v>0</v>
      </c>
      <c r="X185" s="14" t="n">
        <f aca="false">IF($A185="",0,IFERROR(VLOOKUP((YEAR($A185)+IF(MONTH($A185)&gt;=10,1,0))&amp;"|Denver|"&amp;MONTH($A185),Rates!$A$2:$I$181,5,FALSE()),0))</f>
        <v>0</v>
      </c>
      <c r="Y185" s="14" t="n">
        <f aca="false">IF(OR($A185="",$A185&gt;=Parameters!$B$14),1,IF(AND(X185&gt;0,CityData!F5&lt;=X185),1,0))</f>
        <v>1</v>
      </c>
      <c r="Z185" s="14" t="n">
        <f aca="false">IF($A185="",0,IFERROR(VLOOKUP((YEAR($A185)+IF(MONTH($A185)&gt;=10,1,0))&amp;"|Phoenix|"&amp;MONTH($A185),Rates!$A$2:$I$181,6,FALSE()),0))</f>
        <v>0</v>
      </c>
      <c r="AA185" s="14" t="n">
        <f aca="false">IF(Z185=0,0,VLOOKUP(Z185,MIE_Components!$A$2:$F$6,2,FALSE()))</f>
        <v>0</v>
      </c>
      <c r="AB185" s="14" t="n">
        <f aca="false">IF(Z185=0,0,VLOOKUP(Z185,MIE_Components!$A$2:$F$6,3,FALSE()))</f>
        <v>0</v>
      </c>
      <c r="AC185" s="14" t="n">
        <f aca="false">IF(Z185=0,0,VLOOKUP(Z185,MIE_Components!$A$2:$F$6,4,FALSE()))</f>
        <v>0</v>
      </c>
      <c r="AD185" s="14" t="n">
        <f aca="false">IF(OR($A185="",Z185=0),0,MAX(5,Z185*IF(OR($A185=Parameters!$B$13,$A185=Parameters!$B$14),0.75,1)-(IF(AND($A185=DATE(2026,11,29),NOV29BF="Yes"),AA185,0)+IF(OR($A185=DATE(2026,11,29),$A185=DATE(2026,11,30),$A185=DATE(2026,12,1),$A185=DATE(2026,12,2)),AB185,0)+IF(OR($A185=DATE(2026,11,28),$A185=DATE(2026,12,1)),AC185,0))))</f>
        <v>0</v>
      </c>
      <c r="AE185" s="14" t="n">
        <f aca="false">IF(AND($A185&lt;&gt;"",$A185&lt;Parameters!$B$14),CityData!F6*(1+TAXRATE),0)</f>
        <v>0</v>
      </c>
      <c r="AF185" s="14" t="n">
        <f aca="false">IF($A185="",0,IFERROR(VLOOKUP((YEAR($A185)+IF(MONTH($A185)&gt;=10,1,0))&amp;"|Phoenix|"&amp;MONTH($A185),Rates!$A$2:$I$181,5,FALSE()),0))</f>
        <v>0</v>
      </c>
      <c r="AG185" s="14" t="n">
        <f aca="false">IF(OR($A185="",$A185&gt;=Parameters!$B$14),1,IF(AND(AF185&gt;0,CityData!F6&lt;=AF185),1,0))</f>
        <v>1</v>
      </c>
      <c r="AH185" s="14" t="n">
        <f aca="false">IF($A185="",0,IFERROR(VLOOKUP((YEAR($A185)+IF(MONTH($A185)&gt;=10,1,0))&amp;"|Seattle|"&amp;MONTH($A185),Rates!$A$2:$I$181,6,FALSE()),0))</f>
        <v>0</v>
      </c>
      <c r="AI185" s="14" t="n">
        <f aca="false">IF(AH185=0,0,VLOOKUP(AH185,MIE_Components!$A$2:$F$6,2,FALSE()))</f>
        <v>0</v>
      </c>
      <c r="AJ185" s="14" t="n">
        <f aca="false">IF(AH185=0,0,VLOOKUP(AH185,MIE_Components!$A$2:$F$6,3,FALSE()))</f>
        <v>0</v>
      </c>
      <c r="AK185" s="14" t="n">
        <f aca="false">IF(AH185=0,0,VLOOKUP(AH185,MIE_Components!$A$2:$F$6,4,FALSE()))</f>
        <v>0</v>
      </c>
      <c r="AL185" s="14" t="n">
        <f aca="false">IF(OR($A185="",AH185=0),0,MAX(5,AH185*IF(OR($A185=Parameters!$B$13,$A185=Parameters!$B$14),0.75,1)-(IF(AND($A185=DATE(2026,11,29),NOV29BF="Yes"),AI185,0)+IF(OR($A185=DATE(2026,11,29),$A185=DATE(2026,11,30),$A185=DATE(2026,12,1),$A185=DATE(2026,12,2)),AJ185,0)+IF(OR($A185=DATE(2026,11,28),$A185=DATE(2026,12,1)),AK185,0))))</f>
        <v>0</v>
      </c>
      <c r="AM185" s="14" t="n">
        <f aca="false">IF(AND($A185&lt;&gt;"",$A185&lt;Parameters!$B$14),CityData!F7*(1+TAXRATE),0)</f>
        <v>0</v>
      </c>
      <c r="AN185" s="14" t="n">
        <f aca="false">IF($A185="",0,IFERROR(VLOOKUP((YEAR($A185)+IF(MONTH($A185)&gt;=10,1,0))&amp;"|Seattle|"&amp;MONTH($A185),Rates!$A$2:$I$181,5,FALSE()),0))</f>
        <v>0</v>
      </c>
      <c r="AO185" s="14" t="n">
        <f aca="false">IF(OR($A185="",$A185&gt;=Parameters!$B$14),1,IF(AND(AN185&gt;0,CityData!F7&lt;=AN185),1,0))</f>
        <v>1</v>
      </c>
    </row>
    <row r="186" customFormat="false" ht="15" hidden="false" customHeight="true" outlineLevel="0" collapsed="false">
      <c r="A186" s="23" t="str">
        <f aca="false">IF(AND(Parameters!$B$14&gt;=Parameters!$B$13,ROW()-2&lt;=Parameters!$B$14-Parameters!$B$13),Parameters!$B$13+ROW()-2,"")</f>
        <v/>
      </c>
      <c r="B186" s="14" t="n">
        <f aca="false">IF($A186="",0,IFERROR(VLOOKUP((YEAR($A186)+IF(MONTH($A186)&gt;=10,1,0))&amp;"|Boston|"&amp;MONTH($A186),Rates!$A$2:$I$181,6,FALSE()),0))</f>
        <v>0</v>
      </c>
      <c r="C186" s="14" t="n">
        <f aca="false">IF(B186=0,0,VLOOKUP(B186,MIE_Components!$A$2:$F$6,2,FALSE()))</f>
        <v>0</v>
      </c>
      <c r="D186" s="14" t="n">
        <f aca="false">IF(B186=0,0,VLOOKUP(B186,MIE_Components!$A$2:$F$6,3,FALSE()))</f>
        <v>0</v>
      </c>
      <c r="E186" s="14" t="n">
        <f aca="false">IF(B186=0,0,VLOOKUP(B186,MIE_Components!$A$2:$F$6,4,FALSE()))</f>
        <v>0</v>
      </c>
      <c r="F186" s="14" t="n">
        <f aca="false">IF(OR($A186="",B186=0),0,MAX(5,B186*IF(OR($A186=Parameters!$B$13,$A186=Parameters!$B$14),0.75,1)-(IF(AND($A186=DATE(2026,11,29),NOV29BF="Yes"),C186,0)+IF(OR($A186=DATE(2026,11,29),$A186=DATE(2026,11,30),$A186=DATE(2026,12,1),$A186=DATE(2026,12,2)),D186,0)+IF(OR($A186=DATE(2026,11,28),$A186=DATE(2026,12,1)),E186,0))))</f>
        <v>0</v>
      </c>
      <c r="G186" s="14" t="n">
        <f aca="false">IF(AND($A186&lt;&gt;"",$A186&lt;Parameters!$B$14),CityData!F3*(1+TAXRATE),0)</f>
        <v>0</v>
      </c>
      <c r="H186" s="14" t="n">
        <f aca="false">IF($A186="",0,IFERROR(VLOOKUP((YEAR($A186)+IF(MONTH($A186)&gt;=10,1,0))&amp;"|Boston|"&amp;MONTH($A186),Rates!$A$2:$I$181,5,FALSE()),0))</f>
        <v>0</v>
      </c>
      <c r="I186" s="14" t="n">
        <f aca="false">IF(OR($A186="",$A186&gt;=Parameters!$B$14),1,IF(AND(H186&gt;0,CityData!F3&lt;=H186),1,0))</f>
        <v>1</v>
      </c>
      <c r="J186" s="14" t="n">
        <f aca="false">IF($A186="",0,IFERROR(VLOOKUP((YEAR($A186)+IF(MONTH($A186)&gt;=10,1,0))&amp;"|Chicago|"&amp;MONTH($A186),Rates!$A$2:$I$181,6,FALSE()),0))</f>
        <v>0</v>
      </c>
      <c r="K186" s="14" t="n">
        <f aca="false">IF(J186=0,0,VLOOKUP(J186,MIE_Components!$A$2:$F$6,2,FALSE()))</f>
        <v>0</v>
      </c>
      <c r="L186" s="14" t="n">
        <f aca="false">IF(J186=0,0,VLOOKUP(J186,MIE_Components!$A$2:$F$6,3,FALSE()))</f>
        <v>0</v>
      </c>
      <c r="M186" s="14" t="n">
        <f aca="false">IF(J186=0,0,VLOOKUP(J186,MIE_Components!$A$2:$F$6,4,FALSE()))</f>
        <v>0</v>
      </c>
      <c r="N186" s="14" t="n">
        <f aca="false">IF(OR($A186="",J186=0),0,MAX(5,J186*IF(OR($A186=Parameters!$B$13,$A186=Parameters!$B$14),0.75,1)-(IF(AND($A186=DATE(2026,11,29),NOV29BF="Yes"),K186,0)+IF(OR($A186=DATE(2026,11,29),$A186=DATE(2026,11,30),$A186=DATE(2026,12,1),$A186=DATE(2026,12,2)),L186,0)+IF(OR($A186=DATE(2026,11,28),$A186=DATE(2026,12,1)),M186,0))))</f>
        <v>0</v>
      </c>
      <c r="O186" s="14" t="n">
        <f aca="false">IF(AND($A186&lt;&gt;"",$A186&lt;Parameters!$B$14),CityData!F4*(1+TAXRATE),0)</f>
        <v>0</v>
      </c>
      <c r="P186" s="14" t="n">
        <f aca="false">IF($A186="",0,IFERROR(VLOOKUP((YEAR($A186)+IF(MONTH($A186)&gt;=10,1,0))&amp;"|Chicago|"&amp;MONTH($A186),Rates!$A$2:$I$181,5,FALSE()),0))</f>
        <v>0</v>
      </c>
      <c r="Q186" s="14" t="n">
        <f aca="false">IF(OR($A186="",$A186&gt;=Parameters!$B$14),1,IF(AND(P186&gt;0,CityData!F4&lt;=P186),1,0))</f>
        <v>1</v>
      </c>
      <c r="R186" s="14" t="n">
        <f aca="false">IF($A186="",0,IFERROR(VLOOKUP((YEAR($A186)+IF(MONTH($A186)&gt;=10,1,0))&amp;"|Denver|"&amp;MONTH($A186),Rates!$A$2:$I$181,6,FALSE()),0))</f>
        <v>0</v>
      </c>
      <c r="S186" s="14" t="n">
        <f aca="false">IF(R186=0,0,VLOOKUP(R186,MIE_Components!$A$2:$F$6,2,FALSE()))</f>
        <v>0</v>
      </c>
      <c r="T186" s="14" t="n">
        <f aca="false">IF(R186=0,0,VLOOKUP(R186,MIE_Components!$A$2:$F$6,3,FALSE()))</f>
        <v>0</v>
      </c>
      <c r="U186" s="14" t="n">
        <f aca="false">IF(R186=0,0,VLOOKUP(R186,MIE_Components!$A$2:$F$6,4,FALSE()))</f>
        <v>0</v>
      </c>
      <c r="V186" s="14" t="n">
        <f aca="false">IF(OR($A186="",R186=0),0,MAX(5,R186*IF(OR($A186=Parameters!$B$13,$A186=Parameters!$B$14),0.75,1)-(IF(AND($A186=DATE(2026,11,29),NOV29BF="Yes"),S186,0)+IF(OR($A186=DATE(2026,11,29),$A186=DATE(2026,11,30),$A186=DATE(2026,12,1),$A186=DATE(2026,12,2)),T186,0)+IF(OR($A186=DATE(2026,11,28),$A186=DATE(2026,12,1)),U186,0))))</f>
        <v>0</v>
      </c>
      <c r="W186" s="14" t="n">
        <f aca="false">IF(AND($A186&lt;&gt;"",$A186&lt;Parameters!$B$14),CityData!F5*(1+TAXRATE),0)</f>
        <v>0</v>
      </c>
      <c r="X186" s="14" t="n">
        <f aca="false">IF($A186="",0,IFERROR(VLOOKUP((YEAR($A186)+IF(MONTH($A186)&gt;=10,1,0))&amp;"|Denver|"&amp;MONTH($A186),Rates!$A$2:$I$181,5,FALSE()),0))</f>
        <v>0</v>
      </c>
      <c r="Y186" s="14" t="n">
        <f aca="false">IF(OR($A186="",$A186&gt;=Parameters!$B$14),1,IF(AND(X186&gt;0,CityData!F5&lt;=X186),1,0))</f>
        <v>1</v>
      </c>
      <c r="Z186" s="14" t="n">
        <f aca="false">IF($A186="",0,IFERROR(VLOOKUP((YEAR($A186)+IF(MONTH($A186)&gt;=10,1,0))&amp;"|Phoenix|"&amp;MONTH($A186),Rates!$A$2:$I$181,6,FALSE()),0))</f>
        <v>0</v>
      </c>
      <c r="AA186" s="14" t="n">
        <f aca="false">IF(Z186=0,0,VLOOKUP(Z186,MIE_Components!$A$2:$F$6,2,FALSE()))</f>
        <v>0</v>
      </c>
      <c r="AB186" s="14" t="n">
        <f aca="false">IF(Z186=0,0,VLOOKUP(Z186,MIE_Components!$A$2:$F$6,3,FALSE()))</f>
        <v>0</v>
      </c>
      <c r="AC186" s="14" t="n">
        <f aca="false">IF(Z186=0,0,VLOOKUP(Z186,MIE_Components!$A$2:$F$6,4,FALSE()))</f>
        <v>0</v>
      </c>
      <c r="AD186" s="14" t="n">
        <f aca="false">IF(OR($A186="",Z186=0),0,MAX(5,Z186*IF(OR($A186=Parameters!$B$13,$A186=Parameters!$B$14),0.75,1)-(IF(AND($A186=DATE(2026,11,29),NOV29BF="Yes"),AA186,0)+IF(OR($A186=DATE(2026,11,29),$A186=DATE(2026,11,30),$A186=DATE(2026,12,1),$A186=DATE(2026,12,2)),AB186,0)+IF(OR($A186=DATE(2026,11,28),$A186=DATE(2026,12,1)),AC186,0))))</f>
        <v>0</v>
      </c>
      <c r="AE186" s="14" t="n">
        <f aca="false">IF(AND($A186&lt;&gt;"",$A186&lt;Parameters!$B$14),CityData!F6*(1+TAXRATE),0)</f>
        <v>0</v>
      </c>
      <c r="AF186" s="14" t="n">
        <f aca="false">IF($A186="",0,IFERROR(VLOOKUP((YEAR($A186)+IF(MONTH($A186)&gt;=10,1,0))&amp;"|Phoenix|"&amp;MONTH($A186),Rates!$A$2:$I$181,5,FALSE()),0))</f>
        <v>0</v>
      </c>
      <c r="AG186" s="14" t="n">
        <f aca="false">IF(OR($A186="",$A186&gt;=Parameters!$B$14),1,IF(AND(AF186&gt;0,CityData!F6&lt;=AF186),1,0))</f>
        <v>1</v>
      </c>
      <c r="AH186" s="14" t="n">
        <f aca="false">IF($A186="",0,IFERROR(VLOOKUP((YEAR($A186)+IF(MONTH($A186)&gt;=10,1,0))&amp;"|Seattle|"&amp;MONTH($A186),Rates!$A$2:$I$181,6,FALSE()),0))</f>
        <v>0</v>
      </c>
      <c r="AI186" s="14" t="n">
        <f aca="false">IF(AH186=0,0,VLOOKUP(AH186,MIE_Components!$A$2:$F$6,2,FALSE()))</f>
        <v>0</v>
      </c>
      <c r="AJ186" s="14" t="n">
        <f aca="false">IF(AH186=0,0,VLOOKUP(AH186,MIE_Components!$A$2:$F$6,3,FALSE()))</f>
        <v>0</v>
      </c>
      <c r="AK186" s="14" t="n">
        <f aca="false">IF(AH186=0,0,VLOOKUP(AH186,MIE_Components!$A$2:$F$6,4,FALSE()))</f>
        <v>0</v>
      </c>
      <c r="AL186" s="14" t="n">
        <f aca="false">IF(OR($A186="",AH186=0),0,MAX(5,AH186*IF(OR($A186=Parameters!$B$13,$A186=Parameters!$B$14),0.75,1)-(IF(AND($A186=DATE(2026,11,29),NOV29BF="Yes"),AI186,0)+IF(OR($A186=DATE(2026,11,29),$A186=DATE(2026,11,30),$A186=DATE(2026,12,1),$A186=DATE(2026,12,2)),AJ186,0)+IF(OR($A186=DATE(2026,11,28),$A186=DATE(2026,12,1)),AK186,0))))</f>
        <v>0</v>
      </c>
      <c r="AM186" s="14" t="n">
        <f aca="false">IF(AND($A186&lt;&gt;"",$A186&lt;Parameters!$B$14),CityData!F7*(1+TAXRATE),0)</f>
        <v>0</v>
      </c>
      <c r="AN186" s="14" t="n">
        <f aca="false">IF($A186="",0,IFERROR(VLOOKUP((YEAR($A186)+IF(MONTH($A186)&gt;=10,1,0))&amp;"|Seattle|"&amp;MONTH($A186),Rates!$A$2:$I$181,5,FALSE()),0))</f>
        <v>0</v>
      </c>
      <c r="AO186" s="14" t="n">
        <f aca="false">IF(OR($A186="",$A186&gt;=Parameters!$B$14),1,IF(AND(AN186&gt;0,CityData!F7&lt;=AN186),1,0))</f>
        <v>1</v>
      </c>
    </row>
    <row r="187" customFormat="false" ht="15" hidden="false" customHeight="true" outlineLevel="0" collapsed="false">
      <c r="A187" s="23" t="str">
        <f aca="false">IF(AND(Parameters!$B$14&gt;=Parameters!$B$13,ROW()-2&lt;=Parameters!$B$14-Parameters!$B$13),Parameters!$B$13+ROW()-2,"")</f>
        <v/>
      </c>
      <c r="B187" s="14" t="n">
        <f aca="false">IF($A187="",0,IFERROR(VLOOKUP((YEAR($A187)+IF(MONTH($A187)&gt;=10,1,0))&amp;"|Boston|"&amp;MONTH($A187),Rates!$A$2:$I$181,6,FALSE()),0))</f>
        <v>0</v>
      </c>
      <c r="C187" s="14" t="n">
        <f aca="false">IF(B187=0,0,VLOOKUP(B187,MIE_Components!$A$2:$F$6,2,FALSE()))</f>
        <v>0</v>
      </c>
      <c r="D187" s="14" t="n">
        <f aca="false">IF(B187=0,0,VLOOKUP(B187,MIE_Components!$A$2:$F$6,3,FALSE()))</f>
        <v>0</v>
      </c>
      <c r="E187" s="14" t="n">
        <f aca="false">IF(B187=0,0,VLOOKUP(B187,MIE_Components!$A$2:$F$6,4,FALSE()))</f>
        <v>0</v>
      </c>
      <c r="F187" s="14" t="n">
        <f aca="false">IF(OR($A187="",B187=0),0,MAX(5,B187*IF(OR($A187=Parameters!$B$13,$A187=Parameters!$B$14),0.75,1)-(IF(AND($A187=DATE(2026,11,29),NOV29BF="Yes"),C187,0)+IF(OR($A187=DATE(2026,11,29),$A187=DATE(2026,11,30),$A187=DATE(2026,12,1),$A187=DATE(2026,12,2)),D187,0)+IF(OR($A187=DATE(2026,11,28),$A187=DATE(2026,12,1)),E187,0))))</f>
        <v>0</v>
      </c>
      <c r="G187" s="14" t="n">
        <f aca="false">IF(AND($A187&lt;&gt;"",$A187&lt;Parameters!$B$14),CityData!F3*(1+TAXRATE),0)</f>
        <v>0</v>
      </c>
      <c r="H187" s="14" t="n">
        <f aca="false">IF($A187="",0,IFERROR(VLOOKUP((YEAR($A187)+IF(MONTH($A187)&gt;=10,1,0))&amp;"|Boston|"&amp;MONTH($A187),Rates!$A$2:$I$181,5,FALSE()),0))</f>
        <v>0</v>
      </c>
      <c r="I187" s="14" t="n">
        <f aca="false">IF(OR($A187="",$A187&gt;=Parameters!$B$14),1,IF(AND(H187&gt;0,CityData!F3&lt;=H187),1,0))</f>
        <v>1</v>
      </c>
      <c r="J187" s="14" t="n">
        <f aca="false">IF($A187="",0,IFERROR(VLOOKUP((YEAR($A187)+IF(MONTH($A187)&gt;=10,1,0))&amp;"|Chicago|"&amp;MONTH($A187),Rates!$A$2:$I$181,6,FALSE()),0))</f>
        <v>0</v>
      </c>
      <c r="K187" s="14" t="n">
        <f aca="false">IF(J187=0,0,VLOOKUP(J187,MIE_Components!$A$2:$F$6,2,FALSE()))</f>
        <v>0</v>
      </c>
      <c r="L187" s="14" t="n">
        <f aca="false">IF(J187=0,0,VLOOKUP(J187,MIE_Components!$A$2:$F$6,3,FALSE()))</f>
        <v>0</v>
      </c>
      <c r="M187" s="14" t="n">
        <f aca="false">IF(J187=0,0,VLOOKUP(J187,MIE_Components!$A$2:$F$6,4,FALSE()))</f>
        <v>0</v>
      </c>
      <c r="N187" s="14" t="n">
        <f aca="false">IF(OR($A187="",J187=0),0,MAX(5,J187*IF(OR($A187=Parameters!$B$13,$A187=Parameters!$B$14),0.75,1)-(IF(AND($A187=DATE(2026,11,29),NOV29BF="Yes"),K187,0)+IF(OR($A187=DATE(2026,11,29),$A187=DATE(2026,11,30),$A187=DATE(2026,12,1),$A187=DATE(2026,12,2)),L187,0)+IF(OR($A187=DATE(2026,11,28),$A187=DATE(2026,12,1)),M187,0))))</f>
        <v>0</v>
      </c>
      <c r="O187" s="14" t="n">
        <f aca="false">IF(AND($A187&lt;&gt;"",$A187&lt;Parameters!$B$14),CityData!F4*(1+TAXRATE),0)</f>
        <v>0</v>
      </c>
      <c r="P187" s="14" t="n">
        <f aca="false">IF($A187="",0,IFERROR(VLOOKUP((YEAR($A187)+IF(MONTH($A187)&gt;=10,1,0))&amp;"|Chicago|"&amp;MONTH($A187),Rates!$A$2:$I$181,5,FALSE()),0))</f>
        <v>0</v>
      </c>
      <c r="Q187" s="14" t="n">
        <f aca="false">IF(OR($A187="",$A187&gt;=Parameters!$B$14),1,IF(AND(P187&gt;0,CityData!F4&lt;=P187),1,0))</f>
        <v>1</v>
      </c>
      <c r="R187" s="14" t="n">
        <f aca="false">IF($A187="",0,IFERROR(VLOOKUP((YEAR($A187)+IF(MONTH($A187)&gt;=10,1,0))&amp;"|Denver|"&amp;MONTH($A187),Rates!$A$2:$I$181,6,FALSE()),0))</f>
        <v>0</v>
      </c>
      <c r="S187" s="14" t="n">
        <f aca="false">IF(R187=0,0,VLOOKUP(R187,MIE_Components!$A$2:$F$6,2,FALSE()))</f>
        <v>0</v>
      </c>
      <c r="T187" s="14" t="n">
        <f aca="false">IF(R187=0,0,VLOOKUP(R187,MIE_Components!$A$2:$F$6,3,FALSE()))</f>
        <v>0</v>
      </c>
      <c r="U187" s="14" t="n">
        <f aca="false">IF(R187=0,0,VLOOKUP(R187,MIE_Components!$A$2:$F$6,4,FALSE()))</f>
        <v>0</v>
      </c>
      <c r="V187" s="14" t="n">
        <f aca="false">IF(OR($A187="",R187=0),0,MAX(5,R187*IF(OR($A187=Parameters!$B$13,$A187=Parameters!$B$14),0.75,1)-(IF(AND($A187=DATE(2026,11,29),NOV29BF="Yes"),S187,0)+IF(OR($A187=DATE(2026,11,29),$A187=DATE(2026,11,30),$A187=DATE(2026,12,1),$A187=DATE(2026,12,2)),T187,0)+IF(OR($A187=DATE(2026,11,28),$A187=DATE(2026,12,1)),U187,0))))</f>
        <v>0</v>
      </c>
      <c r="W187" s="14" t="n">
        <f aca="false">IF(AND($A187&lt;&gt;"",$A187&lt;Parameters!$B$14),CityData!F5*(1+TAXRATE),0)</f>
        <v>0</v>
      </c>
      <c r="X187" s="14" t="n">
        <f aca="false">IF($A187="",0,IFERROR(VLOOKUP((YEAR($A187)+IF(MONTH($A187)&gt;=10,1,0))&amp;"|Denver|"&amp;MONTH($A187),Rates!$A$2:$I$181,5,FALSE()),0))</f>
        <v>0</v>
      </c>
      <c r="Y187" s="14" t="n">
        <f aca="false">IF(OR($A187="",$A187&gt;=Parameters!$B$14),1,IF(AND(X187&gt;0,CityData!F5&lt;=X187),1,0))</f>
        <v>1</v>
      </c>
      <c r="Z187" s="14" t="n">
        <f aca="false">IF($A187="",0,IFERROR(VLOOKUP((YEAR($A187)+IF(MONTH($A187)&gt;=10,1,0))&amp;"|Phoenix|"&amp;MONTH($A187),Rates!$A$2:$I$181,6,FALSE()),0))</f>
        <v>0</v>
      </c>
      <c r="AA187" s="14" t="n">
        <f aca="false">IF(Z187=0,0,VLOOKUP(Z187,MIE_Components!$A$2:$F$6,2,FALSE()))</f>
        <v>0</v>
      </c>
      <c r="AB187" s="14" t="n">
        <f aca="false">IF(Z187=0,0,VLOOKUP(Z187,MIE_Components!$A$2:$F$6,3,FALSE()))</f>
        <v>0</v>
      </c>
      <c r="AC187" s="14" t="n">
        <f aca="false">IF(Z187=0,0,VLOOKUP(Z187,MIE_Components!$A$2:$F$6,4,FALSE()))</f>
        <v>0</v>
      </c>
      <c r="AD187" s="14" t="n">
        <f aca="false">IF(OR($A187="",Z187=0),0,MAX(5,Z187*IF(OR($A187=Parameters!$B$13,$A187=Parameters!$B$14),0.75,1)-(IF(AND($A187=DATE(2026,11,29),NOV29BF="Yes"),AA187,0)+IF(OR($A187=DATE(2026,11,29),$A187=DATE(2026,11,30),$A187=DATE(2026,12,1),$A187=DATE(2026,12,2)),AB187,0)+IF(OR($A187=DATE(2026,11,28),$A187=DATE(2026,12,1)),AC187,0))))</f>
        <v>0</v>
      </c>
      <c r="AE187" s="14" t="n">
        <f aca="false">IF(AND($A187&lt;&gt;"",$A187&lt;Parameters!$B$14),CityData!F6*(1+TAXRATE),0)</f>
        <v>0</v>
      </c>
      <c r="AF187" s="14" t="n">
        <f aca="false">IF($A187="",0,IFERROR(VLOOKUP((YEAR($A187)+IF(MONTH($A187)&gt;=10,1,0))&amp;"|Phoenix|"&amp;MONTH($A187),Rates!$A$2:$I$181,5,FALSE()),0))</f>
        <v>0</v>
      </c>
      <c r="AG187" s="14" t="n">
        <f aca="false">IF(OR($A187="",$A187&gt;=Parameters!$B$14),1,IF(AND(AF187&gt;0,CityData!F6&lt;=AF187),1,0))</f>
        <v>1</v>
      </c>
      <c r="AH187" s="14" t="n">
        <f aca="false">IF($A187="",0,IFERROR(VLOOKUP((YEAR($A187)+IF(MONTH($A187)&gt;=10,1,0))&amp;"|Seattle|"&amp;MONTH($A187),Rates!$A$2:$I$181,6,FALSE()),0))</f>
        <v>0</v>
      </c>
      <c r="AI187" s="14" t="n">
        <f aca="false">IF(AH187=0,0,VLOOKUP(AH187,MIE_Components!$A$2:$F$6,2,FALSE()))</f>
        <v>0</v>
      </c>
      <c r="AJ187" s="14" t="n">
        <f aca="false">IF(AH187=0,0,VLOOKUP(AH187,MIE_Components!$A$2:$F$6,3,FALSE()))</f>
        <v>0</v>
      </c>
      <c r="AK187" s="14" t="n">
        <f aca="false">IF(AH187=0,0,VLOOKUP(AH187,MIE_Components!$A$2:$F$6,4,FALSE()))</f>
        <v>0</v>
      </c>
      <c r="AL187" s="14" t="n">
        <f aca="false">IF(OR($A187="",AH187=0),0,MAX(5,AH187*IF(OR($A187=Parameters!$B$13,$A187=Parameters!$B$14),0.75,1)-(IF(AND($A187=DATE(2026,11,29),NOV29BF="Yes"),AI187,0)+IF(OR($A187=DATE(2026,11,29),$A187=DATE(2026,11,30),$A187=DATE(2026,12,1),$A187=DATE(2026,12,2)),AJ187,0)+IF(OR($A187=DATE(2026,11,28),$A187=DATE(2026,12,1)),AK187,0))))</f>
        <v>0</v>
      </c>
      <c r="AM187" s="14" t="n">
        <f aca="false">IF(AND($A187&lt;&gt;"",$A187&lt;Parameters!$B$14),CityData!F7*(1+TAXRATE),0)</f>
        <v>0</v>
      </c>
      <c r="AN187" s="14" t="n">
        <f aca="false">IF($A187="",0,IFERROR(VLOOKUP((YEAR($A187)+IF(MONTH($A187)&gt;=10,1,0))&amp;"|Seattle|"&amp;MONTH($A187),Rates!$A$2:$I$181,5,FALSE()),0))</f>
        <v>0</v>
      </c>
      <c r="AO187" s="14" t="n">
        <f aca="false">IF(OR($A187="",$A187&gt;=Parameters!$B$14),1,IF(AND(AN187&gt;0,CityData!F7&lt;=AN187),1,0))</f>
        <v>1</v>
      </c>
    </row>
    <row r="188" customFormat="false" ht="15" hidden="false" customHeight="true" outlineLevel="0" collapsed="false">
      <c r="A188" s="23" t="str">
        <f aca="false">IF(AND(Parameters!$B$14&gt;=Parameters!$B$13,ROW()-2&lt;=Parameters!$B$14-Parameters!$B$13),Parameters!$B$13+ROW()-2,"")</f>
        <v/>
      </c>
      <c r="B188" s="14" t="n">
        <f aca="false">IF($A188="",0,IFERROR(VLOOKUP((YEAR($A188)+IF(MONTH($A188)&gt;=10,1,0))&amp;"|Boston|"&amp;MONTH($A188),Rates!$A$2:$I$181,6,FALSE()),0))</f>
        <v>0</v>
      </c>
      <c r="C188" s="14" t="n">
        <f aca="false">IF(B188=0,0,VLOOKUP(B188,MIE_Components!$A$2:$F$6,2,FALSE()))</f>
        <v>0</v>
      </c>
      <c r="D188" s="14" t="n">
        <f aca="false">IF(B188=0,0,VLOOKUP(B188,MIE_Components!$A$2:$F$6,3,FALSE()))</f>
        <v>0</v>
      </c>
      <c r="E188" s="14" t="n">
        <f aca="false">IF(B188=0,0,VLOOKUP(B188,MIE_Components!$A$2:$F$6,4,FALSE()))</f>
        <v>0</v>
      </c>
      <c r="F188" s="14" t="n">
        <f aca="false">IF(OR($A188="",B188=0),0,MAX(5,B188*IF(OR($A188=Parameters!$B$13,$A188=Parameters!$B$14),0.75,1)-(IF(AND($A188=DATE(2026,11,29),NOV29BF="Yes"),C188,0)+IF(OR($A188=DATE(2026,11,29),$A188=DATE(2026,11,30),$A188=DATE(2026,12,1),$A188=DATE(2026,12,2)),D188,0)+IF(OR($A188=DATE(2026,11,28),$A188=DATE(2026,12,1)),E188,0))))</f>
        <v>0</v>
      </c>
      <c r="G188" s="14" t="n">
        <f aca="false">IF(AND($A188&lt;&gt;"",$A188&lt;Parameters!$B$14),CityData!F3*(1+TAXRATE),0)</f>
        <v>0</v>
      </c>
      <c r="H188" s="14" t="n">
        <f aca="false">IF($A188="",0,IFERROR(VLOOKUP((YEAR($A188)+IF(MONTH($A188)&gt;=10,1,0))&amp;"|Boston|"&amp;MONTH($A188),Rates!$A$2:$I$181,5,FALSE()),0))</f>
        <v>0</v>
      </c>
      <c r="I188" s="14" t="n">
        <f aca="false">IF(OR($A188="",$A188&gt;=Parameters!$B$14),1,IF(AND(H188&gt;0,CityData!F3&lt;=H188),1,0))</f>
        <v>1</v>
      </c>
      <c r="J188" s="14" t="n">
        <f aca="false">IF($A188="",0,IFERROR(VLOOKUP((YEAR($A188)+IF(MONTH($A188)&gt;=10,1,0))&amp;"|Chicago|"&amp;MONTH($A188),Rates!$A$2:$I$181,6,FALSE()),0))</f>
        <v>0</v>
      </c>
      <c r="K188" s="14" t="n">
        <f aca="false">IF(J188=0,0,VLOOKUP(J188,MIE_Components!$A$2:$F$6,2,FALSE()))</f>
        <v>0</v>
      </c>
      <c r="L188" s="14" t="n">
        <f aca="false">IF(J188=0,0,VLOOKUP(J188,MIE_Components!$A$2:$F$6,3,FALSE()))</f>
        <v>0</v>
      </c>
      <c r="M188" s="14" t="n">
        <f aca="false">IF(J188=0,0,VLOOKUP(J188,MIE_Components!$A$2:$F$6,4,FALSE()))</f>
        <v>0</v>
      </c>
      <c r="N188" s="14" t="n">
        <f aca="false">IF(OR($A188="",J188=0),0,MAX(5,J188*IF(OR($A188=Parameters!$B$13,$A188=Parameters!$B$14),0.75,1)-(IF(AND($A188=DATE(2026,11,29),NOV29BF="Yes"),K188,0)+IF(OR($A188=DATE(2026,11,29),$A188=DATE(2026,11,30),$A188=DATE(2026,12,1),$A188=DATE(2026,12,2)),L188,0)+IF(OR($A188=DATE(2026,11,28),$A188=DATE(2026,12,1)),M188,0))))</f>
        <v>0</v>
      </c>
      <c r="O188" s="14" t="n">
        <f aca="false">IF(AND($A188&lt;&gt;"",$A188&lt;Parameters!$B$14),CityData!F4*(1+TAXRATE),0)</f>
        <v>0</v>
      </c>
      <c r="P188" s="14" t="n">
        <f aca="false">IF($A188="",0,IFERROR(VLOOKUP((YEAR($A188)+IF(MONTH($A188)&gt;=10,1,0))&amp;"|Chicago|"&amp;MONTH($A188),Rates!$A$2:$I$181,5,FALSE()),0))</f>
        <v>0</v>
      </c>
      <c r="Q188" s="14" t="n">
        <f aca="false">IF(OR($A188="",$A188&gt;=Parameters!$B$14),1,IF(AND(P188&gt;0,CityData!F4&lt;=P188),1,0))</f>
        <v>1</v>
      </c>
      <c r="R188" s="14" t="n">
        <f aca="false">IF($A188="",0,IFERROR(VLOOKUP((YEAR($A188)+IF(MONTH($A188)&gt;=10,1,0))&amp;"|Denver|"&amp;MONTH($A188),Rates!$A$2:$I$181,6,FALSE()),0))</f>
        <v>0</v>
      </c>
      <c r="S188" s="14" t="n">
        <f aca="false">IF(R188=0,0,VLOOKUP(R188,MIE_Components!$A$2:$F$6,2,FALSE()))</f>
        <v>0</v>
      </c>
      <c r="T188" s="14" t="n">
        <f aca="false">IF(R188=0,0,VLOOKUP(R188,MIE_Components!$A$2:$F$6,3,FALSE()))</f>
        <v>0</v>
      </c>
      <c r="U188" s="14" t="n">
        <f aca="false">IF(R188=0,0,VLOOKUP(R188,MIE_Components!$A$2:$F$6,4,FALSE()))</f>
        <v>0</v>
      </c>
      <c r="V188" s="14" t="n">
        <f aca="false">IF(OR($A188="",R188=0),0,MAX(5,R188*IF(OR($A188=Parameters!$B$13,$A188=Parameters!$B$14),0.75,1)-(IF(AND($A188=DATE(2026,11,29),NOV29BF="Yes"),S188,0)+IF(OR($A188=DATE(2026,11,29),$A188=DATE(2026,11,30),$A188=DATE(2026,12,1),$A188=DATE(2026,12,2)),T188,0)+IF(OR($A188=DATE(2026,11,28),$A188=DATE(2026,12,1)),U188,0))))</f>
        <v>0</v>
      </c>
      <c r="W188" s="14" t="n">
        <f aca="false">IF(AND($A188&lt;&gt;"",$A188&lt;Parameters!$B$14),CityData!F5*(1+TAXRATE),0)</f>
        <v>0</v>
      </c>
      <c r="X188" s="14" t="n">
        <f aca="false">IF($A188="",0,IFERROR(VLOOKUP((YEAR($A188)+IF(MONTH($A188)&gt;=10,1,0))&amp;"|Denver|"&amp;MONTH($A188),Rates!$A$2:$I$181,5,FALSE()),0))</f>
        <v>0</v>
      </c>
      <c r="Y188" s="14" t="n">
        <f aca="false">IF(OR($A188="",$A188&gt;=Parameters!$B$14),1,IF(AND(X188&gt;0,CityData!F5&lt;=X188),1,0))</f>
        <v>1</v>
      </c>
      <c r="Z188" s="14" t="n">
        <f aca="false">IF($A188="",0,IFERROR(VLOOKUP((YEAR($A188)+IF(MONTH($A188)&gt;=10,1,0))&amp;"|Phoenix|"&amp;MONTH($A188),Rates!$A$2:$I$181,6,FALSE()),0))</f>
        <v>0</v>
      </c>
      <c r="AA188" s="14" t="n">
        <f aca="false">IF(Z188=0,0,VLOOKUP(Z188,MIE_Components!$A$2:$F$6,2,FALSE()))</f>
        <v>0</v>
      </c>
      <c r="AB188" s="14" t="n">
        <f aca="false">IF(Z188=0,0,VLOOKUP(Z188,MIE_Components!$A$2:$F$6,3,FALSE()))</f>
        <v>0</v>
      </c>
      <c r="AC188" s="14" t="n">
        <f aca="false">IF(Z188=0,0,VLOOKUP(Z188,MIE_Components!$A$2:$F$6,4,FALSE()))</f>
        <v>0</v>
      </c>
      <c r="AD188" s="14" t="n">
        <f aca="false">IF(OR($A188="",Z188=0),0,MAX(5,Z188*IF(OR($A188=Parameters!$B$13,$A188=Parameters!$B$14),0.75,1)-(IF(AND($A188=DATE(2026,11,29),NOV29BF="Yes"),AA188,0)+IF(OR($A188=DATE(2026,11,29),$A188=DATE(2026,11,30),$A188=DATE(2026,12,1),$A188=DATE(2026,12,2)),AB188,0)+IF(OR($A188=DATE(2026,11,28),$A188=DATE(2026,12,1)),AC188,0))))</f>
        <v>0</v>
      </c>
      <c r="AE188" s="14" t="n">
        <f aca="false">IF(AND($A188&lt;&gt;"",$A188&lt;Parameters!$B$14),CityData!F6*(1+TAXRATE),0)</f>
        <v>0</v>
      </c>
      <c r="AF188" s="14" t="n">
        <f aca="false">IF($A188="",0,IFERROR(VLOOKUP((YEAR($A188)+IF(MONTH($A188)&gt;=10,1,0))&amp;"|Phoenix|"&amp;MONTH($A188),Rates!$A$2:$I$181,5,FALSE()),0))</f>
        <v>0</v>
      </c>
      <c r="AG188" s="14" t="n">
        <f aca="false">IF(OR($A188="",$A188&gt;=Parameters!$B$14),1,IF(AND(AF188&gt;0,CityData!F6&lt;=AF188),1,0))</f>
        <v>1</v>
      </c>
      <c r="AH188" s="14" t="n">
        <f aca="false">IF($A188="",0,IFERROR(VLOOKUP((YEAR($A188)+IF(MONTH($A188)&gt;=10,1,0))&amp;"|Seattle|"&amp;MONTH($A188),Rates!$A$2:$I$181,6,FALSE()),0))</f>
        <v>0</v>
      </c>
      <c r="AI188" s="14" t="n">
        <f aca="false">IF(AH188=0,0,VLOOKUP(AH188,MIE_Components!$A$2:$F$6,2,FALSE()))</f>
        <v>0</v>
      </c>
      <c r="AJ188" s="14" t="n">
        <f aca="false">IF(AH188=0,0,VLOOKUP(AH188,MIE_Components!$A$2:$F$6,3,FALSE()))</f>
        <v>0</v>
      </c>
      <c r="AK188" s="14" t="n">
        <f aca="false">IF(AH188=0,0,VLOOKUP(AH188,MIE_Components!$A$2:$F$6,4,FALSE()))</f>
        <v>0</v>
      </c>
      <c r="AL188" s="14" t="n">
        <f aca="false">IF(OR($A188="",AH188=0),0,MAX(5,AH188*IF(OR($A188=Parameters!$B$13,$A188=Parameters!$B$14),0.75,1)-(IF(AND($A188=DATE(2026,11,29),NOV29BF="Yes"),AI188,0)+IF(OR($A188=DATE(2026,11,29),$A188=DATE(2026,11,30),$A188=DATE(2026,12,1),$A188=DATE(2026,12,2)),AJ188,0)+IF(OR($A188=DATE(2026,11,28),$A188=DATE(2026,12,1)),AK188,0))))</f>
        <v>0</v>
      </c>
      <c r="AM188" s="14" t="n">
        <f aca="false">IF(AND($A188&lt;&gt;"",$A188&lt;Parameters!$B$14),CityData!F7*(1+TAXRATE),0)</f>
        <v>0</v>
      </c>
      <c r="AN188" s="14" t="n">
        <f aca="false">IF($A188="",0,IFERROR(VLOOKUP((YEAR($A188)+IF(MONTH($A188)&gt;=10,1,0))&amp;"|Seattle|"&amp;MONTH($A188),Rates!$A$2:$I$181,5,FALSE()),0))</f>
        <v>0</v>
      </c>
      <c r="AO188" s="14" t="n">
        <f aca="false">IF(OR($A188="",$A188&gt;=Parameters!$B$14),1,IF(AND(AN188&gt;0,CityData!F7&lt;=AN188),1,0))</f>
        <v>1</v>
      </c>
    </row>
    <row r="189" customFormat="false" ht="15" hidden="false" customHeight="true" outlineLevel="0" collapsed="false">
      <c r="A189" s="23" t="str">
        <f aca="false">IF(AND(Parameters!$B$14&gt;=Parameters!$B$13,ROW()-2&lt;=Parameters!$B$14-Parameters!$B$13),Parameters!$B$13+ROW()-2,"")</f>
        <v/>
      </c>
      <c r="B189" s="14" t="n">
        <f aca="false">IF($A189="",0,IFERROR(VLOOKUP((YEAR($A189)+IF(MONTH($A189)&gt;=10,1,0))&amp;"|Boston|"&amp;MONTH($A189),Rates!$A$2:$I$181,6,FALSE()),0))</f>
        <v>0</v>
      </c>
      <c r="C189" s="14" t="n">
        <f aca="false">IF(B189=0,0,VLOOKUP(B189,MIE_Components!$A$2:$F$6,2,FALSE()))</f>
        <v>0</v>
      </c>
      <c r="D189" s="14" t="n">
        <f aca="false">IF(B189=0,0,VLOOKUP(B189,MIE_Components!$A$2:$F$6,3,FALSE()))</f>
        <v>0</v>
      </c>
      <c r="E189" s="14" t="n">
        <f aca="false">IF(B189=0,0,VLOOKUP(B189,MIE_Components!$A$2:$F$6,4,FALSE()))</f>
        <v>0</v>
      </c>
      <c r="F189" s="14" t="n">
        <f aca="false">IF(OR($A189="",B189=0),0,MAX(5,B189*IF(OR($A189=Parameters!$B$13,$A189=Parameters!$B$14),0.75,1)-(IF(AND($A189=DATE(2026,11,29),NOV29BF="Yes"),C189,0)+IF(OR($A189=DATE(2026,11,29),$A189=DATE(2026,11,30),$A189=DATE(2026,12,1),$A189=DATE(2026,12,2)),D189,0)+IF(OR($A189=DATE(2026,11,28),$A189=DATE(2026,12,1)),E189,0))))</f>
        <v>0</v>
      </c>
      <c r="G189" s="14" t="n">
        <f aca="false">IF(AND($A189&lt;&gt;"",$A189&lt;Parameters!$B$14),CityData!F3*(1+TAXRATE),0)</f>
        <v>0</v>
      </c>
      <c r="H189" s="14" t="n">
        <f aca="false">IF($A189="",0,IFERROR(VLOOKUP((YEAR($A189)+IF(MONTH($A189)&gt;=10,1,0))&amp;"|Boston|"&amp;MONTH($A189),Rates!$A$2:$I$181,5,FALSE()),0))</f>
        <v>0</v>
      </c>
      <c r="I189" s="14" t="n">
        <f aca="false">IF(OR($A189="",$A189&gt;=Parameters!$B$14),1,IF(AND(H189&gt;0,CityData!F3&lt;=H189),1,0))</f>
        <v>1</v>
      </c>
      <c r="J189" s="14" t="n">
        <f aca="false">IF($A189="",0,IFERROR(VLOOKUP((YEAR($A189)+IF(MONTH($A189)&gt;=10,1,0))&amp;"|Chicago|"&amp;MONTH($A189),Rates!$A$2:$I$181,6,FALSE()),0))</f>
        <v>0</v>
      </c>
      <c r="K189" s="14" t="n">
        <f aca="false">IF(J189=0,0,VLOOKUP(J189,MIE_Components!$A$2:$F$6,2,FALSE()))</f>
        <v>0</v>
      </c>
      <c r="L189" s="14" t="n">
        <f aca="false">IF(J189=0,0,VLOOKUP(J189,MIE_Components!$A$2:$F$6,3,FALSE()))</f>
        <v>0</v>
      </c>
      <c r="M189" s="14" t="n">
        <f aca="false">IF(J189=0,0,VLOOKUP(J189,MIE_Components!$A$2:$F$6,4,FALSE()))</f>
        <v>0</v>
      </c>
      <c r="N189" s="14" t="n">
        <f aca="false">IF(OR($A189="",J189=0),0,MAX(5,J189*IF(OR($A189=Parameters!$B$13,$A189=Parameters!$B$14),0.75,1)-(IF(AND($A189=DATE(2026,11,29),NOV29BF="Yes"),K189,0)+IF(OR($A189=DATE(2026,11,29),$A189=DATE(2026,11,30),$A189=DATE(2026,12,1),$A189=DATE(2026,12,2)),L189,0)+IF(OR($A189=DATE(2026,11,28),$A189=DATE(2026,12,1)),M189,0))))</f>
        <v>0</v>
      </c>
      <c r="O189" s="14" t="n">
        <f aca="false">IF(AND($A189&lt;&gt;"",$A189&lt;Parameters!$B$14),CityData!F4*(1+TAXRATE),0)</f>
        <v>0</v>
      </c>
      <c r="P189" s="14" t="n">
        <f aca="false">IF($A189="",0,IFERROR(VLOOKUP((YEAR($A189)+IF(MONTH($A189)&gt;=10,1,0))&amp;"|Chicago|"&amp;MONTH($A189),Rates!$A$2:$I$181,5,FALSE()),0))</f>
        <v>0</v>
      </c>
      <c r="Q189" s="14" t="n">
        <f aca="false">IF(OR($A189="",$A189&gt;=Parameters!$B$14),1,IF(AND(P189&gt;0,CityData!F4&lt;=P189),1,0))</f>
        <v>1</v>
      </c>
      <c r="R189" s="14" t="n">
        <f aca="false">IF($A189="",0,IFERROR(VLOOKUP((YEAR($A189)+IF(MONTH($A189)&gt;=10,1,0))&amp;"|Denver|"&amp;MONTH($A189),Rates!$A$2:$I$181,6,FALSE()),0))</f>
        <v>0</v>
      </c>
      <c r="S189" s="14" t="n">
        <f aca="false">IF(R189=0,0,VLOOKUP(R189,MIE_Components!$A$2:$F$6,2,FALSE()))</f>
        <v>0</v>
      </c>
      <c r="T189" s="14" t="n">
        <f aca="false">IF(R189=0,0,VLOOKUP(R189,MIE_Components!$A$2:$F$6,3,FALSE()))</f>
        <v>0</v>
      </c>
      <c r="U189" s="14" t="n">
        <f aca="false">IF(R189=0,0,VLOOKUP(R189,MIE_Components!$A$2:$F$6,4,FALSE()))</f>
        <v>0</v>
      </c>
      <c r="V189" s="14" t="n">
        <f aca="false">IF(OR($A189="",R189=0),0,MAX(5,R189*IF(OR($A189=Parameters!$B$13,$A189=Parameters!$B$14),0.75,1)-(IF(AND($A189=DATE(2026,11,29),NOV29BF="Yes"),S189,0)+IF(OR($A189=DATE(2026,11,29),$A189=DATE(2026,11,30),$A189=DATE(2026,12,1),$A189=DATE(2026,12,2)),T189,0)+IF(OR($A189=DATE(2026,11,28),$A189=DATE(2026,12,1)),U189,0))))</f>
        <v>0</v>
      </c>
      <c r="W189" s="14" t="n">
        <f aca="false">IF(AND($A189&lt;&gt;"",$A189&lt;Parameters!$B$14),CityData!F5*(1+TAXRATE),0)</f>
        <v>0</v>
      </c>
      <c r="X189" s="14" t="n">
        <f aca="false">IF($A189="",0,IFERROR(VLOOKUP((YEAR($A189)+IF(MONTH($A189)&gt;=10,1,0))&amp;"|Denver|"&amp;MONTH($A189),Rates!$A$2:$I$181,5,FALSE()),0))</f>
        <v>0</v>
      </c>
      <c r="Y189" s="14" t="n">
        <f aca="false">IF(OR($A189="",$A189&gt;=Parameters!$B$14),1,IF(AND(X189&gt;0,CityData!F5&lt;=X189),1,0))</f>
        <v>1</v>
      </c>
      <c r="Z189" s="14" t="n">
        <f aca="false">IF($A189="",0,IFERROR(VLOOKUP((YEAR($A189)+IF(MONTH($A189)&gt;=10,1,0))&amp;"|Phoenix|"&amp;MONTH($A189),Rates!$A$2:$I$181,6,FALSE()),0))</f>
        <v>0</v>
      </c>
      <c r="AA189" s="14" t="n">
        <f aca="false">IF(Z189=0,0,VLOOKUP(Z189,MIE_Components!$A$2:$F$6,2,FALSE()))</f>
        <v>0</v>
      </c>
      <c r="AB189" s="14" t="n">
        <f aca="false">IF(Z189=0,0,VLOOKUP(Z189,MIE_Components!$A$2:$F$6,3,FALSE()))</f>
        <v>0</v>
      </c>
      <c r="AC189" s="14" t="n">
        <f aca="false">IF(Z189=0,0,VLOOKUP(Z189,MIE_Components!$A$2:$F$6,4,FALSE()))</f>
        <v>0</v>
      </c>
      <c r="AD189" s="14" t="n">
        <f aca="false">IF(OR($A189="",Z189=0),0,MAX(5,Z189*IF(OR($A189=Parameters!$B$13,$A189=Parameters!$B$14),0.75,1)-(IF(AND($A189=DATE(2026,11,29),NOV29BF="Yes"),AA189,0)+IF(OR($A189=DATE(2026,11,29),$A189=DATE(2026,11,30),$A189=DATE(2026,12,1),$A189=DATE(2026,12,2)),AB189,0)+IF(OR($A189=DATE(2026,11,28),$A189=DATE(2026,12,1)),AC189,0))))</f>
        <v>0</v>
      </c>
      <c r="AE189" s="14" t="n">
        <f aca="false">IF(AND($A189&lt;&gt;"",$A189&lt;Parameters!$B$14),CityData!F6*(1+TAXRATE),0)</f>
        <v>0</v>
      </c>
      <c r="AF189" s="14" t="n">
        <f aca="false">IF($A189="",0,IFERROR(VLOOKUP((YEAR($A189)+IF(MONTH($A189)&gt;=10,1,0))&amp;"|Phoenix|"&amp;MONTH($A189),Rates!$A$2:$I$181,5,FALSE()),0))</f>
        <v>0</v>
      </c>
      <c r="AG189" s="14" t="n">
        <f aca="false">IF(OR($A189="",$A189&gt;=Parameters!$B$14),1,IF(AND(AF189&gt;0,CityData!F6&lt;=AF189),1,0))</f>
        <v>1</v>
      </c>
      <c r="AH189" s="14" t="n">
        <f aca="false">IF($A189="",0,IFERROR(VLOOKUP((YEAR($A189)+IF(MONTH($A189)&gt;=10,1,0))&amp;"|Seattle|"&amp;MONTH($A189),Rates!$A$2:$I$181,6,FALSE()),0))</f>
        <v>0</v>
      </c>
      <c r="AI189" s="14" t="n">
        <f aca="false">IF(AH189=0,0,VLOOKUP(AH189,MIE_Components!$A$2:$F$6,2,FALSE()))</f>
        <v>0</v>
      </c>
      <c r="AJ189" s="14" t="n">
        <f aca="false">IF(AH189=0,0,VLOOKUP(AH189,MIE_Components!$A$2:$F$6,3,FALSE()))</f>
        <v>0</v>
      </c>
      <c r="AK189" s="14" t="n">
        <f aca="false">IF(AH189=0,0,VLOOKUP(AH189,MIE_Components!$A$2:$F$6,4,FALSE()))</f>
        <v>0</v>
      </c>
      <c r="AL189" s="14" t="n">
        <f aca="false">IF(OR($A189="",AH189=0),0,MAX(5,AH189*IF(OR($A189=Parameters!$B$13,$A189=Parameters!$B$14),0.75,1)-(IF(AND($A189=DATE(2026,11,29),NOV29BF="Yes"),AI189,0)+IF(OR($A189=DATE(2026,11,29),$A189=DATE(2026,11,30),$A189=DATE(2026,12,1),$A189=DATE(2026,12,2)),AJ189,0)+IF(OR($A189=DATE(2026,11,28),$A189=DATE(2026,12,1)),AK189,0))))</f>
        <v>0</v>
      </c>
      <c r="AM189" s="14" t="n">
        <f aca="false">IF(AND($A189&lt;&gt;"",$A189&lt;Parameters!$B$14),CityData!F7*(1+TAXRATE),0)</f>
        <v>0</v>
      </c>
      <c r="AN189" s="14" t="n">
        <f aca="false">IF($A189="",0,IFERROR(VLOOKUP((YEAR($A189)+IF(MONTH($A189)&gt;=10,1,0))&amp;"|Seattle|"&amp;MONTH($A189),Rates!$A$2:$I$181,5,FALSE()),0))</f>
        <v>0</v>
      </c>
      <c r="AO189" s="14" t="n">
        <f aca="false">IF(OR($A189="",$A189&gt;=Parameters!$B$14),1,IF(AND(AN189&gt;0,CityData!F7&lt;=AN189),1,0))</f>
        <v>1</v>
      </c>
    </row>
    <row r="190" customFormat="false" ht="15" hidden="false" customHeight="true" outlineLevel="0" collapsed="false">
      <c r="A190" s="23" t="str">
        <f aca="false">IF(AND(Parameters!$B$14&gt;=Parameters!$B$13,ROW()-2&lt;=Parameters!$B$14-Parameters!$B$13),Parameters!$B$13+ROW()-2,"")</f>
        <v/>
      </c>
      <c r="B190" s="14" t="n">
        <f aca="false">IF($A190="",0,IFERROR(VLOOKUP((YEAR($A190)+IF(MONTH($A190)&gt;=10,1,0))&amp;"|Boston|"&amp;MONTH($A190),Rates!$A$2:$I$181,6,FALSE()),0))</f>
        <v>0</v>
      </c>
      <c r="C190" s="14" t="n">
        <f aca="false">IF(B190=0,0,VLOOKUP(B190,MIE_Components!$A$2:$F$6,2,FALSE()))</f>
        <v>0</v>
      </c>
      <c r="D190" s="14" t="n">
        <f aca="false">IF(B190=0,0,VLOOKUP(B190,MIE_Components!$A$2:$F$6,3,FALSE()))</f>
        <v>0</v>
      </c>
      <c r="E190" s="14" t="n">
        <f aca="false">IF(B190=0,0,VLOOKUP(B190,MIE_Components!$A$2:$F$6,4,FALSE()))</f>
        <v>0</v>
      </c>
      <c r="F190" s="14" t="n">
        <f aca="false">IF(OR($A190="",B190=0),0,MAX(5,B190*IF(OR($A190=Parameters!$B$13,$A190=Parameters!$B$14),0.75,1)-(IF(AND($A190=DATE(2026,11,29),NOV29BF="Yes"),C190,0)+IF(OR($A190=DATE(2026,11,29),$A190=DATE(2026,11,30),$A190=DATE(2026,12,1),$A190=DATE(2026,12,2)),D190,0)+IF(OR($A190=DATE(2026,11,28),$A190=DATE(2026,12,1)),E190,0))))</f>
        <v>0</v>
      </c>
      <c r="G190" s="14" t="n">
        <f aca="false">IF(AND($A190&lt;&gt;"",$A190&lt;Parameters!$B$14),CityData!F3*(1+TAXRATE),0)</f>
        <v>0</v>
      </c>
      <c r="H190" s="14" t="n">
        <f aca="false">IF($A190="",0,IFERROR(VLOOKUP((YEAR($A190)+IF(MONTH($A190)&gt;=10,1,0))&amp;"|Boston|"&amp;MONTH($A190),Rates!$A$2:$I$181,5,FALSE()),0))</f>
        <v>0</v>
      </c>
      <c r="I190" s="14" t="n">
        <f aca="false">IF(OR($A190="",$A190&gt;=Parameters!$B$14),1,IF(AND(H190&gt;0,CityData!F3&lt;=H190),1,0))</f>
        <v>1</v>
      </c>
      <c r="J190" s="14" t="n">
        <f aca="false">IF($A190="",0,IFERROR(VLOOKUP((YEAR($A190)+IF(MONTH($A190)&gt;=10,1,0))&amp;"|Chicago|"&amp;MONTH($A190),Rates!$A$2:$I$181,6,FALSE()),0))</f>
        <v>0</v>
      </c>
      <c r="K190" s="14" t="n">
        <f aca="false">IF(J190=0,0,VLOOKUP(J190,MIE_Components!$A$2:$F$6,2,FALSE()))</f>
        <v>0</v>
      </c>
      <c r="L190" s="14" t="n">
        <f aca="false">IF(J190=0,0,VLOOKUP(J190,MIE_Components!$A$2:$F$6,3,FALSE()))</f>
        <v>0</v>
      </c>
      <c r="M190" s="14" t="n">
        <f aca="false">IF(J190=0,0,VLOOKUP(J190,MIE_Components!$A$2:$F$6,4,FALSE()))</f>
        <v>0</v>
      </c>
      <c r="N190" s="14" t="n">
        <f aca="false">IF(OR($A190="",J190=0),0,MAX(5,J190*IF(OR($A190=Parameters!$B$13,$A190=Parameters!$B$14),0.75,1)-(IF(AND($A190=DATE(2026,11,29),NOV29BF="Yes"),K190,0)+IF(OR($A190=DATE(2026,11,29),$A190=DATE(2026,11,30),$A190=DATE(2026,12,1),$A190=DATE(2026,12,2)),L190,0)+IF(OR($A190=DATE(2026,11,28),$A190=DATE(2026,12,1)),M190,0))))</f>
        <v>0</v>
      </c>
      <c r="O190" s="14" t="n">
        <f aca="false">IF(AND($A190&lt;&gt;"",$A190&lt;Parameters!$B$14),CityData!F4*(1+TAXRATE),0)</f>
        <v>0</v>
      </c>
      <c r="P190" s="14" t="n">
        <f aca="false">IF($A190="",0,IFERROR(VLOOKUP((YEAR($A190)+IF(MONTH($A190)&gt;=10,1,0))&amp;"|Chicago|"&amp;MONTH($A190),Rates!$A$2:$I$181,5,FALSE()),0))</f>
        <v>0</v>
      </c>
      <c r="Q190" s="14" t="n">
        <f aca="false">IF(OR($A190="",$A190&gt;=Parameters!$B$14),1,IF(AND(P190&gt;0,CityData!F4&lt;=P190),1,0))</f>
        <v>1</v>
      </c>
      <c r="R190" s="14" t="n">
        <f aca="false">IF($A190="",0,IFERROR(VLOOKUP((YEAR($A190)+IF(MONTH($A190)&gt;=10,1,0))&amp;"|Denver|"&amp;MONTH($A190),Rates!$A$2:$I$181,6,FALSE()),0))</f>
        <v>0</v>
      </c>
      <c r="S190" s="14" t="n">
        <f aca="false">IF(R190=0,0,VLOOKUP(R190,MIE_Components!$A$2:$F$6,2,FALSE()))</f>
        <v>0</v>
      </c>
      <c r="T190" s="14" t="n">
        <f aca="false">IF(R190=0,0,VLOOKUP(R190,MIE_Components!$A$2:$F$6,3,FALSE()))</f>
        <v>0</v>
      </c>
      <c r="U190" s="14" t="n">
        <f aca="false">IF(R190=0,0,VLOOKUP(R190,MIE_Components!$A$2:$F$6,4,FALSE()))</f>
        <v>0</v>
      </c>
      <c r="V190" s="14" t="n">
        <f aca="false">IF(OR($A190="",R190=0),0,MAX(5,R190*IF(OR($A190=Parameters!$B$13,$A190=Parameters!$B$14),0.75,1)-(IF(AND($A190=DATE(2026,11,29),NOV29BF="Yes"),S190,0)+IF(OR($A190=DATE(2026,11,29),$A190=DATE(2026,11,30),$A190=DATE(2026,12,1),$A190=DATE(2026,12,2)),T190,0)+IF(OR($A190=DATE(2026,11,28),$A190=DATE(2026,12,1)),U190,0))))</f>
        <v>0</v>
      </c>
      <c r="W190" s="14" t="n">
        <f aca="false">IF(AND($A190&lt;&gt;"",$A190&lt;Parameters!$B$14),CityData!F5*(1+TAXRATE),0)</f>
        <v>0</v>
      </c>
      <c r="X190" s="14" t="n">
        <f aca="false">IF($A190="",0,IFERROR(VLOOKUP((YEAR($A190)+IF(MONTH($A190)&gt;=10,1,0))&amp;"|Denver|"&amp;MONTH($A190),Rates!$A$2:$I$181,5,FALSE()),0))</f>
        <v>0</v>
      </c>
      <c r="Y190" s="14" t="n">
        <f aca="false">IF(OR($A190="",$A190&gt;=Parameters!$B$14),1,IF(AND(X190&gt;0,CityData!F5&lt;=X190),1,0))</f>
        <v>1</v>
      </c>
      <c r="Z190" s="14" t="n">
        <f aca="false">IF($A190="",0,IFERROR(VLOOKUP((YEAR($A190)+IF(MONTH($A190)&gt;=10,1,0))&amp;"|Phoenix|"&amp;MONTH($A190),Rates!$A$2:$I$181,6,FALSE()),0))</f>
        <v>0</v>
      </c>
      <c r="AA190" s="14" t="n">
        <f aca="false">IF(Z190=0,0,VLOOKUP(Z190,MIE_Components!$A$2:$F$6,2,FALSE()))</f>
        <v>0</v>
      </c>
      <c r="AB190" s="14" t="n">
        <f aca="false">IF(Z190=0,0,VLOOKUP(Z190,MIE_Components!$A$2:$F$6,3,FALSE()))</f>
        <v>0</v>
      </c>
      <c r="AC190" s="14" t="n">
        <f aca="false">IF(Z190=0,0,VLOOKUP(Z190,MIE_Components!$A$2:$F$6,4,FALSE()))</f>
        <v>0</v>
      </c>
      <c r="AD190" s="14" t="n">
        <f aca="false">IF(OR($A190="",Z190=0),0,MAX(5,Z190*IF(OR($A190=Parameters!$B$13,$A190=Parameters!$B$14),0.75,1)-(IF(AND($A190=DATE(2026,11,29),NOV29BF="Yes"),AA190,0)+IF(OR($A190=DATE(2026,11,29),$A190=DATE(2026,11,30),$A190=DATE(2026,12,1),$A190=DATE(2026,12,2)),AB190,0)+IF(OR($A190=DATE(2026,11,28),$A190=DATE(2026,12,1)),AC190,0))))</f>
        <v>0</v>
      </c>
      <c r="AE190" s="14" t="n">
        <f aca="false">IF(AND($A190&lt;&gt;"",$A190&lt;Parameters!$B$14),CityData!F6*(1+TAXRATE),0)</f>
        <v>0</v>
      </c>
      <c r="AF190" s="14" t="n">
        <f aca="false">IF($A190="",0,IFERROR(VLOOKUP((YEAR($A190)+IF(MONTH($A190)&gt;=10,1,0))&amp;"|Phoenix|"&amp;MONTH($A190),Rates!$A$2:$I$181,5,FALSE()),0))</f>
        <v>0</v>
      </c>
      <c r="AG190" s="14" t="n">
        <f aca="false">IF(OR($A190="",$A190&gt;=Parameters!$B$14),1,IF(AND(AF190&gt;0,CityData!F6&lt;=AF190),1,0))</f>
        <v>1</v>
      </c>
      <c r="AH190" s="14" t="n">
        <f aca="false">IF($A190="",0,IFERROR(VLOOKUP((YEAR($A190)+IF(MONTH($A190)&gt;=10,1,0))&amp;"|Seattle|"&amp;MONTH($A190),Rates!$A$2:$I$181,6,FALSE()),0))</f>
        <v>0</v>
      </c>
      <c r="AI190" s="14" t="n">
        <f aca="false">IF(AH190=0,0,VLOOKUP(AH190,MIE_Components!$A$2:$F$6,2,FALSE()))</f>
        <v>0</v>
      </c>
      <c r="AJ190" s="14" t="n">
        <f aca="false">IF(AH190=0,0,VLOOKUP(AH190,MIE_Components!$A$2:$F$6,3,FALSE()))</f>
        <v>0</v>
      </c>
      <c r="AK190" s="14" t="n">
        <f aca="false">IF(AH190=0,0,VLOOKUP(AH190,MIE_Components!$A$2:$F$6,4,FALSE()))</f>
        <v>0</v>
      </c>
      <c r="AL190" s="14" t="n">
        <f aca="false">IF(OR($A190="",AH190=0),0,MAX(5,AH190*IF(OR($A190=Parameters!$B$13,$A190=Parameters!$B$14),0.75,1)-(IF(AND($A190=DATE(2026,11,29),NOV29BF="Yes"),AI190,0)+IF(OR($A190=DATE(2026,11,29),$A190=DATE(2026,11,30),$A190=DATE(2026,12,1),$A190=DATE(2026,12,2)),AJ190,0)+IF(OR($A190=DATE(2026,11,28),$A190=DATE(2026,12,1)),AK190,0))))</f>
        <v>0</v>
      </c>
      <c r="AM190" s="14" t="n">
        <f aca="false">IF(AND($A190&lt;&gt;"",$A190&lt;Parameters!$B$14),CityData!F7*(1+TAXRATE),0)</f>
        <v>0</v>
      </c>
      <c r="AN190" s="14" t="n">
        <f aca="false">IF($A190="",0,IFERROR(VLOOKUP((YEAR($A190)+IF(MONTH($A190)&gt;=10,1,0))&amp;"|Seattle|"&amp;MONTH($A190),Rates!$A$2:$I$181,5,FALSE()),0))</f>
        <v>0</v>
      </c>
      <c r="AO190" s="14" t="n">
        <f aca="false">IF(OR($A190="",$A190&gt;=Parameters!$B$14),1,IF(AND(AN190&gt;0,CityData!F7&lt;=AN190),1,0))</f>
        <v>1</v>
      </c>
    </row>
    <row r="191" customFormat="false" ht="15" hidden="false" customHeight="true" outlineLevel="0" collapsed="false">
      <c r="A191" s="23" t="str">
        <f aca="false">IF(AND(Parameters!$B$14&gt;=Parameters!$B$13,ROW()-2&lt;=Parameters!$B$14-Parameters!$B$13),Parameters!$B$13+ROW()-2,"")</f>
        <v/>
      </c>
      <c r="B191" s="14" t="n">
        <f aca="false">IF($A191="",0,IFERROR(VLOOKUP((YEAR($A191)+IF(MONTH($A191)&gt;=10,1,0))&amp;"|Boston|"&amp;MONTH($A191),Rates!$A$2:$I$181,6,FALSE()),0))</f>
        <v>0</v>
      </c>
      <c r="C191" s="14" t="n">
        <f aca="false">IF(B191=0,0,VLOOKUP(B191,MIE_Components!$A$2:$F$6,2,FALSE()))</f>
        <v>0</v>
      </c>
      <c r="D191" s="14" t="n">
        <f aca="false">IF(B191=0,0,VLOOKUP(B191,MIE_Components!$A$2:$F$6,3,FALSE()))</f>
        <v>0</v>
      </c>
      <c r="E191" s="14" t="n">
        <f aca="false">IF(B191=0,0,VLOOKUP(B191,MIE_Components!$A$2:$F$6,4,FALSE()))</f>
        <v>0</v>
      </c>
      <c r="F191" s="14" t="n">
        <f aca="false">IF(OR($A191="",B191=0),0,MAX(5,B191*IF(OR($A191=Parameters!$B$13,$A191=Parameters!$B$14),0.75,1)-(IF(AND($A191=DATE(2026,11,29),NOV29BF="Yes"),C191,0)+IF(OR($A191=DATE(2026,11,29),$A191=DATE(2026,11,30),$A191=DATE(2026,12,1),$A191=DATE(2026,12,2)),D191,0)+IF(OR($A191=DATE(2026,11,28),$A191=DATE(2026,12,1)),E191,0))))</f>
        <v>0</v>
      </c>
      <c r="G191" s="14" t="n">
        <f aca="false">IF(AND($A191&lt;&gt;"",$A191&lt;Parameters!$B$14),CityData!F3*(1+TAXRATE),0)</f>
        <v>0</v>
      </c>
      <c r="H191" s="14" t="n">
        <f aca="false">IF($A191="",0,IFERROR(VLOOKUP((YEAR($A191)+IF(MONTH($A191)&gt;=10,1,0))&amp;"|Boston|"&amp;MONTH($A191),Rates!$A$2:$I$181,5,FALSE()),0))</f>
        <v>0</v>
      </c>
      <c r="I191" s="14" t="n">
        <f aca="false">IF(OR($A191="",$A191&gt;=Parameters!$B$14),1,IF(AND(H191&gt;0,CityData!F3&lt;=H191),1,0))</f>
        <v>1</v>
      </c>
      <c r="J191" s="14" t="n">
        <f aca="false">IF($A191="",0,IFERROR(VLOOKUP((YEAR($A191)+IF(MONTH($A191)&gt;=10,1,0))&amp;"|Chicago|"&amp;MONTH($A191),Rates!$A$2:$I$181,6,FALSE()),0))</f>
        <v>0</v>
      </c>
      <c r="K191" s="14" t="n">
        <f aca="false">IF(J191=0,0,VLOOKUP(J191,MIE_Components!$A$2:$F$6,2,FALSE()))</f>
        <v>0</v>
      </c>
      <c r="L191" s="14" t="n">
        <f aca="false">IF(J191=0,0,VLOOKUP(J191,MIE_Components!$A$2:$F$6,3,FALSE()))</f>
        <v>0</v>
      </c>
      <c r="M191" s="14" t="n">
        <f aca="false">IF(J191=0,0,VLOOKUP(J191,MIE_Components!$A$2:$F$6,4,FALSE()))</f>
        <v>0</v>
      </c>
      <c r="N191" s="14" t="n">
        <f aca="false">IF(OR($A191="",J191=0),0,MAX(5,J191*IF(OR($A191=Parameters!$B$13,$A191=Parameters!$B$14),0.75,1)-(IF(AND($A191=DATE(2026,11,29),NOV29BF="Yes"),K191,0)+IF(OR($A191=DATE(2026,11,29),$A191=DATE(2026,11,30),$A191=DATE(2026,12,1),$A191=DATE(2026,12,2)),L191,0)+IF(OR($A191=DATE(2026,11,28),$A191=DATE(2026,12,1)),M191,0))))</f>
        <v>0</v>
      </c>
      <c r="O191" s="14" t="n">
        <f aca="false">IF(AND($A191&lt;&gt;"",$A191&lt;Parameters!$B$14),CityData!F4*(1+TAXRATE),0)</f>
        <v>0</v>
      </c>
      <c r="P191" s="14" t="n">
        <f aca="false">IF($A191="",0,IFERROR(VLOOKUP((YEAR($A191)+IF(MONTH($A191)&gt;=10,1,0))&amp;"|Chicago|"&amp;MONTH($A191),Rates!$A$2:$I$181,5,FALSE()),0))</f>
        <v>0</v>
      </c>
      <c r="Q191" s="14" t="n">
        <f aca="false">IF(OR($A191="",$A191&gt;=Parameters!$B$14),1,IF(AND(P191&gt;0,CityData!F4&lt;=P191),1,0))</f>
        <v>1</v>
      </c>
      <c r="R191" s="14" t="n">
        <f aca="false">IF($A191="",0,IFERROR(VLOOKUP((YEAR($A191)+IF(MONTH($A191)&gt;=10,1,0))&amp;"|Denver|"&amp;MONTH($A191),Rates!$A$2:$I$181,6,FALSE()),0))</f>
        <v>0</v>
      </c>
      <c r="S191" s="14" t="n">
        <f aca="false">IF(R191=0,0,VLOOKUP(R191,MIE_Components!$A$2:$F$6,2,FALSE()))</f>
        <v>0</v>
      </c>
      <c r="T191" s="14" t="n">
        <f aca="false">IF(R191=0,0,VLOOKUP(R191,MIE_Components!$A$2:$F$6,3,FALSE()))</f>
        <v>0</v>
      </c>
      <c r="U191" s="14" t="n">
        <f aca="false">IF(R191=0,0,VLOOKUP(R191,MIE_Components!$A$2:$F$6,4,FALSE()))</f>
        <v>0</v>
      </c>
      <c r="V191" s="14" t="n">
        <f aca="false">IF(OR($A191="",R191=0),0,MAX(5,R191*IF(OR($A191=Parameters!$B$13,$A191=Parameters!$B$14),0.75,1)-(IF(AND($A191=DATE(2026,11,29),NOV29BF="Yes"),S191,0)+IF(OR($A191=DATE(2026,11,29),$A191=DATE(2026,11,30),$A191=DATE(2026,12,1),$A191=DATE(2026,12,2)),T191,0)+IF(OR($A191=DATE(2026,11,28),$A191=DATE(2026,12,1)),U191,0))))</f>
        <v>0</v>
      </c>
      <c r="W191" s="14" t="n">
        <f aca="false">IF(AND($A191&lt;&gt;"",$A191&lt;Parameters!$B$14),CityData!F5*(1+TAXRATE),0)</f>
        <v>0</v>
      </c>
      <c r="X191" s="14" t="n">
        <f aca="false">IF($A191="",0,IFERROR(VLOOKUP((YEAR($A191)+IF(MONTH($A191)&gt;=10,1,0))&amp;"|Denver|"&amp;MONTH($A191),Rates!$A$2:$I$181,5,FALSE()),0))</f>
        <v>0</v>
      </c>
      <c r="Y191" s="14" t="n">
        <f aca="false">IF(OR($A191="",$A191&gt;=Parameters!$B$14),1,IF(AND(X191&gt;0,CityData!F5&lt;=X191),1,0))</f>
        <v>1</v>
      </c>
      <c r="Z191" s="14" t="n">
        <f aca="false">IF($A191="",0,IFERROR(VLOOKUP((YEAR($A191)+IF(MONTH($A191)&gt;=10,1,0))&amp;"|Phoenix|"&amp;MONTH($A191),Rates!$A$2:$I$181,6,FALSE()),0))</f>
        <v>0</v>
      </c>
      <c r="AA191" s="14" t="n">
        <f aca="false">IF(Z191=0,0,VLOOKUP(Z191,MIE_Components!$A$2:$F$6,2,FALSE()))</f>
        <v>0</v>
      </c>
      <c r="AB191" s="14" t="n">
        <f aca="false">IF(Z191=0,0,VLOOKUP(Z191,MIE_Components!$A$2:$F$6,3,FALSE()))</f>
        <v>0</v>
      </c>
      <c r="AC191" s="14" t="n">
        <f aca="false">IF(Z191=0,0,VLOOKUP(Z191,MIE_Components!$A$2:$F$6,4,FALSE()))</f>
        <v>0</v>
      </c>
      <c r="AD191" s="14" t="n">
        <f aca="false">IF(OR($A191="",Z191=0),0,MAX(5,Z191*IF(OR($A191=Parameters!$B$13,$A191=Parameters!$B$14),0.75,1)-(IF(AND($A191=DATE(2026,11,29),NOV29BF="Yes"),AA191,0)+IF(OR($A191=DATE(2026,11,29),$A191=DATE(2026,11,30),$A191=DATE(2026,12,1),$A191=DATE(2026,12,2)),AB191,0)+IF(OR($A191=DATE(2026,11,28),$A191=DATE(2026,12,1)),AC191,0))))</f>
        <v>0</v>
      </c>
      <c r="AE191" s="14" t="n">
        <f aca="false">IF(AND($A191&lt;&gt;"",$A191&lt;Parameters!$B$14),CityData!F6*(1+TAXRATE),0)</f>
        <v>0</v>
      </c>
      <c r="AF191" s="14" t="n">
        <f aca="false">IF($A191="",0,IFERROR(VLOOKUP((YEAR($A191)+IF(MONTH($A191)&gt;=10,1,0))&amp;"|Phoenix|"&amp;MONTH($A191),Rates!$A$2:$I$181,5,FALSE()),0))</f>
        <v>0</v>
      </c>
      <c r="AG191" s="14" t="n">
        <f aca="false">IF(OR($A191="",$A191&gt;=Parameters!$B$14),1,IF(AND(AF191&gt;0,CityData!F6&lt;=AF191),1,0))</f>
        <v>1</v>
      </c>
      <c r="AH191" s="14" t="n">
        <f aca="false">IF($A191="",0,IFERROR(VLOOKUP((YEAR($A191)+IF(MONTH($A191)&gt;=10,1,0))&amp;"|Seattle|"&amp;MONTH($A191),Rates!$A$2:$I$181,6,FALSE()),0))</f>
        <v>0</v>
      </c>
      <c r="AI191" s="14" t="n">
        <f aca="false">IF(AH191=0,0,VLOOKUP(AH191,MIE_Components!$A$2:$F$6,2,FALSE()))</f>
        <v>0</v>
      </c>
      <c r="AJ191" s="14" t="n">
        <f aca="false">IF(AH191=0,0,VLOOKUP(AH191,MIE_Components!$A$2:$F$6,3,FALSE()))</f>
        <v>0</v>
      </c>
      <c r="AK191" s="14" t="n">
        <f aca="false">IF(AH191=0,0,VLOOKUP(AH191,MIE_Components!$A$2:$F$6,4,FALSE()))</f>
        <v>0</v>
      </c>
      <c r="AL191" s="14" t="n">
        <f aca="false">IF(OR($A191="",AH191=0),0,MAX(5,AH191*IF(OR($A191=Parameters!$B$13,$A191=Parameters!$B$14),0.75,1)-(IF(AND($A191=DATE(2026,11,29),NOV29BF="Yes"),AI191,0)+IF(OR($A191=DATE(2026,11,29),$A191=DATE(2026,11,30),$A191=DATE(2026,12,1),$A191=DATE(2026,12,2)),AJ191,0)+IF(OR($A191=DATE(2026,11,28),$A191=DATE(2026,12,1)),AK191,0))))</f>
        <v>0</v>
      </c>
      <c r="AM191" s="14" t="n">
        <f aca="false">IF(AND($A191&lt;&gt;"",$A191&lt;Parameters!$B$14),CityData!F7*(1+TAXRATE),0)</f>
        <v>0</v>
      </c>
      <c r="AN191" s="14" t="n">
        <f aca="false">IF($A191="",0,IFERROR(VLOOKUP((YEAR($A191)+IF(MONTH($A191)&gt;=10,1,0))&amp;"|Seattle|"&amp;MONTH($A191),Rates!$A$2:$I$181,5,FALSE()),0))</f>
        <v>0</v>
      </c>
      <c r="AO191" s="14" t="n">
        <f aca="false">IF(OR($A191="",$A191&gt;=Parameters!$B$14),1,IF(AND(AN191&gt;0,CityData!F7&lt;=AN191),1,0))</f>
        <v>1</v>
      </c>
    </row>
    <row r="192" customFormat="false" ht="15" hidden="false" customHeight="true" outlineLevel="0" collapsed="false">
      <c r="A192" s="23" t="str">
        <f aca="false">IF(AND(Parameters!$B$14&gt;=Parameters!$B$13,ROW()-2&lt;=Parameters!$B$14-Parameters!$B$13),Parameters!$B$13+ROW()-2,"")</f>
        <v/>
      </c>
      <c r="B192" s="14" t="n">
        <f aca="false">IF($A192="",0,IFERROR(VLOOKUP((YEAR($A192)+IF(MONTH($A192)&gt;=10,1,0))&amp;"|Boston|"&amp;MONTH($A192),Rates!$A$2:$I$181,6,FALSE()),0))</f>
        <v>0</v>
      </c>
      <c r="C192" s="14" t="n">
        <f aca="false">IF(B192=0,0,VLOOKUP(B192,MIE_Components!$A$2:$F$6,2,FALSE()))</f>
        <v>0</v>
      </c>
      <c r="D192" s="14" t="n">
        <f aca="false">IF(B192=0,0,VLOOKUP(B192,MIE_Components!$A$2:$F$6,3,FALSE()))</f>
        <v>0</v>
      </c>
      <c r="E192" s="14" t="n">
        <f aca="false">IF(B192=0,0,VLOOKUP(B192,MIE_Components!$A$2:$F$6,4,FALSE()))</f>
        <v>0</v>
      </c>
      <c r="F192" s="14" t="n">
        <f aca="false">IF(OR($A192="",B192=0),0,MAX(5,B192*IF(OR($A192=Parameters!$B$13,$A192=Parameters!$B$14),0.75,1)-(IF(AND($A192=DATE(2026,11,29),NOV29BF="Yes"),C192,0)+IF(OR($A192=DATE(2026,11,29),$A192=DATE(2026,11,30),$A192=DATE(2026,12,1),$A192=DATE(2026,12,2)),D192,0)+IF(OR($A192=DATE(2026,11,28),$A192=DATE(2026,12,1)),E192,0))))</f>
        <v>0</v>
      </c>
      <c r="G192" s="14" t="n">
        <f aca="false">IF(AND($A192&lt;&gt;"",$A192&lt;Parameters!$B$14),CityData!F3*(1+TAXRATE),0)</f>
        <v>0</v>
      </c>
      <c r="H192" s="14" t="n">
        <f aca="false">IF($A192="",0,IFERROR(VLOOKUP((YEAR($A192)+IF(MONTH($A192)&gt;=10,1,0))&amp;"|Boston|"&amp;MONTH($A192),Rates!$A$2:$I$181,5,FALSE()),0))</f>
        <v>0</v>
      </c>
      <c r="I192" s="14" t="n">
        <f aca="false">IF(OR($A192="",$A192&gt;=Parameters!$B$14),1,IF(AND(H192&gt;0,CityData!F3&lt;=H192),1,0))</f>
        <v>1</v>
      </c>
      <c r="J192" s="14" t="n">
        <f aca="false">IF($A192="",0,IFERROR(VLOOKUP((YEAR($A192)+IF(MONTH($A192)&gt;=10,1,0))&amp;"|Chicago|"&amp;MONTH($A192),Rates!$A$2:$I$181,6,FALSE()),0))</f>
        <v>0</v>
      </c>
      <c r="K192" s="14" t="n">
        <f aca="false">IF(J192=0,0,VLOOKUP(J192,MIE_Components!$A$2:$F$6,2,FALSE()))</f>
        <v>0</v>
      </c>
      <c r="L192" s="14" t="n">
        <f aca="false">IF(J192=0,0,VLOOKUP(J192,MIE_Components!$A$2:$F$6,3,FALSE()))</f>
        <v>0</v>
      </c>
      <c r="M192" s="14" t="n">
        <f aca="false">IF(J192=0,0,VLOOKUP(J192,MIE_Components!$A$2:$F$6,4,FALSE()))</f>
        <v>0</v>
      </c>
      <c r="N192" s="14" t="n">
        <f aca="false">IF(OR($A192="",J192=0),0,MAX(5,J192*IF(OR($A192=Parameters!$B$13,$A192=Parameters!$B$14),0.75,1)-(IF(AND($A192=DATE(2026,11,29),NOV29BF="Yes"),K192,0)+IF(OR($A192=DATE(2026,11,29),$A192=DATE(2026,11,30),$A192=DATE(2026,12,1),$A192=DATE(2026,12,2)),L192,0)+IF(OR($A192=DATE(2026,11,28),$A192=DATE(2026,12,1)),M192,0))))</f>
        <v>0</v>
      </c>
      <c r="O192" s="14" t="n">
        <f aca="false">IF(AND($A192&lt;&gt;"",$A192&lt;Parameters!$B$14),CityData!F4*(1+TAXRATE),0)</f>
        <v>0</v>
      </c>
      <c r="P192" s="14" t="n">
        <f aca="false">IF($A192="",0,IFERROR(VLOOKUP((YEAR($A192)+IF(MONTH($A192)&gt;=10,1,0))&amp;"|Chicago|"&amp;MONTH($A192),Rates!$A$2:$I$181,5,FALSE()),0))</f>
        <v>0</v>
      </c>
      <c r="Q192" s="14" t="n">
        <f aca="false">IF(OR($A192="",$A192&gt;=Parameters!$B$14),1,IF(AND(P192&gt;0,CityData!F4&lt;=P192),1,0))</f>
        <v>1</v>
      </c>
      <c r="R192" s="14" t="n">
        <f aca="false">IF($A192="",0,IFERROR(VLOOKUP((YEAR($A192)+IF(MONTH($A192)&gt;=10,1,0))&amp;"|Denver|"&amp;MONTH($A192),Rates!$A$2:$I$181,6,FALSE()),0))</f>
        <v>0</v>
      </c>
      <c r="S192" s="14" t="n">
        <f aca="false">IF(R192=0,0,VLOOKUP(R192,MIE_Components!$A$2:$F$6,2,FALSE()))</f>
        <v>0</v>
      </c>
      <c r="T192" s="14" t="n">
        <f aca="false">IF(R192=0,0,VLOOKUP(R192,MIE_Components!$A$2:$F$6,3,FALSE()))</f>
        <v>0</v>
      </c>
      <c r="U192" s="14" t="n">
        <f aca="false">IF(R192=0,0,VLOOKUP(R192,MIE_Components!$A$2:$F$6,4,FALSE()))</f>
        <v>0</v>
      </c>
      <c r="V192" s="14" t="n">
        <f aca="false">IF(OR($A192="",R192=0),0,MAX(5,R192*IF(OR($A192=Parameters!$B$13,$A192=Parameters!$B$14),0.75,1)-(IF(AND($A192=DATE(2026,11,29),NOV29BF="Yes"),S192,0)+IF(OR($A192=DATE(2026,11,29),$A192=DATE(2026,11,30),$A192=DATE(2026,12,1),$A192=DATE(2026,12,2)),T192,0)+IF(OR($A192=DATE(2026,11,28),$A192=DATE(2026,12,1)),U192,0))))</f>
        <v>0</v>
      </c>
      <c r="W192" s="14" t="n">
        <f aca="false">IF(AND($A192&lt;&gt;"",$A192&lt;Parameters!$B$14),CityData!F5*(1+TAXRATE),0)</f>
        <v>0</v>
      </c>
      <c r="X192" s="14" t="n">
        <f aca="false">IF($A192="",0,IFERROR(VLOOKUP((YEAR($A192)+IF(MONTH($A192)&gt;=10,1,0))&amp;"|Denver|"&amp;MONTH($A192),Rates!$A$2:$I$181,5,FALSE()),0))</f>
        <v>0</v>
      </c>
      <c r="Y192" s="14" t="n">
        <f aca="false">IF(OR($A192="",$A192&gt;=Parameters!$B$14),1,IF(AND(X192&gt;0,CityData!F5&lt;=X192),1,0))</f>
        <v>1</v>
      </c>
      <c r="Z192" s="14" t="n">
        <f aca="false">IF($A192="",0,IFERROR(VLOOKUP((YEAR($A192)+IF(MONTH($A192)&gt;=10,1,0))&amp;"|Phoenix|"&amp;MONTH($A192),Rates!$A$2:$I$181,6,FALSE()),0))</f>
        <v>0</v>
      </c>
      <c r="AA192" s="14" t="n">
        <f aca="false">IF(Z192=0,0,VLOOKUP(Z192,MIE_Components!$A$2:$F$6,2,FALSE()))</f>
        <v>0</v>
      </c>
      <c r="AB192" s="14" t="n">
        <f aca="false">IF(Z192=0,0,VLOOKUP(Z192,MIE_Components!$A$2:$F$6,3,FALSE()))</f>
        <v>0</v>
      </c>
      <c r="AC192" s="14" t="n">
        <f aca="false">IF(Z192=0,0,VLOOKUP(Z192,MIE_Components!$A$2:$F$6,4,FALSE()))</f>
        <v>0</v>
      </c>
      <c r="AD192" s="14" t="n">
        <f aca="false">IF(OR($A192="",Z192=0),0,MAX(5,Z192*IF(OR($A192=Parameters!$B$13,$A192=Parameters!$B$14),0.75,1)-(IF(AND($A192=DATE(2026,11,29),NOV29BF="Yes"),AA192,0)+IF(OR($A192=DATE(2026,11,29),$A192=DATE(2026,11,30),$A192=DATE(2026,12,1),$A192=DATE(2026,12,2)),AB192,0)+IF(OR($A192=DATE(2026,11,28),$A192=DATE(2026,12,1)),AC192,0))))</f>
        <v>0</v>
      </c>
      <c r="AE192" s="14" t="n">
        <f aca="false">IF(AND($A192&lt;&gt;"",$A192&lt;Parameters!$B$14),CityData!F6*(1+TAXRATE),0)</f>
        <v>0</v>
      </c>
      <c r="AF192" s="14" t="n">
        <f aca="false">IF($A192="",0,IFERROR(VLOOKUP((YEAR($A192)+IF(MONTH($A192)&gt;=10,1,0))&amp;"|Phoenix|"&amp;MONTH($A192),Rates!$A$2:$I$181,5,FALSE()),0))</f>
        <v>0</v>
      </c>
      <c r="AG192" s="14" t="n">
        <f aca="false">IF(OR($A192="",$A192&gt;=Parameters!$B$14),1,IF(AND(AF192&gt;0,CityData!F6&lt;=AF192),1,0))</f>
        <v>1</v>
      </c>
      <c r="AH192" s="14" t="n">
        <f aca="false">IF($A192="",0,IFERROR(VLOOKUP((YEAR($A192)+IF(MONTH($A192)&gt;=10,1,0))&amp;"|Seattle|"&amp;MONTH($A192),Rates!$A$2:$I$181,6,FALSE()),0))</f>
        <v>0</v>
      </c>
      <c r="AI192" s="14" t="n">
        <f aca="false">IF(AH192=0,0,VLOOKUP(AH192,MIE_Components!$A$2:$F$6,2,FALSE()))</f>
        <v>0</v>
      </c>
      <c r="AJ192" s="14" t="n">
        <f aca="false">IF(AH192=0,0,VLOOKUP(AH192,MIE_Components!$A$2:$F$6,3,FALSE()))</f>
        <v>0</v>
      </c>
      <c r="AK192" s="14" t="n">
        <f aca="false">IF(AH192=0,0,VLOOKUP(AH192,MIE_Components!$A$2:$F$6,4,FALSE()))</f>
        <v>0</v>
      </c>
      <c r="AL192" s="14" t="n">
        <f aca="false">IF(OR($A192="",AH192=0),0,MAX(5,AH192*IF(OR($A192=Parameters!$B$13,$A192=Parameters!$B$14),0.75,1)-(IF(AND($A192=DATE(2026,11,29),NOV29BF="Yes"),AI192,0)+IF(OR($A192=DATE(2026,11,29),$A192=DATE(2026,11,30),$A192=DATE(2026,12,1),$A192=DATE(2026,12,2)),AJ192,0)+IF(OR($A192=DATE(2026,11,28),$A192=DATE(2026,12,1)),AK192,0))))</f>
        <v>0</v>
      </c>
      <c r="AM192" s="14" t="n">
        <f aca="false">IF(AND($A192&lt;&gt;"",$A192&lt;Parameters!$B$14),CityData!F7*(1+TAXRATE),0)</f>
        <v>0</v>
      </c>
      <c r="AN192" s="14" t="n">
        <f aca="false">IF($A192="",0,IFERROR(VLOOKUP((YEAR($A192)+IF(MONTH($A192)&gt;=10,1,0))&amp;"|Seattle|"&amp;MONTH($A192),Rates!$A$2:$I$181,5,FALSE()),0))</f>
        <v>0</v>
      </c>
      <c r="AO192" s="14" t="n">
        <f aca="false">IF(OR($A192="",$A192&gt;=Parameters!$B$14),1,IF(AND(AN192&gt;0,CityData!F7&lt;=AN192),1,0))</f>
        <v>1</v>
      </c>
    </row>
    <row r="193" customFormat="false" ht="15" hidden="false" customHeight="true" outlineLevel="0" collapsed="false">
      <c r="A193" s="23" t="str">
        <f aca="false">IF(AND(Parameters!$B$14&gt;=Parameters!$B$13,ROW()-2&lt;=Parameters!$B$14-Parameters!$B$13),Parameters!$B$13+ROW()-2,"")</f>
        <v/>
      </c>
      <c r="B193" s="14" t="n">
        <f aca="false">IF($A193="",0,IFERROR(VLOOKUP((YEAR($A193)+IF(MONTH($A193)&gt;=10,1,0))&amp;"|Boston|"&amp;MONTH($A193),Rates!$A$2:$I$181,6,FALSE()),0))</f>
        <v>0</v>
      </c>
      <c r="C193" s="14" t="n">
        <f aca="false">IF(B193=0,0,VLOOKUP(B193,MIE_Components!$A$2:$F$6,2,FALSE()))</f>
        <v>0</v>
      </c>
      <c r="D193" s="14" t="n">
        <f aca="false">IF(B193=0,0,VLOOKUP(B193,MIE_Components!$A$2:$F$6,3,FALSE()))</f>
        <v>0</v>
      </c>
      <c r="E193" s="14" t="n">
        <f aca="false">IF(B193=0,0,VLOOKUP(B193,MIE_Components!$A$2:$F$6,4,FALSE()))</f>
        <v>0</v>
      </c>
      <c r="F193" s="14" t="n">
        <f aca="false">IF(OR($A193="",B193=0),0,MAX(5,B193*IF(OR($A193=Parameters!$B$13,$A193=Parameters!$B$14),0.75,1)-(IF(AND($A193=DATE(2026,11,29),NOV29BF="Yes"),C193,0)+IF(OR($A193=DATE(2026,11,29),$A193=DATE(2026,11,30),$A193=DATE(2026,12,1),$A193=DATE(2026,12,2)),D193,0)+IF(OR($A193=DATE(2026,11,28),$A193=DATE(2026,12,1)),E193,0))))</f>
        <v>0</v>
      </c>
      <c r="G193" s="14" t="n">
        <f aca="false">IF(AND($A193&lt;&gt;"",$A193&lt;Parameters!$B$14),CityData!F3*(1+TAXRATE),0)</f>
        <v>0</v>
      </c>
      <c r="H193" s="14" t="n">
        <f aca="false">IF($A193="",0,IFERROR(VLOOKUP((YEAR($A193)+IF(MONTH($A193)&gt;=10,1,0))&amp;"|Boston|"&amp;MONTH($A193),Rates!$A$2:$I$181,5,FALSE()),0))</f>
        <v>0</v>
      </c>
      <c r="I193" s="14" t="n">
        <f aca="false">IF(OR($A193="",$A193&gt;=Parameters!$B$14),1,IF(AND(H193&gt;0,CityData!F3&lt;=H193),1,0))</f>
        <v>1</v>
      </c>
      <c r="J193" s="14" t="n">
        <f aca="false">IF($A193="",0,IFERROR(VLOOKUP((YEAR($A193)+IF(MONTH($A193)&gt;=10,1,0))&amp;"|Chicago|"&amp;MONTH($A193),Rates!$A$2:$I$181,6,FALSE()),0))</f>
        <v>0</v>
      </c>
      <c r="K193" s="14" t="n">
        <f aca="false">IF(J193=0,0,VLOOKUP(J193,MIE_Components!$A$2:$F$6,2,FALSE()))</f>
        <v>0</v>
      </c>
      <c r="L193" s="14" t="n">
        <f aca="false">IF(J193=0,0,VLOOKUP(J193,MIE_Components!$A$2:$F$6,3,FALSE()))</f>
        <v>0</v>
      </c>
      <c r="M193" s="14" t="n">
        <f aca="false">IF(J193=0,0,VLOOKUP(J193,MIE_Components!$A$2:$F$6,4,FALSE()))</f>
        <v>0</v>
      </c>
      <c r="N193" s="14" t="n">
        <f aca="false">IF(OR($A193="",J193=0),0,MAX(5,J193*IF(OR($A193=Parameters!$B$13,$A193=Parameters!$B$14),0.75,1)-(IF(AND($A193=DATE(2026,11,29),NOV29BF="Yes"),K193,0)+IF(OR($A193=DATE(2026,11,29),$A193=DATE(2026,11,30),$A193=DATE(2026,12,1),$A193=DATE(2026,12,2)),L193,0)+IF(OR($A193=DATE(2026,11,28),$A193=DATE(2026,12,1)),M193,0))))</f>
        <v>0</v>
      </c>
      <c r="O193" s="14" t="n">
        <f aca="false">IF(AND($A193&lt;&gt;"",$A193&lt;Parameters!$B$14),CityData!F4*(1+TAXRATE),0)</f>
        <v>0</v>
      </c>
      <c r="P193" s="14" t="n">
        <f aca="false">IF($A193="",0,IFERROR(VLOOKUP((YEAR($A193)+IF(MONTH($A193)&gt;=10,1,0))&amp;"|Chicago|"&amp;MONTH($A193),Rates!$A$2:$I$181,5,FALSE()),0))</f>
        <v>0</v>
      </c>
      <c r="Q193" s="14" t="n">
        <f aca="false">IF(OR($A193="",$A193&gt;=Parameters!$B$14),1,IF(AND(P193&gt;0,CityData!F4&lt;=P193),1,0))</f>
        <v>1</v>
      </c>
      <c r="R193" s="14" t="n">
        <f aca="false">IF($A193="",0,IFERROR(VLOOKUP((YEAR($A193)+IF(MONTH($A193)&gt;=10,1,0))&amp;"|Denver|"&amp;MONTH($A193),Rates!$A$2:$I$181,6,FALSE()),0))</f>
        <v>0</v>
      </c>
      <c r="S193" s="14" t="n">
        <f aca="false">IF(R193=0,0,VLOOKUP(R193,MIE_Components!$A$2:$F$6,2,FALSE()))</f>
        <v>0</v>
      </c>
      <c r="T193" s="14" t="n">
        <f aca="false">IF(R193=0,0,VLOOKUP(R193,MIE_Components!$A$2:$F$6,3,FALSE()))</f>
        <v>0</v>
      </c>
      <c r="U193" s="14" t="n">
        <f aca="false">IF(R193=0,0,VLOOKUP(R193,MIE_Components!$A$2:$F$6,4,FALSE()))</f>
        <v>0</v>
      </c>
      <c r="V193" s="14" t="n">
        <f aca="false">IF(OR($A193="",R193=0),0,MAX(5,R193*IF(OR($A193=Parameters!$B$13,$A193=Parameters!$B$14),0.75,1)-(IF(AND($A193=DATE(2026,11,29),NOV29BF="Yes"),S193,0)+IF(OR($A193=DATE(2026,11,29),$A193=DATE(2026,11,30),$A193=DATE(2026,12,1),$A193=DATE(2026,12,2)),T193,0)+IF(OR($A193=DATE(2026,11,28),$A193=DATE(2026,12,1)),U193,0))))</f>
        <v>0</v>
      </c>
      <c r="W193" s="14" t="n">
        <f aca="false">IF(AND($A193&lt;&gt;"",$A193&lt;Parameters!$B$14),CityData!F5*(1+TAXRATE),0)</f>
        <v>0</v>
      </c>
      <c r="X193" s="14" t="n">
        <f aca="false">IF($A193="",0,IFERROR(VLOOKUP((YEAR($A193)+IF(MONTH($A193)&gt;=10,1,0))&amp;"|Denver|"&amp;MONTH($A193),Rates!$A$2:$I$181,5,FALSE()),0))</f>
        <v>0</v>
      </c>
      <c r="Y193" s="14" t="n">
        <f aca="false">IF(OR($A193="",$A193&gt;=Parameters!$B$14),1,IF(AND(X193&gt;0,CityData!F5&lt;=X193),1,0))</f>
        <v>1</v>
      </c>
      <c r="Z193" s="14" t="n">
        <f aca="false">IF($A193="",0,IFERROR(VLOOKUP((YEAR($A193)+IF(MONTH($A193)&gt;=10,1,0))&amp;"|Phoenix|"&amp;MONTH($A193),Rates!$A$2:$I$181,6,FALSE()),0))</f>
        <v>0</v>
      </c>
      <c r="AA193" s="14" t="n">
        <f aca="false">IF(Z193=0,0,VLOOKUP(Z193,MIE_Components!$A$2:$F$6,2,FALSE()))</f>
        <v>0</v>
      </c>
      <c r="AB193" s="14" t="n">
        <f aca="false">IF(Z193=0,0,VLOOKUP(Z193,MIE_Components!$A$2:$F$6,3,FALSE()))</f>
        <v>0</v>
      </c>
      <c r="AC193" s="14" t="n">
        <f aca="false">IF(Z193=0,0,VLOOKUP(Z193,MIE_Components!$A$2:$F$6,4,FALSE()))</f>
        <v>0</v>
      </c>
      <c r="AD193" s="14" t="n">
        <f aca="false">IF(OR($A193="",Z193=0),0,MAX(5,Z193*IF(OR($A193=Parameters!$B$13,$A193=Parameters!$B$14),0.75,1)-(IF(AND($A193=DATE(2026,11,29),NOV29BF="Yes"),AA193,0)+IF(OR($A193=DATE(2026,11,29),$A193=DATE(2026,11,30),$A193=DATE(2026,12,1),$A193=DATE(2026,12,2)),AB193,0)+IF(OR($A193=DATE(2026,11,28),$A193=DATE(2026,12,1)),AC193,0))))</f>
        <v>0</v>
      </c>
      <c r="AE193" s="14" t="n">
        <f aca="false">IF(AND($A193&lt;&gt;"",$A193&lt;Parameters!$B$14),CityData!F6*(1+TAXRATE),0)</f>
        <v>0</v>
      </c>
      <c r="AF193" s="14" t="n">
        <f aca="false">IF($A193="",0,IFERROR(VLOOKUP((YEAR($A193)+IF(MONTH($A193)&gt;=10,1,0))&amp;"|Phoenix|"&amp;MONTH($A193),Rates!$A$2:$I$181,5,FALSE()),0))</f>
        <v>0</v>
      </c>
      <c r="AG193" s="14" t="n">
        <f aca="false">IF(OR($A193="",$A193&gt;=Parameters!$B$14),1,IF(AND(AF193&gt;0,CityData!F6&lt;=AF193),1,0))</f>
        <v>1</v>
      </c>
      <c r="AH193" s="14" t="n">
        <f aca="false">IF($A193="",0,IFERROR(VLOOKUP((YEAR($A193)+IF(MONTH($A193)&gt;=10,1,0))&amp;"|Seattle|"&amp;MONTH($A193),Rates!$A$2:$I$181,6,FALSE()),0))</f>
        <v>0</v>
      </c>
      <c r="AI193" s="14" t="n">
        <f aca="false">IF(AH193=0,0,VLOOKUP(AH193,MIE_Components!$A$2:$F$6,2,FALSE()))</f>
        <v>0</v>
      </c>
      <c r="AJ193" s="14" t="n">
        <f aca="false">IF(AH193=0,0,VLOOKUP(AH193,MIE_Components!$A$2:$F$6,3,FALSE()))</f>
        <v>0</v>
      </c>
      <c r="AK193" s="14" t="n">
        <f aca="false">IF(AH193=0,0,VLOOKUP(AH193,MIE_Components!$A$2:$F$6,4,FALSE()))</f>
        <v>0</v>
      </c>
      <c r="AL193" s="14" t="n">
        <f aca="false">IF(OR($A193="",AH193=0),0,MAX(5,AH193*IF(OR($A193=Parameters!$B$13,$A193=Parameters!$B$14),0.75,1)-(IF(AND($A193=DATE(2026,11,29),NOV29BF="Yes"),AI193,0)+IF(OR($A193=DATE(2026,11,29),$A193=DATE(2026,11,30),$A193=DATE(2026,12,1),$A193=DATE(2026,12,2)),AJ193,0)+IF(OR($A193=DATE(2026,11,28),$A193=DATE(2026,12,1)),AK193,0))))</f>
        <v>0</v>
      </c>
      <c r="AM193" s="14" t="n">
        <f aca="false">IF(AND($A193&lt;&gt;"",$A193&lt;Parameters!$B$14),CityData!F7*(1+TAXRATE),0)</f>
        <v>0</v>
      </c>
      <c r="AN193" s="14" t="n">
        <f aca="false">IF($A193="",0,IFERROR(VLOOKUP((YEAR($A193)+IF(MONTH($A193)&gt;=10,1,0))&amp;"|Seattle|"&amp;MONTH($A193),Rates!$A$2:$I$181,5,FALSE()),0))</f>
        <v>0</v>
      </c>
      <c r="AO193" s="14" t="n">
        <f aca="false">IF(OR($A193="",$A193&gt;=Parameters!$B$14),1,IF(AND(AN193&gt;0,CityData!F7&lt;=AN193),1,0))</f>
        <v>1</v>
      </c>
    </row>
    <row r="194" customFormat="false" ht="15" hidden="false" customHeight="true" outlineLevel="0" collapsed="false">
      <c r="A194" s="23" t="str">
        <f aca="false">IF(AND(Parameters!$B$14&gt;=Parameters!$B$13,ROW()-2&lt;=Parameters!$B$14-Parameters!$B$13),Parameters!$B$13+ROW()-2,"")</f>
        <v/>
      </c>
      <c r="B194" s="14" t="n">
        <f aca="false">IF($A194="",0,IFERROR(VLOOKUP((YEAR($A194)+IF(MONTH($A194)&gt;=10,1,0))&amp;"|Boston|"&amp;MONTH($A194),Rates!$A$2:$I$181,6,FALSE()),0))</f>
        <v>0</v>
      </c>
      <c r="C194" s="14" t="n">
        <f aca="false">IF(B194=0,0,VLOOKUP(B194,MIE_Components!$A$2:$F$6,2,FALSE()))</f>
        <v>0</v>
      </c>
      <c r="D194" s="14" t="n">
        <f aca="false">IF(B194=0,0,VLOOKUP(B194,MIE_Components!$A$2:$F$6,3,FALSE()))</f>
        <v>0</v>
      </c>
      <c r="E194" s="14" t="n">
        <f aca="false">IF(B194=0,0,VLOOKUP(B194,MIE_Components!$A$2:$F$6,4,FALSE()))</f>
        <v>0</v>
      </c>
      <c r="F194" s="14" t="n">
        <f aca="false">IF(OR($A194="",B194=0),0,MAX(5,B194*IF(OR($A194=Parameters!$B$13,$A194=Parameters!$B$14),0.75,1)-(IF(AND($A194=DATE(2026,11,29),NOV29BF="Yes"),C194,0)+IF(OR($A194=DATE(2026,11,29),$A194=DATE(2026,11,30),$A194=DATE(2026,12,1),$A194=DATE(2026,12,2)),D194,0)+IF(OR($A194=DATE(2026,11,28),$A194=DATE(2026,12,1)),E194,0))))</f>
        <v>0</v>
      </c>
      <c r="G194" s="14" t="n">
        <f aca="false">IF(AND($A194&lt;&gt;"",$A194&lt;Parameters!$B$14),CityData!F3*(1+TAXRATE),0)</f>
        <v>0</v>
      </c>
      <c r="H194" s="14" t="n">
        <f aca="false">IF($A194="",0,IFERROR(VLOOKUP((YEAR($A194)+IF(MONTH($A194)&gt;=10,1,0))&amp;"|Boston|"&amp;MONTH($A194),Rates!$A$2:$I$181,5,FALSE()),0))</f>
        <v>0</v>
      </c>
      <c r="I194" s="14" t="n">
        <f aca="false">IF(OR($A194="",$A194&gt;=Parameters!$B$14),1,IF(AND(H194&gt;0,CityData!F3&lt;=H194),1,0))</f>
        <v>1</v>
      </c>
      <c r="J194" s="14" t="n">
        <f aca="false">IF($A194="",0,IFERROR(VLOOKUP((YEAR($A194)+IF(MONTH($A194)&gt;=10,1,0))&amp;"|Chicago|"&amp;MONTH($A194),Rates!$A$2:$I$181,6,FALSE()),0))</f>
        <v>0</v>
      </c>
      <c r="K194" s="14" t="n">
        <f aca="false">IF(J194=0,0,VLOOKUP(J194,MIE_Components!$A$2:$F$6,2,FALSE()))</f>
        <v>0</v>
      </c>
      <c r="L194" s="14" t="n">
        <f aca="false">IF(J194=0,0,VLOOKUP(J194,MIE_Components!$A$2:$F$6,3,FALSE()))</f>
        <v>0</v>
      </c>
      <c r="M194" s="14" t="n">
        <f aca="false">IF(J194=0,0,VLOOKUP(J194,MIE_Components!$A$2:$F$6,4,FALSE()))</f>
        <v>0</v>
      </c>
      <c r="N194" s="14" t="n">
        <f aca="false">IF(OR($A194="",J194=0),0,MAX(5,J194*IF(OR($A194=Parameters!$B$13,$A194=Parameters!$B$14),0.75,1)-(IF(AND($A194=DATE(2026,11,29),NOV29BF="Yes"),K194,0)+IF(OR($A194=DATE(2026,11,29),$A194=DATE(2026,11,30),$A194=DATE(2026,12,1),$A194=DATE(2026,12,2)),L194,0)+IF(OR($A194=DATE(2026,11,28),$A194=DATE(2026,12,1)),M194,0))))</f>
        <v>0</v>
      </c>
      <c r="O194" s="14" t="n">
        <f aca="false">IF(AND($A194&lt;&gt;"",$A194&lt;Parameters!$B$14),CityData!F4*(1+TAXRATE),0)</f>
        <v>0</v>
      </c>
      <c r="P194" s="14" t="n">
        <f aca="false">IF($A194="",0,IFERROR(VLOOKUP((YEAR($A194)+IF(MONTH($A194)&gt;=10,1,0))&amp;"|Chicago|"&amp;MONTH($A194),Rates!$A$2:$I$181,5,FALSE()),0))</f>
        <v>0</v>
      </c>
      <c r="Q194" s="14" t="n">
        <f aca="false">IF(OR($A194="",$A194&gt;=Parameters!$B$14),1,IF(AND(P194&gt;0,CityData!F4&lt;=P194),1,0))</f>
        <v>1</v>
      </c>
      <c r="R194" s="14" t="n">
        <f aca="false">IF($A194="",0,IFERROR(VLOOKUP((YEAR($A194)+IF(MONTH($A194)&gt;=10,1,0))&amp;"|Denver|"&amp;MONTH($A194),Rates!$A$2:$I$181,6,FALSE()),0))</f>
        <v>0</v>
      </c>
      <c r="S194" s="14" t="n">
        <f aca="false">IF(R194=0,0,VLOOKUP(R194,MIE_Components!$A$2:$F$6,2,FALSE()))</f>
        <v>0</v>
      </c>
      <c r="T194" s="14" t="n">
        <f aca="false">IF(R194=0,0,VLOOKUP(R194,MIE_Components!$A$2:$F$6,3,FALSE()))</f>
        <v>0</v>
      </c>
      <c r="U194" s="14" t="n">
        <f aca="false">IF(R194=0,0,VLOOKUP(R194,MIE_Components!$A$2:$F$6,4,FALSE()))</f>
        <v>0</v>
      </c>
      <c r="V194" s="14" t="n">
        <f aca="false">IF(OR($A194="",R194=0),0,MAX(5,R194*IF(OR($A194=Parameters!$B$13,$A194=Parameters!$B$14),0.75,1)-(IF(AND($A194=DATE(2026,11,29),NOV29BF="Yes"),S194,0)+IF(OR($A194=DATE(2026,11,29),$A194=DATE(2026,11,30),$A194=DATE(2026,12,1),$A194=DATE(2026,12,2)),T194,0)+IF(OR($A194=DATE(2026,11,28),$A194=DATE(2026,12,1)),U194,0))))</f>
        <v>0</v>
      </c>
      <c r="W194" s="14" t="n">
        <f aca="false">IF(AND($A194&lt;&gt;"",$A194&lt;Parameters!$B$14),CityData!F5*(1+TAXRATE),0)</f>
        <v>0</v>
      </c>
      <c r="X194" s="14" t="n">
        <f aca="false">IF($A194="",0,IFERROR(VLOOKUP((YEAR($A194)+IF(MONTH($A194)&gt;=10,1,0))&amp;"|Denver|"&amp;MONTH($A194),Rates!$A$2:$I$181,5,FALSE()),0))</f>
        <v>0</v>
      </c>
      <c r="Y194" s="14" t="n">
        <f aca="false">IF(OR($A194="",$A194&gt;=Parameters!$B$14),1,IF(AND(X194&gt;0,CityData!F5&lt;=X194),1,0))</f>
        <v>1</v>
      </c>
      <c r="Z194" s="14" t="n">
        <f aca="false">IF($A194="",0,IFERROR(VLOOKUP((YEAR($A194)+IF(MONTH($A194)&gt;=10,1,0))&amp;"|Phoenix|"&amp;MONTH($A194),Rates!$A$2:$I$181,6,FALSE()),0))</f>
        <v>0</v>
      </c>
      <c r="AA194" s="14" t="n">
        <f aca="false">IF(Z194=0,0,VLOOKUP(Z194,MIE_Components!$A$2:$F$6,2,FALSE()))</f>
        <v>0</v>
      </c>
      <c r="AB194" s="14" t="n">
        <f aca="false">IF(Z194=0,0,VLOOKUP(Z194,MIE_Components!$A$2:$F$6,3,FALSE()))</f>
        <v>0</v>
      </c>
      <c r="AC194" s="14" t="n">
        <f aca="false">IF(Z194=0,0,VLOOKUP(Z194,MIE_Components!$A$2:$F$6,4,FALSE()))</f>
        <v>0</v>
      </c>
      <c r="AD194" s="14" t="n">
        <f aca="false">IF(OR($A194="",Z194=0),0,MAX(5,Z194*IF(OR($A194=Parameters!$B$13,$A194=Parameters!$B$14),0.75,1)-(IF(AND($A194=DATE(2026,11,29),NOV29BF="Yes"),AA194,0)+IF(OR($A194=DATE(2026,11,29),$A194=DATE(2026,11,30),$A194=DATE(2026,12,1),$A194=DATE(2026,12,2)),AB194,0)+IF(OR($A194=DATE(2026,11,28),$A194=DATE(2026,12,1)),AC194,0))))</f>
        <v>0</v>
      </c>
      <c r="AE194" s="14" t="n">
        <f aca="false">IF(AND($A194&lt;&gt;"",$A194&lt;Parameters!$B$14),CityData!F6*(1+TAXRATE),0)</f>
        <v>0</v>
      </c>
      <c r="AF194" s="14" t="n">
        <f aca="false">IF($A194="",0,IFERROR(VLOOKUP((YEAR($A194)+IF(MONTH($A194)&gt;=10,1,0))&amp;"|Phoenix|"&amp;MONTH($A194),Rates!$A$2:$I$181,5,FALSE()),0))</f>
        <v>0</v>
      </c>
      <c r="AG194" s="14" t="n">
        <f aca="false">IF(OR($A194="",$A194&gt;=Parameters!$B$14),1,IF(AND(AF194&gt;0,CityData!F6&lt;=AF194),1,0))</f>
        <v>1</v>
      </c>
      <c r="AH194" s="14" t="n">
        <f aca="false">IF($A194="",0,IFERROR(VLOOKUP((YEAR($A194)+IF(MONTH($A194)&gt;=10,1,0))&amp;"|Seattle|"&amp;MONTH($A194),Rates!$A$2:$I$181,6,FALSE()),0))</f>
        <v>0</v>
      </c>
      <c r="AI194" s="14" t="n">
        <f aca="false">IF(AH194=0,0,VLOOKUP(AH194,MIE_Components!$A$2:$F$6,2,FALSE()))</f>
        <v>0</v>
      </c>
      <c r="AJ194" s="14" t="n">
        <f aca="false">IF(AH194=0,0,VLOOKUP(AH194,MIE_Components!$A$2:$F$6,3,FALSE()))</f>
        <v>0</v>
      </c>
      <c r="AK194" s="14" t="n">
        <f aca="false">IF(AH194=0,0,VLOOKUP(AH194,MIE_Components!$A$2:$F$6,4,FALSE()))</f>
        <v>0</v>
      </c>
      <c r="AL194" s="14" t="n">
        <f aca="false">IF(OR($A194="",AH194=0),0,MAX(5,AH194*IF(OR($A194=Parameters!$B$13,$A194=Parameters!$B$14),0.75,1)-(IF(AND($A194=DATE(2026,11,29),NOV29BF="Yes"),AI194,0)+IF(OR($A194=DATE(2026,11,29),$A194=DATE(2026,11,30),$A194=DATE(2026,12,1),$A194=DATE(2026,12,2)),AJ194,0)+IF(OR($A194=DATE(2026,11,28),$A194=DATE(2026,12,1)),AK194,0))))</f>
        <v>0</v>
      </c>
      <c r="AM194" s="14" t="n">
        <f aca="false">IF(AND($A194&lt;&gt;"",$A194&lt;Parameters!$B$14),CityData!F7*(1+TAXRATE),0)</f>
        <v>0</v>
      </c>
      <c r="AN194" s="14" t="n">
        <f aca="false">IF($A194="",0,IFERROR(VLOOKUP((YEAR($A194)+IF(MONTH($A194)&gt;=10,1,0))&amp;"|Seattle|"&amp;MONTH($A194),Rates!$A$2:$I$181,5,FALSE()),0))</f>
        <v>0</v>
      </c>
      <c r="AO194" s="14" t="n">
        <f aca="false">IF(OR($A194="",$A194&gt;=Parameters!$B$14),1,IF(AND(AN194&gt;0,CityData!F7&lt;=AN194),1,0))</f>
        <v>1</v>
      </c>
    </row>
    <row r="195" customFormat="false" ht="15" hidden="false" customHeight="true" outlineLevel="0" collapsed="false">
      <c r="A195" s="23" t="str">
        <f aca="false">IF(AND(Parameters!$B$14&gt;=Parameters!$B$13,ROW()-2&lt;=Parameters!$B$14-Parameters!$B$13),Parameters!$B$13+ROW()-2,"")</f>
        <v/>
      </c>
      <c r="B195" s="14" t="n">
        <f aca="false">IF($A195="",0,IFERROR(VLOOKUP((YEAR($A195)+IF(MONTH($A195)&gt;=10,1,0))&amp;"|Boston|"&amp;MONTH($A195),Rates!$A$2:$I$181,6,FALSE()),0))</f>
        <v>0</v>
      </c>
      <c r="C195" s="14" t="n">
        <f aca="false">IF(B195=0,0,VLOOKUP(B195,MIE_Components!$A$2:$F$6,2,FALSE()))</f>
        <v>0</v>
      </c>
      <c r="D195" s="14" t="n">
        <f aca="false">IF(B195=0,0,VLOOKUP(B195,MIE_Components!$A$2:$F$6,3,FALSE()))</f>
        <v>0</v>
      </c>
      <c r="E195" s="14" t="n">
        <f aca="false">IF(B195=0,0,VLOOKUP(B195,MIE_Components!$A$2:$F$6,4,FALSE()))</f>
        <v>0</v>
      </c>
      <c r="F195" s="14" t="n">
        <f aca="false">IF(OR($A195="",B195=0),0,MAX(5,B195*IF(OR($A195=Parameters!$B$13,$A195=Parameters!$B$14),0.75,1)-(IF(AND($A195=DATE(2026,11,29),NOV29BF="Yes"),C195,0)+IF(OR($A195=DATE(2026,11,29),$A195=DATE(2026,11,30),$A195=DATE(2026,12,1),$A195=DATE(2026,12,2)),D195,0)+IF(OR($A195=DATE(2026,11,28),$A195=DATE(2026,12,1)),E195,0))))</f>
        <v>0</v>
      </c>
      <c r="G195" s="14" t="n">
        <f aca="false">IF(AND($A195&lt;&gt;"",$A195&lt;Parameters!$B$14),CityData!F3*(1+TAXRATE),0)</f>
        <v>0</v>
      </c>
      <c r="H195" s="14" t="n">
        <f aca="false">IF($A195="",0,IFERROR(VLOOKUP((YEAR($A195)+IF(MONTH($A195)&gt;=10,1,0))&amp;"|Boston|"&amp;MONTH($A195),Rates!$A$2:$I$181,5,FALSE()),0))</f>
        <v>0</v>
      </c>
      <c r="I195" s="14" t="n">
        <f aca="false">IF(OR($A195="",$A195&gt;=Parameters!$B$14),1,IF(AND(H195&gt;0,CityData!F3&lt;=H195),1,0))</f>
        <v>1</v>
      </c>
      <c r="J195" s="14" t="n">
        <f aca="false">IF($A195="",0,IFERROR(VLOOKUP((YEAR($A195)+IF(MONTH($A195)&gt;=10,1,0))&amp;"|Chicago|"&amp;MONTH($A195),Rates!$A$2:$I$181,6,FALSE()),0))</f>
        <v>0</v>
      </c>
      <c r="K195" s="14" t="n">
        <f aca="false">IF(J195=0,0,VLOOKUP(J195,MIE_Components!$A$2:$F$6,2,FALSE()))</f>
        <v>0</v>
      </c>
      <c r="L195" s="14" t="n">
        <f aca="false">IF(J195=0,0,VLOOKUP(J195,MIE_Components!$A$2:$F$6,3,FALSE()))</f>
        <v>0</v>
      </c>
      <c r="M195" s="14" t="n">
        <f aca="false">IF(J195=0,0,VLOOKUP(J195,MIE_Components!$A$2:$F$6,4,FALSE()))</f>
        <v>0</v>
      </c>
      <c r="N195" s="14" t="n">
        <f aca="false">IF(OR($A195="",J195=0),0,MAX(5,J195*IF(OR($A195=Parameters!$B$13,$A195=Parameters!$B$14),0.75,1)-(IF(AND($A195=DATE(2026,11,29),NOV29BF="Yes"),K195,0)+IF(OR($A195=DATE(2026,11,29),$A195=DATE(2026,11,30),$A195=DATE(2026,12,1),$A195=DATE(2026,12,2)),L195,0)+IF(OR($A195=DATE(2026,11,28),$A195=DATE(2026,12,1)),M195,0))))</f>
        <v>0</v>
      </c>
      <c r="O195" s="14" t="n">
        <f aca="false">IF(AND($A195&lt;&gt;"",$A195&lt;Parameters!$B$14),CityData!F4*(1+TAXRATE),0)</f>
        <v>0</v>
      </c>
      <c r="P195" s="14" t="n">
        <f aca="false">IF($A195="",0,IFERROR(VLOOKUP((YEAR($A195)+IF(MONTH($A195)&gt;=10,1,0))&amp;"|Chicago|"&amp;MONTH($A195),Rates!$A$2:$I$181,5,FALSE()),0))</f>
        <v>0</v>
      </c>
      <c r="Q195" s="14" t="n">
        <f aca="false">IF(OR($A195="",$A195&gt;=Parameters!$B$14),1,IF(AND(P195&gt;0,CityData!F4&lt;=P195),1,0))</f>
        <v>1</v>
      </c>
      <c r="R195" s="14" t="n">
        <f aca="false">IF($A195="",0,IFERROR(VLOOKUP((YEAR($A195)+IF(MONTH($A195)&gt;=10,1,0))&amp;"|Denver|"&amp;MONTH($A195),Rates!$A$2:$I$181,6,FALSE()),0))</f>
        <v>0</v>
      </c>
      <c r="S195" s="14" t="n">
        <f aca="false">IF(R195=0,0,VLOOKUP(R195,MIE_Components!$A$2:$F$6,2,FALSE()))</f>
        <v>0</v>
      </c>
      <c r="T195" s="14" t="n">
        <f aca="false">IF(R195=0,0,VLOOKUP(R195,MIE_Components!$A$2:$F$6,3,FALSE()))</f>
        <v>0</v>
      </c>
      <c r="U195" s="14" t="n">
        <f aca="false">IF(R195=0,0,VLOOKUP(R195,MIE_Components!$A$2:$F$6,4,FALSE()))</f>
        <v>0</v>
      </c>
      <c r="V195" s="14" t="n">
        <f aca="false">IF(OR($A195="",R195=0),0,MAX(5,R195*IF(OR($A195=Parameters!$B$13,$A195=Parameters!$B$14),0.75,1)-(IF(AND($A195=DATE(2026,11,29),NOV29BF="Yes"),S195,0)+IF(OR($A195=DATE(2026,11,29),$A195=DATE(2026,11,30),$A195=DATE(2026,12,1),$A195=DATE(2026,12,2)),T195,0)+IF(OR($A195=DATE(2026,11,28),$A195=DATE(2026,12,1)),U195,0))))</f>
        <v>0</v>
      </c>
      <c r="W195" s="14" t="n">
        <f aca="false">IF(AND($A195&lt;&gt;"",$A195&lt;Parameters!$B$14),CityData!F5*(1+TAXRATE),0)</f>
        <v>0</v>
      </c>
      <c r="X195" s="14" t="n">
        <f aca="false">IF($A195="",0,IFERROR(VLOOKUP((YEAR($A195)+IF(MONTH($A195)&gt;=10,1,0))&amp;"|Denver|"&amp;MONTH($A195),Rates!$A$2:$I$181,5,FALSE()),0))</f>
        <v>0</v>
      </c>
      <c r="Y195" s="14" t="n">
        <f aca="false">IF(OR($A195="",$A195&gt;=Parameters!$B$14),1,IF(AND(X195&gt;0,CityData!F5&lt;=X195),1,0))</f>
        <v>1</v>
      </c>
      <c r="Z195" s="14" t="n">
        <f aca="false">IF($A195="",0,IFERROR(VLOOKUP((YEAR($A195)+IF(MONTH($A195)&gt;=10,1,0))&amp;"|Phoenix|"&amp;MONTH($A195),Rates!$A$2:$I$181,6,FALSE()),0))</f>
        <v>0</v>
      </c>
      <c r="AA195" s="14" t="n">
        <f aca="false">IF(Z195=0,0,VLOOKUP(Z195,MIE_Components!$A$2:$F$6,2,FALSE()))</f>
        <v>0</v>
      </c>
      <c r="AB195" s="14" t="n">
        <f aca="false">IF(Z195=0,0,VLOOKUP(Z195,MIE_Components!$A$2:$F$6,3,FALSE()))</f>
        <v>0</v>
      </c>
      <c r="AC195" s="14" t="n">
        <f aca="false">IF(Z195=0,0,VLOOKUP(Z195,MIE_Components!$A$2:$F$6,4,FALSE()))</f>
        <v>0</v>
      </c>
      <c r="AD195" s="14" t="n">
        <f aca="false">IF(OR($A195="",Z195=0),0,MAX(5,Z195*IF(OR($A195=Parameters!$B$13,$A195=Parameters!$B$14),0.75,1)-(IF(AND($A195=DATE(2026,11,29),NOV29BF="Yes"),AA195,0)+IF(OR($A195=DATE(2026,11,29),$A195=DATE(2026,11,30),$A195=DATE(2026,12,1),$A195=DATE(2026,12,2)),AB195,0)+IF(OR($A195=DATE(2026,11,28),$A195=DATE(2026,12,1)),AC195,0))))</f>
        <v>0</v>
      </c>
      <c r="AE195" s="14" t="n">
        <f aca="false">IF(AND($A195&lt;&gt;"",$A195&lt;Parameters!$B$14),CityData!F6*(1+TAXRATE),0)</f>
        <v>0</v>
      </c>
      <c r="AF195" s="14" t="n">
        <f aca="false">IF($A195="",0,IFERROR(VLOOKUP((YEAR($A195)+IF(MONTH($A195)&gt;=10,1,0))&amp;"|Phoenix|"&amp;MONTH($A195),Rates!$A$2:$I$181,5,FALSE()),0))</f>
        <v>0</v>
      </c>
      <c r="AG195" s="14" t="n">
        <f aca="false">IF(OR($A195="",$A195&gt;=Parameters!$B$14),1,IF(AND(AF195&gt;0,CityData!F6&lt;=AF195),1,0))</f>
        <v>1</v>
      </c>
      <c r="AH195" s="14" t="n">
        <f aca="false">IF($A195="",0,IFERROR(VLOOKUP((YEAR($A195)+IF(MONTH($A195)&gt;=10,1,0))&amp;"|Seattle|"&amp;MONTH($A195),Rates!$A$2:$I$181,6,FALSE()),0))</f>
        <v>0</v>
      </c>
      <c r="AI195" s="14" t="n">
        <f aca="false">IF(AH195=0,0,VLOOKUP(AH195,MIE_Components!$A$2:$F$6,2,FALSE()))</f>
        <v>0</v>
      </c>
      <c r="AJ195" s="14" t="n">
        <f aca="false">IF(AH195=0,0,VLOOKUP(AH195,MIE_Components!$A$2:$F$6,3,FALSE()))</f>
        <v>0</v>
      </c>
      <c r="AK195" s="14" t="n">
        <f aca="false">IF(AH195=0,0,VLOOKUP(AH195,MIE_Components!$A$2:$F$6,4,FALSE()))</f>
        <v>0</v>
      </c>
      <c r="AL195" s="14" t="n">
        <f aca="false">IF(OR($A195="",AH195=0),0,MAX(5,AH195*IF(OR($A195=Parameters!$B$13,$A195=Parameters!$B$14),0.75,1)-(IF(AND($A195=DATE(2026,11,29),NOV29BF="Yes"),AI195,0)+IF(OR($A195=DATE(2026,11,29),$A195=DATE(2026,11,30),$A195=DATE(2026,12,1),$A195=DATE(2026,12,2)),AJ195,0)+IF(OR($A195=DATE(2026,11,28),$A195=DATE(2026,12,1)),AK195,0))))</f>
        <v>0</v>
      </c>
      <c r="AM195" s="14" t="n">
        <f aca="false">IF(AND($A195&lt;&gt;"",$A195&lt;Parameters!$B$14),CityData!F7*(1+TAXRATE),0)</f>
        <v>0</v>
      </c>
      <c r="AN195" s="14" t="n">
        <f aca="false">IF($A195="",0,IFERROR(VLOOKUP((YEAR($A195)+IF(MONTH($A195)&gt;=10,1,0))&amp;"|Seattle|"&amp;MONTH($A195),Rates!$A$2:$I$181,5,FALSE()),0))</f>
        <v>0</v>
      </c>
      <c r="AO195" s="14" t="n">
        <f aca="false">IF(OR($A195="",$A195&gt;=Parameters!$B$14),1,IF(AND(AN195&gt;0,CityData!F7&lt;=AN195),1,0))</f>
        <v>1</v>
      </c>
    </row>
    <row r="196" customFormat="false" ht="15" hidden="false" customHeight="true" outlineLevel="0" collapsed="false">
      <c r="A196" s="23" t="str">
        <f aca="false">IF(AND(Parameters!$B$14&gt;=Parameters!$B$13,ROW()-2&lt;=Parameters!$B$14-Parameters!$B$13),Parameters!$B$13+ROW()-2,"")</f>
        <v/>
      </c>
      <c r="B196" s="14" t="n">
        <f aca="false">IF($A196="",0,IFERROR(VLOOKUP((YEAR($A196)+IF(MONTH($A196)&gt;=10,1,0))&amp;"|Boston|"&amp;MONTH($A196),Rates!$A$2:$I$181,6,FALSE()),0))</f>
        <v>0</v>
      </c>
      <c r="C196" s="14" t="n">
        <f aca="false">IF(B196=0,0,VLOOKUP(B196,MIE_Components!$A$2:$F$6,2,FALSE()))</f>
        <v>0</v>
      </c>
      <c r="D196" s="14" t="n">
        <f aca="false">IF(B196=0,0,VLOOKUP(B196,MIE_Components!$A$2:$F$6,3,FALSE()))</f>
        <v>0</v>
      </c>
      <c r="E196" s="14" t="n">
        <f aca="false">IF(B196=0,0,VLOOKUP(B196,MIE_Components!$A$2:$F$6,4,FALSE()))</f>
        <v>0</v>
      </c>
      <c r="F196" s="14" t="n">
        <f aca="false">IF(OR($A196="",B196=0),0,MAX(5,B196*IF(OR($A196=Parameters!$B$13,$A196=Parameters!$B$14),0.75,1)-(IF(AND($A196=DATE(2026,11,29),NOV29BF="Yes"),C196,0)+IF(OR($A196=DATE(2026,11,29),$A196=DATE(2026,11,30),$A196=DATE(2026,12,1),$A196=DATE(2026,12,2)),D196,0)+IF(OR($A196=DATE(2026,11,28),$A196=DATE(2026,12,1)),E196,0))))</f>
        <v>0</v>
      </c>
      <c r="G196" s="14" t="n">
        <f aca="false">IF(AND($A196&lt;&gt;"",$A196&lt;Parameters!$B$14),CityData!F3*(1+TAXRATE),0)</f>
        <v>0</v>
      </c>
      <c r="H196" s="14" t="n">
        <f aca="false">IF($A196="",0,IFERROR(VLOOKUP((YEAR($A196)+IF(MONTH($A196)&gt;=10,1,0))&amp;"|Boston|"&amp;MONTH($A196),Rates!$A$2:$I$181,5,FALSE()),0))</f>
        <v>0</v>
      </c>
      <c r="I196" s="14" t="n">
        <f aca="false">IF(OR($A196="",$A196&gt;=Parameters!$B$14),1,IF(AND(H196&gt;0,CityData!F3&lt;=H196),1,0))</f>
        <v>1</v>
      </c>
      <c r="J196" s="14" t="n">
        <f aca="false">IF($A196="",0,IFERROR(VLOOKUP((YEAR($A196)+IF(MONTH($A196)&gt;=10,1,0))&amp;"|Chicago|"&amp;MONTH($A196),Rates!$A$2:$I$181,6,FALSE()),0))</f>
        <v>0</v>
      </c>
      <c r="K196" s="14" t="n">
        <f aca="false">IF(J196=0,0,VLOOKUP(J196,MIE_Components!$A$2:$F$6,2,FALSE()))</f>
        <v>0</v>
      </c>
      <c r="L196" s="14" t="n">
        <f aca="false">IF(J196=0,0,VLOOKUP(J196,MIE_Components!$A$2:$F$6,3,FALSE()))</f>
        <v>0</v>
      </c>
      <c r="M196" s="14" t="n">
        <f aca="false">IF(J196=0,0,VLOOKUP(J196,MIE_Components!$A$2:$F$6,4,FALSE()))</f>
        <v>0</v>
      </c>
      <c r="N196" s="14" t="n">
        <f aca="false">IF(OR($A196="",J196=0),0,MAX(5,J196*IF(OR($A196=Parameters!$B$13,$A196=Parameters!$B$14),0.75,1)-(IF(AND($A196=DATE(2026,11,29),NOV29BF="Yes"),K196,0)+IF(OR($A196=DATE(2026,11,29),$A196=DATE(2026,11,30),$A196=DATE(2026,12,1),$A196=DATE(2026,12,2)),L196,0)+IF(OR($A196=DATE(2026,11,28),$A196=DATE(2026,12,1)),M196,0))))</f>
        <v>0</v>
      </c>
      <c r="O196" s="14" t="n">
        <f aca="false">IF(AND($A196&lt;&gt;"",$A196&lt;Parameters!$B$14),CityData!F4*(1+TAXRATE),0)</f>
        <v>0</v>
      </c>
      <c r="P196" s="14" t="n">
        <f aca="false">IF($A196="",0,IFERROR(VLOOKUP((YEAR($A196)+IF(MONTH($A196)&gt;=10,1,0))&amp;"|Chicago|"&amp;MONTH($A196),Rates!$A$2:$I$181,5,FALSE()),0))</f>
        <v>0</v>
      </c>
      <c r="Q196" s="14" t="n">
        <f aca="false">IF(OR($A196="",$A196&gt;=Parameters!$B$14),1,IF(AND(P196&gt;0,CityData!F4&lt;=P196),1,0))</f>
        <v>1</v>
      </c>
      <c r="R196" s="14" t="n">
        <f aca="false">IF($A196="",0,IFERROR(VLOOKUP((YEAR($A196)+IF(MONTH($A196)&gt;=10,1,0))&amp;"|Denver|"&amp;MONTH($A196),Rates!$A$2:$I$181,6,FALSE()),0))</f>
        <v>0</v>
      </c>
      <c r="S196" s="14" t="n">
        <f aca="false">IF(R196=0,0,VLOOKUP(R196,MIE_Components!$A$2:$F$6,2,FALSE()))</f>
        <v>0</v>
      </c>
      <c r="T196" s="14" t="n">
        <f aca="false">IF(R196=0,0,VLOOKUP(R196,MIE_Components!$A$2:$F$6,3,FALSE()))</f>
        <v>0</v>
      </c>
      <c r="U196" s="14" t="n">
        <f aca="false">IF(R196=0,0,VLOOKUP(R196,MIE_Components!$A$2:$F$6,4,FALSE()))</f>
        <v>0</v>
      </c>
      <c r="V196" s="14" t="n">
        <f aca="false">IF(OR($A196="",R196=0),0,MAX(5,R196*IF(OR($A196=Parameters!$B$13,$A196=Parameters!$B$14),0.75,1)-(IF(AND($A196=DATE(2026,11,29),NOV29BF="Yes"),S196,0)+IF(OR($A196=DATE(2026,11,29),$A196=DATE(2026,11,30),$A196=DATE(2026,12,1),$A196=DATE(2026,12,2)),T196,0)+IF(OR($A196=DATE(2026,11,28),$A196=DATE(2026,12,1)),U196,0))))</f>
        <v>0</v>
      </c>
      <c r="W196" s="14" t="n">
        <f aca="false">IF(AND($A196&lt;&gt;"",$A196&lt;Parameters!$B$14),CityData!F5*(1+TAXRATE),0)</f>
        <v>0</v>
      </c>
      <c r="X196" s="14" t="n">
        <f aca="false">IF($A196="",0,IFERROR(VLOOKUP((YEAR($A196)+IF(MONTH($A196)&gt;=10,1,0))&amp;"|Denver|"&amp;MONTH($A196),Rates!$A$2:$I$181,5,FALSE()),0))</f>
        <v>0</v>
      </c>
      <c r="Y196" s="14" t="n">
        <f aca="false">IF(OR($A196="",$A196&gt;=Parameters!$B$14),1,IF(AND(X196&gt;0,CityData!F5&lt;=X196),1,0))</f>
        <v>1</v>
      </c>
      <c r="Z196" s="14" t="n">
        <f aca="false">IF($A196="",0,IFERROR(VLOOKUP((YEAR($A196)+IF(MONTH($A196)&gt;=10,1,0))&amp;"|Phoenix|"&amp;MONTH($A196),Rates!$A$2:$I$181,6,FALSE()),0))</f>
        <v>0</v>
      </c>
      <c r="AA196" s="14" t="n">
        <f aca="false">IF(Z196=0,0,VLOOKUP(Z196,MIE_Components!$A$2:$F$6,2,FALSE()))</f>
        <v>0</v>
      </c>
      <c r="AB196" s="14" t="n">
        <f aca="false">IF(Z196=0,0,VLOOKUP(Z196,MIE_Components!$A$2:$F$6,3,FALSE()))</f>
        <v>0</v>
      </c>
      <c r="AC196" s="14" t="n">
        <f aca="false">IF(Z196=0,0,VLOOKUP(Z196,MIE_Components!$A$2:$F$6,4,FALSE()))</f>
        <v>0</v>
      </c>
      <c r="AD196" s="14" t="n">
        <f aca="false">IF(OR($A196="",Z196=0),0,MAX(5,Z196*IF(OR($A196=Parameters!$B$13,$A196=Parameters!$B$14),0.75,1)-(IF(AND($A196=DATE(2026,11,29),NOV29BF="Yes"),AA196,0)+IF(OR($A196=DATE(2026,11,29),$A196=DATE(2026,11,30),$A196=DATE(2026,12,1),$A196=DATE(2026,12,2)),AB196,0)+IF(OR($A196=DATE(2026,11,28),$A196=DATE(2026,12,1)),AC196,0))))</f>
        <v>0</v>
      </c>
      <c r="AE196" s="14" t="n">
        <f aca="false">IF(AND($A196&lt;&gt;"",$A196&lt;Parameters!$B$14),CityData!F6*(1+TAXRATE),0)</f>
        <v>0</v>
      </c>
      <c r="AF196" s="14" t="n">
        <f aca="false">IF($A196="",0,IFERROR(VLOOKUP((YEAR($A196)+IF(MONTH($A196)&gt;=10,1,0))&amp;"|Phoenix|"&amp;MONTH($A196),Rates!$A$2:$I$181,5,FALSE()),0))</f>
        <v>0</v>
      </c>
      <c r="AG196" s="14" t="n">
        <f aca="false">IF(OR($A196="",$A196&gt;=Parameters!$B$14),1,IF(AND(AF196&gt;0,CityData!F6&lt;=AF196),1,0))</f>
        <v>1</v>
      </c>
      <c r="AH196" s="14" t="n">
        <f aca="false">IF($A196="",0,IFERROR(VLOOKUP((YEAR($A196)+IF(MONTH($A196)&gt;=10,1,0))&amp;"|Seattle|"&amp;MONTH($A196),Rates!$A$2:$I$181,6,FALSE()),0))</f>
        <v>0</v>
      </c>
      <c r="AI196" s="14" t="n">
        <f aca="false">IF(AH196=0,0,VLOOKUP(AH196,MIE_Components!$A$2:$F$6,2,FALSE()))</f>
        <v>0</v>
      </c>
      <c r="AJ196" s="14" t="n">
        <f aca="false">IF(AH196=0,0,VLOOKUP(AH196,MIE_Components!$A$2:$F$6,3,FALSE()))</f>
        <v>0</v>
      </c>
      <c r="AK196" s="14" t="n">
        <f aca="false">IF(AH196=0,0,VLOOKUP(AH196,MIE_Components!$A$2:$F$6,4,FALSE()))</f>
        <v>0</v>
      </c>
      <c r="AL196" s="14" t="n">
        <f aca="false">IF(OR($A196="",AH196=0),0,MAX(5,AH196*IF(OR($A196=Parameters!$B$13,$A196=Parameters!$B$14),0.75,1)-(IF(AND($A196=DATE(2026,11,29),NOV29BF="Yes"),AI196,0)+IF(OR($A196=DATE(2026,11,29),$A196=DATE(2026,11,30),$A196=DATE(2026,12,1),$A196=DATE(2026,12,2)),AJ196,0)+IF(OR($A196=DATE(2026,11,28),$A196=DATE(2026,12,1)),AK196,0))))</f>
        <v>0</v>
      </c>
      <c r="AM196" s="14" t="n">
        <f aca="false">IF(AND($A196&lt;&gt;"",$A196&lt;Parameters!$B$14),CityData!F7*(1+TAXRATE),0)</f>
        <v>0</v>
      </c>
      <c r="AN196" s="14" t="n">
        <f aca="false">IF($A196="",0,IFERROR(VLOOKUP((YEAR($A196)+IF(MONTH($A196)&gt;=10,1,0))&amp;"|Seattle|"&amp;MONTH($A196),Rates!$A$2:$I$181,5,FALSE()),0))</f>
        <v>0</v>
      </c>
      <c r="AO196" s="14" t="n">
        <f aca="false">IF(OR($A196="",$A196&gt;=Parameters!$B$14),1,IF(AND(AN196&gt;0,CityData!F7&lt;=AN196),1,0))</f>
        <v>1</v>
      </c>
    </row>
    <row r="197" customFormat="false" ht="15" hidden="false" customHeight="true" outlineLevel="0" collapsed="false">
      <c r="A197" s="23" t="str">
        <f aca="false">IF(AND(Parameters!$B$14&gt;=Parameters!$B$13,ROW()-2&lt;=Parameters!$B$14-Parameters!$B$13),Parameters!$B$13+ROW()-2,"")</f>
        <v/>
      </c>
      <c r="B197" s="14" t="n">
        <f aca="false">IF($A197="",0,IFERROR(VLOOKUP((YEAR($A197)+IF(MONTH($A197)&gt;=10,1,0))&amp;"|Boston|"&amp;MONTH($A197),Rates!$A$2:$I$181,6,FALSE()),0))</f>
        <v>0</v>
      </c>
      <c r="C197" s="14" t="n">
        <f aca="false">IF(B197=0,0,VLOOKUP(B197,MIE_Components!$A$2:$F$6,2,FALSE()))</f>
        <v>0</v>
      </c>
      <c r="D197" s="14" t="n">
        <f aca="false">IF(B197=0,0,VLOOKUP(B197,MIE_Components!$A$2:$F$6,3,FALSE()))</f>
        <v>0</v>
      </c>
      <c r="E197" s="14" t="n">
        <f aca="false">IF(B197=0,0,VLOOKUP(B197,MIE_Components!$A$2:$F$6,4,FALSE()))</f>
        <v>0</v>
      </c>
      <c r="F197" s="14" t="n">
        <f aca="false">IF(OR($A197="",B197=0),0,MAX(5,B197*IF(OR($A197=Parameters!$B$13,$A197=Parameters!$B$14),0.75,1)-(IF(AND($A197=DATE(2026,11,29),NOV29BF="Yes"),C197,0)+IF(OR($A197=DATE(2026,11,29),$A197=DATE(2026,11,30),$A197=DATE(2026,12,1),$A197=DATE(2026,12,2)),D197,0)+IF(OR($A197=DATE(2026,11,28),$A197=DATE(2026,12,1)),E197,0))))</f>
        <v>0</v>
      </c>
      <c r="G197" s="14" t="n">
        <f aca="false">IF(AND($A197&lt;&gt;"",$A197&lt;Parameters!$B$14),CityData!F3*(1+TAXRATE),0)</f>
        <v>0</v>
      </c>
      <c r="H197" s="14" t="n">
        <f aca="false">IF($A197="",0,IFERROR(VLOOKUP((YEAR($A197)+IF(MONTH($A197)&gt;=10,1,0))&amp;"|Boston|"&amp;MONTH($A197),Rates!$A$2:$I$181,5,FALSE()),0))</f>
        <v>0</v>
      </c>
      <c r="I197" s="14" t="n">
        <f aca="false">IF(OR($A197="",$A197&gt;=Parameters!$B$14),1,IF(AND(H197&gt;0,CityData!F3&lt;=H197),1,0))</f>
        <v>1</v>
      </c>
      <c r="J197" s="14" t="n">
        <f aca="false">IF($A197="",0,IFERROR(VLOOKUP((YEAR($A197)+IF(MONTH($A197)&gt;=10,1,0))&amp;"|Chicago|"&amp;MONTH($A197),Rates!$A$2:$I$181,6,FALSE()),0))</f>
        <v>0</v>
      </c>
      <c r="K197" s="14" t="n">
        <f aca="false">IF(J197=0,0,VLOOKUP(J197,MIE_Components!$A$2:$F$6,2,FALSE()))</f>
        <v>0</v>
      </c>
      <c r="L197" s="14" t="n">
        <f aca="false">IF(J197=0,0,VLOOKUP(J197,MIE_Components!$A$2:$F$6,3,FALSE()))</f>
        <v>0</v>
      </c>
      <c r="M197" s="14" t="n">
        <f aca="false">IF(J197=0,0,VLOOKUP(J197,MIE_Components!$A$2:$F$6,4,FALSE()))</f>
        <v>0</v>
      </c>
      <c r="N197" s="14" t="n">
        <f aca="false">IF(OR($A197="",J197=0),0,MAX(5,J197*IF(OR($A197=Parameters!$B$13,$A197=Parameters!$B$14),0.75,1)-(IF(AND($A197=DATE(2026,11,29),NOV29BF="Yes"),K197,0)+IF(OR($A197=DATE(2026,11,29),$A197=DATE(2026,11,30),$A197=DATE(2026,12,1),$A197=DATE(2026,12,2)),L197,0)+IF(OR($A197=DATE(2026,11,28),$A197=DATE(2026,12,1)),M197,0))))</f>
        <v>0</v>
      </c>
      <c r="O197" s="14" t="n">
        <f aca="false">IF(AND($A197&lt;&gt;"",$A197&lt;Parameters!$B$14),CityData!F4*(1+TAXRATE),0)</f>
        <v>0</v>
      </c>
      <c r="P197" s="14" t="n">
        <f aca="false">IF($A197="",0,IFERROR(VLOOKUP((YEAR($A197)+IF(MONTH($A197)&gt;=10,1,0))&amp;"|Chicago|"&amp;MONTH($A197),Rates!$A$2:$I$181,5,FALSE()),0))</f>
        <v>0</v>
      </c>
      <c r="Q197" s="14" t="n">
        <f aca="false">IF(OR($A197="",$A197&gt;=Parameters!$B$14),1,IF(AND(P197&gt;0,CityData!F4&lt;=P197),1,0))</f>
        <v>1</v>
      </c>
      <c r="R197" s="14" t="n">
        <f aca="false">IF($A197="",0,IFERROR(VLOOKUP((YEAR($A197)+IF(MONTH($A197)&gt;=10,1,0))&amp;"|Denver|"&amp;MONTH($A197),Rates!$A$2:$I$181,6,FALSE()),0))</f>
        <v>0</v>
      </c>
      <c r="S197" s="14" t="n">
        <f aca="false">IF(R197=0,0,VLOOKUP(R197,MIE_Components!$A$2:$F$6,2,FALSE()))</f>
        <v>0</v>
      </c>
      <c r="T197" s="14" t="n">
        <f aca="false">IF(R197=0,0,VLOOKUP(R197,MIE_Components!$A$2:$F$6,3,FALSE()))</f>
        <v>0</v>
      </c>
      <c r="U197" s="14" t="n">
        <f aca="false">IF(R197=0,0,VLOOKUP(R197,MIE_Components!$A$2:$F$6,4,FALSE()))</f>
        <v>0</v>
      </c>
      <c r="V197" s="14" t="n">
        <f aca="false">IF(OR($A197="",R197=0),0,MAX(5,R197*IF(OR($A197=Parameters!$B$13,$A197=Parameters!$B$14),0.75,1)-(IF(AND($A197=DATE(2026,11,29),NOV29BF="Yes"),S197,0)+IF(OR($A197=DATE(2026,11,29),$A197=DATE(2026,11,30),$A197=DATE(2026,12,1),$A197=DATE(2026,12,2)),T197,0)+IF(OR($A197=DATE(2026,11,28),$A197=DATE(2026,12,1)),U197,0))))</f>
        <v>0</v>
      </c>
      <c r="W197" s="14" t="n">
        <f aca="false">IF(AND($A197&lt;&gt;"",$A197&lt;Parameters!$B$14),CityData!F5*(1+TAXRATE),0)</f>
        <v>0</v>
      </c>
      <c r="X197" s="14" t="n">
        <f aca="false">IF($A197="",0,IFERROR(VLOOKUP((YEAR($A197)+IF(MONTH($A197)&gt;=10,1,0))&amp;"|Denver|"&amp;MONTH($A197),Rates!$A$2:$I$181,5,FALSE()),0))</f>
        <v>0</v>
      </c>
      <c r="Y197" s="14" t="n">
        <f aca="false">IF(OR($A197="",$A197&gt;=Parameters!$B$14),1,IF(AND(X197&gt;0,CityData!F5&lt;=X197),1,0))</f>
        <v>1</v>
      </c>
      <c r="Z197" s="14" t="n">
        <f aca="false">IF($A197="",0,IFERROR(VLOOKUP((YEAR($A197)+IF(MONTH($A197)&gt;=10,1,0))&amp;"|Phoenix|"&amp;MONTH($A197),Rates!$A$2:$I$181,6,FALSE()),0))</f>
        <v>0</v>
      </c>
      <c r="AA197" s="14" t="n">
        <f aca="false">IF(Z197=0,0,VLOOKUP(Z197,MIE_Components!$A$2:$F$6,2,FALSE()))</f>
        <v>0</v>
      </c>
      <c r="AB197" s="14" t="n">
        <f aca="false">IF(Z197=0,0,VLOOKUP(Z197,MIE_Components!$A$2:$F$6,3,FALSE()))</f>
        <v>0</v>
      </c>
      <c r="AC197" s="14" t="n">
        <f aca="false">IF(Z197=0,0,VLOOKUP(Z197,MIE_Components!$A$2:$F$6,4,FALSE()))</f>
        <v>0</v>
      </c>
      <c r="AD197" s="14" t="n">
        <f aca="false">IF(OR($A197="",Z197=0),0,MAX(5,Z197*IF(OR($A197=Parameters!$B$13,$A197=Parameters!$B$14),0.75,1)-(IF(AND($A197=DATE(2026,11,29),NOV29BF="Yes"),AA197,0)+IF(OR($A197=DATE(2026,11,29),$A197=DATE(2026,11,30),$A197=DATE(2026,12,1),$A197=DATE(2026,12,2)),AB197,0)+IF(OR($A197=DATE(2026,11,28),$A197=DATE(2026,12,1)),AC197,0))))</f>
        <v>0</v>
      </c>
      <c r="AE197" s="14" t="n">
        <f aca="false">IF(AND($A197&lt;&gt;"",$A197&lt;Parameters!$B$14),CityData!F6*(1+TAXRATE),0)</f>
        <v>0</v>
      </c>
      <c r="AF197" s="14" t="n">
        <f aca="false">IF($A197="",0,IFERROR(VLOOKUP((YEAR($A197)+IF(MONTH($A197)&gt;=10,1,0))&amp;"|Phoenix|"&amp;MONTH($A197),Rates!$A$2:$I$181,5,FALSE()),0))</f>
        <v>0</v>
      </c>
      <c r="AG197" s="14" t="n">
        <f aca="false">IF(OR($A197="",$A197&gt;=Parameters!$B$14),1,IF(AND(AF197&gt;0,CityData!F6&lt;=AF197),1,0))</f>
        <v>1</v>
      </c>
      <c r="AH197" s="14" t="n">
        <f aca="false">IF($A197="",0,IFERROR(VLOOKUP((YEAR($A197)+IF(MONTH($A197)&gt;=10,1,0))&amp;"|Seattle|"&amp;MONTH($A197),Rates!$A$2:$I$181,6,FALSE()),0))</f>
        <v>0</v>
      </c>
      <c r="AI197" s="14" t="n">
        <f aca="false">IF(AH197=0,0,VLOOKUP(AH197,MIE_Components!$A$2:$F$6,2,FALSE()))</f>
        <v>0</v>
      </c>
      <c r="AJ197" s="14" t="n">
        <f aca="false">IF(AH197=0,0,VLOOKUP(AH197,MIE_Components!$A$2:$F$6,3,FALSE()))</f>
        <v>0</v>
      </c>
      <c r="AK197" s="14" t="n">
        <f aca="false">IF(AH197=0,0,VLOOKUP(AH197,MIE_Components!$A$2:$F$6,4,FALSE()))</f>
        <v>0</v>
      </c>
      <c r="AL197" s="14" t="n">
        <f aca="false">IF(OR($A197="",AH197=0),0,MAX(5,AH197*IF(OR($A197=Parameters!$B$13,$A197=Parameters!$B$14),0.75,1)-(IF(AND($A197=DATE(2026,11,29),NOV29BF="Yes"),AI197,0)+IF(OR($A197=DATE(2026,11,29),$A197=DATE(2026,11,30),$A197=DATE(2026,12,1),$A197=DATE(2026,12,2)),AJ197,0)+IF(OR($A197=DATE(2026,11,28),$A197=DATE(2026,12,1)),AK197,0))))</f>
        <v>0</v>
      </c>
      <c r="AM197" s="14" t="n">
        <f aca="false">IF(AND($A197&lt;&gt;"",$A197&lt;Parameters!$B$14),CityData!F7*(1+TAXRATE),0)</f>
        <v>0</v>
      </c>
      <c r="AN197" s="14" t="n">
        <f aca="false">IF($A197="",0,IFERROR(VLOOKUP((YEAR($A197)+IF(MONTH($A197)&gt;=10,1,0))&amp;"|Seattle|"&amp;MONTH($A197),Rates!$A$2:$I$181,5,FALSE()),0))</f>
        <v>0</v>
      </c>
      <c r="AO197" s="14" t="n">
        <f aca="false">IF(OR($A197="",$A197&gt;=Parameters!$B$14),1,IF(AND(AN197&gt;0,CityData!F7&lt;=AN197),1,0))</f>
        <v>1</v>
      </c>
    </row>
    <row r="198" customFormat="false" ht="15" hidden="false" customHeight="true" outlineLevel="0" collapsed="false">
      <c r="A198" s="23" t="str">
        <f aca="false">IF(AND(Parameters!$B$14&gt;=Parameters!$B$13,ROW()-2&lt;=Parameters!$B$14-Parameters!$B$13),Parameters!$B$13+ROW()-2,"")</f>
        <v/>
      </c>
      <c r="B198" s="14" t="n">
        <f aca="false">IF($A198="",0,IFERROR(VLOOKUP((YEAR($A198)+IF(MONTH($A198)&gt;=10,1,0))&amp;"|Boston|"&amp;MONTH($A198),Rates!$A$2:$I$181,6,FALSE()),0))</f>
        <v>0</v>
      </c>
      <c r="C198" s="14" t="n">
        <f aca="false">IF(B198=0,0,VLOOKUP(B198,MIE_Components!$A$2:$F$6,2,FALSE()))</f>
        <v>0</v>
      </c>
      <c r="D198" s="14" t="n">
        <f aca="false">IF(B198=0,0,VLOOKUP(B198,MIE_Components!$A$2:$F$6,3,FALSE()))</f>
        <v>0</v>
      </c>
      <c r="E198" s="14" t="n">
        <f aca="false">IF(B198=0,0,VLOOKUP(B198,MIE_Components!$A$2:$F$6,4,FALSE()))</f>
        <v>0</v>
      </c>
      <c r="F198" s="14" t="n">
        <f aca="false">IF(OR($A198="",B198=0),0,MAX(5,B198*IF(OR($A198=Parameters!$B$13,$A198=Parameters!$B$14),0.75,1)-(IF(AND($A198=DATE(2026,11,29),NOV29BF="Yes"),C198,0)+IF(OR($A198=DATE(2026,11,29),$A198=DATE(2026,11,30),$A198=DATE(2026,12,1),$A198=DATE(2026,12,2)),D198,0)+IF(OR($A198=DATE(2026,11,28),$A198=DATE(2026,12,1)),E198,0))))</f>
        <v>0</v>
      </c>
      <c r="G198" s="14" t="n">
        <f aca="false">IF(AND($A198&lt;&gt;"",$A198&lt;Parameters!$B$14),CityData!F3*(1+TAXRATE),0)</f>
        <v>0</v>
      </c>
      <c r="H198" s="14" t="n">
        <f aca="false">IF($A198="",0,IFERROR(VLOOKUP((YEAR($A198)+IF(MONTH($A198)&gt;=10,1,0))&amp;"|Boston|"&amp;MONTH($A198),Rates!$A$2:$I$181,5,FALSE()),0))</f>
        <v>0</v>
      </c>
      <c r="I198" s="14" t="n">
        <f aca="false">IF(OR($A198="",$A198&gt;=Parameters!$B$14),1,IF(AND(H198&gt;0,CityData!F3&lt;=H198),1,0))</f>
        <v>1</v>
      </c>
      <c r="J198" s="14" t="n">
        <f aca="false">IF($A198="",0,IFERROR(VLOOKUP((YEAR($A198)+IF(MONTH($A198)&gt;=10,1,0))&amp;"|Chicago|"&amp;MONTH($A198),Rates!$A$2:$I$181,6,FALSE()),0))</f>
        <v>0</v>
      </c>
      <c r="K198" s="14" t="n">
        <f aca="false">IF(J198=0,0,VLOOKUP(J198,MIE_Components!$A$2:$F$6,2,FALSE()))</f>
        <v>0</v>
      </c>
      <c r="L198" s="14" t="n">
        <f aca="false">IF(J198=0,0,VLOOKUP(J198,MIE_Components!$A$2:$F$6,3,FALSE()))</f>
        <v>0</v>
      </c>
      <c r="M198" s="14" t="n">
        <f aca="false">IF(J198=0,0,VLOOKUP(J198,MIE_Components!$A$2:$F$6,4,FALSE()))</f>
        <v>0</v>
      </c>
      <c r="N198" s="14" t="n">
        <f aca="false">IF(OR($A198="",J198=0),0,MAX(5,J198*IF(OR($A198=Parameters!$B$13,$A198=Parameters!$B$14),0.75,1)-(IF(AND($A198=DATE(2026,11,29),NOV29BF="Yes"),K198,0)+IF(OR($A198=DATE(2026,11,29),$A198=DATE(2026,11,30),$A198=DATE(2026,12,1),$A198=DATE(2026,12,2)),L198,0)+IF(OR($A198=DATE(2026,11,28),$A198=DATE(2026,12,1)),M198,0))))</f>
        <v>0</v>
      </c>
      <c r="O198" s="14" t="n">
        <f aca="false">IF(AND($A198&lt;&gt;"",$A198&lt;Parameters!$B$14),CityData!F4*(1+TAXRATE),0)</f>
        <v>0</v>
      </c>
      <c r="P198" s="14" t="n">
        <f aca="false">IF($A198="",0,IFERROR(VLOOKUP((YEAR($A198)+IF(MONTH($A198)&gt;=10,1,0))&amp;"|Chicago|"&amp;MONTH($A198),Rates!$A$2:$I$181,5,FALSE()),0))</f>
        <v>0</v>
      </c>
      <c r="Q198" s="14" t="n">
        <f aca="false">IF(OR($A198="",$A198&gt;=Parameters!$B$14),1,IF(AND(P198&gt;0,CityData!F4&lt;=P198),1,0))</f>
        <v>1</v>
      </c>
      <c r="R198" s="14" t="n">
        <f aca="false">IF($A198="",0,IFERROR(VLOOKUP((YEAR($A198)+IF(MONTH($A198)&gt;=10,1,0))&amp;"|Denver|"&amp;MONTH($A198),Rates!$A$2:$I$181,6,FALSE()),0))</f>
        <v>0</v>
      </c>
      <c r="S198" s="14" t="n">
        <f aca="false">IF(R198=0,0,VLOOKUP(R198,MIE_Components!$A$2:$F$6,2,FALSE()))</f>
        <v>0</v>
      </c>
      <c r="T198" s="14" t="n">
        <f aca="false">IF(R198=0,0,VLOOKUP(R198,MIE_Components!$A$2:$F$6,3,FALSE()))</f>
        <v>0</v>
      </c>
      <c r="U198" s="14" t="n">
        <f aca="false">IF(R198=0,0,VLOOKUP(R198,MIE_Components!$A$2:$F$6,4,FALSE()))</f>
        <v>0</v>
      </c>
      <c r="V198" s="14" t="n">
        <f aca="false">IF(OR($A198="",R198=0),0,MAX(5,R198*IF(OR($A198=Parameters!$B$13,$A198=Parameters!$B$14),0.75,1)-(IF(AND($A198=DATE(2026,11,29),NOV29BF="Yes"),S198,0)+IF(OR($A198=DATE(2026,11,29),$A198=DATE(2026,11,30),$A198=DATE(2026,12,1),$A198=DATE(2026,12,2)),T198,0)+IF(OR($A198=DATE(2026,11,28),$A198=DATE(2026,12,1)),U198,0))))</f>
        <v>0</v>
      </c>
      <c r="W198" s="14" t="n">
        <f aca="false">IF(AND($A198&lt;&gt;"",$A198&lt;Parameters!$B$14),CityData!F5*(1+TAXRATE),0)</f>
        <v>0</v>
      </c>
      <c r="X198" s="14" t="n">
        <f aca="false">IF($A198="",0,IFERROR(VLOOKUP((YEAR($A198)+IF(MONTH($A198)&gt;=10,1,0))&amp;"|Denver|"&amp;MONTH($A198),Rates!$A$2:$I$181,5,FALSE()),0))</f>
        <v>0</v>
      </c>
      <c r="Y198" s="14" t="n">
        <f aca="false">IF(OR($A198="",$A198&gt;=Parameters!$B$14),1,IF(AND(X198&gt;0,CityData!F5&lt;=X198),1,0))</f>
        <v>1</v>
      </c>
      <c r="Z198" s="14" t="n">
        <f aca="false">IF($A198="",0,IFERROR(VLOOKUP((YEAR($A198)+IF(MONTH($A198)&gt;=10,1,0))&amp;"|Phoenix|"&amp;MONTH($A198),Rates!$A$2:$I$181,6,FALSE()),0))</f>
        <v>0</v>
      </c>
      <c r="AA198" s="14" t="n">
        <f aca="false">IF(Z198=0,0,VLOOKUP(Z198,MIE_Components!$A$2:$F$6,2,FALSE()))</f>
        <v>0</v>
      </c>
      <c r="AB198" s="14" t="n">
        <f aca="false">IF(Z198=0,0,VLOOKUP(Z198,MIE_Components!$A$2:$F$6,3,FALSE()))</f>
        <v>0</v>
      </c>
      <c r="AC198" s="14" t="n">
        <f aca="false">IF(Z198=0,0,VLOOKUP(Z198,MIE_Components!$A$2:$F$6,4,FALSE()))</f>
        <v>0</v>
      </c>
      <c r="AD198" s="14" t="n">
        <f aca="false">IF(OR($A198="",Z198=0),0,MAX(5,Z198*IF(OR($A198=Parameters!$B$13,$A198=Parameters!$B$14),0.75,1)-(IF(AND($A198=DATE(2026,11,29),NOV29BF="Yes"),AA198,0)+IF(OR($A198=DATE(2026,11,29),$A198=DATE(2026,11,30),$A198=DATE(2026,12,1),$A198=DATE(2026,12,2)),AB198,0)+IF(OR($A198=DATE(2026,11,28),$A198=DATE(2026,12,1)),AC198,0))))</f>
        <v>0</v>
      </c>
      <c r="AE198" s="14" t="n">
        <f aca="false">IF(AND($A198&lt;&gt;"",$A198&lt;Parameters!$B$14),CityData!F6*(1+TAXRATE),0)</f>
        <v>0</v>
      </c>
      <c r="AF198" s="14" t="n">
        <f aca="false">IF($A198="",0,IFERROR(VLOOKUP((YEAR($A198)+IF(MONTH($A198)&gt;=10,1,0))&amp;"|Phoenix|"&amp;MONTH($A198),Rates!$A$2:$I$181,5,FALSE()),0))</f>
        <v>0</v>
      </c>
      <c r="AG198" s="14" t="n">
        <f aca="false">IF(OR($A198="",$A198&gt;=Parameters!$B$14),1,IF(AND(AF198&gt;0,CityData!F6&lt;=AF198),1,0))</f>
        <v>1</v>
      </c>
      <c r="AH198" s="14" t="n">
        <f aca="false">IF($A198="",0,IFERROR(VLOOKUP((YEAR($A198)+IF(MONTH($A198)&gt;=10,1,0))&amp;"|Seattle|"&amp;MONTH($A198),Rates!$A$2:$I$181,6,FALSE()),0))</f>
        <v>0</v>
      </c>
      <c r="AI198" s="14" t="n">
        <f aca="false">IF(AH198=0,0,VLOOKUP(AH198,MIE_Components!$A$2:$F$6,2,FALSE()))</f>
        <v>0</v>
      </c>
      <c r="AJ198" s="14" t="n">
        <f aca="false">IF(AH198=0,0,VLOOKUP(AH198,MIE_Components!$A$2:$F$6,3,FALSE()))</f>
        <v>0</v>
      </c>
      <c r="AK198" s="14" t="n">
        <f aca="false">IF(AH198=0,0,VLOOKUP(AH198,MIE_Components!$A$2:$F$6,4,FALSE()))</f>
        <v>0</v>
      </c>
      <c r="AL198" s="14" t="n">
        <f aca="false">IF(OR($A198="",AH198=0),0,MAX(5,AH198*IF(OR($A198=Parameters!$B$13,$A198=Parameters!$B$14),0.75,1)-(IF(AND($A198=DATE(2026,11,29),NOV29BF="Yes"),AI198,0)+IF(OR($A198=DATE(2026,11,29),$A198=DATE(2026,11,30),$A198=DATE(2026,12,1),$A198=DATE(2026,12,2)),AJ198,0)+IF(OR($A198=DATE(2026,11,28),$A198=DATE(2026,12,1)),AK198,0))))</f>
        <v>0</v>
      </c>
      <c r="AM198" s="14" t="n">
        <f aca="false">IF(AND($A198&lt;&gt;"",$A198&lt;Parameters!$B$14),CityData!F7*(1+TAXRATE),0)</f>
        <v>0</v>
      </c>
      <c r="AN198" s="14" t="n">
        <f aca="false">IF($A198="",0,IFERROR(VLOOKUP((YEAR($A198)+IF(MONTH($A198)&gt;=10,1,0))&amp;"|Seattle|"&amp;MONTH($A198),Rates!$A$2:$I$181,5,FALSE()),0))</f>
        <v>0</v>
      </c>
      <c r="AO198" s="14" t="n">
        <f aca="false">IF(OR($A198="",$A198&gt;=Parameters!$B$14),1,IF(AND(AN198&gt;0,CityData!F7&lt;=AN198),1,0))</f>
        <v>1</v>
      </c>
    </row>
    <row r="199" customFormat="false" ht="15" hidden="false" customHeight="true" outlineLevel="0" collapsed="false">
      <c r="A199" s="23" t="str">
        <f aca="false">IF(AND(Parameters!$B$14&gt;=Parameters!$B$13,ROW()-2&lt;=Parameters!$B$14-Parameters!$B$13),Parameters!$B$13+ROW()-2,"")</f>
        <v/>
      </c>
      <c r="B199" s="14" t="n">
        <f aca="false">IF($A199="",0,IFERROR(VLOOKUP((YEAR($A199)+IF(MONTH($A199)&gt;=10,1,0))&amp;"|Boston|"&amp;MONTH($A199),Rates!$A$2:$I$181,6,FALSE()),0))</f>
        <v>0</v>
      </c>
      <c r="C199" s="14" t="n">
        <f aca="false">IF(B199=0,0,VLOOKUP(B199,MIE_Components!$A$2:$F$6,2,FALSE()))</f>
        <v>0</v>
      </c>
      <c r="D199" s="14" t="n">
        <f aca="false">IF(B199=0,0,VLOOKUP(B199,MIE_Components!$A$2:$F$6,3,FALSE()))</f>
        <v>0</v>
      </c>
      <c r="E199" s="14" t="n">
        <f aca="false">IF(B199=0,0,VLOOKUP(B199,MIE_Components!$A$2:$F$6,4,FALSE()))</f>
        <v>0</v>
      </c>
      <c r="F199" s="14" t="n">
        <f aca="false">IF(OR($A199="",B199=0),0,MAX(5,B199*IF(OR($A199=Parameters!$B$13,$A199=Parameters!$B$14),0.75,1)-(IF(AND($A199=DATE(2026,11,29),NOV29BF="Yes"),C199,0)+IF(OR($A199=DATE(2026,11,29),$A199=DATE(2026,11,30),$A199=DATE(2026,12,1),$A199=DATE(2026,12,2)),D199,0)+IF(OR($A199=DATE(2026,11,28),$A199=DATE(2026,12,1)),E199,0))))</f>
        <v>0</v>
      </c>
      <c r="G199" s="14" t="n">
        <f aca="false">IF(AND($A199&lt;&gt;"",$A199&lt;Parameters!$B$14),CityData!F3*(1+TAXRATE),0)</f>
        <v>0</v>
      </c>
      <c r="H199" s="14" t="n">
        <f aca="false">IF($A199="",0,IFERROR(VLOOKUP((YEAR($A199)+IF(MONTH($A199)&gt;=10,1,0))&amp;"|Boston|"&amp;MONTH($A199),Rates!$A$2:$I$181,5,FALSE()),0))</f>
        <v>0</v>
      </c>
      <c r="I199" s="14" t="n">
        <f aca="false">IF(OR($A199="",$A199&gt;=Parameters!$B$14),1,IF(AND(H199&gt;0,CityData!F3&lt;=H199),1,0))</f>
        <v>1</v>
      </c>
      <c r="J199" s="14" t="n">
        <f aca="false">IF($A199="",0,IFERROR(VLOOKUP((YEAR($A199)+IF(MONTH($A199)&gt;=10,1,0))&amp;"|Chicago|"&amp;MONTH($A199),Rates!$A$2:$I$181,6,FALSE()),0))</f>
        <v>0</v>
      </c>
      <c r="K199" s="14" t="n">
        <f aca="false">IF(J199=0,0,VLOOKUP(J199,MIE_Components!$A$2:$F$6,2,FALSE()))</f>
        <v>0</v>
      </c>
      <c r="L199" s="14" t="n">
        <f aca="false">IF(J199=0,0,VLOOKUP(J199,MIE_Components!$A$2:$F$6,3,FALSE()))</f>
        <v>0</v>
      </c>
      <c r="M199" s="14" t="n">
        <f aca="false">IF(J199=0,0,VLOOKUP(J199,MIE_Components!$A$2:$F$6,4,FALSE()))</f>
        <v>0</v>
      </c>
      <c r="N199" s="14" t="n">
        <f aca="false">IF(OR($A199="",J199=0),0,MAX(5,J199*IF(OR($A199=Parameters!$B$13,$A199=Parameters!$B$14),0.75,1)-(IF(AND($A199=DATE(2026,11,29),NOV29BF="Yes"),K199,0)+IF(OR($A199=DATE(2026,11,29),$A199=DATE(2026,11,30),$A199=DATE(2026,12,1),$A199=DATE(2026,12,2)),L199,0)+IF(OR($A199=DATE(2026,11,28),$A199=DATE(2026,12,1)),M199,0))))</f>
        <v>0</v>
      </c>
      <c r="O199" s="14" t="n">
        <f aca="false">IF(AND($A199&lt;&gt;"",$A199&lt;Parameters!$B$14),CityData!F4*(1+TAXRATE),0)</f>
        <v>0</v>
      </c>
      <c r="P199" s="14" t="n">
        <f aca="false">IF($A199="",0,IFERROR(VLOOKUP((YEAR($A199)+IF(MONTH($A199)&gt;=10,1,0))&amp;"|Chicago|"&amp;MONTH($A199),Rates!$A$2:$I$181,5,FALSE()),0))</f>
        <v>0</v>
      </c>
      <c r="Q199" s="14" t="n">
        <f aca="false">IF(OR($A199="",$A199&gt;=Parameters!$B$14),1,IF(AND(P199&gt;0,CityData!F4&lt;=P199),1,0))</f>
        <v>1</v>
      </c>
      <c r="R199" s="14" t="n">
        <f aca="false">IF($A199="",0,IFERROR(VLOOKUP((YEAR($A199)+IF(MONTH($A199)&gt;=10,1,0))&amp;"|Denver|"&amp;MONTH($A199),Rates!$A$2:$I$181,6,FALSE()),0))</f>
        <v>0</v>
      </c>
      <c r="S199" s="14" t="n">
        <f aca="false">IF(R199=0,0,VLOOKUP(R199,MIE_Components!$A$2:$F$6,2,FALSE()))</f>
        <v>0</v>
      </c>
      <c r="T199" s="14" t="n">
        <f aca="false">IF(R199=0,0,VLOOKUP(R199,MIE_Components!$A$2:$F$6,3,FALSE()))</f>
        <v>0</v>
      </c>
      <c r="U199" s="14" t="n">
        <f aca="false">IF(R199=0,0,VLOOKUP(R199,MIE_Components!$A$2:$F$6,4,FALSE()))</f>
        <v>0</v>
      </c>
      <c r="V199" s="14" t="n">
        <f aca="false">IF(OR($A199="",R199=0),0,MAX(5,R199*IF(OR($A199=Parameters!$B$13,$A199=Parameters!$B$14),0.75,1)-(IF(AND($A199=DATE(2026,11,29),NOV29BF="Yes"),S199,0)+IF(OR($A199=DATE(2026,11,29),$A199=DATE(2026,11,30),$A199=DATE(2026,12,1),$A199=DATE(2026,12,2)),T199,0)+IF(OR($A199=DATE(2026,11,28),$A199=DATE(2026,12,1)),U199,0))))</f>
        <v>0</v>
      </c>
      <c r="W199" s="14" t="n">
        <f aca="false">IF(AND($A199&lt;&gt;"",$A199&lt;Parameters!$B$14),CityData!F5*(1+TAXRATE),0)</f>
        <v>0</v>
      </c>
      <c r="X199" s="14" t="n">
        <f aca="false">IF($A199="",0,IFERROR(VLOOKUP((YEAR($A199)+IF(MONTH($A199)&gt;=10,1,0))&amp;"|Denver|"&amp;MONTH($A199),Rates!$A$2:$I$181,5,FALSE()),0))</f>
        <v>0</v>
      </c>
      <c r="Y199" s="14" t="n">
        <f aca="false">IF(OR($A199="",$A199&gt;=Parameters!$B$14),1,IF(AND(X199&gt;0,CityData!F5&lt;=X199),1,0))</f>
        <v>1</v>
      </c>
      <c r="Z199" s="14" t="n">
        <f aca="false">IF($A199="",0,IFERROR(VLOOKUP((YEAR($A199)+IF(MONTH($A199)&gt;=10,1,0))&amp;"|Phoenix|"&amp;MONTH($A199),Rates!$A$2:$I$181,6,FALSE()),0))</f>
        <v>0</v>
      </c>
      <c r="AA199" s="14" t="n">
        <f aca="false">IF(Z199=0,0,VLOOKUP(Z199,MIE_Components!$A$2:$F$6,2,FALSE()))</f>
        <v>0</v>
      </c>
      <c r="AB199" s="14" t="n">
        <f aca="false">IF(Z199=0,0,VLOOKUP(Z199,MIE_Components!$A$2:$F$6,3,FALSE()))</f>
        <v>0</v>
      </c>
      <c r="AC199" s="14" t="n">
        <f aca="false">IF(Z199=0,0,VLOOKUP(Z199,MIE_Components!$A$2:$F$6,4,FALSE()))</f>
        <v>0</v>
      </c>
      <c r="AD199" s="14" t="n">
        <f aca="false">IF(OR($A199="",Z199=0),0,MAX(5,Z199*IF(OR($A199=Parameters!$B$13,$A199=Parameters!$B$14),0.75,1)-(IF(AND($A199=DATE(2026,11,29),NOV29BF="Yes"),AA199,0)+IF(OR($A199=DATE(2026,11,29),$A199=DATE(2026,11,30),$A199=DATE(2026,12,1),$A199=DATE(2026,12,2)),AB199,0)+IF(OR($A199=DATE(2026,11,28),$A199=DATE(2026,12,1)),AC199,0))))</f>
        <v>0</v>
      </c>
      <c r="AE199" s="14" t="n">
        <f aca="false">IF(AND($A199&lt;&gt;"",$A199&lt;Parameters!$B$14),CityData!F6*(1+TAXRATE),0)</f>
        <v>0</v>
      </c>
      <c r="AF199" s="14" t="n">
        <f aca="false">IF($A199="",0,IFERROR(VLOOKUP((YEAR($A199)+IF(MONTH($A199)&gt;=10,1,0))&amp;"|Phoenix|"&amp;MONTH($A199),Rates!$A$2:$I$181,5,FALSE()),0))</f>
        <v>0</v>
      </c>
      <c r="AG199" s="14" t="n">
        <f aca="false">IF(OR($A199="",$A199&gt;=Parameters!$B$14),1,IF(AND(AF199&gt;0,CityData!F6&lt;=AF199),1,0))</f>
        <v>1</v>
      </c>
      <c r="AH199" s="14" t="n">
        <f aca="false">IF($A199="",0,IFERROR(VLOOKUP((YEAR($A199)+IF(MONTH($A199)&gt;=10,1,0))&amp;"|Seattle|"&amp;MONTH($A199),Rates!$A$2:$I$181,6,FALSE()),0))</f>
        <v>0</v>
      </c>
      <c r="AI199" s="14" t="n">
        <f aca="false">IF(AH199=0,0,VLOOKUP(AH199,MIE_Components!$A$2:$F$6,2,FALSE()))</f>
        <v>0</v>
      </c>
      <c r="AJ199" s="14" t="n">
        <f aca="false">IF(AH199=0,0,VLOOKUP(AH199,MIE_Components!$A$2:$F$6,3,FALSE()))</f>
        <v>0</v>
      </c>
      <c r="AK199" s="14" t="n">
        <f aca="false">IF(AH199=0,0,VLOOKUP(AH199,MIE_Components!$A$2:$F$6,4,FALSE()))</f>
        <v>0</v>
      </c>
      <c r="AL199" s="14" t="n">
        <f aca="false">IF(OR($A199="",AH199=0),0,MAX(5,AH199*IF(OR($A199=Parameters!$B$13,$A199=Parameters!$B$14),0.75,1)-(IF(AND($A199=DATE(2026,11,29),NOV29BF="Yes"),AI199,0)+IF(OR($A199=DATE(2026,11,29),$A199=DATE(2026,11,30),$A199=DATE(2026,12,1),$A199=DATE(2026,12,2)),AJ199,0)+IF(OR($A199=DATE(2026,11,28),$A199=DATE(2026,12,1)),AK199,0))))</f>
        <v>0</v>
      </c>
      <c r="AM199" s="14" t="n">
        <f aca="false">IF(AND($A199&lt;&gt;"",$A199&lt;Parameters!$B$14),CityData!F7*(1+TAXRATE),0)</f>
        <v>0</v>
      </c>
      <c r="AN199" s="14" t="n">
        <f aca="false">IF($A199="",0,IFERROR(VLOOKUP((YEAR($A199)+IF(MONTH($A199)&gt;=10,1,0))&amp;"|Seattle|"&amp;MONTH($A199),Rates!$A$2:$I$181,5,FALSE()),0))</f>
        <v>0</v>
      </c>
      <c r="AO199" s="14" t="n">
        <f aca="false">IF(OR($A199="",$A199&gt;=Parameters!$B$14),1,IF(AND(AN199&gt;0,CityData!F7&lt;=AN199),1,0))</f>
        <v>1</v>
      </c>
    </row>
    <row r="200" customFormat="false" ht="15" hidden="false" customHeight="true" outlineLevel="0" collapsed="false">
      <c r="A200" s="23" t="str">
        <f aca="false">IF(AND(Parameters!$B$14&gt;=Parameters!$B$13,ROW()-2&lt;=Parameters!$B$14-Parameters!$B$13),Parameters!$B$13+ROW()-2,"")</f>
        <v/>
      </c>
      <c r="B200" s="14" t="n">
        <f aca="false">IF($A200="",0,IFERROR(VLOOKUP((YEAR($A200)+IF(MONTH($A200)&gt;=10,1,0))&amp;"|Boston|"&amp;MONTH($A200),Rates!$A$2:$I$181,6,FALSE()),0))</f>
        <v>0</v>
      </c>
      <c r="C200" s="14" t="n">
        <f aca="false">IF(B200=0,0,VLOOKUP(B200,MIE_Components!$A$2:$F$6,2,FALSE()))</f>
        <v>0</v>
      </c>
      <c r="D200" s="14" t="n">
        <f aca="false">IF(B200=0,0,VLOOKUP(B200,MIE_Components!$A$2:$F$6,3,FALSE()))</f>
        <v>0</v>
      </c>
      <c r="E200" s="14" t="n">
        <f aca="false">IF(B200=0,0,VLOOKUP(B200,MIE_Components!$A$2:$F$6,4,FALSE()))</f>
        <v>0</v>
      </c>
      <c r="F200" s="14" t="n">
        <f aca="false">IF(OR($A200="",B200=0),0,MAX(5,B200*IF(OR($A200=Parameters!$B$13,$A200=Parameters!$B$14),0.75,1)-(IF(AND($A200=DATE(2026,11,29),NOV29BF="Yes"),C200,0)+IF(OR($A200=DATE(2026,11,29),$A200=DATE(2026,11,30),$A200=DATE(2026,12,1),$A200=DATE(2026,12,2)),D200,0)+IF(OR($A200=DATE(2026,11,28),$A200=DATE(2026,12,1)),E200,0))))</f>
        <v>0</v>
      </c>
      <c r="G200" s="14" t="n">
        <f aca="false">IF(AND($A200&lt;&gt;"",$A200&lt;Parameters!$B$14),CityData!F3*(1+TAXRATE),0)</f>
        <v>0</v>
      </c>
      <c r="H200" s="14" t="n">
        <f aca="false">IF($A200="",0,IFERROR(VLOOKUP((YEAR($A200)+IF(MONTH($A200)&gt;=10,1,0))&amp;"|Boston|"&amp;MONTH($A200),Rates!$A$2:$I$181,5,FALSE()),0))</f>
        <v>0</v>
      </c>
      <c r="I200" s="14" t="n">
        <f aca="false">IF(OR($A200="",$A200&gt;=Parameters!$B$14),1,IF(AND(H200&gt;0,CityData!F3&lt;=H200),1,0))</f>
        <v>1</v>
      </c>
      <c r="J200" s="14" t="n">
        <f aca="false">IF($A200="",0,IFERROR(VLOOKUP((YEAR($A200)+IF(MONTH($A200)&gt;=10,1,0))&amp;"|Chicago|"&amp;MONTH($A200),Rates!$A$2:$I$181,6,FALSE()),0))</f>
        <v>0</v>
      </c>
      <c r="K200" s="14" t="n">
        <f aca="false">IF(J200=0,0,VLOOKUP(J200,MIE_Components!$A$2:$F$6,2,FALSE()))</f>
        <v>0</v>
      </c>
      <c r="L200" s="14" t="n">
        <f aca="false">IF(J200=0,0,VLOOKUP(J200,MIE_Components!$A$2:$F$6,3,FALSE()))</f>
        <v>0</v>
      </c>
      <c r="M200" s="14" t="n">
        <f aca="false">IF(J200=0,0,VLOOKUP(J200,MIE_Components!$A$2:$F$6,4,FALSE()))</f>
        <v>0</v>
      </c>
      <c r="N200" s="14" t="n">
        <f aca="false">IF(OR($A200="",J200=0),0,MAX(5,J200*IF(OR($A200=Parameters!$B$13,$A200=Parameters!$B$14),0.75,1)-(IF(AND($A200=DATE(2026,11,29),NOV29BF="Yes"),K200,0)+IF(OR($A200=DATE(2026,11,29),$A200=DATE(2026,11,30),$A200=DATE(2026,12,1),$A200=DATE(2026,12,2)),L200,0)+IF(OR($A200=DATE(2026,11,28),$A200=DATE(2026,12,1)),M200,0))))</f>
        <v>0</v>
      </c>
      <c r="O200" s="14" t="n">
        <f aca="false">IF(AND($A200&lt;&gt;"",$A200&lt;Parameters!$B$14),CityData!F4*(1+TAXRATE),0)</f>
        <v>0</v>
      </c>
      <c r="P200" s="14" t="n">
        <f aca="false">IF($A200="",0,IFERROR(VLOOKUP((YEAR($A200)+IF(MONTH($A200)&gt;=10,1,0))&amp;"|Chicago|"&amp;MONTH($A200),Rates!$A$2:$I$181,5,FALSE()),0))</f>
        <v>0</v>
      </c>
      <c r="Q200" s="14" t="n">
        <f aca="false">IF(OR($A200="",$A200&gt;=Parameters!$B$14),1,IF(AND(P200&gt;0,CityData!F4&lt;=P200),1,0))</f>
        <v>1</v>
      </c>
      <c r="R200" s="14" t="n">
        <f aca="false">IF($A200="",0,IFERROR(VLOOKUP((YEAR($A200)+IF(MONTH($A200)&gt;=10,1,0))&amp;"|Denver|"&amp;MONTH($A200),Rates!$A$2:$I$181,6,FALSE()),0))</f>
        <v>0</v>
      </c>
      <c r="S200" s="14" t="n">
        <f aca="false">IF(R200=0,0,VLOOKUP(R200,MIE_Components!$A$2:$F$6,2,FALSE()))</f>
        <v>0</v>
      </c>
      <c r="T200" s="14" t="n">
        <f aca="false">IF(R200=0,0,VLOOKUP(R200,MIE_Components!$A$2:$F$6,3,FALSE()))</f>
        <v>0</v>
      </c>
      <c r="U200" s="14" t="n">
        <f aca="false">IF(R200=0,0,VLOOKUP(R200,MIE_Components!$A$2:$F$6,4,FALSE()))</f>
        <v>0</v>
      </c>
      <c r="V200" s="14" t="n">
        <f aca="false">IF(OR($A200="",R200=0),0,MAX(5,R200*IF(OR($A200=Parameters!$B$13,$A200=Parameters!$B$14),0.75,1)-(IF(AND($A200=DATE(2026,11,29),NOV29BF="Yes"),S200,0)+IF(OR($A200=DATE(2026,11,29),$A200=DATE(2026,11,30),$A200=DATE(2026,12,1),$A200=DATE(2026,12,2)),T200,0)+IF(OR($A200=DATE(2026,11,28),$A200=DATE(2026,12,1)),U200,0))))</f>
        <v>0</v>
      </c>
      <c r="W200" s="14" t="n">
        <f aca="false">IF(AND($A200&lt;&gt;"",$A200&lt;Parameters!$B$14),CityData!F5*(1+TAXRATE),0)</f>
        <v>0</v>
      </c>
      <c r="X200" s="14" t="n">
        <f aca="false">IF($A200="",0,IFERROR(VLOOKUP((YEAR($A200)+IF(MONTH($A200)&gt;=10,1,0))&amp;"|Denver|"&amp;MONTH($A200),Rates!$A$2:$I$181,5,FALSE()),0))</f>
        <v>0</v>
      </c>
      <c r="Y200" s="14" t="n">
        <f aca="false">IF(OR($A200="",$A200&gt;=Parameters!$B$14),1,IF(AND(X200&gt;0,CityData!F5&lt;=X200),1,0))</f>
        <v>1</v>
      </c>
      <c r="Z200" s="14" t="n">
        <f aca="false">IF($A200="",0,IFERROR(VLOOKUP((YEAR($A200)+IF(MONTH($A200)&gt;=10,1,0))&amp;"|Phoenix|"&amp;MONTH($A200),Rates!$A$2:$I$181,6,FALSE()),0))</f>
        <v>0</v>
      </c>
      <c r="AA200" s="14" t="n">
        <f aca="false">IF(Z200=0,0,VLOOKUP(Z200,MIE_Components!$A$2:$F$6,2,FALSE()))</f>
        <v>0</v>
      </c>
      <c r="AB200" s="14" t="n">
        <f aca="false">IF(Z200=0,0,VLOOKUP(Z200,MIE_Components!$A$2:$F$6,3,FALSE()))</f>
        <v>0</v>
      </c>
      <c r="AC200" s="14" t="n">
        <f aca="false">IF(Z200=0,0,VLOOKUP(Z200,MIE_Components!$A$2:$F$6,4,FALSE()))</f>
        <v>0</v>
      </c>
      <c r="AD200" s="14" t="n">
        <f aca="false">IF(OR($A200="",Z200=0),0,MAX(5,Z200*IF(OR($A200=Parameters!$B$13,$A200=Parameters!$B$14),0.75,1)-(IF(AND($A200=DATE(2026,11,29),NOV29BF="Yes"),AA200,0)+IF(OR($A200=DATE(2026,11,29),$A200=DATE(2026,11,30),$A200=DATE(2026,12,1),$A200=DATE(2026,12,2)),AB200,0)+IF(OR($A200=DATE(2026,11,28),$A200=DATE(2026,12,1)),AC200,0))))</f>
        <v>0</v>
      </c>
      <c r="AE200" s="14" t="n">
        <f aca="false">IF(AND($A200&lt;&gt;"",$A200&lt;Parameters!$B$14),CityData!F6*(1+TAXRATE),0)</f>
        <v>0</v>
      </c>
      <c r="AF200" s="14" t="n">
        <f aca="false">IF($A200="",0,IFERROR(VLOOKUP((YEAR($A200)+IF(MONTH($A200)&gt;=10,1,0))&amp;"|Phoenix|"&amp;MONTH($A200),Rates!$A$2:$I$181,5,FALSE()),0))</f>
        <v>0</v>
      </c>
      <c r="AG200" s="14" t="n">
        <f aca="false">IF(OR($A200="",$A200&gt;=Parameters!$B$14),1,IF(AND(AF200&gt;0,CityData!F6&lt;=AF200),1,0))</f>
        <v>1</v>
      </c>
      <c r="AH200" s="14" t="n">
        <f aca="false">IF($A200="",0,IFERROR(VLOOKUP((YEAR($A200)+IF(MONTH($A200)&gt;=10,1,0))&amp;"|Seattle|"&amp;MONTH($A200),Rates!$A$2:$I$181,6,FALSE()),0))</f>
        <v>0</v>
      </c>
      <c r="AI200" s="14" t="n">
        <f aca="false">IF(AH200=0,0,VLOOKUP(AH200,MIE_Components!$A$2:$F$6,2,FALSE()))</f>
        <v>0</v>
      </c>
      <c r="AJ200" s="14" t="n">
        <f aca="false">IF(AH200=0,0,VLOOKUP(AH200,MIE_Components!$A$2:$F$6,3,FALSE()))</f>
        <v>0</v>
      </c>
      <c r="AK200" s="14" t="n">
        <f aca="false">IF(AH200=0,0,VLOOKUP(AH200,MIE_Components!$A$2:$F$6,4,FALSE()))</f>
        <v>0</v>
      </c>
      <c r="AL200" s="14" t="n">
        <f aca="false">IF(OR($A200="",AH200=0),0,MAX(5,AH200*IF(OR($A200=Parameters!$B$13,$A200=Parameters!$B$14),0.75,1)-(IF(AND($A200=DATE(2026,11,29),NOV29BF="Yes"),AI200,0)+IF(OR($A200=DATE(2026,11,29),$A200=DATE(2026,11,30),$A200=DATE(2026,12,1),$A200=DATE(2026,12,2)),AJ200,0)+IF(OR($A200=DATE(2026,11,28),$A200=DATE(2026,12,1)),AK200,0))))</f>
        <v>0</v>
      </c>
      <c r="AM200" s="14" t="n">
        <f aca="false">IF(AND($A200&lt;&gt;"",$A200&lt;Parameters!$B$14),CityData!F7*(1+TAXRATE),0)</f>
        <v>0</v>
      </c>
      <c r="AN200" s="14" t="n">
        <f aca="false">IF($A200="",0,IFERROR(VLOOKUP((YEAR($A200)+IF(MONTH($A200)&gt;=10,1,0))&amp;"|Seattle|"&amp;MONTH($A200),Rates!$A$2:$I$181,5,FALSE()),0))</f>
        <v>0</v>
      </c>
      <c r="AO200" s="14" t="n">
        <f aca="false">IF(OR($A200="",$A200&gt;=Parameters!$B$14),1,IF(AND(AN200&gt;0,CityData!F7&lt;=AN200),1,0))</f>
        <v>1</v>
      </c>
    </row>
    <row r="201" customFormat="false" ht="15" hidden="false" customHeight="true" outlineLevel="0" collapsed="false">
      <c r="A201" s="23" t="str">
        <f aca="false">IF(AND(Parameters!$B$14&gt;=Parameters!$B$13,ROW()-2&lt;=Parameters!$B$14-Parameters!$B$13),Parameters!$B$13+ROW()-2,"")</f>
        <v/>
      </c>
      <c r="B201" s="14" t="n">
        <f aca="false">IF($A201="",0,IFERROR(VLOOKUP((YEAR($A201)+IF(MONTH($A201)&gt;=10,1,0))&amp;"|Boston|"&amp;MONTH($A201),Rates!$A$2:$I$181,6,FALSE()),0))</f>
        <v>0</v>
      </c>
      <c r="C201" s="14" t="n">
        <f aca="false">IF(B201=0,0,VLOOKUP(B201,MIE_Components!$A$2:$F$6,2,FALSE()))</f>
        <v>0</v>
      </c>
      <c r="D201" s="14" t="n">
        <f aca="false">IF(B201=0,0,VLOOKUP(B201,MIE_Components!$A$2:$F$6,3,FALSE()))</f>
        <v>0</v>
      </c>
      <c r="E201" s="14" t="n">
        <f aca="false">IF(B201=0,0,VLOOKUP(B201,MIE_Components!$A$2:$F$6,4,FALSE()))</f>
        <v>0</v>
      </c>
      <c r="F201" s="14" t="n">
        <f aca="false">IF(OR($A201="",B201=0),0,MAX(5,B201*IF(OR($A201=Parameters!$B$13,$A201=Parameters!$B$14),0.75,1)-(IF(AND($A201=DATE(2026,11,29),NOV29BF="Yes"),C201,0)+IF(OR($A201=DATE(2026,11,29),$A201=DATE(2026,11,30),$A201=DATE(2026,12,1),$A201=DATE(2026,12,2)),D201,0)+IF(OR($A201=DATE(2026,11,28),$A201=DATE(2026,12,1)),E201,0))))</f>
        <v>0</v>
      </c>
      <c r="G201" s="14" t="n">
        <f aca="false">IF(AND($A201&lt;&gt;"",$A201&lt;Parameters!$B$14),CityData!F3*(1+TAXRATE),0)</f>
        <v>0</v>
      </c>
      <c r="H201" s="14" t="n">
        <f aca="false">IF($A201="",0,IFERROR(VLOOKUP((YEAR($A201)+IF(MONTH($A201)&gt;=10,1,0))&amp;"|Boston|"&amp;MONTH($A201),Rates!$A$2:$I$181,5,FALSE()),0))</f>
        <v>0</v>
      </c>
      <c r="I201" s="14" t="n">
        <f aca="false">IF(OR($A201="",$A201&gt;=Parameters!$B$14),1,IF(AND(H201&gt;0,CityData!F3&lt;=H201),1,0))</f>
        <v>1</v>
      </c>
      <c r="J201" s="14" t="n">
        <f aca="false">IF($A201="",0,IFERROR(VLOOKUP((YEAR($A201)+IF(MONTH($A201)&gt;=10,1,0))&amp;"|Chicago|"&amp;MONTH($A201),Rates!$A$2:$I$181,6,FALSE()),0))</f>
        <v>0</v>
      </c>
      <c r="K201" s="14" t="n">
        <f aca="false">IF(J201=0,0,VLOOKUP(J201,MIE_Components!$A$2:$F$6,2,FALSE()))</f>
        <v>0</v>
      </c>
      <c r="L201" s="14" t="n">
        <f aca="false">IF(J201=0,0,VLOOKUP(J201,MIE_Components!$A$2:$F$6,3,FALSE()))</f>
        <v>0</v>
      </c>
      <c r="M201" s="14" t="n">
        <f aca="false">IF(J201=0,0,VLOOKUP(J201,MIE_Components!$A$2:$F$6,4,FALSE()))</f>
        <v>0</v>
      </c>
      <c r="N201" s="14" t="n">
        <f aca="false">IF(OR($A201="",J201=0),0,MAX(5,J201*IF(OR($A201=Parameters!$B$13,$A201=Parameters!$B$14),0.75,1)-(IF(AND($A201=DATE(2026,11,29),NOV29BF="Yes"),K201,0)+IF(OR($A201=DATE(2026,11,29),$A201=DATE(2026,11,30),$A201=DATE(2026,12,1),$A201=DATE(2026,12,2)),L201,0)+IF(OR($A201=DATE(2026,11,28),$A201=DATE(2026,12,1)),M201,0))))</f>
        <v>0</v>
      </c>
      <c r="O201" s="14" t="n">
        <f aca="false">IF(AND($A201&lt;&gt;"",$A201&lt;Parameters!$B$14),CityData!F4*(1+TAXRATE),0)</f>
        <v>0</v>
      </c>
      <c r="P201" s="14" t="n">
        <f aca="false">IF($A201="",0,IFERROR(VLOOKUP((YEAR($A201)+IF(MONTH($A201)&gt;=10,1,0))&amp;"|Chicago|"&amp;MONTH($A201),Rates!$A$2:$I$181,5,FALSE()),0))</f>
        <v>0</v>
      </c>
      <c r="Q201" s="14" t="n">
        <f aca="false">IF(OR($A201="",$A201&gt;=Parameters!$B$14),1,IF(AND(P201&gt;0,CityData!F4&lt;=P201),1,0))</f>
        <v>1</v>
      </c>
      <c r="R201" s="14" t="n">
        <f aca="false">IF($A201="",0,IFERROR(VLOOKUP((YEAR($A201)+IF(MONTH($A201)&gt;=10,1,0))&amp;"|Denver|"&amp;MONTH($A201),Rates!$A$2:$I$181,6,FALSE()),0))</f>
        <v>0</v>
      </c>
      <c r="S201" s="14" t="n">
        <f aca="false">IF(R201=0,0,VLOOKUP(R201,MIE_Components!$A$2:$F$6,2,FALSE()))</f>
        <v>0</v>
      </c>
      <c r="T201" s="14" t="n">
        <f aca="false">IF(R201=0,0,VLOOKUP(R201,MIE_Components!$A$2:$F$6,3,FALSE()))</f>
        <v>0</v>
      </c>
      <c r="U201" s="14" t="n">
        <f aca="false">IF(R201=0,0,VLOOKUP(R201,MIE_Components!$A$2:$F$6,4,FALSE()))</f>
        <v>0</v>
      </c>
      <c r="V201" s="14" t="n">
        <f aca="false">IF(OR($A201="",R201=0),0,MAX(5,R201*IF(OR($A201=Parameters!$B$13,$A201=Parameters!$B$14),0.75,1)-(IF(AND($A201=DATE(2026,11,29),NOV29BF="Yes"),S201,0)+IF(OR($A201=DATE(2026,11,29),$A201=DATE(2026,11,30),$A201=DATE(2026,12,1),$A201=DATE(2026,12,2)),T201,0)+IF(OR($A201=DATE(2026,11,28),$A201=DATE(2026,12,1)),U201,0))))</f>
        <v>0</v>
      </c>
      <c r="W201" s="14" t="n">
        <f aca="false">IF(AND($A201&lt;&gt;"",$A201&lt;Parameters!$B$14),CityData!F5*(1+TAXRATE),0)</f>
        <v>0</v>
      </c>
      <c r="X201" s="14" t="n">
        <f aca="false">IF($A201="",0,IFERROR(VLOOKUP((YEAR($A201)+IF(MONTH($A201)&gt;=10,1,0))&amp;"|Denver|"&amp;MONTH($A201),Rates!$A$2:$I$181,5,FALSE()),0))</f>
        <v>0</v>
      </c>
      <c r="Y201" s="14" t="n">
        <f aca="false">IF(OR($A201="",$A201&gt;=Parameters!$B$14),1,IF(AND(X201&gt;0,CityData!F5&lt;=X201),1,0))</f>
        <v>1</v>
      </c>
      <c r="Z201" s="14" t="n">
        <f aca="false">IF($A201="",0,IFERROR(VLOOKUP((YEAR($A201)+IF(MONTH($A201)&gt;=10,1,0))&amp;"|Phoenix|"&amp;MONTH($A201),Rates!$A$2:$I$181,6,FALSE()),0))</f>
        <v>0</v>
      </c>
      <c r="AA201" s="14" t="n">
        <f aca="false">IF(Z201=0,0,VLOOKUP(Z201,MIE_Components!$A$2:$F$6,2,FALSE()))</f>
        <v>0</v>
      </c>
      <c r="AB201" s="14" t="n">
        <f aca="false">IF(Z201=0,0,VLOOKUP(Z201,MIE_Components!$A$2:$F$6,3,FALSE()))</f>
        <v>0</v>
      </c>
      <c r="AC201" s="14" t="n">
        <f aca="false">IF(Z201=0,0,VLOOKUP(Z201,MIE_Components!$A$2:$F$6,4,FALSE()))</f>
        <v>0</v>
      </c>
      <c r="AD201" s="14" t="n">
        <f aca="false">IF(OR($A201="",Z201=0),0,MAX(5,Z201*IF(OR($A201=Parameters!$B$13,$A201=Parameters!$B$14),0.75,1)-(IF(AND($A201=DATE(2026,11,29),NOV29BF="Yes"),AA201,0)+IF(OR($A201=DATE(2026,11,29),$A201=DATE(2026,11,30),$A201=DATE(2026,12,1),$A201=DATE(2026,12,2)),AB201,0)+IF(OR($A201=DATE(2026,11,28),$A201=DATE(2026,12,1)),AC201,0))))</f>
        <v>0</v>
      </c>
      <c r="AE201" s="14" t="n">
        <f aca="false">IF(AND($A201&lt;&gt;"",$A201&lt;Parameters!$B$14),CityData!F6*(1+TAXRATE),0)</f>
        <v>0</v>
      </c>
      <c r="AF201" s="14" t="n">
        <f aca="false">IF($A201="",0,IFERROR(VLOOKUP((YEAR($A201)+IF(MONTH($A201)&gt;=10,1,0))&amp;"|Phoenix|"&amp;MONTH($A201),Rates!$A$2:$I$181,5,FALSE()),0))</f>
        <v>0</v>
      </c>
      <c r="AG201" s="14" t="n">
        <f aca="false">IF(OR($A201="",$A201&gt;=Parameters!$B$14),1,IF(AND(AF201&gt;0,CityData!F6&lt;=AF201),1,0))</f>
        <v>1</v>
      </c>
      <c r="AH201" s="14" t="n">
        <f aca="false">IF($A201="",0,IFERROR(VLOOKUP((YEAR($A201)+IF(MONTH($A201)&gt;=10,1,0))&amp;"|Seattle|"&amp;MONTH($A201),Rates!$A$2:$I$181,6,FALSE()),0))</f>
        <v>0</v>
      </c>
      <c r="AI201" s="14" t="n">
        <f aca="false">IF(AH201=0,0,VLOOKUP(AH201,MIE_Components!$A$2:$F$6,2,FALSE()))</f>
        <v>0</v>
      </c>
      <c r="AJ201" s="14" t="n">
        <f aca="false">IF(AH201=0,0,VLOOKUP(AH201,MIE_Components!$A$2:$F$6,3,FALSE()))</f>
        <v>0</v>
      </c>
      <c r="AK201" s="14" t="n">
        <f aca="false">IF(AH201=0,0,VLOOKUP(AH201,MIE_Components!$A$2:$F$6,4,FALSE()))</f>
        <v>0</v>
      </c>
      <c r="AL201" s="14" t="n">
        <f aca="false">IF(OR($A201="",AH201=0),0,MAX(5,AH201*IF(OR($A201=Parameters!$B$13,$A201=Parameters!$B$14),0.75,1)-(IF(AND($A201=DATE(2026,11,29),NOV29BF="Yes"),AI201,0)+IF(OR($A201=DATE(2026,11,29),$A201=DATE(2026,11,30),$A201=DATE(2026,12,1),$A201=DATE(2026,12,2)),AJ201,0)+IF(OR($A201=DATE(2026,11,28),$A201=DATE(2026,12,1)),AK201,0))))</f>
        <v>0</v>
      </c>
      <c r="AM201" s="14" t="n">
        <f aca="false">IF(AND($A201&lt;&gt;"",$A201&lt;Parameters!$B$14),CityData!F7*(1+TAXRATE),0)</f>
        <v>0</v>
      </c>
      <c r="AN201" s="14" t="n">
        <f aca="false">IF($A201="",0,IFERROR(VLOOKUP((YEAR($A201)+IF(MONTH($A201)&gt;=10,1,0))&amp;"|Seattle|"&amp;MONTH($A201),Rates!$A$2:$I$181,5,FALSE()),0))</f>
        <v>0</v>
      </c>
      <c r="AO201" s="14" t="n">
        <f aca="false">IF(OR($A201="",$A201&gt;=Parameters!$B$14),1,IF(AND(AN201&gt;0,CityData!F7&lt;=AN201),1,0))</f>
        <v>1</v>
      </c>
    </row>
    <row r="202" customFormat="false" ht="15" hidden="false" customHeight="true" outlineLevel="0" collapsed="false">
      <c r="A202" s="23" t="str">
        <f aca="false">IF(AND(Parameters!$B$14&gt;=Parameters!$B$13,ROW()-2&lt;=Parameters!$B$14-Parameters!$B$13),Parameters!$B$13+ROW()-2,"")</f>
        <v/>
      </c>
      <c r="B202" s="14" t="n">
        <f aca="false">IF($A202="",0,IFERROR(VLOOKUP((YEAR($A202)+IF(MONTH($A202)&gt;=10,1,0))&amp;"|Boston|"&amp;MONTH($A202),Rates!$A$2:$I$181,6,FALSE()),0))</f>
        <v>0</v>
      </c>
      <c r="C202" s="14" t="n">
        <f aca="false">IF(B202=0,0,VLOOKUP(B202,MIE_Components!$A$2:$F$6,2,FALSE()))</f>
        <v>0</v>
      </c>
      <c r="D202" s="14" t="n">
        <f aca="false">IF(B202=0,0,VLOOKUP(B202,MIE_Components!$A$2:$F$6,3,FALSE()))</f>
        <v>0</v>
      </c>
      <c r="E202" s="14" t="n">
        <f aca="false">IF(B202=0,0,VLOOKUP(B202,MIE_Components!$A$2:$F$6,4,FALSE()))</f>
        <v>0</v>
      </c>
      <c r="F202" s="14" t="n">
        <f aca="false">IF(OR($A202="",B202=0),0,MAX(5,B202*IF(OR($A202=Parameters!$B$13,$A202=Parameters!$B$14),0.75,1)-(IF(AND($A202=DATE(2026,11,29),NOV29BF="Yes"),C202,0)+IF(OR($A202=DATE(2026,11,29),$A202=DATE(2026,11,30),$A202=DATE(2026,12,1),$A202=DATE(2026,12,2)),D202,0)+IF(OR($A202=DATE(2026,11,28),$A202=DATE(2026,12,1)),E202,0))))</f>
        <v>0</v>
      </c>
      <c r="G202" s="14" t="n">
        <f aca="false">IF(AND($A202&lt;&gt;"",$A202&lt;Parameters!$B$14),CityData!F3*(1+TAXRATE),0)</f>
        <v>0</v>
      </c>
      <c r="H202" s="14" t="n">
        <f aca="false">IF($A202="",0,IFERROR(VLOOKUP((YEAR($A202)+IF(MONTH($A202)&gt;=10,1,0))&amp;"|Boston|"&amp;MONTH($A202),Rates!$A$2:$I$181,5,FALSE()),0))</f>
        <v>0</v>
      </c>
      <c r="I202" s="14" t="n">
        <f aca="false">IF(OR($A202="",$A202&gt;=Parameters!$B$14),1,IF(AND(H202&gt;0,CityData!F3&lt;=H202),1,0))</f>
        <v>1</v>
      </c>
      <c r="J202" s="14" t="n">
        <f aca="false">IF($A202="",0,IFERROR(VLOOKUP((YEAR($A202)+IF(MONTH($A202)&gt;=10,1,0))&amp;"|Chicago|"&amp;MONTH($A202),Rates!$A$2:$I$181,6,FALSE()),0))</f>
        <v>0</v>
      </c>
      <c r="K202" s="14" t="n">
        <f aca="false">IF(J202=0,0,VLOOKUP(J202,MIE_Components!$A$2:$F$6,2,FALSE()))</f>
        <v>0</v>
      </c>
      <c r="L202" s="14" t="n">
        <f aca="false">IF(J202=0,0,VLOOKUP(J202,MIE_Components!$A$2:$F$6,3,FALSE()))</f>
        <v>0</v>
      </c>
      <c r="M202" s="14" t="n">
        <f aca="false">IF(J202=0,0,VLOOKUP(J202,MIE_Components!$A$2:$F$6,4,FALSE()))</f>
        <v>0</v>
      </c>
      <c r="N202" s="14" t="n">
        <f aca="false">IF(OR($A202="",J202=0),0,MAX(5,J202*IF(OR($A202=Parameters!$B$13,$A202=Parameters!$B$14),0.75,1)-(IF(AND($A202=DATE(2026,11,29),NOV29BF="Yes"),K202,0)+IF(OR($A202=DATE(2026,11,29),$A202=DATE(2026,11,30),$A202=DATE(2026,12,1),$A202=DATE(2026,12,2)),L202,0)+IF(OR($A202=DATE(2026,11,28),$A202=DATE(2026,12,1)),M202,0))))</f>
        <v>0</v>
      </c>
      <c r="O202" s="14" t="n">
        <f aca="false">IF(AND($A202&lt;&gt;"",$A202&lt;Parameters!$B$14),CityData!F4*(1+TAXRATE),0)</f>
        <v>0</v>
      </c>
      <c r="P202" s="14" t="n">
        <f aca="false">IF($A202="",0,IFERROR(VLOOKUP((YEAR($A202)+IF(MONTH($A202)&gt;=10,1,0))&amp;"|Chicago|"&amp;MONTH($A202),Rates!$A$2:$I$181,5,FALSE()),0))</f>
        <v>0</v>
      </c>
      <c r="Q202" s="14" t="n">
        <f aca="false">IF(OR($A202="",$A202&gt;=Parameters!$B$14),1,IF(AND(P202&gt;0,CityData!F4&lt;=P202),1,0))</f>
        <v>1</v>
      </c>
      <c r="R202" s="14" t="n">
        <f aca="false">IF($A202="",0,IFERROR(VLOOKUP((YEAR($A202)+IF(MONTH($A202)&gt;=10,1,0))&amp;"|Denver|"&amp;MONTH($A202),Rates!$A$2:$I$181,6,FALSE()),0))</f>
        <v>0</v>
      </c>
      <c r="S202" s="14" t="n">
        <f aca="false">IF(R202=0,0,VLOOKUP(R202,MIE_Components!$A$2:$F$6,2,FALSE()))</f>
        <v>0</v>
      </c>
      <c r="T202" s="14" t="n">
        <f aca="false">IF(R202=0,0,VLOOKUP(R202,MIE_Components!$A$2:$F$6,3,FALSE()))</f>
        <v>0</v>
      </c>
      <c r="U202" s="14" t="n">
        <f aca="false">IF(R202=0,0,VLOOKUP(R202,MIE_Components!$A$2:$F$6,4,FALSE()))</f>
        <v>0</v>
      </c>
      <c r="V202" s="14" t="n">
        <f aca="false">IF(OR($A202="",R202=0),0,MAX(5,R202*IF(OR($A202=Parameters!$B$13,$A202=Parameters!$B$14),0.75,1)-(IF(AND($A202=DATE(2026,11,29),NOV29BF="Yes"),S202,0)+IF(OR($A202=DATE(2026,11,29),$A202=DATE(2026,11,30),$A202=DATE(2026,12,1),$A202=DATE(2026,12,2)),T202,0)+IF(OR($A202=DATE(2026,11,28),$A202=DATE(2026,12,1)),U202,0))))</f>
        <v>0</v>
      </c>
      <c r="W202" s="14" t="n">
        <f aca="false">IF(AND($A202&lt;&gt;"",$A202&lt;Parameters!$B$14),CityData!F5*(1+TAXRATE),0)</f>
        <v>0</v>
      </c>
      <c r="X202" s="14" t="n">
        <f aca="false">IF($A202="",0,IFERROR(VLOOKUP((YEAR($A202)+IF(MONTH($A202)&gt;=10,1,0))&amp;"|Denver|"&amp;MONTH($A202),Rates!$A$2:$I$181,5,FALSE()),0))</f>
        <v>0</v>
      </c>
      <c r="Y202" s="14" t="n">
        <f aca="false">IF(OR($A202="",$A202&gt;=Parameters!$B$14),1,IF(AND(X202&gt;0,CityData!F5&lt;=X202),1,0))</f>
        <v>1</v>
      </c>
      <c r="Z202" s="14" t="n">
        <f aca="false">IF($A202="",0,IFERROR(VLOOKUP((YEAR($A202)+IF(MONTH($A202)&gt;=10,1,0))&amp;"|Phoenix|"&amp;MONTH($A202),Rates!$A$2:$I$181,6,FALSE()),0))</f>
        <v>0</v>
      </c>
      <c r="AA202" s="14" t="n">
        <f aca="false">IF(Z202=0,0,VLOOKUP(Z202,MIE_Components!$A$2:$F$6,2,FALSE()))</f>
        <v>0</v>
      </c>
      <c r="AB202" s="14" t="n">
        <f aca="false">IF(Z202=0,0,VLOOKUP(Z202,MIE_Components!$A$2:$F$6,3,FALSE()))</f>
        <v>0</v>
      </c>
      <c r="AC202" s="14" t="n">
        <f aca="false">IF(Z202=0,0,VLOOKUP(Z202,MIE_Components!$A$2:$F$6,4,FALSE()))</f>
        <v>0</v>
      </c>
      <c r="AD202" s="14" t="n">
        <f aca="false">IF(OR($A202="",Z202=0),0,MAX(5,Z202*IF(OR($A202=Parameters!$B$13,$A202=Parameters!$B$14),0.75,1)-(IF(AND($A202=DATE(2026,11,29),NOV29BF="Yes"),AA202,0)+IF(OR($A202=DATE(2026,11,29),$A202=DATE(2026,11,30),$A202=DATE(2026,12,1),$A202=DATE(2026,12,2)),AB202,0)+IF(OR($A202=DATE(2026,11,28),$A202=DATE(2026,12,1)),AC202,0))))</f>
        <v>0</v>
      </c>
      <c r="AE202" s="14" t="n">
        <f aca="false">IF(AND($A202&lt;&gt;"",$A202&lt;Parameters!$B$14),CityData!F6*(1+TAXRATE),0)</f>
        <v>0</v>
      </c>
      <c r="AF202" s="14" t="n">
        <f aca="false">IF($A202="",0,IFERROR(VLOOKUP((YEAR($A202)+IF(MONTH($A202)&gt;=10,1,0))&amp;"|Phoenix|"&amp;MONTH($A202),Rates!$A$2:$I$181,5,FALSE()),0))</f>
        <v>0</v>
      </c>
      <c r="AG202" s="14" t="n">
        <f aca="false">IF(OR($A202="",$A202&gt;=Parameters!$B$14),1,IF(AND(AF202&gt;0,CityData!F6&lt;=AF202),1,0))</f>
        <v>1</v>
      </c>
      <c r="AH202" s="14" t="n">
        <f aca="false">IF($A202="",0,IFERROR(VLOOKUP((YEAR($A202)+IF(MONTH($A202)&gt;=10,1,0))&amp;"|Seattle|"&amp;MONTH($A202),Rates!$A$2:$I$181,6,FALSE()),0))</f>
        <v>0</v>
      </c>
      <c r="AI202" s="14" t="n">
        <f aca="false">IF(AH202=0,0,VLOOKUP(AH202,MIE_Components!$A$2:$F$6,2,FALSE()))</f>
        <v>0</v>
      </c>
      <c r="AJ202" s="14" t="n">
        <f aca="false">IF(AH202=0,0,VLOOKUP(AH202,MIE_Components!$A$2:$F$6,3,FALSE()))</f>
        <v>0</v>
      </c>
      <c r="AK202" s="14" t="n">
        <f aca="false">IF(AH202=0,0,VLOOKUP(AH202,MIE_Components!$A$2:$F$6,4,FALSE()))</f>
        <v>0</v>
      </c>
      <c r="AL202" s="14" t="n">
        <f aca="false">IF(OR($A202="",AH202=0),0,MAX(5,AH202*IF(OR($A202=Parameters!$B$13,$A202=Parameters!$B$14),0.75,1)-(IF(AND($A202=DATE(2026,11,29),NOV29BF="Yes"),AI202,0)+IF(OR($A202=DATE(2026,11,29),$A202=DATE(2026,11,30),$A202=DATE(2026,12,1),$A202=DATE(2026,12,2)),AJ202,0)+IF(OR($A202=DATE(2026,11,28),$A202=DATE(2026,12,1)),AK202,0))))</f>
        <v>0</v>
      </c>
      <c r="AM202" s="14" t="n">
        <f aca="false">IF(AND($A202&lt;&gt;"",$A202&lt;Parameters!$B$14),CityData!F7*(1+TAXRATE),0)</f>
        <v>0</v>
      </c>
      <c r="AN202" s="14" t="n">
        <f aca="false">IF($A202="",0,IFERROR(VLOOKUP((YEAR($A202)+IF(MONTH($A202)&gt;=10,1,0))&amp;"|Seattle|"&amp;MONTH($A202),Rates!$A$2:$I$181,5,FALSE()),0))</f>
        <v>0</v>
      </c>
      <c r="AO202" s="14" t="n">
        <f aca="false">IF(OR($A202="",$A202&gt;=Parameters!$B$14),1,IF(AND(AN202&gt;0,CityData!F7&lt;=AN202),1,0))</f>
        <v>1</v>
      </c>
    </row>
    <row r="203" customFormat="false" ht="15" hidden="false" customHeight="true" outlineLevel="0" collapsed="false">
      <c r="A203" s="23" t="str">
        <f aca="false">IF(AND(Parameters!$B$14&gt;=Parameters!$B$13,ROW()-2&lt;=Parameters!$B$14-Parameters!$B$13),Parameters!$B$13+ROW()-2,"")</f>
        <v/>
      </c>
      <c r="B203" s="14" t="n">
        <f aca="false">IF($A203="",0,IFERROR(VLOOKUP((YEAR($A203)+IF(MONTH($A203)&gt;=10,1,0))&amp;"|Boston|"&amp;MONTH($A203),Rates!$A$2:$I$181,6,FALSE()),0))</f>
        <v>0</v>
      </c>
      <c r="C203" s="14" t="n">
        <f aca="false">IF(B203=0,0,VLOOKUP(B203,MIE_Components!$A$2:$F$6,2,FALSE()))</f>
        <v>0</v>
      </c>
      <c r="D203" s="14" t="n">
        <f aca="false">IF(B203=0,0,VLOOKUP(B203,MIE_Components!$A$2:$F$6,3,FALSE()))</f>
        <v>0</v>
      </c>
      <c r="E203" s="14" t="n">
        <f aca="false">IF(B203=0,0,VLOOKUP(B203,MIE_Components!$A$2:$F$6,4,FALSE()))</f>
        <v>0</v>
      </c>
      <c r="F203" s="14" t="n">
        <f aca="false">IF(OR($A203="",B203=0),0,MAX(5,B203*IF(OR($A203=Parameters!$B$13,$A203=Parameters!$B$14),0.75,1)-(IF(AND($A203=DATE(2026,11,29),NOV29BF="Yes"),C203,0)+IF(OR($A203=DATE(2026,11,29),$A203=DATE(2026,11,30),$A203=DATE(2026,12,1),$A203=DATE(2026,12,2)),D203,0)+IF(OR($A203=DATE(2026,11,28),$A203=DATE(2026,12,1)),E203,0))))</f>
        <v>0</v>
      </c>
      <c r="G203" s="14" t="n">
        <f aca="false">IF(AND($A203&lt;&gt;"",$A203&lt;Parameters!$B$14),CityData!F3*(1+TAXRATE),0)</f>
        <v>0</v>
      </c>
      <c r="H203" s="14" t="n">
        <f aca="false">IF($A203="",0,IFERROR(VLOOKUP((YEAR($A203)+IF(MONTH($A203)&gt;=10,1,0))&amp;"|Boston|"&amp;MONTH($A203),Rates!$A$2:$I$181,5,FALSE()),0))</f>
        <v>0</v>
      </c>
      <c r="I203" s="14" t="n">
        <f aca="false">IF(OR($A203="",$A203&gt;=Parameters!$B$14),1,IF(AND(H203&gt;0,CityData!F3&lt;=H203),1,0))</f>
        <v>1</v>
      </c>
      <c r="J203" s="14" t="n">
        <f aca="false">IF($A203="",0,IFERROR(VLOOKUP((YEAR($A203)+IF(MONTH($A203)&gt;=10,1,0))&amp;"|Chicago|"&amp;MONTH($A203),Rates!$A$2:$I$181,6,FALSE()),0))</f>
        <v>0</v>
      </c>
      <c r="K203" s="14" t="n">
        <f aca="false">IF(J203=0,0,VLOOKUP(J203,MIE_Components!$A$2:$F$6,2,FALSE()))</f>
        <v>0</v>
      </c>
      <c r="L203" s="14" t="n">
        <f aca="false">IF(J203=0,0,VLOOKUP(J203,MIE_Components!$A$2:$F$6,3,FALSE()))</f>
        <v>0</v>
      </c>
      <c r="M203" s="14" t="n">
        <f aca="false">IF(J203=0,0,VLOOKUP(J203,MIE_Components!$A$2:$F$6,4,FALSE()))</f>
        <v>0</v>
      </c>
      <c r="N203" s="14" t="n">
        <f aca="false">IF(OR($A203="",J203=0),0,MAX(5,J203*IF(OR($A203=Parameters!$B$13,$A203=Parameters!$B$14),0.75,1)-(IF(AND($A203=DATE(2026,11,29),NOV29BF="Yes"),K203,0)+IF(OR($A203=DATE(2026,11,29),$A203=DATE(2026,11,30),$A203=DATE(2026,12,1),$A203=DATE(2026,12,2)),L203,0)+IF(OR($A203=DATE(2026,11,28),$A203=DATE(2026,12,1)),M203,0))))</f>
        <v>0</v>
      </c>
      <c r="O203" s="14" t="n">
        <f aca="false">IF(AND($A203&lt;&gt;"",$A203&lt;Parameters!$B$14),CityData!F4*(1+TAXRATE),0)</f>
        <v>0</v>
      </c>
      <c r="P203" s="14" t="n">
        <f aca="false">IF($A203="",0,IFERROR(VLOOKUP((YEAR($A203)+IF(MONTH($A203)&gt;=10,1,0))&amp;"|Chicago|"&amp;MONTH($A203),Rates!$A$2:$I$181,5,FALSE()),0))</f>
        <v>0</v>
      </c>
      <c r="Q203" s="14" t="n">
        <f aca="false">IF(OR($A203="",$A203&gt;=Parameters!$B$14),1,IF(AND(P203&gt;0,CityData!F4&lt;=P203),1,0))</f>
        <v>1</v>
      </c>
      <c r="R203" s="14" t="n">
        <f aca="false">IF($A203="",0,IFERROR(VLOOKUP((YEAR($A203)+IF(MONTH($A203)&gt;=10,1,0))&amp;"|Denver|"&amp;MONTH($A203),Rates!$A$2:$I$181,6,FALSE()),0))</f>
        <v>0</v>
      </c>
      <c r="S203" s="14" t="n">
        <f aca="false">IF(R203=0,0,VLOOKUP(R203,MIE_Components!$A$2:$F$6,2,FALSE()))</f>
        <v>0</v>
      </c>
      <c r="T203" s="14" t="n">
        <f aca="false">IF(R203=0,0,VLOOKUP(R203,MIE_Components!$A$2:$F$6,3,FALSE()))</f>
        <v>0</v>
      </c>
      <c r="U203" s="14" t="n">
        <f aca="false">IF(R203=0,0,VLOOKUP(R203,MIE_Components!$A$2:$F$6,4,FALSE()))</f>
        <v>0</v>
      </c>
      <c r="V203" s="14" t="n">
        <f aca="false">IF(OR($A203="",R203=0),0,MAX(5,R203*IF(OR($A203=Parameters!$B$13,$A203=Parameters!$B$14),0.75,1)-(IF(AND($A203=DATE(2026,11,29),NOV29BF="Yes"),S203,0)+IF(OR($A203=DATE(2026,11,29),$A203=DATE(2026,11,30),$A203=DATE(2026,12,1),$A203=DATE(2026,12,2)),T203,0)+IF(OR($A203=DATE(2026,11,28),$A203=DATE(2026,12,1)),U203,0))))</f>
        <v>0</v>
      </c>
      <c r="W203" s="14" t="n">
        <f aca="false">IF(AND($A203&lt;&gt;"",$A203&lt;Parameters!$B$14),CityData!F5*(1+TAXRATE),0)</f>
        <v>0</v>
      </c>
      <c r="X203" s="14" t="n">
        <f aca="false">IF($A203="",0,IFERROR(VLOOKUP((YEAR($A203)+IF(MONTH($A203)&gt;=10,1,0))&amp;"|Denver|"&amp;MONTH($A203),Rates!$A$2:$I$181,5,FALSE()),0))</f>
        <v>0</v>
      </c>
      <c r="Y203" s="14" t="n">
        <f aca="false">IF(OR($A203="",$A203&gt;=Parameters!$B$14),1,IF(AND(X203&gt;0,CityData!F5&lt;=X203),1,0))</f>
        <v>1</v>
      </c>
      <c r="Z203" s="14" t="n">
        <f aca="false">IF($A203="",0,IFERROR(VLOOKUP((YEAR($A203)+IF(MONTH($A203)&gt;=10,1,0))&amp;"|Phoenix|"&amp;MONTH($A203),Rates!$A$2:$I$181,6,FALSE()),0))</f>
        <v>0</v>
      </c>
      <c r="AA203" s="14" t="n">
        <f aca="false">IF(Z203=0,0,VLOOKUP(Z203,MIE_Components!$A$2:$F$6,2,FALSE()))</f>
        <v>0</v>
      </c>
      <c r="AB203" s="14" t="n">
        <f aca="false">IF(Z203=0,0,VLOOKUP(Z203,MIE_Components!$A$2:$F$6,3,FALSE()))</f>
        <v>0</v>
      </c>
      <c r="AC203" s="14" t="n">
        <f aca="false">IF(Z203=0,0,VLOOKUP(Z203,MIE_Components!$A$2:$F$6,4,FALSE()))</f>
        <v>0</v>
      </c>
      <c r="AD203" s="14" t="n">
        <f aca="false">IF(OR($A203="",Z203=0),0,MAX(5,Z203*IF(OR($A203=Parameters!$B$13,$A203=Parameters!$B$14),0.75,1)-(IF(AND($A203=DATE(2026,11,29),NOV29BF="Yes"),AA203,0)+IF(OR($A203=DATE(2026,11,29),$A203=DATE(2026,11,30),$A203=DATE(2026,12,1),$A203=DATE(2026,12,2)),AB203,0)+IF(OR($A203=DATE(2026,11,28),$A203=DATE(2026,12,1)),AC203,0))))</f>
        <v>0</v>
      </c>
      <c r="AE203" s="14" t="n">
        <f aca="false">IF(AND($A203&lt;&gt;"",$A203&lt;Parameters!$B$14),CityData!F6*(1+TAXRATE),0)</f>
        <v>0</v>
      </c>
      <c r="AF203" s="14" t="n">
        <f aca="false">IF($A203="",0,IFERROR(VLOOKUP((YEAR($A203)+IF(MONTH($A203)&gt;=10,1,0))&amp;"|Phoenix|"&amp;MONTH($A203),Rates!$A$2:$I$181,5,FALSE()),0))</f>
        <v>0</v>
      </c>
      <c r="AG203" s="14" t="n">
        <f aca="false">IF(OR($A203="",$A203&gt;=Parameters!$B$14),1,IF(AND(AF203&gt;0,CityData!F6&lt;=AF203),1,0))</f>
        <v>1</v>
      </c>
      <c r="AH203" s="14" t="n">
        <f aca="false">IF($A203="",0,IFERROR(VLOOKUP((YEAR($A203)+IF(MONTH($A203)&gt;=10,1,0))&amp;"|Seattle|"&amp;MONTH($A203),Rates!$A$2:$I$181,6,FALSE()),0))</f>
        <v>0</v>
      </c>
      <c r="AI203" s="14" t="n">
        <f aca="false">IF(AH203=0,0,VLOOKUP(AH203,MIE_Components!$A$2:$F$6,2,FALSE()))</f>
        <v>0</v>
      </c>
      <c r="AJ203" s="14" t="n">
        <f aca="false">IF(AH203=0,0,VLOOKUP(AH203,MIE_Components!$A$2:$F$6,3,FALSE()))</f>
        <v>0</v>
      </c>
      <c r="AK203" s="14" t="n">
        <f aca="false">IF(AH203=0,0,VLOOKUP(AH203,MIE_Components!$A$2:$F$6,4,FALSE()))</f>
        <v>0</v>
      </c>
      <c r="AL203" s="14" t="n">
        <f aca="false">IF(OR($A203="",AH203=0),0,MAX(5,AH203*IF(OR($A203=Parameters!$B$13,$A203=Parameters!$B$14),0.75,1)-(IF(AND($A203=DATE(2026,11,29),NOV29BF="Yes"),AI203,0)+IF(OR($A203=DATE(2026,11,29),$A203=DATE(2026,11,30),$A203=DATE(2026,12,1),$A203=DATE(2026,12,2)),AJ203,0)+IF(OR($A203=DATE(2026,11,28),$A203=DATE(2026,12,1)),AK203,0))))</f>
        <v>0</v>
      </c>
      <c r="AM203" s="14" t="n">
        <f aca="false">IF(AND($A203&lt;&gt;"",$A203&lt;Parameters!$B$14),CityData!F7*(1+TAXRATE),0)</f>
        <v>0</v>
      </c>
      <c r="AN203" s="14" t="n">
        <f aca="false">IF($A203="",0,IFERROR(VLOOKUP((YEAR($A203)+IF(MONTH($A203)&gt;=10,1,0))&amp;"|Seattle|"&amp;MONTH($A203),Rates!$A$2:$I$181,5,FALSE()),0))</f>
        <v>0</v>
      </c>
      <c r="AO203" s="14" t="n">
        <f aca="false">IF(OR($A203="",$A203&gt;=Parameters!$B$14),1,IF(AND(AN203&gt;0,CityData!F7&lt;=AN203),1,0))</f>
        <v>1</v>
      </c>
    </row>
    <row r="204" customFormat="false" ht="15" hidden="false" customHeight="true" outlineLevel="0" collapsed="false">
      <c r="A204" s="23" t="str">
        <f aca="false">IF(AND(Parameters!$B$14&gt;=Parameters!$B$13,ROW()-2&lt;=Parameters!$B$14-Parameters!$B$13),Parameters!$B$13+ROW()-2,"")</f>
        <v/>
      </c>
      <c r="B204" s="14" t="n">
        <f aca="false">IF($A204="",0,IFERROR(VLOOKUP((YEAR($A204)+IF(MONTH($A204)&gt;=10,1,0))&amp;"|Boston|"&amp;MONTH($A204),Rates!$A$2:$I$181,6,FALSE()),0))</f>
        <v>0</v>
      </c>
      <c r="C204" s="14" t="n">
        <f aca="false">IF(B204=0,0,VLOOKUP(B204,MIE_Components!$A$2:$F$6,2,FALSE()))</f>
        <v>0</v>
      </c>
      <c r="D204" s="14" t="n">
        <f aca="false">IF(B204=0,0,VLOOKUP(B204,MIE_Components!$A$2:$F$6,3,FALSE()))</f>
        <v>0</v>
      </c>
      <c r="E204" s="14" t="n">
        <f aca="false">IF(B204=0,0,VLOOKUP(B204,MIE_Components!$A$2:$F$6,4,FALSE()))</f>
        <v>0</v>
      </c>
      <c r="F204" s="14" t="n">
        <f aca="false">IF(OR($A204="",B204=0),0,MAX(5,B204*IF(OR($A204=Parameters!$B$13,$A204=Parameters!$B$14),0.75,1)-(IF(AND($A204=DATE(2026,11,29),NOV29BF="Yes"),C204,0)+IF(OR($A204=DATE(2026,11,29),$A204=DATE(2026,11,30),$A204=DATE(2026,12,1),$A204=DATE(2026,12,2)),D204,0)+IF(OR($A204=DATE(2026,11,28),$A204=DATE(2026,12,1)),E204,0))))</f>
        <v>0</v>
      </c>
      <c r="G204" s="14" t="n">
        <f aca="false">IF(AND($A204&lt;&gt;"",$A204&lt;Parameters!$B$14),CityData!F3*(1+TAXRATE),0)</f>
        <v>0</v>
      </c>
      <c r="H204" s="14" t="n">
        <f aca="false">IF($A204="",0,IFERROR(VLOOKUP((YEAR($A204)+IF(MONTH($A204)&gt;=10,1,0))&amp;"|Boston|"&amp;MONTH($A204),Rates!$A$2:$I$181,5,FALSE()),0))</f>
        <v>0</v>
      </c>
      <c r="I204" s="14" t="n">
        <f aca="false">IF(OR($A204="",$A204&gt;=Parameters!$B$14),1,IF(AND(H204&gt;0,CityData!F3&lt;=H204),1,0))</f>
        <v>1</v>
      </c>
      <c r="J204" s="14" t="n">
        <f aca="false">IF($A204="",0,IFERROR(VLOOKUP((YEAR($A204)+IF(MONTH($A204)&gt;=10,1,0))&amp;"|Chicago|"&amp;MONTH($A204),Rates!$A$2:$I$181,6,FALSE()),0))</f>
        <v>0</v>
      </c>
      <c r="K204" s="14" t="n">
        <f aca="false">IF(J204=0,0,VLOOKUP(J204,MIE_Components!$A$2:$F$6,2,FALSE()))</f>
        <v>0</v>
      </c>
      <c r="L204" s="14" t="n">
        <f aca="false">IF(J204=0,0,VLOOKUP(J204,MIE_Components!$A$2:$F$6,3,FALSE()))</f>
        <v>0</v>
      </c>
      <c r="M204" s="14" t="n">
        <f aca="false">IF(J204=0,0,VLOOKUP(J204,MIE_Components!$A$2:$F$6,4,FALSE()))</f>
        <v>0</v>
      </c>
      <c r="N204" s="14" t="n">
        <f aca="false">IF(OR($A204="",J204=0),0,MAX(5,J204*IF(OR($A204=Parameters!$B$13,$A204=Parameters!$B$14),0.75,1)-(IF(AND($A204=DATE(2026,11,29),NOV29BF="Yes"),K204,0)+IF(OR($A204=DATE(2026,11,29),$A204=DATE(2026,11,30),$A204=DATE(2026,12,1),$A204=DATE(2026,12,2)),L204,0)+IF(OR($A204=DATE(2026,11,28),$A204=DATE(2026,12,1)),M204,0))))</f>
        <v>0</v>
      </c>
      <c r="O204" s="14" t="n">
        <f aca="false">IF(AND($A204&lt;&gt;"",$A204&lt;Parameters!$B$14),CityData!F4*(1+TAXRATE),0)</f>
        <v>0</v>
      </c>
      <c r="P204" s="14" t="n">
        <f aca="false">IF($A204="",0,IFERROR(VLOOKUP((YEAR($A204)+IF(MONTH($A204)&gt;=10,1,0))&amp;"|Chicago|"&amp;MONTH($A204),Rates!$A$2:$I$181,5,FALSE()),0))</f>
        <v>0</v>
      </c>
      <c r="Q204" s="14" t="n">
        <f aca="false">IF(OR($A204="",$A204&gt;=Parameters!$B$14),1,IF(AND(P204&gt;0,CityData!F4&lt;=P204),1,0))</f>
        <v>1</v>
      </c>
      <c r="R204" s="14" t="n">
        <f aca="false">IF($A204="",0,IFERROR(VLOOKUP((YEAR($A204)+IF(MONTH($A204)&gt;=10,1,0))&amp;"|Denver|"&amp;MONTH($A204),Rates!$A$2:$I$181,6,FALSE()),0))</f>
        <v>0</v>
      </c>
      <c r="S204" s="14" t="n">
        <f aca="false">IF(R204=0,0,VLOOKUP(R204,MIE_Components!$A$2:$F$6,2,FALSE()))</f>
        <v>0</v>
      </c>
      <c r="T204" s="14" t="n">
        <f aca="false">IF(R204=0,0,VLOOKUP(R204,MIE_Components!$A$2:$F$6,3,FALSE()))</f>
        <v>0</v>
      </c>
      <c r="U204" s="14" t="n">
        <f aca="false">IF(R204=0,0,VLOOKUP(R204,MIE_Components!$A$2:$F$6,4,FALSE()))</f>
        <v>0</v>
      </c>
      <c r="V204" s="14" t="n">
        <f aca="false">IF(OR($A204="",R204=0),0,MAX(5,R204*IF(OR($A204=Parameters!$B$13,$A204=Parameters!$B$14),0.75,1)-(IF(AND($A204=DATE(2026,11,29),NOV29BF="Yes"),S204,0)+IF(OR($A204=DATE(2026,11,29),$A204=DATE(2026,11,30),$A204=DATE(2026,12,1),$A204=DATE(2026,12,2)),T204,0)+IF(OR($A204=DATE(2026,11,28),$A204=DATE(2026,12,1)),U204,0))))</f>
        <v>0</v>
      </c>
      <c r="W204" s="14" t="n">
        <f aca="false">IF(AND($A204&lt;&gt;"",$A204&lt;Parameters!$B$14),CityData!F5*(1+TAXRATE),0)</f>
        <v>0</v>
      </c>
      <c r="X204" s="14" t="n">
        <f aca="false">IF($A204="",0,IFERROR(VLOOKUP((YEAR($A204)+IF(MONTH($A204)&gt;=10,1,0))&amp;"|Denver|"&amp;MONTH($A204),Rates!$A$2:$I$181,5,FALSE()),0))</f>
        <v>0</v>
      </c>
      <c r="Y204" s="14" t="n">
        <f aca="false">IF(OR($A204="",$A204&gt;=Parameters!$B$14),1,IF(AND(X204&gt;0,CityData!F5&lt;=X204),1,0))</f>
        <v>1</v>
      </c>
      <c r="Z204" s="14" t="n">
        <f aca="false">IF($A204="",0,IFERROR(VLOOKUP((YEAR($A204)+IF(MONTH($A204)&gt;=10,1,0))&amp;"|Phoenix|"&amp;MONTH($A204),Rates!$A$2:$I$181,6,FALSE()),0))</f>
        <v>0</v>
      </c>
      <c r="AA204" s="14" t="n">
        <f aca="false">IF(Z204=0,0,VLOOKUP(Z204,MIE_Components!$A$2:$F$6,2,FALSE()))</f>
        <v>0</v>
      </c>
      <c r="AB204" s="14" t="n">
        <f aca="false">IF(Z204=0,0,VLOOKUP(Z204,MIE_Components!$A$2:$F$6,3,FALSE()))</f>
        <v>0</v>
      </c>
      <c r="AC204" s="14" t="n">
        <f aca="false">IF(Z204=0,0,VLOOKUP(Z204,MIE_Components!$A$2:$F$6,4,FALSE()))</f>
        <v>0</v>
      </c>
      <c r="AD204" s="14" t="n">
        <f aca="false">IF(OR($A204="",Z204=0),0,MAX(5,Z204*IF(OR($A204=Parameters!$B$13,$A204=Parameters!$B$14),0.75,1)-(IF(AND($A204=DATE(2026,11,29),NOV29BF="Yes"),AA204,0)+IF(OR($A204=DATE(2026,11,29),$A204=DATE(2026,11,30),$A204=DATE(2026,12,1),$A204=DATE(2026,12,2)),AB204,0)+IF(OR($A204=DATE(2026,11,28),$A204=DATE(2026,12,1)),AC204,0))))</f>
        <v>0</v>
      </c>
      <c r="AE204" s="14" t="n">
        <f aca="false">IF(AND($A204&lt;&gt;"",$A204&lt;Parameters!$B$14),CityData!F6*(1+TAXRATE),0)</f>
        <v>0</v>
      </c>
      <c r="AF204" s="14" t="n">
        <f aca="false">IF($A204="",0,IFERROR(VLOOKUP((YEAR($A204)+IF(MONTH($A204)&gt;=10,1,0))&amp;"|Phoenix|"&amp;MONTH($A204),Rates!$A$2:$I$181,5,FALSE()),0))</f>
        <v>0</v>
      </c>
      <c r="AG204" s="14" t="n">
        <f aca="false">IF(OR($A204="",$A204&gt;=Parameters!$B$14),1,IF(AND(AF204&gt;0,CityData!F6&lt;=AF204),1,0))</f>
        <v>1</v>
      </c>
      <c r="AH204" s="14" t="n">
        <f aca="false">IF($A204="",0,IFERROR(VLOOKUP((YEAR($A204)+IF(MONTH($A204)&gt;=10,1,0))&amp;"|Seattle|"&amp;MONTH($A204),Rates!$A$2:$I$181,6,FALSE()),0))</f>
        <v>0</v>
      </c>
      <c r="AI204" s="14" t="n">
        <f aca="false">IF(AH204=0,0,VLOOKUP(AH204,MIE_Components!$A$2:$F$6,2,FALSE()))</f>
        <v>0</v>
      </c>
      <c r="AJ204" s="14" t="n">
        <f aca="false">IF(AH204=0,0,VLOOKUP(AH204,MIE_Components!$A$2:$F$6,3,FALSE()))</f>
        <v>0</v>
      </c>
      <c r="AK204" s="14" t="n">
        <f aca="false">IF(AH204=0,0,VLOOKUP(AH204,MIE_Components!$A$2:$F$6,4,FALSE()))</f>
        <v>0</v>
      </c>
      <c r="AL204" s="14" t="n">
        <f aca="false">IF(OR($A204="",AH204=0),0,MAX(5,AH204*IF(OR($A204=Parameters!$B$13,$A204=Parameters!$B$14),0.75,1)-(IF(AND($A204=DATE(2026,11,29),NOV29BF="Yes"),AI204,0)+IF(OR($A204=DATE(2026,11,29),$A204=DATE(2026,11,30),$A204=DATE(2026,12,1),$A204=DATE(2026,12,2)),AJ204,0)+IF(OR($A204=DATE(2026,11,28),$A204=DATE(2026,12,1)),AK204,0))))</f>
        <v>0</v>
      </c>
      <c r="AM204" s="14" t="n">
        <f aca="false">IF(AND($A204&lt;&gt;"",$A204&lt;Parameters!$B$14),CityData!F7*(1+TAXRATE),0)</f>
        <v>0</v>
      </c>
      <c r="AN204" s="14" t="n">
        <f aca="false">IF($A204="",0,IFERROR(VLOOKUP((YEAR($A204)+IF(MONTH($A204)&gt;=10,1,0))&amp;"|Seattle|"&amp;MONTH($A204),Rates!$A$2:$I$181,5,FALSE()),0))</f>
        <v>0</v>
      </c>
      <c r="AO204" s="14" t="n">
        <f aca="false">IF(OR($A204="",$A204&gt;=Parameters!$B$14),1,IF(AND(AN204&gt;0,CityData!F7&lt;=AN204),1,0))</f>
        <v>1</v>
      </c>
    </row>
    <row r="205" customFormat="false" ht="15" hidden="false" customHeight="true" outlineLevel="0" collapsed="false">
      <c r="A205" s="23" t="str">
        <f aca="false">IF(AND(Parameters!$B$14&gt;=Parameters!$B$13,ROW()-2&lt;=Parameters!$B$14-Parameters!$B$13),Parameters!$B$13+ROW()-2,"")</f>
        <v/>
      </c>
      <c r="B205" s="14" t="n">
        <f aca="false">IF($A205="",0,IFERROR(VLOOKUP((YEAR($A205)+IF(MONTH($A205)&gt;=10,1,0))&amp;"|Boston|"&amp;MONTH($A205),Rates!$A$2:$I$181,6,FALSE()),0))</f>
        <v>0</v>
      </c>
      <c r="C205" s="14" t="n">
        <f aca="false">IF(B205=0,0,VLOOKUP(B205,MIE_Components!$A$2:$F$6,2,FALSE()))</f>
        <v>0</v>
      </c>
      <c r="D205" s="14" t="n">
        <f aca="false">IF(B205=0,0,VLOOKUP(B205,MIE_Components!$A$2:$F$6,3,FALSE()))</f>
        <v>0</v>
      </c>
      <c r="E205" s="14" t="n">
        <f aca="false">IF(B205=0,0,VLOOKUP(B205,MIE_Components!$A$2:$F$6,4,FALSE()))</f>
        <v>0</v>
      </c>
      <c r="F205" s="14" t="n">
        <f aca="false">IF(OR($A205="",B205=0),0,MAX(5,B205*IF(OR($A205=Parameters!$B$13,$A205=Parameters!$B$14),0.75,1)-(IF(AND($A205=DATE(2026,11,29),NOV29BF="Yes"),C205,0)+IF(OR($A205=DATE(2026,11,29),$A205=DATE(2026,11,30),$A205=DATE(2026,12,1),$A205=DATE(2026,12,2)),D205,0)+IF(OR($A205=DATE(2026,11,28),$A205=DATE(2026,12,1)),E205,0))))</f>
        <v>0</v>
      </c>
      <c r="G205" s="14" t="n">
        <f aca="false">IF(AND($A205&lt;&gt;"",$A205&lt;Parameters!$B$14),CityData!F3*(1+TAXRATE),0)</f>
        <v>0</v>
      </c>
      <c r="H205" s="14" t="n">
        <f aca="false">IF($A205="",0,IFERROR(VLOOKUP((YEAR($A205)+IF(MONTH($A205)&gt;=10,1,0))&amp;"|Boston|"&amp;MONTH($A205),Rates!$A$2:$I$181,5,FALSE()),0))</f>
        <v>0</v>
      </c>
      <c r="I205" s="14" t="n">
        <f aca="false">IF(OR($A205="",$A205&gt;=Parameters!$B$14),1,IF(AND(H205&gt;0,CityData!F3&lt;=H205),1,0))</f>
        <v>1</v>
      </c>
      <c r="J205" s="14" t="n">
        <f aca="false">IF($A205="",0,IFERROR(VLOOKUP((YEAR($A205)+IF(MONTH($A205)&gt;=10,1,0))&amp;"|Chicago|"&amp;MONTH($A205),Rates!$A$2:$I$181,6,FALSE()),0))</f>
        <v>0</v>
      </c>
      <c r="K205" s="14" t="n">
        <f aca="false">IF(J205=0,0,VLOOKUP(J205,MIE_Components!$A$2:$F$6,2,FALSE()))</f>
        <v>0</v>
      </c>
      <c r="L205" s="14" t="n">
        <f aca="false">IF(J205=0,0,VLOOKUP(J205,MIE_Components!$A$2:$F$6,3,FALSE()))</f>
        <v>0</v>
      </c>
      <c r="M205" s="14" t="n">
        <f aca="false">IF(J205=0,0,VLOOKUP(J205,MIE_Components!$A$2:$F$6,4,FALSE()))</f>
        <v>0</v>
      </c>
      <c r="N205" s="14" t="n">
        <f aca="false">IF(OR($A205="",J205=0),0,MAX(5,J205*IF(OR($A205=Parameters!$B$13,$A205=Parameters!$B$14),0.75,1)-(IF(AND($A205=DATE(2026,11,29),NOV29BF="Yes"),K205,0)+IF(OR($A205=DATE(2026,11,29),$A205=DATE(2026,11,30),$A205=DATE(2026,12,1),$A205=DATE(2026,12,2)),L205,0)+IF(OR($A205=DATE(2026,11,28),$A205=DATE(2026,12,1)),M205,0))))</f>
        <v>0</v>
      </c>
      <c r="O205" s="14" t="n">
        <f aca="false">IF(AND($A205&lt;&gt;"",$A205&lt;Parameters!$B$14),CityData!F4*(1+TAXRATE),0)</f>
        <v>0</v>
      </c>
      <c r="P205" s="14" t="n">
        <f aca="false">IF($A205="",0,IFERROR(VLOOKUP((YEAR($A205)+IF(MONTH($A205)&gt;=10,1,0))&amp;"|Chicago|"&amp;MONTH($A205),Rates!$A$2:$I$181,5,FALSE()),0))</f>
        <v>0</v>
      </c>
      <c r="Q205" s="14" t="n">
        <f aca="false">IF(OR($A205="",$A205&gt;=Parameters!$B$14),1,IF(AND(P205&gt;0,CityData!F4&lt;=P205),1,0))</f>
        <v>1</v>
      </c>
      <c r="R205" s="14" t="n">
        <f aca="false">IF($A205="",0,IFERROR(VLOOKUP((YEAR($A205)+IF(MONTH($A205)&gt;=10,1,0))&amp;"|Denver|"&amp;MONTH($A205),Rates!$A$2:$I$181,6,FALSE()),0))</f>
        <v>0</v>
      </c>
      <c r="S205" s="14" t="n">
        <f aca="false">IF(R205=0,0,VLOOKUP(R205,MIE_Components!$A$2:$F$6,2,FALSE()))</f>
        <v>0</v>
      </c>
      <c r="T205" s="14" t="n">
        <f aca="false">IF(R205=0,0,VLOOKUP(R205,MIE_Components!$A$2:$F$6,3,FALSE()))</f>
        <v>0</v>
      </c>
      <c r="U205" s="14" t="n">
        <f aca="false">IF(R205=0,0,VLOOKUP(R205,MIE_Components!$A$2:$F$6,4,FALSE()))</f>
        <v>0</v>
      </c>
      <c r="V205" s="14" t="n">
        <f aca="false">IF(OR($A205="",R205=0),0,MAX(5,R205*IF(OR($A205=Parameters!$B$13,$A205=Parameters!$B$14),0.75,1)-(IF(AND($A205=DATE(2026,11,29),NOV29BF="Yes"),S205,0)+IF(OR($A205=DATE(2026,11,29),$A205=DATE(2026,11,30),$A205=DATE(2026,12,1),$A205=DATE(2026,12,2)),T205,0)+IF(OR($A205=DATE(2026,11,28),$A205=DATE(2026,12,1)),U205,0))))</f>
        <v>0</v>
      </c>
      <c r="W205" s="14" t="n">
        <f aca="false">IF(AND($A205&lt;&gt;"",$A205&lt;Parameters!$B$14),CityData!F5*(1+TAXRATE),0)</f>
        <v>0</v>
      </c>
      <c r="X205" s="14" t="n">
        <f aca="false">IF($A205="",0,IFERROR(VLOOKUP((YEAR($A205)+IF(MONTH($A205)&gt;=10,1,0))&amp;"|Denver|"&amp;MONTH($A205),Rates!$A$2:$I$181,5,FALSE()),0))</f>
        <v>0</v>
      </c>
      <c r="Y205" s="14" t="n">
        <f aca="false">IF(OR($A205="",$A205&gt;=Parameters!$B$14),1,IF(AND(X205&gt;0,CityData!F5&lt;=X205),1,0))</f>
        <v>1</v>
      </c>
      <c r="Z205" s="14" t="n">
        <f aca="false">IF($A205="",0,IFERROR(VLOOKUP((YEAR($A205)+IF(MONTH($A205)&gt;=10,1,0))&amp;"|Phoenix|"&amp;MONTH($A205),Rates!$A$2:$I$181,6,FALSE()),0))</f>
        <v>0</v>
      </c>
      <c r="AA205" s="14" t="n">
        <f aca="false">IF(Z205=0,0,VLOOKUP(Z205,MIE_Components!$A$2:$F$6,2,FALSE()))</f>
        <v>0</v>
      </c>
      <c r="AB205" s="14" t="n">
        <f aca="false">IF(Z205=0,0,VLOOKUP(Z205,MIE_Components!$A$2:$F$6,3,FALSE()))</f>
        <v>0</v>
      </c>
      <c r="AC205" s="14" t="n">
        <f aca="false">IF(Z205=0,0,VLOOKUP(Z205,MIE_Components!$A$2:$F$6,4,FALSE()))</f>
        <v>0</v>
      </c>
      <c r="AD205" s="14" t="n">
        <f aca="false">IF(OR($A205="",Z205=0),0,MAX(5,Z205*IF(OR($A205=Parameters!$B$13,$A205=Parameters!$B$14),0.75,1)-(IF(AND($A205=DATE(2026,11,29),NOV29BF="Yes"),AA205,0)+IF(OR($A205=DATE(2026,11,29),$A205=DATE(2026,11,30),$A205=DATE(2026,12,1),$A205=DATE(2026,12,2)),AB205,0)+IF(OR($A205=DATE(2026,11,28),$A205=DATE(2026,12,1)),AC205,0))))</f>
        <v>0</v>
      </c>
      <c r="AE205" s="14" t="n">
        <f aca="false">IF(AND($A205&lt;&gt;"",$A205&lt;Parameters!$B$14),CityData!F6*(1+TAXRATE),0)</f>
        <v>0</v>
      </c>
      <c r="AF205" s="14" t="n">
        <f aca="false">IF($A205="",0,IFERROR(VLOOKUP((YEAR($A205)+IF(MONTH($A205)&gt;=10,1,0))&amp;"|Phoenix|"&amp;MONTH($A205),Rates!$A$2:$I$181,5,FALSE()),0))</f>
        <v>0</v>
      </c>
      <c r="AG205" s="14" t="n">
        <f aca="false">IF(OR($A205="",$A205&gt;=Parameters!$B$14),1,IF(AND(AF205&gt;0,CityData!F6&lt;=AF205),1,0))</f>
        <v>1</v>
      </c>
      <c r="AH205" s="14" t="n">
        <f aca="false">IF($A205="",0,IFERROR(VLOOKUP((YEAR($A205)+IF(MONTH($A205)&gt;=10,1,0))&amp;"|Seattle|"&amp;MONTH($A205),Rates!$A$2:$I$181,6,FALSE()),0))</f>
        <v>0</v>
      </c>
      <c r="AI205" s="14" t="n">
        <f aca="false">IF(AH205=0,0,VLOOKUP(AH205,MIE_Components!$A$2:$F$6,2,FALSE()))</f>
        <v>0</v>
      </c>
      <c r="AJ205" s="14" t="n">
        <f aca="false">IF(AH205=0,0,VLOOKUP(AH205,MIE_Components!$A$2:$F$6,3,FALSE()))</f>
        <v>0</v>
      </c>
      <c r="AK205" s="14" t="n">
        <f aca="false">IF(AH205=0,0,VLOOKUP(AH205,MIE_Components!$A$2:$F$6,4,FALSE()))</f>
        <v>0</v>
      </c>
      <c r="AL205" s="14" t="n">
        <f aca="false">IF(OR($A205="",AH205=0),0,MAX(5,AH205*IF(OR($A205=Parameters!$B$13,$A205=Parameters!$B$14),0.75,1)-(IF(AND($A205=DATE(2026,11,29),NOV29BF="Yes"),AI205,0)+IF(OR($A205=DATE(2026,11,29),$A205=DATE(2026,11,30),$A205=DATE(2026,12,1),$A205=DATE(2026,12,2)),AJ205,0)+IF(OR($A205=DATE(2026,11,28),$A205=DATE(2026,12,1)),AK205,0))))</f>
        <v>0</v>
      </c>
      <c r="AM205" s="14" t="n">
        <f aca="false">IF(AND($A205&lt;&gt;"",$A205&lt;Parameters!$B$14),CityData!F7*(1+TAXRATE),0)</f>
        <v>0</v>
      </c>
      <c r="AN205" s="14" t="n">
        <f aca="false">IF($A205="",0,IFERROR(VLOOKUP((YEAR($A205)+IF(MONTH($A205)&gt;=10,1,0))&amp;"|Seattle|"&amp;MONTH($A205),Rates!$A$2:$I$181,5,FALSE()),0))</f>
        <v>0</v>
      </c>
      <c r="AO205" s="14" t="n">
        <f aca="false">IF(OR($A205="",$A205&gt;=Parameters!$B$14),1,IF(AND(AN205&gt;0,CityData!F7&lt;=AN205),1,0))</f>
        <v>1</v>
      </c>
    </row>
    <row r="206" customFormat="false" ht="15" hidden="false" customHeight="true" outlineLevel="0" collapsed="false">
      <c r="A206" s="23" t="str">
        <f aca="false">IF(AND(Parameters!$B$14&gt;=Parameters!$B$13,ROW()-2&lt;=Parameters!$B$14-Parameters!$B$13),Parameters!$B$13+ROW()-2,"")</f>
        <v/>
      </c>
      <c r="B206" s="14" t="n">
        <f aca="false">IF($A206="",0,IFERROR(VLOOKUP((YEAR($A206)+IF(MONTH($A206)&gt;=10,1,0))&amp;"|Boston|"&amp;MONTH($A206),Rates!$A$2:$I$181,6,FALSE()),0))</f>
        <v>0</v>
      </c>
      <c r="C206" s="14" t="n">
        <f aca="false">IF(B206=0,0,VLOOKUP(B206,MIE_Components!$A$2:$F$6,2,FALSE()))</f>
        <v>0</v>
      </c>
      <c r="D206" s="14" t="n">
        <f aca="false">IF(B206=0,0,VLOOKUP(B206,MIE_Components!$A$2:$F$6,3,FALSE()))</f>
        <v>0</v>
      </c>
      <c r="E206" s="14" t="n">
        <f aca="false">IF(B206=0,0,VLOOKUP(B206,MIE_Components!$A$2:$F$6,4,FALSE()))</f>
        <v>0</v>
      </c>
      <c r="F206" s="14" t="n">
        <f aca="false">IF(OR($A206="",B206=0),0,MAX(5,B206*IF(OR($A206=Parameters!$B$13,$A206=Parameters!$B$14),0.75,1)-(IF(AND($A206=DATE(2026,11,29),NOV29BF="Yes"),C206,0)+IF(OR($A206=DATE(2026,11,29),$A206=DATE(2026,11,30),$A206=DATE(2026,12,1),$A206=DATE(2026,12,2)),D206,0)+IF(OR($A206=DATE(2026,11,28),$A206=DATE(2026,12,1)),E206,0))))</f>
        <v>0</v>
      </c>
      <c r="G206" s="14" t="n">
        <f aca="false">IF(AND($A206&lt;&gt;"",$A206&lt;Parameters!$B$14),CityData!F3*(1+TAXRATE),0)</f>
        <v>0</v>
      </c>
      <c r="H206" s="14" t="n">
        <f aca="false">IF($A206="",0,IFERROR(VLOOKUP((YEAR($A206)+IF(MONTH($A206)&gt;=10,1,0))&amp;"|Boston|"&amp;MONTH($A206),Rates!$A$2:$I$181,5,FALSE()),0))</f>
        <v>0</v>
      </c>
      <c r="I206" s="14" t="n">
        <f aca="false">IF(OR($A206="",$A206&gt;=Parameters!$B$14),1,IF(AND(H206&gt;0,CityData!F3&lt;=H206),1,0))</f>
        <v>1</v>
      </c>
      <c r="J206" s="14" t="n">
        <f aca="false">IF($A206="",0,IFERROR(VLOOKUP((YEAR($A206)+IF(MONTH($A206)&gt;=10,1,0))&amp;"|Chicago|"&amp;MONTH($A206),Rates!$A$2:$I$181,6,FALSE()),0))</f>
        <v>0</v>
      </c>
      <c r="K206" s="14" t="n">
        <f aca="false">IF(J206=0,0,VLOOKUP(J206,MIE_Components!$A$2:$F$6,2,FALSE()))</f>
        <v>0</v>
      </c>
      <c r="L206" s="14" t="n">
        <f aca="false">IF(J206=0,0,VLOOKUP(J206,MIE_Components!$A$2:$F$6,3,FALSE()))</f>
        <v>0</v>
      </c>
      <c r="M206" s="14" t="n">
        <f aca="false">IF(J206=0,0,VLOOKUP(J206,MIE_Components!$A$2:$F$6,4,FALSE()))</f>
        <v>0</v>
      </c>
      <c r="N206" s="14" t="n">
        <f aca="false">IF(OR($A206="",J206=0),0,MAX(5,J206*IF(OR($A206=Parameters!$B$13,$A206=Parameters!$B$14),0.75,1)-(IF(AND($A206=DATE(2026,11,29),NOV29BF="Yes"),K206,0)+IF(OR($A206=DATE(2026,11,29),$A206=DATE(2026,11,30),$A206=DATE(2026,12,1),$A206=DATE(2026,12,2)),L206,0)+IF(OR($A206=DATE(2026,11,28),$A206=DATE(2026,12,1)),M206,0))))</f>
        <v>0</v>
      </c>
      <c r="O206" s="14" t="n">
        <f aca="false">IF(AND($A206&lt;&gt;"",$A206&lt;Parameters!$B$14),CityData!F4*(1+TAXRATE),0)</f>
        <v>0</v>
      </c>
      <c r="P206" s="14" t="n">
        <f aca="false">IF($A206="",0,IFERROR(VLOOKUP((YEAR($A206)+IF(MONTH($A206)&gt;=10,1,0))&amp;"|Chicago|"&amp;MONTH($A206),Rates!$A$2:$I$181,5,FALSE()),0))</f>
        <v>0</v>
      </c>
      <c r="Q206" s="14" t="n">
        <f aca="false">IF(OR($A206="",$A206&gt;=Parameters!$B$14),1,IF(AND(P206&gt;0,CityData!F4&lt;=P206),1,0))</f>
        <v>1</v>
      </c>
      <c r="R206" s="14" t="n">
        <f aca="false">IF($A206="",0,IFERROR(VLOOKUP((YEAR($A206)+IF(MONTH($A206)&gt;=10,1,0))&amp;"|Denver|"&amp;MONTH($A206),Rates!$A$2:$I$181,6,FALSE()),0))</f>
        <v>0</v>
      </c>
      <c r="S206" s="14" t="n">
        <f aca="false">IF(R206=0,0,VLOOKUP(R206,MIE_Components!$A$2:$F$6,2,FALSE()))</f>
        <v>0</v>
      </c>
      <c r="T206" s="14" t="n">
        <f aca="false">IF(R206=0,0,VLOOKUP(R206,MIE_Components!$A$2:$F$6,3,FALSE()))</f>
        <v>0</v>
      </c>
      <c r="U206" s="14" t="n">
        <f aca="false">IF(R206=0,0,VLOOKUP(R206,MIE_Components!$A$2:$F$6,4,FALSE()))</f>
        <v>0</v>
      </c>
      <c r="V206" s="14" t="n">
        <f aca="false">IF(OR($A206="",R206=0),0,MAX(5,R206*IF(OR($A206=Parameters!$B$13,$A206=Parameters!$B$14),0.75,1)-(IF(AND($A206=DATE(2026,11,29),NOV29BF="Yes"),S206,0)+IF(OR($A206=DATE(2026,11,29),$A206=DATE(2026,11,30),$A206=DATE(2026,12,1),$A206=DATE(2026,12,2)),T206,0)+IF(OR($A206=DATE(2026,11,28),$A206=DATE(2026,12,1)),U206,0))))</f>
        <v>0</v>
      </c>
      <c r="W206" s="14" t="n">
        <f aca="false">IF(AND($A206&lt;&gt;"",$A206&lt;Parameters!$B$14),CityData!F5*(1+TAXRATE),0)</f>
        <v>0</v>
      </c>
      <c r="X206" s="14" t="n">
        <f aca="false">IF($A206="",0,IFERROR(VLOOKUP((YEAR($A206)+IF(MONTH($A206)&gt;=10,1,0))&amp;"|Denver|"&amp;MONTH($A206),Rates!$A$2:$I$181,5,FALSE()),0))</f>
        <v>0</v>
      </c>
      <c r="Y206" s="14" t="n">
        <f aca="false">IF(OR($A206="",$A206&gt;=Parameters!$B$14),1,IF(AND(X206&gt;0,CityData!F5&lt;=X206),1,0))</f>
        <v>1</v>
      </c>
      <c r="Z206" s="14" t="n">
        <f aca="false">IF($A206="",0,IFERROR(VLOOKUP((YEAR($A206)+IF(MONTH($A206)&gt;=10,1,0))&amp;"|Phoenix|"&amp;MONTH($A206),Rates!$A$2:$I$181,6,FALSE()),0))</f>
        <v>0</v>
      </c>
      <c r="AA206" s="14" t="n">
        <f aca="false">IF(Z206=0,0,VLOOKUP(Z206,MIE_Components!$A$2:$F$6,2,FALSE()))</f>
        <v>0</v>
      </c>
      <c r="AB206" s="14" t="n">
        <f aca="false">IF(Z206=0,0,VLOOKUP(Z206,MIE_Components!$A$2:$F$6,3,FALSE()))</f>
        <v>0</v>
      </c>
      <c r="AC206" s="14" t="n">
        <f aca="false">IF(Z206=0,0,VLOOKUP(Z206,MIE_Components!$A$2:$F$6,4,FALSE()))</f>
        <v>0</v>
      </c>
      <c r="AD206" s="14" t="n">
        <f aca="false">IF(OR($A206="",Z206=0),0,MAX(5,Z206*IF(OR($A206=Parameters!$B$13,$A206=Parameters!$B$14),0.75,1)-(IF(AND($A206=DATE(2026,11,29),NOV29BF="Yes"),AA206,0)+IF(OR($A206=DATE(2026,11,29),$A206=DATE(2026,11,30),$A206=DATE(2026,12,1),$A206=DATE(2026,12,2)),AB206,0)+IF(OR($A206=DATE(2026,11,28),$A206=DATE(2026,12,1)),AC206,0))))</f>
        <v>0</v>
      </c>
      <c r="AE206" s="14" t="n">
        <f aca="false">IF(AND($A206&lt;&gt;"",$A206&lt;Parameters!$B$14),CityData!F6*(1+TAXRATE),0)</f>
        <v>0</v>
      </c>
      <c r="AF206" s="14" t="n">
        <f aca="false">IF($A206="",0,IFERROR(VLOOKUP((YEAR($A206)+IF(MONTH($A206)&gt;=10,1,0))&amp;"|Phoenix|"&amp;MONTH($A206),Rates!$A$2:$I$181,5,FALSE()),0))</f>
        <v>0</v>
      </c>
      <c r="AG206" s="14" t="n">
        <f aca="false">IF(OR($A206="",$A206&gt;=Parameters!$B$14),1,IF(AND(AF206&gt;0,CityData!F6&lt;=AF206),1,0))</f>
        <v>1</v>
      </c>
      <c r="AH206" s="14" t="n">
        <f aca="false">IF($A206="",0,IFERROR(VLOOKUP((YEAR($A206)+IF(MONTH($A206)&gt;=10,1,0))&amp;"|Seattle|"&amp;MONTH($A206),Rates!$A$2:$I$181,6,FALSE()),0))</f>
        <v>0</v>
      </c>
      <c r="AI206" s="14" t="n">
        <f aca="false">IF(AH206=0,0,VLOOKUP(AH206,MIE_Components!$A$2:$F$6,2,FALSE()))</f>
        <v>0</v>
      </c>
      <c r="AJ206" s="14" t="n">
        <f aca="false">IF(AH206=0,0,VLOOKUP(AH206,MIE_Components!$A$2:$F$6,3,FALSE()))</f>
        <v>0</v>
      </c>
      <c r="AK206" s="14" t="n">
        <f aca="false">IF(AH206=0,0,VLOOKUP(AH206,MIE_Components!$A$2:$F$6,4,FALSE()))</f>
        <v>0</v>
      </c>
      <c r="AL206" s="14" t="n">
        <f aca="false">IF(OR($A206="",AH206=0),0,MAX(5,AH206*IF(OR($A206=Parameters!$B$13,$A206=Parameters!$B$14),0.75,1)-(IF(AND($A206=DATE(2026,11,29),NOV29BF="Yes"),AI206,0)+IF(OR($A206=DATE(2026,11,29),$A206=DATE(2026,11,30),$A206=DATE(2026,12,1),$A206=DATE(2026,12,2)),AJ206,0)+IF(OR($A206=DATE(2026,11,28),$A206=DATE(2026,12,1)),AK206,0))))</f>
        <v>0</v>
      </c>
      <c r="AM206" s="14" t="n">
        <f aca="false">IF(AND($A206&lt;&gt;"",$A206&lt;Parameters!$B$14),CityData!F7*(1+TAXRATE),0)</f>
        <v>0</v>
      </c>
      <c r="AN206" s="14" t="n">
        <f aca="false">IF($A206="",0,IFERROR(VLOOKUP((YEAR($A206)+IF(MONTH($A206)&gt;=10,1,0))&amp;"|Seattle|"&amp;MONTH($A206),Rates!$A$2:$I$181,5,FALSE()),0))</f>
        <v>0</v>
      </c>
      <c r="AO206" s="14" t="n">
        <f aca="false">IF(OR($A206="",$A206&gt;=Parameters!$B$14),1,IF(AND(AN206&gt;0,CityData!F7&lt;=AN206),1,0))</f>
        <v>1</v>
      </c>
    </row>
    <row r="207" customFormat="false" ht="15" hidden="false" customHeight="true" outlineLevel="0" collapsed="false">
      <c r="A207" s="23" t="str">
        <f aca="false">IF(AND(Parameters!$B$14&gt;=Parameters!$B$13,ROW()-2&lt;=Parameters!$B$14-Parameters!$B$13),Parameters!$B$13+ROW()-2,"")</f>
        <v/>
      </c>
      <c r="B207" s="14" t="n">
        <f aca="false">IF($A207="",0,IFERROR(VLOOKUP((YEAR($A207)+IF(MONTH($A207)&gt;=10,1,0))&amp;"|Boston|"&amp;MONTH($A207),Rates!$A$2:$I$181,6,FALSE()),0))</f>
        <v>0</v>
      </c>
      <c r="C207" s="14" t="n">
        <f aca="false">IF(B207=0,0,VLOOKUP(B207,MIE_Components!$A$2:$F$6,2,FALSE()))</f>
        <v>0</v>
      </c>
      <c r="D207" s="14" t="n">
        <f aca="false">IF(B207=0,0,VLOOKUP(B207,MIE_Components!$A$2:$F$6,3,FALSE()))</f>
        <v>0</v>
      </c>
      <c r="E207" s="14" t="n">
        <f aca="false">IF(B207=0,0,VLOOKUP(B207,MIE_Components!$A$2:$F$6,4,FALSE()))</f>
        <v>0</v>
      </c>
      <c r="F207" s="14" t="n">
        <f aca="false">IF(OR($A207="",B207=0),0,MAX(5,B207*IF(OR($A207=Parameters!$B$13,$A207=Parameters!$B$14),0.75,1)-(IF(AND($A207=DATE(2026,11,29),NOV29BF="Yes"),C207,0)+IF(OR($A207=DATE(2026,11,29),$A207=DATE(2026,11,30),$A207=DATE(2026,12,1),$A207=DATE(2026,12,2)),D207,0)+IF(OR($A207=DATE(2026,11,28),$A207=DATE(2026,12,1)),E207,0))))</f>
        <v>0</v>
      </c>
      <c r="G207" s="14" t="n">
        <f aca="false">IF(AND($A207&lt;&gt;"",$A207&lt;Parameters!$B$14),CityData!F3*(1+TAXRATE),0)</f>
        <v>0</v>
      </c>
      <c r="H207" s="14" t="n">
        <f aca="false">IF($A207="",0,IFERROR(VLOOKUP((YEAR($A207)+IF(MONTH($A207)&gt;=10,1,0))&amp;"|Boston|"&amp;MONTH($A207),Rates!$A$2:$I$181,5,FALSE()),0))</f>
        <v>0</v>
      </c>
      <c r="I207" s="14" t="n">
        <f aca="false">IF(OR($A207="",$A207&gt;=Parameters!$B$14),1,IF(AND(H207&gt;0,CityData!F3&lt;=H207),1,0))</f>
        <v>1</v>
      </c>
      <c r="J207" s="14" t="n">
        <f aca="false">IF($A207="",0,IFERROR(VLOOKUP((YEAR($A207)+IF(MONTH($A207)&gt;=10,1,0))&amp;"|Chicago|"&amp;MONTH($A207),Rates!$A$2:$I$181,6,FALSE()),0))</f>
        <v>0</v>
      </c>
      <c r="K207" s="14" t="n">
        <f aca="false">IF(J207=0,0,VLOOKUP(J207,MIE_Components!$A$2:$F$6,2,FALSE()))</f>
        <v>0</v>
      </c>
      <c r="L207" s="14" t="n">
        <f aca="false">IF(J207=0,0,VLOOKUP(J207,MIE_Components!$A$2:$F$6,3,FALSE()))</f>
        <v>0</v>
      </c>
      <c r="M207" s="14" t="n">
        <f aca="false">IF(J207=0,0,VLOOKUP(J207,MIE_Components!$A$2:$F$6,4,FALSE()))</f>
        <v>0</v>
      </c>
      <c r="N207" s="14" t="n">
        <f aca="false">IF(OR($A207="",J207=0),0,MAX(5,J207*IF(OR($A207=Parameters!$B$13,$A207=Parameters!$B$14),0.75,1)-(IF(AND($A207=DATE(2026,11,29),NOV29BF="Yes"),K207,0)+IF(OR($A207=DATE(2026,11,29),$A207=DATE(2026,11,30),$A207=DATE(2026,12,1),$A207=DATE(2026,12,2)),L207,0)+IF(OR($A207=DATE(2026,11,28),$A207=DATE(2026,12,1)),M207,0))))</f>
        <v>0</v>
      </c>
      <c r="O207" s="14" t="n">
        <f aca="false">IF(AND($A207&lt;&gt;"",$A207&lt;Parameters!$B$14),CityData!F4*(1+TAXRATE),0)</f>
        <v>0</v>
      </c>
      <c r="P207" s="14" t="n">
        <f aca="false">IF($A207="",0,IFERROR(VLOOKUP((YEAR($A207)+IF(MONTH($A207)&gt;=10,1,0))&amp;"|Chicago|"&amp;MONTH($A207),Rates!$A$2:$I$181,5,FALSE()),0))</f>
        <v>0</v>
      </c>
      <c r="Q207" s="14" t="n">
        <f aca="false">IF(OR($A207="",$A207&gt;=Parameters!$B$14),1,IF(AND(P207&gt;0,CityData!F4&lt;=P207),1,0))</f>
        <v>1</v>
      </c>
      <c r="R207" s="14" t="n">
        <f aca="false">IF($A207="",0,IFERROR(VLOOKUP((YEAR($A207)+IF(MONTH($A207)&gt;=10,1,0))&amp;"|Denver|"&amp;MONTH($A207),Rates!$A$2:$I$181,6,FALSE()),0))</f>
        <v>0</v>
      </c>
      <c r="S207" s="14" t="n">
        <f aca="false">IF(R207=0,0,VLOOKUP(R207,MIE_Components!$A$2:$F$6,2,FALSE()))</f>
        <v>0</v>
      </c>
      <c r="T207" s="14" t="n">
        <f aca="false">IF(R207=0,0,VLOOKUP(R207,MIE_Components!$A$2:$F$6,3,FALSE()))</f>
        <v>0</v>
      </c>
      <c r="U207" s="14" t="n">
        <f aca="false">IF(R207=0,0,VLOOKUP(R207,MIE_Components!$A$2:$F$6,4,FALSE()))</f>
        <v>0</v>
      </c>
      <c r="V207" s="14" t="n">
        <f aca="false">IF(OR($A207="",R207=0),0,MAX(5,R207*IF(OR($A207=Parameters!$B$13,$A207=Parameters!$B$14),0.75,1)-(IF(AND($A207=DATE(2026,11,29),NOV29BF="Yes"),S207,0)+IF(OR($A207=DATE(2026,11,29),$A207=DATE(2026,11,30),$A207=DATE(2026,12,1),$A207=DATE(2026,12,2)),T207,0)+IF(OR($A207=DATE(2026,11,28),$A207=DATE(2026,12,1)),U207,0))))</f>
        <v>0</v>
      </c>
      <c r="W207" s="14" t="n">
        <f aca="false">IF(AND($A207&lt;&gt;"",$A207&lt;Parameters!$B$14),CityData!F5*(1+TAXRATE),0)</f>
        <v>0</v>
      </c>
      <c r="X207" s="14" t="n">
        <f aca="false">IF($A207="",0,IFERROR(VLOOKUP((YEAR($A207)+IF(MONTH($A207)&gt;=10,1,0))&amp;"|Denver|"&amp;MONTH($A207),Rates!$A$2:$I$181,5,FALSE()),0))</f>
        <v>0</v>
      </c>
      <c r="Y207" s="14" t="n">
        <f aca="false">IF(OR($A207="",$A207&gt;=Parameters!$B$14),1,IF(AND(X207&gt;0,CityData!F5&lt;=X207),1,0))</f>
        <v>1</v>
      </c>
      <c r="Z207" s="14" t="n">
        <f aca="false">IF($A207="",0,IFERROR(VLOOKUP((YEAR($A207)+IF(MONTH($A207)&gt;=10,1,0))&amp;"|Phoenix|"&amp;MONTH($A207),Rates!$A$2:$I$181,6,FALSE()),0))</f>
        <v>0</v>
      </c>
      <c r="AA207" s="14" t="n">
        <f aca="false">IF(Z207=0,0,VLOOKUP(Z207,MIE_Components!$A$2:$F$6,2,FALSE()))</f>
        <v>0</v>
      </c>
      <c r="AB207" s="14" t="n">
        <f aca="false">IF(Z207=0,0,VLOOKUP(Z207,MIE_Components!$A$2:$F$6,3,FALSE()))</f>
        <v>0</v>
      </c>
      <c r="AC207" s="14" t="n">
        <f aca="false">IF(Z207=0,0,VLOOKUP(Z207,MIE_Components!$A$2:$F$6,4,FALSE()))</f>
        <v>0</v>
      </c>
      <c r="AD207" s="14" t="n">
        <f aca="false">IF(OR($A207="",Z207=0),0,MAX(5,Z207*IF(OR($A207=Parameters!$B$13,$A207=Parameters!$B$14),0.75,1)-(IF(AND($A207=DATE(2026,11,29),NOV29BF="Yes"),AA207,0)+IF(OR($A207=DATE(2026,11,29),$A207=DATE(2026,11,30),$A207=DATE(2026,12,1),$A207=DATE(2026,12,2)),AB207,0)+IF(OR($A207=DATE(2026,11,28),$A207=DATE(2026,12,1)),AC207,0))))</f>
        <v>0</v>
      </c>
      <c r="AE207" s="14" t="n">
        <f aca="false">IF(AND($A207&lt;&gt;"",$A207&lt;Parameters!$B$14),CityData!F6*(1+TAXRATE),0)</f>
        <v>0</v>
      </c>
      <c r="AF207" s="14" t="n">
        <f aca="false">IF($A207="",0,IFERROR(VLOOKUP((YEAR($A207)+IF(MONTH($A207)&gt;=10,1,0))&amp;"|Phoenix|"&amp;MONTH($A207),Rates!$A$2:$I$181,5,FALSE()),0))</f>
        <v>0</v>
      </c>
      <c r="AG207" s="14" t="n">
        <f aca="false">IF(OR($A207="",$A207&gt;=Parameters!$B$14),1,IF(AND(AF207&gt;0,CityData!F6&lt;=AF207),1,0))</f>
        <v>1</v>
      </c>
      <c r="AH207" s="14" t="n">
        <f aca="false">IF($A207="",0,IFERROR(VLOOKUP((YEAR($A207)+IF(MONTH($A207)&gt;=10,1,0))&amp;"|Seattle|"&amp;MONTH($A207),Rates!$A$2:$I$181,6,FALSE()),0))</f>
        <v>0</v>
      </c>
      <c r="AI207" s="14" t="n">
        <f aca="false">IF(AH207=0,0,VLOOKUP(AH207,MIE_Components!$A$2:$F$6,2,FALSE()))</f>
        <v>0</v>
      </c>
      <c r="AJ207" s="14" t="n">
        <f aca="false">IF(AH207=0,0,VLOOKUP(AH207,MIE_Components!$A$2:$F$6,3,FALSE()))</f>
        <v>0</v>
      </c>
      <c r="AK207" s="14" t="n">
        <f aca="false">IF(AH207=0,0,VLOOKUP(AH207,MIE_Components!$A$2:$F$6,4,FALSE()))</f>
        <v>0</v>
      </c>
      <c r="AL207" s="14" t="n">
        <f aca="false">IF(OR($A207="",AH207=0),0,MAX(5,AH207*IF(OR($A207=Parameters!$B$13,$A207=Parameters!$B$14),0.75,1)-(IF(AND($A207=DATE(2026,11,29),NOV29BF="Yes"),AI207,0)+IF(OR($A207=DATE(2026,11,29),$A207=DATE(2026,11,30),$A207=DATE(2026,12,1),$A207=DATE(2026,12,2)),AJ207,0)+IF(OR($A207=DATE(2026,11,28),$A207=DATE(2026,12,1)),AK207,0))))</f>
        <v>0</v>
      </c>
      <c r="AM207" s="14" t="n">
        <f aca="false">IF(AND($A207&lt;&gt;"",$A207&lt;Parameters!$B$14),CityData!F7*(1+TAXRATE),0)</f>
        <v>0</v>
      </c>
      <c r="AN207" s="14" t="n">
        <f aca="false">IF($A207="",0,IFERROR(VLOOKUP((YEAR($A207)+IF(MONTH($A207)&gt;=10,1,0))&amp;"|Seattle|"&amp;MONTH($A207),Rates!$A$2:$I$181,5,FALSE()),0))</f>
        <v>0</v>
      </c>
      <c r="AO207" s="14" t="n">
        <f aca="false">IF(OR($A207="",$A207&gt;=Parameters!$B$14),1,IF(AND(AN207&gt;0,CityData!F7&lt;=AN207),1,0))</f>
        <v>1</v>
      </c>
    </row>
    <row r="208" customFormat="false" ht="15" hidden="false" customHeight="true" outlineLevel="0" collapsed="false">
      <c r="A208" s="23" t="str">
        <f aca="false">IF(AND(Parameters!$B$14&gt;=Parameters!$B$13,ROW()-2&lt;=Parameters!$B$14-Parameters!$B$13),Parameters!$B$13+ROW()-2,"")</f>
        <v/>
      </c>
      <c r="B208" s="14" t="n">
        <f aca="false">IF($A208="",0,IFERROR(VLOOKUP((YEAR($A208)+IF(MONTH($A208)&gt;=10,1,0))&amp;"|Boston|"&amp;MONTH($A208),Rates!$A$2:$I$181,6,FALSE()),0))</f>
        <v>0</v>
      </c>
      <c r="C208" s="14" t="n">
        <f aca="false">IF(B208=0,0,VLOOKUP(B208,MIE_Components!$A$2:$F$6,2,FALSE()))</f>
        <v>0</v>
      </c>
      <c r="D208" s="14" t="n">
        <f aca="false">IF(B208=0,0,VLOOKUP(B208,MIE_Components!$A$2:$F$6,3,FALSE()))</f>
        <v>0</v>
      </c>
      <c r="E208" s="14" t="n">
        <f aca="false">IF(B208=0,0,VLOOKUP(B208,MIE_Components!$A$2:$F$6,4,FALSE()))</f>
        <v>0</v>
      </c>
      <c r="F208" s="14" t="n">
        <f aca="false">IF(OR($A208="",B208=0),0,MAX(5,B208*IF(OR($A208=Parameters!$B$13,$A208=Parameters!$B$14),0.75,1)-(IF(AND($A208=DATE(2026,11,29),NOV29BF="Yes"),C208,0)+IF(OR($A208=DATE(2026,11,29),$A208=DATE(2026,11,30),$A208=DATE(2026,12,1),$A208=DATE(2026,12,2)),D208,0)+IF(OR($A208=DATE(2026,11,28),$A208=DATE(2026,12,1)),E208,0))))</f>
        <v>0</v>
      </c>
      <c r="G208" s="14" t="n">
        <f aca="false">IF(AND($A208&lt;&gt;"",$A208&lt;Parameters!$B$14),CityData!F3*(1+TAXRATE),0)</f>
        <v>0</v>
      </c>
      <c r="H208" s="14" t="n">
        <f aca="false">IF($A208="",0,IFERROR(VLOOKUP((YEAR($A208)+IF(MONTH($A208)&gt;=10,1,0))&amp;"|Boston|"&amp;MONTH($A208),Rates!$A$2:$I$181,5,FALSE()),0))</f>
        <v>0</v>
      </c>
      <c r="I208" s="14" t="n">
        <f aca="false">IF(OR($A208="",$A208&gt;=Parameters!$B$14),1,IF(AND(H208&gt;0,CityData!F3&lt;=H208),1,0))</f>
        <v>1</v>
      </c>
      <c r="J208" s="14" t="n">
        <f aca="false">IF($A208="",0,IFERROR(VLOOKUP((YEAR($A208)+IF(MONTH($A208)&gt;=10,1,0))&amp;"|Chicago|"&amp;MONTH($A208),Rates!$A$2:$I$181,6,FALSE()),0))</f>
        <v>0</v>
      </c>
      <c r="K208" s="14" t="n">
        <f aca="false">IF(J208=0,0,VLOOKUP(J208,MIE_Components!$A$2:$F$6,2,FALSE()))</f>
        <v>0</v>
      </c>
      <c r="L208" s="14" t="n">
        <f aca="false">IF(J208=0,0,VLOOKUP(J208,MIE_Components!$A$2:$F$6,3,FALSE()))</f>
        <v>0</v>
      </c>
      <c r="M208" s="14" t="n">
        <f aca="false">IF(J208=0,0,VLOOKUP(J208,MIE_Components!$A$2:$F$6,4,FALSE()))</f>
        <v>0</v>
      </c>
      <c r="N208" s="14" t="n">
        <f aca="false">IF(OR($A208="",J208=0),0,MAX(5,J208*IF(OR($A208=Parameters!$B$13,$A208=Parameters!$B$14),0.75,1)-(IF(AND($A208=DATE(2026,11,29),NOV29BF="Yes"),K208,0)+IF(OR($A208=DATE(2026,11,29),$A208=DATE(2026,11,30),$A208=DATE(2026,12,1),$A208=DATE(2026,12,2)),L208,0)+IF(OR($A208=DATE(2026,11,28),$A208=DATE(2026,12,1)),M208,0))))</f>
        <v>0</v>
      </c>
      <c r="O208" s="14" t="n">
        <f aca="false">IF(AND($A208&lt;&gt;"",$A208&lt;Parameters!$B$14),CityData!F4*(1+TAXRATE),0)</f>
        <v>0</v>
      </c>
      <c r="P208" s="14" t="n">
        <f aca="false">IF($A208="",0,IFERROR(VLOOKUP((YEAR($A208)+IF(MONTH($A208)&gt;=10,1,0))&amp;"|Chicago|"&amp;MONTH($A208),Rates!$A$2:$I$181,5,FALSE()),0))</f>
        <v>0</v>
      </c>
      <c r="Q208" s="14" t="n">
        <f aca="false">IF(OR($A208="",$A208&gt;=Parameters!$B$14),1,IF(AND(P208&gt;0,CityData!F4&lt;=P208),1,0))</f>
        <v>1</v>
      </c>
      <c r="R208" s="14" t="n">
        <f aca="false">IF($A208="",0,IFERROR(VLOOKUP((YEAR($A208)+IF(MONTH($A208)&gt;=10,1,0))&amp;"|Denver|"&amp;MONTH($A208),Rates!$A$2:$I$181,6,FALSE()),0))</f>
        <v>0</v>
      </c>
      <c r="S208" s="14" t="n">
        <f aca="false">IF(R208=0,0,VLOOKUP(R208,MIE_Components!$A$2:$F$6,2,FALSE()))</f>
        <v>0</v>
      </c>
      <c r="T208" s="14" t="n">
        <f aca="false">IF(R208=0,0,VLOOKUP(R208,MIE_Components!$A$2:$F$6,3,FALSE()))</f>
        <v>0</v>
      </c>
      <c r="U208" s="14" t="n">
        <f aca="false">IF(R208=0,0,VLOOKUP(R208,MIE_Components!$A$2:$F$6,4,FALSE()))</f>
        <v>0</v>
      </c>
      <c r="V208" s="14" t="n">
        <f aca="false">IF(OR($A208="",R208=0),0,MAX(5,R208*IF(OR($A208=Parameters!$B$13,$A208=Parameters!$B$14),0.75,1)-(IF(AND($A208=DATE(2026,11,29),NOV29BF="Yes"),S208,0)+IF(OR($A208=DATE(2026,11,29),$A208=DATE(2026,11,30),$A208=DATE(2026,12,1),$A208=DATE(2026,12,2)),T208,0)+IF(OR($A208=DATE(2026,11,28),$A208=DATE(2026,12,1)),U208,0))))</f>
        <v>0</v>
      </c>
      <c r="W208" s="14" t="n">
        <f aca="false">IF(AND($A208&lt;&gt;"",$A208&lt;Parameters!$B$14),CityData!F5*(1+TAXRATE),0)</f>
        <v>0</v>
      </c>
      <c r="X208" s="14" t="n">
        <f aca="false">IF($A208="",0,IFERROR(VLOOKUP((YEAR($A208)+IF(MONTH($A208)&gt;=10,1,0))&amp;"|Denver|"&amp;MONTH($A208),Rates!$A$2:$I$181,5,FALSE()),0))</f>
        <v>0</v>
      </c>
      <c r="Y208" s="14" t="n">
        <f aca="false">IF(OR($A208="",$A208&gt;=Parameters!$B$14),1,IF(AND(X208&gt;0,CityData!F5&lt;=X208),1,0))</f>
        <v>1</v>
      </c>
      <c r="Z208" s="14" t="n">
        <f aca="false">IF($A208="",0,IFERROR(VLOOKUP((YEAR($A208)+IF(MONTH($A208)&gt;=10,1,0))&amp;"|Phoenix|"&amp;MONTH($A208),Rates!$A$2:$I$181,6,FALSE()),0))</f>
        <v>0</v>
      </c>
      <c r="AA208" s="14" t="n">
        <f aca="false">IF(Z208=0,0,VLOOKUP(Z208,MIE_Components!$A$2:$F$6,2,FALSE()))</f>
        <v>0</v>
      </c>
      <c r="AB208" s="14" t="n">
        <f aca="false">IF(Z208=0,0,VLOOKUP(Z208,MIE_Components!$A$2:$F$6,3,FALSE()))</f>
        <v>0</v>
      </c>
      <c r="AC208" s="14" t="n">
        <f aca="false">IF(Z208=0,0,VLOOKUP(Z208,MIE_Components!$A$2:$F$6,4,FALSE()))</f>
        <v>0</v>
      </c>
      <c r="AD208" s="14" t="n">
        <f aca="false">IF(OR($A208="",Z208=0),0,MAX(5,Z208*IF(OR($A208=Parameters!$B$13,$A208=Parameters!$B$14),0.75,1)-(IF(AND($A208=DATE(2026,11,29),NOV29BF="Yes"),AA208,0)+IF(OR($A208=DATE(2026,11,29),$A208=DATE(2026,11,30),$A208=DATE(2026,12,1),$A208=DATE(2026,12,2)),AB208,0)+IF(OR($A208=DATE(2026,11,28),$A208=DATE(2026,12,1)),AC208,0))))</f>
        <v>0</v>
      </c>
      <c r="AE208" s="14" t="n">
        <f aca="false">IF(AND($A208&lt;&gt;"",$A208&lt;Parameters!$B$14),CityData!F6*(1+TAXRATE),0)</f>
        <v>0</v>
      </c>
      <c r="AF208" s="14" t="n">
        <f aca="false">IF($A208="",0,IFERROR(VLOOKUP((YEAR($A208)+IF(MONTH($A208)&gt;=10,1,0))&amp;"|Phoenix|"&amp;MONTH($A208),Rates!$A$2:$I$181,5,FALSE()),0))</f>
        <v>0</v>
      </c>
      <c r="AG208" s="14" t="n">
        <f aca="false">IF(OR($A208="",$A208&gt;=Parameters!$B$14),1,IF(AND(AF208&gt;0,CityData!F6&lt;=AF208),1,0))</f>
        <v>1</v>
      </c>
      <c r="AH208" s="14" t="n">
        <f aca="false">IF($A208="",0,IFERROR(VLOOKUP((YEAR($A208)+IF(MONTH($A208)&gt;=10,1,0))&amp;"|Seattle|"&amp;MONTH($A208),Rates!$A$2:$I$181,6,FALSE()),0))</f>
        <v>0</v>
      </c>
      <c r="AI208" s="14" t="n">
        <f aca="false">IF(AH208=0,0,VLOOKUP(AH208,MIE_Components!$A$2:$F$6,2,FALSE()))</f>
        <v>0</v>
      </c>
      <c r="AJ208" s="14" t="n">
        <f aca="false">IF(AH208=0,0,VLOOKUP(AH208,MIE_Components!$A$2:$F$6,3,FALSE()))</f>
        <v>0</v>
      </c>
      <c r="AK208" s="14" t="n">
        <f aca="false">IF(AH208=0,0,VLOOKUP(AH208,MIE_Components!$A$2:$F$6,4,FALSE()))</f>
        <v>0</v>
      </c>
      <c r="AL208" s="14" t="n">
        <f aca="false">IF(OR($A208="",AH208=0),0,MAX(5,AH208*IF(OR($A208=Parameters!$B$13,$A208=Parameters!$B$14),0.75,1)-(IF(AND($A208=DATE(2026,11,29),NOV29BF="Yes"),AI208,0)+IF(OR($A208=DATE(2026,11,29),$A208=DATE(2026,11,30),$A208=DATE(2026,12,1),$A208=DATE(2026,12,2)),AJ208,0)+IF(OR($A208=DATE(2026,11,28),$A208=DATE(2026,12,1)),AK208,0))))</f>
        <v>0</v>
      </c>
      <c r="AM208" s="14" t="n">
        <f aca="false">IF(AND($A208&lt;&gt;"",$A208&lt;Parameters!$B$14),CityData!F7*(1+TAXRATE),0)</f>
        <v>0</v>
      </c>
      <c r="AN208" s="14" t="n">
        <f aca="false">IF($A208="",0,IFERROR(VLOOKUP((YEAR($A208)+IF(MONTH($A208)&gt;=10,1,0))&amp;"|Seattle|"&amp;MONTH($A208),Rates!$A$2:$I$181,5,FALSE()),0))</f>
        <v>0</v>
      </c>
      <c r="AO208" s="14" t="n">
        <f aca="false">IF(OR($A208="",$A208&gt;=Parameters!$B$14),1,IF(AND(AN208&gt;0,CityData!F7&lt;=AN208),1,0))</f>
        <v>1</v>
      </c>
    </row>
    <row r="209" customFormat="false" ht="15" hidden="false" customHeight="true" outlineLevel="0" collapsed="false">
      <c r="A209" s="23" t="str">
        <f aca="false">IF(AND(Parameters!$B$14&gt;=Parameters!$B$13,ROW()-2&lt;=Parameters!$B$14-Parameters!$B$13),Parameters!$B$13+ROW()-2,"")</f>
        <v/>
      </c>
      <c r="B209" s="14" t="n">
        <f aca="false">IF($A209="",0,IFERROR(VLOOKUP((YEAR($A209)+IF(MONTH($A209)&gt;=10,1,0))&amp;"|Boston|"&amp;MONTH($A209),Rates!$A$2:$I$181,6,FALSE()),0))</f>
        <v>0</v>
      </c>
      <c r="C209" s="14" t="n">
        <f aca="false">IF(B209=0,0,VLOOKUP(B209,MIE_Components!$A$2:$F$6,2,FALSE()))</f>
        <v>0</v>
      </c>
      <c r="D209" s="14" t="n">
        <f aca="false">IF(B209=0,0,VLOOKUP(B209,MIE_Components!$A$2:$F$6,3,FALSE()))</f>
        <v>0</v>
      </c>
      <c r="E209" s="14" t="n">
        <f aca="false">IF(B209=0,0,VLOOKUP(B209,MIE_Components!$A$2:$F$6,4,FALSE()))</f>
        <v>0</v>
      </c>
      <c r="F209" s="14" t="n">
        <f aca="false">IF(OR($A209="",B209=0),0,MAX(5,B209*IF(OR($A209=Parameters!$B$13,$A209=Parameters!$B$14),0.75,1)-(IF(AND($A209=DATE(2026,11,29),NOV29BF="Yes"),C209,0)+IF(OR($A209=DATE(2026,11,29),$A209=DATE(2026,11,30),$A209=DATE(2026,12,1),$A209=DATE(2026,12,2)),D209,0)+IF(OR($A209=DATE(2026,11,28),$A209=DATE(2026,12,1)),E209,0))))</f>
        <v>0</v>
      </c>
      <c r="G209" s="14" t="n">
        <f aca="false">IF(AND($A209&lt;&gt;"",$A209&lt;Parameters!$B$14),CityData!F3*(1+TAXRATE),0)</f>
        <v>0</v>
      </c>
      <c r="H209" s="14" t="n">
        <f aca="false">IF($A209="",0,IFERROR(VLOOKUP((YEAR($A209)+IF(MONTH($A209)&gt;=10,1,0))&amp;"|Boston|"&amp;MONTH($A209),Rates!$A$2:$I$181,5,FALSE()),0))</f>
        <v>0</v>
      </c>
      <c r="I209" s="14" t="n">
        <f aca="false">IF(OR($A209="",$A209&gt;=Parameters!$B$14),1,IF(AND(H209&gt;0,CityData!F3&lt;=H209),1,0))</f>
        <v>1</v>
      </c>
      <c r="J209" s="14" t="n">
        <f aca="false">IF($A209="",0,IFERROR(VLOOKUP((YEAR($A209)+IF(MONTH($A209)&gt;=10,1,0))&amp;"|Chicago|"&amp;MONTH($A209),Rates!$A$2:$I$181,6,FALSE()),0))</f>
        <v>0</v>
      </c>
      <c r="K209" s="14" t="n">
        <f aca="false">IF(J209=0,0,VLOOKUP(J209,MIE_Components!$A$2:$F$6,2,FALSE()))</f>
        <v>0</v>
      </c>
      <c r="L209" s="14" t="n">
        <f aca="false">IF(J209=0,0,VLOOKUP(J209,MIE_Components!$A$2:$F$6,3,FALSE()))</f>
        <v>0</v>
      </c>
      <c r="M209" s="14" t="n">
        <f aca="false">IF(J209=0,0,VLOOKUP(J209,MIE_Components!$A$2:$F$6,4,FALSE()))</f>
        <v>0</v>
      </c>
      <c r="N209" s="14" t="n">
        <f aca="false">IF(OR($A209="",J209=0),0,MAX(5,J209*IF(OR($A209=Parameters!$B$13,$A209=Parameters!$B$14),0.75,1)-(IF(AND($A209=DATE(2026,11,29),NOV29BF="Yes"),K209,0)+IF(OR($A209=DATE(2026,11,29),$A209=DATE(2026,11,30),$A209=DATE(2026,12,1),$A209=DATE(2026,12,2)),L209,0)+IF(OR($A209=DATE(2026,11,28),$A209=DATE(2026,12,1)),M209,0))))</f>
        <v>0</v>
      </c>
      <c r="O209" s="14" t="n">
        <f aca="false">IF(AND($A209&lt;&gt;"",$A209&lt;Parameters!$B$14),CityData!F4*(1+TAXRATE),0)</f>
        <v>0</v>
      </c>
      <c r="P209" s="14" t="n">
        <f aca="false">IF($A209="",0,IFERROR(VLOOKUP((YEAR($A209)+IF(MONTH($A209)&gt;=10,1,0))&amp;"|Chicago|"&amp;MONTH($A209),Rates!$A$2:$I$181,5,FALSE()),0))</f>
        <v>0</v>
      </c>
      <c r="Q209" s="14" t="n">
        <f aca="false">IF(OR($A209="",$A209&gt;=Parameters!$B$14),1,IF(AND(P209&gt;0,CityData!F4&lt;=P209),1,0))</f>
        <v>1</v>
      </c>
      <c r="R209" s="14" t="n">
        <f aca="false">IF($A209="",0,IFERROR(VLOOKUP((YEAR($A209)+IF(MONTH($A209)&gt;=10,1,0))&amp;"|Denver|"&amp;MONTH($A209),Rates!$A$2:$I$181,6,FALSE()),0))</f>
        <v>0</v>
      </c>
      <c r="S209" s="14" t="n">
        <f aca="false">IF(R209=0,0,VLOOKUP(R209,MIE_Components!$A$2:$F$6,2,FALSE()))</f>
        <v>0</v>
      </c>
      <c r="T209" s="14" t="n">
        <f aca="false">IF(R209=0,0,VLOOKUP(R209,MIE_Components!$A$2:$F$6,3,FALSE()))</f>
        <v>0</v>
      </c>
      <c r="U209" s="14" t="n">
        <f aca="false">IF(R209=0,0,VLOOKUP(R209,MIE_Components!$A$2:$F$6,4,FALSE()))</f>
        <v>0</v>
      </c>
      <c r="V209" s="14" t="n">
        <f aca="false">IF(OR($A209="",R209=0),0,MAX(5,R209*IF(OR($A209=Parameters!$B$13,$A209=Parameters!$B$14),0.75,1)-(IF(AND($A209=DATE(2026,11,29),NOV29BF="Yes"),S209,0)+IF(OR($A209=DATE(2026,11,29),$A209=DATE(2026,11,30),$A209=DATE(2026,12,1),$A209=DATE(2026,12,2)),T209,0)+IF(OR($A209=DATE(2026,11,28),$A209=DATE(2026,12,1)),U209,0))))</f>
        <v>0</v>
      </c>
      <c r="W209" s="14" t="n">
        <f aca="false">IF(AND($A209&lt;&gt;"",$A209&lt;Parameters!$B$14),CityData!F5*(1+TAXRATE),0)</f>
        <v>0</v>
      </c>
      <c r="X209" s="14" t="n">
        <f aca="false">IF($A209="",0,IFERROR(VLOOKUP((YEAR($A209)+IF(MONTH($A209)&gt;=10,1,0))&amp;"|Denver|"&amp;MONTH($A209),Rates!$A$2:$I$181,5,FALSE()),0))</f>
        <v>0</v>
      </c>
      <c r="Y209" s="14" t="n">
        <f aca="false">IF(OR($A209="",$A209&gt;=Parameters!$B$14),1,IF(AND(X209&gt;0,CityData!F5&lt;=X209),1,0))</f>
        <v>1</v>
      </c>
      <c r="Z209" s="14" t="n">
        <f aca="false">IF($A209="",0,IFERROR(VLOOKUP((YEAR($A209)+IF(MONTH($A209)&gt;=10,1,0))&amp;"|Phoenix|"&amp;MONTH($A209),Rates!$A$2:$I$181,6,FALSE()),0))</f>
        <v>0</v>
      </c>
      <c r="AA209" s="14" t="n">
        <f aca="false">IF(Z209=0,0,VLOOKUP(Z209,MIE_Components!$A$2:$F$6,2,FALSE()))</f>
        <v>0</v>
      </c>
      <c r="AB209" s="14" t="n">
        <f aca="false">IF(Z209=0,0,VLOOKUP(Z209,MIE_Components!$A$2:$F$6,3,FALSE()))</f>
        <v>0</v>
      </c>
      <c r="AC209" s="14" t="n">
        <f aca="false">IF(Z209=0,0,VLOOKUP(Z209,MIE_Components!$A$2:$F$6,4,FALSE()))</f>
        <v>0</v>
      </c>
      <c r="AD209" s="14" t="n">
        <f aca="false">IF(OR($A209="",Z209=0),0,MAX(5,Z209*IF(OR($A209=Parameters!$B$13,$A209=Parameters!$B$14),0.75,1)-(IF(AND($A209=DATE(2026,11,29),NOV29BF="Yes"),AA209,0)+IF(OR($A209=DATE(2026,11,29),$A209=DATE(2026,11,30),$A209=DATE(2026,12,1),$A209=DATE(2026,12,2)),AB209,0)+IF(OR($A209=DATE(2026,11,28),$A209=DATE(2026,12,1)),AC209,0))))</f>
        <v>0</v>
      </c>
      <c r="AE209" s="14" t="n">
        <f aca="false">IF(AND($A209&lt;&gt;"",$A209&lt;Parameters!$B$14),CityData!F6*(1+TAXRATE),0)</f>
        <v>0</v>
      </c>
      <c r="AF209" s="14" t="n">
        <f aca="false">IF($A209="",0,IFERROR(VLOOKUP((YEAR($A209)+IF(MONTH($A209)&gt;=10,1,0))&amp;"|Phoenix|"&amp;MONTH($A209),Rates!$A$2:$I$181,5,FALSE()),0))</f>
        <v>0</v>
      </c>
      <c r="AG209" s="14" t="n">
        <f aca="false">IF(OR($A209="",$A209&gt;=Parameters!$B$14),1,IF(AND(AF209&gt;0,CityData!F6&lt;=AF209),1,0))</f>
        <v>1</v>
      </c>
      <c r="AH209" s="14" t="n">
        <f aca="false">IF($A209="",0,IFERROR(VLOOKUP((YEAR($A209)+IF(MONTH($A209)&gt;=10,1,0))&amp;"|Seattle|"&amp;MONTH($A209),Rates!$A$2:$I$181,6,FALSE()),0))</f>
        <v>0</v>
      </c>
      <c r="AI209" s="14" t="n">
        <f aca="false">IF(AH209=0,0,VLOOKUP(AH209,MIE_Components!$A$2:$F$6,2,FALSE()))</f>
        <v>0</v>
      </c>
      <c r="AJ209" s="14" t="n">
        <f aca="false">IF(AH209=0,0,VLOOKUP(AH209,MIE_Components!$A$2:$F$6,3,FALSE()))</f>
        <v>0</v>
      </c>
      <c r="AK209" s="14" t="n">
        <f aca="false">IF(AH209=0,0,VLOOKUP(AH209,MIE_Components!$A$2:$F$6,4,FALSE()))</f>
        <v>0</v>
      </c>
      <c r="AL209" s="14" t="n">
        <f aca="false">IF(OR($A209="",AH209=0),0,MAX(5,AH209*IF(OR($A209=Parameters!$B$13,$A209=Parameters!$B$14),0.75,1)-(IF(AND($A209=DATE(2026,11,29),NOV29BF="Yes"),AI209,0)+IF(OR($A209=DATE(2026,11,29),$A209=DATE(2026,11,30),$A209=DATE(2026,12,1),$A209=DATE(2026,12,2)),AJ209,0)+IF(OR($A209=DATE(2026,11,28),$A209=DATE(2026,12,1)),AK209,0))))</f>
        <v>0</v>
      </c>
      <c r="AM209" s="14" t="n">
        <f aca="false">IF(AND($A209&lt;&gt;"",$A209&lt;Parameters!$B$14),CityData!F7*(1+TAXRATE),0)</f>
        <v>0</v>
      </c>
      <c r="AN209" s="14" t="n">
        <f aca="false">IF($A209="",0,IFERROR(VLOOKUP((YEAR($A209)+IF(MONTH($A209)&gt;=10,1,0))&amp;"|Seattle|"&amp;MONTH($A209),Rates!$A$2:$I$181,5,FALSE()),0))</f>
        <v>0</v>
      </c>
      <c r="AO209" s="14" t="n">
        <f aca="false">IF(OR($A209="",$A209&gt;=Parameters!$B$14),1,IF(AND(AN209&gt;0,CityData!F7&lt;=AN209),1,0))</f>
        <v>1</v>
      </c>
    </row>
    <row r="210" customFormat="false" ht="15" hidden="false" customHeight="true" outlineLevel="0" collapsed="false">
      <c r="A210" s="23" t="str">
        <f aca="false">IF(AND(Parameters!$B$14&gt;=Parameters!$B$13,ROW()-2&lt;=Parameters!$B$14-Parameters!$B$13),Parameters!$B$13+ROW()-2,"")</f>
        <v/>
      </c>
      <c r="B210" s="14" t="n">
        <f aca="false">IF($A210="",0,IFERROR(VLOOKUP((YEAR($A210)+IF(MONTH($A210)&gt;=10,1,0))&amp;"|Boston|"&amp;MONTH($A210),Rates!$A$2:$I$181,6,FALSE()),0))</f>
        <v>0</v>
      </c>
      <c r="C210" s="14" t="n">
        <f aca="false">IF(B210=0,0,VLOOKUP(B210,MIE_Components!$A$2:$F$6,2,FALSE()))</f>
        <v>0</v>
      </c>
      <c r="D210" s="14" t="n">
        <f aca="false">IF(B210=0,0,VLOOKUP(B210,MIE_Components!$A$2:$F$6,3,FALSE()))</f>
        <v>0</v>
      </c>
      <c r="E210" s="14" t="n">
        <f aca="false">IF(B210=0,0,VLOOKUP(B210,MIE_Components!$A$2:$F$6,4,FALSE()))</f>
        <v>0</v>
      </c>
      <c r="F210" s="14" t="n">
        <f aca="false">IF(OR($A210="",B210=0),0,MAX(5,B210*IF(OR($A210=Parameters!$B$13,$A210=Parameters!$B$14),0.75,1)-(IF(AND($A210=DATE(2026,11,29),NOV29BF="Yes"),C210,0)+IF(OR($A210=DATE(2026,11,29),$A210=DATE(2026,11,30),$A210=DATE(2026,12,1),$A210=DATE(2026,12,2)),D210,0)+IF(OR($A210=DATE(2026,11,28),$A210=DATE(2026,12,1)),E210,0))))</f>
        <v>0</v>
      </c>
      <c r="G210" s="14" t="n">
        <f aca="false">IF(AND($A210&lt;&gt;"",$A210&lt;Parameters!$B$14),CityData!F3*(1+TAXRATE),0)</f>
        <v>0</v>
      </c>
      <c r="H210" s="14" t="n">
        <f aca="false">IF($A210="",0,IFERROR(VLOOKUP((YEAR($A210)+IF(MONTH($A210)&gt;=10,1,0))&amp;"|Boston|"&amp;MONTH($A210),Rates!$A$2:$I$181,5,FALSE()),0))</f>
        <v>0</v>
      </c>
      <c r="I210" s="14" t="n">
        <f aca="false">IF(OR($A210="",$A210&gt;=Parameters!$B$14),1,IF(AND(H210&gt;0,CityData!F3&lt;=H210),1,0))</f>
        <v>1</v>
      </c>
      <c r="J210" s="14" t="n">
        <f aca="false">IF($A210="",0,IFERROR(VLOOKUP((YEAR($A210)+IF(MONTH($A210)&gt;=10,1,0))&amp;"|Chicago|"&amp;MONTH($A210),Rates!$A$2:$I$181,6,FALSE()),0))</f>
        <v>0</v>
      </c>
      <c r="K210" s="14" t="n">
        <f aca="false">IF(J210=0,0,VLOOKUP(J210,MIE_Components!$A$2:$F$6,2,FALSE()))</f>
        <v>0</v>
      </c>
      <c r="L210" s="14" t="n">
        <f aca="false">IF(J210=0,0,VLOOKUP(J210,MIE_Components!$A$2:$F$6,3,FALSE()))</f>
        <v>0</v>
      </c>
      <c r="M210" s="14" t="n">
        <f aca="false">IF(J210=0,0,VLOOKUP(J210,MIE_Components!$A$2:$F$6,4,FALSE()))</f>
        <v>0</v>
      </c>
      <c r="N210" s="14" t="n">
        <f aca="false">IF(OR($A210="",J210=0),0,MAX(5,J210*IF(OR($A210=Parameters!$B$13,$A210=Parameters!$B$14),0.75,1)-(IF(AND($A210=DATE(2026,11,29),NOV29BF="Yes"),K210,0)+IF(OR($A210=DATE(2026,11,29),$A210=DATE(2026,11,30),$A210=DATE(2026,12,1),$A210=DATE(2026,12,2)),L210,0)+IF(OR($A210=DATE(2026,11,28),$A210=DATE(2026,12,1)),M210,0))))</f>
        <v>0</v>
      </c>
      <c r="O210" s="14" t="n">
        <f aca="false">IF(AND($A210&lt;&gt;"",$A210&lt;Parameters!$B$14),CityData!F4*(1+TAXRATE),0)</f>
        <v>0</v>
      </c>
      <c r="P210" s="14" t="n">
        <f aca="false">IF($A210="",0,IFERROR(VLOOKUP((YEAR($A210)+IF(MONTH($A210)&gt;=10,1,0))&amp;"|Chicago|"&amp;MONTH($A210),Rates!$A$2:$I$181,5,FALSE()),0))</f>
        <v>0</v>
      </c>
      <c r="Q210" s="14" t="n">
        <f aca="false">IF(OR($A210="",$A210&gt;=Parameters!$B$14),1,IF(AND(P210&gt;0,CityData!F4&lt;=P210),1,0))</f>
        <v>1</v>
      </c>
      <c r="R210" s="14" t="n">
        <f aca="false">IF($A210="",0,IFERROR(VLOOKUP((YEAR($A210)+IF(MONTH($A210)&gt;=10,1,0))&amp;"|Denver|"&amp;MONTH($A210),Rates!$A$2:$I$181,6,FALSE()),0))</f>
        <v>0</v>
      </c>
      <c r="S210" s="14" t="n">
        <f aca="false">IF(R210=0,0,VLOOKUP(R210,MIE_Components!$A$2:$F$6,2,FALSE()))</f>
        <v>0</v>
      </c>
      <c r="T210" s="14" t="n">
        <f aca="false">IF(R210=0,0,VLOOKUP(R210,MIE_Components!$A$2:$F$6,3,FALSE()))</f>
        <v>0</v>
      </c>
      <c r="U210" s="14" t="n">
        <f aca="false">IF(R210=0,0,VLOOKUP(R210,MIE_Components!$A$2:$F$6,4,FALSE()))</f>
        <v>0</v>
      </c>
      <c r="V210" s="14" t="n">
        <f aca="false">IF(OR($A210="",R210=0),0,MAX(5,R210*IF(OR($A210=Parameters!$B$13,$A210=Parameters!$B$14),0.75,1)-(IF(AND($A210=DATE(2026,11,29),NOV29BF="Yes"),S210,0)+IF(OR($A210=DATE(2026,11,29),$A210=DATE(2026,11,30),$A210=DATE(2026,12,1),$A210=DATE(2026,12,2)),T210,0)+IF(OR($A210=DATE(2026,11,28),$A210=DATE(2026,12,1)),U210,0))))</f>
        <v>0</v>
      </c>
      <c r="W210" s="14" t="n">
        <f aca="false">IF(AND($A210&lt;&gt;"",$A210&lt;Parameters!$B$14),CityData!F5*(1+TAXRATE),0)</f>
        <v>0</v>
      </c>
      <c r="X210" s="14" t="n">
        <f aca="false">IF($A210="",0,IFERROR(VLOOKUP((YEAR($A210)+IF(MONTH($A210)&gt;=10,1,0))&amp;"|Denver|"&amp;MONTH($A210),Rates!$A$2:$I$181,5,FALSE()),0))</f>
        <v>0</v>
      </c>
      <c r="Y210" s="14" t="n">
        <f aca="false">IF(OR($A210="",$A210&gt;=Parameters!$B$14),1,IF(AND(X210&gt;0,CityData!F5&lt;=X210),1,0))</f>
        <v>1</v>
      </c>
      <c r="Z210" s="14" t="n">
        <f aca="false">IF($A210="",0,IFERROR(VLOOKUP((YEAR($A210)+IF(MONTH($A210)&gt;=10,1,0))&amp;"|Phoenix|"&amp;MONTH($A210),Rates!$A$2:$I$181,6,FALSE()),0))</f>
        <v>0</v>
      </c>
      <c r="AA210" s="14" t="n">
        <f aca="false">IF(Z210=0,0,VLOOKUP(Z210,MIE_Components!$A$2:$F$6,2,FALSE()))</f>
        <v>0</v>
      </c>
      <c r="AB210" s="14" t="n">
        <f aca="false">IF(Z210=0,0,VLOOKUP(Z210,MIE_Components!$A$2:$F$6,3,FALSE()))</f>
        <v>0</v>
      </c>
      <c r="AC210" s="14" t="n">
        <f aca="false">IF(Z210=0,0,VLOOKUP(Z210,MIE_Components!$A$2:$F$6,4,FALSE()))</f>
        <v>0</v>
      </c>
      <c r="AD210" s="14" t="n">
        <f aca="false">IF(OR($A210="",Z210=0),0,MAX(5,Z210*IF(OR($A210=Parameters!$B$13,$A210=Parameters!$B$14),0.75,1)-(IF(AND($A210=DATE(2026,11,29),NOV29BF="Yes"),AA210,0)+IF(OR($A210=DATE(2026,11,29),$A210=DATE(2026,11,30),$A210=DATE(2026,12,1),$A210=DATE(2026,12,2)),AB210,0)+IF(OR($A210=DATE(2026,11,28),$A210=DATE(2026,12,1)),AC210,0))))</f>
        <v>0</v>
      </c>
      <c r="AE210" s="14" t="n">
        <f aca="false">IF(AND($A210&lt;&gt;"",$A210&lt;Parameters!$B$14),CityData!F6*(1+TAXRATE),0)</f>
        <v>0</v>
      </c>
      <c r="AF210" s="14" t="n">
        <f aca="false">IF($A210="",0,IFERROR(VLOOKUP((YEAR($A210)+IF(MONTH($A210)&gt;=10,1,0))&amp;"|Phoenix|"&amp;MONTH($A210),Rates!$A$2:$I$181,5,FALSE()),0))</f>
        <v>0</v>
      </c>
      <c r="AG210" s="14" t="n">
        <f aca="false">IF(OR($A210="",$A210&gt;=Parameters!$B$14),1,IF(AND(AF210&gt;0,CityData!F6&lt;=AF210),1,0))</f>
        <v>1</v>
      </c>
      <c r="AH210" s="14" t="n">
        <f aca="false">IF($A210="",0,IFERROR(VLOOKUP((YEAR($A210)+IF(MONTH($A210)&gt;=10,1,0))&amp;"|Seattle|"&amp;MONTH($A210),Rates!$A$2:$I$181,6,FALSE()),0))</f>
        <v>0</v>
      </c>
      <c r="AI210" s="14" t="n">
        <f aca="false">IF(AH210=0,0,VLOOKUP(AH210,MIE_Components!$A$2:$F$6,2,FALSE()))</f>
        <v>0</v>
      </c>
      <c r="AJ210" s="14" t="n">
        <f aca="false">IF(AH210=0,0,VLOOKUP(AH210,MIE_Components!$A$2:$F$6,3,FALSE()))</f>
        <v>0</v>
      </c>
      <c r="AK210" s="14" t="n">
        <f aca="false">IF(AH210=0,0,VLOOKUP(AH210,MIE_Components!$A$2:$F$6,4,FALSE()))</f>
        <v>0</v>
      </c>
      <c r="AL210" s="14" t="n">
        <f aca="false">IF(OR($A210="",AH210=0),0,MAX(5,AH210*IF(OR($A210=Parameters!$B$13,$A210=Parameters!$B$14),0.75,1)-(IF(AND($A210=DATE(2026,11,29),NOV29BF="Yes"),AI210,0)+IF(OR($A210=DATE(2026,11,29),$A210=DATE(2026,11,30),$A210=DATE(2026,12,1),$A210=DATE(2026,12,2)),AJ210,0)+IF(OR($A210=DATE(2026,11,28),$A210=DATE(2026,12,1)),AK210,0))))</f>
        <v>0</v>
      </c>
      <c r="AM210" s="14" t="n">
        <f aca="false">IF(AND($A210&lt;&gt;"",$A210&lt;Parameters!$B$14),CityData!F7*(1+TAXRATE),0)</f>
        <v>0</v>
      </c>
      <c r="AN210" s="14" t="n">
        <f aca="false">IF($A210="",0,IFERROR(VLOOKUP((YEAR($A210)+IF(MONTH($A210)&gt;=10,1,0))&amp;"|Seattle|"&amp;MONTH($A210),Rates!$A$2:$I$181,5,FALSE()),0))</f>
        <v>0</v>
      </c>
      <c r="AO210" s="14" t="n">
        <f aca="false">IF(OR($A210="",$A210&gt;=Parameters!$B$14),1,IF(AND(AN210&gt;0,CityData!F7&lt;=AN210),1,0))</f>
        <v>1</v>
      </c>
    </row>
    <row r="211" customFormat="false" ht="15" hidden="false" customHeight="true" outlineLevel="0" collapsed="false">
      <c r="A211" s="23" t="str">
        <f aca="false">IF(AND(Parameters!$B$14&gt;=Parameters!$B$13,ROW()-2&lt;=Parameters!$B$14-Parameters!$B$13),Parameters!$B$13+ROW()-2,"")</f>
        <v/>
      </c>
      <c r="B211" s="14" t="n">
        <f aca="false">IF($A211="",0,IFERROR(VLOOKUP((YEAR($A211)+IF(MONTH($A211)&gt;=10,1,0))&amp;"|Boston|"&amp;MONTH($A211),Rates!$A$2:$I$181,6,FALSE()),0))</f>
        <v>0</v>
      </c>
      <c r="C211" s="14" t="n">
        <f aca="false">IF(B211=0,0,VLOOKUP(B211,MIE_Components!$A$2:$F$6,2,FALSE()))</f>
        <v>0</v>
      </c>
      <c r="D211" s="14" t="n">
        <f aca="false">IF(B211=0,0,VLOOKUP(B211,MIE_Components!$A$2:$F$6,3,FALSE()))</f>
        <v>0</v>
      </c>
      <c r="E211" s="14" t="n">
        <f aca="false">IF(B211=0,0,VLOOKUP(B211,MIE_Components!$A$2:$F$6,4,FALSE()))</f>
        <v>0</v>
      </c>
      <c r="F211" s="14" t="n">
        <f aca="false">IF(OR($A211="",B211=0),0,MAX(5,B211*IF(OR($A211=Parameters!$B$13,$A211=Parameters!$B$14),0.75,1)-(IF(AND($A211=DATE(2026,11,29),NOV29BF="Yes"),C211,0)+IF(OR($A211=DATE(2026,11,29),$A211=DATE(2026,11,30),$A211=DATE(2026,12,1),$A211=DATE(2026,12,2)),D211,0)+IF(OR($A211=DATE(2026,11,28),$A211=DATE(2026,12,1)),E211,0))))</f>
        <v>0</v>
      </c>
      <c r="G211" s="14" t="n">
        <f aca="false">IF(AND($A211&lt;&gt;"",$A211&lt;Parameters!$B$14),CityData!F3*(1+TAXRATE),0)</f>
        <v>0</v>
      </c>
      <c r="H211" s="14" t="n">
        <f aca="false">IF($A211="",0,IFERROR(VLOOKUP((YEAR($A211)+IF(MONTH($A211)&gt;=10,1,0))&amp;"|Boston|"&amp;MONTH($A211),Rates!$A$2:$I$181,5,FALSE()),0))</f>
        <v>0</v>
      </c>
      <c r="I211" s="14" t="n">
        <f aca="false">IF(OR($A211="",$A211&gt;=Parameters!$B$14),1,IF(AND(H211&gt;0,CityData!F3&lt;=H211),1,0))</f>
        <v>1</v>
      </c>
      <c r="J211" s="14" t="n">
        <f aca="false">IF($A211="",0,IFERROR(VLOOKUP((YEAR($A211)+IF(MONTH($A211)&gt;=10,1,0))&amp;"|Chicago|"&amp;MONTH($A211),Rates!$A$2:$I$181,6,FALSE()),0))</f>
        <v>0</v>
      </c>
      <c r="K211" s="14" t="n">
        <f aca="false">IF(J211=0,0,VLOOKUP(J211,MIE_Components!$A$2:$F$6,2,FALSE()))</f>
        <v>0</v>
      </c>
      <c r="L211" s="14" t="n">
        <f aca="false">IF(J211=0,0,VLOOKUP(J211,MIE_Components!$A$2:$F$6,3,FALSE()))</f>
        <v>0</v>
      </c>
      <c r="M211" s="14" t="n">
        <f aca="false">IF(J211=0,0,VLOOKUP(J211,MIE_Components!$A$2:$F$6,4,FALSE()))</f>
        <v>0</v>
      </c>
      <c r="N211" s="14" t="n">
        <f aca="false">IF(OR($A211="",J211=0),0,MAX(5,J211*IF(OR($A211=Parameters!$B$13,$A211=Parameters!$B$14),0.75,1)-(IF(AND($A211=DATE(2026,11,29),NOV29BF="Yes"),K211,0)+IF(OR($A211=DATE(2026,11,29),$A211=DATE(2026,11,30),$A211=DATE(2026,12,1),$A211=DATE(2026,12,2)),L211,0)+IF(OR($A211=DATE(2026,11,28),$A211=DATE(2026,12,1)),M211,0))))</f>
        <v>0</v>
      </c>
      <c r="O211" s="14" t="n">
        <f aca="false">IF(AND($A211&lt;&gt;"",$A211&lt;Parameters!$B$14),CityData!F4*(1+TAXRATE),0)</f>
        <v>0</v>
      </c>
      <c r="P211" s="14" t="n">
        <f aca="false">IF($A211="",0,IFERROR(VLOOKUP((YEAR($A211)+IF(MONTH($A211)&gt;=10,1,0))&amp;"|Chicago|"&amp;MONTH($A211),Rates!$A$2:$I$181,5,FALSE()),0))</f>
        <v>0</v>
      </c>
      <c r="Q211" s="14" t="n">
        <f aca="false">IF(OR($A211="",$A211&gt;=Parameters!$B$14),1,IF(AND(P211&gt;0,CityData!F4&lt;=P211),1,0))</f>
        <v>1</v>
      </c>
      <c r="R211" s="14" t="n">
        <f aca="false">IF($A211="",0,IFERROR(VLOOKUP((YEAR($A211)+IF(MONTH($A211)&gt;=10,1,0))&amp;"|Denver|"&amp;MONTH($A211),Rates!$A$2:$I$181,6,FALSE()),0))</f>
        <v>0</v>
      </c>
      <c r="S211" s="14" t="n">
        <f aca="false">IF(R211=0,0,VLOOKUP(R211,MIE_Components!$A$2:$F$6,2,FALSE()))</f>
        <v>0</v>
      </c>
      <c r="T211" s="14" t="n">
        <f aca="false">IF(R211=0,0,VLOOKUP(R211,MIE_Components!$A$2:$F$6,3,FALSE()))</f>
        <v>0</v>
      </c>
      <c r="U211" s="14" t="n">
        <f aca="false">IF(R211=0,0,VLOOKUP(R211,MIE_Components!$A$2:$F$6,4,FALSE()))</f>
        <v>0</v>
      </c>
      <c r="V211" s="14" t="n">
        <f aca="false">IF(OR($A211="",R211=0),0,MAX(5,R211*IF(OR($A211=Parameters!$B$13,$A211=Parameters!$B$14),0.75,1)-(IF(AND($A211=DATE(2026,11,29),NOV29BF="Yes"),S211,0)+IF(OR($A211=DATE(2026,11,29),$A211=DATE(2026,11,30),$A211=DATE(2026,12,1),$A211=DATE(2026,12,2)),T211,0)+IF(OR($A211=DATE(2026,11,28),$A211=DATE(2026,12,1)),U211,0))))</f>
        <v>0</v>
      </c>
      <c r="W211" s="14" t="n">
        <f aca="false">IF(AND($A211&lt;&gt;"",$A211&lt;Parameters!$B$14),CityData!F5*(1+TAXRATE),0)</f>
        <v>0</v>
      </c>
      <c r="X211" s="14" t="n">
        <f aca="false">IF($A211="",0,IFERROR(VLOOKUP((YEAR($A211)+IF(MONTH($A211)&gt;=10,1,0))&amp;"|Denver|"&amp;MONTH($A211),Rates!$A$2:$I$181,5,FALSE()),0))</f>
        <v>0</v>
      </c>
      <c r="Y211" s="14" t="n">
        <f aca="false">IF(OR($A211="",$A211&gt;=Parameters!$B$14),1,IF(AND(X211&gt;0,CityData!F5&lt;=X211),1,0))</f>
        <v>1</v>
      </c>
      <c r="Z211" s="14" t="n">
        <f aca="false">IF($A211="",0,IFERROR(VLOOKUP((YEAR($A211)+IF(MONTH($A211)&gt;=10,1,0))&amp;"|Phoenix|"&amp;MONTH($A211),Rates!$A$2:$I$181,6,FALSE()),0))</f>
        <v>0</v>
      </c>
      <c r="AA211" s="14" t="n">
        <f aca="false">IF(Z211=0,0,VLOOKUP(Z211,MIE_Components!$A$2:$F$6,2,FALSE()))</f>
        <v>0</v>
      </c>
      <c r="AB211" s="14" t="n">
        <f aca="false">IF(Z211=0,0,VLOOKUP(Z211,MIE_Components!$A$2:$F$6,3,FALSE()))</f>
        <v>0</v>
      </c>
      <c r="AC211" s="14" t="n">
        <f aca="false">IF(Z211=0,0,VLOOKUP(Z211,MIE_Components!$A$2:$F$6,4,FALSE()))</f>
        <v>0</v>
      </c>
      <c r="AD211" s="14" t="n">
        <f aca="false">IF(OR($A211="",Z211=0),0,MAX(5,Z211*IF(OR($A211=Parameters!$B$13,$A211=Parameters!$B$14),0.75,1)-(IF(AND($A211=DATE(2026,11,29),NOV29BF="Yes"),AA211,0)+IF(OR($A211=DATE(2026,11,29),$A211=DATE(2026,11,30),$A211=DATE(2026,12,1),$A211=DATE(2026,12,2)),AB211,0)+IF(OR($A211=DATE(2026,11,28),$A211=DATE(2026,12,1)),AC211,0))))</f>
        <v>0</v>
      </c>
      <c r="AE211" s="14" t="n">
        <f aca="false">IF(AND($A211&lt;&gt;"",$A211&lt;Parameters!$B$14),CityData!F6*(1+TAXRATE),0)</f>
        <v>0</v>
      </c>
      <c r="AF211" s="14" t="n">
        <f aca="false">IF($A211="",0,IFERROR(VLOOKUP((YEAR($A211)+IF(MONTH($A211)&gt;=10,1,0))&amp;"|Phoenix|"&amp;MONTH($A211),Rates!$A$2:$I$181,5,FALSE()),0))</f>
        <v>0</v>
      </c>
      <c r="AG211" s="14" t="n">
        <f aca="false">IF(OR($A211="",$A211&gt;=Parameters!$B$14),1,IF(AND(AF211&gt;0,CityData!F6&lt;=AF211),1,0))</f>
        <v>1</v>
      </c>
      <c r="AH211" s="14" t="n">
        <f aca="false">IF($A211="",0,IFERROR(VLOOKUP((YEAR($A211)+IF(MONTH($A211)&gt;=10,1,0))&amp;"|Seattle|"&amp;MONTH($A211),Rates!$A$2:$I$181,6,FALSE()),0))</f>
        <v>0</v>
      </c>
      <c r="AI211" s="14" t="n">
        <f aca="false">IF(AH211=0,0,VLOOKUP(AH211,MIE_Components!$A$2:$F$6,2,FALSE()))</f>
        <v>0</v>
      </c>
      <c r="AJ211" s="14" t="n">
        <f aca="false">IF(AH211=0,0,VLOOKUP(AH211,MIE_Components!$A$2:$F$6,3,FALSE()))</f>
        <v>0</v>
      </c>
      <c r="AK211" s="14" t="n">
        <f aca="false">IF(AH211=0,0,VLOOKUP(AH211,MIE_Components!$A$2:$F$6,4,FALSE()))</f>
        <v>0</v>
      </c>
      <c r="AL211" s="14" t="n">
        <f aca="false">IF(OR($A211="",AH211=0),0,MAX(5,AH211*IF(OR($A211=Parameters!$B$13,$A211=Parameters!$B$14),0.75,1)-(IF(AND($A211=DATE(2026,11,29),NOV29BF="Yes"),AI211,0)+IF(OR($A211=DATE(2026,11,29),$A211=DATE(2026,11,30),$A211=DATE(2026,12,1),$A211=DATE(2026,12,2)),AJ211,0)+IF(OR($A211=DATE(2026,11,28),$A211=DATE(2026,12,1)),AK211,0))))</f>
        <v>0</v>
      </c>
      <c r="AM211" s="14" t="n">
        <f aca="false">IF(AND($A211&lt;&gt;"",$A211&lt;Parameters!$B$14),CityData!F7*(1+TAXRATE),0)</f>
        <v>0</v>
      </c>
      <c r="AN211" s="14" t="n">
        <f aca="false">IF($A211="",0,IFERROR(VLOOKUP((YEAR($A211)+IF(MONTH($A211)&gt;=10,1,0))&amp;"|Seattle|"&amp;MONTH($A211),Rates!$A$2:$I$181,5,FALSE()),0))</f>
        <v>0</v>
      </c>
      <c r="AO211" s="14" t="n">
        <f aca="false">IF(OR($A211="",$A211&gt;=Parameters!$B$14),1,IF(AND(AN211&gt;0,CityData!F7&lt;=AN211),1,0))</f>
        <v>1</v>
      </c>
    </row>
    <row r="212" customFormat="false" ht="15" hidden="false" customHeight="true" outlineLevel="0" collapsed="false">
      <c r="A212" s="23" t="str">
        <f aca="false">IF(AND(Parameters!$B$14&gt;=Parameters!$B$13,ROW()-2&lt;=Parameters!$B$14-Parameters!$B$13),Parameters!$B$13+ROW()-2,"")</f>
        <v/>
      </c>
      <c r="B212" s="14" t="n">
        <f aca="false">IF($A212="",0,IFERROR(VLOOKUP((YEAR($A212)+IF(MONTH($A212)&gt;=10,1,0))&amp;"|Boston|"&amp;MONTH($A212),Rates!$A$2:$I$181,6,FALSE()),0))</f>
        <v>0</v>
      </c>
      <c r="C212" s="14" t="n">
        <f aca="false">IF(B212=0,0,VLOOKUP(B212,MIE_Components!$A$2:$F$6,2,FALSE()))</f>
        <v>0</v>
      </c>
      <c r="D212" s="14" t="n">
        <f aca="false">IF(B212=0,0,VLOOKUP(B212,MIE_Components!$A$2:$F$6,3,FALSE()))</f>
        <v>0</v>
      </c>
      <c r="E212" s="14" t="n">
        <f aca="false">IF(B212=0,0,VLOOKUP(B212,MIE_Components!$A$2:$F$6,4,FALSE()))</f>
        <v>0</v>
      </c>
      <c r="F212" s="14" t="n">
        <f aca="false">IF(OR($A212="",B212=0),0,MAX(5,B212*IF(OR($A212=Parameters!$B$13,$A212=Parameters!$B$14),0.75,1)-(IF(AND($A212=DATE(2026,11,29),NOV29BF="Yes"),C212,0)+IF(OR($A212=DATE(2026,11,29),$A212=DATE(2026,11,30),$A212=DATE(2026,12,1),$A212=DATE(2026,12,2)),D212,0)+IF(OR($A212=DATE(2026,11,28),$A212=DATE(2026,12,1)),E212,0))))</f>
        <v>0</v>
      </c>
      <c r="G212" s="14" t="n">
        <f aca="false">IF(AND($A212&lt;&gt;"",$A212&lt;Parameters!$B$14),CityData!F3*(1+TAXRATE),0)</f>
        <v>0</v>
      </c>
      <c r="H212" s="14" t="n">
        <f aca="false">IF($A212="",0,IFERROR(VLOOKUP((YEAR($A212)+IF(MONTH($A212)&gt;=10,1,0))&amp;"|Boston|"&amp;MONTH($A212),Rates!$A$2:$I$181,5,FALSE()),0))</f>
        <v>0</v>
      </c>
      <c r="I212" s="14" t="n">
        <f aca="false">IF(OR($A212="",$A212&gt;=Parameters!$B$14),1,IF(AND(H212&gt;0,CityData!F3&lt;=H212),1,0))</f>
        <v>1</v>
      </c>
      <c r="J212" s="14" t="n">
        <f aca="false">IF($A212="",0,IFERROR(VLOOKUP((YEAR($A212)+IF(MONTH($A212)&gt;=10,1,0))&amp;"|Chicago|"&amp;MONTH($A212),Rates!$A$2:$I$181,6,FALSE()),0))</f>
        <v>0</v>
      </c>
      <c r="K212" s="14" t="n">
        <f aca="false">IF(J212=0,0,VLOOKUP(J212,MIE_Components!$A$2:$F$6,2,FALSE()))</f>
        <v>0</v>
      </c>
      <c r="L212" s="14" t="n">
        <f aca="false">IF(J212=0,0,VLOOKUP(J212,MIE_Components!$A$2:$F$6,3,FALSE()))</f>
        <v>0</v>
      </c>
      <c r="M212" s="14" t="n">
        <f aca="false">IF(J212=0,0,VLOOKUP(J212,MIE_Components!$A$2:$F$6,4,FALSE()))</f>
        <v>0</v>
      </c>
      <c r="N212" s="14" t="n">
        <f aca="false">IF(OR($A212="",J212=0),0,MAX(5,J212*IF(OR($A212=Parameters!$B$13,$A212=Parameters!$B$14),0.75,1)-(IF(AND($A212=DATE(2026,11,29),NOV29BF="Yes"),K212,0)+IF(OR($A212=DATE(2026,11,29),$A212=DATE(2026,11,30),$A212=DATE(2026,12,1),$A212=DATE(2026,12,2)),L212,0)+IF(OR($A212=DATE(2026,11,28),$A212=DATE(2026,12,1)),M212,0))))</f>
        <v>0</v>
      </c>
      <c r="O212" s="14" t="n">
        <f aca="false">IF(AND($A212&lt;&gt;"",$A212&lt;Parameters!$B$14),CityData!F4*(1+TAXRATE),0)</f>
        <v>0</v>
      </c>
      <c r="P212" s="14" t="n">
        <f aca="false">IF($A212="",0,IFERROR(VLOOKUP((YEAR($A212)+IF(MONTH($A212)&gt;=10,1,0))&amp;"|Chicago|"&amp;MONTH($A212),Rates!$A$2:$I$181,5,FALSE()),0))</f>
        <v>0</v>
      </c>
      <c r="Q212" s="14" t="n">
        <f aca="false">IF(OR($A212="",$A212&gt;=Parameters!$B$14),1,IF(AND(P212&gt;0,CityData!F4&lt;=P212),1,0))</f>
        <v>1</v>
      </c>
      <c r="R212" s="14" t="n">
        <f aca="false">IF($A212="",0,IFERROR(VLOOKUP((YEAR($A212)+IF(MONTH($A212)&gt;=10,1,0))&amp;"|Denver|"&amp;MONTH($A212),Rates!$A$2:$I$181,6,FALSE()),0))</f>
        <v>0</v>
      </c>
      <c r="S212" s="14" t="n">
        <f aca="false">IF(R212=0,0,VLOOKUP(R212,MIE_Components!$A$2:$F$6,2,FALSE()))</f>
        <v>0</v>
      </c>
      <c r="T212" s="14" t="n">
        <f aca="false">IF(R212=0,0,VLOOKUP(R212,MIE_Components!$A$2:$F$6,3,FALSE()))</f>
        <v>0</v>
      </c>
      <c r="U212" s="14" t="n">
        <f aca="false">IF(R212=0,0,VLOOKUP(R212,MIE_Components!$A$2:$F$6,4,FALSE()))</f>
        <v>0</v>
      </c>
      <c r="V212" s="14" t="n">
        <f aca="false">IF(OR($A212="",R212=0),0,MAX(5,R212*IF(OR($A212=Parameters!$B$13,$A212=Parameters!$B$14),0.75,1)-(IF(AND($A212=DATE(2026,11,29),NOV29BF="Yes"),S212,0)+IF(OR($A212=DATE(2026,11,29),$A212=DATE(2026,11,30),$A212=DATE(2026,12,1),$A212=DATE(2026,12,2)),T212,0)+IF(OR($A212=DATE(2026,11,28),$A212=DATE(2026,12,1)),U212,0))))</f>
        <v>0</v>
      </c>
      <c r="W212" s="14" t="n">
        <f aca="false">IF(AND($A212&lt;&gt;"",$A212&lt;Parameters!$B$14),CityData!F5*(1+TAXRATE),0)</f>
        <v>0</v>
      </c>
      <c r="X212" s="14" t="n">
        <f aca="false">IF($A212="",0,IFERROR(VLOOKUP((YEAR($A212)+IF(MONTH($A212)&gt;=10,1,0))&amp;"|Denver|"&amp;MONTH($A212),Rates!$A$2:$I$181,5,FALSE()),0))</f>
        <v>0</v>
      </c>
      <c r="Y212" s="14" t="n">
        <f aca="false">IF(OR($A212="",$A212&gt;=Parameters!$B$14),1,IF(AND(X212&gt;0,CityData!F5&lt;=X212),1,0))</f>
        <v>1</v>
      </c>
      <c r="Z212" s="14" t="n">
        <f aca="false">IF($A212="",0,IFERROR(VLOOKUP((YEAR($A212)+IF(MONTH($A212)&gt;=10,1,0))&amp;"|Phoenix|"&amp;MONTH($A212),Rates!$A$2:$I$181,6,FALSE()),0))</f>
        <v>0</v>
      </c>
      <c r="AA212" s="14" t="n">
        <f aca="false">IF(Z212=0,0,VLOOKUP(Z212,MIE_Components!$A$2:$F$6,2,FALSE()))</f>
        <v>0</v>
      </c>
      <c r="AB212" s="14" t="n">
        <f aca="false">IF(Z212=0,0,VLOOKUP(Z212,MIE_Components!$A$2:$F$6,3,FALSE()))</f>
        <v>0</v>
      </c>
      <c r="AC212" s="14" t="n">
        <f aca="false">IF(Z212=0,0,VLOOKUP(Z212,MIE_Components!$A$2:$F$6,4,FALSE()))</f>
        <v>0</v>
      </c>
      <c r="AD212" s="14" t="n">
        <f aca="false">IF(OR($A212="",Z212=0),0,MAX(5,Z212*IF(OR($A212=Parameters!$B$13,$A212=Parameters!$B$14),0.75,1)-(IF(AND($A212=DATE(2026,11,29),NOV29BF="Yes"),AA212,0)+IF(OR($A212=DATE(2026,11,29),$A212=DATE(2026,11,30),$A212=DATE(2026,12,1),$A212=DATE(2026,12,2)),AB212,0)+IF(OR($A212=DATE(2026,11,28),$A212=DATE(2026,12,1)),AC212,0))))</f>
        <v>0</v>
      </c>
      <c r="AE212" s="14" t="n">
        <f aca="false">IF(AND($A212&lt;&gt;"",$A212&lt;Parameters!$B$14),CityData!F6*(1+TAXRATE),0)</f>
        <v>0</v>
      </c>
      <c r="AF212" s="14" t="n">
        <f aca="false">IF($A212="",0,IFERROR(VLOOKUP((YEAR($A212)+IF(MONTH($A212)&gt;=10,1,0))&amp;"|Phoenix|"&amp;MONTH($A212),Rates!$A$2:$I$181,5,FALSE()),0))</f>
        <v>0</v>
      </c>
      <c r="AG212" s="14" t="n">
        <f aca="false">IF(OR($A212="",$A212&gt;=Parameters!$B$14),1,IF(AND(AF212&gt;0,CityData!F6&lt;=AF212),1,0))</f>
        <v>1</v>
      </c>
      <c r="AH212" s="14" t="n">
        <f aca="false">IF($A212="",0,IFERROR(VLOOKUP((YEAR($A212)+IF(MONTH($A212)&gt;=10,1,0))&amp;"|Seattle|"&amp;MONTH($A212),Rates!$A$2:$I$181,6,FALSE()),0))</f>
        <v>0</v>
      </c>
      <c r="AI212" s="14" t="n">
        <f aca="false">IF(AH212=0,0,VLOOKUP(AH212,MIE_Components!$A$2:$F$6,2,FALSE()))</f>
        <v>0</v>
      </c>
      <c r="AJ212" s="14" t="n">
        <f aca="false">IF(AH212=0,0,VLOOKUP(AH212,MIE_Components!$A$2:$F$6,3,FALSE()))</f>
        <v>0</v>
      </c>
      <c r="AK212" s="14" t="n">
        <f aca="false">IF(AH212=0,0,VLOOKUP(AH212,MIE_Components!$A$2:$F$6,4,FALSE()))</f>
        <v>0</v>
      </c>
      <c r="AL212" s="14" t="n">
        <f aca="false">IF(OR($A212="",AH212=0),0,MAX(5,AH212*IF(OR($A212=Parameters!$B$13,$A212=Parameters!$B$14),0.75,1)-(IF(AND($A212=DATE(2026,11,29),NOV29BF="Yes"),AI212,0)+IF(OR($A212=DATE(2026,11,29),$A212=DATE(2026,11,30),$A212=DATE(2026,12,1),$A212=DATE(2026,12,2)),AJ212,0)+IF(OR($A212=DATE(2026,11,28),$A212=DATE(2026,12,1)),AK212,0))))</f>
        <v>0</v>
      </c>
      <c r="AM212" s="14" t="n">
        <f aca="false">IF(AND($A212&lt;&gt;"",$A212&lt;Parameters!$B$14),CityData!F7*(1+TAXRATE),0)</f>
        <v>0</v>
      </c>
      <c r="AN212" s="14" t="n">
        <f aca="false">IF($A212="",0,IFERROR(VLOOKUP((YEAR($A212)+IF(MONTH($A212)&gt;=10,1,0))&amp;"|Seattle|"&amp;MONTH($A212),Rates!$A$2:$I$181,5,FALSE()),0))</f>
        <v>0</v>
      </c>
      <c r="AO212" s="14" t="n">
        <f aca="false">IF(OR($A212="",$A212&gt;=Parameters!$B$14),1,IF(AND(AN212&gt;0,CityData!F7&lt;=AN212),1,0))</f>
        <v>1</v>
      </c>
    </row>
    <row r="213" customFormat="false" ht="15" hidden="false" customHeight="true" outlineLevel="0" collapsed="false">
      <c r="A213" s="23" t="str">
        <f aca="false">IF(AND(Parameters!$B$14&gt;=Parameters!$B$13,ROW()-2&lt;=Parameters!$B$14-Parameters!$B$13),Parameters!$B$13+ROW()-2,"")</f>
        <v/>
      </c>
      <c r="B213" s="14" t="n">
        <f aca="false">IF($A213="",0,IFERROR(VLOOKUP((YEAR($A213)+IF(MONTH($A213)&gt;=10,1,0))&amp;"|Boston|"&amp;MONTH($A213),Rates!$A$2:$I$181,6,FALSE()),0))</f>
        <v>0</v>
      </c>
      <c r="C213" s="14" t="n">
        <f aca="false">IF(B213=0,0,VLOOKUP(B213,MIE_Components!$A$2:$F$6,2,FALSE()))</f>
        <v>0</v>
      </c>
      <c r="D213" s="14" t="n">
        <f aca="false">IF(B213=0,0,VLOOKUP(B213,MIE_Components!$A$2:$F$6,3,FALSE()))</f>
        <v>0</v>
      </c>
      <c r="E213" s="14" t="n">
        <f aca="false">IF(B213=0,0,VLOOKUP(B213,MIE_Components!$A$2:$F$6,4,FALSE()))</f>
        <v>0</v>
      </c>
      <c r="F213" s="14" t="n">
        <f aca="false">IF(OR($A213="",B213=0),0,MAX(5,B213*IF(OR($A213=Parameters!$B$13,$A213=Parameters!$B$14),0.75,1)-(IF(AND($A213=DATE(2026,11,29),NOV29BF="Yes"),C213,0)+IF(OR($A213=DATE(2026,11,29),$A213=DATE(2026,11,30),$A213=DATE(2026,12,1),$A213=DATE(2026,12,2)),D213,0)+IF(OR($A213=DATE(2026,11,28),$A213=DATE(2026,12,1)),E213,0))))</f>
        <v>0</v>
      </c>
      <c r="G213" s="14" t="n">
        <f aca="false">IF(AND($A213&lt;&gt;"",$A213&lt;Parameters!$B$14),CityData!F3*(1+TAXRATE),0)</f>
        <v>0</v>
      </c>
      <c r="H213" s="14" t="n">
        <f aca="false">IF($A213="",0,IFERROR(VLOOKUP((YEAR($A213)+IF(MONTH($A213)&gt;=10,1,0))&amp;"|Boston|"&amp;MONTH($A213),Rates!$A$2:$I$181,5,FALSE()),0))</f>
        <v>0</v>
      </c>
      <c r="I213" s="14" t="n">
        <f aca="false">IF(OR($A213="",$A213&gt;=Parameters!$B$14),1,IF(AND(H213&gt;0,CityData!F3&lt;=H213),1,0))</f>
        <v>1</v>
      </c>
      <c r="J213" s="14" t="n">
        <f aca="false">IF($A213="",0,IFERROR(VLOOKUP((YEAR($A213)+IF(MONTH($A213)&gt;=10,1,0))&amp;"|Chicago|"&amp;MONTH($A213),Rates!$A$2:$I$181,6,FALSE()),0))</f>
        <v>0</v>
      </c>
      <c r="K213" s="14" t="n">
        <f aca="false">IF(J213=0,0,VLOOKUP(J213,MIE_Components!$A$2:$F$6,2,FALSE()))</f>
        <v>0</v>
      </c>
      <c r="L213" s="14" t="n">
        <f aca="false">IF(J213=0,0,VLOOKUP(J213,MIE_Components!$A$2:$F$6,3,FALSE()))</f>
        <v>0</v>
      </c>
      <c r="M213" s="14" t="n">
        <f aca="false">IF(J213=0,0,VLOOKUP(J213,MIE_Components!$A$2:$F$6,4,FALSE()))</f>
        <v>0</v>
      </c>
      <c r="N213" s="14" t="n">
        <f aca="false">IF(OR($A213="",J213=0),0,MAX(5,J213*IF(OR($A213=Parameters!$B$13,$A213=Parameters!$B$14),0.75,1)-(IF(AND($A213=DATE(2026,11,29),NOV29BF="Yes"),K213,0)+IF(OR($A213=DATE(2026,11,29),$A213=DATE(2026,11,30),$A213=DATE(2026,12,1),$A213=DATE(2026,12,2)),L213,0)+IF(OR($A213=DATE(2026,11,28),$A213=DATE(2026,12,1)),M213,0))))</f>
        <v>0</v>
      </c>
      <c r="O213" s="14" t="n">
        <f aca="false">IF(AND($A213&lt;&gt;"",$A213&lt;Parameters!$B$14),CityData!F4*(1+TAXRATE),0)</f>
        <v>0</v>
      </c>
      <c r="P213" s="14" t="n">
        <f aca="false">IF($A213="",0,IFERROR(VLOOKUP((YEAR($A213)+IF(MONTH($A213)&gt;=10,1,0))&amp;"|Chicago|"&amp;MONTH($A213),Rates!$A$2:$I$181,5,FALSE()),0))</f>
        <v>0</v>
      </c>
      <c r="Q213" s="14" t="n">
        <f aca="false">IF(OR($A213="",$A213&gt;=Parameters!$B$14),1,IF(AND(P213&gt;0,CityData!F4&lt;=P213),1,0))</f>
        <v>1</v>
      </c>
      <c r="R213" s="14" t="n">
        <f aca="false">IF($A213="",0,IFERROR(VLOOKUP((YEAR($A213)+IF(MONTH($A213)&gt;=10,1,0))&amp;"|Denver|"&amp;MONTH($A213),Rates!$A$2:$I$181,6,FALSE()),0))</f>
        <v>0</v>
      </c>
      <c r="S213" s="14" t="n">
        <f aca="false">IF(R213=0,0,VLOOKUP(R213,MIE_Components!$A$2:$F$6,2,FALSE()))</f>
        <v>0</v>
      </c>
      <c r="T213" s="14" t="n">
        <f aca="false">IF(R213=0,0,VLOOKUP(R213,MIE_Components!$A$2:$F$6,3,FALSE()))</f>
        <v>0</v>
      </c>
      <c r="U213" s="14" t="n">
        <f aca="false">IF(R213=0,0,VLOOKUP(R213,MIE_Components!$A$2:$F$6,4,FALSE()))</f>
        <v>0</v>
      </c>
      <c r="V213" s="14" t="n">
        <f aca="false">IF(OR($A213="",R213=0),0,MAX(5,R213*IF(OR($A213=Parameters!$B$13,$A213=Parameters!$B$14),0.75,1)-(IF(AND($A213=DATE(2026,11,29),NOV29BF="Yes"),S213,0)+IF(OR($A213=DATE(2026,11,29),$A213=DATE(2026,11,30),$A213=DATE(2026,12,1),$A213=DATE(2026,12,2)),T213,0)+IF(OR($A213=DATE(2026,11,28),$A213=DATE(2026,12,1)),U213,0))))</f>
        <v>0</v>
      </c>
      <c r="W213" s="14" t="n">
        <f aca="false">IF(AND($A213&lt;&gt;"",$A213&lt;Parameters!$B$14),CityData!F5*(1+TAXRATE),0)</f>
        <v>0</v>
      </c>
      <c r="X213" s="14" t="n">
        <f aca="false">IF($A213="",0,IFERROR(VLOOKUP((YEAR($A213)+IF(MONTH($A213)&gt;=10,1,0))&amp;"|Denver|"&amp;MONTH($A213),Rates!$A$2:$I$181,5,FALSE()),0))</f>
        <v>0</v>
      </c>
      <c r="Y213" s="14" t="n">
        <f aca="false">IF(OR($A213="",$A213&gt;=Parameters!$B$14),1,IF(AND(X213&gt;0,CityData!F5&lt;=X213),1,0))</f>
        <v>1</v>
      </c>
      <c r="Z213" s="14" t="n">
        <f aca="false">IF($A213="",0,IFERROR(VLOOKUP((YEAR($A213)+IF(MONTH($A213)&gt;=10,1,0))&amp;"|Phoenix|"&amp;MONTH($A213),Rates!$A$2:$I$181,6,FALSE()),0))</f>
        <v>0</v>
      </c>
      <c r="AA213" s="14" t="n">
        <f aca="false">IF(Z213=0,0,VLOOKUP(Z213,MIE_Components!$A$2:$F$6,2,FALSE()))</f>
        <v>0</v>
      </c>
      <c r="AB213" s="14" t="n">
        <f aca="false">IF(Z213=0,0,VLOOKUP(Z213,MIE_Components!$A$2:$F$6,3,FALSE()))</f>
        <v>0</v>
      </c>
      <c r="AC213" s="14" t="n">
        <f aca="false">IF(Z213=0,0,VLOOKUP(Z213,MIE_Components!$A$2:$F$6,4,FALSE()))</f>
        <v>0</v>
      </c>
      <c r="AD213" s="14" t="n">
        <f aca="false">IF(OR($A213="",Z213=0),0,MAX(5,Z213*IF(OR($A213=Parameters!$B$13,$A213=Parameters!$B$14),0.75,1)-(IF(AND($A213=DATE(2026,11,29),NOV29BF="Yes"),AA213,0)+IF(OR($A213=DATE(2026,11,29),$A213=DATE(2026,11,30),$A213=DATE(2026,12,1),$A213=DATE(2026,12,2)),AB213,0)+IF(OR($A213=DATE(2026,11,28),$A213=DATE(2026,12,1)),AC213,0))))</f>
        <v>0</v>
      </c>
      <c r="AE213" s="14" t="n">
        <f aca="false">IF(AND($A213&lt;&gt;"",$A213&lt;Parameters!$B$14),CityData!F6*(1+TAXRATE),0)</f>
        <v>0</v>
      </c>
      <c r="AF213" s="14" t="n">
        <f aca="false">IF($A213="",0,IFERROR(VLOOKUP((YEAR($A213)+IF(MONTH($A213)&gt;=10,1,0))&amp;"|Phoenix|"&amp;MONTH($A213),Rates!$A$2:$I$181,5,FALSE()),0))</f>
        <v>0</v>
      </c>
      <c r="AG213" s="14" t="n">
        <f aca="false">IF(OR($A213="",$A213&gt;=Parameters!$B$14),1,IF(AND(AF213&gt;0,CityData!F6&lt;=AF213),1,0))</f>
        <v>1</v>
      </c>
      <c r="AH213" s="14" t="n">
        <f aca="false">IF($A213="",0,IFERROR(VLOOKUP((YEAR($A213)+IF(MONTH($A213)&gt;=10,1,0))&amp;"|Seattle|"&amp;MONTH($A213),Rates!$A$2:$I$181,6,FALSE()),0))</f>
        <v>0</v>
      </c>
      <c r="AI213" s="14" t="n">
        <f aca="false">IF(AH213=0,0,VLOOKUP(AH213,MIE_Components!$A$2:$F$6,2,FALSE()))</f>
        <v>0</v>
      </c>
      <c r="AJ213" s="14" t="n">
        <f aca="false">IF(AH213=0,0,VLOOKUP(AH213,MIE_Components!$A$2:$F$6,3,FALSE()))</f>
        <v>0</v>
      </c>
      <c r="AK213" s="14" t="n">
        <f aca="false">IF(AH213=0,0,VLOOKUP(AH213,MIE_Components!$A$2:$F$6,4,FALSE()))</f>
        <v>0</v>
      </c>
      <c r="AL213" s="14" t="n">
        <f aca="false">IF(OR($A213="",AH213=0),0,MAX(5,AH213*IF(OR($A213=Parameters!$B$13,$A213=Parameters!$B$14),0.75,1)-(IF(AND($A213=DATE(2026,11,29),NOV29BF="Yes"),AI213,0)+IF(OR($A213=DATE(2026,11,29),$A213=DATE(2026,11,30),$A213=DATE(2026,12,1),$A213=DATE(2026,12,2)),AJ213,0)+IF(OR($A213=DATE(2026,11,28),$A213=DATE(2026,12,1)),AK213,0))))</f>
        <v>0</v>
      </c>
      <c r="AM213" s="14" t="n">
        <f aca="false">IF(AND($A213&lt;&gt;"",$A213&lt;Parameters!$B$14),CityData!F7*(1+TAXRATE),0)</f>
        <v>0</v>
      </c>
      <c r="AN213" s="14" t="n">
        <f aca="false">IF($A213="",0,IFERROR(VLOOKUP((YEAR($A213)+IF(MONTH($A213)&gt;=10,1,0))&amp;"|Seattle|"&amp;MONTH($A213),Rates!$A$2:$I$181,5,FALSE()),0))</f>
        <v>0</v>
      </c>
      <c r="AO213" s="14" t="n">
        <f aca="false">IF(OR($A213="",$A213&gt;=Parameters!$B$14),1,IF(AND(AN213&gt;0,CityData!F7&lt;=AN213),1,0))</f>
        <v>1</v>
      </c>
    </row>
    <row r="214" customFormat="false" ht="15" hidden="false" customHeight="true" outlineLevel="0" collapsed="false">
      <c r="A214" s="23" t="str">
        <f aca="false">IF(AND(Parameters!$B$14&gt;=Parameters!$B$13,ROW()-2&lt;=Parameters!$B$14-Parameters!$B$13),Parameters!$B$13+ROW()-2,"")</f>
        <v/>
      </c>
      <c r="B214" s="14" t="n">
        <f aca="false">IF($A214="",0,IFERROR(VLOOKUP((YEAR($A214)+IF(MONTH($A214)&gt;=10,1,0))&amp;"|Boston|"&amp;MONTH($A214),Rates!$A$2:$I$181,6,FALSE()),0))</f>
        <v>0</v>
      </c>
      <c r="C214" s="14" t="n">
        <f aca="false">IF(B214=0,0,VLOOKUP(B214,MIE_Components!$A$2:$F$6,2,FALSE()))</f>
        <v>0</v>
      </c>
      <c r="D214" s="14" t="n">
        <f aca="false">IF(B214=0,0,VLOOKUP(B214,MIE_Components!$A$2:$F$6,3,FALSE()))</f>
        <v>0</v>
      </c>
      <c r="E214" s="14" t="n">
        <f aca="false">IF(B214=0,0,VLOOKUP(B214,MIE_Components!$A$2:$F$6,4,FALSE()))</f>
        <v>0</v>
      </c>
      <c r="F214" s="14" t="n">
        <f aca="false">IF(OR($A214="",B214=0),0,MAX(5,B214*IF(OR($A214=Parameters!$B$13,$A214=Parameters!$B$14),0.75,1)-(IF(AND($A214=DATE(2026,11,29),NOV29BF="Yes"),C214,0)+IF(OR($A214=DATE(2026,11,29),$A214=DATE(2026,11,30),$A214=DATE(2026,12,1),$A214=DATE(2026,12,2)),D214,0)+IF(OR($A214=DATE(2026,11,28),$A214=DATE(2026,12,1)),E214,0))))</f>
        <v>0</v>
      </c>
      <c r="G214" s="14" t="n">
        <f aca="false">IF(AND($A214&lt;&gt;"",$A214&lt;Parameters!$B$14),CityData!F3*(1+TAXRATE),0)</f>
        <v>0</v>
      </c>
      <c r="H214" s="14" t="n">
        <f aca="false">IF($A214="",0,IFERROR(VLOOKUP((YEAR($A214)+IF(MONTH($A214)&gt;=10,1,0))&amp;"|Boston|"&amp;MONTH($A214),Rates!$A$2:$I$181,5,FALSE()),0))</f>
        <v>0</v>
      </c>
      <c r="I214" s="14" t="n">
        <f aca="false">IF(OR($A214="",$A214&gt;=Parameters!$B$14),1,IF(AND(H214&gt;0,CityData!F3&lt;=H214),1,0))</f>
        <v>1</v>
      </c>
      <c r="J214" s="14" t="n">
        <f aca="false">IF($A214="",0,IFERROR(VLOOKUP((YEAR($A214)+IF(MONTH($A214)&gt;=10,1,0))&amp;"|Chicago|"&amp;MONTH($A214),Rates!$A$2:$I$181,6,FALSE()),0))</f>
        <v>0</v>
      </c>
      <c r="K214" s="14" t="n">
        <f aca="false">IF(J214=0,0,VLOOKUP(J214,MIE_Components!$A$2:$F$6,2,FALSE()))</f>
        <v>0</v>
      </c>
      <c r="L214" s="14" t="n">
        <f aca="false">IF(J214=0,0,VLOOKUP(J214,MIE_Components!$A$2:$F$6,3,FALSE()))</f>
        <v>0</v>
      </c>
      <c r="M214" s="14" t="n">
        <f aca="false">IF(J214=0,0,VLOOKUP(J214,MIE_Components!$A$2:$F$6,4,FALSE()))</f>
        <v>0</v>
      </c>
      <c r="N214" s="14" t="n">
        <f aca="false">IF(OR($A214="",J214=0),0,MAX(5,J214*IF(OR($A214=Parameters!$B$13,$A214=Parameters!$B$14),0.75,1)-(IF(AND($A214=DATE(2026,11,29),NOV29BF="Yes"),K214,0)+IF(OR($A214=DATE(2026,11,29),$A214=DATE(2026,11,30),$A214=DATE(2026,12,1),$A214=DATE(2026,12,2)),L214,0)+IF(OR($A214=DATE(2026,11,28),$A214=DATE(2026,12,1)),M214,0))))</f>
        <v>0</v>
      </c>
      <c r="O214" s="14" t="n">
        <f aca="false">IF(AND($A214&lt;&gt;"",$A214&lt;Parameters!$B$14),CityData!F4*(1+TAXRATE),0)</f>
        <v>0</v>
      </c>
      <c r="P214" s="14" t="n">
        <f aca="false">IF($A214="",0,IFERROR(VLOOKUP((YEAR($A214)+IF(MONTH($A214)&gt;=10,1,0))&amp;"|Chicago|"&amp;MONTH($A214),Rates!$A$2:$I$181,5,FALSE()),0))</f>
        <v>0</v>
      </c>
      <c r="Q214" s="14" t="n">
        <f aca="false">IF(OR($A214="",$A214&gt;=Parameters!$B$14),1,IF(AND(P214&gt;0,CityData!F4&lt;=P214),1,0))</f>
        <v>1</v>
      </c>
      <c r="R214" s="14" t="n">
        <f aca="false">IF($A214="",0,IFERROR(VLOOKUP((YEAR($A214)+IF(MONTH($A214)&gt;=10,1,0))&amp;"|Denver|"&amp;MONTH($A214),Rates!$A$2:$I$181,6,FALSE()),0))</f>
        <v>0</v>
      </c>
      <c r="S214" s="14" t="n">
        <f aca="false">IF(R214=0,0,VLOOKUP(R214,MIE_Components!$A$2:$F$6,2,FALSE()))</f>
        <v>0</v>
      </c>
      <c r="T214" s="14" t="n">
        <f aca="false">IF(R214=0,0,VLOOKUP(R214,MIE_Components!$A$2:$F$6,3,FALSE()))</f>
        <v>0</v>
      </c>
      <c r="U214" s="14" t="n">
        <f aca="false">IF(R214=0,0,VLOOKUP(R214,MIE_Components!$A$2:$F$6,4,FALSE()))</f>
        <v>0</v>
      </c>
      <c r="V214" s="14" t="n">
        <f aca="false">IF(OR($A214="",R214=0),0,MAX(5,R214*IF(OR($A214=Parameters!$B$13,$A214=Parameters!$B$14),0.75,1)-(IF(AND($A214=DATE(2026,11,29),NOV29BF="Yes"),S214,0)+IF(OR($A214=DATE(2026,11,29),$A214=DATE(2026,11,30),$A214=DATE(2026,12,1),$A214=DATE(2026,12,2)),T214,0)+IF(OR($A214=DATE(2026,11,28),$A214=DATE(2026,12,1)),U214,0))))</f>
        <v>0</v>
      </c>
      <c r="W214" s="14" t="n">
        <f aca="false">IF(AND($A214&lt;&gt;"",$A214&lt;Parameters!$B$14),CityData!F5*(1+TAXRATE),0)</f>
        <v>0</v>
      </c>
      <c r="X214" s="14" t="n">
        <f aca="false">IF($A214="",0,IFERROR(VLOOKUP((YEAR($A214)+IF(MONTH($A214)&gt;=10,1,0))&amp;"|Denver|"&amp;MONTH($A214),Rates!$A$2:$I$181,5,FALSE()),0))</f>
        <v>0</v>
      </c>
      <c r="Y214" s="14" t="n">
        <f aca="false">IF(OR($A214="",$A214&gt;=Parameters!$B$14),1,IF(AND(X214&gt;0,CityData!F5&lt;=X214),1,0))</f>
        <v>1</v>
      </c>
      <c r="Z214" s="14" t="n">
        <f aca="false">IF($A214="",0,IFERROR(VLOOKUP((YEAR($A214)+IF(MONTH($A214)&gt;=10,1,0))&amp;"|Phoenix|"&amp;MONTH($A214),Rates!$A$2:$I$181,6,FALSE()),0))</f>
        <v>0</v>
      </c>
      <c r="AA214" s="14" t="n">
        <f aca="false">IF(Z214=0,0,VLOOKUP(Z214,MIE_Components!$A$2:$F$6,2,FALSE()))</f>
        <v>0</v>
      </c>
      <c r="AB214" s="14" t="n">
        <f aca="false">IF(Z214=0,0,VLOOKUP(Z214,MIE_Components!$A$2:$F$6,3,FALSE()))</f>
        <v>0</v>
      </c>
      <c r="AC214" s="14" t="n">
        <f aca="false">IF(Z214=0,0,VLOOKUP(Z214,MIE_Components!$A$2:$F$6,4,FALSE()))</f>
        <v>0</v>
      </c>
      <c r="AD214" s="14" t="n">
        <f aca="false">IF(OR($A214="",Z214=0),0,MAX(5,Z214*IF(OR($A214=Parameters!$B$13,$A214=Parameters!$B$14),0.75,1)-(IF(AND($A214=DATE(2026,11,29),NOV29BF="Yes"),AA214,0)+IF(OR($A214=DATE(2026,11,29),$A214=DATE(2026,11,30),$A214=DATE(2026,12,1),$A214=DATE(2026,12,2)),AB214,0)+IF(OR($A214=DATE(2026,11,28),$A214=DATE(2026,12,1)),AC214,0))))</f>
        <v>0</v>
      </c>
      <c r="AE214" s="14" t="n">
        <f aca="false">IF(AND($A214&lt;&gt;"",$A214&lt;Parameters!$B$14),CityData!F6*(1+TAXRATE),0)</f>
        <v>0</v>
      </c>
      <c r="AF214" s="14" t="n">
        <f aca="false">IF($A214="",0,IFERROR(VLOOKUP((YEAR($A214)+IF(MONTH($A214)&gt;=10,1,0))&amp;"|Phoenix|"&amp;MONTH($A214),Rates!$A$2:$I$181,5,FALSE()),0))</f>
        <v>0</v>
      </c>
      <c r="AG214" s="14" t="n">
        <f aca="false">IF(OR($A214="",$A214&gt;=Parameters!$B$14),1,IF(AND(AF214&gt;0,CityData!F6&lt;=AF214),1,0))</f>
        <v>1</v>
      </c>
      <c r="AH214" s="14" t="n">
        <f aca="false">IF($A214="",0,IFERROR(VLOOKUP((YEAR($A214)+IF(MONTH($A214)&gt;=10,1,0))&amp;"|Seattle|"&amp;MONTH($A214),Rates!$A$2:$I$181,6,FALSE()),0))</f>
        <v>0</v>
      </c>
      <c r="AI214" s="14" t="n">
        <f aca="false">IF(AH214=0,0,VLOOKUP(AH214,MIE_Components!$A$2:$F$6,2,FALSE()))</f>
        <v>0</v>
      </c>
      <c r="AJ214" s="14" t="n">
        <f aca="false">IF(AH214=0,0,VLOOKUP(AH214,MIE_Components!$A$2:$F$6,3,FALSE()))</f>
        <v>0</v>
      </c>
      <c r="AK214" s="14" t="n">
        <f aca="false">IF(AH214=0,0,VLOOKUP(AH214,MIE_Components!$A$2:$F$6,4,FALSE()))</f>
        <v>0</v>
      </c>
      <c r="AL214" s="14" t="n">
        <f aca="false">IF(OR($A214="",AH214=0),0,MAX(5,AH214*IF(OR($A214=Parameters!$B$13,$A214=Parameters!$B$14),0.75,1)-(IF(AND($A214=DATE(2026,11,29),NOV29BF="Yes"),AI214,0)+IF(OR($A214=DATE(2026,11,29),$A214=DATE(2026,11,30),$A214=DATE(2026,12,1),$A214=DATE(2026,12,2)),AJ214,0)+IF(OR($A214=DATE(2026,11,28),$A214=DATE(2026,12,1)),AK214,0))))</f>
        <v>0</v>
      </c>
      <c r="AM214" s="14" t="n">
        <f aca="false">IF(AND($A214&lt;&gt;"",$A214&lt;Parameters!$B$14),CityData!F7*(1+TAXRATE),0)</f>
        <v>0</v>
      </c>
      <c r="AN214" s="14" t="n">
        <f aca="false">IF($A214="",0,IFERROR(VLOOKUP((YEAR($A214)+IF(MONTH($A214)&gt;=10,1,0))&amp;"|Seattle|"&amp;MONTH($A214),Rates!$A$2:$I$181,5,FALSE()),0))</f>
        <v>0</v>
      </c>
      <c r="AO214" s="14" t="n">
        <f aca="false">IF(OR($A214="",$A214&gt;=Parameters!$B$14),1,IF(AND(AN214&gt;0,CityData!F7&lt;=AN214),1,0))</f>
        <v>1</v>
      </c>
    </row>
    <row r="215" customFormat="false" ht="15" hidden="false" customHeight="true" outlineLevel="0" collapsed="false">
      <c r="A215" s="23" t="str">
        <f aca="false">IF(AND(Parameters!$B$14&gt;=Parameters!$B$13,ROW()-2&lt;=Parameters!$B$14-Parameters!$B$13),Parameters!$B$13+ROW()-2,"")</f>
        <v/>
      </c>
      <c r="B215" s="14" t="n">
        <f aca="false">IF($A215="",0,IFERROR(VLOOKUP((YEAR($A215)+IF(MONTH($A215)&gt;=10,1,0))&amp;"|Boston|"&amp;MONTH($A215),Rates!$A$2:$I$181,6,FALSE()),0))</f>
        <v>0</v>
      </c>
      <c r="C215" s="14" t="n">
        <f aca="false">IF(B215=0,0,VLOOKUP(B215,MIE_Components!$A$2:$F$6,2,FALSE()))</f>
        <v>0</v>
      </c>
      <c r="D215" s="14" t="n">
        <f aca="false">IF(B215=0,0,VLOOKUP(B215,MIE_Components!$A$2:$F$6,3,FALSE()))</f>
        <v>0</v>
      </c>
      <c r="E215" s="14" t="n">
        <f aca="false">IF(B215=0,0,VLOOKUP(B215,MIE_Components!$A$2:$F$6,4,FALSE()))</f>
        <v>0</v>
      </c>
      <c r="F215" s="14" t="n">
        <f aca="false">IF(OR($A215="",B215=0),0,MAX(5,B215*IF(OR($A215=Parameters!$B$13,$A215=Parameters!$B$14),0.75,1)-(IF(AND($A215=DATE(2026,11,29),NOV29BF="Yes"),C215,0)+IF(OR($A215=DATE(2026,11,29),$A215=DATE(2026,11,30),$A215=DATE(2026,12,1),$A215=DATE(2026,12,2)),D215,0)+IF(OR($A215=DATE(2026,11,28),$A215=DATE(2026,12,1)),E215,0))))</f>
        <v>0</v>
      </c>
      <c r="G215" s="14" t="n">
        <f aca="false">IF(AND($A215&lt;&gt;"",$A215&lt;Parameters!$B$14),CityData!F3*(1+TAXRATE),0)</f>
        <v>0</v>
      </c>
      <c r="H215" s="14" t="n">
        <f aca="false">IF($A215="",0,IFERROR(VLOOKUP((YEAR($A215)+IF(MONTH($A215)&gt;=10,1,0))&amp;"|Boston|"&amp;MONTH($A215),Rates!$A$2:$I$181,5,FALSE()),0))</f>
        <v>0</v>
      </c>
      <c r="I215" s="14" t="n">
        <f aca="false">IF(OR($A215="",$A215&gt;=Parameters!$B$14),1,IF(AND(H215&gt;0,CityData!F3&lt;=H215),1,0))</f>
        <v>1</v>
      </c>
      <c r="J215" s="14" t="n">
        <f aca="false">IF($A215="",0,IFERROR(VLOOKUP((YEAR($A215)+IF(MONTH($A215)&gt;=10,1,0))&amp;"|Chicago|"&amp;MONTH($A215),Rates!$A$2:$I$181,6,FALSE()),0))</f>
        <v>0</v>
      </c>
      <c r="K215" s="14" t="n">
        <f aca="false">IF(J215=0,0,VLOOKUP(J215,MIE_Components!$A$2:$F$6,2,FALSE()))</f>
        <v>0</v>
      </c>
      <c r="L215" s="14" t="n">
        <f aca="false">IF(J215=0,0,VLOOKUP(J215,MIE_Components!$A$2:$F$6,3,FALSE()))</f>
        <v>0</v>
      </c>
      <c r="M215" s="14" t="n">
        <f aca="false">IF(J215=0,0,VLOOKUP(J215,MIE_Components!$A$2:$F$6,4,FALSE()))</f>
        <v>0</v>
      </c>
      <c r="N215" s="14" t="n">
        <f aca="false">IF(OR($A215="",J215=0),0,MAX(5,J215*IF(OR($A215=Parameters!$B$13,$A215=Parameters!$B$14),0.75,1)-(IF(AND($A215=DATE(2026,11,29),NOV29BF="Yes"),K215,0)+IF(OR($A215=DATE(2026,11,29),$A215=DATE(2026,11,30),$A215=DATE(2026,12,1),$A215=DATE(2026,12,2)),L215,0)+IF(OR($A215=DATE(2026,11,28),$A215=DATE(2026,12,1)),M215,0))))</f>
        <v>0</v>
      </c>
      <c r="O215" s="14" t="n">
        <f aca="false">IF(AND($A215&lt;&gt;"",$A215&lt;Parameters!$B$14),CityData!F4*(1+TAXRATE),0)</f>
        <v>0</v>
      </c>
      <c r="P215" s="14" t="n">
        <f aca="false">IF($A215="",0,IFERROR(VLOOKUP((YEAR($A215)+IF(MONTH($A215)&gt;=10,1,0))&amp;"|Chicago|"&amp;MONTH($A215),Rates!$A$2:$I$181,5,FALSE()),0))</f>
        <v>0</v>
      </c>
      <c r="Q215" s="14" t="n">
        <f aca="false">IF(OR($A215="",$A215&gt;=Parameters!$B$14),1,IF(AND(P215&gt;0,CityData!F4&lt;=P215),1,0))</f>
        <v>1</v>
      </c>
      <c r="R215" s="14" t="n">
        <f aca="false">IF($A215="",0,IFERROR(VLOOKUP((YEAR($A215)+IF(MONTH($A215)&gt;=10,1,0))&amp;"|Denver|"&amp;MONTH($A215),Rates!$A$2:$I$181,6,FALSE()),0))</f>
        <v>0</v>
      </c>
      <c r="S215" s="14" t="n">
        <f aca="false">IF(R215=0,0,VLOOKUP(R215,MIE_Components!$A$2:$F$6,2,FALSE()))</f>
        <v>0</v>
      </c>
      <c r="T215" s="14" t="n">
        <f aca="false">IF(R215=0,0,VLOOKUP(R215,MIE_Components!$A$2:$F$6,3,FALSE()))</f>
        <v>0</v>
      </c>
      <c r="U215" s="14" t="n">
        <f aca="false">IF(R215=0,0,VLOOKUP(R215,MIE_Components!$A$2:$F$6,4,FALSE()))</f>
        <v>0</v>
      </c>
      <c r="V215" s="14" t="n">
        <f aca="false">IF(OR($A215="",R215=0),0,MAX(5,R215*IF(OR($A215=Parameters!$B$13,$A215=Parameters!$B$14),0.75,1)-(IF(AND($A215=DATE(2026,11,29),NOV29BF="Yes"),S215,0)+IF(OR($A215=DATE(2026,11,29),$A215=DATE(2026,11,30),$A215=DATE(2026,12,1),$A215=DATE(2026,12,2)),T215,0)+IF(OR($A215=DATE(2026,11,28),$A215=DATE(2026,12,1)),U215,0))))</f>
        <v>0</v>
      </c>
      <c r="W215" s="14" t="n">
        <f aca="false">IF(AND($A215&lt;&gt;"",$A215&lt;Parameters!$B$14),CityData!F5*(1+TAXRATE),0)</f>
        <v>0</v>
      </c>
      <c r="X215" s="14" t="n">
        <f aca="false">IF($A215="",0,IFERROR(VLOOKUP((YEAR($A215)+IF(MONTH($A215)&gt;=10,1,0))&amp;"|Denver|"&amp;MONTH($A215),Rates!$A$2:$I$181,5,FALSE()),0))</f>
        <v>0</v>
      </c>
      <c r="Y215" s="14" t="n">
        <f aca="false">IF(OR($A215="",$A215&gt;=Parameters!$B$14),1,IF(AND(X215&gt;0,CityData!F5&lt;=X215),1,0))</f>
        <v>1</v>
      </c>
      <c r="Z215" s="14" t="n">
        <f aca="false">IF($A215="",0,IFERROR(VLOOKUP((YEAR($A215)+IF(MONTH($A215)&gt;=10,1,0))&amp;"|Phoenix|"&amp;MONTH($A215),Rates!$A$2:$I$181,6,FALSE()),0))</f>
        <v>0</v>
      </c>
      <c r="AA215" s="14" t="n">
        <f aca="false">IF(Z215=0,0,VLOOKUP(Z215,MIE_Components!$A$2:$F$6,2,FALSE()))</f>
        <v>0</v>
      </c>
      <c r="AB215" s="14" t="n">
        <f aca="false">IF(Z215=0,0,VLOOKUP(Z215,MIE_Components!$A$2:$F$6,3,FALSE()))</f>
        <v>0</v>
      </c>
      <c r="AC215" s="14" t="n">
        <f aca="false">IF(Z215=0,0,VLOOKUP(Z215,MIE_Components!$A$2:$F$6,4,FALSE()))</f>
        <v>0</v>
      </c>
      <c r="AD215" s="14" t="n">
        <f aca="false">IF(OR($A215="",Z215=0),0,MAX(5,Z215*IF(OR($A215=Parameters!$B$13,$A215=Parameters!$B$14),0.75,1)-(IF(AND($A215=DATE(2026,11,29),NOV29BF="Yes"),AA215,0)+IF(OR($A215=DATE(2026,11,29),$A215=DATE(2026,11,30),$A215=DATE(2026,12,1),$A215=DATE(2026,12,2)),AB215,0)+IF(OR($A215=DATE(2026,11,28),$A215=DATE(2026,12,1)),AC215,0))))</f>
        <v>0</v>
      </c>
      <c r="AE215" s="14" t="n">
        <f aca="false">IF(AND($A215&lt;&gt;"",$A215&lt;Parameters!$B$14),CityData!F6*(1+TAXRATE),0)</f>
        <v>0</v>
      </c>
      <c r="AF215" s="14" t="n">
        <f aca="false">IF($A215="",0,IFERROR(VLOOKUP((YEAR($A215)+IF(MONTH($A215)&gt;=10,1,0))&amp;"|Phoenix|"&amp;MONTH($A215),Rates!$A$2:$I$181,5,FALSE()),0))</f>
        <v>0</v>
      </c>
      <c r="AG215" s="14" t="n">
        <f aca="false">IF(OR($A215="",$A215&gt;=Parameters!$B$14),1,IF(AND(AF215&gt;0,CityData!F6&lt;=AF215),1,0))</f>
        <v>1</v>
      </c>
      <c r="AH215" s="14" t="n">
        <f aca="false">IF($A215="",0,IFERROR(VLOOKUP((YEAR($A215)+IF(MONTH($A215)&gt;=10,1,0))&amp;"|Seattle|"&amp;MONTH($A215),Rates!$A$2:$I$181,6,FALSE()),0))</f>
        <v>0</v>
      </c>
      <c r="AI215" s="14" t="n">
        <f aca="false">IF(AH215=0,0,VLOOKUP(AH215,MIE_Components!$A$2:$F$6,2,FALSE()))</f>
        <v>0</v>
      </c>
      <c r="AJ215" s="14" t="n">
        <f aca="false">IF(AH215=0,0,VLOOKUP(AH215,MIE_Components!$A$2:$F$6,3,FALSE()))</f>
        <v>0</v>
      </c>
      <c r="AK215" s="14" t="n">
        <f aca="false">IF(AH215=0,0,VLOOKUP(AH215,MIE_Components!$A$2:$F$6,4,FALSE()))</f>
        <v>0</v>
      </c>
      <c r="AL215" s="14" t="n">
        <f aca="false">IF(OR($A215="",AH215=0),0,MAX(5,AH215*IF(OR($A215=Parameters!$B$13,$A215=Parameters!$B$14),0.75,1)-(IF(AND($A215=DATE(2026,11,29),NOV29BF="Yes"),AI215,0)+IF(OR($A215=DATE(2026,11,29),$A215=DATE(2026,11,30),$A215=DATE(2026,12,1),$A215=DATE(2026,12,2)),AJ215,0)+IF(OR($A215=DATE(2026,11,28),$A215=DATE(2026,12,1)),AK215,0))))</f>
        <v>0</v>
      </c>
      <c r="AM215" s="14" t="n">
        <f aca="false">IF(AND($A215&lt;&gt;"",$A215&lt;Parameters!$B$14),CityData!F7*(1+TAXRATE),0)</f>
        <v>0</v>
      </c>
      <c r="AN215" s="14" t="n">
        <f aca="false">IF($A215="",0,IFERROR(VLOOKUP((YEAR($A215)+IF(MONTH($A215)&gt;=10,1,0))&amp;"|Seattle|"&amp;MONTH($A215),Rates!$A$2:$I$181,5,FALSE()),0))</f>
        <v>0</v>
      </c>
      <c r="AO215" s="14" t="n">
        <f aca="false">IF(OR($A215="",$A215&gt;=Parameters!$B$14),1,IF(AND(AN215&gt;0,CityData!F7&lt;=AN215),1,0))</f>
        <v>1</v>
      </c>
    </row>
    <row r="216" customFormat="false" ht="15" hidden="false" customHeight="true" outlineLevel="0" collapsed="false">
      <c r="A216" s="23" t="str">
        <f aca="false">IF(AND(Parameters!$B$14&gt;=Parameters!$B$13,ROW()-2&lt;=Parameters!$B$14-Parameters!$B$13),Parameters!$B$13+ROW()-2,"")</f>
        <v/>
      </c>
      <c r="B216" s="14" t="n">
        <f aca="false">IF($A216="",0,IFERROR(VLOOKUP((YEAR($A216)+IF(MONTH($A216)&gt;=10,1,0))&amp;"|Boston|"&amp;MONTH($A216),Rates!$A$2:$I$181,6,FALSE()),0))</f>
        <v>0</v>
      </c>
      <c r="C216" s="14" t="n">
        <f aca="false">IF(B216=0,0,VLOOKUP(B216,MIE_Components!$A$2:$F$6,2,FALSE()))</f>
        <v>0</v>
      </c>
      <c r="D216" s="14" t="n">
        <f aca="false">IF(B216=0,0,VLOOKUP(B216,MIE_Components!$A$2:$F$6,3,FALSE()))</f>
        <v>0</v>
      </c>
      <c r="E216" s="14" t="n">
        <f aca="false">IF(B216=0,0,VLOOKUP(B216,MIE_Components!$A$2:$F$6,4,FALSE()))</f>
        <v>0</v>
      </c>
      <c r="F216" s="14" t="n">
        <f aca="false">IF(OR($A216="",B216=0),0,MAX(5,B216*IF(OR($A216=Parameters!$B$13,$A216=Parameters!$B$14),0.75,1)-(IF(AND($A216=DATE(2026,11,29),NOV29BF="Yes"),C216,0)+IF(OR($A216=DATE(2026,11,29),$A216=DATE(2026,11,30),$A216=DATE(2026,12,1),$A216=DATE(2026,12,2)),D216,0)+IF(OR($A216=DATE(2026,11,28),$A216=DATE(2026,12,1)),E216,0))))</f>
        <v>0</v>
      </c>
      <c r="G216" s="14" t="n">
        <f aca="false">IF(AND($A216&lt;&gt;"",$A216&lt;Parameters!$B$14),CityData!F3*(1+TAXRATE),0)</f>
        <v>0</v>
      </c>
      <c r="H216" s="14" t="n">
        <f aca="false">IF($A216="",0,IFERROR(VLOOKUP((YEAR($A216)+IF(MONTH($A216)&gt;=10,1,0))&amp;"|Boston|"&amp;MONTH($A216),Rates!$A$2:$I$181,5,FALSE()),0))</f>
        <v>0</v>
      </c>
      <c r="I216" s="14" t="n">
        <f aca="false">IF(OR($A216="",$A216&gt;=Parameters!$B$14),1,IF(AND(H216&gt;0,CityData!F3&lt;=H216),1,0))</f>
        <v>1</v>
      </c>
      <c r="J216" s="14" t="n">
        <f aca="false">IF($A216="",0,IFERROR(VLOOKUP((YEAR($A216)+IF(MONTH($A216)&gt;=10,1,0))&amp;"|Chicago|"&amp;MONTH($A216),Rates!$A$2:$I$181,6,FALSE()),0))</f>
        <v>0</v>
      </c>
      <c r="K216" s="14" t="n">
        <f aca="false">IF(J216=0,0,VLOOKUP(J216,MIE_Components!$A$2:$F$6,2,FALSE()))</f>
        <v>0</v>
      </c>
      <c r="L216" s="14" t="n">
        <f aca="false">IF(J216=0,0,VLOOKUP(J216,MIE_Components!$A$2:$F$6,3,FALSE()))</f>
        <v>0</v>
      </c>
      <c r="M216" s="14" t="n">
        <f aca="false">IF(J216=0,0,VLOOKUP(J216,MIE_Components!$A$2:$F$6,4,FALSE()))</f>
        <v>0</v>
      </c>
      <c r="N216" s="14" t="n">
        <f aca="false">IF(OR($A216="",J216=0),0,MAX(5,J216*IF(OR($A216=Parameters!$B$13,$A216=Parameters!$B$14),0.75,1)-(IF(AND($A216=DATE(2026,11,29),NOV29BF="Yes"),K216,0)+IF(OR($A216=DATE(2026,11,29),$A216=DATE(2026,11,30),$A216=DATE(2026,12,1),$A216=DATE(2026,12,2)),L216,0)+IF(OR($A216=DATE(2026,11,28),$A216=DATE(2026,12,1)),M216,0))))</f>
        <v>0</v>
      </c>
      <c r="O216" s="14" t="n">
        <f aca="false">IF(AND($A216&lt;&gt;"",$A216&lt;Parameters!$B$14),CityData!F4*(1+TAXRATE),0)</f>
        <v>0</v>
      </c>
      <c r="P216" s="14" t="n">
        <f aca="false">IF($A216="",0,IFERROR(VLOOKUP((YEAR($A216)+IF(MONTH($A216)&gt;=10,1,0))&amp;"|Chicago|"&amp;MONTH($A216),Rates!$A$2:$I$181,5,FALSE()),0))</f>
        <v>0</v>
      </c>
      <c r="Q216" s="14" t="n">
        <f aca="false">IF(OR($A216="",$A216&gt;=Parameters!$B$14),1,IF(AND(P216&gt;0,CityData!F4&lt;=P216),1,0))</f>
        <v>1</v>
      </c>
      <c r="R216" s="14" t="n">
        <f aca="false">IF($A216="",0,IFERROR(VLOOKUP((YEAR($A216)+IF(MONTH($A216)&gt;=10,1,0))&amp;"|Denver|"&amp;MONTH($A216),Rates!$A$2:$I$181,6,FALSE()),0))</f>
        <v>0</v>
      </c>
      <c r="S216" s="14" t="n">
        <f aca="false">IF(R216=0,0,VLOOKUP(R216,MIE_Components!$A$2:$F$6,2,FALSE()))</f>
        <v>0</v>
      </c>
      <c r="T216" s="14" t="n">
        <f aca="false">IF(R216=0,0,VLOOKUP(R216,MIE_Components!$A$2:$F$6,3,FALSE()))</f>
        <v>0</v>
      </c>
      <c r="U216" s="14" t="n">
        <f aca="false">IF(R216=0,0,VLOOKUP(R216,MIE_Components!$A$2:$F$6,4,FALSE()))</f>
        <v>0</v>
      </c>
      <c r="V216" s="14" t="n">
        <f aca="false">IF(OR($A216="",R216=0),0,MAX(5,R216*IF(OR($A216=Parameters!$B$13,$A216=Parameters!$B$14),0.75,1)-(IF(AND($A216=DATE(2026,11,29),NOV29BF="Yes"),S216,0)+IF(OR($A216=DATE(2026,11,29),$A216=DATE(2026,11,30),$A216=DATE(2026,12,1),$A216=DATE(2026,12,2)),T216,0)+IF(OR($A216=DATE(2026,11,28),$A216=DATE(2026,12,1)),U216,0))))</f>
        <v>0</v>
      </c>
      <c r="W216" s="14" t="n">
        <f aca="false">IF(AND($A216&lt;&gt;"",$A216&lt;Parameters!$B$14),CityData!F5*(1+TAXRATE),0)</f>
        <v>0</v>
      </c>
      <c r="X216" s="14" t="n">
        <f aca="false">IF($A216="",0,IFERROR(VLOOKUP((YEAR($A216)+IF(MONTH($A216)&gt;=10,1,0))&amp;"|Denver|"&amp;MONTH($A216),Rates!$A$2:$I$181,5,FALSE()),0))</f>
        <v>0</v>
      </c>
      <c r="Y216" s="14" t="n">
        <f aca="false">IF(OR($A216="",$A216&gt;=Parameters!$B$14),1,IF(AND(X216&gt;0,CityData!F5&lt;=X216),1,0))</f>
        <v>1</v>
      </c>
      <c r="Z216" s="14" t="n">
        <f aca="false">IF($A216="",0,IFERROR(VLOOKUP((YEAR($A216)+IF(MONTH($A216)&gt;=10,1,0))&amp;"|Phoenix|"&amp;MONTH($A216),Rates!$A$2:$I$181,6,FALSE()),0))</f>
        <v>0</v>
      </c>
      <c r="AA216" s="14" t="n">
        <f aca="false">IF(Z216=0,0,VLOOKUP(Z216,MIE_Components!$A$2:$F$6,2,FALSE()))</f>
        <v>0</v>
      </c>
      <c r="AB216" s="14" t="n">
        <f aca="false">IF(Z216=0,0,VLOOKUP(Z216,MIE_Components!$A$2:$F$6,3,FALSE()))</f>
        <v>0</v>
      </c>
      <c r="AC216" s="14" t="n">
        <f aca="false">IF(Z216=0,0,VLOOKUP(Z216,MIE_Components!$A$2:$F$6,4,FALSE()))</f>
        <v>0</v>
      </c>
      <c r="AD216" s="14" t="n">
        <f aca="false">IF(OR($A216="",Z216=0),0,MAX(5,Z216*IF(OR($A216=Parameters!$B$13,$A216=Parameters!$B$14),0.75,1)-(IF(AND($A216=DATE(2026,11,29),NOV29BF="Yes"),AA216,0)+IF(OR($A216=DATE(2026,11,29),$A216=DATE(2026,11,30),$A216=DATE(2026,12,1),$A216=DATE(2026,12,2)),AB216,0)+IF(OR($A216=DATE(2026,11,28),$A216=DATE(2026,12,1)),AC216,0))))</f>
        <v>0</v>
      </c>
      <c r="AE216" s="14" t="n">
        <f aca="false">IF(AND($A216&lt;&gt;"",$A216&lt;Parameters!$B$14),CityData!F6*(1+TAXRATE),0)</f>
        <v>0</v>
      </c>
      <c r="AF216" s="14" t="n">
        <f aca="false">IF($A216="",0,IFERROR(VLOOKUP((YEAR($A216)+IF(MONTH($A216)&gt;=10,1,0))&amp;"|Phoenix|"&amp;MONTH($A216),Rates!$A$2:$I$181,5,FALSE()),0))</f>
        <v>0</v>
      </c>
      <c r="AG216" s="14" t="n">
        <f aca="false">IF(OR($A216="",$A216&gt;=Parameters!$B$14),1,IF(AND(AF216&gt;0,CityData!F6&lt;=AF216),1,0))</f>
        <v>1</v>
      </c>
      <c r="AH216" s="14" t="n">
        <f aca="false">IF($A216="",0,IFERROR(VLOOKUP((YEAR($A216)+IF(MONTH($A216)&gt;=10,1,0))&amp;"|Seattle|"&amp;MONTH($A216),Rates!$A$2:$I$181,6,FALSE()),0))</f>
        <v>0</v>
      </c>
      <c r="AI216" s="14" t="n">
        <f aca="false">IF(AH216=0,0,VLOOKUP(AH216,MIE_Components!$A$2:$F$6,2,FALSE()))</f>
        <v>0</v>
      </c>
      <c r="AJ216" s="14" t="n">
        <f aca="false">IF(AH216=0,0,VLOOKUP(AH216,MIE_Components!$A$2:$F$6,3,FALSE()))</f>
        <v>0</v>
      </c>
      <c r="AK216" s="14" t="n">
        <f aca="false">IF(AH216=0,0,VLOOKUP(AH216,MIE_Components!$A$2:$F$6,4,FALSE()))</f>
        <v>0</v>
      </c>
      <c r="AL216" s="14" t="n">
        <f aca="false">IF(OR($A216="",AH216=0),0,MAX(5,AH216*IF(OR($A216=Parameters!$B$13,$A216=Parameters!$B$14),0.75,1)-(IF(AND($A216=DATE(2026,11,29),NOV29BF="Yes"),AI216,0)+IF(OR($A216=DATE(2026,11,29),$A216=DATE(2026,11,30),$A216=DATE(2026,12,1),$A216=DATE(2026,12,2)),AJ216,0)+IF(OR($A216=DATE(2026,11,28),$A216=DATE(2026,12,1)),AK216,0))))</f>
        <v>0</v>
      </c>
      <c r="AM216" s="14" t="n">
        <f aca="false">IF(AND($A216&lt;&gt;"",$A216&lt;Parameters!$B$14),CityData!F7*(1+TAXRATE),0)</f>
        <v>0</v>
      </c>
      <c r="AN216" s="14" t="n">
        <f aca="false">IF($A216="",0,IFERROR(VLOOKUP((YEAR($A216)+IF(MONTH($A216)&gt;=10,1,0))&amp;"|Seattle|"&amp;MONTH($A216),Rates!$A$2:$I$181,5,FALSE()),0))</f>
        <v>0</v>
      </c>
      <c r="AO216" s="14" t="n">
        <f aca="false">IF(OR($A216="",$A216&gt;=Parameters!$B$14),1,IF(AND(AN216&gt;0,CityData!F7&lt;=AN216),1,0))</f>
        <v>1</v>
      </c>
    </row>
    <row r="217" customFormat="false" ht="15" hidden="false" customHeight="true" outlineLevel="0" collapsed="false">
      <c r="A217" s="23" t="str">
        <f aca="false">IF(AND(Parameters!$B$14&gt;=Parameters!$B$13,ROW()-2&lt;=Parameters!$B$14-Parameters!$B$13),Parameters!$B$13+ROW()-2,"")</f>
        <v/>
      </c>
      <c r="B217" s="14" t="n">
        <f aca="false">IF($A217="",0,IFERROR(VLOOKUP((YEAR($A217)+IF(MONTH($A217)&gt;=10,1,0))&amp;"|Boston|"&amp;MONTH($A217),Rates!$A$2:$I$181,6,FALSE()),0))</f>
        <v>0</v>
      </c>
      <c r="C217" s="14" t="n">
        <f aca="false">IF(B217=0,0,VLOOKUP(B217,MIE_Components!$A$2:$F$6,2,FALSE()))</f>
        <v>0</v>
      </c>
      <c r="D217" s="14" t="n">
        <f aca="false">IF(B217=0,0,VLOOKUP(B217,MIE_Components!$A$2:$F$6,3,FALSE()))</f>
        <v>0</v>
      </c>
      <c r="E217" s="14" t="n">
        <f aca="false">IF(B217=0,0,VLOOKUP(B217,MIE_Components!$A$2:$F$6,4,FALSE()))</f>
        <v>0</v>
      </c>
      <c r="F217" s="14" t="n">
        <f aca="false">IF(OR($A217="",B217=0),0,MAX(5,B217*IF(OR($A217=Parameters!$B$13,$A217=Parameters!$B$14),0.75,1)-(IF(AND($A217=DATE(2026,11,29),NOV29BF="Yes"),C217,0)+IF(OR($A217=DATE(2026,11,29),$A217=DATE(2026,11,30),$A217=DATE(2026,12,1),$A217=DATE(2026,12,2)),D217,0)+IF(OR($A217=DATE(2026,11,28),$A217=DATE(2026,12,1)),E217,0))))</f>
        <v>0</v>
      </c>
      <c r="G217" s="14" t="n">
        <f aca="false">IF(AND($A217&lt;&gt;"",$A217&lt;Parameters!$B$14),CityData!F3*(1+TAXRATE),0)</f>
        <v>0</v>
      </c>
      <c r="H217" s="14" t="n">
        <f aca="false">IF($A217="",0,IFERROR(VLOOKUP((YEAR($A217)+IF(MONTH($A217)&gt;=10,1,0))&amp;"|Boston|"&amp;MONTH($A217),Rates!$A$2:$I$181,5,FALSE()),0))</f>
        <v>0</v>
      </c>
      <c r="I217" s="14" t="n">
        <f aca="false">IF(OR($A217="",$A217&gt;=Parameters!$B$14),1,IF(AND(H217&gt;0,CityData!F3&lt;=H217),1,0))</f>
        <v>1</v>
      </c>
      <c r="J217" s="14" t="n">
        <f aca="false">IF($A217="",0,IFERROR(VLOOKUP((YEAR($A217)+IF(MONTH($A217)&gt;=10,1,0))&amp;"|Chicago|"&amp;MONTH($A217),Rates!$A$2:$I$181,6,FALSE()),0))</f>
        <v>0</v>
      </c>
      <c r="K217" s="14" t="n">
        <f aca="false">IF(J217=0,0,VLOOKUP(J217,MIE_Components!$A$2:$F$6,2,FALSE()))</f>
        <v>0</v>
      </c>
      <c r="L217" s="14" t="n">
        <f aca="false">IF(J217=0,0,VLOOKUP(J217,MIE_Components!$A$2:$F$6,3,FALSE()))</f>
        <v>0</v>
      </c>
      <c r="M217" s="14" t="n">
        <f aca="false">IF(J217=0,0,VLOOKUP(J217,MIE_Components!$A$2:$F$6,4,FALSE()))</f>
        <v>0</v>
      </c>
      <c r="N217" s="14" t="n">
        <f aca="false">IF(OR($A217="",J217=0),0,MAX(5,J217*IF(OR($A217=Parameters!$B$13,$A217=Parameters!$B$14),0.75,1)-(IF(AND($A217=DATE(2026,11,29),NOV29BF="Yes"),K217,0)+IF(OR($A217=DATE(2026,11,29),$A217=DATE(2026,11,30),$A217=DATE(2026,12,1),$A217=DATE(2026,12,2)),L217,0)+IF(OR($A217=DATE(2026,11,28),$A217=DATE(2026,12,1)),M217,0))))</f>
        <v>0</v>
      </c>
      <c r="O217" s="14" t="n">
        <f aca="false">IF(AND($A217&lt;&gt;"",$A217&lt;Parameters!$B$14),CityData!F4*(1+TAXRATE),0)</f>
        <v>0</v>
      </c>
      <c r="P217" s="14" t="n">
        <f aca="false">IF($A217="",0,IFERROR(VLOOKUP((YEAR($A217)+IF(MONTH($A217)&gt;=10,1,0))&amp;"|Chicago|"&amp;MONTH($A217),Rates!$A$2:$I$181,5,FALSE()),0))</f>
        <v>0</v>
      </c>
      <c r="Q217" s="14" t="n">
        <f aca="false">IF(OR($A217="",$A217&gt;=Parameters!$B$14),1,IF(AND(P217&gt;0,CityData!F4&lt;=P217),1,0))</f>
        <v>1</v>
      </c>
      <c r="R217" s="14" t="n">
        <f aca="false">IF($A217="",0,IFERROR(VLOOKUP((YEAR($A217)+IF(MONTH($A217)&gt;=10,1,0))&amp;"|Denver|"&amp;MONTH($A217),Rates!$A$2:$I$181,6,FALSE()),0))</f>
        <v>0</v>
      </c>
      <c r="S217" s="14" t="n">
        <f aca="false">IF(R217=0,0,VLOOKUP(R217,MIE_Components!$A$2:$F$6,2,FALSE()))</f>
        <v>0</v>
      </c>
      <c r="T217" s="14" t="n">
        <f aca="false">IF(R217=0,0,VLOOKUP(R217,MIE_Components!$A$2:$F$6,3,FALSE()))</f>
        <v>0</v>
      </c>
      <c r="U217" s="14" t="n">
        <f aca="false">IF(R217=0,0,VLOOKUP(R217,MIE_Components!$A$2:$F$6,4,FALSE()))</f>
        <v>0</v>
      </c>
      <c r="V217" s="14" t="n">
        <f aca="false">IF(OR($A217="",R217=0),0,MAX(5,R217*IF(OR($A217=Parameters!$B$13,$A217=Parameters!$B$14),0.75,1)-(IF(AND($A217=DATE(2026,11,29),NOV29BF="Yes"),S217,0)+IF(OR($A217=DATE(2026,11,29),$A217=DATE(2026,11,30),$A217=DATE(2026,12,1),$A217=DATE(2026,12,2)),T217,0)+IF(OR($A217=DATE(2026,11,28),$A217=DATE(2026,12,1)),U217,0))))</f>
        <v>0</v>
      </c>
      <c r="W217" s="14" t="n">
        <f aca="false">IF(AND($A217&lt;&gt;"",$A217&lt;Parameters!$B$14),CityData!F5*(1+TAXRATE),0)</f>
        <v>0</v>
      </c>
      <c r="X217" s="14" t="n">
        <f aca="false">IF($A217="",0,IFERROR(VLOOKUP((YEAR($A217)+IF(MONTH($A217)&gt;=10,1,0))&amp;"|Denver|"&amp;MONTH($A217),Rates!$A$2:$I$181,5,FALSE()),0))</f>
        <v>0</v>
      </c>
      <c r="Y217" s="14" t="n">
        <f aca="false">IF(OR($A217="",$A217&gt;=Parameters!$B$14),1,IF(AND(X217&gt;0,CityData!F5&lt;=X217),1,0))</f>
        <v>1</v>
      </c>
      <c r="Z217" s="14" t="n">
        <f aca="false">IF($A217="",0,IFERROR(VLOOKUP((YEAR($A217)+IF(MONTH($A217)&gt;=10,1,0))&amp;"|Phoenix|"&amp;MONTH($A217),Rates!$A$2:$I$181,6,FALSE()),0))</f>
        <v>0</v>
      </c>
      <c r="AA217" s="14" t="n">
        <f aca="false">IF(Z217=0,0,VLOOKUP(Z217,MIE_Components!$A$2:$F$6,2,FALSE()))</f>
        <v>0</v>
      </c>
      <c r="AB217" s="14" t="n">
        <f aca="false">IF(Z217=0,0,VLOOKUP(Z217,MIE_Components!$A$2:$F$6,3,FALSE()))</f>
        <v>0</v>
      </c>
      <c r="AC217" s="14" t="n">
        <f aca="false">IF(Z217=0,0,VLOOKUP(Z217,MIE_Components!$A$2:$F$6,4,FALSE()))</f>
        <v>0</v>
      </c>
      <c r="AD217" s="14" t="n">
        <f aca="false">IF(OR($A217="",Z217=0),0,MAX(5,Z217*IF(OR($A217=Parameters!$B$13,$A217=Parameters!$B$14),0.75,1)-(IF(AND($A217=DATE(2026,11,29),NOV29BF="Yes"),AA217,0)+IF(OR($A217=DATE(2026,11,29),$A217=DATE(2026,11,30),$A217=DATE(2026,12,1),$A217=DATE(2026,12,2)),AB217,0)+IF(OR($A217=DATE(2026,11,28),$A217=DATE(2026,12,1)),AC217,0))))</f>
        <v>0</v>
      </c>
      <c r="AE217" s="14" t="n">
        <f aca="false">IF(AND($A217&lt;&gt;"",$A217&lt;Parameters!$B$14),CityData!F6*(1+TAXRATE),0)</f>
        <v>0</v>
      </c>
      <c r="AF217" s="14" t="n">
        <f aca="false">IF($A217="",0,IFERROR(VLOOKUP((YEAR($A217)+IF(MONTH($A217)&gt;=10,1,0))&amp;"|Phoenix|"&amp;MONTH($A217),Rates!$A$2:$I$181,5,FALSE()),0))</f>
        <v>0</v>
      </c>
      <c r="AG217" s="14" t="n">
        <f aca="false">IF(OR($A217="",$A217&gt;=Parameters!$B$14),1,IF(AND(AF217&gt;0,CityData!F6&lt;=AF217),1,0))</f>
        <v>1</v>
      </c>
      <c r="AH217" s="14" t="n">
        <f aca="false">IF($A217="",0,IFERROR(VLOOKUP((YEAR($A217)+IF(MONTH($A217)&gt;=10,1,0))&amp;"|Seattle|"&amp;MONTH($A217),Rates!$A$2:$I$181,6,FALSE()),0))</f>
        <v>0</v>
      </c>
      <c r="AI217" s="14" t="n">
        <f aca="false">IF(AH217=0,0,VLOOKUP(AH217,MIE_Components!$A$2:$F$6,2,FALSE()))</f>
        <v>0</v>
      </c>
      <c r="AJ217" s="14" t="n">
        <f aca="false">IF(AH217=0,0,VLOOKUP(AH217,MIE_Components!$A$2:$F$6,3,FALSE()))</f>
        <v>0</v>
      </c>
      <c r="AK217" s="14" t="n">
        <f aca="false">IF(AH217=0,0,VLOOKUP(AH217,MIE_Components!$A$2:$F$6,4,FALSE()))</f>
        <v>0</v>
      </c>
      <c r="AL217" s="14" t="n">
        <f aca="false">IF(OR($A217="",AH217=0),0,MAX(5,AH217*IF(OR($A217=Parameters!$B$13,$A217=Parameters!$B$14),0.75,1)-(IF(AND($A217=DATE(2026,11,29),NOV29BF="Yes"),AI217,0)+IF(OR($A217=DATE(2026,11,29),$A217=DATE(2026,11,30),$A217=DATE(2026,12,1),$A217=DATE(2026,12,2)),AJ217,0)+IF(OR($A217=DATE(2026,11,28),$A217=DATE(2026,12,1)),AK217,0))))</f>
        <v>0</v>
      </c>
      <c r="AM217" s="14" t="n">
        <f aca="false">IF(AND($A217&lt;&gt;"",$A217&lt;Parameters!$B$14),CityData!F7*(1+TAXRATE),0)</f>
        <v>0</v>
      </c>
      <c r="AN217" s="14" t="n">
        <f aca="false">IF($A217="",0,IFERROR(VLOOKUP((YEAR($A217)+IF(MONTH($A217)&gt;=10,1,0))&amp;"|Seattle|"&amp;MONTH($A217),Rates!$A$2:$I$181,5,FALSE()),0))</f>
        <v>0</v>
      </c>
      <c r="AO217" s="14" t="n">
        <f aca="false">IF(OR($A217="",$A217&gt;=Parameters!$B$14),1,IF(AND(AN217&gt;0,CityData!F7&lt;=AN217),1,0))</f>
        <v>1</v>
      </c>
    </row>
    <row r="218" customFormat="false" ht="15" hidden="false" customHeight="true" outlineLevel="0" collapsed="false">
      <c r="A218" s="23" t="str">
        <f aca="false">IF(AND(Parameters!$B$14&gt;=Parameters!$B$13,ROW()-2&lt;=Parameters!$B$14-Parameters!$B$13),Parameters!$B$13+ROW()-2,"")</f>
        <v/>
      </c>
      <c r="B218" s="14" t="n">
        <f aca="false">IF($A218="",0,IFERROR(VLOOKUP((YEAR($A218)+IF(MONTH($A218)&gt;=10,1,0))&amp;"|Boston|"&amp;MONTH($A218),Rates!$A$2:$I$181,6,FALSE()),0))</f>
        <v>0</v>
      </c>
      <c r="C218" s="14" t="n">
        <f aca="false">IF(B218=0,0,VLOOKUP(B218,MIE_Components!$A$2:$F$6,2,FALSE()))</f>
        <v>0</v>
      </c>
      <c r="D218" s="14" t="n">
        <f aca="false">IF(B218=0,0,VLOOKUP(B218,MIE_Components!$A$2:$F$6,3,FALSE()))</f>
        <v>0</v>
      </c>
      <c r="E218" s="14" t="n">
        <f aca="false">IF(B218=0,0,VLOOKUP(B218,MIE_Components!$A$2:$F$6,4,FALSE()))</f>
        <v>0</v>
      </c>
      <c r="F218" s="14" t="n">
        <f aca="false">IF(OR($A218="",B218=0),0,MAX(5,B218*IF(OR($A218=Parameters!$B$13,$A218=Parameters!$B$14),0.75,1)-(IF(AND($A218=DATE(2026,11,29),NOV29BF="Yes"),C218,0)+IF(OR($A218=DATE(2026,11,29),$A218=DATE(2026,11,30),$A218=DATE(2026,12,1),$A218=DATE(2026,12,2)),D218,0)+IF(OR($A218=DATE(2026,11,28),$A218=DATE(2026,12,1)),E218,0))))</f>
        <v>0</v>
      </c>
      <c r="G218" s="14" t="n">
        <f aca="false">IF(AND($A218&lt;&gt;"",$A218&lt;Parameters!$B$14),CityData!F3*(1+TAXRATE),0)</f>
        <v>0</v>
      </c>
      <c r="H218" s="14" t="n">
        <f aca="false">IF($A218="",0,IFERROR(VLOOKUP((YEAR($A218)+IF(MONTH($A218)&gt;=10,1,0))&amp;"|Boston|"&amp;MONTH($A218),Rates!$A$2:$I$181,5,FALSE()),0))</f>
        <v>0</v>
      </c>
      <c r="I218" s="14" t="n">
        <f aca="false">IF(OR($A218="",$A218&gt;=Parameters!$B$14),1,IF(AND(H218&gt;0,CityData!F3&lt;=H218),1,0))</f>
        <v>1</v>
      </c>
      <c r="J218" s="14" t="n">
        <f aca="false">IF($A218="",0,IFERROR(VLOOKUP((YEAR($A218)+IF(MONTH($A218)&gt;=10,1,0))&amp;"|Chicago|"&amp;MONTH($A218),Rates!$A$2:$I$181,6,FALSE()),0))</f>
        <v>0</v>
      </c>
      <c r="K218" s="14" t="n">
        <f aca="false">IF(J218=0,0,VLOOKUP(J218,MIE_Components!$A$2:$F$6,2,FALSE()))</f>
        <v>0</v>
      </c>
      <c r="L218" s="14" t="n">
        <f aca="false">IF(J218=0,0,VLOOKUP(J218,MIE_Components!$A$2:$F$6,3,FALSE()))</f>
        <v>0</v>
      </c>
      <c r="M218" s="14" t="n">
        <f aca="false">IF(J218=0,0,VLOOKUP(J218,MIE_Components!$A$2:$F$6,4,FALSE()))</f>
        <v>0</v>
      </c>
      <c r="N218" s="14" t="n">
        <f aca="false">IF(OR($A218="",J218=0),0,MAX(5,J218*IF(OR($A218=Parameters!$B$13,$A218=Parameters!$B$14),0.75,1)-(IF(AND($A218=DATE(2026,11,29),NOV29BF="Yes"),K218,0)+IF(OR($A218=DATE(2026,11,29),$A218=DATE(2026,11,30),$A218=DATE(2026,12,1),$A218=DATE(2026,12,2)),L218,0)+IF(OR($A218=DATE(2026,11,28),$A218=DATE(2026,12,1)),M218,0))))</f>
        <v>0</v>
      </c>
      <c r="O218" s="14" t="n">
        <f aca="false">IF(AND($A218&lt;&gt;"",$A218&lt;Parameters!$B$14),CityData!F4*(1+TAXRATE),0)</f>
        <v>0</v>
      </c>
      <c r="P218" s="14" t="n">
        <f aca="false">IF($A218="",0,IFERROR(VLOOKUP((YEAR($A218)+IF(MONTH($A218)&gt;=10,1,0))&amp;"|Chicago|"&amp;MONTH($A218),Rates!$A$2:$I$181,5,FALSE()),0))</f>
        <v>0</v>
      </c>
      <c r="Q218" s="14" t="n">
        <f aca="false">IF(OR($A218="",$A218&gt;=Parameters!$B$14),1,IF(AND(P218&gt;0,CityData!F4&lt;=P218),1,0))</f>
        <v>1</v>
      </c>
      <c r="R218" s="14" t="n">
        <f aca="false">IF($A218="",0,IFERROR(VLOOKUP((YEAR($A218)+IF(MONTH($A218)&gt;=10,1,0))&amp;"|Denver|"&amp;MONTH($A218),Rates!$A$2:$I$181,6,FALSE()),0))</f>
        <v>0</v>
      </c>
      <c r="S218" s="14" t="n">
        <f aca="false">IF(R218=0,0,VLOOKUP(R218,MIE_Components!$A$2:$F$6,2,FALSE()))</f>
        <v>0</v>
      </c>
      <c r="T218" s="14" t="n">
        <f aca="false">IF(R218=0,0,VLOOKUP(R218,MIE_Components!$A$2:$F$6,3,FALSE()))</f>
        <v>0</v>
      </c>
      <c r="U218" s="14" t="n">
        <f aca="false">IF(R218=0,0,VLOOKUP(R218,MIE_Components!$A$2:$F$6,4,FALSE()))</f>
        <v>0</v>
      </c>
      <c r="V218" s="14" t="n">
        <f aca="false">IF(OR($A218="",R218=0),0,MAX(5,R218*IF(OR($A218=Parameters!$B$13,$A218=Parameters!$B$14),0.75,1)-(IF(AND($A218=DATE(2026,11,29),NOV29BF="Yes"),S218,0)+IF(OR($A218=DATE(2026,11,29),$A218=DATE(2026,11,30),$A218=DATE(2026,12,1),$A218=DATE(2026,12,2)),T218,0)+IF(OR($A218=DATE(2026,11,28),$A218=DATE(2026,12,1)),U218,0))))</f>
        <v>0</v>
      </c>
      <c r="W218" s="14" t="n">
        <f aca="false">IF(AND($A218&lt;&gt;"",$A218&lt;Parameters!$B$14),CityData!F5*(1+TAXRATE),0)</f>
        <v>0</v>
      </c>
      <c r="X218" s="14" t="n">
        <f aca="false">IF($A218="",0,IFERROR(VLOOKUP((YEAR($A218)+IF(MONTH($A218)&gt;=10,1,0))&amp;"|Denver|"&amp;MONTH($A218),Rates!$A$2:$I$181,5,FALSE()),0))</f>
        <v>0</v>
      </c>
      <c r="Y218" s="14" t="n">
        <f aca="false">IF(OR($A218="",$A218&gt;=Parameters!$B$14),1,IF(AND(X218&gt;0,CityData!F5&lt;=X218),1,0))</f>
        <v>1</v>
      </c>
      <c r="Z218" s="14" t="n">
        <f aca="false">IF($A218="",0,IFERROR(VLOOKUP((YEAR($A218)+IF(MONTH($A218)&gt;=10,1,0))&amp;"|Phoenix|"&amp;MONTH($A218),Rates!$A$2:$I$181,6,FALSE()),0))</f>
        <v>0</v>
      </c>
      <c r="AA218" s="14" t="n">
        <f aca="false">IF(Z218=0,0,VLOOKUP(Z218,MIE_Components!$A$2:$F$6,2,FALSE()))</f>
        <v>0</v>
      </c>
      <c r="AB218" s="14" t="n">
        <f aca="false">IF(Z218=0,0,VLOOKUP(Z218,MIE_Components!$A$2:$F$6,3,FALSE()))</f>
        <v>0</v>
      </c>
      <c r="AC218" s="14" t="n">
        <f aca="false">IF(Z218=0,0,VLOOKUP(Z218,MIE_Components!$A$2:$F$6,4,FALSE()))</f>
        <v>0</v>
      </c>
      <c r="AD218" s="14" t="n">
        <f aca="false">IF(OR($A218="",Z218=0),0,MAX(5,Z218*IF(OR($A218=Parameters!$B$13,$A218=Parameters!$B$14),0.75,1)-(IF(AND($A218=DATE(2026,11,29),NOV29BF="Yes"),AA218,0)+IF(OR($A218=DATE(2026,11,29),$A218=DATE(2026,11,30),$A218=DATE(2026,12,1),$A218=DATE(2026,12,2)),AB218,0)+IF(OR($A218=DATE(2026,11,28),$A218=DATE(2026,12,1)),AC218,0))))</f>
        <v>0</v>
      </c>
      <c r="AE218" s="14" t="n">
        <f aca="false">IF(AND($A218&lt;&gt;"",$A218&lt;Parameters!$B$14),CityData!F6*(1+TAXRATE),0)</f>
        <v>0</v>
      </c>
      <c r="AF218" s="14" t="n">
        <f aca="false">IF($A218="",0,IFERROR(VLOOKUP((YEAR($A218)+IF(MONTH($A218)&gt;=10,1,0))&amp;"|Phoenix|"&amp;MONTH($A218),Rates!$A$2:$I$181,5,FALSE()),0))</f>
        <v>0</v>
      </c>
      <c r="AG218" s="14" t="n">
        <f aca="false">IF(OR($A218="",$A218&gt;=Parameters!$B$14),1,IF(AND(AF218&gt;0,CityData!F6&lt;=AF218),1,0))</f>
        <v>1</v>
      </c>
      <c r="AH218" s="14" t="n">
        <f aca="false">IF($A218="",0,IFERROR(VLOOKUP((YEAR($A218)+IF(MONTH($A218)&gt;=10,1,0))&amp;"|Seattle|"&amp;MONTH($A218),Rates!$A$2:$I$181,6,FALSE()),0))</f>
        <v>0</v>
      </c>
      <c r="AI218" s="14" t="n">
        <f aca="false">IF(AH218=0,0,VLOOKUP(AH218,MIE_Components!$A$2:$F$6,2,FALSE()))</f>
        <v>0</v>
      </c>
      <c r="AJ218" s="14" t="n">
        <f aca="false">IF(AH218=0,0,VLOOKUP(AH218,MIE_Components!$A$2:$F$6,3,FALSE()))</f>
        <v>0</v>
      </c>
      <c r="AK218" s="14" t="n">
        <f aca="false">IF(AH218=0,0,VLOOKUP(AH218,MIE_Components!$A$2:$F$6,4,FALSE()))</f>
        <v>0</v>
      </c>
      <c r="AL218" s="14" t="n">
        <f aca="false">IF(OR($A218="",AH218=0),0,MAX(5,AH218*IF(OR($A218=Parameters!$B$13,$A218=Parameters!$B$14),0.75,1)-(IF(AND($A218=DATE(2026,11,29),NOV29BF="Yes"),AI218,0)+IF(OR($A218=DATE(2026,11,29),$A218=DATE(2026,11,30),$A218=DATE(2026,12,1),$A218=DATE(2026,12,2)),AJ218,0)+IF(OR($A218=DATE(2026,11,28),$A218=DATE(2026,12,1)),AK218,0))))</f>
        <v>0</v>
      </c>
      <c r="AM218" s="14" t="n">
        <f aca="false">IF(AND($A218&lt;&gt;"",$A218&lt;Parameters!$B$14),CityData!F7*(1+TAXRATE),0)</f>
        <v>0</v>
      </c>
      <c r="AN218" s="14" t="n">
        <f aca="false">IF($A218="",0,IFERROR(VLOOKUP((YEAR($A218)+IF(MONTH($A218)&gt;=10,1,0))&amp;"|Seattle|"&amp;MONTH($A218),Rates!$A$2:$I$181,5,FALSE()),0))</f>
        <v>0</v>
      </c>
      <c r="AO218" s="14" t="n">
        <f aca="false">IF(OR($A218="",$A218&gt;=Parameters!$B$14),1,IF(AND(AN218&gt;0,CityData!F7&lt;=AN218),1,0))</f>
        <v>1</v>
      </c>
    </row>
    <row r="219" customFormat="false" ht="15" hidden="false" customHeight="true" outlineLevel="0" collapsed="false">
      <c r="A219" s="23" t="str">
        <f aca="false">IF(AND(Parameters!$B$14&gt;=Parameters!$B$13,ROW()-2&lt;=Parameters!$B$14-Parameters!$B$13),Parameters!$B$13+ROW()-2,"")</f>
        <v/>
      </c>
      <c r="B219" s="14" t="n">
        <f aca="false">IF($A219="",0,IFERROR(VLOOKUP((YEAR($A219)+IF(MONTH($A219)&gt;=10,1,0))&amp;"|Boston|"&amp;MONTH($A219),Rates!$A$2:$I$181,6,FALSE()),0))</f>
        <v>0</v>
      </c>
      <c r="C219" s="14" t="n">
        <f aca="false">IF(B219=0,0,VLOOKUP(B219,MIE_Components!$A$2:$F$6,2,FALSE()))</f>
        <v>0</v>
      </c>
      <c r="D219" s="14" t="n">
        <f aca="false">IF(B219=0,0,VLOOKUP(B219,MIE_Components!$A$2:$F$6,3,FALSE()))</f>
        <v>0</v>
      </c>
      <c r="E219" s="14" t="n">
        <f aca="false">IF(B219=0,0,VLOOKUP(B219,MIE_Components!$A$2:$F$6,4,FALSE()))</f>
        <v>0</v>
      </c>
      <c r="F219" s="14" t="n">
        <f aca="false">IF(OR($A219="",B219=0),0,MAX(5,B219*IF(OR($A219=Parameters!$B$13,$A219=Parameters!$B$14),0.75,1)-(IF(AND($A219=DATE(2026,11,29),NOV29BF="Yes"),C219,0)+IF(OR($A219=DATE(2026,11,29),$A219=DATE(2026,11,30),$A219=DATE(2026,12,1),$A219=DATE(2026,12,2)),D219,0)+IF(OR($A219=DATE(2026,11,28),$A219=DATE(2026,12,1)),E219,0))))</f>
        <v>0</v>
      </c>
      <c r="G219" s="14" t="n">
        <f aca="false">IF(AND($A219&lt;&gt;"",$A219&lt;Parameters!$B$14),CityData!F3*(1+TAXRATE),0)</f>
        <v>0</v>
      </c>
      <c r="H219" s="14" t="n">
        <f aca="false">IF($A219="",0,IFERROR(VLOOKUP((YEAR($A219)+IF(MONTH($A219)&gt;=10,1,0))&amp;"|Boston|"&amp;MONTH($A219),Rates!$A$2:$I$181,5,FALSE()),0))</f>
        <v>0</v>
      </c>
      <c r="I219" s="14" t="n">
        <f aca="false">IF(OR($A219="",$A219&gt;=Parameters!$B$14),1,IF(AND(H219&gt;0,CityData!F3&lt;=H219),1,0))</f>
        <v>1</v>
      </c>
      <c r="J219" s="14" t="n">
        <f aca="false">IF($A219="",0,IFERROR(VLOOKUP((YEAR($A219)+IF(MONTH($A219)&gt;=10,1,0))&amp;"|Chicago|"&amp;MONTH($A219),Rates!$A$2:$I$181,6,FALSE()),0))</f>
        <v>0</v>
      </c>
      <c r="K219" s="14" t="n">
        <f aca="false">IF(J219=0,0,VLOOKUP(J219,MIE_Components!$A$2:$F$6,2,FALSE()))</f>
        <v>0</v>
      </c>
      <c r="L219" s="14" t="n">
        <f aca="false">IF(J219=0,0,VLOOKUP(J219,MIE_Components!$A$2:$F$6,3,FALSE()))</f>
        <v>0</v>
      </c>
      <c r="M219" s="14" t="n">
        <f aca="false">IF(J219=0,0,VLOOKUP(J219,MIE_Components!$A$2:$F$6,4,FALSE()))</f>
        <v>0</v>
      </c>
      <c r="N219" s="14" t="n">
        <f aca="false">IF(OR($A219="",J219=0),0,MAX(5,J219*IF(OR($A219=Parameters!$B$13,$A219=Parameters!$B$14),0.75,1)-(IF(AND($A219=DATE(2026,11,29),NOV29BF="Yes"),K219,0)+IF(OR($A219=DATE(2026,11,29),$A219=DATE(2026,11,30),$A219=DATE(2026,12,1),$A219=DATE(2026,12,2)),L219,0)+IF(OR($A219=DATE(2026,11,28),$A219=DATE(2026,12,1)),M219,0))))</f>
        <v>0</v>
      </c>
      <c r="O219" s="14" t="n">
        <f aca="false">IF(AND($A219&lt;&gt;"",$A219&lt;Parameters!$B$14),CityData!F4*(1+TAXRATE),0)</f>
        <v>0</v>
      </c>
      <c r="P219" s="14" t="n">
        <f aca="false">IF($A219="",0,IFERROR(VLOOKUP((YEAR($A219)+IF(MONTH($A219)&gt;=10,1,0))&amp;"|Chicago|"&amp;MONTH($A219),Rates!$A$2:$I$181,5,FALSE()),0))</f>
        <v>0</v>
      </c>
      <c r="Q219" s="14" t="n">
        <f aca="false">IF(OR($A219="",$A219&gt;=Parameters!$B$14),1,IF(AND(P219&gt;0,CityData!F4&lt;=P219),1,0))</f>
        <v>1</v>
      </c>
      <c r="R219" s="14" t="n">
        <f aca="false">IF($A219="",0,IFERROR(VLOOKUP((YEAR($A219)+IF(MONTH($A219)&gt;=10,1,0))&amp;"|Denver|"&amp;MONTH($A219),Rates!$A$2:$I$181,6,FALSE()),0))</f>
        <v>0</v>
      </c>
      <c r="S219" s="14" t="n">
        <f aca="false">IF(R219=0,0,VLOOKUP(R219,MIE_Components!$A$2:$F$6,2,FALSE()))</f>
        <v>0</v>
      </c>
      <c r="T219" s="14" t="n">
        <f aca="false">IF(R219=0,0,VLOOKUP(R219,MIE_Components!$A$2:$F$6,3,FALSE()))</f>
        <v>0</v>
      </c>
      <c r="U219" s="14" t="n">
        <f aca="false">IF(R219=0,0,VLOOKUP(R219,MIE_Components!$A$2:$F$6,4,FALSE()))</f>
        <v>0</v>
      </c>
      <c r="V219" s="14" t="n">
        <f aca="false">IF(OR($A219="",R219=0),0,MAX(5,R219*IF(OR($A219=Parameters!$B$13,$A219=Parameters!$B$14),0.75,1)-(IF(AND($A219=DATE(2026,11,29),NOV29BF="Yes"),S219,0)+IF(OR($A219=DATE(2026,11,29),$A219=DATE(2026,11,30),$A219=DATE(2026,12,1),$A219=DATE(2026,12,2)),T219,0)+IF(OR($A219=DATE(2026,11,28),$A219=DATE(2026,12,1)),U219,0))))</f>
        <v>0</v>
      </c>
      <c r="W219" s="14" t="n">
        <f aca="false">IF(AND($A219&lt;&gt;"",$A219&lt;Parameters!$B$14),CityData!F5*(1+TAXRATE),0)</f>
        <v>0</v>
      </c>
      <c r="X219" s="14" t="n">
        <f aca="false">IF($A219="",0,IFERROR(VLOOKUP((YEAR($A219)+IF(MONTH($A219)&gt;=10,1,0))&amp;"|Denver|"&amp;MONTH($A219),Rates!$A$2:$I$181,5,FALSE()),0))</f>
        <v>0</v>
      </c>
      <c r="Y219" s="14" t="n">
        <f aca="false">IF(OR($A219="",$A219&gt;=Parameters!$B$14),1,IF(AND(X219&gt;0,CityData!F5&lt;=X219),1,0))</f>
        <v>1</v>
      </c>
      <c r="Z219" s="14" t="n">
        <f aca="false">IF($A219="",0,IFERROR(VLOOKUP((YEAR($A219)+IF(MONTH($A219)&gt;=10,1,0))&amp;"|Phoenix|"&amp;MONTH($A219),Rates!$A$2:$I$181,6,FALSE()),0))</f>
        <v>0</v>
      </c>
      <c r="AA219" s="14" t="n">
        <f aca="false">IF(Z219=0,0,VLOOKUP(Z219,MIE_Components!$A$2:$F$6,2,FALSE()))</f>
        <v>0</v>
      </c>
      <c r="AB219" s="14" t="n">
        <f aca="false">IF(Z219=0,0,VLOOKUP(Z219,MIE_Components!$A$2:$F$6,3,FALSE()))</f>
        <v>0</v>
      </c>
      <c r="AC219" s="14" t="n">
        <f aca="false">IF(Z219=0,0,VLOOKUP(Z219,MIE_Components!$A$2:$F$6,4,FALSE()))</f>
        <v>0</v>
      </c>
      <c r="AD219" s="14" t="n">
        <f aca="false">IF(OR($A219="",Z219=0),0,MAX(5,Z219*IF(OR($A219=Parameters!$B$13,$A219=Parameters!$B$14),0.75,1)-(IF(AND($A219=DATE(2026,11,29),NOV29BF="Yes"),AA219,0)+IF(OR($A219=DATE(2026,11,29),$A219=DATE(2026,11,30),$A219=DATE(2026,12,1),$A219=DATE(2026,12,2)),AB219,0)+IF(OR($A219=DATE(2026,11,28),$A219=DATE(2026,12,1)),AC219,0))))</f>
        <v>0</v>
      </c>
      <c r="AE219" s="14" t="n">
        <f aca="false">IF(AND($A219&lt;&gt;"",$A219&lt;Parameters!$B$14),CityData!F6*(1+TAXRATE),0)</f>
        <v>0</v>
      </c>
      <c r="AF219" s="14" t="n">
        <f aca="false">IF($A219="",0,IFERROR(VLOOKUP((YEAR($A219)+IF(MONTH($A219)&gt;=10,1,0))&amp;"|Phoenix|"&amp;MONTH($A219),Rates!$A$2:$I$181,5,FALSE()),0))</f>
        <v>0</v>
      </c>
      <c r="AG219" s="14" t="n">
        <f aca="false">IF(OR($A219="",$A219&gt;=Parameters!$B$14),1,IF(AND(AF219&gt;0,CityData!F6&lt;=AF219),1,0))</f>
        <v>1</v>
      </c>
      <c r="AH219" s="14" t="n">
        <f aca="false">IF($A219="",0,IFERROR(VLOOKUP((YEAR($A219)+IF(MONTH($A219)&gt;=10,1,0))&amp;"|Seattle|"&amp;MONTH($A219),Rates!$A$2:$I$181,6,FALSE()),0))</f>
        <v>0</v>
      </c>
      <c r="AI219" s="14" t="n">
        <f aca="false">IF(AH219=0,0,VLOOKUP(AH219,MIE_Components!$A$2:$F$6,2,FALSE()))</f>
        <v>0</v>
      </c>
      <c r="AJ219" s="14" t="n">
        <f aca="false">IF(AH219=0,0,VLOOKUP(AH219,MIE_Components!$A$2:$F$6,3,FALSE()))</f>
        <v>0</v>
      </c>
      <c r="AK219" s="14" t="n">
        <f aca="false">IF(AH219=0,0,VLOOKUP(AH219,MIE_Components!$A$2:$F$6,4,FALSE()))</f>
        <v>0</v>
      </c>
      <c r="AL219" s="14" t="n">
        <f aca="false">IF(OR($A219="",AH219=0),0,MAX(5,AH219*IF(OR($A219=Parameters!$B$13,$A219=Parameters!$B$14),0.75,1)-(IF(AND($A219=DATE(2026,11,29),NOV29BF="Yes"),AI219,0)+IF(OR($A219=DATE(2026,11,29),$A219=DATE(2026,11,30),$A219=DATE(2026,12,1),$A219=DATE(2026,12,2)),AJ219,0)+IF(OR($A219=DATE(2026,11,28),$A219=DATE(2026,12,1)),AK219,0))))</f>
        <v>0</v>
      </c>
      <c r="AM219" s="14" t="n">
        <f aca="false">IF(AND($A219&lt;&gt;"",$A219&lt;Parameters!$B$14),CityData!F7*(1+TAXRATE),0)</f>
        <v>0</v>
      </c>
      <c r="AN219" s="14" t="n">
        <f aca="false">IF($A219="",0,IFERROR(VLOOKUP((YEAR($A219)+IF(MONTH($A219)&gt;=10,1,0))&amp;"|Seattle|"&amp;MONTH($A219),Rates!$A$2:$I$181,5,FALSE()),0))</f>
        <v>0</v>
      </c>
      <c r="AO219" s="14" t="n">
        <f aca="false">IF(OR($A219="",$A219&gt;=Parameters!$B$14),1,IF(AND(AN219&gt;0,CityData!F7&lt;=AN219),1,0))</f>
        <v>1</v>
      </c>
    </row>
    <row r="220" customFormat="false" ht="15" hidden="false" customHeight="true" outlineLevel="0" collapsed="false">
      <c r="A220" s="23" t="str">
        <f aca="false">IF(AND(Parameters!$B$14&gt;=Parameters!$B$13,ROW()-2&lt;=Parameters!$B$14-Parameters!$B$13),Parameters!$B$13+ROW()-2,"")</f>
        <v/>
      </c>
      <c r="B220" s="14" t="n">
        <f aca="false">IF($A220="",0,IFERROR(VLOOKUP((YEAR($A220)+IF(MONTH($A220)&gt;=10,1,0))&amp;"|Boston|"&amp;MONTH($A220),Rates!$A$2:$I$181,6,FALSE()),0))</f>
        <v>0</v>
      </c>
      <c r="C220" s="14" t="n">
        <f aca="false">IF(B220=0,0,VLOOKUP(B220,MIE_Components!$A$2:$F$6,2,FALSE()))</f>
        <v>0</v>
      </c>
      <c r="D220" s="14" t="n">
        <f aca="false">IF(B220=0,0,VLOOKUP(B220,MIE_Components!$A$2:$F$6,3,FALSE()))</f>
        <v>0</v>
      </c>
      <c r="E220" s="14" t="n">
        <f aca="false">IF(B220=0,0,VLOOKUP(B220,MIE_Components!$A$2:$F$6,4,FALSE()))</f>
        <v>0</v>
      </c>
      <c r="F220" s="14" t="n">
        <f aca="false">IF(OR($A220="",B220=0),0,MAX(5,B220*IF(OR($A220=Parameters!$B$13,$A220=Parameters!$B$14),0.75,1)-(IF(AND($A220=DATE(2026,11,29),NOV29BF="Yes"),C220,0)+IF(OR($A220=DATE(2026,11,29),$A220=DATE(2026,11,30),$A220=DATE(2026,12,1),$A220=DATE(2026,12,2)),D220,0)+IF(OR($A220=DATE(2026,11,28),$A220=DATE(2026,12,1)),E220,0))))</f>
        <v>0</v>
      </c>
      <c r="G220" s="14" t="n">
        <f aca="false">IF(AND($A220&lt;&gt;"",$A220&lt;Parameters!$B$14),CityData!F3*(1+TAXRATE),0)</f>
        <v>0</v>
      </c>
      <c r="H220" s="14" t="n">
        <f aca="false">IF($A220="",0,IFERROR(VLOOKUP((YEAR($A220)+IF(MONTH($A220)&gt;=10,1,0))&amp;"|Boston|"&amp;MONTH($A220),Rates!$A$2:$I$181,5,FALSE()),0))</f>
        <v>0</v>
      </c>
      <c r="I220" s="14" t="n">
        <f aca="false">IF(OR($A220="",$A220&gt;=Parameters!$B$14),1,IF(AND(H220&gt;0,CityData!F3&lt;=H220),1,0))</f>
        <v>1</v>
      </c>
      <c r="J220" s="14" t="n">
        <f aca="false">IF($A220="",0,IFERROR(VLOOKUP((YEAR($A220)+IF(MONTH($A220)&gt;=10,1,0))&amp;"|Chicago|"&amp;MONTH($A220),Rates!$A$2:$I$181,6,FALSE()),0))</f>
        <v>0</v>
      </c>
      <c r="K220" s="14" t="n">
        <f aca="false">IF(J220=0,0,VLOOKUP(J220,MIE_Components!$A$2:$F$6,2,FALSE()))</f>
        <v>0</v>
      </c>
      <c r="L220" s="14" t="n">
        <f aca="false">IF(J220=0,0,VLOOKUP(J220,MIE_Components!$A$2:$F$6,3,FALSE()))</f>
        <v>0</v>
      </c>
      <c r="M220" s="14" t="n">
        <f aca="false">IF(J220=0,0,VLOOKUP(J220,MIE_Components!$A$2:$F$6,4,FALSE()))</f>
        <v>0</v>
      </c>
      <c r="N220" s="14" t="n">
        <f aca="false">IF(OR($A220="",J220=0),0,MAX(5,J220*IF(OR($A220=Parameters!$B$13,$A220=Parameters!$B$14),0.75,1)-(IF(AND($A220=DATE(2026,11,29),NOV29BF="Yes"),K220,0)+IF(OR($A220=DATE(2026,11,29),$A220=DATE(2026,11,30),$A220=DATE(2026,12,1),$A220=DATE(2026,12,2)),L220,0)+IF(OR($A220=DATE(2026,11,28),$A220=DATE(2026,12,1)),M220,0))))</f>
        <v>0</v>
      </c>
      <c r="O220" s="14" t="n">
        <f aca="false">IF(AND($A220&lt;&gt;"",$A220&lt;Parameters!$B$14),CityData!F4*(1+TAXRATE),0)</f>
        <v>0</v>
      </c>
      <c r="P220" s="14" t="n">
        <f aca="false">IF($A220="",0,IFERROR(VLOOKUP((YEAR($A220)+IF(MONTH($A220)&gt;=10,1,0))&amp;"|Chicago|"&amp;MONTH($A220),Rates!$A$2:$I$181,5,FALSE()),0))</f>
        <v>0</v>
      </c>
      <c r="Q220" s="14" t="n">
        <f aca="false">IF(OR($A220="",$A220&gt;=Parameters!$B$14),1,IF(AND(P220&gt;0,CityData!F4&lt;=P220),1,0))</f>
        <v>1</v>
      </c>
      <c r="R220" s="14" t="n">
        <f aca="false">IF($A220="",0,IFERROR(VLOOKUP((YEAR($A220)+IF(MONTH($A220)&gt;=10,1,0))&amp;"|Denver|"&amp;MONTH($A220),Rates!$A$2:$I$181,6,FALSE()),0))</f>
        <v>0</v>
      </c>
      <c r="S220" s="14" t="n">
        <f aca="false">IF(R220=0,0,VLOOKUP(R220,MIE_Components!$A$2:$F$6,2,FALSE()))</f>
        <v>0</v>
      </c>
      <c r="T220" s="14" t="n">
        <f aca="false">IF(R220=0,0,VLOOKUP(R220,MIE_Components!$A$2:$F$6,3,FALSE()))</f>
        <v>0</v>
      </c>
      <c r="U220" s="14" t="n">
        <f aca="false">IF(R220=0,0,VLOOKUP(R220,MIE_Components!$A$2:$F$6,4,FALSE()))</f>
        <v>0</v>
      </c>
      <c r="V220" s="14" t="n">
        <f aca="false">IF(OR($A220="",R220=0),0,MAX(5,R220*IF(OR($A220=Parameters!$B$13,$A220=Parameters!$B$14),0.75,1)-(IF(AND($A220=DATE(2026,11,29),NOV29BF="Yes"),S220,0)+IF(OR($A220=DATE(2026,11,29),$A220=DATE(2026,11,30),$A220=DATE(2026,12,1),$A220=DATE(2026,12,2)),T220,0)+IF(OR($A220=DATE(2026,11,28),$A220=DATE(2026,12,1)),U220,0))))</f>
        <v>0</v>
      </c>
      <c r="W220" s="14" t="n">
        <f aca="false">IF(AND($A220&lt;&gt;"",$A220&lt;Parameters!$B$14),CityData!F5*(1+TAXRATE),0)</f>
        <v>0</v>
      </c>
      <c r="X220" s="14" t="n">
        <f aca="false">IF($A220="",0,IFERROR(VLOOKUP((YEAR($A220)+IF(MONTH($A220)&gt;=10,1,0))&amp;"|Denver|"&amp;MONTH($A220),Rates!$A$2:$I$181,5,FALSE()),0))</f>
        <v>0</v>
      </c>
      <c r="Y220" s="14" t="n">
        <f aca="false">IF(OR($A220="",$A220&gt;=Parameters!$B$14),1,IF(AND(X220&gt;0,CityData!F5&lt;=X220),1,0))</f>
        <v>1</v>
      </c>
      <c r="Z220" s="14" t="n">
        <f aca="false">IF($A220="",0,IFERROR(VLOOKUP((YEAR($A220)+IF(MONTH($A220)&gt;=10,1,0))&amp;"|Phoenix|"&amp;MONTH($A220),Rates!$A$2:$I$181,6,FALSE()),0))</f>
        <v>0</v>
      </c>
      <c r="AA220" s="14" t="n">
        <f aca="false">IF(Z220=0,0,VLOOKUP(Z220,MIE_Components!$A$2:$F$6,2,FALSE()))</f>
        <v>0</v>
      </c>
      <c r="AB220" s="14" t="n">
        <f aca="false">IF(Z220=0,0,VLOOKUP(Z220,MIE_Components!$A$2:$F$6,3,FALSE()))</f>
        <v>0</v>
      </c>
      <c r="AC220" s="14" t="n">
        <f aca="false">IF(Z220=0,0,VLOOKUP(Z220,MIE_Components!$A$2:$F$6,4,FALSE()))</f>
        <v>0</v>
      </c>
      <c r="AD220" s="14" t="n">
        <f aca="false">IF(OR($A220="",Z220=0),0,MAX(5,Z220*IF(OR($A220=Parameters!$B$13,$A220=Parameters!$B$14),0.75,1)-(IF(AND($A220=DATE(2026,11,29),NOV29BF="Yes"),AA220,0)+IF(OR($A220=DATE(2026,11,29),$A220=DATE(2026,11,30),$A220=DATE(2026,12,1),$A220=DATE(2026,12,2)),AB220,0)+IF(OR($A220=DATE(2026,11,28),$A220=DATE(2026,12,1)),AC220,0))))</f>
        <v>0</v>
      </c>
      <c r="AE220" s="14" t="n">
        <f aca="false">IF(AND($A220&lt;&gt;"",$A220&lt;Parameters!$B$14),CityData!F6*(1+TAXRATE),0)</f>
        <v>0</v>
      </c>
      <c r="AF220" s="14" t="n">
        <f aca="false">IF($A220="",0,IFERROR(VLOOKUP((YEAR($A220)+IF(MONTH($A220)&gt;=10,1,0))&amp;"|Phoenix|"&amp;MONTH($A220),Rates!$A$2:$I$181,5,FALSE()),0))</f>
        <v>0</v>
      </c>
      <c r="AG220" s="14" t="n">
        <f aca="false">IF(OR($A220="",$A220&gt;=Parameters!$B$14),1,IF(AND(AF220&gt;0,CityData!F6&lt;=AF220),1,0))</f>
        <v>1</v>
      </c>
      <c r="AH220" s="14" t="n">
        <f aca="false">IF($A220="",0,IFERROR(VLOOKUP((YEAR($A220)+IF(MONTH($A220)&gt;=10,1,0))&amp;"|Seattle|"&amp;MONTH($A220),Rates!$A$2:$I$181,6,FALSE()),0))</f>
        <v>0</v>
      </c>
      <c r="AI220" s="14" t="n">
        <f aca="false">IF(AH220=0,0,VLOOKUP(AH220,MIE_Components!$A$2:$F$6,2,FALSE()))</f>
        <v>0</v>
      </c>
      <c r="AJ220" s="14" t="n">
        <f aca="false">IF(AH220=0,0,VLOOKUP(AH220,MIE_Components!$A$2:$F$6,3,FALSE()))</f>
        <v>0</v>
      </c>
      <c r="AK220" s="14" t="n">
        <f aca="false">IF(AH220=0,0,VLOOKUP(AH220,MIE_Components!$A$2:$F$6,4,FALSE()))</f>
        <v>0</v>
      </c>
      <c r="AL220" s="14" t="n">
        <f aca="false">IF(OR($A220="",AH220=0),0,MAX(5,AH220*IF(OR($A220=Parameters!$B$13,$A220=Parameters!$B$14),0.75,1)-(IF(AND($A220=DATE(2026,11,29),NOV29BF="Yes"),AI220,0)+IF(OR($A220=DATE(2026,11,29),$A220=DATE(2026,11,30),$A220=DATE(2026,12,1),$A220=DATE(2026,12,2)),AJ220,0)+IF(OR($A220=DATE(2026,11,28),$A220=DATE(2026,12,1)),AK220,0))))</f>
        <v>0</v>
      </c>
      <c r="AM220" s="14" t="n">
        <f aca="false">IF(AND($A220&lt;&gt;"",$A220&lt;Parameters!$B$14),CityData!F7*(1+TAXRATE),0)</f>
        <v>0</v>
      </c>
      <c r="AN220" s="14" t="n">
        <f aca="false">IF($A220="",0,IFERROR(VLOOKUP((YEAR($A220)+IF(MONTH($A220)&gt;=10,1,0))&amp;"|Seattle|"&amp;MONTH($A220),Rates!$A$2:$I$181,5,FALSE()),0))</f>
        <v>0</v>
      </c>
      <c r="AO220" s="14" t="n">
        <f aca="false">IF(OR($A220="",$A220&gt;=Parameters!$B$14),1,IF(AND(AN220&gt;0,CityData!F7&lt;=AN220),1,0))</f>
        <v>1</v>
      </c>
    </row>
    <row r="221" customFormat="false" ht="15" hidden="false" customHeight="true" outlineLevel="0" collapsed="false">
      <c r="A221" s="23" t="str">
        <f aca="false">IF(AND(Parameters!$B$14&gt;=Parameters!$B$13,ROW()-2&lt;=Parameters!$B$14-Parameters!$B$13),Parameters!$B$13+ROW()-2,"")</f>
        <v/>
      </c>
      <c r="B221" s="14" t="n">
        <f aca="false">IF($A221="",0,IFERROR(VLOOKUP((YEAR($A221)+IF(MONTH($A221)&gt;=10,1,0))&amp;"|Boston|"&amp;MONTH($A221),Rates!$A$2:$I$181,6,FALSE()),0))</f>
        <v>0</v>
      </c>
      <c r="C221" s="14" t="n">
        <f aca="false">IF(B221=0,0,VLOOKUP(B221,MIE_Components!$A$2:$F$6,2,FALSE()))</f>
        <v>0</v>
      </c>
      <c r="D221" s="14" t="n">
        <f aca="false">IF(B221=0,0,VLOOKUP(B221,MIE_Components!$A$2:$F$6,3,FALSE()))</f>
        <v>0</v>
      </c>
      <c r="E221" s="14" t="n">
        <f aca="false">IF(B221=0,0,VLOOKUP(B221,MIE_Components!$A$2:$F$6,4,FALSE()))</f>
        <v>0</v>
      </c>
      <c r="F221" s="14" t="n">
        <f aca="false">IF(OR($A221="",B221=0),0,MAX(5,B221*IF(OR($A221=Parameters!$B$13,$A221=Parameters!$B$14),0.75,1)-(IF(AND($A221=DATE(2026,11,29),NOV29BF="Yes"),C221,0)+IF(OR($A221=DATE(2026,11,29),$A221=DATE(2026,11,30),$A221=DATE(2026,12,1),$A221=DATE(2026,12,2)),D221,0)+IF(OR($A221=DATE(2026,11,28),$A221=DATE(2026,12,1)),E221,0))))</f>
        <v>0</v>
      </c>
      <c r="G221" s="14" t="n">
        <f aca="false">IF(AND($A221&lt;&gt;"",$A221&lt;Parameters!$B$14),CityData!F3*(1+TAXRATE),0)</f>
        <v>0</v>
      </c>
      <c r="H221" s="14" t="n">
        <f aca="false">IF($A221="",0,IFERROR(VLOOKUP((YEAR($A221)+IF(MONTH($A221)&gt;=10,1,0))&amp;"|Boston|"&amp;MONTH($A221),Rates!$A$2:$I$181,5,FALSE()),0))</f>
        <v>0</v>
      </c>
      <c r="I221" s="14" t="n">
        <f aca="false">IF(OR($A221="",$A221&gt;=Parameters!$B$14),1,IF(AND(H221&gt;0,CityData!F3&lt;=H221),1,0))</f>
        <v>1</v>
      </c>
      <c r="J221" s="14" t="n">
        <f aca="false">IF($A221="",0,IFERROR(VLOOKUP((YEAR($A221)+IF(MONTH($A221)&gt;=10,1,0))&amp;"|Chicago|"&amp;MONTH($A221),Rates!$A$2:$I$181,6,FALSE()),0))</f>
        <v>0</v>
      </c>
      <c r="K221" s="14" t="n">
        <f aca="false">IF(J221=0,0,VLOOKUP(J221,MIE_Components!$A$2:$F$6,2,FALSE()))</f>
        <v>0</v>
      </c>
      <c r="L221" s="14" t="n">
        <f aca="false">IF(J221=0,0,VLOOKUP(J221,MIE_Components!$A$2:$F$6,3,FALSE()))</f>
        <v>0</v>
      </c>
      <c r="M221" s="14" t="n">
        <f aca="false">IF(J221=0,0,VLOOKUP(J221,MIE_Components!$A$2:$F$6,4,FALSE()))</f>
        <v>0</v>
      </c>
      <c r="N221" s="14" t="n">
        <f aca="false">IF(OR($A221="",J221=0),0,MAX(5,J221*IF(OR($A221=Parameters!$B$13,$A221=Parameters!$B$14),0.75,1)-(IF(AND($A221=DATE(2026,11,29),NOV29BF="Yes"),K221,0)+IF(OR($A221=DATE(2026,11,29),$A221=DATE(2026,11,30),$A221=DATE(2026,12,1),$A221=DATE(2026,12,2)),L221,0)+IF(OR($A221=DATE(2026,11,28),$A221=DATE(2026,12,1)),M221,0))))</f>
        <v>0</v>
      </c>
      <c r="O221" s="14" t="n">
        <f aca="false">IF(AND($A221&lt;&gt;"",$A221&lt;Parameters!$B$14),CityData!F4*(1+TAXRATE),0)</f>
        <v>0</v>
      </c>
      <c r="P221" s="14" t="n">
        <f aca="false">IF($A221="",0,IFERROR(VLOOKUP((YEAR($A221)+IF(MONTH($A221)&gt;=10,1,0))&amp;"|Chicago|"&amp;MONTH($A221),Rates!$A$2:$I$181,5,FALSE()),0))</f>
        <v>0</v>
      </c>
      <c r="Q221" s="14" t="n">
        <f aca="false">IF(OR($A221="",$A221&gt;=Parameters!$B$14),1,IF(AND(P221&gt;0,CityData!F4&lt;=P221),1,0))</f>
        <v>1</v>
      </c>
      <c r="R221" s="14" t="n">
        <f aca="false">IF($A221="",0,IFERROR(VLOOKUP((YEAR($A221)+IF(MONTH($A221)&gt;=10,1,0))&amp;"|Denver|"&amp;MONTH($A221),Rates!$A$2:$I$181,6,FALSE()),0))</f>
        <v>0</v>
      </c>
      <c r="S221" s="14" t="n">
        <f aca="false">IF(R221=0,0,VLOOKUP(R221,MIE_Components!$A$2:$F$6,2,FALSE()))</f>
        <v>0</v>
      </c>
      <c r="T221" s="14" t="n">
        <f aca="false">IF(R221=0,0,VLOOKUP(R221,MIE_Components!$A$2:$F$6,3,FALSE()))</f>
        <v>0</v>
      </c>
      <c r="U221" s="14" t="n">
        <f aca="false">IF(R221=0,0,VLOOKUP(R221,MIE_Components!$A$2:$F$6,4,FALSE()))</f>
        <v>0</v>
      </c>
      <c r="V221" s="14" t="n">
        <f aca="false">IF(OR($A221="",R221=0),0,MAX(5,R221*IF(OR($A221=Parameters!$B$13,$A221=Parameters!$B$14),0.75,1)-(IF(AND($A221=DATE(2026,11,29),NOV29BF="Yes"),S221,0)+IF(OR($A221=DATE(2026,11,29),$A221=DATE(2026,11,30),$A221=DATE(2026,12,1),$A221=DATE(2026,12,2)),T221,0)+IF(OR($A221=DATE(2026,11,28),$A221=DATE(2026,12,1)),U221,0))))</f>
        <v>0</v>
      </c>
      <c r="W221" s="14" t="n">
        <f aca="false">IF(AND($A221&lt;&gt;"",$A221&lt;Parameters!$B$14),CityData!F5*(1+TAXRATE),0)</f>
        <v>0</v>
      </c>
      <c r="X221" s="14" t="n">
        <f aca="false">IF($A221="",0,IFERROR(VLOOKUP((YEAR($A221)+IF(MONTH($A221)&gt;=10,1,0))&amp;"|Denver|"&amp;MONTH($A221),Rates!$A$2:$I$181,5,FALSE()),0))</f>
        <v>0</v>
      </c>
      <c r="Y221" s="14" t="n">
        <f aca="false">IF(OR($A221="",$A221&gt;=Parameters!$B$14),1,IF(AND(X221&gt;0,CityData!F5&lt;=X221),1,0))</f>
        <v>1</v>
      </c>
      <c r="Z221" s="14" t="n">
        <f aca="false">IF($A221="",0,IFERROR(VLOOKUP((YEAR($A221)+IF(MONTH($A221)&gt;=10,1,0))&amp;"|Phoenix|"&amp;MONTH($A221),Rates!$A$2:$I$181,6,FALSE()),0))</f>
        <v>0</v>
      </c>
      <c r="AA221" s="14" t="n">
        <f aca="false">IF(Z221=0,0,VLOOKUP(Z221,MIE_Components!$A$2:$F$6,2,FALSE()))</f>
        <v>0</v>
      </c>
      <c r="AB221" s="14" t="n">
        <f aca="false">IF(Z221=0,0,VLOOKUP(Z221,MIE_Components!$A$2:$F$6,3,FALSE()))</f>
        <v>0</v>
      </c>
      <c r="AC221" s="14" t="n">
        <f aca="false">IF(Z221=0,0,VLOOKUP(Z221,MIE_Components!$A$2:$F$6,4,FALSE()))</f>
        <v>0</v>
      </c>
      <c r="AD221" s="14" t="n">
        <f aca="false">IF(OR($A221="",Z221=0),0,MAX(5,Z221*IF(OR($A221=Parameters!$B$13,$A221=Parameters!$B$14),0.75,1)-(IF(AND($A221=DATE(2026,11,29),NOV29BF="Yes"),AA221,0)+IF(OR($A221=DATE(2026,11,29),$A221=DATE(2026,11,30),$A221=DATE(2026,12,1),$A221=DATE(2026,12,2)),AB221,0)+IF(OR($A221=DATE(2026,11,28),$A221=DATE(2026,12,1)),AC221,0))))</f>
        <v>0</v>
      </c>
      <c r="AE221" s="14" t="n">
        <f aca="false">IF(AND($A221&lt;&gt;"",$A221&lt;Parameters!$B$14),CityData!F6*(1+TAXRATE),0)</f>
        <v>0</v>
      </c>
      <c r="AF221" s="14" t="n">
        <f aca="false">IF($A221="",0,IFERROR(VLOOKUP((YEAR($A221)+IF(MONTH($A221)&gt;=10,1,0))&amp;"|Phoenix|"&amp;MONTH($A221),Rates!$A$2:$I$181,5,FALSE()),0))</f>
        <v>0</v>
      </c>
      <c r="AG221" s="14" t="n">
        <f aca="false">IF(OR($A221="",$A221&gt;=Parameters!$B$14),1,IF(AND(AF221&gt;0,CityData!F6&lt;=AF221),1,0))</f>
        <v>1</v>
      </c>
      <c r="AH221" s="14" t="n">
        <f aca="false">IF($A221="",0,IFERROR(VLOOKUP((YEAR($A221)+IF(MONTH($A221)&gt;=10,1,0))&amp;"|Seattle|"&amp;MONTH($A221),Rates!$A$2:$I$181,6,FALSE()),0))</f>
        <v>0</v>
      </c>
      <c r="AI221" s="14" t="n">
        <f aca="false">IF(AH221=0,0,VLOOKUP(AH221,MIE_Components!$A$2:$F$6,2,FALSE()))</f>
        <v>0</v>
      </c>
      <c r="AJ221" s="14" t="n">
        <f aca="false">IF(AH221=0,0,VLOOKUP(AH221,MIE_Components!$A$2:$F$6,3,FALSE()))</f>
        <v>0</v>
      </c>
      <c r="AK221" s="14" t="n">
        <f aca="false">IF(AH221=0,0,VLOOKUP(AH221,MIE_Components!$A$2:$F$6,4,FALSE()))</f>
        <v>0</v>
      </c>
      <c r="AL221" s="14" t="n">
        <f aca="false">IF(OR($A221="",AH221=0),0,MAX(5,AH221*IF(OR($A221=Parameters!$B$13,$A221=Parameters!$B$14),0.75,1)-(IF(AND($A221=DATE(2026,11,29),NOV29BF="Yes"),AI221,0)+IF(OR($A221=DATE(2026,11,29),$A221=DATE(2026,11,30),$A221=DATE(2026,12,1),$A221=DATE(2026,12,2)),AJ221,0)+IF(OR($A221=DATE(2026,11,28),$A221=DATE(2026,12,1)),AK221,0))))</f>
        <v>0</v>
      </c>
      <c r="AM221" s="14" t="n">
        <f aca="false">IF(AND($A221&lt;&gt;"",$A221&lt;Parameters!$B$14),CityData!F7*(1+TAXRATE),0)</f>
        <v>0</v>
      </c>
      <c r="AN221" s="14" t="n">
        <f aca="false">IF($A221="",0,IFERROR(VLOOKUP((YEAR($A221)+IF(MONTH($A221)&gt;=10,1,0))&amp;"|Seattle|"&amp;MONTH($A221),Rates!$A$2:$I$181,5,FALSE()),0))</f>
        <v>0</v>
      </c>
      <c r="AO221" s="14" t="n">
        <f aca="false">IF(OR($A221="",$A221&gt;=Parameters!$B$14),1,IF(AND(AN221&gt;0,CityData!F7&lt;=AN221),1,0))</f>
        <v>1</v>
      </c>
    </row>
    <row r="222" customFormat="false" ht="15" hidden="false" customHeight="true" outlineLevel="0" collapsed="false">
      <c r="A222" s="23" t="str">
        <f aca="false">IF(AND(Parameters!$B$14&gt;=Parameters!$B$13,ROW()-2&lt;=Parameters!$B$14-Parameters!$B$13),Parameters!$B$13+ROW()-2,"")</f>
        <v/>
      </c>
      <c r="B222" s="14" t="n">
        <f aca="false">IF($A222="",0,IFERROR(VLOOKUP((YEAR($A222)+IF(MONTH($A222)&gt;=10,1,0))&amp;"|Boston|"&amp;MONTH($A222),Rates!$A$2:$I$181,6,FALSE()),0))</f>
        <v>0</v>
      </c>
      <c r="C222" s="14" t="n">
        <f aca="false">IF(B222=0,0,VLOOKUP(B222,MIE_Components!$A$2:$F$6,2,FALSE()))</f>
        <v>0</v>
      </c>
      <c r="D222" s="14" t="n">
        <f aca="false">IF(B222=0,0,VLOOKUP(B222,MIE_Components!$A$2:$F$6,3,FALSE()))</f>
        <v>0</v>
      </c>
      <c r="E222" s="14" t="n">
        <f aca="false">IF(B222=0,0,VLOOKUP(B222,MIE_Components!$A$2:$F$6,4,FALSE()))</f>
        <v>0</v>
      </c>
      <c r="F222" s="14" t="n">
        <f aca="false">IF(OR($A222="",B222=0),0,MAX(5,B222*IF(OR($A222=Parameters!$B$13,$A222=Parameters!$B$14),0.75,1)-(IF(AND($A222=DATE(2026,11,29),NOV29BF="Yes"),C222,0)+IF(OR($A222=DATE(2026,11,29),$A222=DATE(2026,11,30),$A222=DATE(2026,12,1),$A222=DATE(2026,12,2)),D222,0)+IF(OR($A222=DATE(2026,11,28),$A222=DATE(2026,12,1)),E222,0))))</f>
        <v>0</v>
      </c>
      <c r="G222" s="14" t="n">
        <f aca="false">IF(AND($A222&lt;&gt;"",$A222&lt;Parameters!$B$14),CityData!F3*(1+TAXRATE),0)</f>
        <v>0</v>
      </c>
      <c r="H222" s="14" t="n">
        <f aca="false">IF($A222="",0,IFERROR(VLOOKUP((YEAR($A222)+IF(MONTH($A222)&gt;=10,1,0))&amp;"|Boston|"&amp;MONTH($A222),Rates!$A$2:$I$181,5,FALSE()),0))</f>
        <v>0</v>
      </c>
      <c r="I222" s="14" t="n">
        <f aca="false">IF(OR($A222="",$A222&gt;=Parameters!$B$14),1,IF(AND(H222&gt;0,CityData!F3&lt;=H222),1,0))</f>
        <v>1</v>
      </c>
      <c r="J222" s="14" t="n">
        <f aca="false">IF($A222="",0,IFERROR(VLOOKUP((YEAR($A222)+IF(MONTH($A222)&gt;=10,1,0))&amp;"|Chicago|"&amp;MONTH($A222),Rates!$A$2:$I$181,6,FALSE()),0))</f>
        <v>0</v>
      </c>
      <c r="K222" s="14" t="n">
        <f aca="false">IF(J222=0,0,VLOOKUP(J222,MIE_Components!$A$2:$F$6,2,FALSE()))</f>
        <v>0</v>
      </c>
      <c r="L222" s="14" t="n">
        <f aca="false">IF(J222=0,0,VLOOKUP(J222,MIE_Components!$A$2:$F$6,3,FALSE()))</f>
        <v>0</v>
      </c>
      <c r="M222" s="14" t="n">
        <f aca="false">IF(J222=0,0,VLOOKUP(J222,MIE_Components!$A$2:$F$6,4,FALSE()))</f>
        <v>0</v>
      </c>
      <c r="N222" s="14" t="n">
        <f aca="false">IF(OR($A222="",J222=0),0,MAX(5,J222*IF(OR($A222=Parameters!$B$13,$A222=Parameters!$B$14),0.75,1)-(IF(AND($A222=DATE(2026,11,29),NOV29BF="Yes"),K222,0)+IF(OR($A222=DATE(2026,11,29),$A222=DATE(2026,11,30),$A222=DATE(2026,12,1),$A222=DATE(2026,12,2)),L222,0)+IF(OR($A222=DATE(2026,11,28),$A222=DATE(2026,12,1)),M222,0))))</f>
        <v>0</v>
      </c>
      <c r="O222" s="14" t="n">
        <f aca="false">IF(AND($A222&lt;&gt;"",$A222&lt;Parameters!$B$14),CityData!F4*(1+TAXRATE),0)</f>
        <v>0</v>
      </c>
      <c r="P222" s="14" t="n">
        <f aca="false">IF($A222="",0,IFERROR(VLOOKUP((YEAR($A222)+IF(MONTH($A222)&gt;=10,1,0))&amp;"|Chicago|"&amp;MONTH($A222),Rates!$A$2:$I$181,5,FALSE()),0))</f>
        <v>0</v>
      </c>
      <c r="Q222" s="14" t="n">
        <f aca="false">IF(OR($A222="",$A222&gt;=Parameters!$B$14),1,IF(AND(P222&gt;0,CityData!F4&lt;=P222),1,0))</f>
        <v>1</v>
      </c>
      <c r="R222" s="14" t="n">
        <f aca="false">IF($A222="",0,IFERROR(VLOOKUP((YEAR($A222)+IF(MONTH($A222)&gt;=10,1,0))&amp;"|Denver|"&amp;MONTH($A222),Rates!$A$2:$I$181,6,FALSE()),0))</f>
        <v>0</v>
      </c>
      <c r="S222" s="14" t="n">
        <f aca="false">IF(R222=0,0,VLOOKUP(R222,MIE_Components!$A$2:$F$6,2,FALSE()))</f>
        <v>0</v>
      </c>
      <c r="T222" s="14" t="n">
        <f aca="false">IF(R222=0,0,VLOOKUP(R222,MIE_Components!$A$2:$F$6,3,FALSE()))</f>
        <v>0</v>
      </c>
      <c r="U222" s="14" t="n">
        <f aca="false">IF(R222=0,0,VLOOKUP(R222,MIE_Components!$A$2:$F$6,4,FALSE()))</f>
        <v>0</v>
      </c>
      <c r="V222" s="14" t="n">
        <f aca="false">IF(OR($A222="",R222=0),0,MAX(5,R222*IF(OR($A222=Parameters!$B$13,$A222=Parameters!$B$14),0.75,1)-(IF(AND($A222=DATE(2026,11,29),NOV29BF="Yes"),S222,0)+IF(OR($A222=DATE(2026,11,29),$A222=DATE(2026,11,30),$A222=DATE(2026,12,1),$A222=DATE(2026,12,2)),T222,0)+IF(OR($A222=DATE(2026,11,28),$A222=DATE(2026,12,1)),U222,0))))</f>
        <v>0</v>
      </c>
      <c r="W222" s="14" t="n">
        <f aca="false">IF(AND($A222&lt;&gt;"",$A222&lt;Parameters!$B$14),CityData!F5*(1+TAXRATE),0)</f>
        <v>0</v>
      </c>
      <c r="X222" s="14" t="n">
        <f aca="false">IF($A222="",0,IFERROR(VLOOKUP((YEAR($A222)+IF(MONTH($A222)&gt;=10,1,0))&amp;"|Denver|"&amp;MONTH($A222),Rates!$A$2:$I$181,5,FALSE()),0))</f>
        <v>0</v>
      </c>
      <c r="Y222" s="14" t="n">
        <f aca="false">IF(OR($A222="",$A222&gt;=Parameters!$B$14),1,IF(AND(X222&gt;0,CityData!F5&lt;=X222),1,0))</f>
        <v>1</v>
      </c>
      <c r="Z222" s="14" t="n">
        <f aca="false">IF($A222="",0,IFERROR(VLOOKUP((YEAR($A222)+IF(MONTH($A222)&gt;=10,1,0))&amp;"|Phoenix|"&amp;MONTH($A222),Rates!$A$2:$I$181,6,FALSE()),0))</f>
        <v>0</v>
      </c>
      <c r="AA222" s="14" t="n">
        <f aca="false">IF(Z222=0,0,VLOOKUP(Z222,MIE_Components!$A$2:$F$6,2,FALSE()))</f>
        <v>0</v>
      </c>
      <c r="AB222" s="14" t="n">
        <f aca="false">IF(Z222=0,0,VLOOKUP(Z222,MIE_Components!$A$2:$F$6,3,FALSE()))</f>
        <v>0</v>
      </c>
      <c r="AC222" s="14" t="n">
        <f aca="false">IF(Z222=0,0,VLOOKUP(Z222,MIE_Components!$A$2:$F$6,4,FALSE()))</f>
        <v>0</v>
      </c>
      <c r="AD222" s="14" t="n">
        <f aca="false">IF(OR($A222="",Z222=0),0,MAX(5,Z222*IF(OR($A222=Parameters!$B$13,$A222=Parameters!$B$14),0.75,1)-(IF(AND($A222=DATE(2026,11,29),NOV29BF="Yes"),AA222,0)+IF(OR($A222=DATE(2026,11,29),$A222=DATE(2026,11,30),$A222=DATE(2026,12,1),$A222=DATE(2026,12,2)),AB222,0)+IF(OR($A222=DATE(2026,11,28),$A222=DATE(2026,12,1)),AC222,0))))</f>
        <v>0</v>
      </c>
      <c r="AE222" s="14" t="n">
        <f aca="false">IF(AND($A222&lt;&gt;"",$A222&lt;Parameters!$B$14),CityData!F6*(1+TAXRATE),0)</f>
        <v>0</v>
      </c>
      <c r="AF222" s="14" t="n">
        <f aca="false">IF($A222="",0,IFERROR(VLOOKUP((YEAR($A222)+IF(MONTH($A222)&gt;=10,1,0))&amp;"|Phoenix|"&amp;MONTH($A222),Rates!$A$2:$I$181,5,FALSE()),0))</f>
        <v>0</v>
      </c>
      <c r="AG222" s="14" t="n">
        <f aca="false">IF(OR($A222="",$A222&gt;=Parameters!$B$14),1,IF(AND(AF222&gt;0,CityData!F6&lt;=AF222),1,0))</f>
        <v>1</v>
      </c>
      <c r="AH222" s="14" t="n">
        <f aca="false">IF($A222="",0,IFERROR(VLOOKUP((YEAR($A222)+IF(MONTH($A222)&gt;=10,1,0))&amp;"|Seattle|"&amp;MONTH($A222),Rates!$A$2:$I$181,6,FALSE()),0))</f>
        <v>0</v>
      </c>
      <c r="AI222" s="14" t="n">
        <f aca="false">IF(AH222=0,0,VLOOKUP(AH222,MIE_Components!$A$2:$F$6,2,FALSE()))</f>
        <v>0</v>
      </c>
      <c r="AJ222" s="14" t="n">
        <f aca="false">IF(AH222=0,0,VLOOKUP(AH222,MIE_Components!$A$2:$F$6,3,FALSE()))</f>
        <v>0</v>
      </c>
      <c r="AK222" s="14" t="n">
        <f aca="false">IF(AH222=0,0,VLOOKUP(AH222,MIE_Components!$A$2:$F$6,4,FALSE()))</f>
        <v>0</v>
      </c>
      <c r="AL222" s="14" t="n">
        <f aca="false">IF(OR($A222="",AH222=0),0,MAX(5,AH222*IF(OR($A222=Parameters!$B$13,$A222=Parameters!$B$14),0.75,1)-(IF(AND($A222=DATE(2026,11,29),NOV29BF="Yes"),AI222,0)+IF(OR($A222=DATE(2026,11,29),$A222=DATE(2026,11,30),$A222=DATE(2026,12,1),$A222=DATE(2026,12,2)),AJ222,0)+IF(OR($A222=DATE(2026,11,28),$A222=DATE(2026,12,1)),AK222,0))))</f>
        <v>0</v>
      </c>
      <c r="AM222" s="14" t="n">
        <f aca="false">IF(AND($A222&lt;&gt;"",$A222&lt;Parameters!$B$14),CityData!F7*(1+TAXRATE),0)</f>
        <v>0</v>
      </c>
      <c r="AN222" s="14" t="n">
        <f aca="false">IF($A222="",0,IFERROR(VLOOKUP((YEAR($A222)+IF(MONTH($A222)&gt;=10,1,0))&amp;"|Seattle|"&amp;MONTH($A222),Rates!$A$2:$I$181,5,FALSE()),0))</f>
        <v>0</v>
      </c>
      <c r="AO222" s="14" t="n">
        <f aca="false">IF(OR($A222="",$A222&gt;=Parameters!$B$14),1,IF(AND(AN222&gt;0,CityData!F7&lt;=AN222),1,0))</f>
        <v>1</v>
      </c>
    </row>
    <row r="223" customFormat="false" ht="15" hidden="false" customHeight="true" outlineLevel="0" collapsed="false">
      <c r="A223" s="23" t="str">
        <f aca="false">IF(AND(Parameters!$B$14&gt;=Parameters!$B$13,ROW()-2&lt;=Parameters!$B$14-Parameters!$B$13),Parameters!$B$13+ROW()-2,"")</f>
        <v/>
      </c>
      <c r="B223" s="14" t="n">
        <f aca="false">IF($A223="",0,IFERROR(VLOOKUP((YEAR($A223)+IF(MONTH($A223)&gt;=10,1,0))&amp;"|Boston|"&amp;MONTH($A223),Rates!$A$2:$I$181,6,FALSE()),0))</f>
        <v>0</v>
      </c>
      <c r="C223" s="14" t="n">
        <f aca="false">IF(B223=0,0,VLOOKUP(B223,MIE_Components!$A$2:$F$6,2,FALSE()))</f>
        <v>0</v>
      </c>
      <c r="D223" s="14" t="n">
        <f aca="false">IF(B223=0,0,VLOOKUP(B223,MIE_Components!$A$2:$F$6,3,FALSE()))</f>
        <v>0</v>
      </c>
      <c r="E223" s="14" t="n">
        <f aca="false">IF(B223=0,0,VLOOKUP(B223,MIE_Components!$A$2:$F$6,4,FALSE()))</f>
        <v>0</v>
      </c>
      <c r="F223" s="14" t="n">
        <f aca="false">IF(OR($A223="",B223=0),0,MAX(5,B223*IF(OR($A223=Parameters!$B$13,$A223=Parameters!$B$14),0.75,1)-(IF(AND($A223=DATE(2026,11,29),NOV29BF="Yes"),C223,0)+IF(OR($A223=DATE(2026,11,29),$A223=DATE(2026,11,30),$A223=DATE(2026,12,1),$A223=DATE(2026,12,2)),D223,0)+IF(OR($A223=DATE(2026,11,28),$A223=DATE(2026,12,1)),E223,0))))</f>
        <v>0</v>
      </c>
      <c r="G223" s="14" t="n">
        <f aca="false">IF(AND($A223&lt;&gt;"",$A223&lt;Parameters!$B$14),CityData!F3*(1+TAXRATE),0)</f>
        <v>0</v>
      </c>
      <c r="H223" s="14" t="n">
        <f aca="false">IF($A223="",0,IFERROR(VLOOKUP((YEAR($A223)+IF(MONTH($A223)&gt;=10,1,0))&amp;"|Boston|"&amp;MONTH($A223),Rates!$A$2:$I$181,5,FALSE()),0))</f>
        <v>0</v>
      </c>
      <c r="I223" s="14" t="n">
        <f aca="false">IF(OR($A223="",$A223&gt;=Parameters!$B$14),1,IF(AND(H223&gt;0,CityData!F3&lt;=H223),1,0))</f>
        <v>1</v>
      </c>
      <c r="J223" s="14" t="n">
        <f aca="false">IF($A223="",0,IFERROR(VLOOKUP((YEAR($A223)+IF(MONTH($A223)&gt;=10,1,0))&amp;"|Chicago|"&amp;MONTH($A223),Rates!$A$2:$I$181,6,FALSE()),0))</f>
        <v>0</v>
      </c>
      <c r="K223" s="14" t="n">
        <f aca="false">IF(J223=0,0,VLOOKUP(J223,MIE_Components!$A$2:$F$6,2,FALSE()))</f>
        <v>0</v>
      </c>
      <c r="L223" s="14" t="n">
        <f aca="false">IF(J223=0,0,VLOOKUP(J223,MIE_Components!$A$2:$F$6,3,FALSE()))</f>
        <v>0</v>
      </c>
      <c r="M223" s="14" t="n">
        <f aca="false">IF(J223=0,0,VLOOKUP(J223,MIE_Components!$A$2:$F$6,4,FALSE()))</f>
        <v>0</v>
      </c>
      <c r="N223" s="14" t="n">
        <f aca="false">IF(OR($A223="",J223=0),0,MAX(5,J223*IF(OR($A223=Parameters!$B$13,$A223=Parameters!$B$14),0.75,1)-(IF(AND($A223=DATE(2026,11,29),NOV29BF="Yes"),K223,0)+IF(OR($A223=DATE(2026,11,29),$A223=DATE(2026,11,30),$A223=DATE(2026,12,1),$A223=DATE(2026,12,2)),L223,0)+IF(OR($A223=DATE(2026,11,28),$A223=DATE(2026,12,1)),M223,0))))</f>
        <v>0</v>
      </c>
      <c r="O223" s="14" t="n">
        <f aca="false">IF(AND($A223&lt;&gt;"",$A223&lt;Parameters!$B$14),CityData!F4*(1+TAXRATE),0)</f>
        <v>0</v>
      </c>
      <c r="P223" s="14" t="n">
        <f aca="false">IF($A223="",0,IFERROR(VLOOKUP((YEAR($A223)+IF(MONTH($A223)&gt;=10,1,0))&amp;"|Chicago|"&amp;MONTH($A223),Rates!$A$2:$I$181,5,FALSE()),0))</f>
        <v>0</v>
      </c>
      <c r="Q223" s="14" t="n">
        <f aca="false">IF(OR($A223="",$A223&gt;=Parameters!$B$14),1,IF(AND(P223&gt;0,CityData!F4&lt;=P223),1,0))</f>
        <v>1</v>
      </c>
      <c r="R223" s="14" t="n">
        <f aca="false">IF($A223="",0,IFERROR(VLOOKUP((YEAR($A223)+IF(MONTH($A223)&gt;=10,1,0))&amp;"|Denver|"&amp;MONTH($A223),Rates!$A$2:$I$181,6,FALSE()),0))</f>
        <v>0</v>
      </c>
      <c r="S223" s="14" t="n">
        <f aca="false">IF(R223=0,0,VLOOKUP(R223,MIE_Components!$A$2:$F$6,2,FALSE()))</f>
        <v>0</v>
      </c>
      <c r="T223" s="14" t="n">
        <f aca="false">IF(R223=0,0,VLOOKUP(R223,MIE_Components!$A$2:$F$6,3,FALSE()))</f>
        <v>0</v>
      </c>
      <c r="U223" s="14" t="n">
        <f aca="false">IF(R223=0,0,VLOOKUP(R223,MIE_Components!$A$2:$F$6,4,FALSE()))</f>
        <v>0</v>
      </c>
      <c r="V223" s="14" t="n">
        <f aca="false">IF(OR($A223="",R223=0),0,MAX(5,R223*IF(OR($A223=Parameters!$B$13,$A223=Parameters!$B$14),0.75,1)-(IF(AND($A223=DATE(2026,11,29),NOV29BF="Yes"),S223,0)+IF(OR($A223=DATE(2026,11,29),$A223=DATE(2026,11,30),$A223=DATE(2026,12,1),$A223=DATE(2026,12,2)),T223,0)+IF(OR($A223=DATE(2026,11,28),$A223=DATE(2026,12,1)),U223,0))))</f>
        <v>0</v>
      </c>
      <c r="W223" s="14" t="n">
        <f aca="false">IF(AND($A223&lt;&gt;"",$A223&lt;Parameters!$B$14),CityData!F5*(1+TAXRATE),0)</f>
        <v>0</v>
      </c>
      <c r="X223" s="14" t="n">
        <f aca="false">IF($A223="",0,IFERROR(VLOOKUP((YEAR($A223)+IF(MONTH($A223)&gt;=10,1,0))&amp;"|Denver|"&amp;MONTH($A223),Rates!$A$2:$I$181,5,FALSE()),0))</f>
        <v>0</v>
      </c>
      <c r="Y223" s="14" t="n">
        <f aca="false">IF(OR($A223="",$A223&gt;=Parameters!$B$14),1,IF(AND(X223&gt;0,CityData!F5&lt;=X223),1,0))</f>
        <v>1</v>
      </c>
      <c r="Z223" s="14" t="n">
        <f aca="false">IF($A223="",0,IFERROR(VLOOKUP((YEAR($A223)+IF(MONTH($A223)&gt;=10,1,0))&amp;"|Phoenix|"&amp;MONTH($A223),Rates!$A$2:$I$181,6,FALSE()),0))</f>
        <v>0</v>
      </c>
      <c r="AA223" s="14" t="n">
        <f aca="false">IF(Z223=0,0,VLOOKUP(Z223,MIE_Components!$A$2:$F$6,2,FALSE()))</f>
        <v>0</v>
      </c>
      <c r="AB223" s="14" t="n">
        <f aca="false">IF(Z223=0,0,VLOOKUP(Z223,MIE_Components!$A$2:$F$6,3,FALSE()))</f>
        <v>0</v>
      </c>
      <c r="AC223" s="14" t="n">
        <f aca="false">IF(Z223=0,0,VLOOKUP(Z223,MIE_Components!$A$2:$F$6,4,FALSE()))</f>
        <v>0</v>
      </c>
      <c r="AD223" s="14" t="n">
        <f aca="false">IF(OR($A223="",Z223=0),0,MAX(5,Z223*IF(OR($A223=Parameters!$B$13,$A223=Parameters!$B$14),0.75,1)-(IF(AND($A223=DATE(2026,11,29),NOV29BF="Yes"),AA223,0)+IF(OR($A223=DATE(2026,11,29),$A223=DATE(2026,11,30),$A223=DATE(2026,12,1),$A223=DATE(2026,12,2)),AB223,0)+IF(OR($A223=DATE(2026,11,28),$A223=DATE(2026,12,1)),AC223,0))))</f>
        <v>0</v>
      </c>
      <c r="AE223" s="14" t="n">
        <f aca="false">IF(AND($A223&lt;&gt;"",$A223&lt;Parameters!$B$14),CityData!F6*(1+TAXRATE),0)</f>
        <v>0</v>
      </c>
      <c r="AF223" s="14" t="n">
        <f aca="false">IF($A223="",0,IFERROR(VLOOKUP((YEAR($A223)+IF(MONTH($A223)&gt;=10,1,0))&amp;"|Phoenix|"&amp;MONTH($A223),Rates!$A$2:$I$181,5,FALSE()),0))</f>
        <v>0</v>
      </c>
      <c r="AG223" s="14" t="n">
        <f aca="false">IF(OR($A223="",$A223&gt;=Parameters!$B$14),1,IF(AND(AF223&gt;0,CityData!F6&lt;=AF223),1,0))</f>
        <v>1</v>
      </c>
      <c r="AH223" s="14" t="n">
        <f aca="false">IF($A223="",0,IFERROR(VLOOKUP((YEAR($A223)+IF(MONTH($A223)&gt;=10,1,0))&amp;"|Seattle|"&amp;MONTH($A223),Rates!$A$2:$I$181,6,FALSE()),0))</f>
        <v>0</v>
      </c>
      <c r="AI223" s="14" t="n">
        <f aca="false">IF(AH223=0,0,VLOOKUP(AH223,MIE_Components!$A$2:$F$6,2,FALSE()))</f>
        <v>0</v>
      </c>
      <c r="AJ223" s="14" t="n">
        <f aca="false">IF(AH223=0,0,VLOOKUP(AH223,MIE_Components!$A$2:$F$6,3,FALSE()))</f>
        <v>0</v>
      </c>
      <c r="AK223" s="14" t="n">
        <f aca="false">IF(AH223=0,0,VLOOKUP(AH223,MIE_Components!$A$2:$F$6,4,FALSE()))</f>
        <v>0</v>
      </c>
      <c r="AL223" s="14" t="n">
        <f aca="false">IF(OR($A223="",AH223=0),0,MAX(5,AH223*IF(OR($A223=Parameters!$B$13,$A223=Parameters!$B$14),0.75,1)-(IF(AND($A223=DATE(2026,11,29),NOV29BF="Yes"),AI223,0)+IF(OR($A223=DATE(2026,11,29),$A223=DATE(2026,11,30),$A223=DATE(2026,12,1),$A223=DATE(2026,12,2)),AJ223,0)+IF(OR($A223=DATE(2026,11,28),$A223=DATE(2026,12,1)),AK223,0))))</f>
        <v>0</v>
      </c>
      <c r="AM223" s="14" t="n">
        <f aca="false">IF(AND($A223&lt;&gt;"",$A223&lt;Parameters!$B$14),CityData!F7*(1+TAXRATE),0)</f>
        <v>0</v>
      </c>
      <c r="AN223" s="14" t="n">
        <f aca="false">IF($A223="",0,IFERROR(VLOOKUP((YEAR($A223)+IF(MONTH($A223)&gt;=10,1,0))&amp;"|Seattle|"&amp;MONTH($A223),Rates!$A$2:$I$181,5,FALSE()),0))</f>
        <v>0</v>
      </c>
      <c r="AO223" s="14" t="n">
        <f aca="false">IF(OR($A223="",$A223&gt;=Parameters!$B$14),1,IF(AND(AN223&gt;0,CityData!F7&lt;=AN223),1,0))</f>
        <v>1</v>
      </c>
    </row>
    <row r="224" customFormat="false" ht="15" hidden="false" customHeight="true" outlineLevel="0" collapsed="false">
      <c r="A224" s="23" t="str">
        <f aca="false">IF(AND(Parameters!$B$14&gt;=Parameters!$B$13,ROW()-2&lt;=Parameters!$B$14-Parameters!$B$13),Parameters!$B$13+ROW()-2,"")</f>
        <v/>
      </c>
      <c r="B224" s="14" t="n">
        <f aca="false">IF($A224="",0,IFERROR(VLOOKUP((YEAR($A224)+IF(MONTH($A224)&gt;=10,1,0))&amp;"|Boston|"&amp;MONTH($A224),Rates!$A$2:$I$181,6,FALSE()),0))</f>
        <v>0</v>
      </c>
      <c r="C224" s="14" t="n">
        <f aca="false">IF(B224=0,0,VLOOKUP(B224,MIE_Components!$A$2:$F$6,2,FALSE()))</f>
        <v>0</v>
      </c>
      <c r="D224" s="14" t="n">
        <f aca="false">IF(B224=0,0,VLOOKUP(B224,MIE_Components!$A$2:$F$6,3,FALSE()))</f>
        <v>0</v>
      </c>
      <c r="E224" s="14" t="n">
        <f aca="false">IF(B224=0,0,VLOOKUP(B224,MIE_Components!$A$2:$F$6,4,FALSE()))</f>
        <v>0</v>
      </c>
      <c r="F224" s="14" t="n">
        <f aca="false">IF(OR($A224="",B224=0),0,MAX(5,B224*IF(OR($A224=Parameters!$B$13,$A224=Parameters!$B$14),0.75,1)-(IF(AND($A224=DATE(2026,11,29),NOV29BF="Yes"),C224,0)+IF(OR($A224=DATE(2026,11,29),$A224=DATE(2026,11,30),$A224=DATE(2026,12,1),$A224=DATE(2026,12,2)),D224,0)+IF(OR($A224=DATE(2026,11,28),$A224=DATE(2026,12,1)),E224,0))))</f>
        <v>0</v>
      </c>
      <c r="G224" s="14" t="n">
        <f aca="false">IF(AND($A224&lt;&gt;"",$A224&lt;Parameters!$B$14),CityData!F3*(1+TAXRATE),0)</f>
        <v>0</v>
      </c>
      <c r="H224" s="14" t="n">
        <f aca="false">IF($A224="",0,IFERROR(VLOOKUP((YEAR($A224)+IF(MONTH($A224)&gt;=10,1,0))&amp;"|Boston|"&amp;MONTH($A224),Rates!$A$2:$I$181,5,FALSE()),0))</f>
        <v>0</v>
      </c>
      <c r="I224" s="14" t="n">
        <f aca="false">IF(OR($A224="",$A224&gt;=Parameters!$B$14),1,IF(AND(H224&gt;0,CityData!F3&lt;=H224),1,0))</f>
        <v>1</v>
      </c>
      <c r="J224" s="14" t="n">
        <f aca="false">IF($A224="",0,IFERROR(VLOOKUP((YEAR($A224)+IF(MONTH($A224)&gt;=10,1,0))&amp;"|Chicago|"&amp;MONTH($A224),Rates!$A$2:$I$181,6,FALSE()),0))</f>
        <v>0</v>
      </c>
      <c r="K224" s="14" t="n">
        <f aca="false">IF(J224=0,0,VLOOKUP(J224,MIE_Components!$A$2:$F$6,2,FALSE()))</f>
        <v>0</v>
      </c>
      <c r="L224" s="14" t="n">
        <f aca="false">IF(J224=0,0,VLOOKUP(J224,MIE_Components!$A$2:$F$6,3,FALSE()))</f>
        <v>0</v>
      </c>
      <c r="M224" s="14" t="n">
        <f aca="false">IF(J224=0,0,VLOOKUP(J224,MIE_Components!$A$2:$F$6,4,FALSE()))</f>
        <v>0</v>
      </c>
      <c r="N224" s="14" t="n">
        <f aca="false">IF(OR($A224="",J224=0),0,MAX(5,J224*IF(OR($A224=Parameters!$B$13,$A224=Parameters!$B$14),0.75,1)-(IF(AND($A224=DATE(2026,11,29),NOV29BF="Yes"),K224,0)+IF(OR($A224=DATE(2026,11,29),$A224=DATE(2026,11,30),$A224=DATE(2026,12,1),$A224=DATE(2026,12,2)),L224,0)+IF(OR($A224=DATE(2026,11,28),$A224=DATE(2026,12,1)),M224,0))))</f>
        <v>0</v>
      </c>
      <c r="O224" s="14" t="n">
        <f aca="false">IF(AND($A224&lt;&gt;"",$A224&lt;Parameters!$B$14),CityData!F4*(1+TAXRATE),0)</f>
        <v>0</v>
      </c>
      <c r="P224" s="14" t="n">
        <f aca="false">IF($A224="",0,IFERROR(VLOOKUP((YEAR($A224)+IF(MONTH($A224)&gt;=10,1,0))&amp;"|Chicago|"&amp;MONTH($A224),Rates!$A$2:$I$181,5,FALSE()),0))</f>
        <v>0</v>
      </c>
      <c r="Q224" s="14" t="n">
        <f aca="false">IF(OR($A224="",$A224&gt;=Parameters!$B$14),1,IF(AND(P224&gt;0,CityData!F4&lt;=P224),1,0))</f>
        <v>1</v>
      </c>
      <c r="R224" s="14" t="n">
        <f aca="false">IF($A224="",0,IFERROR(VLOOKUP((YEAR($A224)+IF(MONTH($A224)&gt;=10,1,0))&amp;"|Denver|"&amp;MONTH($A224),Rates!$A$2:$I$181,6,FALSE()),0))</f>
        <v>0</v>
      </c>
      <c r="S224" s="14" t="n">
        <f aca="false">IF(R224=0,0,VLOOKUP(R224,MIE_Components!$A$2:$F$6,2,FALSE()))</f>
        <v>0</v>
      </c>
      <c r="T224" s="14" t="n">
        <f aca="false">IF(R224=0,0,VLOOKUP(R224,MIE_Components!$A$2:$F$6,3,FALSE()))</f>
        <v>0</v>
      </c>
      <c r="U224" s="14" t="n">
        <f aca="false">IF(R224=0,0,VLOOKUP(R224,MIE_Components!$A$2:$F$6,4,FALSE()))</f>
        <v>0</v>
      </c>
      <c r="V224" s="14" t="n">
        <f aca="false">IF(OR($A224="",R224=0),0,MAX(5,R224*IF(OR($A224=Parameters!$B$13,$A224=Parameters!$B$14),0.75,1)-(IF(AND($A224=DATE(2026,11,29),NOV29BF="Yes"),S224,0)+IF(OR($A224=DATE(2026,11,29),$A224=DATE(2026,11,30),$A224=DATE(2026,12,1),$A224=DATE(2026,12,2)),T224,0)+IF(OR($A224=DATE(2026,11,28),$A224=DATE(2026,12,1)),U224,0))))</f>
        <v>0</v>
      </c>
      <c r="W224" s="14" t="n">
        <f aca="false">IF(AND($A224&lt;&gt;"",$A224&lt;Parameters!$B$14),CityData!F5*(1+TAXRATE),0)</f>
        <v>0</v>
      </c>
      <c r="X224" s="14" t="n">
        <f aca="false">IF($A224="",0,IFERROR(VLOOKUP((YEAR($A224)+IF(MONTH($A224)&gt;=10,1,0))&amp;"|Denver|"&amp;MONTH($A224),Rates!$A$2:$I$181,5,FALSE()),0))</f>
        <v>0</v>
      </c>
      <c r="Y224" s="14" t="n">
        <f aca="false">IF(OR($A224="",$A224&gt;=Parameters!$B$14),1,IF(AND(X224&gt;0,CityData!F5&lt;=X224),1,0))</f>
        <v>1</v>
      </c>
      <c r="Z224" s="14" t="n">
        <f aca="false">IF($A224="",0,IFERROR(VLOOKUP((YEAR($A224)+IF(MONTH($A224)&gt;=10,1,0))&amp;"|Phoenix|"&amp;MONTH($A224),Rates!$A$2:$I$181,6,FALSE()),0))</f>
        <v>0</v>
      </c>
      <c r="AA224" s="14" t="n">
        <f aca="false">IF(Z224=0,0,VLOOKUP(Z224,MIE_Components!$A$2:$F$6,2,FALSE()))</f>
        <v>0</v>
      </c>
      <c r="AB224" s="14" t="n">
        <f aca="false">IF(Z224=0,0,VLOOKUP(Z224,MIE_Components!$A$2:$F$6,3,FALSE()))</f>
        <v>0</v>
      </c>
      <c r="AC224" s="14" t="n">
        <f aca="false">IF(Z224=0,0,VLOOKUP(Z224,MIE_Components!$A$2:$F$6,4,FALSE()))</f>
        <v>0</v>
      </c>
      <c r="AD224" s="14" t="n">
        <f aca="false">IF(OR($A224="",Z224=0),0,MAX(5,Z224*IF(OR($A224=Parameters!$B$13,$A224=Parameters!$B$14),0.75,1)-(IF(AND($A224=DATE(2026,11,29),NOV29BF="Yes"),AA224,0)+IF(OR($A224=DATE(2026,11,29),$A224=DATE(2026,11,30),$A224=DATE(2026,12,1),$A224=DATE(2026,12,2)),AB224,0)+IF(OR($A224=DATE(2026,11,28),$A224=DATE(2026,12,1)),AC224,0))))</f>
        <v>0</v>
      </c>
      <c r="AE224" s="14" t="n">
        <f aca="false">IF(AND($A224&lt;&gt;"",$A224&lt;Parameters!$B$14),CityData!F6*(1+TAXRATE),0)</f>
        <v>0</v>
      </c>
      <c r="AF224" s="14" t="n">
        <f aca="false">IF($A224="",0,IFERROR(VLOOKUP((YEAR($A224)+IF(MONTH($A224)&gt;=10,1,0))&amp;"|Phoenix|"&amp;MONTH($A224),Rates!$A$2:$I$181,5,FALSE()),0))</f>
        <v>0</v>
      </c>
      <c r="AG224" s="14" t="n">
        <f aca="false">IF(OR($A224="",$A224&gt;=Parameters!$B$14),1,IF(AND(AF224&gt;0,CityData!F6&lt;=AF224),1,0))</f>
        <v>1</v>
      </c>
      <c r="AH224" s="14" t="n">
        <f aca="false">IF($A224="",0,IFERROR(VLOOKUP((YEAR($A224)+IF(MONTH($A224)&gt;=10,1,0))&amp;"|Seattle|"&amp;MONTH($A224),Rates!$A$2:$I$181,6,FALSE()),0))</f>
        <v>0</v>
      </c>
      <c r="AI224" s="14" t="n">
        <f aca="false">IF(AH224=0,0,VLOOKUP(AH224,MIE_Components!$A$2:$F$6,2,FALSE()))</f>
        <v>0</v>
      </c>
      <c r="AJ224" s="14" t="n">
        <f aca="false">IF(AH224=0,0,VLOOKUP(AH224,MIE_Components!$A$2:$F$6,3,FALSE()))</f>
        <v>0</v>
      </c>
      <c r="AK224" s="14" t="n">
        <f aca="false">IF(AH224=0,0,VLOOKUP(AH224,MIE_Components!$A$2:$F$6,4,FALSE()))</f>
        <v>0</v>
      </c>
      <c r="AL224" s="14" t="n">
        <f aca="false">IF(OR($A224="",AH224=0),0,MAX(5,AH224*IF(OR($A224=Parameters!$B$13,$A224=Parameters!$B$14),0.75,1)-(IF(AND($A224=DATE(2026,11,29),NOV29BF="Yes"),AI224,0)+IF(OR($A224=DATE(2026,11,29),$A224=DATE(2026,11,30),$A224=DATE(2026,12,1),$A224=DATE(2026,12,2)),AJ224,0)+IF(OR($A224=DATE(2026,11,28),$A224=DATE(2026,12,1)),AK224,0))))</f>
        <v>0</v>
      </c>
      <c r="AM224" s="14" t="n">
        <f aca="false">IF(AND($A224&lt;&gt;"",$A224&lt;Parameters!$B$14),CityData!F7*(1+TAXRATE),0)</f>
        <v>0</v>
      </c>
      <c r="AN224" s="14" t="n">
        <f aca="false">IF($A224="",0,IFERROR(VLOOKUP((YEAR($A224)+IF(MONTH($A224)&gt;=10,1,0))&amp;"|Seattle|"&amp;MONTH($A224),Rates!$A$2:$I$181,5,FALSE()),0))</f>
        <v>0</v>
      </c>
      <c r="AO224" s="14" t="n">
        <f aca="false">IF(OR($A224="",$A224&gt;=Parameters!$B$14),1,IF(AND(AN224&gt;0,CityData!F7&lt;=AN224),1,0))</f>
        <v>1</v>
      </c>
    </row>
    <row r="225" customFormat="false" ht="15" hidden="false" customHeight="true" outlineLevel="0" collapsed="false">
      <c r="A225" s="23" t="str">
        <f aca="false">IF(AND(Parameters!$B$14&gt;=Parameters!$B$13,ROW()-2&lt;=Parameters!$B$14-Parameters!$B$13),Parameters!$B$13+ROW()-2,"")</f>
        <v/>
      </c>
      <c r="B225" s="14" t="n">
        <f aca="false">IF($A225="",0,IFERROR(VLOOKUP((YEAR($A225)+IF(MONTH($A225)&gt;=10,1,0))&amp;"|Boston|"&amp;MONTH($A225),Rates!$A$2:$I$181,6,FALSE()),0))</f>
        <v>0</v>
      </c>
      <c r="C225" s="14" t="n">
        <f aca="false">IF(B225=0,0,VLOOKUP(B225,MIE_Components!$A$2:$F$6,2,FALSE()))</f>
        <v>0</v>
      </c>
      <c r="D225" s="14" t="n">
        <f aca="false">IF(B225=0,0,VLOOKUP(B225,MIE_Components!$A$2:$F$6,3,FALSE()))</f>
        <v>0</v>
      </c>
      <c r="E225" s="14" t="n">
        <f aca="false">IF(B225=0,0,VLOOKUP(B225,MIE_Components!$A$2:$F$6,4,FALSE()))</f>
        <v>0</v>
      </c>
      <c r="F225" s="14" t="n">
        <f aca="false">IF(OR($A225="",B225=0),0,MAX(5,B225*IF(OR($A225=Parameters!$B$13,$A225=Parameters!$B$14),0.75,1)-(IF(AND($A225=DATE(2026,11,29),NOV29BF="Yes"),C225,0)+IF(OR($A225=DATE(2026,11,29),$A225=DATE(2026,11,30),$A225=DATE(2026,12,1),$A225=DATE(2026,12,2)),D225,0)+IF(OR($A225=DATE(2026,11,28),$A225=DATE(2026,12,1)),E225,0))))</f>
        <v>0</v>
      </c>
      <c r="G225" s="14" t="n">
        <f aca="false">IF(AND($A225&lt;&gt;"",$A225&lt;Parameters!$B$14),CityData!F3*(1+TAXRATE),0)</f>
        <v>0</v>
      </c>
      <c r="H225" s="14" t="n">
        <f aca="false">IF($A225="",0,IFERROR(VLOOKUP((YEAR($A225)+IF(MONTH($A225)&gt;=10,1,0))&amp;"|Boston|"&amp;MONTH($A225),Rates!$A$2:$I$181,5,FALSE()),0))</f>
        <v>0</v>
      </c>
      <c r="I225" s="14" t="n">
        <f aca="false">IF(OR($A225="",$A225&gt;=Parameters!$B$14),1,IF(AND(H225&gt;0,CityData!F3&lt;=H225),1,0))</f>
        <v>1</v>
      </c>
      <c r="J225" s="14" t="n">
        <f aca="false">IF($A225="",0,IFERROR(VLOOKUP((YEAR($A225)+IF(MONTH($A225)&gt;=10,1,0))&amp;"|Chicago|"&amp;MONTH($A225),Rates!$A$2:$I$181,6,FALSE()),0))</f>
        <v>0</v>
      </c>
      <c r="K225" s="14" t="n">
        <f aca="false">IF(J225=0,0,VLOOKUP(J225,MIE_Components!$A$2:$F$6,2,FALSE()))</f>
        <v>0</v>
      </c>
      <c r="L225" s="14" t="n">
        <f aca="false">IF(J225=0,0,VLOOKUP(J225,MIE_Components!$A$2:$F$6,3,FALSE()))</f>
        <v>0</v>
      </c>
      <c r="M225" s="14" t="n">
        <f aca="false">IF(J225=0,0,VLOOKUP(J225,MIE_Components!$A$2:$F$6,4,FALSE()))</f>
        <v>0</v>
      </c>
      <c r="N225" s="14" t="n">
        <f aca="false">IF(OR($A225="",J225=0),0,MAX(5,J225*IF(OR($A225=Parameters!$B$13,$A225=Parameters!$B$14),0.75,1)-(IF(AND($A225=DATE(2026,11,29),NOV29BF="Yes"),K225,0)+IF(OR($A225=DATE(2026,11,29),$A225=DATE(2026,11,30),$A225=DATE(2026,12,1),$A225=DATE(2026,12,2)),L225,0)+IF(OR($A225=DATE(2026,11,28),$A225=DATE(2026,12,1)),M225,0))))</f>
        <v>0</v>
      </c>
      <c r="O225" s="14" t="n">
        <f aca="false">IF(AND($A225&lt;&gt;"",$A225&lt;Parameters!$B$14),CityData!F4*(1+TAXRATE),0)</f>
        <v>0</v>
      </c>
      <c r="P225" s="14" t="n">
        <f aca="false">IF($A225="",0,IFERROR(VLOOKUP((YEAR($A225)+IF(MONTH($A225)&gt;=10,1,0))&amp;"|Chicago|"&amp;MONTH($A225),Rates!$A$2:$I$181,5,FALSE()),0))</f>
        <v>0</v>
      </c>
      <c r="Q225" s="14" t="n">
        <f aca="false">IF(OR($A225="",$A225&gt;=Parameters!$B$14),1,IF(AND(P225&gt;0,CityData!F4&lt;=P225),1,0))</f>
        <v>1</v>
      </c>
      <c r="R225" s="14" t="n">
        <f aca="false">IF($A225="",0,IFERROR(VLOOKUP((YEAR($A225)+IF(MONTH($A225)&gt;=10,1,0))&amp;"|Denver|"&amp;MONTH($A225),Rates!$A$2:$I$181,6,FALSE()),0))</f>
        <v>0</v>
      </c>
      <c r="S225" s="14" t="n">
        <f aca="false">IF(R225=0,0,VLOOKUP(R225,MIE_Components!$A$2:$F$6,2,FALSE()))</f>
        <v>0</v>
      </c>
      <c r="T225" s="14" t="n">
        <f aca="false">IF(R225=0,0,VLOOKUP(R225,MIE_Components!$A$2:$F$6,3,FALSE()))</f>
        <v>0</v>
      </c>
      <c r="U225" s="14" t="n">
        <f aca="false">IF(R225=0,0,VLOOKUP(R225,MIE_Components!$A$2:$F$6,4,FALSE()))</f>
        <v>0</v>
      </c>
      <c r="V225" s="14" t="n">
        <f aca="false">IF(OR($A225="",R225=0),0,MAX(5,R225*IF(OR($A225=Parameters!$B$13,$A225=Parameters!$B$14),0.75,1)-(IF(AND($A225=DATE(2026,11,29),NOV29BF="Yes"),S225,0)+IF(OR($A225=DATE(2026,11,29),$A225=DATE(2026,11,30),$A225=DATE(2026,12,1),$A225=DATE(2026,12,2)),T225,0)+IF(OR($A225=DATE(2026,11,28),$A225=DATE(2026,12,1)),U225,0))))</f>
        <v>0</v>
      </c>
      <c r="W225" s="14" t="n">
        <f aca="false">IF(AND($A225&lt;&gt;"",$A225&lt;Parameters!$B$14),CityData!F5*(1+TAXRATE),0)</f>
        <v>0</v>
      </c>
      <c r="X225" s="14" t="n">
        <f aca="false">IF($A225="",0,IFERROR(VLOOKUP((YEAR($A225)+IF(MONTH($A225)&gt;=10,1,0))&amp;"|Denver|"&amp;MONTH($A225),Rates!$A$2:$I$181,5,FALSE()),0))</f>
        <v>0</v>
      </c>
      <c r="Y225" s="14" t="n">
        <f aca="false">IF(OR($A225="",$A225&gt;=Parameters!$B$14),1,IF(AND(X225&gt;0,CityData!F5&lt;=X225),1,0))</f>
        <v>1</v>
      </c>
      <c r="Z225" s="14" t="n">
        <f aca="false">IF($A225="",0,IFERROR(VLOOKUP((YEAR($A225)+IF(MONTH($A225)&gt;=10,1,0))&amp;"|Phoenix|"&amp;MONTH($A225),Rates!$A$2:$I$181,6,FALSE()),0))</f>
        <v>0</v>
      </c>
      <c r="AA225" s="14" t="n">
        <f aca="false">IF(Z225=0,0,VLOOKUP(Z225,MIE_Components!$A$2:$F$6,2,FALSE()))</f>
        <v>0</v>
      </c>
      <c r="AB225" s="14" t="n">
        <f aca="false">IF(Z225=0,0,VLOOKUP(Z225,MIE_Components!$A$2:$F$6,3,FALSE()))</f>
        <v>0</v>
      </c>
      <c r="AC225" s="14" t="n">
        <f aca="false">IF(Z225=0,0,VLOOKUP(Z225,MIE_Components!$A$2:$F$6,4,FALSE()))</f>
        <v>0</v>
      </c>
      <c r="AD225" s="14" t="n">
        <f aca="false">IF(OR($A225="",Z225=0),0,MAX(5,Z225*IF(OR($A225=Parameters!$B$13,$A225=Parameters!$B$14),0.75,1)-(IF(AND($A225=DATE(2026,11,29),NOV29BF="Yes"),AA225,0)+IF(OR($A225=DATE(2026,11,29),$A225=DATE(2026,11,30),$A225=DATE(2026,12,1),$A225=DATE(2026,12,2)),AB225,0)+IF(OR($A225=DATE(2026,11,28),$A225=DATE(2026,12,1)),AC225,0))))</f>
        <v>0</v>
      </c>
      <c r="AE225" s="14" t="n">
        <f aca="false">IF(AND($A225&lt;&gt;"",$A225&lt;Parameters!$B$14),CityData!F6*(1+TAXRATE),0)</f>
        <v>0</v>
      </c>
      <c r="AF225" s="14" t="n">
        <f aca="false">IF($A225="",0,IFERROR(VLOOKUP((YEAR($A225)+IF(MONTH($A225)&gt;=10,1,0))&amp;"|Phoenix|"&amp;MONTH($A225),Rates!$A$2:$I$181,5,FALSE()),0))</f>
        <v>0</v>
      </c>
      <c r="AG225" s="14" t="n">
        <f aca="false">IF(OR($A225="",$A225&gt;=Parameters!$B$14),1,IF(AND(AF225&gt;0,CityData!F6&lt;=AF225),1,0))</f>
        <v>1</v>
      </c>
      <c r="AH225" s="14" t="n">
        <f aca="false">IF($A225="",0,IFERROR(VLOOKUP((YEAR($A225)+IF(MONTH($A225)&gt;=10,1,0))&amp;"|Seattle|"&amp;MONTH($A225),Rates!$A$2:$I$181,6,FALSE()),0))</f>
        <v>0</v>
      </c>
      <c r="AI225" s="14" t="n">
        <f aca="false">IF(AH225=0,0,VLOOKUP(AH225,MIE_Components!$A$2:$F$6,2,FALSE()))</f>
        <v>0</v>
      </c>
      <c r="AJ225" s="14" t="n">
        <f aca="false">IF(AH225=0,0,VLOOKUP(AH225,MIE_Components!$A$2:$F$6,3,FALSE()))</f>
        <v>0</v>
      </c>
      <c r="AK225" s="14" t="n">
        <f aca="false">IF(AH225=0,0,VLOOKUP(AH225,MIE_Components!$A$2:$F$6,4,FALSE()))</f>
        <v>0</v>
      </c>
      <c r="AL225" s="14" t="n">
        <f aca="false">IF(OR($A225="",AH225=0),0,MAX(5,AH225*IF(OR($A225=Parameters!$B$13,$A225=Parameters!$B$14),0.75,1)-(IF(AND($A225=DATE(2026,11,29),NOV29BF="Yes"),AI225,0)+IF(OR($A225=DATE(2026,11,29),$A225=DATE(2026,11,30),$A225=DATE(2026,12,1),$A225=DATE(2026,12,2)),AJ225,0)+IF(OR($A225=DATE(2026,11,28),$A225=DATE(2026,12,1)),AK225,0))))</f>
        <v>0</v>
      </c>
      <c r="AM225" s="14" t="n">
        <f aca="false">IF(AND($A225&lt;&gt;"",$A225&lt;Parameters!$B$14),CityData!F7*(1+TAXRATE),0)</f>
        <v>0</v>
      </c>
      <c r="AN225" s="14" t="n">
        <f aca="false">IF($A225="",0,IFERROR(VLOOKUP((YEAR($A225)+IF(MONTH($A225)&gt;=10,1,0))&amp;"|Seattle|"&amp;MONTH($A225),Rates!$A$2:$I$181,5,FALSE()),0))</f>
        <v>0</v>
      </c>
      <c r="AO225" s="14" t="n">
        <f aca="false">IF(OR($A225="",$A225&gt;=Parameters!$B$14),1,IF(AND(AN225&gt;0,CityData!F7&lt;=AN225),1,0))</f>
        <v>1</v>
      </c>
    </row>
    <row r="226" customFormat="false" ht="15" hidden="false" customHeight="true" outlineLevel="0" collapsed="false">
      <c r="A226" s="23" t="str">
        <f aca="false">IF(AND(Parameters!$B$14&gt;=Parameters!$B$13,ROW()-2&lt;=Parameters!$B$14-Parameters!$B$13),Parameters!$B$13+ROW()-2,"")</f>
        <v/>
      </c>
      <c r="B226" s="14" t="n">
        <f aca="false">IF($A226="",0,IFERROR(VLOOKUP((YEAR($A226)+IF(MONTH($A226)&gt;=10,1,0))&amp;"|Boston|"&amp;MONTH($A226),Rates!$A$2:$I$181,6,FALSE()),0))</f>
        <v>0</v>
      </c>
      <c r="C226" s="14" t="n">
        <f aca="false">IF(B226=0,0,VLOOKUP(B226,MIE_Components!$A$2:$F$6,2,FALSE()))</f>
        <v>0</v>
      </c>
      <c r="D226" s="14" t="n">
        <f aca="false">IF(B226=0,0,VLOOKUP(B226,MIE_Components!$A$2:$F$6,3,FALSE()))</f>
        <v>0</v>
      </c>
      <c r="E226" s="14" t="n">
        <f aca="false">IF(B226=0,0,VLOOKUP(B226,MIE_Components!$A$2:$F$6,4,FALSE()))</f>
        <v>0</v>
      </c>
      <c r="F226" s="14" t="n">
        <f aca="false">IF(OR($A226="",B226=0),0,MAX(5,B226*IF(OR($A226=Parameters!$B$13,$A226=Parameters!$B$14),0.75,1)-(IF(AND($A226=DATE(2026,11,29),NOV29BF="Yes"),C226,0)+IF(OR($A226=DATE(2026,11,29),$A226=DATE(2026,11,30),$A226=DATE(2026,12,1),$A226=DATE(2026,12,2)),D226,0)+IF(OR($A226=DATE(2026,11,28),$A226=DATE(2026,12,1)),E226,0))))</f>
        <v>0</v>
      </c>
      <c r="G226" s="14" t="n">
        <f aca="false">IF(AND($A226&lt;&gt;"",$A226&lt;Parameters!$B$14),CityData!F3*(1+TAXRATE),0)</f>
        <v>0</v>
      </c>
      <c r="H226" s="14" t="n">
        <f aca="false">IF($A226="",0,IFERROR(VLOOKUP((YEAR($A226)+IF(MONTH($A226)&gt;=10,1,0))&amp;"|Boston|"&amp;MONTH($A226),Rates!$A$2:$I$181,5,FALSE()),0))</f>
        <v>0</v>
      </c>
      <c r="I226" s="14" t="n">
        <f aca="false">IF(OR($A226="",$A226&gt;=Parameters!$B$14),1,IF(AND(H226&gt;0,CityData!F3&lt;=H226),1,0))</f>
        <v>1</v>
      </c>
      <c r="J226" s="14" t="n">
        <f aca="false">IF($A226="",0,IFERROR(VLOOKUP((YEAR($A226)+IF(MONTH($A226)&gt;=10,1,0))&amp;"|Chicago|"&amp;MONTH($A226),Rates!$A$2:$I$181,6,FALSE()),0))</f>
        <v>0</v>
      </c>
      <c r="K226" s="14" t="n">
        <f aca="false">IF(J226=0,0,VLOOKUP(J226,MIE_Components!$A$2:$F$6,2,FALSE()))</f>
        <v>0</v>
      </c>
      <c r="L226" s="14" t="n">
        <f aca="false">IF(J226=0,0,VLOOKUP(J226,MIE_Components!$A$2:$F$6,3,FALSE()))</f>
        <v>0</v>
      </c>
      <c r="M226" s="14" t="n">
        <f aca="false">IF(J226=0,0,VLOOKUP(J226,MIE_Components!$A$2:$F$6,4,FALSE()))</f>
        <v>0</v>
      </c>
      <c r="N226" s="14" t="n">
        <f aca="false">IF(OR($A226="",J226=0),0,MAX(5,J226*IF(OR($A226=Parameters!$B$13,$A226=Parameters!$B$14),0.75,1)-(IF(AND($A226=DATE(2026,11,29),NOV29BF="Yes"),K226,0)+IF(OR($A226=DATE(2026,11,29),$A226=DATE(2026,11,30),$A226=DATE(2026,12,1),$A226=DATE(2026,12,2)),L226,0)+IF(OR($A226=DATE(2026,11,28),$A226=DATE(2026,12,1)),M226,0))))</f>
        <v>0</v>
      </c>
      <c r="O226" s="14" t="n">
        <f aca="false">IF(AND($A226&lt;&gt;"",$A226&lt;Parameters!$B$14),CityData!F4*(1+TAXRATE),0)</f>
        <v>0</v>
      </c>
      <c r="P226" s="14" t="n">
        <f aca="false">IF($A226="",0,IFERROR(VLOOKUP((YEAR($A226)+IF(MONTH($A226)&gt;=10,1,0))&amp;"|Chicago|"&amp;MONTH($A226),Rates!$A$2:$I$181,5,FALSE()),0))</f>
        <v>0</v>
      </c>
      <c r="Q226" s="14" t="n">
        <f aca="false">IF(OR($A226="",$A226&gt;=Parameters!$B$14),1,IF(AND(P226&gt;0,CityData!F4&lt;=P226),1,0))</f>
        <v>1</v>
      </c>
      <c r="R226" s="14" t="n">
        <f aca="false">IF($A226="",0,IFERROR(VLOOKUP((YEAR($A226)+IF(MONTH($A226)&gt;=10,1,0))&amp;"|Denver|"&amp;MONTH($A226),Rates!$A$2:$I$181,6,FALSE()),0))</f>
        <v>0</v>
      </c>
      <c r="S226" s="14" t="n">
        <f aca="false">IF(R226=0,0,VLOOKUP(R226,MIE_Components!$A$2:$F$6,2,FALSE()))</f>
        <v>0</v>
      </c>
      <c r="T226" s="14" t="n">
        <f aca="false">IF(R226=0,0,VLOOKUP(R226,MIE_Components!$A$2:$F$6,3,FALSE()))</f>
        <v>0</v>
      </c>
      <c r="U226" s="14" t="n">
        <f aca="false">IF(R226=0,0,VLOOKUP(R226,MIE_Components!$A$2:$F$6,4,FALSE()))</f>
        <v>0</v>
      </c>
      <c r="V226" s="14" t="n">
        <f aca="false">IF(OR($A226="",R226=0),0,MAX(5,R226*IF(OR($A226=Parameters!$B$13,$A226=Parameters!$B$14),0.75,1)-(IF(AND($A226=DATE(2026,11,29),NOV29BF="Yes"),S226,0)+IF(OR($A226=DATE(2026,11,29),$A226=DATE(2026,11,30),$A226=DATE(2026,12,1),$A226=DATE(2026,12,2)),T226,0)+IF(OR($A226=DATE(2026,11,28),$A226=DATE(2026,12,1)),U226,0))))</f>
        <v>0</v>
      </c>
      <c r="W226" s="14" t="n">
        <f aca="false">IF(AND($A226&lt;&gt;"",$A226&lt;Parameters!$B$14),CityData!F5*(1+TAXRATE),0)</f>
        <v>0</v>
      </c>
      <c r="X226" s="14" t="n">
        <f aca="false">IF($A226="",0,IFERROR(VLOOKUP((YEAR($A226)+IF(MONTH($A226)&gt;=10,1,0))&amp;"|Denver|"&amp;MONTH($A226),Rates!$A$2:$I$181,5,FALSE()),0))</f>
        <v>0</v>
      </c>
      <c r="Y226" s="14" t="n">
        <f aca="false">IF(OR($A226="",$A226&gt;=Parameters!$B$14),1,IF(AND(X226&gt;0,CityData!F5&lt;=X226),1,0))</f>
        <v>1</v>
      </c>
      <c r="Z226" s="14" t="n">
        <f aca="false">IF($A226="",0,IFERROR(VLOOKUP((YEAR($A226)+IF(MONTH($A226)&gt;=10,1,0))&amp;"|Phoenix|"&amp;MONTH($A226),Rates!$A$2:$I$181,6,FALSE()),0))</f>
        <v>0</v>
      </c>
      <c r="AA226" s="14" t="n">
        <f aca="false">IF(Z226=0,0,VLOOKUP(Z226,MIE_Components!$A$2:$F$6,2,FALSE()))</f>
        <v>0</v>
      </c>
      <c r="AB226" s="14" t="n">
        <f aca="false">IF(Z226=0,0,VLOOKUP(Z226,MIE_Components!$A$2:$F$6,3,FALSE()))</f>
        <v>0</v>
      </c>
      <c r="AC226" s="14" t="n">
        <f aca="false">IF(Z226=0,0,VLOOKUP(Z226,MIE_Components!$A$2:$F$6,4,FALSE()))</f>
        <v>0</v>
      </c>
      <c r="AD226" s="14" t="n">
        <f aca="false">IF(OR($A226="",Z226=0),0,MAX(5,Z226*IF(OR($A226=Parameters!$B$13,$A226=Parameters!$B$14),0.75,1)-(IF(AND($A226=DATE(2026,11,29),NOV29BF="Yes"),AA226,0)+IF(OR($A226=DATE(2026,11,29),$A226=DATE(2026,11,30),$A226=DATE(2026,12,1),$A226=DATE(2026,12,2)),AB226,0)+IF(OR($A226=DATE(2026,11,28),$A226=DATE(2026,12,1)),AC226,0))))</f>
        <v>0</v>
      </c>
      <c r="AE226" s="14" t="n">
        <f aca="false">IF(AND($A226&lt;&gt;"",$A226&lt;Parameters!$B$14),CityData!F6*(1+TAXRATE),0)</f>
        <v>0</v>
      </c>
      <c r="AF226" s="14" t="n">
        <f aca="false">IF($A226="",0,IFERROR(VLOOKUP((YEAR($A226)+IF(MONTH($A226)&gt;=10,1,0))&amp;"|Phoenix|"&amp;MONTH($A226),Rates!$A$2:$I$181,5,FALSE()),0))</f>
        <v>0</v>
      </c>
      <c r="AG226" s="14" t="n">
        <f aca="false">IF(OR($A226="",$A226&gt;=Parameters!$B$14),1,IF(AND(AF226&gt;0,CityData!F6&lt;=AF226),1,0))</f>
        <v>1</v>
      </c>
      <c r="AH226" s="14" t="n">
        <f aca="false">IF($A226="",0,IFERROR(VLOOKUP((YEAR($A226)+IF(MONTH($A226)&gt;=10,1,0))&amp;"|Seattle|"&amp;MONTH($A226),Rates!$A$2:$I$181,6,FALSE()),0))</f>
        <v>0</v>
      </c>
      <c r="AI226" s="14" t="n">
        <f aca="false">IF(AH226=0,0,VLOOKUP(AH226,MIE_Components!$A$2:$F$6,2,FALSE()))</f>
        <v>0</v>
      </c>
      <c r="AJ226" s="14" t="n">
        <f aca="false">IF(AH226=0,0,VLOOKUP(AH226,MIE_Components!$A$2:$F$6,3,FALSE()))</f>
        <v>0</v>
      </c>
      <c r="AK226" s="14" t="n">
        <f aca="false">IF(AH226=0,0,VLOOKUP(AH226,MIE_Components!$A$2:$F$6,4,FALSE()))</f>
        <v>0</v>
      </c>
      <c r="AL226" s="14" t="n">
        <f aca="false">IF(OR($A226="",AH226=0),0,MAX(5,AH226*IF(OR($A226=Parameters!$B$13,$A226=Parameters!$B$14),0.75,1)-(IF(AND($A226=DATE(2026,11,29),NOV29BF="Yes"),AI226,0)+IF(OR($A226=DATE(2026,11,29),$A226=DATE(2026,11,30),$A226=DATE(2026,12,1),$A226=DATE(2026,12,2)),AJ226,0)+IF(OR($A226=DATE(2026,11,28),$A226=DATE(2026,12,1)),AK226,0))))</f>
        <v>0</v>
      </c>
      <c r="AM226" s="14" t="n">
        <f aca="false">IF(AND($A226&lt;&gt;"",$A226&lt;Parameters!$B$14),CityData!F7*(1+TAXRATE),0)</f>
        <v>0</v>
      </c>
      <c r="AN226" s="14" t="n">
        <f aca="false">IF($A226="",0,IFERROR(VLOOKUP((YEAR($A226)+IF(MONTH($A226)&gt;=10,1,0))&amp;"|Seattle|"&amp;MONTH($A226),Rates!$A$2:$I$181,5,FALSE()),0))</f>
        <v>0</v>
      </c>
      <c r="AO226" s="14" t="n">
        <f aca="false">IF(OR($A226="",$A226&gt;=Parameters!$B$14),1,IF(AND(AN226&gt;0,CityData!F7&lt;=AN226),1,0))</f>
        <v>1</v>
      </c>
    </row>
    <row r="227" customFormat="false" ht="15" hidden="false" customHeight="true" outlineLevel="0" collapsed="false">
      <c r="A227" s="23" t="str">
        <f aca="false">IF(AND(Parameters!$B$14&gt;=Parameters!$B$13,ROW()-2&lt;=Parameters!$B$14-Parameters!$B$13),Parameters!$B$13+ROW()-2,"")</f>
        <v/>
      </c>
      <c r="B227" s="14" t="n">
        <f aca="false">IF($A227="",0,IFERROR(VLOOKUP((YEAR($A227)+IF(MONTH($A227)&gt;=10,1,0))&amp;"|Boston|"&amp;MONTH($A227),Rates!$A$2:$I$181,6,FALSE()),0))</f>
        <v>0</v>
      </c>
      <c r="C227" s="14" t="n">
        <f aca="false">IF(B227=0,0,VLOOKUP(B227,MIE_Components!$A$2:$F$6,2,FALSE()))</f>
        <v>0</v>
      </c>
      <c r="D227" s="14" t="n">
        <f aca="false">IF(B227=0,0,VLOOKUP(B227,MIE_Components!$A$2:$F$6,3,FALSE()))</f>
        <v>0</v>
      </c>
      <c r="E227" s="14" t="n">
        <f aca="false">IF(B227=0,0,VLOOKUP(B227,MIE_Components!$A$2:$F$6,4,FALSE()))</f>
        <v>0</v>
      </c>
      <c r="F227" s="14" t="n">
        <f aca="false">IF(OR($A227="",B227=0),0,MAX(5,B227*IF(OR($A227=Parameters!$B$13,$A227=Parameters!$B$14),0.75,1)-(IF(AND($A227=DATE(2026,11,29),NOV29BF="Yes"),C227,0)+IF(OR($A227=DATE(2026,11,29),$A227=DATE(2026,11,30),$A227=DATE(2026,12,1),$A227=DATE(2026,12,2)),D227,0)+IF(OR($A227=DATE(2026,11,28),$A227=DATE(2026,12,1)),E227,0))))</f>
        <v>0</v>
      </c>
      <c r="G227" s="14" t="n">
        <f aca="false">IF(AND($A227&lt;&gt;"",$A227&lt;Parameters!$B$14),CityData!F3*(1+TAXRATE),0)</f>
        <v>0</v>
      </c>
      <c r="H227" s="14" t="n">
        <f aca="false">IF($A227="",0,IFERROR(VLOOKUP((YEAR($A227)+IF(MONTH($A227)&gt;=10,1,0))&amp;"|Boston|"&amp;MONTH($A227),Rates!$A$2:$I$181,5,FALSE()),0))</f>
        <v>0</v>
      </c>
      <c r="I227" s="14" t="n">
        <f aca="false">IF(OR($A227="",$A227&gt;=Parameters!$B$14),1,IF(AND(H227&gt;0,CityData!F3&lt;=H227),1,0))</f>
        <v>1</v>
      </c>
      <c r="J227" s="14" t="n">
        <f aca="false">IF($A227="",0,IFERROR(VLOOKUP((YEAR($A227)+IF(MONTH($A227)&gt;=10,1,0))&amp;"|Chicago|"&amp;MONTH($A227),Rates!$A$2:$I$181,6,FALSE()),0))</f>
        <v>0</v>
      </c>
      <c r="K227" s="14" t="n">
        <f aca="false">IF(J227=0,0,VLOOKUP(J227,MIE_Components!$A$2:$F$6,2,FALSE()))</f>
        <v>0</v>
      </c>
      <c r="L227" s="14" t="n">
        <f aca="false">IF(J227=0,0,VLOOKUP(J227,MIE_Components!$A$2:$F$6,3,FALSE()))</f>
        <v>0</v>
      </c>
      <c r="M227" s="14" t="n">
        <f aca="false">IF(J227=0,0,VLOOKUP(J227,MIE_Components!$A$2:$F$6,4,FALSE()))</f>
        <v>0</v>
      </c>
      <c r="N227" s="14" t="n">
        <f aca="false">IF(OR($A227="",J227=0),0,MAX(5,J227*IF(OR($A227=Parameters!$B$13,$A227=Parameters!$B$14),0.75,1)-(IF(AND($A227=DATE(2026,11,29),NOV29BF="Yes"),K227,0)+IF(OR($A227=DATE(2026,11,29),$A227=DATE(2026,11,30),$A227=DATE(2026,12,1),$A227=DATE(2026,12,2)),L227,0)+IF(OR($A227=DATE(2026,11,28),$A227=DATE(2026,12,1)),M227,0))))</f>
        <v>0</v>
      </c>
      <c r="O227" s="14" t="n">
        <f aca="false">IF(AND($A227&lt;&gt;"",$A227&lt;Parameters!$B$14),CityData!F4*(1+TAXRATE),0)</f>
        <v>0</v>
      </c>
      <c r="P227" s="14" t="n">
        <f aca="false">IF($A227="",0,IFERROR(VLOOKUP((YEAR($A227)+IF(MONTH($A227)&gt;=10,1,0))&amp;"|Chicago|"&amp;MONTH($A227),Rates!$A$2:$I$181,5,FALSE()),0))</f>
        <v>0</v>
      </c>
      <c r="Q227" s="14" t="n">
        <f aca="false">IF(OR($A227="",$A227&gt;=Parameters!$B$14),1,IF(AND(P227&gt;0,CityData!F4&lt;=P227),1,0))</f>
        <v>1</v>
      </c>
      <c r="R227" s="14" t="n">
        <f aca="false">IF($A227="",0,IFERROR(VLOOKUP((YEAR($A227)+IF(MONTH($A227)&gt;=10,1,0))&amp;"|Denver|"&amp;MONTH($A227),Rates!$A$2:$I$181,6,FALSE()),0))</f>
        <v>0</v>
      </c>
      <c r="S227" s="14" t="n">
        <f aca="false">IF(R227=0,0,VLOOKUP(R227,MIE_Components!$A$2:$F$6,2,FALSE()))</f>
        <v>0</v>
      </c>
      <c r="T227" s="14" t="n">
        <f aca="false">IF(R227=0,0,VLOOKUP(R227,MIE_Components!$A$2:$F$6,3,FALSE()))</f>
        <v>0</v>
      </c>
      <c r="U227" s="14" t="n">
        <f aca="false">IF(R227=0,0,VLOOKUP(R227,MIE_Components!$A$2:$F$6,4,FALSE()))</f>
        <v>0</v>
      </c>
      <c r="V227" s="14" t="n">
        <f aca="false">IF(OR($A227="",R227=0),0,MAX(5,R227*IF(OR($A227=Parameters!$B$13,$A227=Parameters!$B$14),0.75,1)-(IF(AND($A227=DATE(2026,11,29),NOV29BF="Yes"),S227,0)+IF(OR($A227=DATE(2026,11,29),$A227=DATE(2026,11,30),$A227=DATE(2026,12,1),$A227=DATE(2026,12,2)),T227,0)+IF(OR($A227=DATE(2026,11,28),$A227=DATE(2026,12,1)),U227,0))))</f>
        <v>0</v>
      </c>
      <c r="W227" s="14" t="n">
        <f aca="false">IF(AND($A227&lt;&gt;"",$A227&lt;Parameters!$B$14),CityData!F5*(1+TAXRATE),0)</f>
        <v>0</v>
      </c>
      <c r="X227" s="14" t="n">
        <f aca="false">IF($A227="",0,IFERROR(VLOOKUP((YEAR($A227)+IF(MONTH($A227)&gt;=10,1,0))&amp;"|Denver|"&amp;MONTH($A227),Rates!$A$2:$I$181,5,FALSE()),0))</f>
        <v>0</v>
      </c>
      <c r="Y227" s="14" t="n">
        <f aca="false">IF(OR($A227="",$A227&gt;=Parameters!$B$14),1,IF(AND(X227&gt;0,CityData!F5&lt;=X227),1,0))</f>
        <v>1</v>
      </c>
      <c r="Z227" s="14" t="n">
        <f aca="false">IF($A227="",0,IFERROR(VLOOKUP((YEAR($A227)+IF(MONTH($A227)&gt;=10,1,0))&amp;"|Phoenix|"&amp;MONTH($A227),Rates!$A$2:$I$181,6,FALSE()),0))</f>
        <v>0</v>
      </c>
      <c r="AA227" s="14" t="n">
        <f aca="false">IF(Z227=0,0,VLOOKUP(Z227,MIE_Components!$A$2:$F$6,2,FALSE()))</f>
        <v>0</v>
      </c>
      <c r="AB227" s="14" t="n">
        <f aca="false">IF(Z227=0,0,VLOOKUP(Z227,MIE_Components!$A$2:$F$6,3,FALSE()))</f>
        <v>0</v>
      </c>
      <c r="AC227" s="14" t="n">
        <f aca="false">IF(Z227=0,0,VLOOKUP(Z227,MIE_Components!$A$2:$F$6,4,FALSE()))</f>
        <v>0</v>
      </c>
      <c r="AD227" s="14" t="n">
        <f aca="false">IF(OR($A227="",Z227=0),0,MAX(5,Z227*IF(OR($A227=Parameters!$B$13,$A227=Parameters!$B$14),0.75,1)-(IF(AND($A227=DATE(2026,11,29),NOV29BF="Yes"),AA227,0)+IF(OR($A227=DATE(2026,11,29),$A227=DATE(2026,11,30),$A227=DATE(2026,12,1),$A227=DATE(2026,12,2)),AB227,0)+IF(OR($A227=DATE(2026,11,28),$A227=DATE(2026,12,1)),AC227,0))))</f>
        <v>0</v>
      </c>
      <c r="AE227" s="14" t="n">
        <f aca="false">IF(AND($A227&lt;&gt;"",$A227&lt;Parameters!$B$14),CityData!F6*(1+TAXRATE),0)</f>
        <v>0</v>
      </c>
      <c r="AF227" s="14" t="n">
        <f aca="false">IF($A227="",0,IFERROR(VLOOKUP((YEAR($A227)+IF(MONTH($A227)&gt;=10,1,0))&amp;"|Phoenix|"&amp;MONTH($A227),Rates!$A$2:$I$181,5,FALSE()),0))</f>
        <v>0</v>
      </c>
      <c r="AG227" s="14" t="n">
        <f aca="false">IF(OR($A227="",$A227&gt;=Parameters!$B$14),1,IF(AND(AF227&gt;0,CityData!F6&lt;=AF227),1,0))</f>
        <v>1</v>
      </c>
      <c r="AH227" s="14" t="n">
        <f aca="false">IF($A227="",0,IFERROR(VLOOKUP((YEAR($A227)+IF(MONTH($A227)&gt;=10,1,0))&amp;"|Seattle|"&amp;MONTH($A227),Rates!$A$2:$I$181,6,FALSE()),0))</f>
        <v>0</v>
      </c>
      <c r="AI227" s="14" t="n">
        <f aca="false">IF(AH227=0,0,VLOOKUP(AH227,MIE_Components!$A$2:$F$6,2,FALSE()))</f>
        <v>0</v>
      </c>
      <c r="AJ227" s="14" t="n">
        <f aca="false">IF(AH227=0,0,VLOOKUP(AH227,MIE_Components!$A$2:$F$6,3,FALSE()))</f>
        <v>0</v>
      </c>
      <c r="AK227" s="14" t="n">
        <f aca="false">IF(AH227=0,0,VLOOKUP(AH227,MIE_Components!$A$2:$F$6,4,FALSE()))</f>
        <v>0</v>
      </c>
      <c r="AL227" s="14" t="n">
        <f aca="false">IF(OR($A227="",AH227=0),0,MAX(5,AH227*IF(OR($A227=Parameters!$B$13,$A227=Parameters!$B$14),0.75,1)-(IF(AND($A227=DATE(2026,11,29),NOV29BF="Yes"),AI227,0)+IF(OR($A227=DATE(2026,11,29),$A227=DATE(2026,11,30),$A227=DATE(2026,12,1),$A227=DATE(2026,12,2)),AJ227,0)+IF(OR($A227=DATE(2026,11,28),$A227=DATE(2026,12,1)),AK227,0))))</f>
        <v>0</v>
      </c>
      <c r="AM227" s="14" t="n">
        <f aca="false">IF(AND($A227&lt;&gt;"",$A227&lt;Parameters!$B$14),CityData!F7*(1+TAXRATE),0)</f>
        <v>0</v>
      </c>
      <c r="AN227" s="14" t="n">
        <f aca="false">IF($A227="",0,IFERROR(VLOOKUP((YEAR($A227)+IF(MONTH($A227)&gt;=10,1,0))&amp;"|Seattle|"&amp;MONTH($A227),Rates!$A$2:$I$181,5,FALSE()),0))</f>
        <v>0</v>
      </c>
      <c r="AO227" s="14" t="n">
        <f aca="false">IF(OR($A227="",$A227&gt;=Parameters!$B$14),1,IF(AND(AN227&gt;0,CityData!F7&lt;=AN227),1,0))</f>
        <v>1</v>
      </c>
    </row>
    <row r="228" customFormat="false" ht="15" hidden="false" customHeight="true" outlineLevel="0" collapsed="false">
      <c r="A228" s="23" t="str">
        <f aca="false">IF(AND(Parameters!$B$14&gt;=Parameters!$B$13,ROW()-2&lt;=Parameters!$B$14-Parameters!$B$13),Parameters!$B$13+ROW()-2,"")</f>
        <v/>
      </c>
      <c r="B228" s="14" t="n">
        <f aca="false">IF($A228="",0,IFERROR(VLOOKUP((YEAR($A228)+IF(MONTH($A228)&gt;=10,1,0))&amp;"|Boston|"&amp;MONTH($A228),Rates!$A$2:$I$181,6,FALSE()),0))</f>
        <v>0</v>
      </c>
      <c r="C228" s="14" t="n">
        <f aca="false">IF(B228=0,0,VLOOKUP(B228,MIE_Components!$A$2:$F$6,2,FALSE()))</f>
        <v>0</v>
      </c>
      <c r="D228" s="14" t="n">
        <f aca="false">IF(B228=0,0,VLOOKUP(B228,MIE_Components!$A$2:$F$6,3,FALSE()))</f>
        <v>0</v>
      </c>
      <c r="E228" s="14" t="n">
        <f aca="false">IF(B228=0,0,VLOOKUP(B228,MIE_Components!$A$2:$F$6,4,FALSE()))</f>
        <v>0</v>
      </c>
      <c r="F228" s="14" t="n">
        <f aca="false">IF(OR($A228="",B228=0),0,MAX(5,B228*IF(OR($A228=Parameters!$B$13,$A228=Parameters!$B$14),0.75,1)-(IF(AND($A228=DATE(2026,11,29),NOV29BF="Yes"),C228,0)+IF(OR($A228=DATE(2026,11,29),$A228=DATE(2026,11,30),$A228=DATE(2026,12,1),$A228=DATE(2026,12,2)),D228,0)+IF(OR($A228=DATE(2026,11,28),$A228=DATE(2026,12,1)),E228,0))))</f>
        <v>0</v>
      </c>
      <c r="G228" s="14" t="n">
        <f aca="false">IF(AND($A228&lt;&gt;"",$A228&lt;Parameters!$B$14),CityData!F3*(1+TAXRATE),0)</f>
        <v>0</v>
      </c>
      <c r="H228" s="14" t="n">
        <f aca="false">IF($A228="",0,IFERROR(VLOOKUP((YEAR($A228)+IF(MONTH($A228)&gt;=10,1,0))&amp;"|Boston|"&amp;MONTH($A228),Rates!$A$2:$I$181,5,FALSE()),0))</f>
        <v>0</v>
      </c>
      <c r="I228" s="14" t="n">
        <f aca="false">IF(OR($A228="",$A228&gt;=Parameters!$B$14),1,IF(AND(H228&gt;0,CityData!F3&lt;=H228),1,0))</f>
        <v>1</v>
      </c>
      <c r="J228" s="14" t="n">
        <f aca="false">IF($A228="",0,IFERROR(VLOOKUP((YEAR($A228)+IF(MONTH($A228)&gt;=10,1,0))&amp;"|Chicago|"&amp;MONTH($A228),Rates!$A$2:$I$181,6,FALSE()),0))</f>
        <v>0</v>
      </c>
      <c r="K228" s="14" t="n">
        <f aca="false">IF(J228=0,0,VLOOKUP(J228,MIE_Components!$A$2:$F$6,2,FALSE()))</f>
        <v>0</v>
      </c>
      <c r="L228" s="14" t="n">
        <f aca="false">IF(J228=0,0,VLOOKUP(J228,MIE_Components!$A$2:$F$6,3,FALSE()))</f>
        <v>0</v>
      </c>
      <c r="M228" s="14" t="n">
        <f aca="false">IF(J228=0,0,VLOOKUP(J228,MIE_Components!$A$2:$F$6,4,FALSE()))</f>
        <v>0</v>
      </c>
      <c r="N228" s="14" t="n">
        <f aca="false">IF(OR($A228="",J228=0),0,MAX(5,J228*IF(OR($A228=Parameters!$B$13,$A228=Parameters!$B$14),0.75,1)-(IF(AND($A228=DATE(2026,11,29),NOV29BF="Yes"),K228,0)+IF(OR($A228=DATE(2026,11,29),$A228=DATE(2026,11,30),$A228=DATE(2026,12,1),$A228=DATE(2026,12,2)),L228,0)+IF(OR($A228=DATE(2026,11,28),$A228=DATE(2026,12,1)),M228,0))))</f>
        <v>0</v>
      </c>
      <c r="O228" s="14" t="n">
        <f aca="false">IF(AND($A228&lt;&gt;"",$A228&lt;Parameters!$B$14),CityData!F4*(1+TAXRATE),0)</f>
        <v>0</v>
      </c>
      <c r="P228" s="14" t="n">
        <f aca="false">IF($A228="",0,IFERROR(VLOOKUP((YEAR($A228)+IF(MONTH($A228)&gt;=10,1,0))&amp;"|Chicago|"&amp;MONTH($A228),Rates!$A$2:$I$181,5,FALSE()),0))</f>
        <v>0</v>
      </c>
      <c r="Q228" s="14" t="n">
        <f aca="false">IF(OR($A228="",$A228&gt;=Parameters!$B$14),1,IF(AND(P228&gt;0,CityData!F4&lt;=P228),1,0))</f>
        <v>1</v>
      </c>
      <c r="R228" s="14" t="n">
        <f aca="false">IF($A228="",0,IFERROR(VLOOKUP((YEAR($A228)+IF(MONTH($A228)&gt;=10,1,0))&amp;"|Denver|"&amp;MONTH($A228),Rates!$A$2:$I$181,6,FALSE()),0))</f>
        <v>0</v>
      </c>
      <c r="S228" s="14" t="n">
        <f aca="false">IF(R228=0,0,VLOOKUP(R228,MIE_Components!$A$2:$F$6,2,FALSE()))</f>
        <v>0</v>
      </c>
      <c r="T228" s="14" t="n">
        <f aca="false">IF(R228=0,0,VLOOKUP(R228,MIE_Components!$A$2:$F$6,3,FALSE()))</f>
        <v>0</v>
      </c>
      <c r="U228" s="14" t="n">
        <f aca="false">IF(R228=0,0,VLOOKUP(R228,MIE_Components!$A$2:$F$6,4,FALSE()))</f>
        <v>0</v>
      </c>
      <c r="V228" s="14" t="n">
        <f aca="false">IF(OR($A228="",R228=0),0,MAX(5,R228*IF(OR($A228=Parameters!$B$13,$A228=Parameters!$B$14),0.75,1)-(IF(AND($A228=DATE(2026,11,29),NOV29BF="Yes"),S228,0)+IF(OR($A228=DATE(2026,11,29),$A228=DATE(2026,11,30),$A228=DATE(2026,12,1),$A228=DATE(2026,12,2)),T228,0)+IF(OR($A228=DATE(2026,11,28),$A228=DATE(2026,12,1)),U228,0))))</f>
        <v>0</v>
      </c>
      <c r="W228" s="14" t="n">
        <f aca="false">IF(AND($A228&lt;&gt;"",$A228&lt;Parameters!$B$14),CityData!F5*(1+TAXRATE),0)</f>
        <v>0</v>
      </c>
      <c r="X228" s="14" t="n">
        <f aca="false">IF($A228="",0,IFERROR(VLOOKUP((YEAR($A228)+IF(MONTH($A228)&gt;=10,1,0))&amp;"|Denver|"&amp;MONTH($A228),Rates!$A$2:$I$181,5,FALSE()),0))</f>
        <v>0</v>
      </c>
      <c r="Y228" s="14" t="n">
        <f aca="false">IF(OR($A228="",$A228&gt;=Parameters!$B$14),1,IF(AND(X228&gt;0,CityData!F5&lt;=X228),1,0))</f>
        <v>1</v>
      </c>
      <c r="Z228" s="14" t="n">
        <f aca="false">IF($A228="",0,IFERROR(VLOOKUP((YEAR($A228)+IF(MONTH($A228)&gt;=10,1,0))&amp;"|Phoenix|"&amp;MONTH($A228),Rates!$A$2:$I$181,6,FALSE()),0))</f>
        <v>0</v>
      </c>
      <c r="AA228" s="14" t="n">
        <f aca="false">IF(Z228=0,0,VLOOKUP(Z228,MIE_Components!$A$2:$F$6,2,FALSE()))</f>
        <v>0</v>
      </c>
      <c r="AB228" s="14" t="n">
        <f aca="false">IF(Z228=0,0,VLOOKUP(Z228,MIE_Components!$A$2:$F$6,3,FALSE()))</f>
        <v>0</v>
      </c>
      <c r="AC228" s="14" t="n">
        <f aca="false">IF(Z228=0,0,VLOOKUP(Z228,MIE_Components!$A$2:$F$6,4,FALSE()))</f>
        <v>0</v>
      </c>
      <c r="AD228" s="14" t="n">
        <f aca="false">IF(OR($A228="",Z228=0),0,MAX(5,Z228*IF(OR($A228=Parameters!$B$13,$A228=Parameters!$B$14),0.75,1)-(IF(AND($A228=DATE(2026,11,29),NOV29BF="Yes"),AA228,0)+IF(OR($A228=DATE(2026,11,29),$A228=DATE(2026,11,30),$A228=DATE(2026,12,1),$A228=DATE(2026,12,2)),AB228,0)+IF(OR($A228=DATE(2026,11,28),$A228=DATE(2026,12,1)),AC228,0))))</f>
        <v>0</v>
      </c>
      <c r="AE228" s="14" t="n">
        <f aca="false">IF(AND($A228&lt;&gt;"",$A228&lt;Parameters!$B$14),CityData!F6*(1+TAXRATE),0)</f>
        <v>0</v>
      </c>
      <c r="AF228" s="14" t="n">
        <f aca="false">IF($A228="",0,IFERROR(VLOOKUP((YEAR($A228)+IF(MONTH($A228)&gt;=10,1,0))&amp;"|Phoenix|"&amp;MONTH($A228),Rates!$A$2:$I$181,5,FALSE()),0))</f>
        <v>0</v>
      </c>
      <c r="AG228" s="14" t="n">
        <f aca="false">IF(OR($A228="",$A228&gt;=Parameters!$B$14),1,IF(AND(AF228&gt;0,CityData!F6&lt;=AF228),1,0))</f>
        <v>1</v>
      </c>
      <c r="AH228" s="14" t="n">
        <f aca="false">IF($A228="",0,IFERROR(VLOOKUP((YEAR($A228)+IF(MONTH($A228)&gt;=10,1,0))&amp;"|Seattle|"&amp;MONTH($A228),Rates!$A$2:$I$181,6,FALSE()),0))</f>
        <v>0</v>
      </c>
      <c r="AI228" s="14" t="n">
        <f aca="false">IF(AH228=0,0,VLOOKUP(AH228,MIE_Components!$A$2:$F$6,2,FALSE()))</f>
        <v>0</v>
      </c>
      <c r="AJ228" s="14" t="n">
        <f aca="false">IF(AH228=0,0,VLOOKUP(AH228,MIE_Components!$A$2:$F$6,3,FALSE()))</f>
        <v>0</v>
      </c>
      <c r="AK228" s="14" t="n">
        <f aca="false">IF(AH228=0,0,VLOOKUP(AH228,MIE_Components!$A$2:$F$6,4,FALSE()))</f>
        <v>0</v>
      </c>
      <c r="AL228" s="14" t="n">
        <f aca="false">IF(OR($A228="",AH228=0),0,MAX(5,AH228*IF(OR($A228=Parameters!$B$13,$A228=Parameters!$B$14),0.75,1)-(IF(AND($A228=DATE(2026,11,29),NOV29BF="Yes"),AI228,0)+IF(OR($A228=DATE(2026,11,29),$A228=DATE(2026,11,30),$A228=DATE(2026,12,1),$A228=DATE(2026,12,2)),AJ228,0)+IF(OR($A228=DATE(2026,11,28),$A228=DATE(2026,12,1)),AK228,0))))</f>
        <v>0</v>
      </c>
      <c r="AM228" s="14" t="n">
        <f aca="false">IF(AND($A228&lt;&gt;"",$A228&lt;Parameters!$B$14),CityData!F7*(1+TAXRATE),0)</f>
        <v>0</v>
      </c>
      <c r="AN228" s="14" t="n">
        <f aca="false">IF($A228="",0,IFERROR(VLOOKUP((YEAR($A228)+IF(MONTH($A228)&gt;=10,1,0))&amp;"|Seattle|"&amp;MONTH($A228),Rates!$A$2:$I$181,5,FALSE()),0))</f>
        <v>0</v>
      </c>
      <c r="AO228" s="14" t="n">
        <f aca="false">IF(OR($A228="",$A228&gt;=Parameters!$B$14),1,IF(AND(AN228&gt;0,CityData!F7&lt;=AN228),1,0))</f>
        <v>1</v>
      </c>
    </row>
    <row r="229" customFormat="false" ht="15" hidden="false" customHeight="true" outlineLevel="0" collapsed="false">
      <c r="A229" s="23" t="str">
        <f aca="false">IF(AND(Parameters!$B$14&gt;=Parameters!$B$13,ROW()-2&lt;=Parameters!$B$14-Parameters!$B$13),Parameters!$B$13+ROW()-2,"")</f>
        <v/>
      </c>
      <c r="B229" s="14" t="n">
        <f aca="false">IF($A229="",0,IFERROR(VLOOKUP((YEAR($A229)+IF(MONTH($A229)&gt;=10,1,0))&amp;"|Boston|"&amp;MONTH($A229),Rates!$A$2:$I$181,6,FALSE()),0))</f>
        <v>0</v>
      </c>
      <c r="C229" s="14" t="n">
        <f aca="false">IF(B229=0,0,VLOOKUP(B229,MIE_Components!$A$2:$F$6,2,FALSE()))</f>
        <v>0</v>
      </c>
      <c r="D229" s="14" t="n">
        <f aca="false">IF(B229=0,0,VLOOKUP(B229,MIE_Components!$A$2:$F$6,3,FALSE()))</f>
        <v>0</v>
      </c>
      <c r="E229" s="14" t="n">
        <f aca="false">IF(B229=0,0,VLOOKUP(B229,MIE_Components!$A$2:$F$6,4,FALSE()))</f>
        <v>0</v>
      </c>
      <c r="F229" s="14" t="n">
        <f aca="false">IF(OR($A229="",B229=0),0,MAX(5,B229*IF(OR($A229=Parameters!$B$13,$A229=Parameters!$B$14),0.75,1)-(IF(AND($A229=DATE(2026,11,29),NOV29BF="Yes"),C229,0)+IF(OR($A229=DATE(2026,11,29),$A229=DATE(2026,11,30),$A229=DATE(2026,12,1),$A229=DATE(2026,12,2)),D229,0)+IF(OR($A229=DATE(2026,11,28),$A229=DATE(2026,12,1)),E229,0))))</f>
        <v>0</v>
      </c>
      <c r="G229" s="14" t="n">
        <f aca="false">IF(AND($A229&lt;&gt;"",$A229&lt;Parameters!$B$14),CityData!F3*(1+TAXRATE),0)</f>
        <v>0</v>
      </c>
      <c r="H229" s="14" t="n">
        <f aca="false">IF($A229="",0,IFERROR(VLOOKUP((YEAR($A229)+IF(MONTH($A229)&gt;=10,1,0))&amp;"|Boston|"&amp;MONTH($A229),Rates!$A$2:$I$181,5,FALSE()),0))</f>
        <v>0</v>
      </c>
      <c r="I229" s="14" t="n">
        <f aca="false">IF(OR($A229="",$A229&gt;=Parameters!$B$14),1,IF(AND(H229&gt;0,CityData!F3&lt;=H229),1,0))</f>
        <v>1</v>
      </c>
      <c r="J229" s="14" t="n">
        <f aca="false">IF($A229="",0,IFERROR(VLOOKUP((YEAR($A229)+IF(MONTH($A229)&gt;=10,1,0))&amp;"|Chicago|"&amp;MONTH($A229),Rates!$A$2:$I$181,6,FALSE()),0))</f>
        <v>0</v>
      </c>
      <c r="K229" s="14" t="n">
        <f aca="false">IF(J229=0,0,VLOOKUP(J229,MIE_Components!$A$2:$F$6,2,FALSE()))</f>
        <v>0</v>
      </c>
      <c r="L229" s="14" t="n">
        <f aca="false">IF(J229=0,0,VLOOKUP(J229,MIE_Components!$A$2:$F$6,3,FALSE()))</f>
        <v>0</v>
      </c>
      <c r="M229" s="14" t="n">
        <f aca="false">IF(J229=0,0,VLOOKUP(J229,MIE_Components!$A$2:$F$6,4,FALSE()))</f>
        <v>0</v>
      </c>
      <c r="N229" s="14" t="n">
        <f aca="false">IF(OR($A229="",J229=0),0,MAX(5,J229*IF(OR($A229=Parameters!$B$13,$A229=Parameters!$B$14),0.75,1)-(IF(AND($A229=DATE(2026,11,29),NOV29BF="Yes"),K229,0)+IF(OR($A229=DATE(2026,11,29),$A229=DATE(2026,11,30),$A229=DATE(2026,12,1),$A229=DATE(2026,12,2)),L229,0)+IF(OR($A229=DATE(2026,11,28),$A229=DATE(2026,12,1)),M229,0))))</f>
        <v>0</v>
      </c>
      <c r="O229" s="14" t="n">
        <f aca="false">IF(AND($A229&lt;&gt;"",$A229&lt;Parameters!$B$14),CityData!F4*(1+TAXRATE),0)</f>
        <v>0</v>
      </c>
      <c r="P229" s="14" t="n">
        <f aca="false">IF($A229="",0,IFERROR(VLOOKUP((YEAR($A229)+IF(MONTH($A229)&gt;=10,1,0))&amp;"|Chicago|"&amp;MONTH($A229),Rates!$A$2:$I$181,5,FALSE()),0))</f>
        <v>0</v>
      </c>
      <c r="Q229" s="14" t="n">
        <f aca="false">IF(OR($A229="",$A229&gt;=Parameters!$B$14),1,IF(AND(P229&gt;0,CityData!F4&lt;=P229),1,0))</f>
        <v>1</v>
      </c>
      <c r="R229" s="14" t="n">
        <f aca="false">IF($A229="",0,IFERROR(VLOOKUP((YEAR($A229)+IF(MONTH($A229)&gt;=10,1,0))&amp;"|Denver|"&amp;MONTH($A229),Rates!$A$2:$I$181,6,FALSE()),0))</f>
        <v>0</v>
      </c>
      <c r="S229" s="14" t="n">
        <f aca="false">IF(R229=0,0,VLOOKUP(R229,MIE_Components!$A$2:$F$6,2,FALSE()))</f>
        <v>0</v>
      </c>
      <c r="T229" s="14" t="n">
        <f aca="false">IF(R229=0,0,VLOOKUP(R229,MIE_Components!$A$2:$F$6,3,FALSE()))</f>
        <v>0</v>
      </c>
      <c r="U229" s="14" t="n">
        <f aca="false">IF(R229=0,0,VLOOKUP(R229,MIE_Components!$A$2:$F$6,4,FALSE()))</f>
        <v>0</v>
      </c>
      <c r="V229" s="14" t="n">
        <f aca="false">IF(OR($A229="",R229=0),0,MAX(5,R229*IF(OR($A229=Parameters!$B$13,$A229=Parameters!$B$14),0.75,1)-(IF(AND($A229=DATE(2026,11,29),NOV29BF="Yes"),S229,0)+IF(OR($A229=DATE(2026,11,29),$A229=DATE(2026,11,30),$A229=DATE(2026,12,1),$A229=DATE(2026,12,2)),T229,0)+IF(OR($A229=DATE(2026,11,28),$A229=DATE(2026,12,1)),U229,0))))</f>
        <v>0</v>
      </c>
      <c r="W229" s="14" t="n">
        <f aca="false">IF(AND($A229&lt;&gt;"",$A229&lt;Parameters!$B$14),CityData!F5*(1+TAXRATE),0)</f>
        <v>0</v>
      </c>
      <c r="X229" s="14" t="n">
        <f aca="false">IF($A229="",0,IFERROR(VLOOKUP((YEAR($A229)+IF(MONTH($A229)&gt;=10,1,0))&amp;"|Denver|"&amp;MONTH($A229),Rates!$A$2:$I$181,5,FALSE()),0))</f>
        <v>0</v>
      </c>
      <c r="Y229" s="14" t="n">
        <f aca="false">IF(OR($A229="",$A229&gt;=Parameters!$B$14),1,IF(AND(X229&gt;0,CityData!F5&lt;=X229),1,0))</f>
        <v>1</v>
      </c>
      <c r="Z229" s="14" t="n">
        <f aca="false">IF($A229="",0,IFERROR(VLOOKUP((YEAR($A229)+IF(MONTH($A229)&gt;=10,1,0))&amp;"|Phoenix|"&amp;MONTH($A229),Rates!$A$2:$I$181,6,FALSE()),0))</f>
        <v>0</v>
      </c>
      <c r="AA229" s="14" t="n">
        <f aca="false">IF(Z229=0,0,VLOOKUP(Z229,MIE_Components!$A$2:$F$6,2,FALSE()))</f>
        <v>0</v>
      </c>
      <c r="AB229" s="14" t="n">
        <f aca="false">IF(Z229=0,0,VLOOKUP(Z229,MIE_Components!$A$2:$F$6,3,FALSE()))</f>
        <v>0</v>
      </c>
      <c r="AC229" s="14" t="n">
        <f aca="false">IF(Z229=0,0,VLOOKUP(Z229,MIE_Components!$A$2:$F$6,4,FALSE()))</f>
        <v>0</v>
      </c>
      <c r="AD229" s="14" t="n">
        <f aca="false">IF(OR($A229="",Z229=0),0,MAX(5,Z229*IF(OR($A229=Parameters!$B$13,$A229=Parameters!$B$14),0.75,1)-(IF(AND($A229=DATE(2026,11,29),NOV29BF="Yes"),AA229,0)+IF(OR($A229=DATE(2026,11,29),$A229=DATE(2026,11,30),$A229=DATE(2026,12,1),$A229=DATE(2026,12,2)),AB229,0)+IF(OR($A229=DATE(2026,11,28),$A229=DATE(2026,12,1)),AC229,0))))</f>
        <v>0</v>
      </c>
      <c r="AE229" s="14" t="n">
        <f aca="false">IF(AND($A229&lt;&gt;"",$A229&lt;Parameters!$B$14),CityData!F6*(1+TAXRATE),0)</f>
        <v>0</v>
      </c>
      <c r="AF229" s="14" t="n">
        <f aca="false">IF($A229="",0,IFERROR(VLOOKUP((YEAR($A229)+IF(MONTH($A229)&gt;=10,1,0))&amp;"|Phoenix|"&amp;MONTH($A229),Rates!$A$2:$I$181,5,FALSE()),0))</f>
        <v>0</v>
      </c>
      <c r="AG229" s="14" t="n">
        <f aca="false">IF(OR($A229="",$A229&gt;=Parameters!$B$14),1,IF(AND(AF229&gt;0,CityData!F6&lt;=AF229),1,0))</f>
        <v>1</v>
      </c>
      <c r="AH229" s="14" t="n">
        <f aca="false">IF($A229="",0,IFERROR(VLOOKUP((YEAR($A229)+IF(MONTH($A229)&gt;=10,1,0))&amp;"|Seattle|"&amp;MONTH($A229),Rates!$A$2:$I$181,6,FALSE()),0))</f>
        <v>0</v>
      </c>
      <c r="AI229" s="14" t="n">
        <f aca="false">IF(AH229=0,0,VLOOKUP(AH229,MIE_Components!$A$2:$F$6,2,FALSE()))</f>
        <v>0</v>
      </c>
      <c r="AJ229" s="14" t="n">
        <f aca="false">IF(AH229=0,0,VLOOKUP(AH229,MIE_Components!$A$2:$F$6,3,FALSE()))</f>
        <v>0</v>
      </c>
      <c r="AK229" s="14" t="n">
        <f aca="false">IF(AH229=0,0,VLOOKUP(AH229,MIE_Components!$A$2:$F$6,4,FALSE()))</f>
        <v>0</v>
      </c>
      <c r="AL229" s="14" t="n">
        <f aca="false">IF(OR($A229="",AH229=0),0,MAX(5,AH229*IF(OR($A229=Parameters!$B$13,$A229=Parameters!$B$14),0.75,1)-(IF(AND($A229=DATE(2026,11,29),NOV29BF="Yes"),AI229,0)+IF(OR($A229=DATE(2026,11,29),$A229=DATE(2026,11,30),$A229=DATE(2026,12,1),$A229=DATE(2026,12,2)),AJ229,0)+IF(OR($A229=DATE(2026,11,28),$A229=DATE(2026,12,1)),AK229,0))))</f>
        <v>0</v>
      </c>
      <c r="AM229" s="14" t="n">
        <f aca="false">IF(AND($A229&lt;&gt;"",$A229&lt;Parameters!$B$14),CityData!F7*(1+TAXRATE),0)</f>
        <v>0</v>
      </c>
      <c r="AN229" s="14" t="n">
        <f aca="false">IF($A229="",0,IFERROR(VLOOKUP((YEAR($A229)+IF(MONTH($A229)&gt;=10,1,0))&amp;"|Seattle|"&amp;MONTH($A229),Rates!$A$2:$I$181,5,FALSE()),0))</f>
        <v>0</v>
      </c>
      <c r="AO229" s="14" t="n">
        <f aca="false">IF(OR($A229="",$A229&gt;=Parameters!$B$14),1,IF(AND(AN229&gt;0,CityData!F7&lt;=AN229),1,0))</f>
        <v>1</v>
      </c>
    </row>
    <row r="230" customFormat="false" ht="15" hidden="false" customHeight="true" outlineLevel="0" collapsed="false">
      <c r="A230" s="23" t="str">
        <f aca="false">IF(AND(Parameters!$B$14&gt;=Parameters!$B$13,ROW()-2&lt;=Parameters!$B$14-Parameters!$B$13),Parameters!$B$13+ROW()-2,"")</f>
        <v/>
      </c>
      <c r="B230" s="14" t="n">
        <f aca="false">IF($A230="",0,IFERROR(VLOOKUP((YEAR($A230)+IF(MONTH($A230)&gt;=10,1,0))&amp;"|Boston|"&amp;MONTH($A230),Rates!$A$2:$I$181,6,FALSE()),0))</f>
        <v>0</v>
      </c>
      <c r="C230" s="14" t="n">
        <f aca="false">IF(B230=0,0,VLOOKUP(B230,MIE_Components!$A$2:$F$6,2,FALSE()))</f>
        <v>0</v>
      </c>
      <c r="D230" s="14" t="n">
        <f aca="false">IF(B230=0,0,VLOOKUP(B230,MIE_Components!$A$2:$F$6,3,FALSE()))</f>
        <v>0</v>
      </c>
      <c r="E230" s="14" t="n">
        <f aca="false">IF(B230=0,0,VLOOKUP(B230,MIE_Components!$A$2:$F$6,4,FALSE()))</f>
        <v>0</v>
      </c>
      <c r="F230" s="14" t="n">
        <f aca="false">IF(OR($A230="",B230=0),0,MAX(5,B230*IF(OR($A230=Parameters!$B$13,$A230=Parameters!$B$14),0.75,1)-(IF(AND($A230=DATE(2026,11,29),NOV29BF="Yes"),C230,0)+IF(OR($A230=DATE(2026,11,29),$A230=DATE(2026,11,30),$A230=DATE(2026,12,1),$A230=DATE(2026,12,2)),D230,0)+IF(OR($A230=DATE(2026,11,28),$A230=DATE(2026,12,1)),E230,0))))</f>
        <v>0</v>
      </c>
      <c r="G230" s="14" t="n">
        <f aca="false">IF(AND($A230&lt;&gt;"",$A230&lt;Parameters!$B$14),CityData!F3*(1+TAXRATE),0)</f>
        <v>0</v>
      </c>
      <c r="H230" s="14" t="n">
        <f aca="false">IF($A230="",0,IFERROR(VLOOKUP((YEAR($A230)+IF(MONTH($A230)&gt;=10,1,0))&amp;"|Boston|"&amp;MONTH($A230),Rates!$A$2:$I$181,5,FALSE()),0))</f>
        <v>0</v>
      </c>
      <c r="I230" s="14" t="n">
        <f aca="false">IF(OR($A230="",$A230&gt;=Parameters!$B$14),1,IF(AND(H230&gt;0,CityData!F3&lt;=H230),1,0))</f>
        <v>1</v>
      </c>
      <c r="J230" s="14" t="n">
        <f aca="false">IF($A230="",0,IFERROR(VLOOKUP((YEAR($A230)+IF(MONTH($A230)&gt;=10,1,0))&amp;"|Chicago|"&amp;MONTH($A230),Rates!$A$2:$I$181,6,FALSE()),0))</f>
        <v>0</v>
      </c>
      <c r="K230" s="14" t="n">
        <f aca="false">IF(J230=0,0,VLOOKUP(J230,MIE_Components!$A$2:$F$6,2,FALSE()))</f>
        <v>0</v>
      </c>
      <c r="L230" s="14" t="n">
        <f aca="false">IF(J230=0,0,VLOOKUP(J230,MIE_Components!$A$2:$F$6,3,FALSE()))</f>
        <v>0</v>
      </c>
      <c r="M230" s="14" t="n">
        <f aca="false">IF(J230=0,0,VLOOKUP(J230,MIE_Components!$A$2:$F$6,4,FALSE()))</f>
        <v>0</v>
      </c>
      <c r="N230" s="14" t="n">
        <f aca="false">IF(OR($A230="",J230=0),0,MAX(5,J230*IF(OR($A230=Parameters!$B$13,$A230=Parameters!$B$14),0.75,1)-(IF(AND($A230=DATE(2026,11,29),NOV29BF="Yes"),K230,0)+IF(OR($A230=DATE(2026,11,29),$A230=DATE(2026,11,30),$A230=DATE(2026,12,1),$A230=DATE(2026,12,2)),L230,0)+IF(OR($A230=DATE(2026,11,28),$A230=DATE(2026,12,1)),M230,0))))</f>
        <v>0</v>
      </c>
      <c r="O230" s="14" t="n">
        <f aca="false">IF(AND($A230&lt;&gt;"",$A230&lt;Parameters!$B$14),CityData!F4*(1+TAXRATE),0)</f>
        <v>0</v>
      </c>
      <c r="P230" s="14" t="n">
        <f aca="false">IF($A230="",0,IFERROR(VLOOKUP((YEAR($A230)+IF(MONTH($A230)&gt;=10,1,0))&amp;"|Chicago|"&amp;MONTH($A230),Rates!$A$2:$I$181,5,FALSE()),0))</f>
        <v>0</v>
      </c>
      <c r="Q230" s="14" t="n">
        <f aca="false">IF(OR($A230="",$A230&gt;=Parameters!$B$14),1,IF(AND(P230&gt;0,CityData!F4&lt;=P230),1,0))</f>
        <v>1</v>
      </c>
      <c r="R230" s="14" t="n">
        <f aca="false">IF($A230="",0,IFERROR(VLOOKUP((YEAR($A230)+IF(MONTH($A230)&gt;=10,1,0))&amp;"|Denver|"&amp;MONTH($A230),Rates!$A$2:$I$181,6,FALSE()),0))</f>
        <v>0</v>
      </c>
      <c r="S230" s="14" t="n">
        <f aca="false">IF(R230=0,0,VLOOKUP(R230,MIE_Components!$A$2:$F$6,2,FALSE()))</f>
        <v>0</v>
      </c>
      <c r="T230" s="14" t="n">
        <f aca="false">IF(R230=0,0,VLOOKUP(R230,MIE_Components!$A$2:$F$6,3,FALSE()))</f>
        <v>0</v>
      </c>
      <c r="U230" s="14" t="n">
        <f aca="false">IF(R230=0,0,VLOOKUP(R230,MIE_Components!$A$2:$F$6,4,FALSE()))</f>
        <v>0</v>
      </c>
      <c r="V230" s="14" t="n">
        <f aca="false">IF(OR($A230="",R230=0),0,MAX(5,R230*IF(OR($A230=Parameters!$B$13,$A230=Parameters!$B$14),0.75,1)-(IF(AND($A230=DATE(2026,11,29),NOV29BF="Yes"),S230,0)+IF(OR($A230=DATE(2026,11,29),$A230=DATE(2026,11,30),$A230=DATE(2026,12,1),$A230=DATE(2026,12,2)),T230,0)+IF(OR($A230=DATE(2026,11,28),$A230=DATE(2026,12,1)),U230,0))))</f>
        <v>0</v>
      </c>
      <c r="W230" s="14" t="n">
        <f aca="false">IF(AND($A230&lt;&gt;"",$A230&lt;Parameters!$B$14),CityData!F5*(1+TAXRATE),0)</f>
        <v>0</v>
      </c>
      <c r="X230" s="14" t="n">
        <f aca="false">IF($A230="",0,IFERROR(VLOOKUP((YEAR($A230)+IF(MONTH($A230)&gt;=10,1,0))&amp;"|Denver|"&amp;MONTH($A230),Rates!$A$2:$I$181,5,FALSE()),0))</f>
        <v>0</v>
      </c>
      <c r="Y230" s="14" t="n">
        <f aca="false">IF(OR($A230="",$A230&gt;=Parameters!$B$14),1,IF(AND(X230&gt;0,CityData!F5&lt;=X230),1,0))</f>
        <v>1</v>
      </c>
      <c r="Z230" s="14" t="n">
        <f aca="false">IF($A230="",0,IFERROR(VLOOKUP((YEAR($A230)+IF(MONTH($A230)&gt;=10,1,0))&amp;"|Phoenix|"&amp;MONTH($A230),Rates!$A$2:$I$181,6,FALSE()),0))</f>
        <v>0</v>
      </c>
      <c r="AA230" s="14" t="n">
        <f aca="false">IF(Z230=0,0,VLOOKUP(Z230,MIE_Components!$A$2:$F$6,2,FALSE()))</f>
        <v>0</v>
      </c>
      <c r="AB230" s="14" t="n">
        <f aca="false">IF(Z230=0,0,VLOOKUP(Z230,MIE_Components!$A$2:$F$6,3,FALSE()))</f>
        <v>0</v>
      </c>
      <c r="AC230" s="14" t="n">
        <f aca="false">IF(Z230=0,0,VLOOKUP(Z230,MIE_Components!$A$2:$F$6,4,FALSE()))</f>
        <v>0</v>
      </c>
      <c r="AD230" s="14" t="n">
        <f aca="false">IF(OR($A230="",Z230=0),0,MAX(5,Z230*IF(OR($A230=Parameters!$B$13,$A230=Parameters!$B$14),0.75,1)-(IF(AND($A230=DATE(2026,11,29),NOV29BF="Yes"),AA230,0)+IF(OR($A230=DATE(2026,11,29),$A230=DATE(2026,11,30),$A230=DATE(2026,12,1),$A230=DATE(2026,12,2)),AB230,0)+IF(OR($A230=DATE(2026,11,28),$A230=DATE(2026,12,1)),AC230,0))))</f>
        <v>0</v>
      </c>
      <c r="AE230" s="14" t="n">
        <f aca="false">IF(AND($A230&lt;&gt;"",$A230&lt;Parameters!$B$14),CityData!F6*(1+TAXRATE),0)</f>
        <v>0</v>
      </c>
      <c r="AF230" s="14" t="n">
        <f aca="false">IF($A230="",0,IFERROR(VLOOKUP((YEAR($A230)+IF(MONTH($A230)&gt;=10,1,0))&amp;"|Phoenix|"&amp;MONTH($A230),Rates!$A$2:$I$181,5,FALSE()),0))</f>
        <v>0</v>
      </c>
      <c r="AG230" s="14" t="n">
        <f aca="false">IF(OR($A230="",$A230&gt;=Parameters!$B$14),1,IF(AND(AF230&gt;0,CityData!F6&lt;=AF230),1,0))</f>
        <v>1</v>
      </c>
      <c r="AH230" s="14" t="n">
        <f aca="false">IF($A230="",0,IFERROR(VLOOKUP((YEAR($A230)+IF(MONTH($A230)&gt;=10,1,0))&amp;"|Seattle|"&amp;MONTH($A230),Rates!$A$2:$I$181,6,FALSE()),0))</f>
        <v>0</v>
      </c>
      <c r="AI230" s="14" t="n">
        <f aca="false">IF(AH230=0,0,VLOOKUP(AH230,MIE_Components!$A$2:$F$6,2,FALSE()))</f>
        <v>0</v>
      </c>
      <c r="AJ230" s="14" t="n">
        <f aca="false">IF(AH230=0,0,VLOOKUP(AH230,MIE_Components!$A$2:$F$6,3,FALSE()))</f>
        <v>0</v>
      </c>
      <c r="AK230" s="14" t="n">
        <f aca="false">IF(AH230=0,0,VLOOKUP(AH230,MIE_Components!$A$2:$F$6,4,FALSE()))</f>
        <v>0</v>
      </c>
      <c r="AL230" s="14" t="n">
        <f aca="false">IF(OR($A230="",AH230=0),0,MAX(5,AH230*IF(OR($A230=Parameters!$B$13,$A230=Parameters!$B$14),0.75,1)-(IF(AND($A230=DATE(2026,11,29),NOV29BF="Yes"),AI230,0)+IF(OR($A230=DATE(2026,11,29),$A230=DATE(2026,11,30),$A230=DATE(2026,12,1),$A230=DATE(2026,12,2)),AJ230,0)+IF(OR($A230=DATE(2026,11,28),$A230=DATE(2026,12,1)),AK230,0))))</f>
        <v>0</v>
      </c>
      <c r="AM230" s="14" t="n">
        <f aca="false">IF(AND($A230&lt;&gt;"",$A230&lt;Parameters!$B$14),CityData!F7*(1+TAXRATE),0)</f>
        <v>0</v>
      </c>
      <c r="AN230" s="14" t="n">
        <f aca="false">IF($A230="",0,IFERROR(VLOOKUP((YEAR($A230)+IF(MONTH($A230)&gt;=10,1,0))&amp;"|Seattle|"&amp;MONTH($A230),Rates!$A$2:$I$181,5,FALSE()),0))</f>
        <v>0</v>
      </c>
      <c r="AO230" s="14" t="n">
        <f aca="false">IF(OR($A230="",$A230&gt;=Parameters!$B$14),1,IF(AND(AN230&gt;0,CityData!F7&lt;=AN230),1,0))</f>
        <v>1</v>
      </c>
    </row>
    <row r="231" customFormat="false" ht="15" hidden="false" customHeight="true" outlineLevel="0" collapsed="false">
      <c r="A231" s="23" t="str">
        <f aca="false">IF(AND(Parameters!$B$14&gt;=Parameters!$B$13,ROW()-2&lt;=Parameters!$B$14-Parameters!$B$13),Parameters!$B$13+ROW()-2,"")</f>
        <v/>
      </c>
      <c r="B231" s="14" t="n">
        <f aca="false">IF($A231="",0,IFERROR(VLOOKUP((YEAR($A231)+IF(MONTH($A231)&gt;=10,1,0))&amp;"|Boston|"&amp;MONTH($A231),Rates!$A$2:$I$181,6,FALSE()),0))</f>
        <v>0</v>
      </c>
      <c r="C231" s="14" t="n">
        <f aca="false">IF(B231=0,0,VLOOKUP(B231,MIE_Components!$A$2:$F$6,2,FALSE()))</f>
        <v>0</v>
      </c>
      <c r="D231" s="14" t="n">
        <f aca="false">IF(B231=0,0,VLOOKUP(B231,MIE_Components!$A$2:$F$6,3,FALSE()))</f>
        <v>0</v>
      </c>
      <c r="E231" s="14" t="n">
        <f aca="false">IF(B231=0,0,VLOOKUP(B231,MIE_Components!$A$2:$F$6,4,FALSE()))</f>
        <v>0</v>
      </c>
      <c r="F231" s="14" t="n">
        <f aca="false">IF(OR($A231="",B231=0),0,MAX(5,B231*IF(OR($A231=Parameters!$B$13,$A231=Parameters!$B$14),0.75,1)-(IF(AND($A231=DATE(2026,11,29),NOV29BF="Yes"),C231,0)+IF(OR($A231=DATE(2026,11,29),$A231=DATE(2026,11,30),$A231=DATE(2026,12,1),$A231=DATE(2026,12,2)),D231,0)+IF(OR($A231=DATE(2026,11,28),$A231=DATE(2026,12,1)),E231,0))))</f>
        <v>0</v>
      </c>
      <c r="G231" s="14" t="n">
        <f aca="false">IF(AND($A231&lt;&gt;"",$A231&lt;Parameters!$B$14),CityData!F3*(1+TAXRATE),0)</f>
        <v>0</v>
      </c>
      <c r="H231" s="14" t="n">
        <f aca="false">IF($A231="",0,IFERROR(VLOOKUP((YEAR($A231)+IF(MONTH($A231)&gt;=10,1,0))&amp;"|Boston|"&amp;MONTH($A231),Rates!$A$2:$I$181,5,FALSE()),0))</f>
        <v>0</v>
      </c>
      <c r="I231" s="14" t="n">
        <f aca="false">IF(OR($A231="",$A231&gt;=Parameters!$B$14),1,IF(AND(H231&gt;0,CityData!F3&lt;=H231),1,0))</f>
        <v>1</v>
      </c>
      <c r="J231" s="14" t="n">
        <f aca="false">IF($A231="",0,IFERROR(VLOOKUP((YEAR($A231)+IF(MONTH($A231)&gt;=10,1,0))&amp;"|Chicago|"&amp;MONTH($A231),Rates!$A$2:$I$181,6,FALSE()),0))</f>
        <v>0</v>
      </c>
      <c r="K231" s="14" t="n">
        <f aca="false">IF(J231=0,0,VLOOKUP(J231,MIE_Components!$A$2:$F$6,2,FALSE()))</f>
        <v>0</v>
      </c>
      <c r="L231" s="14" t="n">
        <f aca="false">IF(J231=0,0,VLOOKUP(J231,MIE_Components!$A$2:$F$6,3,FALSE()))</f>
        <v>0</v>
      </c>
      <c r="M231" s="14" t="n">
        <f aca="false">IF(J231=0,0,VLOOKUP(J231,MIE_Components!$A$2:$F$6,4,FALSE()))</f>
        <v>0</v>
      </c>
      <c r="N231" s="14" t="n">
        <f aca="false">IF(OR($A231="",J231=0),0,MAX(5,J231*IF(OR($A231=Parameters!$B$13,$A231=Parameters!$B$14),0.75,1)-(IF(AND($A231=DATE(2026,11,29),NOV29BF="Yes"),K231,0)+IF(OR($A231=DATE(2026,11,29),$A231=DATE(2026,11,30),$A231=DATE(2026,12,1),$A231=DATE(2026,12,2)),L231,0)+IF(OR($A231=DATE(2026,11,28),$A231=DATE(2026,12,1)),M231,0))))</f>
        <v>0</v>
      </c>
      <c r="O231" s="14" t="n">
        <f aca="false">IF(AND($A231&lt;&gt;"",$A231&lt;Parameters!$B$14),CityData!F4*(1+TAXRATE),0)</f>
        <v>0</v>
      </c>
      <c r="P231" s="14" t="n">
        <f aca="false">IF($A231="",0,IFERROR(VLOOKUP((YEAR($A231)+IF(MONTH($A231)&gt;=10,1,0))&amp;"|Chicago|"&amp;MONTH($A231),Rates!$A$2:$I$181,5,FALSE()),0))</f>
        <v>0</v>
      </c>
      <c r="Q231" s="14" t="n">
        <f aca="false">IF(OR($A231="",$A231&gt;=Parameters!$B$14),1,IF(AND(P231&gt;0,CityData!F4&lt;=P231),1,0))</f>
        <v>1</v>
      </c>
      <c r="R231" s="14" t="n">
        <f aca="false">IF($A231="",0,IFERROR(VLOOKUP((YEAR($A231)+IF(MONTH($A231)&gt;=10,1,0))&amp;"|Denver|"&amp;MONTH($A231),Rates!$A$2:$I$181,6,FALSE()),0))</f>
        <v>0</v>
      </c>
      <c r="S231" s="14" t="n">
        <f aca="false">IF(R231=0,0,VLOOKUP(R231,MIE_Components!$A$2:$F$6,2,FALSE()))</f>
        <v>0</v>
      </c>
      <c r="T231" s="14" t="n">
        <f aca="false">IF(R231=0,0,VLOOKUP(R231,MIE_Components!$A$2:$F$6,3,FALSE()))</f>
        <v>0</v>
      </c>
      <c r="U231" s="14" t="n">
        <f aca="false">IF(R231=0,0,VLOOKUP(R231,MIE_Components!$A$2:$F$6,4,FALSE()))</f>
        <v>0</v>
      </c>
      <c r="V231" s="14" t="n">
        <f aca="false">IF(OR($A231="",R231=0),0,MAX(5,R231*IF(OR($A231=Parameters!$B$13,$A231=Parameters!$B$14),0.75,1)-(IF(AND($A231=DATE(2026,11,29),NOV29BF="Yes"),S231,0)+IF(OR($A231=DATE(2026,11,29),$A231=DATE(2026,11,30),$A231=DATE(2026,12,1),$A231=DATE(2026,12,2)),T231,0)+IF(OR($A231=DATE(2026,11,28),$A231=DATE(2026,12,1)),U231,0))))</f>
        <v>0</v>
      </c>
      <c r="W231" s="14" t="n">
        <f aca="false">IF(AND($A231&lt;&gt;"",$A231&lt;Parameters!$B$14),CityData!F5*(1+TAXRATE),0)</f>
        <v>0</v>
      </c>
      <c r="X231" s="14" t="n">
        <f aca="false">IF($A231="",0,IFERROR(VLOOKUP((YEAR($A231)+IF(MONTH($A231)&gt;=10,1,0))&amp;"|Denver|"&amp;MONTH($A231),Rates!$A$2:$I$181,5,FALSE()),0))</f>
        <v>0</v>
      </c>
      <c r="Y231" s="14" t="n">
        <f aca="false">IF(OR($A231="",$A231&gt;=Parameters!$B$14),1,IF(AND(X231&gt;0,CityData!F5&lt;=X231),1,0))</f>
        <v>1</v>
      </c>
      <c r="Z231" s="14" t="n">
        <f aca="false">IF($A231="",0,IFERROR(VLOOKUP((YEAR($A231)+IF(MONTH($A231)&gt;=10,1,0))&amp;"|Phoenix|"&amp;MONTH($A231),Rates!$A$2:$I$181,6,FALSE()),0))</f>
        <v>0</v>
      </c>
      <c r="AA231" s="14" t="n">
        <f aca="false">IF(Z231=0,0,VLOOKUP(Z231,MIE_Components!$A$2:$F$6,2,FALSE()))</f>
        <v>0</v>
      </c>
      <c r="AB231" s="14" t="n">
        <f aca="false">IF(Z231=0,0,VLOOKUP(Z231,MIE_Components!$A$2:$F$6,3,FALSE()))</f>
        <v>0</v>
      </c>
      <c r="AC231" s="14" t="n">
        <f aca="false">IF(Z231=0,0,VLOOKUP(Z231,MIE_Components!$A$2:$F$6,4,FALSE()))</f>
        <v>0</v>
      </c>
      <c r="AD231" s="14" t="n">
        <f aca="false">IF(OR($A231="",Z231=0),0,MAX(5,Z231*IF(OR($A231=Parameters!$B$13,$A231=Parameters!$B$14),0.75,1)-(IF(AND($A231=DATE(2026,11,29),NOV29BF="Yes"),AA231,0)+IF(OR($A231=DATE(2026,11,29),$A231=DATE(2026,11,30),$A231=DATE(2026,12,1),$A231=DATE(2026,12,2)),AB231,0)+IF(OR($A231=DATE(2026,11,28),$A231=DATE(2026,12,1)),AC231,0))))</f>
        <v>0</v>
      </c>
      <c r="AE231" s="14" t="n">
        <f aca="false">IF(AND($A231&lt;&gt;"",$A231&lt;Parameters!$B$14),CityData!F6*(1+TAXRATE),0)</f>
        <v>0</v>
      </c>
      <c r="AF231" s="14" t="n">
        <f aca="false">IF($A231="",0,IFERROR(VLOOKUP((YEAR($A231)+IF(MONTH($A231)&gt;=10,1,0))&amp;"|Phoenix|"&amp;MONTH($A231),Rates!$A$2:$I$181,5,FALSE()),0))</f>
        <v>0</v>
      </c>
      <c r="AG231" s="14" t="n">
        <f aca="false">IF(OR($A231="",$A231&gt;=Parameters!$B$14),1,IF(AND(AF231&gt;0,CityData!F6&lt;=AF231),1,0))</f>
        <v>1</v>
      </c>
      <c r="AH231" s="14" t="n">
        <f aca="false">IF($A231="",0,IFERROR(VLOOKUP((YEAR($A231)+IF(MONTH($A231)&gt;=10,1,0))&amp;"|Seattle|"&amp;MONTH($A231),Rates!$A$2:$I$181,6,FALSE()),0))</f>
        <v>0</v>
      </c>
      <c r="AI231" s="14" t="n">
        <f aca="false">IF(AH231=0,0,VLOOKUP(AH231,MIE_Components!$A$2:$F$6,2,FALSE()))</f>
        <v>0</v>
      </c>
      <c r="AJ231" s="14" t="n">
        <f aca="false">IF(AH231=0,0,VLOOKUP(AH231,MIE_Components!$A$2:$F$6,3,FALSE()))</f>
        <v>0</v>
      </c>
      <c r="AK231" s="14" t="n">
        <f aca="false">IF(AH231=0,0,VLOOKUP(AH231,MIE_Components!$A$2:$F$6,4,FALSE()))</f>
        <v>0</v>
      </c>
      <c r="AL231" s="14" t="n">
        <f aca="false">IF(OR($A231="",AH231=0),0,MAX(5,AH231*IF(OR($A231=Parameters!$B$13,$A231=Parameters!$B$14),0.75,1)-(IF(AND($A231=DATE(2026,11,29),NOV29BF="Yes"),AI231,0)+IF(OR($A231=DATE(2026,11,29),$A231=DATE(2026,11,30),$A231=DATE(2026,12,1),$A231=DATE(2026,12,2)),AJ231,0)+IF(OR($A231=DATE(2026,11,28),$A231=DATE(2026,12,1)),AK231,0))))</f>
        <v>0</v>
      </c>
      <c r="AM231" s="14" t="n">
        <f aca="false">IF(AND($A231&lt;&gt;"",$A231&lt;Parameters!$B$14),CityData!F7*(1+TAXRATE),0)</f>
        <v>0</v>
      </c>
      <c r="AN231" s="14" t="n">
        <f aca="false">IF($A231="",0,IFERROR(VLOOKUP((YEAR($A231)+IF(MONTH($A231)&gt;=10,1,0))&amp;"|Seattle|"&amp;MONTH($A231),Rates!$A$2:$I$181,5,FALSE()),0))</f>
        <v>0</v>
      </c>
      <c r="AO231" s="14" t="n">
        <f aca="false">IF(OR($A231="",$A231&gt;=Parameters!$B$14),1,IF(AND(AN231&gt;0,CityData!F7&lt;=AN231),1,0))</f>
        <v>1</v>
      </c>
    </row>
    <row r="232" customFormat="false" ht="15" hidden="false" customHeight="true" outlineLevel="0" collapsed="false">
      <c r="A232" s="23" t="str">
        <f aca="false">IF(AND(Parameters!$B$14&gt;=Parameters!$B$13,ROW()-2&lt;=Parameters!$B$14-Parameters!$B$13),Parameters!$B$13+ROW()-2,"")</f>
        <v/>
      </c>
      <c r="B232" s="14" t="n">
        <f aca="false">IF($A232="",0,IFERROR(VLOOKUP((YEAR($A232)+IF(MONTH($A232)&gt;=10,1,0))&amp;"|Boston|"&amp;MONTH($A232),Rates!$A$2:$I$181,6,FALSE()),0))</f>
        <v>0</v>
      </c>
      <c r="C232" s="14" t="n">
        <f aca="false">IF(B232=0,0,VLOOKUP(B232,MIE_Components!$A$2:$F$6,2,FALSE()))</f>
        <v>0</v>
      </c>
      <c r="D232" s="14" t="n">
        <f aca="false">IF(B232=0,0,VLOOKUP(B232,MIE_Components!$A$2:$F$6,3,FALSE()))</f>
        <v>0</v>
      </c>
      <c r="E232" s="14" t="n">
        <f aca="false">IF(B232=0,0,VLOOKUP(B232,MIE_Components!$A$2:$F$6,4,FALSE()))</f>
        <v>0</v>
      </c>
      <c r="F232" s="14" t="n">
        <f aca="false">IF(OR($A232="",B232=0),0,MAX(5,B232*IF(OR($A232=Parameters!$B$13,$A232=Parameters!$B$14),0.75,1)-(IF(AND($A232=DATE(2026,11,29),NOV29BF="Yes"),C232,0)+IF(OR($A232=DATE(2026,11,29),$A232=DATE(2026,11,30),$A232=DATE(2026,12,1),$A232=DATE(2026,12,2)),D232,0)+IF(OR($A232=DATE(2026,11,28),$A232=DATE(2026,12,1)),E232,0))))</f>
        <v>0</v>
      </c>
      <c r="G232" s="14" t="n">
        <f aca="false">IF(AND($A232&lt;&gt;"",$A232&lt;Parameters!$B$14),CityData!F3*(1+TAXRATE),0)</f>
        <v>0</v>
      </c>
      <c r="H232" s="14" t="n">
        <f aca="false">IF($A232="",0,IFERROR(VLOOKUP((YEAR($A232)+IF(MONTH($A232)&gt;=10,1,0))&amp;"|Boston|"&amp;MONTH($A232),Rates!$A$2:$I$181,5,FALSE()),0))</f>
        <v>0</v>
      </c>
      <c r="I232" s="14" t="n">
        <f aca="false">IF(OR($A232="",$A232&gt;=Parameters!$B$14),1,IF(AND(H232&gt;0,CityData!F3&lt;=H232),1,0))</f>
        <v>1</v>
      </c>
      <c r="J232" s="14" t="n">
        <f aca="false">IF($A232="",0,IFERROR(VLOOKUP((YEAR($A232)+IF(MONTH($A232)&gt;=10,1,0))&amp;"|Chicago|"&amp;MONTH($A232),Rates!$A$2:$I$181,6,FALSE()),0))</f>
        <v>0</v>
      </c>
      <c r="K232" s="14" t="n">
        <f aca="false">IF(J232=0,0,VLOOKUP(J232,MIE_Components!$A$2:$F$6,2,FALSE()))</f>
        <v>0</v>
      </c>
      <c r="L232" s="14" t="n">
        <f aca="false">IF(J232=0,0,VLOOKUP(J232,MIE_Components!$A$2:$F$6,3,FALSE()))</f>
        <v>0</v>
      </c>
      <c r="M232" s="14" t="n">
        <f aca="false">IF(J232=0,0,VLOOKUP(J232,MIE_Components!$A$2:$F$6,4,FALSE()))</f>
        <v>0</v>
      </c>
      <c r="N232" s="14" t="n">
        <f aca="false">IF(OR($A232="",J232=0),0,MAX(5,J232*IF(OR($A232=Parameters!$B$13,$A232=Parameters!$B$14),0.75,1)-(IF(AND($A232=DATE(2026,11,29),NOV29BF="Yes"),K232,0)+IF(OR($A232=DATE(2026,11,29),$A232=DATE(2026,11,30),$A232=DATE(2026,12,1),$A232=DATE(2026,12,2)),L232,0)+IF(OR($A232=DATE(2026,11,28),$A232=DATE(2026,12,1)),M232,0))))</f>
        <v>0</v>
      </c>
      <c r="O232" s="14" t="n">
        <f aca="false">IF(AND($A232&lt;&gt;"",$A232&lt;Parameters!$B$14),CityData!F4*(1+TAXRATE),0)</f>
        <v>0</v>
      </c>
      <c r="P232" s="14" t="n">
        <f aca="false">IF($A232="",0,IFERROR(VLOOKUP((YEAR($A232)+IF(MONTH($A232)&gt;=10,1,0))&amp;"|Chicago|"&amp;MONTH($A232),Rates!$A$2:$I$181,5,FALSE()),0))</f>
        <v>0</v>
      </c>
      <c r="Q232" s="14" t="n">
        <f aca="false">IF(OR($A232="",$A232&gt;=Parameters!$B$14),1,IF(AND(P232&gt;0,CityData!F4&lt;=P232),1,0))</f>
        <v>1</v>
      </c>
      <c r="R232" s="14" t="n">
        <f aca="false">IF($A232="",0,IFERROR(VLOOKUP((YEAR($A232)+IF(MONTH($A232)&gt;=10,1,0))&amp;"|Denver|"&amp;MONTH($A232),Rates!$A$2:$I$181,6,FALSE()),0))</f>
        <v>0</v>
      </c>
      <c r="S232" s="14" t="n">
        <f aca="false">IF(R232=0,0,VLOOKUP(R232,MIE_Components!$A$2:$F$6,2,FALSE()))</f>
        <v>0</v>
      </c>
      <c r="T232" s="14" t="n">
        <f aca="false">IF(R232=0,0,VLOOKUP(R232,MIE_Components!$A$2:$F$6,3,FALSE()))</f>
        <v>0</v>
      </c>
      <c r="U232" s="14" t="n">
        <f aca="false">IF(R232=0,0,VLOOKUP(R232,MIE_Components!$A$2:$F$6,4,FALSE()))</f>
        <v>0</v>
      </c>
      <c r="V232" s="14" t="n">
        <f aca="false">IF(OR($A232="",R232=0),0,MAX(5,R232*IF(OR($A232=Parameters!$B$13,$A232=Parameters!$B$14),0.75,1)-(IF(AND($A232=DATE(2026,11,29),NOV29BF="Yes"),S232,0)+IF(OR($A232=DATE(2026,11,29),$A232=DATE(2026,11,30),$A232=DATE(2026,12,1),$A232=DATE(2026,12,2)),T232,0)+IF(OR($A232=DATE(2026,11,28),$A232=DATE(2026,12,1)),U232,0))))</f>
        <v>0</v>
      </c>
      <c r="W232" s="14" t="n">
        <f aca="false">IF(AND($A232&lt;&gt;"",$A232&lt;Parameters!$B$14),CityData!F5*(1+TAXRATE),0)</f>
        <v>0</v>
      </c>
      <c r="X232" s="14" t="n">
        <f aca="false">IF($A232="",0,IFERROR(VLOOKUP((YEAR($A232)+IF(MONTH($A232)&gt;=10,1,0))&amp;"|Denver|"&amp;MONTH($A232),Rates!$A$2:$I$181,5,FALSE()),0))</f>
        <v>0</v>
      </c>
      <c r="Y232" s="14" t="n">
        <f aca="false">IF(OR($A232="",$A232&gt;=Parameters!$B$14),1,IF(AND(X232&gt;0,CityData!F5&lt;=X232),1,0))</f>
        <v>1</v>
      </c>
      <c r="Z232" s="14" t="n">
        <f aca="false">IF($A232="",0,IFERROR(VLOOKUP((YEAR($A232)+IF(MONTH($A232)&gt;=10,1,0))&amp;"|Phoenix|"&amp;MONTH($A232),Rates!$A$2:$I$181,6,FALSE()),0))</f>
        <v>0</v>
      </c>
      <c r="AA232" s="14" t="n">
        <f aca="false">IF(Z232=0,0,VLOOKUP(Z232,MIE_Components!$A$2:$F$6,2,FALSE()))</f>
        <v>0</v>
      </c>
      <c r="AB232" s="14" t="n">
        <f aca="false">IF(Z232=0,0,VLOOKUP(Z232,MIE_Components!$A$2:$F$6,3,FALSE()))</f>
        <v>0</v>
      </c>
      <c r="AC232" s="14" t="n">
        <f aca="false">IF(Z232=0,0,VLOOKUP(Z232,MIE_Components!$A$2:$F$6,4,FALSE()))</f>
        <v>0</v>
      </c>
      <c r="AD232" s="14" t="n">
        <f aca="false">IF(OR($A232="",Z232=0),0,MAX(5,Z232*IF(OR($A232=Parameters!$B$13,$A232=Parameters!$B$14),0.75,1)-(IF(AND($A232=DATE(2026,11,29),NOV29BF="Yes"),AA232,0)+IF(OR($A232=DATE(2026,11,29),$A232=DATE(2026,11,30),$A232=DATE(2026,12,1),$A232=DATE(2026,12,2)),AB232,0)+IF(OR($A232=DATE(2026,11,28),$A232=DATE(2026,12,1)),AC232,0))))</f>
        <v>0</v>
      </c>
      <c r="AE232" s="14" t="n">
        <f aca="false">IF(AND($A232&lt;&gt;"",$A232&lt;Parameters!$B$14),CityData!F6*(1+TAXRATE),0)</f>
        <v>0</v>
      </c>
      <c r="AF232" s="14" t="n">
        <f aca="false">IF($A232="",0,IFERROR(VLOOKUP((YEAR($A232)+IF(MONTH($A232)&gt;=10,1,0))&amp;"|Phoenix|"&amp;MONTH($A232),Rates!$A$2:$I$181,5,FALSE()),0))</f>
        <v>0</v>
      </c>
      <c r="AG232" s="14" t="n">
        <f aca="false">IF(OR($A232="",$A232&gt;=Parameters!$B$14),1,IF(AND(AF232&gt;0,CityData!F6&lt;=AF232),1,0))</f>
        <v>1</v>
      </c>
      <c r="AH232" s="14" t="n">
        <f aca="false">IF($A232="",0,IFERROR(VLOOKUP((YEAR($A232)+IF(MONTH($A232)&gt;=10,1,0))&amp;"|Seattle|"&amp;MONTH($A232),Rates!$A$2:$I$181,6,FALSE()),0))</f>
        <v>0</v>
      </c>
      <c r="AI232" s="14" t="n">
        <f aca="false">IF(AH232=0,0,VLOOKUP(AH232,MIE_Components!$A$2:$F$6,2,FALSE()))</f>
        <v>0</v>
      </c>
      <c r="AJ232" s="14" t="n">
        <f aca="false">IF(AH232=0,0,VLOOKUP(AH232,MIE_Components!$A$2:$F$6,3,FALSE()))</f>
        <v>0</v>
      </c>
      <c r="AK232" s="14" t="n">
        <f aca="false">IF(AH232=0,0,VLOOKUP(AH232,MIE_Components!$A$2:$F$6,4,FALSE()))</f>
        <v>0</v>
      </c>
      <c r="AL232" s="14" t="n">
        <f aca="false">IF(OR($A232="",AH232=0),0,MAX(5,AH232*IF(OR($A232=Parameters!$B$13,$A232=Parameters!$B$14),0.75,1)-(IF(AND($A232=DATE(2026,11,29),NOV29BF="Yes"),AI232,0)+IF(OR($A232=DATE(2026,11,29),$A232=DATE(2026,11,30),$A232=DATE(2026,12,1),$A232=DATE(2026,12,2)),AJ232,0)+IF(OR($A232=DATE(2026,11,28),$A232=DATE(2026,12,1)),AK232,0))))</f>
        <v>0</v>
      </c>
      <c r="AM232" s="14" t="n">
        <f aca="false">IF(AND($A232&lt;&gt;"",$A232&lt;Parameters!$B$14),CityData!F7*(1+TAXRATE),0)</f>
        <v>0</v>
      </c>
      <c r="AN232" s="14" t="n">
        <f aca="false">IF($A232="",0,IFERROR(VLOOKUP((YEAR($A232)+IF(MONTH($A232)&gt;=10,1,0))&amp;"|Seattle|"&amp;MONTH($A232),Rates!$A$2:$I$181,5,FALSE()),0))</f>
        <v>0</v>
      </c>
      <c r="AO232" s="14" t="n">
        <f aca="false">IF(OR($A232="",$A232&gt;=Parameters!$B$14),1,IF(AND(AN232&gt;0,CityData!F7&lt;=AN232),1,0))</f>
        <v>1</v>
      </c>
    </row>
    <row r="233" customFormat="false" ht="15" hidden="false" customHeight="true" outlineLevel="0" collapsed="false">
      <c r="A233" s="23" t="str">
        <f aca="false">IF(AND(Parameters!$B$14&gt;=Parameters!$B$13,ROW()-2&lt;=Parameters!$B$14-Parameters!$B$13),Parameters!$B$13+ROW()-2,"")</f>
        <v/>
      </c>
      <c r="B233" s="14" t="n">
        <f aca="false">IF($A233="",0,IFERROR(VLOOKUP((YEAR($A233)+IF(MONTH($A233)&gt;=10,1,0))&amp;"|Boston|"&amp;MONTH($A233),Rates!$A$2:$I$181,6,FALSE()),0))</f>
        <v>0</v>
      </c>
      <c r="C233" s="14" t="n">
        <f aca="false">IF(B233=0,0,VLOOKUP(B233,MIE_Components!$A$2:$F$6,2,FALSE()))</f>
        <v>0</v>
      </c>
      <c r="D233" s="14" t="n">
        <f aca="false">IF(B233=0,0,VLOOKUP(B233,MIE_Components!$A$2:$F$6,3,FALSE()))</f>
        <v>0</v>
      </c>
      <c r="E233" s="14" t="n">
        <f aca="false">IF(B233=0,0,VLOOKUP(B233,MIE_Components!$A$2:$F$6,4,FALSE()))</f>
        <v>0</v>
      </c>
      <c r="F233" s="14" t="n">
        <f aca="false">IF(OR($A233="",B233=0),0,MAX(5,B233*IF(OR($A233=Parameters!$B$13,$A233=Parameters!$B$14),0.75,1)-(IF(AND($A233=DATE(2026,11,29),NOV29BF="Yes"),C233,0)+IF(OR($A233=DATE(2026,11,29),$A233=DATE(2026,11,30),$A233=DATE(2026,12,1),$A233=DATE(2026,12,2)),D233,0)+IF(OR($A233=DATE(2026,11,28),$A233=DATE(2026,12,1)),E233,0))))</f>
        <v>0</v>
      </c>
      <c r="G233" s="14" t="n">
        <f aca="false">IF(AND($A233&lt;&gt;"",$A233&lt;Parameters!$B$14),CityData!F3*(1+TAXRATE),0)</f>
        <v>0</v>
      </c>
      <c r="H233" s="14" t="n">
        <f aca="false">IF($A233="",0,IFERROR(VLOOKUP((YEAR($A233)+IF(MONTH($A233)&gt;=10,1,0))&amp;"|Boston|"&amp;MONTH($A233),Rates!$A$2:$I$181,5,FALSE()),0))</f>
        <v>0</v>
      </c>
      <c r="I233" s="14" t="n">
        <f aca="false">IF(OR($A233="",$A233&gt;=Parameters!$B$14),1,IF(AND(H233&gt;0,CityData!F3&lt;=H233),1,0))</f>
        <v>1</v>
      </c>
      <c r="J233" s="14" t="n">
        <f aca="false">IF($A233="",0,IFERROR(VLOOKUP((YEAR($A233)+IF(MONTH($A233)&gt;=10,1,0))&amp;"|Chicago|"&amp;MONTH($A233),Rates!$A$2:$I$181,6,FALSE()),0))</f>
        <v>0</v>
      </c>
      <c r="K233" s="14" t="n">
        <f aca="false">IF(J233=0,0,VLOOKUP(J233,MIE_Components!$A$2:$F$6,2,FALSE()))</f>
        <v>0</v>
      </c>
      <c r="L233" s="14" t="n">
        <f aca="false">IF(J233=0,0,VLOOKUP(J233,MIE_Components!$A$2:$F$6,3,FALSE()))</f>
        <v>0</v>
      </c>
      <c r="M233" s="14" t="n">
        <f aca="false">IF(J233=0,0,VLOOKUP(J233,MIE_Components!$A$2:$F$6,4,FALSE()))</f>
        <v>0</v>
      </c>
      <c r="N233" s="14" t="n">
        <f aca="false">IF(OR($A233="",J233=0),0,MAX(5,J233*IF(OR($A233=Parameters!$B$13,$A233=Parameters!$B$14),0.75,1)-(IF(AND($A233=DATE(2026,11,29),NOV29BF="Yes"),K233,0)+IF(OR($A233=DATE(2026,11,29),$A233=DATE(2026,11,30),$A233=DATE(2026,12,1),$A233=DATE(2026,12,2)),L233,0)+IF(OR($A233=DATE(2026,11,28),$A233=DATE(2026,12,1)),M233,0))))</f>
        <v>0</v>
      </c>
      <c r="O233" s="14" t="n">
        <f aca="false">IF(AND($A233&lt;&gt;"",$A233&lt;Parameters!$B$14),CityData!F4*(1+TAXRATE),0)</f>
        <v>0</v>
      </c>
      <c r="P233" s="14" t="n">
        <f aca="false">IF($A233="",0,IFERROR(VLOOKUP((YEAR($A233)+IF(MONTH($A233)&gt;=10,1,0))&amp;"|Chicago|"&amp;MONTH($A233),Rates!$A$2:$I$181,5,FALSE()),0))</f>
        <v>0</v>
      </c>
      <c r="Q233" s="14" t="n">
        <f aca="false">IF(OR($A233="",$A233&gt;=Parameters!$B$14),1,IF(AND(P233&gt;0,CityData!F4&lt;=P233),1,0))</f>
        <v>1</v>
      </c>
      <c r="R233" s="14" t="n">
        <f aca="false">IF($A233="",0,IFERROR(VLOOKUP((YEAR($A233)+IF(MONTH($A233)&gt;=10,1,0))&amp;"|Denver|"&amp;MONTH($A233),Rates!$A$2:$I$181,6,FALSE()),0))</f>
        <v>0</v>
      </c>
      <c r="S233" s="14" t="n">
        <f aca="false">IF(R233=0,0,VLOOKUP(R233,MIE_Components!$A$2:$F$6,2,FALSE()))</f>
        <v>0</v>
      </c>
      <c r="T233" s="14" t="n">
        <f aca="false">IF(R233=0,0,VLOOKUP(R233,MIE_Components!$A$2:$F$6,3,FALSE()))</f>
        <v>0</v>
      </c>
      <c r="U233" s="14" t="n">
        <f aca="false">IF(R233=0,0,VLOOKUP(R233,MIE_Components!$A$2:$F$6,4,FALSE()))</f>
        <v>0</v>
      </c>
      <c r="V233" s="14" t="n">
        <f aca="false">IF(OR($A233="",R233=0),0,MAX(5,R233*IF(OR($A233=Parameters!$B$13,$A233=Parameters!$B$14),0.75,1)-(IF(AND($A233=DATE(2026,11,29),NOV29BF="Yes"),S233,0)+IF(OR($A233=DATE(2026,11,29),$A233=DATE(2026,11,30),$A233=DATE(2026,12,1),$A233=DATE(2026,12,2)),T233,0)+IF(OR($A233=DATE(2026,11,28),$A233=DATE(2026,12,1)),U233,0))))</f>
        <v>0</v>
      </c>
      <c r="W233" s="14" t="n">
        <f aca="false">IF(AND($A233&lt;&gt;"",$A233&lt;Parameters!$B$14),CityData!F5*(1+TAXRATE),0)</f>
        <v>0</v>
      </c>
      <c r="X233" s="14" t="n">
        <f aca="false">IF($A233="",0,IFERROR(VLOOKUP((YEAR($A233)+IF(MONTH($A233)&gt;=10,1,0))&amp;"|Denver|"&amp;MONTH($A233),Rates!$A$2:$I$181,5,FALSE()),0))</f>
        <v>0</v>
      </c>
      <c r="Y233" s="14" t="n">
        <f aca="false">IF(OR($A233="",$A233&gt;=Parameters!$B$14),1,IF(AND(X233&gt;0,CityData!F5&lt;=X233),1,0))</f>
        <v>1</v>
      </c>
      <c r="Z233" s="14" t="n">
        <f aca="false">IF($A233="",0,IFERROR(VLOOKUP((YEAR($A233)+IF(MONTH($A233)&gt;=10,1,0))&amp;"|Phoenix|"&amp;MONTH($A233),Rates!$A$2:$I$181,6,FALSE()),0))</f>
        <v>0</v>
      </c>
      <c r="AA233" s="14" t="n">
        <f aca="false">IF(Z233=0,0,VLOOKUP(Z233,MIE_Components!$A$2:$F$6,2,FALSE()))</f>
        <v>0</v>
      </c>
      <c r="AB233" s="14" t="n">
        <f aca="false">IF(Z233=0,0,VLOOKUP(Z233,MIE_Components!$A$2:$F$6,3,FALSE()))</f>
        <v>0</v>
      </c>
      <c r="AC233" s="14" t="n">
        <f aca="false">IF(Z233=0,0,VLOOKUP(Z233,MIE_Components!$A$2:$F$6,4,FALSE()))</f>
        <v>0</v>
      </c>
      <c r="AD233" s="14" t="n">
        <f aca="false">IF(OR($A233="",Z233=0),0,MAX(5,Z233*IF(OR($A233=Parameters!$B$13,$A233=Parameters!$B$14),0.75,1)-(IF(AND($A233=DATE(2026,11,29),NOV29BF="Yes"),AA233,0)+IF(OR($A233=DATE(2026,11,29),$A233=DATE(2026,11,30),$A233=DATE(2026,12,1),$A233=DATE(2026,12,2)),AB233,0)+IF(OR($A233=DATE(2026,11,28),$A233=DATE(2026,12,1)),AC233,0))))</f>
        <v>0</v>
      </c>
      <c r="AE233" s="14" t="n">
        <f aca="false">IF(AND($A233&lt;&gt;"",$A233&lt;Parameters!$B$14),CityData!F6*(1+TAXRATE),0)</f>
        <v>0</v>
      </c>
      <c r="AF233" s="14" t="n">
        <f aca="false">IF($A233="",0,IFERROR(VLOOKUP((YEAR($A233)+IF(MONTH($A233)&gt;=10,1,0))&amp;"|Phoenix|"&amp;MONTH($A233),Rates!$A$2:$I$181,5,FALSE()),0))</f>
        <v>0</v>
      </c>
      <c r="AG233" s="14" t="n">
        <f aca="false">IF(OR($A233="",$A233&gt;=Parameters!$B$14),1,IF(AND(AF233&gt;0,CityData!F6&lt;=AF233),1,0))</f>
        <v>1</v>
      </c>
      <c r="AH233" s="14" t="n">
        <f aca="false">IF($A233="",0,IFERROR(VLOOKUP((YEAR($A233)+IF(MONTH($A233)&gt;=10,1,0))&amp;"|Seattle|"&amp;MONTH($A233),Rates!$A$2:$I$181,6,FALSE()),0))</f>
        <v>0</v>
      </c>
      <c r="AI233" s="14" t="n">
        <f aca="false">IF(AH233=0,0,VLOOKUP(AH233,MIE_Components!$A$2:$F$6,2,FALSE()))</f>
        <v>0</v>
      </c>
      <c r="AJ233" s="14" t="n">
        <f aca="false">IF(AH233=0,0,VLOOKUP(AH233,MIE_Components!$A$2:$F$6,3,FALSE()))</f>
        <v>0</v>
      </c>
      <c r="AK233" s="14" t="n">
        <f aca="false">IF(AH233=0,0,VLOOKUP(AH233,MIE_Components!$A$2:$F$6,4,FALSE()))</f>
        <v>0</v>
      </c>
      <c r="AL233" s="14" t="n">
        <f aca="false">IF(OR($A233="",AH233=0),0,MAX(5,AH233*IF(OR($A233=Parameters!$B$13,$A233=Parameters!$B$14),0.75,1)-(IF(AND($A233=DATE(2026,11,29),NOV29BF="Yes"),AI233,0)+IF(OR($A233=DATE(2026,11,29),$A233=DATE(2026,11,30),$A233=DATE(2026,12,1),$A233=DATE(2026,12,2)),AJ233,0)+IF(OR($A233=DATE(2026,11,28),$A233=DATE(2026,12,1)),AK233,0))))</f>
        <v>0</v>
      </c>
      <c r="AM233" s="14" t="n">
        <f aca="false">IF(AND($A233&lt;&gt;"",$A233&lt;Parameters!$B$14),CityData!F7*(1+TAXRATE),0)</f>
        <v>0</v>
      </c>
      <c r="AN233" s="14" t="n">
        <f aca="false">IF($A233="",0,IFERROR(VLOOKUP((YEAR($A233)+IF(MONTH($A233)&gt;=10,1,0))&amp;"|Seattle|"&amp;MONTH($A233),Rates!$A$2:$I$181,5,FALSE()),0))</f>
        <v>0</v>
      </c>
      <c r="AO233" s="14" t="n">
        <f aca="false">IF(OR($A233="",$A233&gt;=Parameters!$B$14),1,IF(AND(AN233&gt;0,CityData!F7&lt;=AN233),1,0))</f>
        <v>1</v>
      </c>
    </row>
    <row r="234" customFormat="false" ht="15" hidden="false" customHeight="true" outlineLevel="0" collapsed="false">
      <c r="A234" s="23" t="str">
        <f aca="false">IF(AND(Parameters!$B$14&gt;=Parameters!$B$13,ROW()-2&lt;=Parameters!$B$14-Parameters!$B$13),Parameters!$B$13+ROW()-2,"")</f>
        <v/>
      </c>
      <c r="B234" s="14" t="n">
        <f aca="false">IF($A234="",0,IFERROR(VLOOKUP((YEAR($A234)+IF(MONTH($A234)&gt;=10,1,0))&amp;"|Boston|"&amp;MONTH($A234),Rates!$A$2:$I$181,6,FALSE()),0))</f>
        <v>0</v>
      </c>
      <c r="C234" s="14" t="n">
        <f aca="false">IF(B234=0,0,VLOOKUP(B234,MIE_Components!$A$2:$F$6,2,FALSE()))</f>
        <v>0</v>
      </c>
      <c r="D234" s="14" t="n">
        <f aca="false">IF(B234=0,0,VLOOKUP(B234,MIE_Components!$A$2:$F$6,3,FALSE()))</f>
        <v>0</v>
      </c>
      <c r="E234" s="14" t="n">
        <f aca="false">IF(B234=0,0,VLOOKUP(B234,MIE_Components!$A$2:$F$6,4,FALSE()))</f>
        <v>0</v>
      </c>
      <c r="F234" s="14" t="n">
        <f aca="false">IF(OR($A234="",B234=0),0,MAX(5,B234*IF(OR($A234=Parameters!$B$13,$A234=Parameters!$B$14),0.75,1)-(IF(AND($A234=DATE(2026,11,29),NOV29BF="Yes"),C234,0)+IF(OR($A234=DATE(2026,11,29),$A234=DATE(2026,11,30),$A234=DATE(2026,12,1),$A234=DATE(2026,12,2)),D234,0)+IF(OR($A234=DATE(2026,11,28),$A234=DATE(2026,12,1)),E234,0))))</f>
        <v>0</v>
      </c>
      <c r="G234" s="14" t="n">
        <f aca="false">IF(AND($A234&lt;&gt;"",$A234&lt;Parameters!$B$14),CityData!F3*(1+TAXRATE),0)</f>
        <v>0</v>
      </c>
      <c r="H234" s="14" t="n">
        <f aca="false">IF($A234="",0,IFERROR(VLOOKUP((YEAR($A234)+IF(MONTH($A234)&gt;=10,1,0))&amp;"|Boston|"&amp;MONTH($A234),Rates!$A$2:$I$181,5,FALSE()),0))</f>
        <v>0</v>
      </c>
      <c r="I234" s="14" t="n">
        <f aca="false">IF(OR($A234="",$A234&gt;=Parameters!$B$14),1,IF(AND(H234&gt;0,CityData!F3&lt;=H234),1,0))</f>
        <v>1</v>
      </c>
      <c r="J234" s="14" t="n">
        <f aca="false">IF($A234="",0,IFERROR(VLOOKUP((YEAR($A234)+IF(MONTH($A234)&gt;=10,1,0))&amp;"|Chicago|"&amp;MONTH($A234),Rates!$A$2:$I$181,6,FALSE()),0))</f>
        <v>0</v>
      </c>
      <c r="K234" s="14" t="n">
        <f aca="false">IF(J234=0,0,VLOOKUP(J234,MIE_Components!$A$2:$F$6,2,FALSE()))</f>
        <v>0</v>
      </c>
      <c r="L234" s="14" t="n">
        <f aca="false">IF(J234=0,0,VLOOKUP(J234,MIE_Components!$A$2:$F$6,3,FALSE()))</f>
        <v>0</v>
      </c>
      <c r="M234" s="14" t="n">
        <f aca="false">IF(J234=0,0,VLOOKUP(J234,MIE_Components!$A$2:$F$6,4,FALSE()))</f>
        <v>0</v>
      </c>
      <c r="N234" s="14" t="n">
        <f aca="false">IF(OR($A234="",J234=0),0,MAX(5,J234*IF(OR($A234=Parameters!$B$13,$A234=Parameters!$B$14),0.75,1)-(IF(AND($A234=DATE(2026,11,29),NOV29BF="Yes"),K234,0)+IF(OR($A234=DATE(2026,11,29),$A234=DATE(2026,11,30),$A234=DATE(2026,12,1),$A234=DATE(2026,12,2)),L234,0)+IF(OR($A234=DATE(2026,11,28),$A234=DATE(2026,12,1)),M234,0))))</f>
        <v>0</v>
      </c>
      <c r="O234" s="14" t="n">
        <f aca="false">IF(AND($A234&lt;&gt;"",$A234&lt;Parameters!$B$14),CityData!F4*(1+TAXRATE),0)</f>
        <v>0</v>
      </c>
      <c r="P234" s="14" t="n">
        <f aca="false">IF($A234="",0,IFERROR(VLOOKUP((YEAR($A234)+IF(MONTH($A234)&gt;=10,1,0))&amp;"|Chicago|"&amp;MONTH($A234),Rates!$A$2:$I$181,5,FALSE()),0))</f>
        <v>0</v>
      </c>
      <c r="Q234" s="14" t="n">
        <f aca="false">IF(OR($A234="",$A234&gt;=Parameters!$B$14),1,IF(AND(P234&gt;0,CityData!F4&lt;=P234),1,0))</f>
        <v>1</v>
      </c>
      <c r="R234" s="14" t="n">
        <f aca="false">IF($A234="",0,IFERROR(VLOOKUP((YEAR($A234)+IF(MONTH($A234)&gt;=10,1,0))&amp;"|Denver|"&amp;MONTH($A234),Rates!$A$2:$I$181,6,FALSE()),0))</f>
        <v>0</v>
      </c>
      <c r="S234" s="14" t="n">
        <f aca="false">IF(R234=0,0,VLOOKUP(R234,MIE_Components!$A$2:$F$6,2,FALSE()))</f>
        <v>0</v>
      </c>
      <c r="T234" s="14" t="n">
        <f aca="false">IF(R234=0,0,VLOOKUP(R234,MIE_Components!$A$2:$F$6,3,FALSE()))</f>
        <v>0</v>
      </c>
      <c r="U234" s="14" t="n">
        <f aca="false">IF(R234=0,0,VLOOKUP(R234,MIE_Components!$A$2:$F$6,4,FALSE()))</f>
        <v>0</v>
      </c>
      <c r="V234" s="14" t="n">
        <f aca="false">IF(OR($A234="",R234=0),0,MAX(5,R234*IF(OR($A234=Parameters!$B$13,$A234=Parameters!$B$14),0.75,1)-(IF(AND($A234=DATE(2026,11,29),NOV29BF="Yes"),S234,0)+IF(OR($A234=DATE(2026,11,29),$A234=DATE(2026,11,30),$A234=DATE(2026,12,1),$A234=DATE(2026,12,2)),T234,0)+IF(OR($A234=DATE(2026,11,28),$A234=DATE(2026,12,1)),U234,0))))</f>
        <v>0</v>
      </c>
      <c r="W234" s="14" t="n">
        <f aca="false">IF(AND($A234&lt;&gt;"",$A234&lt;Parameters!$B$14),CityData!F5*(1+TAXRATE),0)</f>
        <v>0</v>
      </c>
      <c r="X234" s="14" t="n">
        <f aca="false">IF($A234="",0,IFERROR(VLOOKUP((YEAR($A234)+IF(MONTH($A234)&gt;=10,1,0))&amp;"|Denver|"&amp;MONTH($A234),Rates!$A$2:$I$181,5,FALSE()),0))</f>
        <v>0</v>
      </c>
      <c r="Y234" s="14" t="n">
        <f aca="false">IF(OR($A234="",$A234&gt;=Parameters!$B$14),1,IF(AND(X234&gt;0,CityData!F5&lt;=X234),1,0))</f>
        <v>1</v>
      </c>
      <c r="Z234" s="14" t="n">
        <f aca="false">IF($A234="",0,IFERROR(VLOOKUP((YEAR($A234)+IF(MONTH($A234)&gt;=10,1,0))&amp;"|Phoenix|"&amp;MONTH($A234),Rates!$A$2:$I$181,6,FALSE()),0))</f>
        <v>0</v>
      </c>
      <c r="AA234" s="14" t="n">
        <f aca="false">IF(Z234=0,0,VLOOKUP(Z234,MIE_Components!$A$2:$F$6,2,FALSE()))</f>
        <v>0</v>
      </c>
      <c r="AB234" s="14" t="n">
        <f aca="false">IF(Z234=0,0,VLOOKUP(Z234,MIE_Components!$A$2:$F$6,3,FALSE()))</f>
        <v>0</v>
      </c>
      <c r="AC234" s="14" t="n">
        <f aca="false">IF(Z234=0,0,VLOOKUP(Z234,MIE_Components!$A$2:$F$6,4,FALSE()))</f>
        <v>0</v>
      </c>
      <c r="AD234" s="14" t="n">
        <f aca="false">IF(OR($A234="",Z234=0),0,MAX(5,Z234*IF(OR($A234=Parameters!$B$13,$A234=Parameters!$B$14),0.75,1)-(IF(AND($A234=DATE(2026,11,29),NOV29BF="Yes"),AA234,0)+IF(OR($A234=DATE(2026,11,29),$A234=DATE(2026,11,30),$A234=DATE(2026,12,1),$A234=DATE(2026,12,2)),AB234,0)+IF(OR($A234=DATE(2026,11,28),$A234=DATE(2026,12,1)),AC234,0))))</f>
        <v>0</v>
      </c>
      <c r="AE234" s="14" t="n">
        <f aca="false">IF(AND($A234&lt;&gt;"",$A234&lt;Parameters!$B$14),CityData!F6*(1+TAXRATE),0)</f>
        <v>0</v>
      </c>
      <c r="AF234" s="14" t="n">
        <f aca="false">IF($A234="",0,IFERROR(VLOOKUP((YEAR($A234)+IF(MONTH($A234)&gt;=10,1,0))&amp;"|Phoenix|"&amp;MONTH($A234),Rates!$A$2:$I$181,5,FALSE()),0))</f>
        <v>0</v>
      </c>
      <c r="AG234" s="14" t="n">
        <f aca="false">IF(OR($A234="",$A234&gt;=Parameters!$B$14),1,IF(AND(AF234&gt;0,CityData!F6&lt;=AF234),1,0))</f>
        <v>1</v>
      </c>
      <c r="AH234" s="14" t="n">
        <f aca="false">IF($A234="",0,IFERROR(VLOOKUP((YEAR($A234)+IF(MONTH($A234)&gt;=10,1,0))&amp;"|Seattle|"&amp;MONTH($A234),Rates!$A$2:$I$181,6,FALSE()),0))</f>
        <v>0</v>
      </c>
      <c r="AI234" s="14" t="n">
        <f aca="false">IF(AH234=0,0,VLOOKUP(AH234,MIE_Components!$A$2:$F$6,2,FALSE()))</f>
        <v>0</v>
      </c>
      <c r="AJ234" s="14" t="n">
        <f aca="false">IF(AH234=0,0,VLOOKUP(AH234,MIE_Components!$A$2:$F$6,3,FALSE()))</f>
        <v>0</v>
      </c>
      <c r="AK234" s="14" t="n">
        <f aca="false">IF(AH234=0,0,VLOOKUP(AH234,MIE_Components!$A$2:$F$6,4,FALSE()))</f>
        <v>0</v>
      </c>
      <c r="AL234" s="14" t="n">
        <f aca="false">IF(OR($A234="",AH234=0),0,MAX(5,AH234*IF(OR($A234=Parameters!$B$13,$A234=Parameters!$B$14),0.75,1)-(IF(AND($A234=DATE(2026,11,29),NOV29BF="Yes"),AI234,0)+IF(OR($A234=DATE(2026,11,29),$A234=DATE(2026,11,30),$A234=DATE(2026,12,1),$A234=DATE(2026,12,2)),AJ234,0)+IF(OR($A234=DATE(2026,11,28),$A234=DATE(2026,12,1)),AK234,0))))</f>
        <v>0</v>
      </c>
      <c r="AM234" s="14" t="n">
        <f aca="false">IF(AND($A234&lt;&gt;"",$A234&lt;Parameters!$B$14),CityData!F7*(1+TAXRATE),0)</f>
        <v>0</v>
      </c>
      <c r="AN234" s="14" t="n">
        <f aca="false">IF($A234="",0,IFERROR(VLOOKUP((YEAR($A234)+IF(MONTH($A234)&gt;=10,1,0))&amp;"|Seattle|"&amp;MONTH($A234),Rates!$A$2:$I$181,5,FALSE()),0))</f>
        <v>0</v>
      </c>
      <c r="AO234" s="14" t="n">
        <f aca="false">IF(OR($A234="",$A234&gt;=Parameters!$B$14),1,IF(AND(AN234&gt;0,CityData!F7&lt;=AN234),1,0))</f>
        <v>1</v>
      </c>
    </row>
    <row r="235" customFormat="false" ht="15" hidden="false" customHeight="true" outlineLevel="0" collapsed="false">
      <c r="A235" s="23" t="str">
        <f aca="false">IF(AND(Parameters!$B$14&gt;=Parameters!$B$13,ROW()-2&lt;=Parameters!$B$14-Parameters!$B$13),Parameters!$B$13+ROW()-2,"")</f>
        <v/>
      </c>
      <c r="B235" s="14" t="n">
        <f aca="false">IF($A235="",0,IFERROR(VLOOKUP((YEAR($A235)+IF(MONTH($A235)&gt;=10,1,0))&amp;"|Boston|"&amp;MONTH($A235),Rates!$A$2:$I$181,6,FALSE()),0))</f>
        <v>0</v>
      </c>
      <c r="C235" s="14" t="n">
        <f aca="false">IF(B235=0,0,VLOOKUP(B235,MIE_Components!$A$2:$F$6,2,FALSE()))</f>
        <v>0</v>
      </c>
      <c r="D235" s="14" t="n">
        <f aca="false">IF(B235=0,0,VLOOKUP(B235,MIE_Components!$A$2:$F$6,3,FALSE()))</f>
        <v>0</v>
      </c>
      <c r="E235" s="14" t="n">
        <f aca="false">IF(B235=0,0,VLOOKUP(B235,MIE_Components!$A$2:$F$6,4,FALSE()))</f>
        <v>0</v>
      </c>
      <c r="F235" s="14" t="n">
        <f aca="false">IF(OR($A235="",B235=0),0,MAX(5,B235*IF(OR($A235=Parameters!$B$13,$A235=Parameters!$B$14),0.75,1)-(IF(AND($A235=DATE(2026,11,29),NOV29BF="Yes"),C235,0)+IF(OR($A235=DATE(2026,11,29),$A235=DATE(2026,11,30),$A235=DATE(2026,12,1),$A235=DATE(2026,12,2)),D235,0)+IF(OR($A235=DATE(2026,11,28),$A235=DATE(2026,12,1)),E235,0))))</f>
        <v>0</v>
      </c>
      <c r="G235" s="14" t="n">
        <f aca="false">IF(AND($A235&lt;&gt;"",$A235&lt;Parameters!$B$14),CityData!F3*(1+TAXRATE),0)</f>
        <v>0</v>
      </c>
      <c r="H235" s="14" t="n">
        <f aca="false">IF($A235="",0,IFERROR(VLOOKUP((YEAR($A235)+IF(MONTH($A235)&gt;=10,1,0))&amp;"|Boston|"&amp;MONTH($A235),Rates!$A$2:$I$181,5,FALSE()),0))</f>
        <v>0</v>
      </c>
      <c r="I235" s="14" t="n">
        <f aca="false">IF(OR($A235="",$A235&gt;=Parameters!$B$14),1,IF(AND(H235&gt;0,CityData!F3&lt;=H235),1,0))</f>
        <v>1</v>
      </c>
      <c r="J235" s="14" t="n">
        <f aca="false">IF($A235="",0,IFERROR(VLOOKUP((YEAR($A235)+IF(MONTH($A235)&gt;=10,1,0))&amp;"|Chicago|"&amp;MONTH($A235),Rates!$A$2:$I$181,6,FALSE()),0))</f>
        <v>0</v>
      </c>
      <c r="K235" s="14" t="n">
        <f aca="false">IF(J235=0,0,VLOOKUP(J235,MIE_Components!$A$2:$F$6,2,FALSE()))</f>
        <v>0</v>
      </c>
      <c r="L235" s="14" t="n">
        <f aca="false">IF(J235=0,0,VLOOKUP(J235,MIE_Components!$A$2:$F$6,3,FALSE()))</f>
        <v>0</v>
      </c>
      <c r="M235" s="14" t="n">
        <f aca="false">IF(J235=0,0,VLOOKUP(J235,MIE_Components!$A$2:$F$6,4,FALSE()))</f>
        <v>0</v>
      </c>
      <c r="N235" s="14" t="n">
        <f aca="false">IF(OR($A235="",J235=0),0,MAX(5,J235*IF(OR($A235=Parameters!$B$13,$A235=Parameters!$B$14),0.75,1)-(IF(AND($A235=DATE(2026,11,29),NOV29BF="Yes"),K235,0)+IF(OR($A235=DATE(2026,11,29),$A235=DATE(2026,11,30),$A235=DATE(2026,12,1),$A235=DATE(2026,12,2)),L235,0)+IF(OR($A235=DATE(2026,11,28),$A235=DATE(2026,12,1)),M235,0))))</f>
        <v>0</v>
      </c>
      <c r="O235" s="14" t="n">
        <f aca="false">IF(AND($A235&lt;&gt;"",$A235&lt;Parameters!$B$14),CityData!F4*(1+TAXRATE),0)</f>
        <v>0</v>
      </c>
      <c r="P235" s="14" t="n">
        <f aca="false">IF($A235="",0,IFERROR(VLOOKUP((YEAR($A235)+IF(MONTH($A235)&gt;=10,1,0))&amp;"|Chicago|"&amp;MONTH($A235),Rates!$A$2:$I$181,5,FALSE()),0))</f>
        <v>0</v>
      </c>
      <c r="Q235" s="14" t="n">
        <f aca="false">IF(OR($A235="",$A235&gt;=Parameters!$B$14),1,IF(AND(P235&gt;0,CityData!F4&lt;=P235),1,0))</f>
        <v>1</v>
      </c>
      <c r="R235" s="14" t="n">
        <f aca="false">IF($A235="",0,IFERROR(VLOOKUP((YEAR($A235)+IF(MONTH($A235)&gt;=10,1,0))&amp;"|Denver|"&amp;MONTH($A235),Rates!$A$2:$I$181,6,FALSE()),0))</f>
        <v>0</v>
      </c>
      <c r="S235" s="14" t="n">
        <f aca="false">IF(R235=0,0,VLOOKUP(R235,MIE_Components!$A$2:$F$6,2,FALSE()))</f>
        <v>0</v>
      </c>
      <c r="T235" s="14" t="n">
        <f aca="false">IF(R235=0,0,VLOOKUP(R235,MIE_Components!$A$2:$F$6,3,FALSE()))</f>
        <v>0</v>
      </c>
      <c r="U235" s="14" t="n">
        <f aca="false">IF(R235=0,0,VLOOKUP(R235,MIE_Components!$A$2:$F$6,4,FALSE()))</f>
        <v>0</v>
      </c>
      <c r="V235" s="14" t="n">
        <f aca="false">IF(OR($A235="",R235=0),0,MAX(5,R235*IF(OR($A235=Parameters!$B$13,$A235=Parameters!$B$14),0.75,1)-(IF(AND($A235=DATE(2026,11,29),NOV29BF="Yes"),S235,0)+IF(OR($A235=DATE(2026,11,29),$A235=DATE(2026,11,30),$A235=DATE(2026,12,1),$A235=DATE(2026,12,2)),T235,0)+IF(OR($A235=DATE(2026,11,28),$A235=DATE(2026,12,1)),U235,0))))</f>
        <v>0</v>
      </c>
      <c r="W235" s="14" t="n">
        <f aca="false">IF(AND($A235&lt;&gt;"",$A235&lt;Parameters!$B$14),CityData!F5*(1+TAXRATE),0)</f>
        <v>0</v>
      </c>
      <c r="X235" s="14" t="n">
        <f aca="false">IF($A235="",0,IFERROR(VLOOKUP((YEAR($A235)+IF(MONTH($A235)&gt;=10,1,0))&amp;"|Denver|"&amp;MONTH($A235),Rates!$A$2:$I$181,5,FALSE()),0))</f>
        <v>0</v>
      </c>
      <c r="Y235" s="14" t="n">
        <f aca="false">IF(OR($A235="",$A235&gt;=Parameters!$B$14),1,IF(AND(X235&gt;0,CityData!F5&lt;=X235),1,0))</f>
        <v>1</v>
      </c>
      <c r="Z235" s="14" t="n">
        <f aca="false">IF($A235="",0,IFERROR(VLOOKUP((YEAR($A235)+IF(MONTH($A235)&gt;=10,1,0))&amp;"|Phoenix|"&amp;MONTH($A235),Rates!$A$2:$I$181,6,FALSE()),0))</f>
        <v>0</v>
      </c>
      <c r="AA235" s="14" t="n">
        <f aca="false">IF(Z235=0,0,VLOOKUP(Z235,MIE_Components!$A$2:$F$6,2,FALSE()))</f>
        <v>0</v>
      </c>
      <c r="AB235" s="14" t="n">
        <f aca="false">IF(Z235=0,0,VLOOKUP(Z235,MIE_Components!$A$2:$F$6,3,FALSE()))</f>
        <v>0</v>
      </c>
      <c r="AC235" s="14" t="n">
        <f aca="false">IF(Z235=0,0,VLOOKUP(Z235,MIE_Components!$A$2:$F$6,4,FALSE()))</f>
        <v>0</v>
      </c>
      <c r="AD235" s="14" t="n">
        <f aca="false">IF(OR($A235="",Z235=0),0,MAX(5,Z235*IF(OR($A235=Parameters!$B$13,$A235=Parameters!$B$14),0.75,1)-(IF(AND($A235=DATE(2026,11,29),NOV29BF="Yes"),AA235,0)+IF(OR($A235=DATE(2026,11,29),$A235=DATE(2026,11,30),$A235=DATE(2026,12,1),$A235=DATE(2026,12,2)),AB235,0)+IF(OR($A235=DATE(2026,11,28),$A235=DATE(2026,12,1)),AC235,0))))</f>
        <v>0</v>
      </c>
      <c r="AE235" s="14" t="n">
        <f aca="false">IF(AND($A235&lt;&gt;"",$A235&lt;Parameters!$B$14),CityData!F6*(1+TAXRATE),0)</f>
        <v>0</v>
      </c>
      <c r="AF235" s="14" t="n">
        <f aca="false">IF($A235="",0,IFERROR(VLOOKUP((YEAR($A235)+IF(MONTH($A235)&gt;=10,1,0))&amp;"|Phoenix|"&amp;MONTH($A235),Rates!$A$2:$I$181,5,FALSE()),0))</f>
        <v>0</v>
      </c>
      <c r="AG235" s="14" t="n">
        <f aca="false">IF(OR($A235="",$A235&gt;=Parameters!$B$14),1,IF(AND(AF235&gt;0,CityData!F6&lt;=AF235),1,0))</f>
        <v>1</v>
      </c>
      <c r="AH235" s="14" t="n">
        <f aca="false">IF($A235="",0,IFERROR(VLOOKUP((YEAR($A235)+IF(MONTH($A235)&gt;=10,1,0))&amp;"|Seattle|"&amp;MONTH($A235),Rates!$A$2:$I$181,6,FALSE()),0))</f>
        <v>0</v>
      </c>
      <c r="AI235" s="14" t="n">
        <f aca="false">IF(AH235=0,0,VLOOKUP(AH235,MIE_Components!$A$2:$F$6,2,FALSE()))</f>
        <v>0</v>
      </c>
      <c r="AJ235" s="14" t="n">
        <f aca="false">IF(AH235=0,0,VLOOKUP(AH235,MIE_Components!$A$2:$F$6,3,FALSE()))</f>
        <v>0</v>
      </c>
      <c r="AK235" s="14" t="n">
        <f aca="false">IF(AH235=0,0,VLOOKUP(AH235,MIE_Components!$A$2:$F$6,4,FALSE()))</f>
        <v>0</v>
      </c>
      <c r="AL235" s="14" t="n">
        <f aca="false">IF(OR($A235="",AH235=0),0,MAX(5,AH235*IF(OR($A235=Parameters!$B$13,$A235=Parameters!$B$14),0.75,1)-(IF(AND($A235=DATE(2026,11,29),NOV29BF="Yes"),AI235,0)+IF(OR($A235=DATE(2026,11,29),$A235=DATE(2026,11,30),$A235=DATE(2026,12,1),$A235=DATE(2026,12,2)),AJ235,0)+IF(OR($A235=DATE(2026,11,28),$A235=DATE(2026,12,1)),AK235,0))))</f>
        <v>0</v>
      </c>
      <c r="AM235" s="14" t="n">
        <f aca="false">IF(AND($A235&lt;&gt;"",$A235&lt;Parameters!$B$14),CityData!F7*(1+TAXRATE),0)</f>
        <v>0</v>
      </c>
      <c r="AN235" s="14" t="n">
        <f aca="false">IF($A235="",0,IFERROR(VLOOKUP((YEAR($A235)+IF(MONTH($A235)&gt;=10,1,0))&amp;"|Seattle|"&amp;MONTH($A235),Rates!$A$2:$I$181,5,FALSE()),0))</f>
        <v>0</v>
      </c>
      <c r="AO235" s="14" t="n">
        <f aca="false">IF(OR($A235="",$A235&gt;=Parameters!$B$14),1,IF(AND(AN235&gt;0,CityData!F7&lt;=AN235),1,0))</f>
        <v>1</v>
      </c>
    </row>
    <row r="236" customFormat="false" ht="15" hidden="false" customHeight="true" outlineLevel="0" collapsed="false">
      <c r="A236" s="23" t="str">
        <f aca="false">IF(AND(Parameters!$B$14&gt;=Parameters!$B$13,ROW()-2&lt;=Parameters!$B$14-Parameters!$B$13),Parameters!$B$13+ROW()-2,"")</f>
        <v/>
      </c>
      <c r="B236" s="14" t="n">
        <f aca="false">IF($A236="",0,IFERROR(VLOOKUP((YEAR($A236)+IF(MONTH($A236)&gt;=10,1,0))&amp;"|Boston|"&amp;MONTH($A236),Rates!$A$2:$I$181,6,FALSE()),0))</f>
        <v>0</v>
      </c>
      <c r="C236" s="14" t="n">
        <f aca="false">IF(B236=0,0,VLOOKUP(B236,MIE_Components!$A$2:$F$6,2,FALSE()))</f>
        <v>0</v>
      </c>
      <c r="D236" s="14" t="n">
        <f aca="false">IF(B236=0,0,VLOOKUP(B236,MIE_Components!$A$2:$F$6,3,FALSE()))</f>
        <v>0</v>
      </c>
      <c r="E236" s="14" t="n">
        <f aca="false">IF(B236=0,0,VLOOKUP(B236,MIE_Components!$A$2:$F$6,4,FALSE()))</f>
        <v>0</v>
      </c>
      <c r="F236" s="14" t="n">
        <f aca="false">IF(OR($A236="",B236=0),0,MAX(5,B236*IF(OR($A236=Parameters!$B$13,$A236=Parameters!$B$14),0.75,1)-(IF(AND($A236=DATE(2026,11,29),NOV29BF="Yes"),C236,0)+IF(OR($A236=DATE(2026,11,29),$A236=DATE(2026,11,30),$A236=DATE(2026,12,1),$A236=DATE(2026,12,2)),D236,0)+IF(OR($A236=DATE(2026,11,28),$A236=DATE(2026,12,1)),E236,0))))</f>
        <v>0</v>
      </c>
      <c r="G236" s="14" t="n">
        <f aca="false">IF(AND($A236&lt;&gt;"",$A236&lt;Parameters!$B$14),CityData!F3*(1+TAXRATE),0)</f>
        <v>0</v>
      </c>
      <c r="H236" s="14" t="n">
        <f aca="false">IF($A236="",0,IFERROR(VLOOKUP((YEAR($A236)+IF(MONTH($A236)&gt;=10,1,0))&amp;"|Boston|"&amp;MONTH($A236),Rates!$A$2:$I$181,5,FALSE()),0))</f>
        <v>0</v>
      </c>
      <c r="I236" s="14" t="n">
        <f aca="false">IF(OR($A236="",$A236&gt;=Parameters!$B$14),1,IF(AND(H236&gt;0,CityData!F3&lt;=H236),1,0))</f>
        <v>1</v>
      </c>
      <c r="J236" s="14" t="n">
        <f aca="false">IF($A236="",0,IFERROR(VLOOKUP((YEAR($A236)+IF(MONTH($A236)&gt;=10,1,0))&amp;"|Chicago|"&amp;MONTH($A236),Rates!$A$2:$I$181,6,FALSE()),0))</f>
        <v>0</v>
      </c>
      <c r="K236" s="14" t="n">
        <f aca="false">IF(J236=0,0,VLOOKUP(J236,MIE_Components!$A$2:$F$6,2,FALSE()))</f>
        <v>0</v>
      </c>
      <c r="L236" s="14" t="n">
        <f aca="false">IF(J236=0,0,VLOOKUP(J236,MIE_Components!$A$2:$F$6,3,FALSE()))</f>
        <v>0</v>
      </c>
      <c r="M236" s="14" t="n">
        <f aca="false">IF(J236=0,0,VLOOKUP(J236,MIE_Components!$A$2:$F$6,4,FALSE()))</f>
        <v>0</v>
      </c>
      <c r="N236" s="14" t="n">
        <f aca="false">IF(OR($A236="",J236=0),0,MAX(5,J236*IF(OR($A236=Parameters!$B$13,$A236=Parameters!$B$14),0.75,1)-(IF(AND($A236=DATE(2026,11,29),NOV29BF="Yes"),K236,0)+IF(OR($A236=DATE(2026,11,29),$A236=DATE(2026,11,30),$A236=DATE(2026,12,1),$A236=DATE(2026,12,2)),L236,0)+IF(OR($A236=DATE(2026,11,28),$A236=DATE(2026,12,1)),M236,0))))</f>
        <v>0</v>
      </c>
      <c r="O236" s="14" t="n">
        <f aca="false">IF(AND($A236&lt;&gt;"",$A236&lt;Parameters!$B$14),CityData!F4*(1+TAXRATE),0)</f>
        <v>0</v>
      </c>
      <c r="P236" s="14" t="n">
        <f aca="false">IF($A236="",0,IFERROR(VLOOKUP((YEAR($A236)+IF(MONTH($A236)&gt;=10,1,0))&amp;"|Chicago|"&amp;MONTH($A236),Rates!$A$2:$I$181,5,FALSE()),0))</f>
        <v>0</v>
      </c>
      <c r="Q236" s="14" t="n">
        <f aca="false">IF(OR($A236="",$A236&gt;=Parameters!$B$14),1,IF(AND(P236&gt;0,CityData!F4&lt;=P236),1,0))</f>
        <v>1</v>
      </c>
      <c r="R236" s="14" t="n">
        <f aca="false">IF($A236="",0,IFERROR(VLOOKUP((YEAR($A236)+IF(MONTH($A236)&gt;=10,1,0))&amp;"|Denver|"&amp;MONTH($A236),Rates!$A$2:$I$181,6,FALSE()),0))</f>
        <v>0</v>
      </c>
      <c r="S236" s="14" t="n">
        <f aca="false">IF(R236=0,0,VLOOKUP(R236,MIE_Components!$A$2:$F$6,2,FALSE()))</f>
        <v>0</v>
      </c>
      <c r="T236" s="14" t="n">
        <f aca="false">IF(R236=0,0,VLOOKUP(R236,MIE_Components!$A$2:$F$6,3,FALSE()))</f>
        <v>0</v>
      </c>
      <c r="U236" s="14" t="n">
        <f aca="false">IF(R236=0,0,VLOOKUP(R236,MIE_Components!$A$2:$F$6,4,FALSE()))</f>
        <v>0</v>
      </c>
      <c r="V236" s="14" t="n">
        <f aca="false">IF(OR($A236="",R236=0),0,MAX(5,R236*IF(OR($A236=Parameters!$B$13,$A236=Parameters!$B$14),0.75,1)-(IF(AND($A236=DATE(2026,11,29),NOV29BF="Yes"),S236,0)+IF(OR($A236=DATE(2026,11,29),$A236=DATE(2026,11,30),$A236=DATE(2026,12,1),$A236=DATE(2026,12,2)),T236,0)+IF(OR($A236=DATE(2026,11,28),$A236=DATE(2026,12,1)),U236,0))))</f>
        <v>0</v>
      </c>
      <c r="W236" s="14" t="n">
        <f aca="false">IF(AND($A236&lt;&gt;"",$A236&lt;Parameters!$B$14),CityData!F5*(1+TAXRATE),0)</f>
        <v>0</v>
      </c>
      <c r="X236" s="14" t="n">
        <f aca="false">IF($A236="",0,IFERROR(VLOOKUP((YEAR($A236)+IF(MONTH($A236)&gt;=10,1,0))&amp;"|Denver|"&amp;MONTH($A236),Rates!$A$2:$I$181,5,FALSE()),0))</f>
        <v>0</v>
      </c>
      <c r="Y236" s="14" t="n">
        <f aca="false">IF(OR($A236="",$A236&gt;=Parameters!$B$14),1,IF(AND(X236&gt;0,CityData!F5&lt;=X236),1,0))</f>
        <v>1</v>
      </c>
      <c r="Z236" s="14" t="n">
        <f aca="false">IF($A236="",0,IFERROR(VLOOKUP((YEAR($A236)+IF(MONTH($A236)&gt;=10,1,0))&amp;"|Phoenix|"&amp;MONTH($A236),Rates!$A$2:$I$181,6,FALSE()),0))</f>
        <v>0</v>
      </c>
      <c r="AA236" s="14" t="n">
        <f aca="false">IF(Z236=0,0,VLOOKUP(Z236,MIE_Components!$A$2:$F$6,2,FALSE()))</f>
        <v>0</v>
      </c>
      <c r="AB236" s="14" t="n">
        <f aca="false">IF(Z236=0,0,VLOOKUP(Z236,MIE_Components!$A$2:$F$6,3,FALSE()))</f>
        <v>0</v>
      </c>
      <c r="AC236" s="14" t="n">
        <f aca="false">IF(Z236=0,0,VLOOKUP(Z236,MIE_Components!$A$2:$F$6,4,FALSE()))</f>
        <v>0</v>
      </c>
      <c r="AD236" s="14" t="n">
        <f aca="false">IF(OR($A236="",Z236=0),0,MAX(5,Z236*IF(OR($A236=Parameters!$B$13,$A236=Parameters!$B$14),0.75,1)-(IF(AND($A236=DATE(2026,11,29),NOV29BF="Yes"),AA236,0)+IF(OR($A236=DATE(2026,11,29),$A236=DATE(2026,11,30),$A236=DATE(2026,12,1),$A236=DATE(2026,12,2)),AB236,0)+IF(OR($A236=DATE(2026,11,28),$A236=DATE(2026,12,1)),AC236,0))))</f>
        <v>0</v>
      </c>
      <c r="AE236" s="14" t="n">
        <f aca="false">IF(AND($A236&lt;&gt;"",$A236&lt;Parameters!$B$14),CityData!F6*(1+TAXRATE),0)</f>
        <v>0</v>
      </c>
      <c r="AF236" s="14" t="n">
        <f aca="false">IF($A236="",0,IFERROR(VLOOKUP((YEAR($A236)+IF(MONTH($A236)&gt;=10,1,0))&amp;"|Phoenix|"&amp;MONTH($A236),Rates!$A$2:$I$181,5,FALSE()),0))</f>
        <v>0</v>
      </c>
      <c r="AG236" s="14" t="n">
        <f aca="false">IF(OR($A236="",$A236&gt;=Parameters!$B$14),1,IF(AND(AF236&gt;0,CityData!F6&lt;=AF236),1,0))</f>
        <v>1</v>
      </c>
      <c r="AH236" s="14" t="n">
        <f aca="false">IF($A236="",0,IFERROR(VLOOKUP((YEAR($A236)+IF(MONTH($A236)&gt;=10,1,0))&amp;"|Seattle|"&amp;MONTH($A236),Rates!$A$2:$I$181,6,FALSE()),0))</f>
        <v>0</v>
      </c>
      <c r="AI236" s="14" t="n">
        <f aca="false">IF(AH236=0,0,VLOOKUP(AH236,MIE_Components!$A$2:$F$6,2,FALSE()))</f>
        <v>0</v>
      </c>
      <c r="AJ236" s="14" t="n">
        <f aca="false">IF(AH236=0,0,VLOOKUP(AH236,MIE_Components!$A$2:$F$6,3,FALSE()))</f>
        <v>0</v>
      </c>
      <c r="AK236" s="14" t="n">
        <f aca="false">IF(AH236=0,0,VLOOKUP(AH236,MIE_Components!$A$2:$F$6,4,FALSE()))</f>
        <v>0</v>
      </c>
      <c r="AL236" s="14" t="n">
        <f aca="false">IF(OR($A236="",AH236=0),0,MAX(5,AH236*IF(OR($A236=Parameters!$B$13,$A236=Parameters!$B$14),0.75,1)-(IF(AND($A236=DATE(2026,11,29),NOV29BF="Yes"),AI236,0)+IF(OR($A236=DATE(2026,11,29),$A236=DATE(2026,11,30),$A236=DATE(2026,12,1),$A236=DATE(2026,12,2)),AJ236,0)+IF(OR($A236=DATE(2026,11,28),$A236=DATE(2026,12,1)),AK236,0))))</f>
        <v>0</v>
      </c>
      <c r="AM236" s="14" t="n">
        <f aca="false">IF(AND($A236&lt;&gt;"",$A236&lt;Parameters!$B$14),CityData!F7*(1+TAXRATE),0)</f>
        <v>0</v>
      </c>
      <c r="AN236" s="14" t="n">
        <f aca="false">IF($A236="",0,IFERROR(VLOOKUP((YEAR($A236)+IF(MONTH($A236)&gt;=10,1,0))&amp;"|Seattle|"&amp;MONTH($A236),Rates!$A$2:$I$181,5,FALSE()),0))</f>
        <v>0</v>
      </c>
      <c r="AO236" s="14" t="n">
        <f aca="false">IF(OR($A236="",$A236&gt;=Parameters!$B$14),1,IF(AND(AN236&gt;0,CityData!F7&lt;=AN236),1,0))</f>
        <v>1</v>
      </c>
    </row>
    <row r="237" customFormat="false" ht="15" hidden="false" customHeight="true" outlineLevel="0" collapsed="false">
      <c r="A237" s="23" t="str">
        <f aca="false">IF(AND(Parameters!$B$14&gt;=Parameters!$B$13,ROW()-2&lt;=Parameters!$B$14-Parameters!$B$13),Parameters!$B$13+ROW()-2,"")</f>
        <v/>
      </c>
      <c r="B237" s="14" t="n">
        <f aca="false">IF($A237="",0,IFERROR(VLOOKUP((YEAR($A237)+IF(MONTH($A237)&gt;=10,1,0))&amp;"|Boston|"&amp;MONTH($A237),Rates!$A$2:$I$181,6,FALSE()),0))</f>
        <v>0</v>
      </c>
      <c r="C237" s="14" t="n">
        <f aca="false">IF(B237=0,0,VLOOKUP(B237,MIE_Components!$A$2:$F$6,2,FALSE()))</f>
        <v>0</v>
      </c>
      <c r="D237" s="14" t="n">
        <f aca="false">IF(B237=0,0,VLOOKUP(B237,MIE_Components!$A$2:$F$6,3,FALSE()))</f>
        <v>0</v>
      </c>
      <c r="E237" s="14" t="n">
        <f aca="false">IF(B237=0,0,VLOOKUP(B237,MIE_Components!$A$2:$F$6,4,FALSE()))</f>
        <v>0</v>
      </c>
      <c r="F237" s="14" t="n">
        <f aca="false">IF(OR($A237="",B237=0),0,MAX(5,B237*IF(OR($A237=Parameters!$B$13,$A237=Parameters!$B$14),0.75,1)-(IF(AND($A237=DATE(2026,11,29),NOV29BF="Yes"),C237,0)+IF(OR($A237=DATE(2026,11,29),$A237=DATE(2026,11,30),$A237=DATE(2026,12,1),$A237=DATE(2026,12,2)),D237,0)+IF(OR($A237=DATE(2026,11,28),$A237=DATE(2026,12,1)),E237,0))))</f>
        <v>0</v>
      </c>
      <c r="G237" s="14" t="n">
        <f aca="false">IF(AND($A237&lt;&gt;"",$A237&lt;Parameters!$B$14),CityData!F3*(1+TAXRATE),0)</f>
        <v>0</v>
      </c>
      <c r="H237" s="14" t="n">
        <f aca="false">IF($A237="",0,IFERROR(VLOOKUP((YEAR($A237)+IF(MONTH($A237)&gt;=10,1,0))&amp;"|Boston|"&amp;MONTH($A237),Rates!$A$2:$I$181,5,FALSE()),0))</f>
        <v>0</v>
      </c>
      <c r="I237" s="14" t="n">
        <f aca="false">IF(OR($A237="",$A237&gt;=Parameters!$B$14),1,IF(AND(H237&gt;0,CityData!F3&lt;=H237),1,0))</f>
        <v>1</v>
      </c>
      <c r="J237" s="14" t="n">
        <f aca="false">IF($A237="",0,IFERROR(VLOOKUP((YEAR($A237)+IF(MONTH($A237)&gt;=10,1,0))&amp;"|Chicago|"&amp;MONTH($A237),Rates!$A$2:$I$181,6,FALSE()),0))</f>
        <v>0</v>
      </c>
      <c r="K237" s="14" t="n">
        <f aca="false">IF(J237=0,0,VLOOKUP(J237,MIE_Components!$A$2:$F$6,2,FALSE()))</f>
        <v>0</v>
      </c>
      <c r="L237" s="14" t="n">
        <f aca="false">IF(J237=0,0,VLOOKUP(J237,MIE_Components!$A$2:$F$6,3,FALSE()))</f>
        <v>0</v>
      </c>
      <c r="M237" s="14" t="n">
        <f aca="false">IF(J237=0,0,VLOOKUP(J237,MIE_Components!$A$2:$F$6,4,FALSE()))</f>
        <v>0</v>
      </c>
      <c r="N237" s="14" t="n">
        <f aca="false">IF(OR($A237="",J237=0),0,MAX(5,J237*IF(OR($A237=Parameters!$B$13,$A237=Parameters!$B$14),0.75,1)-(IF(AND($A237=DATE(2026,11,29),NOV29BF="Yes"),K237,0)+IF(OR($A237=DATE(2026,11,29),$A237=DATE(2026,11,30),$A237=DATE(2026,12,1),$A237=DATE(2026,12,2)),L237,0)+IF(OR($A237=DATE(2026,11,28),$A237=DATE(2026,12,1)),M237,0))))</f>
        <v>0</v>
      </c>
      <c r="O237" s="14" t="n">
        <f aca="false">IF(AND($A237&lt;&gt;"",$A237&lt;Parameters!$B$14),CityData!F4*(1+TAXRATE),0)</f>
        <v>0</v>
      </c>
      <c r="P237" s="14" t="n">
        <f aca="false">IF($A237="",0,IFERROR(VLOOKUP((YEAR($A237)+IF(MONTH($A237)&gt;=10,1,0))&amp;"|Chicago|"&amp;MONTH($A237),Rates!$A$2:$I$181,5,FALSE()),0))</f>
        <v>0</v>
      </c>
      <c r="Q237" s="14" t="n">
        <f aca="false">IF(OR($A237="",$A237&gt;=Parameters!$B$14),1,IF(AND(P237&gt;0,CityData!F4&lt;=P237),1,0))</f>
        <v>1</v>
      </c>
      <c r="R237" s="14" t="n">
        <f aca="false">IF($A237="",0,IFERROR(VLOOKUP((YEAR($A237)+IF(MONTH($A237)&gt;=10,1,0))&amp;"|Denver|"&amp;MONTH($A237),Rates!$A$2:$I$181,6,FALSE()),0))</f>
        <v>0</v>
      </c>
      <c r="S237" s="14" t="n">
        <f aca="false">IF(R237=0,0,VLOOKUP(R237,MIE_Components!$A$2:$F$6,2,FALSE()))</f>
        <v>0</v>
      </c>
      <c r="T237" s="14" t="n">
        <f aca="false">IF(R237=0,0,VLOOKUP(R237,MIE_Components!$A$2:$F$6,3,FALSE()))</f>
        <v>0</v>
      </c>
      <c r="U237" s="14" t="n">
        <f aca="false">IF(R237=0,0,VLOOKUP(R237,MIE_Components!$A$2:$F$6,4,FALSE()))</f>
        <v>0</v>
      </c>
      <c r="V237" s="14" t="n">
        <f aca="false">IF(OR($A237="",R237=0),0,MAX(5,R237*IF(OR($A237=Parameters!$B$13,$A237=Parameters!$B$14),0.75,1)-(IF(AND($A237=DATE(2026,11,29),NOV29BF="Yes"),S237,0)+IF(OR($A237=DATE(2026,11,29),$A237=DATE(2026,11,30),$A237=DATE(2026,12,1),$A237=DATE(2026,12,2)),T237,0)+IF(OR($A237=DATE(2026,11,28),$A237=DATE(2026,12,1)),U237,0))))</f>
        <v>0</v>
      </c>
      <c r="W237" s="14" t="n">
        <f aca="false">IF(AND($A237&lt;&gt;"",$A237&lt;Parameters!$B$14),CityData!F5*(1+TAXRATE),0)</f>
        <v>0</v>
      </c>
      <c r="X237" s="14" t="n">
        <f aca="false">IF($A237="",0,IFERROR(VLOOKUP((YEAR($A237)+IF(MONTH($A237)&gt;=10,1,0))&amp;"|Denver|"&amp;MONTH($A237),Rates!$A$2:$I$181,5,FALSE()),0))</f>
        <v>0</v>
      </c>
      <c r="Y237" s="14" t="n">
        <f aca="false">IF(OR($A237="",$A237&gt;=Parameters!$B$14),1,IF(AND(X237&gt;0,CityData!F5&lt;=X237),1,0))</f>
        <v>1</v>
      </c>
      <c r="Z237" s="14" t="n">
        <f aca="false">IF($A237="",0,IFERROR(VLOOKUP((YEAR($A237)+IF(MONTH($A237)&gt;=10,1,0))&amp;"|Phoenix|"&amp;MONTH($A237),Rates!$A$2:$I$181,6,FALSE()),0))</f>
        <v>0</v>
      </c>
      <c r="AA237" s="14" t="n">
        <f aca="false">IF(Z237=0,0,VLOOKUP(Z237,MIE_Components!$A$2:$F$6,2,FALSE()))</f>
        <v>0</v>
      </c>
      <c r="AB237" s="14" t="n">
        <f aca="false">IF(Z237=0,0,VLOOKUP(Z237,MIE_Components!$A$2:$F$6,3,FALSE()))</f>
        <v>0</v>
      </c>
      <c r="AC237" s="14" t="n">
        <f aca="false">IF(Z237=0,0,VLOOKUP(Z237,MIE_Components!$A$2:$F$6,4,FALSE()))</f>
        <v>0</v>
      </c>
      <c r="AD237" s="14" t="n">
        <f aca="false">IF(OR($A237="",Z237=0),0,MAX(5,Z237*IF(OR($A237=Parameters!$B$13,$A237=Parameters!$B$14),0.75,1)-(IF(AND($A237=DATE(2026,11,29),NOV29BF="Yes"),AA237,0)+IF(OR($A237=DATE(2026,11,29),$A237=DATE(2026,11,30),$A237=DATE(2026,12,1),$A237=DATE(2026,12,2)),AB237,0)+IF(OR($A237=DATE(2026,11,28),$A237=DATE(2026,12,1)),AC237,0))))</f>
        <v>0</v>
      </c>
      <c r="AE237" s="14" t="n">
        <f aca="false">IF(AND($A237&lt;&gt;"",$A237&lt;Parameters!$B$14),CityData!F6*(1+TAXRATE),0)</f>
        <v>0</v>
      </c>
      <c r="AF237" s="14" t="n">
        <f aca="false">IF($A237="",0,IFERROR(VLOOKUP((YEAR($A237)+IF(MONTH($A237)&gt;=10,1,0))&amp;"|Phoenix|"&amp;MONTH($A237),Rates!$A$2:$I$181,5,FALSE()),0))</f>
        <v>0</v>
      </c>
      <c r="AG237" s="14" t="n">
        <f aca="false">IF(OR($A237="",$A237&gt;=Parameters!$B$14),1,IF(AND(AF237&gt;0,CityData!F6&lt;=AF237),1,0))</f>
        <v>1</v>
      </c>
      <c r="AH237" s="14" t="n">
        <f aca="false">IF($A237="",0,IFERROR(VLOOKUP((YEAR($A237)+IF(MONTH($A237)&gt;=10,1,0))&amp;"|Seattle|"&amp;MONTH($A237),Rates!$A$2:$I$181,6,FALSE()),0))</f>
        <v>0</v>
      </c>
      <c r="AI237" s="14" t="n">
        <f aca="false">IF(AH237=0,0,VLOOKUP(AH237,MIE_Components!$A$2:$F$6,2,FALSE()))</f>
        <v>0</v>
      </c>
      <c r="AJ237" s="14" t="n">
        <f aca="false">IF(AH237=0,0,VLOOKUP(AH237,MIE_Components!$A$2:$F$6,3,FALSE()))</f>
        <v>0</v>
      </c>
      <c r="AK237" s="14" t="n">
        <f aca="false">IF(AH237=0,0,VLOOKUP(AH237,MIE_Components!$A$2:$F$6,4,FALSE()))</f>
        <v>0</v>
      </c>
      <c r="AL237" s="14" t="n">
        <f aca="false">IF(OR($A237="",AH237=0),0,MAX(5,AH237*IF(OR($A237=Parameters!$B$13,$A237=Parameters!$B$14),0.75,1)-(IF(AND($A237=DATE(2026,11,29),NOV29BF="Yes"),AI237,0)+IF(OR($A237=DATE(2026,11,29),$A237=DATE(2026,11,30),$A237=DATE(2026,12,1),$A237=DATE(2026,12,2)),AJ237,0)+IF(OR($A237=DATE(2026,11,28),$A237=DATE(2026,12,1)),AK237,0))))</f>
        <v>0</v>
      </c>
      <c r="AM237" s="14" t="n">
        <f aca="false">IF(AND($A237&lt;&gt;"",$A237&lt;Parameters!$B$14),CityData!F7*(1+TAXRATE),0)</f>
        <v>0</v>
      </c>
      <c r="AN237" s="14" t="n">
        <f aca="false">IF($A237="",0,IFERROR(VLOOKUP((YEAR($A237)+IF(MONTH($A237)&gt;=10,1,0))&amp;"|Seattle|"&amp;MONTH($A237),Rates!$A$2:$I$181,5,FALSE()),0))</f>
        <v>0</v>
      </c>
      <c r="AO237" s="14" t="n">
        <f aca="false">IF(OR($A237="",$A237&gt;=Parameters!$B$14),1,IF(AND(AN237&gt;0,CityData!F7&lt;=AN237),1,0))</f>
        <v>1</v>
      </c>
    </row>
    <row r="238" customFormat="false" ht="15" hidden="false" customHeight="true" outlineLevel="0" collapsed="false">
      <c r="A238" s="23" t="str">
        <f aca="false">IF(AND(Parameters!$B$14&gt;=Parameters!$B$13,ROW()-2&lt;=Parameters!$B$14-Parameters!$B$13),Parameters!$B$13+ROW()-2,"")</f>
        <v/>
      </c>
      <c r="B238" s="14" t="n">
        <f aca="false">IF($A238="",0,IFERROR(VLOOKUP((YEAR($A238)+IF(MONTH($A238)&gt;=10,1,0))&amp;"|Boston|"&amp;MONTH($A238),Rates!$A$2:$I$181,6,FALSE()),0))</f>
        <v>0</v>
      </c>
      <c r="C238" s="14" t="n">
        <f aca="false">IF(B238=0,0,VLOOKUP(B238,MIE_Components!$A$2:$F$6,2,FALSE()))</f>
        <v>0</v>
      </c>
      <c r="D238" s="14" t="n">
        <f aca="false">IF(B238=0,0,VLOOKUP(B238,MIE_Components!$A$2:$F$6,3,FALSE()))</f>
        <v>0</v>
      </c>
      <c r="E238" s="14" t="n">
        <f aca="false">IF(B238=0,0,VLOOKUP(B238,MIE_Components!$A$2:$F$6,4,FALSE()))</f>
        <v>0</v>
      </c>
      <c r="F238" s="14" t="n">
        <f aca="false">IF(OR($A238="",B238=0),0,MAX(5,B238*IF(OR($A238=Parameters!$B$13,$A238=Parameters!$B$14),0.75,1)-(IF(AND($A238=DATE(2026,11,29),NOV29BF="Yes"),C238,0)+IF(OR($A238=DATE(2026,11,29),$A238=DATE(2026,11,30),$A238=DATE(2026,12,1),$A238=DATE(2026,12,2)),D238,0)+IF(OR($A238=DATE(2026,11,28),$A238=DATE(2026,12,1)),E238,0))))</f>
        <v>0</v>
      </c>
      <c r="G238" s="14" t="n">
        <f aca="false">IF(AND($A238&lt;&gt;"",$A238&lt;Parameters!$B$14),CityData!F3*(1+TAXRATE),0)</f>
        <v>0</v>
      </c>
      <c r="H238" s="14" t="n">
        <f aca="false">IF($A238="",0,IFERROR(VLOOKUP((YEAR($A238)+IF(MONTH($A238)&gt;=10,1,0))&amp;"|Boston|"&amp;MONTH($A238),Rates!$A$2:$I$181,5,FALSE()),0))</f>
        <v>0</v>
      </c>
      <c r="I238" s="14" t="n">
        <f aca="false">IF(OR($A238="",$A238&gt;=Parameters!$B$14),1,IF(AND(H238&gt;0,CityData!F3&lt;=H238),1,0))</f>
        <v>1</v>
      </c>
      <c r="J238" s="14" t="n">
        <f aca="false">IF($A238="",0,IFERROR(VLOOKUP((YEAR($A238)+IF(MONTH($A238)&gt;=10,1,0))&amp;"|Chicago|"&amp;MONTH($A238),Rates!$A$2:$I$181,6,FALSE()),0))</f>
        <v>0</v>
      </c>
      <c r="K238" s="14" t="n">
        <f aca="false">IF(J238=0,0,VLOOKUP(J238,MIE_Components!$A$2:$F$6,2,FALSE()))</f>
        <v>0</v>
      </c>
      <c r="L238" s="14" t="n">
        <f aca="false">IF(J238=0,0,VLOOKUP(J238,MIE_Components!$A$2:$F$6,3,FALSE()))</f>
        <v>0</v>
      </c>
      <c r="M238" s="14" t="n">
        <f aca="false">IF(J238=0,0,VLOOKUP(J238,MIE_Components!$A$2:$F$6,4,FALSE()))</f>
        <v>0</v>
      </c>
      <c r="N238" s="14" t="n">
        <f aca="false">IF(OR($A238="",J238=0),0,MAX(5,J238*IF(OR($A238=Parameters!$B$13,$A238=Parameters!$B$14),0.75,1)-(IF(AND($A238=DATE(2026,11,29),NOV29BF="Yes"),K238,0)+IF(OR($A238=DATE(2026,11,29),$A238=DATE(2026,11,30),$A238=DATE(2026,12,1),$A238=DATE(2026,12,2)),L238,0)+IF(OR($A238=DATE(2026,11,28),$A238=DATE(2026,12,1)),M238,0))))</f>
        <v>0</v>
      </c>
      <c r="O238" s="14" t="n">
        <f aca="false">IF(AND($A238&lt;&gt;"",$A238&lt;Parameters!$B$14),CityData!F4*(1+TAXRATE),0)</f>
        <v>0</v>
      </c>
      <c r="P238" s="14" t="n">
        <f aca="false">IF($A238="",0,IFERROR(VLOOKUP((YEAR($A238)+IF(MONTH($A238)&gt;=10,1,0))&amp;"|Chicago|"&amp;MONTH($A238),Rates!$A$2:$I$181,5,FALSE()),0))</f>
        <v>0</v>
      </c>
      <c r="Q238" s="14" t="n">
        <f aca="false">IF(OR($A238="",$A238&gt;=Parameters!$B$14),1,IF(AND(P238&gt;0,CityData!F4&lt;=P238),1,0))</f>
        <v>1</v>
      </c>
      <c r="R238" s="14" t="n">
        <f aca="false">IF($A238="",0,IFERROR(VLOOKUP((YEAR($A238)+IF(MONTH($A238)&gt;=10,1,0))&amp;"|Denver|"&amp;MONTH($A238),Rates!$A$2:$I$181,6,FALSE()),0))</f>
        <v>0</v>
      </c>
      <c r="S238" s="14" t="n">
        <f aca="false">IF(R238=0,0,VLOOKUP(R238,MIE_Components!$A$2:$F$6,2,FALSE()))</f>
        <v>0</v>
      </c>
      <c r="T238" s="14" t="n">
        <f aca="false">IF(R238=0,0,VLOOKUP(R238,MIE_Components!$A$2:$F$6,3,FALSE()))</f>
        <v>0</v>
      </c>
      <c r="U238" s="14" t="n">
        <f aca="false">IF(R238=0,0,VLOOKUP(R238,MIE_Components!$A$2:$F$6,4,FALSE()))</f>
        <v>0</v>
      </c>
      <c r="V238" s="14" t="n">
        <f aca="false">IF(OR($A238="",R238=0),0,MAX(5,R238*IF(OR($A238=Parameters!$B$13,$A238=Parameters!$B$14),0.75,1)-(IF(AND($A238=DATE(2026,11,29),NOV29BF="Yes"),S238,0)+IF(OR($A238=DATE(2026,11,29),$A238=DATE(2026,11,30),$A238=DATE(2026,12,1),$A238=DATE(2026,12,2)),T238,0)+IF(OR($A238=DATE(2026,11,28),$A238=DATE(2026,12,1)),U238,0))))</f>
        <v>0</v>
      </c>
      <c r="W238" s="14" t="n">
        <f aca="false">IF(AND($A238&lt;&gt;"",$A238&lt;Parameters!$B$14),CityData!F5*(1+TAXRATE),0)</f>
        <v>0</v>
      </c>
      <c r="X238" s="14" t="n">
        <f aca="false">IF($A238="",0,IFERROR(VLOOKUP((YEAR($A238)+IF(MONTH($A238)&gt;=10,1,0))&amp;"|Denver|"&amp;MONTH($A238),Rates!$A$2:$I$181,5,FALSE()),0))</f>
        <v>0</v>
      </c>
      <c r="Y238" s="14" t="n">
        <f aca="false">IF(OR($A238="",$A238&gt;=Parameters!$B$14),1,IF(AND(X238&gt;0,CityData!F5&lt;=X238),1,0))</f>
        <v>1</v>
      </c>
      <c r="Z238" s="14" t="n">
        <f aca="false">IF($A238="",0,IFERROR(VLOOKUP((YEAR($A238)+IF(MONTH($A238)&gt;=10,1,0))&amp;"|Phoenix|"&amp;MONTH($A238),Rates!$A$2:$I$181,6,FALSE()),0))</f>
        <v>0</v>
      </c>
      <c r="AA238" s="14" t="n">
        <f aca="false">IF(Z238=0,0,VLOOKUP(Z238,MIE_Components!$A$2:$F$6,2,FALSE()))</f>
        <v>0</v>
      </c>
      <c r="AB238" s="14" t="n">
        <f aca="false">IF(Z238=0,0,VLOOKUP(Z238,MIE_Components!$A$2:$F$6,3,FALSE()))</f>
        <v>0</v>
      </c>
      <c r="AC238" s="14" t="n">
        <f aca="false">IF(Z238=0,0,VLOOKUP(Z238,MIE_Components!$A$2:$F$6,4,FALSE()))</f>
        <v>0</v>
      </c>
      <c r="AD238" s="14" t="n">
        <f aca="false">IF(OR($A238="",Z238=0),0,MAX(5,Z238*IF(OR($A238=Parameters!$B$13,$A238=Parameters!$B$14),0.75,1)-(IF(AND($A238=DATE(2026,11,29),NOV29BF="Yes"),AA238,0)+IF(OR($A238=DATE(2026,11,29),$A238=DATE(2026,11,30),$A238=DATE(2026,12,1),$A238=DATE(2026,12,2)),AB238,0)+IF(OR($A238=DATE(2026,11,28),$A238=DATE(2026,12,1)),AC238,0))))</f>
        <v>0</v>
      </c>
      <c r="AE238" s="14" t="n">
        <f aca="false">IF(AND($A238&lt;&gt;"",$A238&lt;Parameters!$B$14),CityData!F6*(1+TAXRATE),0)</f>
        <v>0</v>
      </c>
      <c r="AF238" s="14" t="n">
        <f aca="false">IF($A238="",0,IFERROR(VLOOKUP((YEAR($A238)+IF(MONTH($A238)&gt;=10,1,0))&amp;"|Phoenix|"&amp;MONTH($A238),Rates!$A$2:$I$181,5,FALSE()),0))</f>
        <v>0</v>
      </c>
      <c r="AG238" s="14" t="n">
        <f aca="false">IF(OR($A238="",$A238&gt;=Parameters!$B$14),1,IF(AND(AF238&gt;0,CityData!F6&lt;=AF238),1,0))</f>
        <v>1</v>
      </c>
      <c r="AH238" s="14" t="n">
        <f aca="false">IF($A238="",0,IFERROR(VLOOKUP((YEAR($A238)+IF(MONTH($A238)&gt;=10,1,0))&amp;"|Seattle|"&amp;MONTH($A238),Rates!$A$2:$I$181,6,FALSE()),0))</f>
        <v>0</v>
      </c>
      <c r="AI238" s="14" t="n">
        <f aca="false">IF(AH238=0,0,VLOOKUP(AH238,MIE_Components!$A$2:$F$6,2,FALSE()))</f>
        <v>0</v>
      </c>
      <c r="AJ238" s="14" t="n">
        <f aca="false">IF(AH238=0,0,VLOOKUP(AH238,MIE_Components!$A$2:$F$6,3,FALSE()))</f>
        <v>0</v>
      </c>
      <c r="AK238" s="14" t="n">
        <f aca="false">IF(AH238=0,0,VLOOKUP(AH238,MIE_Components!$A$2:$F$6,4,FALSE()))</f>
        <v>0</v>
      </c>
      <c r="AL238" s="14" t="n">
        <f aca="false">IF(OR($A238="",AH238=0),0,MAX(5,AH238*IF(OR($A238=Parameters!$B$13,$A238=Parameters!$B$14),0.75,1)-(IF(AND($A238=DATE(2026,11,29),NOV29BF="Yes"),AI238,0)+IF(OR($A238=DATE(2026,11,29),$A238=DATE(2026,11,30),$A238=DATE(2026,12,1),$A238=DATE(2026,12,2)),AJ238,0)+IF(OR($A238=DATE(2026,11,28),$A238=DATE(2026,12,1)),AK238,0))))</f>
        <v>0</v>
      </c>
      <c r="AM238" s="14" t="n">
        <f aca="false">IF(AND($A238&lt;&gt;"",$A238&lt;Parameters!$B$14),CityData!F7*(1+TAXRATE),0)</f>
        <v>0</v>
      </c>
      <c r="AN238" s="14" t="n">
        <f aca="false">IF($A238="",0,IFERROR(VLOOKUP((YEAR($A238)+IF(MONTH($A238)&gt;=10,1,0))&amp;"|Seattle|"&amp;MONTH($A238),Rates!$A$2:$I$181,5,FALSE()),0))</f>
        <v>0</v>
      </c>
      <c r="AO238" s="14" t="n">
        <f aca="false">IF(OR($A238="",$A238&gt;=Parameters!$B$14),1,IF(AND(AN238&gt;0,CityData!F7&lt;=AN238),1,0))</f>
        <v>1</v>
      </c>
    </row>
    <row r="239" customFormat="false" ht="15" hidden="false" customHeight="true" outlineLevel="0" collapsed="false">
      <c r="A239" s="23" t="str">
        <f aca="false">IF(AND(Parameters!$B$14&gt;=Parameters!$B$13,ROW()-2&lt;=Parameters!$B$14-Parameters!$B$13),Parameters!$B$13+ROW()-2,"")</f>
        <v/>
      </c>
      <c r="B239" s="14" t="n">
        <f aca="false">IF($A239="",0,IFERROR(VLOOKUP((YEAR($A239)+IF(MONTH($A239)&gt;=10,1,0))&amp;"|Boston|"&amp;MONTH($A239),Rates!$A$2:$I$181,6,FALSE()),0))</f>
        <v>0</v>
      </c>
      <c r="C239" s="14" t="n">
        <f aca="false">IF(B239=0,0,VLOOKUP(B239,MIE_Components!$A$2:$F$6,2,FALSE()))</f>
        <v>0</v>
      </c>
      <c r="D239" s="14" t="n">
        <f aca="false">IF(B239=0,0,VLOOKUP(B239,MIE_Components!$A$2:$F$6,3,FALSE()))</f>
        <v>0</v>
      </c>
      <c r="E239" s="14" t="n">
        <f aca="false">IF(B239=0,0,VLOOKUP(B239,MIE_Components!$A$2:$F$6,4,FALSE()))</f>
        <v>0</v>
      </c>
      <c r="F239" s="14" t="n">
        <f aca="false">IF(OR($A239="",B239=0),0,MAX(5,B239*IF(OR($A239=Parameters!$B$13,$A239=Parameters!$B$14),0.75,1)-(IF(AND($A239=DATE(2026,11,29),NOV29BF="Yes"),C239,0)+IF(OR($A239=DATE(2026,11,29),$A239=DATE(2026,11,30),$A239=DATE(2026,12,1),$A239=DATE(2026,12,2)),D239,0)+IF(OR($A239=DATE(2026,11,28),$A239=DATE(2026,12,1)),E239,0))))</f>
        <v>0</v>
      </c>
      <c r="G239" s="14" t="n">
        <f aca="false">IF(AND($A239&lt;&gt;"",$A239&lt;Parameters!$B$14),CityData!F3*(1+TAXRATE),0)</f>
        <v>0</v>
      </c>
      <c r="H239" s="14" t="n">
        <f aca="false">IF($A239="",0,IFERROR(VLOOKUP((YEAR($A239)+IF(MONTH($A239)&gt;=10,1,0))&amp;"|Boston|"&amp;MONTH($A239),Rates!$A$2:$I$181,5,FALSE()),0))</f>
        <v>0</v>
      </c>
      <c r="I239" s="14" t="n">
        <f aca="false">IF(OR($A239="",$A239&gt;=Parameters!$B$14),1,IF(AND(H239&gt;0,CityData!F3&lt;=H239),1,0))</f>
        <v>1</v>
      </c>
      <c r="J239" s="14" t="n">
        <f aca="false">IF($A239="",0,IFERROR(VLOOKUP((YEAR($A239)+IF(MONTH($A239)&gt;=10,1,0))&amp;"|Chicago|"&amp;MONTH($A239),Rates!$A$2:$I$181,6,FALSE()),0))</f>
        <v>0</v>
      </c>
      <c r="K239" s="14" t="n">
        <f aca="false">IF(J239=0,0,VLOOKUP(J239,MIE_Components!$A$2:$F$6,2,FALSE()))</f>
        <v>0</v>
      </c>
      <c r="L239" s="14" t="n">
        <f aca="false">IF(J239=0,0,VLOOKUP(J239,MIE_Components!$A$2:$F$6,3,FALSE()))</f>
        <v>0</v>
      </c>
      <c r="M239" s="14" t="n">
        <f aca="false">IF(J239=0,0,VLOOKUP(J239,MIE_Components!$A$2:$F$6,4,FALSE()))</f>
        <v>0</v>
      </c>
      <c r="N239" s="14" t="n">
        <f aca="false">IF(OR($A239="",J239=0),0,MAX(5,J239*IF(OR($A239=Parameters!$B$13,$A239=Parameters!$B$14),0.75,1)-(IF(AND($A239=DATE(2026,11,29),NOV29BF="Yes"),K239,0)+IF(OR($A239=DATE(2026,11,29),$A239=DATE(2026,11,30),$A239=DATE(2026,12,1),$A239=DATE(2026,12,2)),L239,0)+IF(OR($A239=DATE(2026,11,28),$A239=DATE(2026,12,1)),M239,0))))</f>
        <v>0</v>
      </c>
      <c r="O239" s="14" t="n">
        <f aca="false">IF(AND($A239&lt;&gt;"",$A239&lt;Parameters!$B$14),CityData!F4*(1+TAXRATE),0)</f>
        <v>0</v>
      </c>
      <c r="P239" s="14" t="n">
        <f aca="false">IF($A239="",0,IFERROR(VLOOKUP((YEAR($A239)+IF(MONTH($A239)&gt;=10,1,0))&amp;"|Chicago|"&amp;MONTH($A239),Rates!$A$2:$I$181,5,FALSE()),0))</f>
        <v>0</v>
      </c>
      <c r="Q239" s="14" t="n">
        <f aca="false">IF(OR($A239="",$A239&gt;=Parameters!$B$14),1,IF(AND(P239&gt;0,CityData!F4&lt;=P239),1,0))</f>
        <v>1</v>
      </c>
      <c r="R239" s="14" t="n">
        <f aca="false">IF($A239="",0,IFERROR(VLOOKUP((YEAR($A239)+IF(MONTH($A239)&gt;=10,1,0))&amp;"|Denver|"&amp;MONTH($A239),Rates!$A$2:$I$181,6,FALSE()),0))</f>
        <v>0</v>
      </c>
      <c r="S239" s="14" t="n">
        <f aca="false">IF(R239=0,0,VLOOKUP(R239,MIE_Components!$A$2:$F$6,2,FALSE()))</f>
        <v>0</v>
      </c>
      <c r="T239" s="14" t="n">
        <f aca="false">IF(R239=0,0,VLOOKUP(R239,MIE_Components!$A$2:$F$6,3,FALSE()))</f>
        <v>0</v>
      </c>
      <c r="U239" s="14" t="n">
        <f aca="false">IF(R239=0,0,VLOOKUP(R239,MIE_Components!$A$2:$F$6,4,FALSE()))</f>
        <v>0</v>
      </c>
      <c r="V239" s="14" t="n">
        <f aca="false">IF(OR($A239="",R239=0),0,MAX(5,R239*IF(OR($A239=Parameters!$B$13,$A239=Parameters!$B$14),0.75,1)-(IF(AND($A239=DATE(2026,11,29),NOV29BF="Yes"),S239,0)+IF(OR($A239=DATE(2026,11,29),$A239=DATE(2026,11,30),$A239=DATE(2026,12,1),$A239=DATE(2026,12,2)),T239,0)+IF(OR($A239=DATE(2026,11,28),$A239=DATE(2026,12,1)),U239,0))))</f>
        <v>0</v>
      </c>
      <c r="W239" s="14" t="n">
        <f aca="false">IF(AND($A239&lt;&gt;"",$A239&lt;Parameters!$B$14),CityData!F5*(1+TAXRATE),0)</f>
        <v>0</v>
      </c>
      <c r="X239" s="14" t="n">
        <f aca="false">IF($A239="",0,IFERROR(VLOOKUP((YEAR($A239)+IF(MONTH($A239)&gt;=10,1,0))&amp;"|Denver|"&amp;MONTH($A239),Rates!$A$2:$I$181,5,FALSE()),0))</f>
        <v>0</v>
      </c>
      <c r="Y239" s="14" t="n">
        <f aca="false">IF(OR($A239="",$A239&gt;=Parameters!$B$14),1,IF(AND(X239&gt;0,CityData!F5&lt;=X239),1,0))</f>
        <v>1</v>
      </c>
      <c r="Z239" s="14" t="n">
        <f aca="false">IF($A239="",0,IFERROR(VLOOKUP((YEAR($A239)+IF(MONTH($A239)&gt;=10,1,0))&amp;"|Phoenix|"&amp;MONTH($A239),Rates!$A$2:$I$181,6,FALSE()),0))</f>
        <v>0</v>
      </c>
      <c r="AA239" s="14" t="n">
        <f aca="false">IF(Z239=0,0,VLOOKUP(Z239,MIE_Components!$A$2:$F$6,2,FALSE()))</f>
        <v>0</v>
      </c>
      <c r="AB239" s="14" t="n">
        <f aca="false">IF(Z239=0,0,VLOOKUP(Z239,MIE_Components!$A$2:$F$6,3,FALSE()))</f>
        <v>0</v>
      </c>
      <c r="AC239" s="14" t="n">
        <f aca="false">IF(Z239=0,0,VLOOKUP(Z239,MIE_Components!$A$2:$F$6,4,FALSE()))</f>
        <v>0</v>
      </c>
      <c r="AD239" s="14" t="n">
        <f aca="false">IF(OR($A239="",Z239=0),0,MAX(5,Z239*IF(OR($A239=Parameters!$B$13,$A239=Parameters!$B$14),0.75,1)-(IF(AND($A239=DATE(2026,11,29),NOV29BF="Yes"),AA239,0)+IF(OR($A239=DATE(2026,11,29),$A239=DATE(2026,11,30),$A239=DATE(2026,12,1),$A239=DATE(2026,12,2)),AB239,0)+IF(OR($A239=DATE(2026,11,28),$A239=DATE(2026,12,1)),AC239,0))))</f>
        <v>0</v>
      </c>
      <c r="AE239" s="14" t="n">
        <f aca="false">IF(AND($A239&lt;&gt;"",$A239&lt;Parameters!$B$14),CityData!F6*(1+TAXRATE),0)</f>
        <v>0</v>
      </c>
      <c r="AF239" s="14" t="n">
        <f aca="false">IF($A239="",0,IFERROR(VLOOKUP((YEAR($A239)+IF(MONTH($A239)&gt;=10,1,0))&amp;"|Phoenix|"&amp;MONTH($A239),Rates!$A$2:$I$181,5,FALSE()),0))</f>
        <v>0</v>
      </c>
      <c r="AG239" s="14" t="n">
        <f aca="false">IF(OR($A239="",$A239&gt;=Parameters!$B$14),1,IF(AND(AF239&gt;0,CityData!F6&lt;=AF239),1,0))</f>
        <v>1</v>
      </c>
      <c r="AH239" s="14" t="n">
        <f aca="false">IF($A239="",0,IFERROR(VLOOKUP((YEAR($A239)+IF(MONTH($A239)&gt;=10,1,0))&amp;"|Seattle|"&amp;MONTH($A239),Rates!$A$2:$I$181,6,FALSE()),0))</f>
        <v>0</v>
      </c>
      <c r="AI239" s="14" t="n">
        <f aca="false">IF(AH239=0,0,VLOOKUP(AH239,MIE_Components!$A$2:$F$6,2,FALSE()))</f>
        <v>0</v>
      </c>
      <c r="AJ239" s="14" t="n">
        <f aca="false">IF(AH239=0,0,VLOOKUP(AH239,MIE_Components!$A$2:$F$6,3,FALSE()))</f>
        <v>0</v>
      </c>
      <c r="AK239" s="14" t="n">
        <f aca="false">IF(AH239=0,0,VLOOKUP(AH239,MIE_Components!$A$2:$F$6,4,FALSE()))</f>
        <v>0</v>
      </c>
      <c r="AL239" s="14" t="n">
        <f aca="false">IF(OR($A239="",AH239=0),0,MAX(5,AH239*IF(OR($A239=Parameters!$B$13,$A239=Parameters!$B$14),0.75,1)-(IF(AND($A239=DATE(2026,11,29),NOV29BF="Yes"),AI239,0)+IF(OR($A239=DATE(2026,11,29),$A239=DATE(2026,11,30),$A239=DATE(2026,12,1),$A239=DATE(2026,12,2)),AJ239,0)+IF(OR($A239=DATE(2026,11,28),$A239=DATE(2026,12,1)),AK239,0))))</f>
        <v>0</v>
      </c>
      <c r="AM239" s="14" t="n">
        <f aca="false">IF(AND($A239&lt;&gt;"",$A239&lt;Parameters!$B$14),CityData!F7*(1+TAXRATE),0)</f>
        <v>0</v>
      </c>
      <c r="AN239" s="14" t="n">
        <f aca="false">IF($A239="",0,IFERROR(VLOOKUP((YEAR($A239)+IF(MONTH($A239)&gt;=10,1,0))&amp;"|Seattle|"&amp;MONTH($A239),Rates!$A$2:$I$181,5,FALSE()),0))</f>
        <v>0</v>
      </c>
      <c r="AO239" s="14" t="n">
        <f aca="false">IF(OR($A239="",$A239&gt;=Parameters!$B$14),1,IF(AND(AN239&gt;0,CityData!F7&lt;=AN239),1,0))</f>
        <v>1</v>
      </c>
    </row>
    <row r="240" customFormat="false" ht="15" hidden="false" customHeight="true" outlineLevel="0" collapsed="false">
      <c r="A240" s="23" t="str">
        <f aca="false">IF(AND(Parameters!$B$14&gt;=Parameters!$B$13,ROW()-2&lt;=Parameters!$B$14-Parameters!$B$13),Parameters!$B$13+ROW()-2,"")</f>
        <v/>
      </c>
      <c r="B240" s="14" t="n">
        <f aca="false">IF($A240="",0,IFERROR(VLOOKUP((YEAR($A240)+IF(MONTH($A240)&gt;=10,1,0))&amp;"|Boston|"&amp;MONTH($A240),Rates!$A$2:$I$181,6,FALSE()),0))</f>
        <v>0</v>
      </c>
      <c r="C240" s="14" t="n">
        <f aca="false">IF(B240=0,0,VLOOKUP(B240,MIE_Components!$A$2:$F$6,2,FALSE()))</f>
        <v>0</v>
      </c>
      <c r="D240" s="14" t="n">
        <f aca="false">IF(B240=0,0,VLOOKUP(B240,MIE_Components!$A$2:$F$6,3,FALSE()))</f>
        <v>0</v>
      </c>
      <c r="E240" s="14" t="n">
        <f aca="false">IF(B240=0,0,VLOOKUP(B240,MIE_Components!$A$2:$F$6,4,FALSE()))</f>
        <v>0</v>
      </c>
      <c r="F240" s="14" t="n">
        <f aca="false">IF(OR($A240="",B240=0),0,MAX(5,B240*IF(OR($A240=Parameters!$B$13,$A240=Parameters!$B$14),0.75,1)-(IF(AND($A240=DATE(2026,11,29),NOV29BF="Yes"),C240,0)+IF(OR($A240=DATE(2026,11,29),$A240=DATE(2026,11,30),$A240=DATE(2026,12,1),$A240=DATE(2026,12,2)),D240,0)+IF(OR($A240=DATE(2026,11,28),$A240=DATE(2026,12,1)),E240,0))))</f>
        <v>0</v>
      </c>
      <c r="G240" s="14" t="n">
        <f aca="false">IF(AND($A240&lt;&gt;"",$A240&lt;Parameters!$B$14),CityData!F3*(1+TAXRATE),0)</f>
        <v>0</v>
      </c>
      <c r="H240" s="14" t="n">
        <f aca="false">IF($A240="",0,IFERROR(VLOOKUP((YEAR($A240)+IF(MONTH($A240)&gt;=10,1,0))&amp;"|Boston|"&amp;MONTH($A240),Rates!$A$2:$I$181,5,FALSE()),0))</f>
        <v>0</v>
      </c>
      <c r="I240" s="14" t="n">
        <f aca="false">IF(OR($A240="",$A240&gt;=Parameters!$B$14),1,IF(AND(H240&gt;0,CityData!F3&lt;=H240),1,0))</f>
        <v>1</v>
      </c>
      <c r="J240" s="14" t="n">
        <f aca="false">IF($A240="",0,IFERROR(VLOOKUP((YEAR($A240)+IF(MONTH($A240)&gt;=10,1,0))&amp;"|Chicago|"&amp;MONTH($A240),Rates!$A$2:$I$181,6,FALSE()),0))</f>
        <v>0</v>
      </c>
      <c r="K240" s="14" t="n">
        <f aca="false">IF(J240=0,0,VLOOKUP(J240,MIE_Components!$A$2:$F$6,2,FALSE()))</f>
        <v>0</v>
      </c>
      <c r="L240" s="14" t="n">
        <f aca="false">IF(J240=0,0,VLOOKUP(J240,MIE_Components!$A$2:$F$6,3,FALSE()))</f>
        <v>0</v>
      </c>
      <c r="M240" s="14" t="n">
        <f aca="false">IF(J240=0,0,VLOOKUP(J240,MIE_Components!$A$2:$F$6,4,FALSE()))</f>
        <v>0</v>
      </c>
      <c r="N240" s="14" t="n">
        <f aca="false">IF(OR($A240="",J240=0),0,MAX(5,J240*IF(OR($A240=Parameters!$B$13,$A240=Parameters!$B$14),0.75,1)-(IF(AND($A240=DATE(2026,11,29),NOV29BF="Yes"),K240,0)+IF(OR($A240=DATE(2026,11,29),$A240=DATE(2026,11,30),$A240=DATE(2026,12,1),$A240=DATE(2026,12,2)),L240,0)+IF(OR($A240=DATE(2026,11,28),$A240=DATE(2026,12,1)),M240,0))))</f>
        <v>0</v>
      </c>
      <c r="O240" s="14" t="n">
        <f aca="false">IF(AND($A240&lt;&gt;"",$A240&lt;Parameters!$B$14),CityData!F4*(1+TAXRATE),0)</f>
        <v>0</v>
      </c>
      <c r="P240" s="14" t="n">
        <f aca="false">IF($A240="",0,IFERROR(VLOOKUP((YEAR($A240)+IF(MONTH($A240)&gt;=10,1,0))&amp;"|Chicago|"&amp;MONTH($A240),Rates!$A$2:$I$181,5,FALSE()),0))</f>
        <v>0</v>
      </c>
      <c r="Q240" s="14" t="n">
        <f aca="false">IF(OR($A240="",$A240&gt;=Parameters!$B$14),1,IF(AND(P240&gt;0,CityData!F4&lt;=P240),1,0))</f>
        <v>1</v>
      </c>
      <c r="R240" s="14" t="n">
        <f aca="false">IF($A240="",0,IFERROR(VLOOKUP((YEAR($A240)+IF(MONTH($A240)&gt;=10,1,0))&amp;"|Denver|"&amp;MONTH($A240),Rates!$A$2:$I$181,6,FALSE()),0))</f>
        <v>0</v>
      </c>
      <c r="S240" s="14" t="n">
        <f aca="false">IF(R240=0,0,VLOOKUP(R240,MIE_Components!$A$2:$F$6,2,FALSE()))</f>
        <v>0</v>
      </c>
      <c r="T240" s="14" t="n">
        <f aca="false">IF(R240=0,0,VLOOKUP(R240,MIE_Components!$A$2:$F$6,3,FALSE()))</f>
        <v>0</v>
      </c>
      <c r="U240" s="14" t="n">
        <f aca="false">IF(R240=0,0,VLOOKUP(R240,MIE_Components!$A$2:$F$6,4,FALSE()))</f>
        <v>0</v>
      </c>
      <c r="V240" s="14" t="n">
        <f aca="false">IF(OR($A240="",R240=0),0,MAX(5,R240*IF(OR($A240=Parameters!$B$13,$A240=Parameters!$B$14),0.75,1)-(IF(AND($A240=DATE(2026,11,29),NOV29BF="Yes"),S240,0)+IF(OR($A240=DATE(2026,11,29),$A240=DATE(2026,11,30),$A240=DATE(2026,12,1),$A240=DATE(2026,12,2)),T240,0)+IF(OR($A240=DATE(2026,11,28),$A240=DATE(2026,12,1)),U240,0))))</f>
        <v>0</v>
      </c>
      <c r="W240" s="14" t="n">
        <f aca="false">IF(AND($A240&lt;&gt;"",$A240&lt;Parameters!$B$14),CityData!F5*(1+TAXRATE),0)</f>
        <v>0</v>
      </c>
      <c r="X240" s="14" t="n">
        <f aca="false">IF($A240="",0,IFERROR(VLOOKUP((YEAR($A240)+IF(MONTH($A240)&gt;=10,1,0))&amp;"|Denver|"&amp;MONTH($A240),Rates!$A$2:$I$181,5,FALSE()),0))</f>
        <v>0</v>
      </c>
      <c r="Y240" s="14" t="n">
        <f aca="false">IF(OR($A240="",$A240&gt;=Parameters!$B$14),1,IF(AND(X240&gt;0,CityData!F5&lt;=X240),1,0))</f>
        <v>1</v>
      </c>
      <c r="Z240" s="14" t="n">
        <f aca="false">IF($A240="",0,IFERROR(VLOOKUP((YEAR($A240)+IF(MONTH($A240)&gt;=10,1,0))&amp;"|Phoenix|"&amp;MONTH($A240),Rates!$A$2:$I$181,6,FALSE()),0))</f>
        <v>0</v>
      </c>
      <c r="AA240" s="14" t="n">
        <f aca="false">IF(Z240=0,0,VLOOKUP(Z240,MIE_Components!$A$2:$F$6,2,FALSE()))</f>
        <v>0</v>
      </c>
      <c r="AB240" s="14" t="n">
        <f aca="false">IF(Z240=0,0,VLOOKUP(Z240,MIE_Components!$A$2:$F$6,3,FALSE()))</f>
        <v>0</v>
      </c>
      <c r="AC240" s="14" t="n">
        <f aca="false">IF(Z240=0,0,VLOOKUP(Z240,MIE_Components!$A$2:$F$6,4,FALSE()))</f>
        <v>0</v>
      </c>
      <c r="AD240" s="14" t="n">
        <f aca="false">IF(OR($A240="",Z240=0),0,MAX(5,Z240*IF(OR($A240=Parameters!$B$13,$A240=Parameters!$B$14),0.75,1)-(IF(AND($A240=DATE(2026,11,29),NOV29BF="Yes"),AA240,0)+IF(OR($A240=DATE(2026,11,29),$A240=DATE(2026,11,30),$A240=DATE(2026,12,1),$A240=DATE(2026,12,2)),AB240,0)+IF(OR($A240=DATE(2026,11,28),$A240=DATE(2026,12,1)),AC240,0))))</f>
        <v>0</v>
      </c>
      <c r="AE240" s="14" t="n">
        <f aca="false">IF(AND($A240&lt;&gt;"",$A240&lt;Parameters!$B$14),CityData!F6*(1+TAXRATE),0)</f>
        <v>0</v>
      </c>
      <c r="AF240" s="14" t="n">
        <f aca="false">IF($A240="",0,IFERROR(VLOOKUP((YEAR($A240)+IF(MONTH($A240)&gt;=10,1,0))&amp;"|Phoenix|"&amp;MONTH($A240),Rates!$A$2:$I$181,5,FALSE()),0))</f>
        <v>0</v>
      </c>
      <c r="AG240" s="14" t="n">
        <f aca="false">IF(OR($A240="",$A240&gt;=Parameters!$B$14),1,IF(AND(AF240&gt;0,CityData!F6&lt;=AF240),1,0))</f>
        <v>1</v>
      </c>
      <c r="AH240" s="14" t="n">
        <f aca="false">IF($A240="",0,IFERROR(VLOOKUP((YEAR($A240)+IF(MONTH($A240)&gt;=10,1,0))&amp;"|Seattle|"&amp;MONTH($A240),Rates!$A$2:$I$181,6,FALSE()),0))</f>
        <v>0</v>
      </c>
      <c r="AI240" s="14" t="n">
        <f aca="false">IF(AH240=0,0,VLOOKUP(AH240,MIE_Components!$A$2:$F$6,2,FALSE()))</f>
        <v>0</v>
      </c>
      <c r="AJ240" s="14" t="n">
        <f aca="false">IF(AH240=0,0,VLOOKUP(AH240,MIE_Components!$A$2:$F$6,3,FALSE()))</f>
        <v>0</v>
      </c>
      <c r="AK240" s="14" t="n">
        <f aca="false">IF(AH240=0,0,VLOOKUP(AH240,MIE_Components!$A$2:$F$6,4,FALSE()))</f>
        <v>0</v>
      </c>
      <c r="AL240" s="14" t="n">
        <f aca="false">IF(OR($A240="",AH240=0),0,MAX(5,AH240*IF(OR($A240=Parameters!$B$13,$A240=Parameters!$B$14),0.75,1)-(IF(AND($A240=DATE(2026,11,29),NOV29BF="Yes"),AI240,0)+IF(OR($A240=DATE(2026,11,29),$A240=DATE(2026,11,30),$A240=DATE(2026,12,1),$A240=DATE(2026,12,2)),AJ240,0)+IF(OR($A240=DATE(2026,11,28),$A240=DATE(2026,12,1)),AK240,0))))</f>
        <v>0</v>
      </c>
      <c r="AM240" s="14" t="n">
        <f aca="false">IF(AND($A240&lt;&gt;"",$A240&lt;Parameters!$B$14),CityData!F7*(1+TAXRATE),0)</f>
        <v>0</v>
      </c>
      <c r="AN240" s="14" t="n">
        <f aca="false">IF($A240="",0,IFERROR(VLOOKUP((YEAR($A240)+IF(MONTH($A240)&gt;=10,1,0))&amp;"|Seattle|"&amp;MONTH($A240),Rates!$A$2:$I$181,5,FALSE()),0))</f>
        <v>0</v>
      </c>
      <c r="AO240" s="14" t="n">
        <f aca="false">IF(OR($A240="",$A240&gt;=Parameters!$B$14),1,IF(AND(AN240&gt;0,CityData!F7&lt;=AN240),1,0))</f>
        <v>1</v>
      </c>
    </row>
    <row r="241" customFormat="false" ht="15" hidden="false" customHeight="true" outlineLevel="0" collapsed="false">
      <c r="A241" s="23" t="str">
        <f aca="false">IF(AND(Parameters!$B$14&gt;=Parameters!$B$13,ROW()-2&lt;=Parameters!$B$14-Parameters!$B$13),Parameters!$B$13+ROW()-2,"")</f>
        <v/>
      </c>
      <c r="B241" s="14" t="n">
        <f aca="false">IF($A241="",0,IFERROR(VLOOKUP((YEAR($A241)+IF(MONTH($A241)&gt;=10,1,0))&amp;"|Boston|"&amp;MONTH($A241),Rates!$A$2:$I$181,6,FALSE()),0))</f>
        <v>0</v>
      </c>
      <c r="C241" s="14" t="n">
        <f aca="false">IF(B241=0,0,VLOOKUP(B241,MIE_Components!$A$2:$F$6,2,FALSE()))</f>
        <v>0</v>
      </c>
      <c r="D241" s="14" t="n">
        <f aca="false">IF(B241=0,0,VLOOKUP(B241,MIE_Components!$A$2:$F$6,3,FALSE()))</f>
        <v>0</v>
      </c>
      <c r="E241" s="14" t="n">
        <f aca="false">IF(B241=0,0,VLOOKUP(B241,MIE_Components!$A$2:$F$6,4,FALSE()))</f>
        <v>0</v>
      </c>
      <c r="F241" s="14" t="n">
        <f aca="false">IF(OR($A241="",B241=0),0,MAX(5,B241*IF(OR($A241=Parameters!$B$13,$A241=Parameters!$B$14),0.75,1)-(IF(AND($A241=DATE(2026,11,29),NOV29BF="Yes"),C241,0)+IF(OR($A241=DATE(2026,11,29),$A241=DATE(2026,11,30),$A241=DATE(2026,12,1),$A241=DATE(2026,12,2)),D241,0)+IF(OR($A241=DATE(2026,11,28),$A241=DATE(2026,12,1)),E241,0))))</f>
        <v>0</v>
      </c>
      <c r="G241" s="14" t="n">
        <f aca="false">IF(AND($A241&lt;&gt;"",$A241&lt;Parameters!$B$14),CityData!F3*(1+TAXRATE),0)</f>
        <v>0</v>
      </c>
      <c r="H241" s="14" t="n">
        <f aca="false">IF($A241="",0,IFERROR(VLOOKUP((YEAR($A241)+IF(MONTH($A241)&gt;=10,1,0))&amp;"|Boston|"&amp;MONTH($A241),Rates!$A$2:$I$181,5,FALSE()),0))</f>
        <v>0</v>
      </c>
      <c r="I241" s="14" t="n">
        <f aca="false">IF(OR($A241="",$A241&gt;=Parameters!$B$14),1,IF(AND(H241&gt;0,CityData!F3&lt;=H241),1,0))</f>
        <v>1</v>
      </c>
      <c r="J241" s="14" t="n">
        <f aca="false">IF($A241="",0,IFERROR(VLOOKUP((YEAR($A241)+IF(MONTH($A241)&gt;=10,1,0))&amp;"|Chicago|"&amp;MONTH($A241),Rates!$A$2:$I$181,6,FALSE()),0))</f>
        <v>0</v>
      </c>
      <c r="K241" s="14" t="n">
        <f aca="false">IF(J241=0,0,VLOOKUP(J241,MIE_Components!$A$2:$F$6,2,FALSE()))</f>
        <v>0</v>
      </c>
      <c r="L241" s="14" t="n">
        <f aca="false">IF(J241=0,0,VLOOKUP(J241,MIE_Components!$A$2:$F$6,3,FALSE()))</f>
        <v>0</v>
      </c>
      <c r="M241" s="14" t="n">
        <f aca="false">IF(J241=0,0,VLOOKUP(J241,MIE_Components!$A$2:$F$6,4,FALSE()))</f>
        <v>0</v>
      </c>
      <c r="N241" s="14" t="n">
        <f aca="false">IF(OR($A241="",J241=0),0,MAX(5,J241*IF(OR($A241=Parameters!$B$13,$A241=Parameters!$B$14),0.75,1)-(IF(AND($A241=DATE(2026,11,29),NOV29BF="Yes"),K241,0)+IF(OR($A241=DATE(2026,11,29),$A241=DATE(2026,11,30),$A241=DATE(2026,12,1),$A241=DATE(2026,12,2)),L241,0)+IF(OR($A241=DATE(2026,11,28),$A241=DATE(2026,12,1)),M241,0))))</f>
        <v>0</v>
      </c>
      <c r="O241" s="14" t="n">
        <f aca="false">IF(AND($A241&lt;&gt;"",$A241&lt;Parameters!$B$14),CityData!F4*(1+TAXRATE),0)</f>
        <v>0</v>
      </c>
      <c r="P241" s="14" t="n">
        <f aca="false">IF($A241="",0,IFERROR(VLOOKUP((YEAR($A241)+IF(MONTH($A241)&gt;=10,1,0))&amp;"|Chicago|"&amp;MONTH($A241),Rates!$A$2:$I$181,5,FALSE()),0))</f>
        <v>0</v>
      </c>
      <c r="Q241" s="14" t="n">
        <f aca="false">IF(OR($A241="",$A241&gt;=Parameters!$B$14),1,IF(AND(P241&gt;0,CityData!F4&lt;=P241),1,0))</f>
        <v>1</v>
      </c>
      <c r="R241" s="14" t="n">
        <f aca="false">IF($A241="",0,IFERROR(VLOOKUP((YEAR($A241)+IF(MONTH($A241)&gt;=10,1,0))&amp;"|Denver|"&amp;MONTH($A241),Rates!$A$2:$I$181,6,FALSE()),0))</f>
        <v>0</v>
      </c>
      <c r="S241" s="14" t="n">
        <f aca="false">IF(R241=0,0,VLOOKUP(R241,MIE_Components!$A$2:$F$6,2,FALSE()))</f>
        <v>0</v>
      </c>
      <c r="T241" s="14" t="n">
        <f aca="false">IF(R241=0,0,VLOOKUP(R241,MIE_Components!$A$2:$F$6,3,FALSE()))</f>
        <v>0</v>
      </c>
      <c r="U241" s="14" t="n">
        <f aca="false">IF(R241=0,0,VLOOKUP(R241,MIE_Components!$A$2:$F$6,4,FALSE()))</f>
        <v>0</v>
      </c>
      <c r="V241" s="14" t="n">
        <f aca="false">IF(OR($A241="",R241=0),0,MAX(5,R241*IF(OR($A241=Parameters!$B$13,$A241=Parameters!$B$14),0.75,1)-(IF(AND($A241=DATE(2026,11,29),NOV29BF="Yes"),S241,0)+IF(OR($A241=DATE(2026,11,29),$A241=DATE(2026,11,30),$A241=DATE(2026,12,1),$A241=DATE(2026,12,2)),T241,0)+IF(OR($A241=DATE(2026,11,28),$A241=DATE(2026,12,1)),U241,0))))</f>
        <v>0</v>
      </c>
      <c r="W241" s="14" t="n">
        <f aca="false">IF(AND($A241&lt;&gt;"",$A241&lt;Parameters!$B$14),CityData!F5*(1+TAXRATE),0)</f>
        <v>0</v>
      </c>
      <c r="X241" s="14" t="n">
        <f aca="false">IF($A241="",0,IFERROR(VLOOKUP((YEAR($A241)+IF(MONTH($A241)&gt;=10,1,0))&amp;"|Denver|"&amp;MONTH($A241),Rates!$A$2:$I$181,5,FALSE()),0))</f>
        <v>0</v>
      </c>
      <c r="Y241" s="14" t="n">
        <f aca="false">IF(OR($A241="",$A241&gt;=Parameters!$B$14),1,IF(AND(X241&gt;0,CityData!F5&lt;=X241),1,0))</f>
        <v>1</v>
      </c>
      <c r="Z241" s="14" t="n">
        <f aca="false">IF($A241="",0,IFERROR(VLOOKUP((YEAR($A241)+IF(MONTH($A241)&gt;=10,1,0))&amp;"|Phoenix|"&amp;MONTH($A241),Rates!$A$2:$I$181,6,FALSE()),0))</f>
        <v>0</v>
      </c>
      <c r="AA241" s="14" t="n">
        <f aca="false">IF(Z241=0,0,VLOOKUP(Z241,MIE_Components!$A$2:$F$6,2,FALSE()))</f>
        <v>0</v>
      </c>
      <c r="AB241" s="14" t="n">
        <f aca="false">IF(Z241=0,0,VLOOKUP(Z241,MIE_Components!$A$2:$F$6,3,FALSE()))</f>
        <v>0</v>
      </c>
      <c r="AC241" s="14" t="n">
        <f aca="false">IF(Z241=0,0,VLOOKUP(Z241,MIE_Components!$A$2:$F$6,4,FALSE()))</f>
        <v>0</v>
      </c>
      <c r="AD241" s="14" t="n">
        <f aca="false">IF(OR($A241="",Z241=0),0,MAX(5,Z241*IF(OR($A241=Parameters!$B$13,$A241=Parameters!$B$14),0.75,1)-(IF(AND($A241=DATE(2026,11,29),NOV29BF="Yes"),AA241,0)+IF(OR($A241=DATE(2026,11,29),$A241=DATE(2026,11,30),$A241=DATE(2026,12,1),$A241=DATE(2026,12,2)),AB241,0)+IF(OR($A241=DATE(2026,11,28),$A241=DATE(2026,12,1)),AC241,0))))</f>
        <v>0</v>
      </c>
      <c r="AE241" s="14" t="n">
        <f aca="false">IF(AND($A241&lt;&gt;"",$A241&lt;Parameters!$B$14),CityData!F6*(1+TAXRATE),0)</f>
        <v>0</v>
      </c>
      <c r="AF241" s="14" t="n">
        <f aca="false">IF($A241="",0,IFERROR(VLOOKUP((YEAR($A241)+IF(MONTH($A241)&gt;=10,1,0))&amp;"|Phoenix|"&amp;MONTH($A241),Rates!$A$2:$I$181,5,FALSE()),0))</f>
        <v>0</v>
      </c>
      <c r="AG241" s="14" t="n">
        <f aca="false">IF(OR($A241="",$A241&gt;=Parameters!$B$14),1,IF(AND(AF241&gt;0,CityData!F6&lt;=AF241),1,0))</f>
        <v>1</v>
      </c>
      <c r="AH241" s="14" t="n">
        <f aca="false">IF($A241="",0,IFERROR(VLOOKUP((YEAR($A241)+IF(MONTH($A241)&gt;=10,1,0))&amp;"|Seattle|"&amp;MONTH($A241),Rates!$A$2:$I$181,6,FALSE()),0))</f>
        <v>0</v>
      </c>
      <c r="AI241" s="14" t="n">
        <f aca="false">IF(AH241=0,0,VLOOKUP(AH241,MIE_Components!$A$2:$F$6,2,FALSE()))</f>
        <v>0</v>
      </c>
      <c r="AJ241" s="14" t="n">
        <f aca="false">IF(AH241=0,0,VLOOKUP(AH241,MIE_Components!$A$2:$F$6,3,FALSE()))</f>
        <v>0</v>
      </c>
      <c r="AK241" s="14" t="n">
        <f aca="false">IF(AH241=0,0,VLOOKUP(AH241,MIE_Components!$A$2:$F$6,4,FALSE()))</f>
        <v>0</v>
      </c>
      <c r="AL241" s="14" t="n">
        <f aca="false">IF(OR($A241="",AH241=0),0,MAX(5,AH241*IF(OR($A241=Parameters!$B$13,$A241=Parameters!$B$14),0.75,1)-(IF(AND($A241=DATE(2026,11,29),NOV29BF="Yes"),AI241,0)+IF(OR($A241=DATE(2026,11,29),$A241=DATE(2026,11,30),$A241=DATE(2026,12,1),$A241=DATE(2026,12,2)),AJ241,0)+IF(OR($A241=DATE(2026,11,28),$A241=DATE(2026,12,1)),AK241,0))))</f>
        <v>0</v>
      </c>
      <c r="AM241" s="14" t="n">
        <f aca="false">IF(AND($A241&lt;&gt;"",$A241&lt;Parameters!$B$14),CityData!F7*(1+TAXRATE),0)</f>
        <v>0</v>
      </c>
      <c r="AN241" s="14" t="n">
        <f aca="false">IF($A241="",0,IFERROR(VLOOKUP((YEAR($A241)+IF(MONTH($A241)&gt;=10,1,0))&amp;"|Seattle|"&amp;MONTH($A241),Rates!$A$2:$I$181,5,FALSE()),0))</f>
        <v>0</v>
      </c>
      <c r="AO241" s="14" t="n">
        <f aca="false">IF(OR($A241="",$A241&gt;=Parameters!$B$14),1,IF(AND(AN241&gt;0,CityData!F7&lt;=AN241),1,0))</f>
        <v>1</v>
      </c>
    </row>
    <row r="242" customFormat="false" ht="15" hidden="false" customHeight="true" outlineLevel="0" collapsed="false">
      <c r="A242" s="23" t="str">
        <f aca="false">IF(AND(Parameters!$B$14&gt;=Parameters!$B$13,ROW()-2&lt;=Parameters!$B$14-Parameters!$B$13),Parameters!$B$13+ROW()-2,"")</f>
        <v/>
      </c>
      <c r="B242" s="14" t="n">
        <f aca="false">IF($A242="",0,IFERROR(VLOOKUP((YEAR($A242)+IF(MONTH($A242)&gt;=10,1,0))&amp;"|Boston|"&amp;MONTH($A242),Rates!$A$2:$I$181,6,FALSE()),0))</f>
        <v>0</v>
      </c>
      <c r="C242" s="14" t="n">
        <f aca="false">IF(B242=0,0,VLOOKUP(B242,MIE_Components!$A$2:$F$6,2,FALSE()))</f>
        <v>0</v>
      </c>
      <c r="D242" s="14" t="n">
        <f aca="false">IF(B242=0,0,VLOOKUP(B242,MIE_Components!$A$2:$F$6,3,FALSE()))</f>
        <v>0</v>
      </c>
      <c r="E242" s="14" t="n">
        <f aca="false">IF(B242=0,0,VLOOKUP(B242,MIE_Components!$A$2:$F$6,4,FALSE()))</f>
        <v>0</v>
      </c>
      <c r="F242" s="14" t="n">
        <f aca="false">IF(OR($A242="",B242=0),0,MAX(5,B242*IF(OR($A242=Parameters!$B$13,$A242=Parameters!$B$14),0.75,1)-(IF(AND($A242=DATE(2026,11,29),NOV29BF="Yes"),C242,0)+IF(OR($A242=DATE(2026,11,29),$A242=DATE(2026,11,30),$A242=DATE(2026,12,1),$A242=DATE(2026,12,2)),D242,0)+IF(OR($A242=DATE(2026,11,28),$A242=DATE(2026,12,1)),E242,0))))</f>
        <v>0</v>
      </c>
      <c r="G242" s="14" t="n">
        <f aca="false">IF(AND($A242&lt;&gt;"",$A242&lt;Parameters!$B$14),CityData!F3*(1+TAXRATE),0)</f>
        <v>0</v>
      </c>
      <c r="H242" s="14" t="n">
        <f aca="false">IF($A242="",0,IFERROR(VLOOKUP((YEAR($A242)+IF(MONTH($A242)&gt;=10,1,0))&amp;"|Boston|"&amp;MONTH($A242),Rates!$A$2:$I$181,5,FALSE()),0))</f>
        <v>0</v>
      </c>
      <c r="I242" s="14" t="n">
        <f aca="false">IF(OR($A242="",$A242&gt;=Parameters!$B$14),1,IF(AND(H242&gt;0,CityData!F3&lt;=H242),1,0))</f>
        <v>1</v>
      </c>
      <c r="J242" s="14" t="n">
        <f aca="false">IF($A242="",0,IFERROR(VLOOKUP((YEAR($A242)+IF(MONTH($A242)&gt;=10,1,0))&amp;"|Chicago|"&amp;MONTH($A242),Rates!$A$2:$I$181,6,FALSE()),0))</f>
        <v>0</v>
      </c>
      <c r="K242" s="14" t="n">
        <f aca="false">IF(J242=0,0,VLOOKUP(J242,MIE_Components!$A$2:$F$6,2,FALSE()))</f>
        <v>0</v>
      </c>
      <c r="L242" s="14" t="n">
        <f aca="false">IF(J242=0,0,VLOOKUP(J242,MIE_Components!$A$2:$F$6,3,FALSE()))</f>
        <v>0</v>
      </c>
      <c r="M242" s="14" t="n">
        <f aca="false">IF(J242=0,0,VLOOKUP(J242,MIE_Components!$A$2:$F$6,4,FALSE()))</f>
        <v>0</v>
      </c>
      <c r="N242" s="14" t="n">
        <f aca="false">IF(OR($A242="",J242=0),0,MAX(5,J242*IF(OR($A242=Parameters!$B$13,$A242=Parameters!$B$14),0.75,1)-(IF(AND($A242=DATE(2026,11,29),NOV29BF="Yes"),K242,0)+IF(OR($A242=DATE(2026,11,29),$A242=DATE(2026,11,30),$A242=DATE(2026,12,1),$A242=DATE(2026,12,2)),L242,0)+IF(OR($A242=DATE(2026,11,28),$A242=DATE(2026,12,1)),M242,0))))</f>
        <v>0</v>
      </c>
      <c r="O242" s="14" t="n">
        <f aca="false">IF(AND($A242&lt;&gt;"",$A242&lt;Parameters!$B$14),CityData!F4*(1+TAXRATE),0)</f>
        <v>0</v>
      </c>
      <c r="P242" s="14" t="n">
        <f aca="false">IF($A242="",0,IFERROR(VLOOKUP((YEAR($A242)+IF(MONTH($A242)&gt;=10,1,0))&amp;"|Chicago|"&amp;MONTH($A242),Rates!$A$2:$I$181,5,FALSE()),0))</f>
        <v>0</v>
      </c>
      <c r="Q242" s="14" t="n">
        <f aca="false">IF(OR($A242="",$A242&gt;=Parameters!$B$14),1,IF(AND(P242&gt;0,CityData!F4&lt;=P242),1,0))</f>
        <v>1</v>
      </c>
      <c r="R242" s="14" t="n">
        <f aca="false">IF($A242="",0,IFERROR(VLOOKUP((YEAR($A242)+IF(MONTH($A242)&gt;=10,1,0))&amp;"|Denver|"&amp;MONTH($A242),Rates!$A$2:$I$181,6,FALSE()),0))</f>
        <v>0</v>
      </c>
      <c r="S242" s="14" t="n">
        <f aca="false">IF(R242=0,0,VLOOKUP(R242,MIE_Components!$A$2:$F$6,2,FALSE()))</f>
        <v>0</v>
      </c>
      <c r="T242" s="14" t="n">
        <f aca="false">IF(R242=0,0,VLOOKUP(R242,MIE_Components!$A$2:$F$6,3,FALSE()))</f>
        <v>0</v>
      </c>
      <c r="U242" s="14" t="n">
        <f aca="false">IF(R242=0,0,VLOOKUP(R242,MIE_Components!$A$2:$F$6,4,FALSE()))</f>
        <v>0</v>
      </c>
      <c r="V242" s="14" t="n">
        <f aca="false">IF(OR($A242="",R242=0),0,MAX(5,R242*IF(OR($A242=Parameters!$B$13,$A242=Parameters!$B$14),0.75,1)-(IF(AND($A242=DATE(2026,11,29),NOV29BF="Yes"),S242,0)+IF(OR($A242=DATE(2026,11,29),$A242=DATE(2026,11,30),$A242=DATE(2026,12,1),$A242=DATE(2026,12,2)),T242,0)+IF(OR($A242=DATE(2026,11,28),$A242=DATE(2026,12,1)),U242,0))))</f>
        <v>0</v>
      </c>
      <c r="W242" s="14" t="n">
        <f aca="false">IF(AND($A242&lt;&gt;"",$A242&lt;Parameters!$B$14),CityData!F5*(1+TAXRATE),0)</f>
        <v>0</v>
      </c>
      <c r="X242" s="14" t="n">
        <f aca="false">IF($A242="",0,IFERROR(VLOOKUP((YEAR($A242)+IF(MONTH($A242)&gt;=10,1,0))&amp;"|Denver|"&amp;MONTH($A242),Rates!$A$2:$I$181,5,FALSE()),0))</f>
        <v>0</v>
      </c>
      <c r="Y242" s="14" t="n">
        <f aca="false">IF(OR($A242="",$A242&gt;=Parameters!$B$14),1,IF(AND(X242&gt;0,CityData!F5&lt;=X242),1,0))</f>
        <v>1</v>
      </c>
      <c r="Z242" s="14" t="n">
        <f aca="false">IF($A242="",0,IFERROR(VLOOKUP((YEAR($A242)+IF(MONTH($A242)&gt;=10,1,0))&amp;"|Phoenix|"&amp;MONTH($A242),Rates!$A$2:$I$181,6,FALSE()),0))</f>
        <v>0</v>
      </c>
      <c r="AA242" s="14" t="n">
        <f aca="false">IF(Z242=0,0,VLOOKUP(Z242,MIE_Components!$A$2:$F$6,2,FALSE()))</f>
        <v>0</v>
      </c>
      <c r="AB242" s="14" t="n">
        <f aca="false">IF(Z242=0,0,VLOOKUP(Z242,MIE_Components!$A$2:$F$6,3,FALSE()))</f>
        <v>0</v>
      </c>
      <c r="AC242" s="14" t="n">
        <f aca="false">IF(Z242=0,0,VLOOKUP(Z242,MIE_Components!$A$2:$F$6,4,FALSE()))</f>
        <v>0</v>
      </c>
      <c r="AD242" s="14" t="n">
        <f aca="false">IF(OR($A242="",Z242=0),0,MAX(5,Z242*IF(OR($A242=Parameters!$B$13,$A242=Parameters!$B$14),0.75,1)-(IF(AND($A242=DATE(2026,11,29),NOV29BF="Yes"),AA242,0)+IF(OR($A242=DATE(2026,11,29),$A242=DATE(2026,11,30),$A242=DATE(2026,12,1),$A242=DATE(2026,12,2)),AB242,0)+IF(OR($A242=DATE(2026,11,28),$A242=DATE(2026,12,1)),AC242,0))))</f>
        <v>0</v>
      </c>
      <c r="AE242" s="14" t="n">
        <f aca="false">IF(AND($A242&lt;&gt;"",$A242&lt;Parameters!$B$14),CityData!F6*(1+TAXRATE),0)</f>
        <v>0</v>
      </c>
      <c r="AF242" s="14" t="n">
        <f aca="false">IF($A242="",0,IFERROR(VLOOKUP((YEAR($A242)+IF(MONTH($A242)&gt;=10,1,0))&amp;"|Phoenix|"&amp;MONTH($A242),Rates!$A$2:$I$181,5,FALSE()),0))</f>
        <v>0</v>
      </c>
      <c r="AG242" s="14" t="n">
        <f aca="false">IF(OR($A242="",$A242&gt;=Parameters!$B$14),1,IF(AND(AF242&gt;0,CityData!F6&lt;=AF242),1,0))</f>
        <v>1</v>
      </c>
      <c r="AH242" s="14" t="n">
        <f aca="false">IF($A242="",0,IFERROR(VLOOKUP((YEAR($A242)+IF(MONTH($A242)&gt;=10,1,0))&amp;"|Seattle|"&amp;MONTH($A242),Rates!$A$2:$I$181,6,FALSE()),0))</f>
        <v>0</v>
      </c>
      <c r="AI242" s="14" t="n">
        <f aca="false">IF(AH242=0,0,VLOOKUP(AH242,MIE_Components!$A$2:$F$6,2,FALSE()))</f>
        <v>0</v>
      </c>
      <c r="AJ242" s="14" t="n">
        <f aca="false">IF(AH242=0,0,VLOOKUP(AH242,MIE_Components!$A$2:$F$6,3,FALSE()))</f>
        <v>0</v>
      </c>
      <c r="AK242" s="14" t="n">
        <f aca="false">IF(AH242=0,0,VLOOKUP(AH242,MIE_Components!$A$2:$F$6,4,FALSE()))</f>
        <v>0</v>
      </c>
      <c r="AL242" s="14" t="n">
        <f aca="false">IF(OR($A242="",AH242=0),0,MAX(5,AH242*IF(OR($A242=Parameters!$B$13,$A242=Parameters!$B$14),0.75,1)-(IF(AND($A242=DATE(2026,11,29),NOV29BF="Yes"),AI242,0)+IF(OR($A242=DATE(2026,11,29),$A242=DATE(2026,11,30),$A242=DATE(2026,12,1),$A242=DATE(2026,12,2)),AJ242,0)+IF(OR($A242=DATE(2026,11,28),$A242=DATE(2026,12,1)),AK242,0))))</f>
        <v>0</v>
      </c>
      <c r="AM242" s="14" t="n">
        <f aca="false">IF(AND($A242&lt;&gt;"",$A242&lt;Parameters!$B$14),CityData!F7*(1+TAXRATE),0)</f>
        <v>0</v>
      </c>
      <c r="AN242" s="14" t="n">
        <f aca="false">IF($A242="",0,IFERROR(VLOOKUP((YEAR($A242)+IF(MONTH($A242)&gt;=10,1,0))&amp;"|Seattle|"&amp;MONTH($A242),Rates!$A$2:$I$181,5,FALSE()),0))</f>
        <v>0</v>
      </c>
      <c r="AO242" s="14" t="n">
        <f aca="false">IF(OR($A242="",$A242&gt;=Parameters!$B$14),1,IF(AND(AN242&gt;0,CityData!F7&lt;=AN242),1,0))</f>
        <v>1</v>
      </c>
    </row>
    <row r="243" customFormat="false" ht="15" hidden="false" customHeight="true" outlineLevel="0" collapsed="false">
      <c r="A243" s="23" t="str">
        <f aca="false">IF(AND(Parameters!$B$14&gt;=Parameters!$B$13,ROW()-2&lt;=Parameters!$B$14-Parameters!$B$13),Parameters!$B$13+ROW()-2,"")</f>
        <v/>
      </c>
      <c r="B243" s="14" t="n">
        <f aca="false">IF($A243="",0,IFERROR(VLOOKUP((YEAR($A243)+IF(MONTH($A243)&gt;=10,1,0))&amp;"|Boston|"&amp;MONTH($A243),Rates!$A$2:$I$181,6,FALSE()),0))</f>
        <v>0</v>
      </c>
      <c r="C243" s="14" t="n">
        <f aca="false">IF(B243=0,0,VLOOKUP(B243,MIE_Components!$A$2:$F$6,2,FALSE()))</f>
        <v>0</v>
      </c>
      <c r="D243" s="14" t="n">
        <f aca="false">IF(B243=0,0,VLOOKUP(B243,MIE_Components!$A$2:$F$6,3,FALSE()))</f>
        <v>0</v>
      </c>
      <c r="E243" s="14" t="n">
        <f aca="false">IF(B243=0,0,VLOOKUP(B243,MIE_Components!$A$2:$F$6,4,FALSE()))</f>
        <v>0</v>
      </c>
      <c r="F243" s="14" t="n">
        <f aca="false">IF(OR($A243="",B243=0),0,MAX(5,B243*IF(OR($A243=Parameters!$B$13,$A243=Parameters!$B$14),0.75,1)-(IF(AND($A243=DATE(2026,11,29),NOV29BF="Yes"),C243,0)+IF(OR($A243=DATE(2026,11,29),$A243=DATE(2026,11,30),$A243=DATE(2026,12,1),$A243=DATE(2026,12,2)),D243,0)+IF(OR($A243=DATE(2026,11,28),$A243=DATE(2026,12,1)),E243,0))))</f>
        <v>0</v>
      </c>
      <c r="G243" s="14" t="n">
        <f aca="false">IF(AND($A243&lt;&gt;"",$A243&lt;Parameters!$B$14),CityData!F3*(1+TAXRATE),0)</f>
        <v>0</v>
      </c>
      <c r="H243" s="14" t="n">
        <f aca="false">IF($A243="",0,IFERROR(VLOOKUP((YEAR($A243)+IF(MONTH($A243)&gt;=10,1,0))&amp;"|Boston|"&amp;MONTH($A243),Rates!$A$2:$I$181,5,FALSE()),0))</f>
        <v>0</v>
      </c>
      <c r="I243" s="14" t="n">
        <f aca="false">IF(OR($A243="",$A243&gt;=Parameters!$B$14),1,IF(AND(H243&gt;0,CityData!F3&lt;=H243),1,0))</f>
        <v>1</v>
      </c>
      <c r="J243" s="14" t="n">
        <f aca="false">IF($A243="",0,IFERROR(VLOOKUP((YEAR($A243)+IF(MONTH($A243)&gt;=10,1,0))&amp;"|Chicago|"&amp;MONTH($A243),Rates!$A$2:$I$181,6,FALSE()),0))</f>
        <v>0</v>
      </c>
      <c r="K243" s="14" t="n">
        <f aca="false">IF(J243=0,0,VLOOKUP(J243,MIE_Components!$A$2:$F$6,2,FALSE()))</f>
        <v>0</v>
      </c>
      <c r="L243" s="14" t="n">
        <f aca="false">IF(J243=0,0,VLOOKUP(J243,MIE_Components!$A$2:$F$6,3,FALSE()))</f>
        <v>0</v>
      </c>
      <c r="M243" s="14" t="n">
        <f aca="false">IF(J243=0,0,VLOOKUP(J243,MIE_Components!$A$2:$F$6,4,FALSE()))</f>
        <v>0</v>
      </c>
      <c r="N243" s="14" t="n">
        <f aca="false">IF(OR($A243="",J243=0),0,MAX(5,J243*IF(OR($A243=Parameters!$B$13,$A243=Parameters!$B$14),0.75,1)-(IF(AND($A243=DATE(2026,11,29),NOV29BF="Yes"),K243,0)+IF(OR($A243=DATE(2026,11,29),$A243=DATE(2026,11,30),$A243=DATE(2026,12,1),$A243=DATE(2026,12,2)),L243,0)+IF(OR($A243=DATE(2026,11,28),$A243=DATE(2026,12,1)),M243,0))))</f>
        <v>0</v>
      </c>
      <c r="O243" s="14" t="n">
        <f aca="false">IF(AND($A243&lt;&gt;"",$A243&lt;Parameters!$B$14),CityData!F4*(1+TAXRATE),0)</f>
        <v>0</v>
      </c>
      <c r="P243" s="14" t="n">
        <f aca="false">IF($A243="",0,IFERROR(VLOOKUP((YEAR($A243)+IF(MONTH($A243)&gt;=10,1,0))&amp;"|Chicago|"&amp;MONTH($A243),Rates!$A$2:$I$181,5,FALSE()),0))</f>
        <v>0</v>
      </c>
      <c r="Q243" s="14" t="n">
        <f aca="false">IF(OR($A243="",$A243&gt;=Parameters!$B$14),1,IF(AND(P243&gt;0,CityData!F4&lt;=P243),1,0))</f>
        <v>1</v>
      </c>
      <c r="R243" s="14" t="n">
        <f aca="false">IF($A243="",0,IFERROR(VLOOKUP((YEAR($A243)+IF(MONTH($A243)&gt;=10,1,0))&amp;"|Denver|"&amp;MONTH($A243),Rates!$A$2:$I$181,6,FALSE()),0))</f>
        <v>0</v>
      </c>
      <c r="S243" s="14" t="n">
        <f aca="false">IF(R243=0,0,VLOOKUP(R243,MIE_Components!$A$2:$F$6,2,FALSE()))</f>
        <v>0</v>
      </c>
      <c r="T243" s="14" t="n">
        <f aca="false">IF(R243=0,0,VLOOKUP(R243,MIE_Components!$A$2:$F$6,3,FALSE()))</f>
        <v>0</v>
      </c>
      <c r="U243" s="14" t="n">
        <f aca="false">IF(R243=0,0,VLOOKUP(R243,MIE_Components!$A$2:$F$6,4,FALSE()))</f>
        <v>0</v>
      </c>
      <c r="V243" s="14" t="n">
        <f aca="false">IF(OR($A243="",R243=0),0,MAX(5,R243*IF(OR($A243=Parameters!$B$13,$A243=Parameters!$B$14),0.75,1)-(IF(AND($A243=DATE(2026,11,29),NOV29BF="Yes"),S243,0)+IF(OR($A243=DATE(2026,11,29),$A243=DATE(2026,11,30),$A243=DATE(2026,12,1),$A243=DATE(2026,12,2)),T243,0)+IF(OR($A243=DATE(2026,11,28),$A243=DATE(2026,12,1)),U243,0))))</f>
        <v>0</v>
      </c>
      <c r="W243" s="14" t="n">
        <f aca="false">IF(AND($A243&lt;&gt;"",$A243&lt;Parameters!$B$14),CityData!F5*(1+TAXRATE),0)</f>
        <v>0</v>
      </c>
      <c r="X243" s="14" t="n">
        <f aca="false">IF($A243="",0,IFERROR(VLOOKUP((YEAR($A243)+IF(MONTH($A243)&gt;=10,1,0))&amp;"|Denver|"&amp;MONTH($A243),Rates!$A$2:$I$181,5,FALSE()),0))</f>
        <v>0</v>
      </c>
      <c r="Y243" s="14" t="n">
        <f aca="false">IF(OR($A243="",$A243&gt;=Parameters!$B$14),1,IF(AND(X243&gt;0,CityData!F5&lt;=X243),1,0))</f>
        <v>1</v>
      </c>
      <c r="Z243" s="14" t="n">
        <f aca="false">IF($A243="",0,IFERROR(VLOOKUP((YEAR($A243)+IF(MONTH($A243)&gt;=10,1,0))&amp;"|Phoenix|"&amp;MONTH($A243),Rates!$A$2:$I$181,6,FALSE()),0))</f>
        <v>0</v>
      </c>
      <c r="AA243" s="14" t="n">
        <f aca="false">IF(Z243=0,0,VLOOKUP(Z243,MIE_Components!$A$2:$F$6,2,FALSE()))</f>
        <v>0</v>
      </c>
      <c r="AB243" s="14" t="n">
        <f aca="false">IF(Z243=0,0,VLOOKUP(Z243,MIE_Components!$A$2:$F$6,3,FALSE()))</f>
        <v>0</v>
      </c>
      <c r="AC243" s="14" t="n">
        <f aca="false">IF(Z243=0,0,VLOOKUP(Z243,MIE_Components!$A$2:$F$6,4,FALSE()))</f>
        <v>0</v>
      </c>
      <c r="AD243" s="14" t="n">
        <f aca="false">IF(OR($A243="",Z243=0),0,MAX(5,Z243*IF(OR($A243=Parameters!$B$13,$A243=Parameters!$B$14),0.75,1)-(IF(AND($A243=DATE(2026,11,29),NOV29BF="Yes"),AA243,0)+IF(OR($A243=DATE(2026,11,29),$A243=DATE(2026,11,30),$A243=DATE(2026,12,1),$A243=DATE(2026,12,2)),AB243,0)+IF(OR($A243=DATE(2026,11,28),$A243=DATE(2026,12,1)),AC243,0))))</f>
        <v>0</v>
      </c>
      <c r="AE243" s="14" t="n">
        <f aca="false">IF(AND($A243&lt;&gt;"",$A243&lt;Parameters!$B$14),CityData!F6*(1+TAXRATE),0)</f>
        <v>0</v>
      </c>
      <c r="AF243" s="14" t="n">
        <f aca="false">IF($A243="",0,IFERROR(VLOOKUP((YEAR($A243)+IF(MONTH($A243)&gt;=10,1,0))&amp;"|Phoenix|"&amp;MONTH($A243),Rates!$A$2:$I$181,5,FALSE()),0))</f>
        <v>0</v>
      </c>
      <c r="AG243" s="14" t="n">
        <f aca="false">IF(OR($A243="",$A243&gt;=Parameters!$B$14),1,IF(AND(AF243&gt;0,CityData!F6&lt;=AF243),1,0))</f>
        <v>1</v>
      </c>
      <c r="AH243" s="14" t="n">
        <f aca="false">IF($A243="",0,IFERROR(VLOOKUP((YEAR($A243)+IF(MONTH($A243)&gt;=10,1,0))&amp;"|Seattle|"&amp;MONTH($A243),Rates!$A$2:$I$181,6,FALSE()),0))</f>
        <v>0</v>
      </c>
      <c r="AI243" s="14" t="n">
        <f aca="false">IF(AH243=0,0,VLOOKUP(AH243,MIE_Components!$A$2:$F$6,2,FALSE()))</f>
        <v>0</v>
      </c>
      <c r="AJ243" s="14" t="n">
        <f aca="false">IF(AH243=0,0,VLOOKUP(AH243,MIE_Components!$A$2:$F$6,3,FALSE()))</f>
        <v>0</v>
      </c>
      <c r="AK243" s="14" t="n">
        <f aca="false">IF(AH243=0,0,VLOOKUP(AH243,MIE_Components!$A$2:$F$6,4,FALSE()))</f>
        <v>0</v>
      </c>
      <c r="AL243" s="14" t="n">
        <f aca="false">IF(OR($A243="",AH243=0),0,MAX(5,AH243*IF(OR($A243=Parameters!$B$13,$A243=Parameters!$B$14),0.75,1)-(IF(AND($A243=DATE(2026,11,29),NOV29BF="Yes"),AI243,0)+IF(OR($A243=DATE(2026,11,29),$A243=DATE(2026,11,30),$A243=DATE(2026,12,1),$A243=DATE(2026,12,2)),AJ243,0)+IF(OR($A243=DATE(2026,11,28),$A243=DATE(2026,12,1)),AK243,0))))</f>
        <v>0</v>
      </c>
      <c r="AM243" s="14" t="n">
        <f aca="false">IF(AND($A243&lt;&gt;"",$A243&lt;Parameters!$B$14),CityData!F7*(1+TAXRATE),0)</f>
        <v>0</v>
      </c>
      <c r="AN243" s="14" t="n">
        <f aca="false">IF($A243="",0,IFERROR(VLOOKUP((YEAR($A243)+IF(MONTH($A243)&gt;=10,1,0))&amp;"|Seattle|"&amp;MONTH($A243),Rates!$A$2:$I$181,5,FALSE()),0))</f>
        <v>0</v>
      </c>
      <c r="AO243" s="14" t="n">
        <f aca="false">IF(OR($A243="",$A243&gt;=Parameters!$B$14),1,IF(AND(AN243&gt;0,CityData!F7&lt;=AN243),1,0))</f>
        <v>1</v>
      </c>
    </row>
    <row r="244" customFormat="false" ht="15" hidden="false" customHeight="true" outlineLevel="0" collapsed="false">
      <c r="A244" s="23" t="str">
        <f aca="false">IF(AND(Parameters!$B$14&gt;=Parameters!$B$13,ROW()-2&lt;=Parameters!$B$14-Parameters!$B$13),Parameters!$B$13+ROW()-2,"")</f>
        <v/>
      </c>
      <c r="B244" s="14" t="n">
        <f aca="false">IF($A244="",0,IFERROR(VLOOKUP((YEAR($A244)+IF(MONTH($A244)&gt;=10,1,0))&amp;"|Boston|"&amp;MONTH($A244),Rates!$A$2:$I$181,6,FALSE()),0))</f>
        <v>0</v>
      </c>
      <c r="C244" s="14" t="n">
        <f aca="false">IF(B244=0,0,VLOOKUP(B244,MIE_Components!$A$2:$F$6,2,FALSE()))</f>
        <v>0</v>
      </c>
      <c r="D244" s="14" t="n">
        <f aca="false">IF(B244=0,0,VLOOKUP(B244,MIE_Components!$A$2:$F$6,3,FALSE()))</f>
        <v>0</v>
      </c>
      <c r="E244" s="14" t="n">
        <f aca="false">IF(B244=0,0,VLOOKUP(B244,MIE_Components!$A$2:$F$6,4,FALSE()))</f>
        <v>0</v>
      </c>
      <c r="F244" s="14" t="n">
        <f aca="false">IF(OR($A244="",B244=0),0,MAX(5,B244*IF(OR($A244=Parameters!$B$13,$A244=Parameters!$B$14),0.75,1)-(IF(AND($A244=DATE(2026,11,29),NOV29BF="Yes"),C244,0)+IF(OR($A244=DATE(2026,11,29),$A244=DATE(2026,11,30),$A244=DATE(2026,12,1),$A244=DATE(2026,12,2)),D244,0)+IF(OR($A244=DATE(2026,11,28),$A244=DATE(2026,12,1)),E244,0))))</f>
        <v>0</v>
      </c>
      <c r="G244" s="14" t="n">
        <f aca="false">IF(AND($A244&lt;&gt;"",$A244&lt;Parameters!$B$14),CityData!F3*(1+TAXRATE),0)</f>
        <v>0</v>
      </c>
      <c r="H244" s="14" t="n">
        <f aca="false">IF($A244="",0,IFERROR(VLOOKUP((YEAR($A244)+IF(MONTH($A244)&gt;=10,1,0))&amp;"|Boston|"&amp;MONTH($A244),Rates!$A$2:$I$181,5,FALSE()),0))</f>
        <v>0</v>
      </c>
      <c r="I244" s="14" t="n">
        <f aca="false">IF(OR($A244="",$A244&gt;=Parameters!$B$14),1,IF(AND(H244&gt;0,CityData!F3&lt;=H244),1,0))</f>
        <v>1</v>
      </c>
      <c r="J244" s="14" t="n">
        <f aca="false">IF($A244="",0,IFERROR(VLOOKUP((YEAR($A244)+IF(MONTH($A244)&gt;=10,1,0))&amp;"|Chicago|"&amp;MONTH($A244),Rates!$A$2:$I$181,6,FALSE()),0))</f>
        <v>0</v>
      </c>
      <c r="K244" s="14" t="n">
        <f aca="false">IF(J244=0,0,VLOOKUP(J244,MIE_Components!$A$2:$F$6,2,FALSE()))</f>
        <v>0</v>
      </c>
      <c r="L244" s="14" t="n">
        <f aca="false">IF(J244=0,0,VLOOKUP(J244,MIE_Components!$A$2:$F$6,3,FALSE()))</f>
        <v>0</v>
      </c>
      <c r="M244" s="14" t="n">
        <f aca="false">IF(J244=0,0,VLOOKUP(J244,MIE_Components!$A$2:$F$6,4,FALSE()))</f>
        <v>0</v>
      </c>
      <c r="N244" s="14" t="n">
        <f aca="false">IF(OR($A244="",J244=0),0,MAX(5,J244*IF(OR($A244=Parameters!$B$13,$A244=Parameters!$B$14),0.75,1)-(IF(AND($A244=DATE(2026,11,29),NOV29BF="Yes"),K244,0)+IF(OR($A244=DATE(2026,11,29),$A244=DATE(2026,11,30),$A244=DATE(2026,12,1),$A244=DATE(2026,12,2)),L244,0)+IF(OR($A244=DATE(2026,11,28),$A244=DATE(2026,12,1)),M244,0))))</f>
        <v>0</v>
      </c>
      <c r="O244" s="14" t="n">
        <f aca="false">IF(AND($A244&lt;&gt;"",$A244&lt;Parameters!$B$14),CityData!F4*(1+TAXRATE),0)</f>
        <v>0</v>
      </c>
      <c r="P244" s="14" t="n">
        <f aca="false">IF($A244="",0,IFERROR(VLOOKUP((YEAR($A244)+IF(MONTH($A244)&gt;=10,1,0))&amp;"|Chicago|"&amp;MONTH($A244),Rates!$A$2:$I$181,5,FALSE()),0))</f>
        <v>0</v>
      </c>
      <c r="Q244" s="14" t="n">
        <f aca="false">IF(OR($A244="",$A244&gt;=Parameters!$B$14),1,IF(AND(P244&gt;0,CityData!F4&lt;=P244),1,0))</f>
        <v>1</v>
      </c>
      <c r="R244" s="14" t="n">
        <f aca="false">IF($A244="",0,IFERROR(VLOOKUP((YEAR($A244)+IF(MONTH($A244)&gt;=10,1,0))&amp;"|Denver|"&amp;MONTH($A244),Rates!$A$2:$I$181,6,FALSE()),0))</f>
        <v>0</v>
      </c>
      <c r="S244" s="14" t="n">
        <f aca="false">IF(R244=0,0,VLOOKUP(R244,MIE_Components!$A$2:$F$6,2,FALSE()))</f>
        <v>0</v>
      </c>
      <c r="T244" s="14" t="n">
        <f aca="false">IF(R244=0,0,VLOOKUP(R244,MIE_Components!$A$2:$F$6,3,FALSE()))</f>
        <v>0</v>
      </c>
      <c r="U244" s="14" t="n">
        <f aca="false">IF(R244=0,0,VLOOKUP(R244,MIE_Components!$A$2:$F$6,4,FALSE()))</f>
        <v>0</v>
      </c>
      <c r="V244" s="14" t="n">
        <f aca="false">IF(OR($A244="",R244=0),0,MAX(5,R244*IF(OR($A244=Parameters!$B$13,$A244=Parameters!$B$14),0.75,1)-(IF(AND($A244=DATE(2026,11,29),NOV29BF="Yes"),S244,0)+IF(OR($A244=DATE(2026,11,29),$A244=DATE(2026,11,30),$A244=DATE(2026,12,1),$A244=DATE(2026,12,2)),T244,0)+IF(OR($A244=DATE(2026,11,28),$A244=DATE(2026,12,1)),U244,0))))</f>
        <v>0</v>
      </c>
      <c r="W244" s="14" t="n">
        <f aca="false">IF(AND($A244&lt;&gt;"",$A244&lt;Parameters!$B$14),CityData!F5*(1+TAXRATE),0)</f>
        <v>0</v>
      </c>
      <c r="X244" s="14" t="n">
        <f aca="false">IF($A244="",0,IFERROR(VLOOKUP((YEAR($A244)+IF(MONTH($A244)&gt;=10,1,0))&amp;"|Denver|"&amp;MONTH($A244),Rates!$A$2:$I$181,5,FALSE()),0))</f>
        <v>0</v>
      </c>
      <c r="Y244" s="14" t="n">
        <f aca="false">IF(OR($A244="",$A244&gt;=Parameters!$B$14),1,IF(AND(X244&gt;0,CityData!F5&lt;=X244),1,0))</f>
        <v>1</v>
      </c>
      <c r="Z244" s="14" t="n">
        <f aca="false">IF($A244="",0,IFERROR(VLOOKUP((YEAR($A244)+IF(MONTH($A244)&gt;=10,1,0))&amp;"|Phoenix|"&amp;MONTH($A244),Rates!$A$2:$I$181,6,FALSE()),0))</f>
        <v>0</v>
      </c>
      <c r="AA244" s="14" t="n">
        <f aca="false">IF(Z244=0,0,VLOOKUP(Z244,MIE_Components!$A$2:$F$6,2,FALSE()))</f>
        <v>0</v>
      </c>
      <c r="AB244" s="14" t="n">
        <f aca="false">IF(Z244=0,0,VLOOKUP(Z244,MIE_Components!$A$2:$F$6,3,FALSE()))</f>
        <v>0</v>
      </c>
      <c r="AC244" s="14" t="n">
        <f aca="false">IF(Z244=0,0,VLOOKUP(Z244,MIE_Components!$A$2:$F$6,4,FALSE()))</f>
        <v>0</v>
      </c>
      <c r="AD244" s="14" t="n">
        <f aca="false">IF(OR($A244="",Z244=0),0,MAX(5,Z244*IF(OR($A244=Parameters!$B$13,$A244=Parameters!$B$14),0.75,1)-(IF(AND($A244=DATE(2026,11,29),NOV29BF="Yes"),AA244,0)+IF(OR($A244=DATE(2026,11,29),$A244=DATE(2026,11,30),$A244=DATE(2026,12,1),$A244=DATE(2026,12,2)),AB244,0)+IF(OR($A244=DATE(2026,11,28),$A244=DATE(2026,12,1)),AC244,0))))</f>
        <v>0</v>
      </c>
      <c r="AE244" s="14" t="n">
        <f aca="false">IF(AND($A244&lt;&gt;"",$A244&lt;Parameters!$B$14),CityData!F6*(1+TAXRATE),0)</f>
        <v>0</v>
      </c>
      <c r="AF244" s="14" t="n">
        <f aca="false">IF($A244="",0,IFERROR(VLOOKUP((YEAR($A244)+IF(MONTH($A244)&gt;=10,1,0))&amp;"|Phoenix|"&amp;MONTH($A244),Rates!$A$2:$I$181,5,FALSE()),0))</f>
        <v>0</v>
      </c>
      <c r="AG244" s="14" t="n">
        <f aca="false">IF(OR($A244="",$A244&gt;=Parameters!$B$14),1,IF(AND(AF244&gt;0,CityData!F6&lt;=AF244),1,0))</f>
        <v>1</v>
      </c>
      <c r="AH244" s="14" t="n">
        <f aca="false">IF($A244="",0,IFERROR(VLOOKUP((YEAR($A244)+IF(MONTH($A244)&gt;=10,1,0))&amp;"|Seattle|"&amp;MONTH($A244),Rates!$A$2:$I$181,6,FALSE()),0))</f>
        <v>0</v>
      </c>
      <c r="AI244" s="14" t="n">
        <f aca="false">IF(AH244=0,0,VLOOKUP(AH244,MIE_Components!$A$2:$F$6,2,FALSE()))</f>
        <v>0</v>
      </c>
      <c r="AJ244" s="14" t="n">
        <f aca="false">IF(AH244=0,0,VLOOKUP(AH244,MIE_Components!$A$2:$F$6,3,FALSE()))</f>
        <v>0</v>
      </c>
      <c r="AK244" s="14" t="n">
        <f aca="false">IF(AH244=0,0,VLOOKUP(AH244,MIE_Components!$A$2:$F$6,4,FALSE()))</f>
        <v>0</v>
      </c>
      <c r="AL244" s="14" t="n">
        <f aca="false">IF(OR($A244="",AH244=0),0,MAX(5,AH244*IF(OR($A244=Parameters!$B$13,$A244=Parameters!$B$14),0.75,1)-(IF(AND($A244=DATE(2026,11,29),NOV29BF="Yes"),AI244,0)+IF(OR($A244=DATE(2026,11,29),$A244=DATE(2026,11,30),$A244=DATE(2026,12,1),$A244=DATE(2026,12,2)),AJ244,0)+IF(OR($A244=DATE(2026,11,28),$A244=DATE(2026,12,1)),AK244,0))))</f>
        <v>0</v>
      </c>
      <c r="AM244" s="14" t="n">
        <f aca="false">IF(AND($A244&lt;&gt;"",$A244&lt;Parameters!$B$14),CityData!F7*(1+TAXRATE),0)</f>
        <v>0</v>
      </c>
      <c r="AN244" s="14" t="n">
        <f aca="false">IF($A244="",0,IFERROR(VLOOKUP((YEAR($A244)+IF(MONTH($A244)&gt;=10,1,0))&amp;"|Seattle|"&amp;MONTH($A244),Rates!$A$2:$I$181,5,FALSE()),0))</f>
        <v>0</v>
      </c>
      <c r="AO244" s="14" t="n">
        <f aca="false">IF(OR($A244="",$A244&gt;=Parameters!$B$14),1,IF(AND(AN244&gt;0,CityData!F7&lt;=AN244),1,0))</f>
        <v>1</v>
      </c>
    </row>
    <row r="245" customFormat="false" ht="15" hidden="false" customHeight="true" outlineLevel="0" collapsed="false">
      <c r="A245" s="23" t="str">
        <f aca="false">IF(AND(Parameters!$B$14&gt;=Parameters!$B$13,ROW()-2&lt;=Parameters!$B$14-Parameters!$B$13),Parameters!$B$13+ROW()-2,"")</f>
        <v/>
      </c>
      <c r="B245" s="14" t="n">
        <f aca="false">IF($A245="",0,IFERROR(VLOOKUP((YEAR($A245)+IF(MONTH($A245)&gt;=10,1,0))&amp;"|Boston|"&amp;MONTH($A245),Rates!$A$2:$I$181,6,FALSE()),0))</f>
        <v>0</v>
      </c>
      <c r="C245" s="14" t="n">
        <f aca="false">IF(B245=0,0,VLOOKUP(B245,MIE_Components!$A$2:$F$6,2,FALSE()))</f>
        <v>0</v>
      </c>
      <c r="D245" s="14" t="n">
        <f aca="false">IF(B245=0,0,VLOOKUP(B245,MIE_Components!$A$2:$F$6,3,FALSE()))</f>
        <v>0</v>
      </c>
      <c r="E245" s="14" t="n">
        <f aca="false">IF(B245=0,0,VLOOKUP(B245,MIE_Components!$A$2:$F$6,4,FALSE()))</f>
        <v>0</v>
      </c>
      <c r="F245" s="14" t="n">
        <f aca="false">IF(OR($A245="",B245=0),0,MAX(5,B245*IF(OR($A245=Parameters!$B$13,$A245=Parameters!$B$14),0.75,1)-(IF(AND($A245=DATE(2026,11,29),NOV29BF="Yes"),C245,0)+IF(OR($A245=DATE(2026,11,29),$A245=DATE(2026,11,30),$A245=DATE(2026,12,1),$A245=DATE(2026,12,2)),D245,0)+IF(OR($A245=DATE(2026,11,28),$A245=DATE(2026,12,1)),E245,0))))</f>
        <v>0</v>
      </c>
      <c r="G245" s="14" t="n">
        <f aca="false">IF(AND($A245&lt;&gt;"",$A245&lt;Parameters!$B$14),CityData!F3*(1+TAXRATE),0)</f>
        <v>0</v>
      </c>
      <c r="H245" s="14" t="n">
        <f aca="false">IF($A245="",0,IFERROR(VLOOKUP((YEAR($A245)+IF(MONTH($A245)&gt;=10,1,0))&amp;"|Boston|"&amp;MONTH($A245),Rates!$A$2:$I$181,5,FALSE()),0))</f>
        <v>0</v>
      </c>
      <c r="I245" s="14" t="n">
        <f aca="false">IF(OR($A245="",$A245&gt;=Parameters!$B$14),1,IF(AND(H245&gt;0,CityData!F3&lt;=H245),1,0))</f>
        <v>1</v>
      </c>
      <c r="J245" s="14" t="n">
        <f aca="false">IF($A245="",0,IFERROR(VLOOKUP((YEAR($A245)+IF(MONTH($A245)&gt;=10,1,0))&amp;"|Chicago|"&amp;MONTH($A245),Rates!$A$2:$I$181,6,FALSE()),0))</f>
        <v>0</v>
      </c>
      <c r="K245" s="14" t="n">
        <f aca="false">IF(J245=0,0,VLOOKUP(J245,MIE_Components!$A$2:$F$6,2,FALSE()))</f>
        <v>0</v>
      </c>
      <c r="L245" s="14" t="n">
        <f aca="false">IF(J245=0,0,VLOOKUP(J245,MIE_Components!$A$2:$F$6,3,FALSE()))</f>
        <v>0</v>
      </c>
      <c r="M245" s="14" t="n">
        <f aca="false">IF(J245=0,0,VLOOKUP(J245,MIE_Components!$A$2:$F$6,4,FALSE()))</f>
        <v>0</v>
      </c>
      <c r="N245" s="14" t="n">
        <f aca="false">IF(OR($A245="",J245=0),0,MAX(5,J245*IF(OR($A245=Parameters!$B$13,$A245=Parameters!$B$14),0.75,1)-(IF(AND($A245=DATE(2026,11,29),NOV29BF="Yes"),K245,0)+IF(OR($A245=DATE(2026,11,29),$A245=DATE(2026,11,30),$A245=DATE(2026,12,1),$A245=DATE(2026,12,2)),L245,0)+IF(OR($A245=DATE(2026,11,28),$A245=DATE(2026,12,1)),M245,0))))</f>
        <v>0</v>
      </c>
      <c r="O245" s="14" t="n">
        <f aca="false">IF(AND($A245&lt;&gt;"",$A245&lt;Parameters!$B$14),CityData!F4*(1+TAXRATE),0)</f>
        <v>0</v>
      </c>
      <c r="P245" s="14" t="n">
        <f aca="false">IF($A245="",0,IFERROR(VLOOKUP((YEAR($A245)+IF(MONTH($A245)&gt;=10,1,0))&amp;"|Chicago|"&amp;MONTH($A245),Rates!$A$2:$I$181,5,FALSE()),0))</f>
        <v>0</v>
      </c>
      <c r="Q245" s="14" t="n">
        <f aca="false">IF(OR($A245="",$A245&gt;=Parameters!$B$14),1,IF(AND(P245&gt;0,CityData!F4&lt;=P245),1,0))</f>
        <v>1</v>
      </c>
      <c r="R245" s="14" t="n">
        <f aca="false">IF($A245="",0,IFERROR(VLOOKUP((YEAR($A245)+IF(MONTH($A245)&gt;=10,1,0))&amp;"|Denver|"&amp;MONTH($A245),Rates!$A$2:$I$181,6,FALSE()),0))</f>
        <v>0</v>
      </c>
      <c r="S245" s="14" t="n">
        <f aca="false">IF(R245=0,0,VLOOKUP(R245,MIE_Components!$A$2:$F$6,2,FALSE()))</f>
        <v>0</v>
      </c>
      <c r="T245" s="14" t="n">
        <f aca="false">IF(R245=0,0,VLOOKUP(R245,MIE_Components!$A$2:$F$6,3,FALSE()))</f>
        <v>0</v>
      </c>
      <c r="U245" s="14" t="n">
        <f aca="false">IF(R245=0,0,VLOOKUP(R245,MIE_Components!$A$2:$F$6,4,FALSE()))</f>
        <v>0</v>
      </c>
      <c r="V245" s="14" t="n">
        <f aca="false">IF(OR($A245="",R245=0),0,MAX(5,R245*IF(OR($A245=Parameters!$B$13,$A245=Parameters!$B$14),0.75,1)-(IF(AND($A245=DATE(2026,11,29),NOV29BF="Yes"),S245,0)+IF(OR($A245=DATE(2026,11,29),$A245=DATE(2026,11,30),$A245=DATE(2026,12,1),$A245=DATE(2026,12,2)),T245,0)+IF(OR($A245=DATE(2026,11,28),$A245=DATE(2026,12,1)),U245,0))))</f>
        <v>0</v>
      </c>
      <c r="W245" s="14" t="n">
        <f aca="false">IF(AND($A245&lt;&gt;"",$A245&lt;Parameters!$B$14),CityData!F5*(1+TAXRATE),0)</f>
        <v>0</v>
      </c>
      <c r="X245" s="14" t="n">
        <f aca="false">IF($A245="",0,IFERROR(VLOOKUP((YEAR($A245)+IF(MONTH($A245)&gt;=10,1,0))&amp;"|Denver|"&amp;MONTH($A245),Rates!$A$2:$I$181,5,FALSE()),0))</f>
        <v>0</v>
      </c>
      <c r="Y245" s="14" t="n">
        <f aca="false">IF(OR($A245="",$A245&gt;=Parameters!$B$14),1,IF(AND(X245&gt;0,CityData!F5&lt;=X245),1,0))</f>
        <v>1</v>
      </c>
      <c r="Z245" s="14" t="n">
        <f aca="false">IF($A245="",0,IFERROR(VLOOKUP((YEAR($A245)+IF(MONTH($A245)&gt;=10,1,0))&amp;"|Phoenix|"&amp;MONTH($A245),Rates!$A$2:$I$181,6,FALSE()),0))</f>
        <v>0</v>
      </c>
      <c r="AA245" s="14" t="n">
        <f aca="false">IF(Z245=0,0,VLOOKUP(Z245,MIE_Components!$A$2:$F$6,2,FALSE()))</f>
        <v>0</v>
      </c>
      <c r="AB245" s="14" t="n">
        <f aca="false">IF(Z245=0,0,VLOOKUP(Z245,MIE_Components!$A$2:$F$6,3,FALSE()))</f>
        <v>0</v>
      </c>
      <c r="AC245" s="14" t="n">
        <f aca="false">IF(Z245=0,0,VLOOKUP(Z245,MIE_Components!$A$2:$F$6,4,FALSE()))</f>
        <v>0</v>
      </c>
      <c r="AD245" s="14" t="n">
        <f aca="false">IF(OR($A245="",Z245=0),0,MAX(5,Z245*IF(OR($A245=Parameters!$B$13,$A245=Parameters!$B$14),0.75,1)-(IF(AND($A245=DATE(2026,11,29),NOV29BF="Yes"),AA245,0)+IF(OR($A245=DATE(2026,11,29),$A245=DATE(2026,11,30),$A245=DATE(2026,12,1),$A245=DATE(2026,12,2)),AB245,0)+IF(OR($A245=DATE(2026,11,28),$A245=DATE(2026,12,1)),AC245,0))))</f>
        <v>0</v>
      </c>
      <c r="AE245" s="14" t="n">
        <f aca="false">IF(AND($A245&lt;&gt;"",$A245&lt;Parameters!$B$14),CityData!F6*(1+TAXRATE),0)</f>
        <v>0</v>
      </c>
      <c r="AF245" s="14" t="n">
        <f aca="false">IF($A245="",0,IFERROR(VLOOKUP((YEAR($A245)+IF(MONTH($A245)&gt;=10,1,0))&amp;"|Phoenix|"&amp;MONTH($A245),Rates!$A$2:$I$181,5,FALSE()),0))</f>
        <v>0</v>
      </c>
      <c r="AG245" s="14" t="n">
        <f aca="false">IF(OR($A245="",$A245&gt;=Parameters!$B$14),1,IF(AND(AF245&gt;0,CityData!F6&lt;=AF245),1,0))</f>
        <v>1</v>
      </c>
      <c r="AH245" s="14" t="n">
        <f aca="false">IF($A245="",0,IFERROR(VLOOKUP((YEAR($A245)+IF(MONTH($A245)&gt;=10,1,0))&amp;"|Seattle|"&amp;MONTH($A245),Rates!$A$2:$I$181,6,FALSE()),0))</f>
        <v>0</v>
      </c>
      <c r="AI245" s="14" t="n">
        <f aca="false">IF(AH245=0,0,VLOOKUP(AH245,MIE_Components!$A$2:$F$6,2,FALSE()))</f>
        <v>0</v>
      </c>
      <c r="AJ245" s="14" t="n">
        <f aca="false">IF(AH245=0,0,VLOOKUP(AH245,MIE_Components!$A$2:$F$6,3,FALSE()))</f>
        <v>0</v>
      </c>
      <c r="AK245" s="14" t="n">
        <f aca="false">IF(AH245=0,0,VLOOKUP(AH245,MIE_Components!$A$2:$F$6,4,FALSE()))</f>
        <v>0</v>
      </c>
      <c r="AL245" s="14" t="n">
        <f aca="false">IF(OR($A245="",AH245=0),0,MAX(5,AH245*IF(OR($A245=Parameters!$B$13,$A245=Parameters!$B$14),0.75,1)-(IF(AND($A245=DATE(2026,11,29),NOV29BF="Yes"),AI245,0)+IF(OR($A245=DATE(2026,11,29),$A245=DATE(2026,11,30),$A245=DATE(2026,12,1),$A245=DATE(2026,12,2)),AJ245,0)+IF(OR($A245=DATE(2026,11,28),$A245=DATE(2026,12,1)),AK245,0))))</f>
        <v>0</v>
      </c>
      <c r="AM245" s="14" t="n">
        <f aca="false">IF(AND($A245&lt;&gt;"",$A245&lt;Parameters!$B$14),CityData!F7*(1+TAXRATE),0)</f>
        <v>0</v>
      </c>
      <c r="AN245" s="14" t="n">
        <f aca="false">IF($A245="",0,IFERROR(VLOOKUP((YEAR($A245)+IF(MONTH($A245)&gt;=10,1,0))&amp;"|Seattle|"&amp;MONTH($A245),Rates!$A$2:$I$181,5,FALSE()),0))</f>
        <v>0</v>
      </c>
      <c r="AO245" s="14" t="n">
        <f aca="false">IF(OR($A245="",$A245&gt;=Parameters!$B$14),1,IF(AND(AN245&gt;0,CityData!F7&lt;=AN245),1,0))</f>
        <v>1</v>
      </c>
    </row>
    <row r="246" customFormat="false" ht="15" hidden="false" customHeight="true" outlineLevel="0" collapsed="false">
      <c r="A246" s="23" t="str">
        <f aca="false">IF(AND(Parameters!$B$14&gt;=Parameters!$B$13,ROW()-2&lt;=Parameters!$B$14-Parameters!$B$13),Parameters!$B$13+ROW()-2,"")</f>
        <v/>
      </c>
      <c r="B246" s="14" t="n">
        <f aca="false">IF($A246="",0,IFERROR(VLOOKUP((YEAR($A246)+IF(MONTH($A246)&gt;=10,1,0))&amp;"|Boston|"&amp;MONTH($A246),Rates!$A$2:$I$181,6,FALSE()),0))</f>
        <v>0</v>
      </c>
      <c r="C246" s="14" t="n">
        <f aca="false">IF(B246=0,0,VLOOKUP(B246,MIE_Components!$A$2:$F$6,2,FALSE()))</f>
        <v>0</v>
      </c>
      <c r="D246" s="14" t="n">
        <f aca="false">IF(B246=0,0,VLOOKUP(B246,MIE_Components!$A$2:$F$6,3,FALSE()))</f>
        <v>0</v>
      </c>
      <c r="E246" s="14" t="n">
        <f aca="false">IF(B246=0,0,VLOOKUP(B246,MIE_Components!$A$2:$F$6,4,FALSE()))</f>
        <v>0</v>
      </c>
      <c r="F246" s="14" t="n">
        <f aca="false">IF(OR($A246="",B246=0),0,MAX(5,B246*IF(OR($A246=Parameters!$B$13,$A246=Parameters!$B$14),0.75,1)-(IF(AND($A246=DATE(2026,11,29),NOV29BF="Yes"),C246,0)+IF(OR($A246=DATE(2026,11,29),$A246=DATE(2026,11,30),$A246=DATE(2026,12,1),$A246=DATE(2026,12,2)),D246,0)+IF(OR($A246=DATE(2026,11,28),$A246=DATE(2026,12,1)),E246,0))))</f>
        <v>0</v>
      </c>
      <c r="G246" s="14" t="n">
        <f aca="false">IF(AND($A246&lt;&gt;"",$A246&lt;Parameters!$B$14),CityData!F3*(1+TAXRATE),0)</f>
        <v>0</v>
      </c>
      <c r="H246" s="14" t="n">
        <f aca="false">IF($A246="",0,IFERROR(VLOOKUP((YEAR($A246)+IF(MONTH($A246)&gt;=10,1,0))&amp;"|Boston|"&amp;MONTH($A246),Rates!$A$2:$I$181,5,FALSE()),0))</f>
        <v>0</v>
      </c>
      <c r="I246" s="14" t="n">
        <f aca="false">IF(OR($A246="",$A246&gt;=Parameters!$B$14),1,IF(AND(H246&gt;0,CityData!F3&lt;=H246),1,0))</f>
        <v>1</v>
      </c>
      <c r="J246" s="14" t="n">
        <f aca="false">IF($A246="",0,IFERROR(VLOOKUP((YEAR($A246)+IF(MONTH($A246)&gt;=10,1,0))&amp;"|Chicago|"&amp;MONTH($A246),Rates!$A$2:$I$181,6,FALSE()),0))</f>
        <v>0</v>
      </c>
      <c r="K246" s="14" t="n">
        <f aca="false">IF(J246=0,0,VLOOKUP(J246,MIE_Components!$A$2:$F$6,2,FALSE()))</f>
        <v>0</v>
      </c>
      <c r="L246" s="14" t="n">
        <f aca="false">IF(J246=0,0,VLOOKUP(J246,MIE_Components!$A$2:$F$6,3,FALSE()))</f>
        <v>0</v>
      </c>
      <c r="M246" s="14" t="n">
        <f aca="false">IF(J246=0,0,VLOOKUP(J246,MIE_Components!$A$2:$F$6,4,FALSE()))</f>
        <v>0</v>
      </c>
      <c r="N246" s="14" t="n">
        <f aca="false">IF(OR($A246="",J246=0),0,MAX(5,J246*IF(OR($A246=Parameters!$B$13,$A246=Parameters!$B$14),0.75,1)-(IF(AND($A246=DATE(2026,11,29),NOV29BF="Yes"),K246,0)+IF(OR($A246=DATE(2026,11,29),$A246=DATE(2026,11,30),$A246=DATE(2026,12,1),$A246=DATE(2026,12,2)),L246,0)+IF(OR($A246=DATE(2026,11,28),$A246=DATE(2026,12,1)),M246,0))))</f>
        <v>0</v>
      </c>
      <c r="O246" s="14" t="n">
        <f aca="false">IF(AND($A246&lt;&gt;"",$A246&lt;Parameters!$B$14),CityData!F4*(1+TAXRATE),0)</f>
        <v>0</v>
      </c>
      <c r="P246" s="14" t="n">
        <f aca="false">IF($A246="",0,IFERROR(VLOOKUP((YEAR($A246)+IF(MONTH($A246)&gt;=10,1,0))&amp;"|Chicago|"&amp;MONTH($A246),Rates!$A$2:$I$181,5,FALSE()),0))</f>
        <v>0</v>
      </c>
      <c r="Q246" s="14" t="n">
        <f aca="false">IF(OR($A246="",$A246&gt;=Parameters!$B$14),1,IF(AND(P246&gt;0,CityData!F4&lt;=P246),1,0))</f>
        <v>1</v>
      </c>
      <c r="R246" s="14" t="n">
        <f aca="false">IF($A246="",0,IFERROR(VLOOKUP((YEAR($A246)+IF(MONTH($A246)&gt;=10,1,0))&amp;"|Denver|"&amp;MONTH($A246),Rates!$A$2:$I$181,6,FALSE()),0))</f>
        <v>0</v>
      </c>
      <c r="S246" s="14" t="n">
        <f aca="false">IF(R246=0,0,VLOOKUP(R246,MIE_Components!$A$2:$F$6,2,FALSE()))</f>
        <v>0</v>
      </c>
      <c r="T246" s="14" t="n">
        <f aca="false">IF(R246=0,0,VLOOKUP(R246,MIE_Components!$A$2:$F$6,3,FALSE()))</f>
        <v>0</v>
      </c>
      <c r="U246" s="14" t="n">
        <f aca="false">IF(R246=0,0,VLOOKUP(R246,MIE_Components!$A$2:$F$6,4,FALSE()))</f>
        <v>0</v>
      </c>
      <c r="V246" s="14" t="n">
        <f aca="false">IF(OR($A246="",R246=0),0,MAX(5,R246*IF(OR($A246=Parameters!$B$13,$A246=Parameters!$B$14),0.75,1)-(IF(AND($A246=DATE(2026,11,29),NOV29BF="Yes"),S246,0)+IF(OR($A246=DATE(2026,11,29),$A246=DATE(2026,11,30),$A246=DATE(2026,12,1),$A246=DATE(2026,12,2)),T246,0)+IF(OR($A246=DATE(2026,11,28),$A246=DATE(2026,12,1)),U246,0))))</f>
        <v>0</v>
      </c>
      <c r="W246" s="14" t="n">
        <f aca="false">IF(AND($A246&lt;&gt;"",$A246&lt;Parameters!$B$14),CityData!F5*(1+TAXRATE),0)</f>
        <v>0</v>
      </c>
      <c r="X246" s="14" t="n">
        <f aca="false">IF($A246="",0,IFERROR(VLOOKUP((YEAR($A246)+IF(MONTH($A246)&gt;=10,1,0))&amp;"|Denver|"&amp;MONTH($A246),Rates!$A$2:$I$181,5,FALSE()),0))</f>
        <v>0</v>
      </c>
      <c r="Y246" s="14" t="n">
        <f aca="false">IF(OR($A246="",$A246&gt;=Parameters!$B$14),1,IF(AND(X246&gt;0,CityData!F5&lt;=X246),1,0))</f>
        <v>1</v>
      </c>
      <c r="Z246" s="14" t="n">
        <f aca="false">IF($A246="",0,IFERROR(VLOOKUP((YEAR($A246)+IF(MONTH($A246)&gt;=10,1,0))&amp;"|Phoenix|"&amp;MONTH($A246),Rates!$A$2:$I$181,6,FALSE()),0))</f>
        <v>0</v>
      </c>
      <c r="AA246" s="14" t="n">
        <f aca="false">IF(Z246=0,0,VLOOKUP(Z246,MIE_Components!$A$2:$F$6,2,FALSE()))</f>
        <v>0</v>
      </c>
      <c r="AB246" s="14" t="n">
        <f aca="false">IF(Z246=0,0,VLOOKUP(Z246,MIE_Components!$A$2:$F$6,3,FALSE()))</f>
        <v>0</v>
      </c>
      <c r="AC246" s="14" t="n">
        <f aca="false">IF(Z246=0,0,VLOOKUP(Z246,MIE_Components!$A$2:$F$6,4,FALSE()))</f>
        <v>0</v>
      </c>
      <c r="AD246" s="14" t="n">
        <f aca="false">IF(OR($A246="",Z246=0),0,MAX(5,Z246*IF(OR($A246=Parameters!$B$13,$A246=Parameters!$B$14),0.75,1)-(IF(AND($A246=DATE(2026,11,29),NOV29BF="Yes"),AA246,0)+IF(OR($A246=DATE(2026,11,29),$A246=DATE(2026,11,30),$A246=DATE(2026,12,1),$A246=DATE(2026,12,2)),AB246,0)+IF(OR($A246=DATE(2026,11,28),$A246=DATE(2026,12,1)),AC246,0))))</f>
        <v>0</v>
      </c>
      <c r="AE246" s="14" t="n">
        <f aca="false">IF(AND($A246&lt;&gt;"",$A246&lt;Parameters!$B$14),CityData!F6*(1+TAXRATE),0)</f>
        <v>0</v>
      </c>
      <c r="AF246" s="14" t="n">
        <f aca="false">IF($A246="",0,IFERROR(VLOOKUP((YEAR($A246)+IF(MONTH($A246)&gt;=10,1,0))&amp;"|Phoenix|"&amp;MONTH($A246),Rates!$A$2:$I$181,5,FALSE()),0))</f>
        <v>0</v>
      </c>
      <c r="AG246" s="14" t="n">
        <f aca="false">IF(OR($A246="",$A246&gt;=Parameters!$B$14),1,IF(AND(AF246&gt;0,CityData!F6&lt;=AF246),1,0))</f>
        <v>1</v>
      </c>
      <c r="AH246" s="14" t="n">
        <f aca="false">IF($A246="",0,IFERROR(VLOOKUP((YEAR($A246)+IF(MONTH($A246)&gt;=10,1,0))&amp;"|Seattle|"&amp;MONTH($A246),Rates!$A$2:$I$181,6,FALSE()),0))</f>
        <v>0</v>
      </c>
      <c r="AI246" s="14" t="n">
        <f aca="false">IF(AH246=0,0,VLOOKUP(AH246,MIE_Components!$A$2:$F$6,2,FALSE()))</f>
        <v>0</v>
      </c>
      <c r="AJ246" s="14" t="n">
        <f aca="false">IF(AH246=0,0,VLOOKUP(AH246,MIE_Components!$A$2:$F$6,3,FALSE()))</f>
        <v>0</v>
      </c>
      <c r="AK246" s="14" t="n">
        <f aca="false">IF(AH246=0,0,VLOOKUP(AH246,MIE_Components!$A$2:$F$6,4,FALSE()))</f>
        <v>0</v>
      </c>
      <c r="AL246" s="14" t="n">
        <f aca="false">IF(OR($A246="",AH246=0),0,MAX(5,AH246*IF(OR($A246=Parameters!$B$13,$A246=Parameters!$B$14),0.75,1)-(IF(AND($A246=DATE(2026,11,29),NOV29BF="Yes"),AI246,0)+IF(OR($A246=DATE(2026,11,29),$A246=DATE(2026,11,30),$A246=DATE(2026,12,1),$A246=DATE(2026,12,2)),AJ246,0)+IF(OR($A246=DATE(2026,11,28),$A246=DATE(2026,12,1)),AK246,0))))</f>
        <v>0</v>
      </c>
      <c r="AM246" s="14" t="n">
        <f aca="false">IF(AND($A246&lt;&gt;"",$A246&lt;Parameters!$B$14),CityData!F7*(1+TAXRATE),0)</f>
        <v>0</v>
      </c>
      <c r="AN246" s="14" t="n">
        <f aca="false">IF($A246="",0,IFERROR(VLOOKUP((YEAR($A246)+IF(MONTH($A246)&gt;=10,1,0))&amp;"|Seattle|"&amp;MONTH($A246),Rates!$A$2:$I$181,5,FALSE()),0))</f>
        <v>0</v>
      </c>
      <c r="AO246" s="14" t="n">
        <f aca="false">IF(OR($A246="",$A246&gt;=Parameters!$B$14),1,IF(AND(AN246&gt;0,CityData!F7&lt;=AN246),1,0))</f>
        <v>1</v>
      </c>
    </row>
    <row r="247" customFormat="false" ht="15" hidden="false" customHeight="true" outlineLevel="0" collapsed="false">
      <c r="A247" s="23" t="str">
        <f aca="false">IF(AND(Parameters!$B$14&gt;=Parameters!$B$13,ROW()-2&lt;=Parameters!$B$14-Parameters!$B$13),Parameters!$B$13+ROW()-2,"")</f>
        <v/>
      </c>
      <c r="B247" s="14" t="n">
        <f aca="false">IF($A247="",0,IFERROR(VLOOKUP((YEAR($A247)+IF(MONTH($A247)&gt;=10,1,0))&amp;"|Boston|"&amp;MONTH($A247),Rates!$A$2:$I$181,6,FALSE()),0))</f>
        <v>0</v>
      </c>
      <c r="C247" s="14" t="n">
        <f aca="false">IF(B247=0,0,VLOOKUP(B247,MIE_Components!$A$2:$F$6,2,FALSE()))</f>
        <v>0</v>
      </c>
      <c r="D247" s="14" t="n">
        <f aca="false">IF(B247=0,0,VLOOKUP(B247,MIE_Components!$A$2:$F$6,3,FALSE()))</f>
        <v>0</v>
      </c>
      <c r="E247" s="14" t="n">
        <f aca="false">IF(B247=0,0,VLOOKUP(B247,MIE_Components!$A$2:$F$6,4,FALSE()))</f>
        <v>0</v>
      </c>
      <c r="F247" s="14" t="n">
        <f aca="false">IF(OR($A247="",B247=0),0,MAX(5,B247*IF(OR($A247=Parameters!$B$13,$A247=Parameters!$B$14),0.75,1)-(IF(AND($A247=DATE(2026,11,29),NOV29BF="Yes"),C247,0)+IF(OR($A247=DATE(2026,11,29),$A247=DATE(2026,11,30),$A247=DATE(2026,12,1),$A247=DATE(2026,12,2)),D247,0)+IF(OR($A247=DATE(2026,11,28),$A247=DATE(2026,12,1)),E247,0))))</f>
        <v>0</v>
      </c>
      <c r="G247" s="14" t="n">
        <f aca="false">IF(AND($A247&lt;&gt;"",$A247&lt;Parameters!$B$14),CityData!F3*(1+TAXRATE),0)</f>
        <v>0</v>
      </c>
      <c r="H247" s="14" t="n">
        <f aca="false">IF($A247="",0,IFERROR(VLOOKUP((YEAR($A247)+IF(MONTH($A247)&gt;=10,1,0))&amp;"|Boston|"&amp;MONTH($A247),Rates!$A$2:$I$181,5,FALSE()),0))</f>
        <v>0</v>
      </c>
      <c r="I247" s="14" t="n">
        <f aca="false">IF(OR($A247="",$A247&gt;=Parameters!$B$14),1,IF(AND(H247&gt;0,CityData!F3&lt;=H247),1,0))</f>
        <v>1</v>
      </c>
      <c r="J247" s="14" t="n">
        <f aca="false">IF($A247="",0,IFERROR(VLOOKUP((YEAR($A247)+IF(MONTH($A247)&gt;=10,1,0))&amp;"|Chicago|"&amp;MONTH($A247),Rates!$A$2:$I$181,6,FALSE()),0))</f>
        <v>0</v>
      </c>
      <c r="K247" s="14" t="n">
        <f aca="false">IF(J247=0,0,VLOOKUP(J247,MIE_Components!$A$2:$F$6,2,FALSE()))</f>
        <v>0</v>
      </c>
      <c r="L247" s="14" t="n">
        <f aca="false">IF(J247=0,0,VLOOKUP(J247,MIE_Components!$A$2:$F$6,3,FALSE()))</f>
        <v>0</v>
      </c>
      <c r="M247" s="14" t="n">
        <f aca="false">IF(J247=0,0,VLOOKUP(J247,MIE_Components!$A$2:$F$6,4,FALSE()))</f>
        <v>0</v>
      </c>
      <c r="N247" s="14" t="n">
        <f aca="false">IF(OR($A247="",J247=0),0,MAX(5,J247*IF(OR($A247=Parameters!$B$13,$A247=Parameters!$B$14),0.75,1)-(IF(AND($A247=DATE(2026,11,29),NOV29BF="Yes"),K247,0)+IF(OR($A247=DATE(2026,11,29),$A247=DATE(2026,11,30),$A247=DATE(2026,12,1),$A247=DATE(2026,12,2)),L247,0)+IF(OR($A247=DATE(2026,11,28),$A247=DATE(2026,12,1)),M247,0))))</f>
        <v>0</v>
      </c>
      <c r="O247" s="14" t="n">
        <f aca="false">IF(AND($A247&lt;&gt;"",$A247&lt;Parameters!$B$14),CityData!F4*(1+TAXRATE),0)</f>
        <v>0</v>
      </c>
      <c r="P247" s="14" t="n">
        <f aca="false">IF($A247="",0,IFERROR(VLOOKUP((YEAR($A247)+IF(MONTH($A247)&gt;=10,1,0))&amp;"|Chicago|"&amp;MONTH($A247),Rates!$A$2:$I$181,5,FALSE()),0))</f>
        <v>0</v>
      </c>
      <c r="Q247" s="14" t="n">
        <f aca="false">IF(OR($A247="",$A247&gt;=Parameters!$B$14),1,IF(AND(P247&gt;0,CityData!F4&lt;=P247),1,0))</f>
        <v>1</v>
      </c>
      <c r="R247" s="14" t="n">
        <f aca="false">IF($A247="",0,IFERROR(VLOOKUP((YEAR($A247)+IF(MONTH($A247)&gt;=10,1,0))&amp;"|Denver|"&amp;MONTH($A247),Rates!$A$2:$I$181,6,FALSE()),0))</f>
        <v>0</v>
      </c>
      <c r="S247" s="14" t="n">
        <f aca="false">IF(R247=0,0,VLOOKUP(R247,MIE_Components!$A$2:$F$6,2,FALSE()))</f>
        <v>0</v>
      </c>
      <c r="T247" s="14" t="n">
        <f aca="false">IF(R247=0,0,VLOOKUP(R247,MIE_Components!$A$2:$F$6,3,FALSE()))</f>
        <v>0</v>
      </c>
      <c r="U247" s="14" t="n">
        <f aca="false">IF(R247=0,0,VLOOKUP(R247,MIE_Components!$A$2:$F$6,4,FALSE()))</f>
        <v>0</v>
      </c>
      <c r="V247" s="14" t="n">
        <f aca="false">IF(OR($A247="",R247=0),0,MAX(5,R247*IF(OR($A247=Parameters!$B$13,$A247=Parameters!$B$14),0.75,1)-(IF(AND($A247=DATE(2026,11,29),NOV29BF="Yes"),S247,0)+IF(OR($A247=DATE(2026,11,29),$A247=DATE(2026,11,30),$A247=DATE(2026,12,1),$A247=DATE(2026,12,2)),T247,0)+IF(OR($A247=DATE(2026,11,28),$A247=DATE(2026,12,1)),U247,0))))</f>
        <v>0</v>
      </c>
      <c r="W247" s="14" t="n">
        <f aca="false">IF(AND($A247&lt;&gt;"",$A247&lt;Parameters!$B$14),CityData!F5*(1+TAXRATE),0)</f>
        <v>0</v>
      </c>
      <c r="X247" s="14" t="n">
        <f aca="false">IF($A247="",0,IFERROR(VLOOKUP((YEAR($A247)+IF(MONTH($A247)&gt;=10,1,0))&amp;"|Denver|"&amp;MONTH($A247),Rates!$A$2:$I$181,5,FALSE()),0))</f>
        <v>0</v>
      </c>
      <c r="Y247" s="14" t="n">
        <f aca="false">IF(OR($A247="",$A247&gt;=Parameters!$B$14),1,IF(AND(X247&gt;0,CityData!F5&lt;=X247),1,0))</f>
        <v>1</v>
      </c>
      <c r="Z247" s="14" t="n">
        <f aca="false">IF($A247="",0,IFERROR(VLOOKUP((YEAR($A247)+IF(MONTH($A247)&gt;=10,1,0))&amp;"|Phoenix|"&amp;MONTH($A247),Rates!$A$2:$I$181,6,FALSE()),0))</f>
        <v>0</v>
      </c>
      <c r="AA247" s="14" t="n">
        <f aca="false">IF(Z247=0,0,VLOOKUP(Z247,MIE_Components!$A$2:$F$6,2,FALSE()))</f>
        <v>0</v>
      </c>
      <c r="AB247" s="14" t="n">
        <f aca="false">IF(Z247=0,0,VLOOKUP(Z247,MIE_Components!$A$2:$F$6,3,FALSE()))</f>
        <v>0</v>
      </c>
      <c r="AC247" s="14" t="n">
        <f aca="false">IF(Z247=0,0,VLOOKUP(Z247,MIE_Components!$A$2:$F$6,4,FALSE()))</f>
        <v>0</v>
      </c>
      <c r="AD247" s="14" t="n">
        <f aca="false">IF(OR($A247="",Z247=0),0,MAX(5,Z247*IF(OR($A247=Parameters!$B$13,$A247=Parameters!$B$14),0.75,1)-(IF(AND($A247=DATE(2026,11,29),NOV29BF="Yes"),AA247,0)+IF(OR($A247=DATE(2026,11,29),$A247=DATE(2026,11,30),$A247=DATE(2026,12,1),$A247=DATE(2026,12,2)),AB247,0)+IF(OR($A247=DATE(2026,11,28),$A247=DATE(2026,12,1)),AC247,0))))</f>
        <v>0</v>
      </c>
      <c r="AE247" s="14" t="n">
        <f aca="false">IF(AND($A247&lt;&gt;"",$A247&lt;Parameters!$B$14),CityData!F6*(1+TAXRATE),0)</f>
        <v>0</v>
      </c>
      <c r="AF247" s="14" t="n">
        <f aca="false">IF($A247="",0,IFERROR(VLOOKUP((YEAR($A247)+IF(MONTH($A247)&gt;=10,1,0))&amp;"|Phoenix|"&amp;MONTH($A247),Rates!$A$2:$I$181,5,FALSE()),0))</f>
        <v>0</v>
      </c>
      <c r="AG247" s="14" t="n">
        <f aca="false">IF(OR($A247="",$A247&gt;=Parameters!$B$14),1,IF(AND(AF247&gt;0,CityData!F6&lt;=AF247),1,0))</f>
        <v>1</v>
      </c>
      <c r="AH247" s="14" t="n">
        <f aca="false">IF($A247="",0,IFERROR(VLOOKUP((YEAR($A247)+IF(MONTH($A247)&gt;=10,1,0))&amp;"|Seattle|"&amp;MONTH($A247),Rates!$A$2:$I$181,6,FALSE()),0))</f>
        <v>0</v>
      </c>
      <c r="AI247" s="14" t="n">
        <f aca="false">IF(AH247=0,0,VLOOKUP(AH247,MIE_Components!$A$2:$F$6,2,FALSE()))</f>
        <v>0</v>
      </c>
      <c r="AJ247" s="14" t="n">
        <f aca="false">IF(AH247=0,0,VLOOKUP(AH247,MIE_Components!$A$2:$F$6,3,FALSE()))</f>
        <v>0</v>
      </c>
      <c r="AK247" s="14" t="n">
        <f aca="false">IF(AH247=0,0,VLOOKUP(AH247,MIE_Components!$A$2:$F$6,4,FALSE()))</f>
        <v>0</v>
      </c>
      <c r="AL247" s="14" t="n">
        <f aca="false">IF(OR($A247="",AH247=0),0,MAX(5,AH247*IF(OR($A247=Parameters!$B$13,$A247=Parameters!$B$14),0.75,1)-(IF(AND($A247=DATE(2026,11,29),NOV29BF="Yes"),AI247,0)+IF(OR($A247=DATE(2026,11,29),$A247=DATE(2026,11,30),$A247=DATE(2026,12,1),$A247=DATE(2026,12,2)),AJ247,0)+IF(OR($A247=DATE(2026,11,28),$A247=DATE(2026,12,1)),AK247,0))))</f>
        <v>0</v>
      </c>
      <c r="AM247" s="14" t="n">
        <f aca="false">IF(AND($A247&lt;&gt;"",$A247&lt;Parameters!$B$14),CityData!F7*(1+TAXRATE),0)</f>
        <v>0</v>
      </c>
      <c r="AN247" s="14" t="n">
        <f aca="false">IF($A247="",0,IFERROR(VLOOKUP((YEAR($A247)+IF(MONTH($A247)&gt;=10,1,0))&amp;"|Seattle|"&amp;MONTH($A247),Rates!$A$2:$I$181,5,FALSE()),0))</f>
        <v>0</v>
      </c>
      <c r="AO247" s="14" t="n">
        <f aca="false">IF(OR($A247="",$A247&gt;=Parameters!$B$14),1,IF(AND(AN247&gt;0,CityData!F7&lt;=AN247),1,0))</f>
        <v>1</v>
      </c>
    </row>
    <row r="248" customFormat="false" ht="15" hidden="false" customHeight="true" outlineLevel="0" collapsed="false">
      <c r="A248" s="23" t="str">
        <f aca="false">IF(AND(Parameters!$B$14&gt;=Parameters!$B$13,ROW()-2&lt;=Parameters!$B$14-Parameters!$B$13),Parameters!$B$13+ROW()-2,"")</f>
        <v/>
      </c>
      <c r="B248" s="14" t="n">
        <f aca="false">IF($A248="",0,IFERROR(VLOOKUP((YEAR($A248)+IF(MONTH($A248)&gt;=10,1,0))&amp;"|Boston|"&amp;MONTH($A248),Rates!$A$2:$I$181,6,FALSE()),0))</f>
        <v>0</v>
      </c>
      <c r="C248" s="14" t="n">
        <f aca="false">IF(B248=0,0,VLOOKUP(B248,MIE_Components!$A$2:$F$6,2,FALSE()))</f>
        <v>0</v>
      </c>
      <c r="D248" s="14" t="n">
        <f aca="false">IF(B248=0,0,VLOOKUP(B248,MIE_Components!$A$2:$F$6,3,FALSE()))</f>
        <v>0</v>
      </c>
      <c r="E248" s="14" t="n">
        <f aca="false">IF(B248=0,0,VLOOKUP(B248,MIE_Components!$A$2:$F$6,4,FALSE()))</f>
        <v>0</v>
      </c>
      <c r="F248" s="14" t="n">
        <f aca="false">IF(OR($A248="",B248=0),0,MAX(5,B248*IF(OR($A248=Parameters!$B$13,$A248=Parameters!$B$14),0.75,1)-(IF(AND($A248=DATE(2026,11,29),NOV29BF="Yes"),C248,0)+IF(OR($A248=DATE(2026,11,29),$A248=DATE(2026,11,30),$A248=DATE(2026,12,1),$A248=DATE(2026,12,2)),D248,0)+IF(OR($A248=DATE(2026,11,28),$A248=DATE(2026,12,1)),E248,0))))</f>
        <v>0</v>
      </c>
      <c r="G248" s="14" t="n">
        <f aca="false">IF(AND($A248&lt;&gt;"",$A248&lt;Parameters!$B$14),CityData!F3*(1+TAXRATE),0)</f>
        <v>0</v>
      </c>
      <c r="H248" s="14" t="n">
        <f aca="false">IF($A248="",0,IFERROR(VLOOKUP((YEAR($A248)+IF(MONTH($A248)&gt;=10,1,0))&amp;"|Boston|"&amp;MONTH($A248),Rates!$A$2:$I$181,5,FALSE()),0))</f>
        <v>0</v>
      </c>
      <c r="I248" s="14" t="n">
        <f aca="false">IF(OR($A248="",$A248&gt;=Parameters!$B$14),1,IF(AND(H248&gt;0,CityData!F3&lt;=H248),1,0))</f>
        <v>1</v>
      </c>
      <c r="J248" s="14" t="n">
        <f aca="false">IF($A248="",0,IFERROR(VLOOKUP((YEAR($A248)+IF(MONTH($A248)&gt;=10,1,0))&amp;"|Chicago|"&amp;MONTH($A248),Rates!$A$2:$I$181,6,FALSE()),0))</f>
        <v>0</v>
      </c>
      <c r="K248" s="14" t="n">
        <f aca="false">IF(J248=0,0,VLOOKUP(J248,MIE_Components!$A$2:$F$6,2,FALSE()))</f>
        <v>0</v>
      </c>
      <c r="L248" s="14" t="n">
        <f aca="false">IF(J248=0,0,VLOOKUP(J248,MIE_Components!$A$2:$F$6,3,FALSE()))</f>
        <v>0</v>
      </c>
      <c r="M248" s="14" t="n">
        <f aca="false">IF(J248=0,0,VLOOKUP(J248,MIE_Components!$A$2:$F$6,4,FALSE()))</f>
        <v>0</v>
      </c>
      <c r="N248" s="14" t="n">
        <f aca="false">IF(OR($A248="",J248=0),0,MAX(5,J248*IF(OR($A248=Parameters!$B$13,$A248=Parameters!$B$14),0.75,1)-(IF(AND($A248=DATE(2026,11,29),NOV29BF="Yes"),K248,0)+IF(OR($A248=DATE(2026,11,29),$A248=DATE(2026,11,30),$A248=DATE(2026,12,1),$A248=DATE(2026,12,2)),L248,0)+IF(OR($A248=DATE(2026,11,28),$A248=DATE(2026,12,1)),M248,0))))</f>
        <v>0</v>
      </c>
      <c r="O248" s="14" t="n">
        <f aca="false">IF(AND($A248&lt;&gt;"",$A248&lt;Parameters!$B$14),CityData!F4*(1+TAXRATE),0)</f>
        <v>0</v>
      </c>
      <c r="P248" s="14" t="n">
        <f aca="false">IF($A248="",0,IFERROR(VLOOKUP((YEAR($A248)+IF(MONTH($A248)&gt;=10,1,0))&amp;"|Chicago|"&amp;MONTH($A248),Rates!$A$2:$I$181,5,FALSE()),0))</f>
        <v>0</v>
      </c>
      <c r="Q248" s="14" t="n">
        <f aca="false">IF(OR($A248="",$A248&gt;=Parameters!$B$14),1,IF(AND(P248&gt;0,CityData!F4&lt;=P248),1,0))</f>
        <v>1</v>
      </c>
      <c r="R248" s="14" t="n">
        <f aca="false">IF($A248="",0,IFERROR(VLOOKUP((YEAR($A248)+IF(MONTH($A248)&gt;=10,1,0))&amp;"|Denver|"&amp;MONTH($A248),Rates!$A$2:$I$181,6,FALSE()),0))</f>
        <v>0</v>
      </c>
      <c r="S248" s="14" t="n">
        <f aca="false">IF(R248=0,0,VLOOKUP(R248,MIE_Components!$A$2:$F$6,2,FALSE()))</f>
        <v>0</v>
      </c>
      <c r="T248" s="14" t="n">
        <f aca="false">IF(R248=0,0,VLOOKUP(R248,MIE_Components!$A$2:$F$6,3,FALSE()))</f>
        <v>0</v>
      </c>
      <c r="U248" s="14" t="n">
        <f aca="false">IF(R248=0,0,VLOOKUP(R248,MIE_Components!$A$2:$F$6,4,FALSE()))</f>
        <v>0</v>
      </c>
      <c r="V248" s="14" t="n">
        <f aca="false">IF(OR($A248="",R248=0),0,MAX(5,R248*IF(OR($A248=Parameters!$B$13,$A248=Parameters!$B$14),0.75,1)-(IF(AND($A248=DATE(2026,11,29),NOV29BF="Yes"),S248,0)+IF(OR($A248=DATE(2026,11,29),$A248=DATE(2026,11,30),$A248=DATE(2026,12,1),$A248=DATE(2026,12,2)),T248,0)+IF(OR($A248=DATE(2026,11,28),$A248=DATE(2026,12,1)),U248,0))))</f>
        <v>0</v>
      </c>
      <c r="W248" s="14" t="n">
        <f aca="false">IF(AND($A248&lt;&gt;"",$A248&lt;Parameters!$B$14),CityData!F5*(1+TAXRATE),0)</f>
        <v>0</v>
      </c>
      <c r="X248" s="14" t="n">
        <f aca="false">IF($A248="",0,IFERROR(VLOOKUP((YEAR($A248)+IF(MONTH($A248)&gt;=10,1,0))&amp;"|Denver|"&amp;MONTH($A248),Rates!$A$2:$I$181,5,FALSE()),0))</f>
        <v>0</v>
      </c>
      <c r="Y248" s="14" t="n">
        <f aca="false">IF(OR($A248="",$A248&gt;=Parameters!$B$14),1,IF(AND(X248&gt;0,CityData!F5&lt;=X248),1,0))</f>
        <v>1</v>
      </c>
      <c r="Z248" s="14" t="n">
        <f aca="false">IF($A248="",0,IFERROR(VLOOKUP((YEAR($A248)+IF(MONTH($A248)&gt;=10,1,0))&amp;"|Phoenix|"&amp;MONTH($A248),Rates!$A$2:$I$181,6,FALSE()),0))</f>
        <v>0</v>
      </c>
      <c r="AA248" s="14" t="n">
        <f aca="false">IF(Z248=0,0,VLOOKUP(Z248,MIE_Components!$A$2:$F$6,2,FALSE()))</f>
        <v>0</v>
      </c>
      <c r="AB248" s="14" t="n">
        <f aca="false">IF(Z248=0,0,VLOOKUP(Z248,MIE_Components!$A$2:$F$6,3,FALSE()))</f>
        <v>0</v>
      </c>
      <c r="AC248" s="14" t="n">
        <f aca="false">IF(Z248=0,0,VLOOKUP(Z248,MIE_Components!$A$2:$F$6,4,FALSE()))</f>
        <v>0</v>
      </c>
      <c r="AD248" s="14" t="n">
        <f aca="false">IF(OR($A248="",Z248=0),0,MAX(5,Z248*IF(OR($A248=Parameters!$B$13,$A248=Parameters!$B$14),0.75,1)-(IF(AND($A248=DATE(2026,11,29),NOV29BF="Yes"),AA248,0)+IF(OR($A248=DATE(2026,11,29),$A248=DATE(2026,11,30),$A248=DATE(2026,12,1),$A248=DATE(2026,12,2)),AB248,0)+IF(OR($A248=DATE(2026,11,28),$A248=DATE(2026,12,1)),AC248,0))))</f>
        <v>0</v>
      </c>
      <c r="AE248" s="14" t="n">
        <f aca="false">IF(AND($A248&lt;&gt;"",$A248&lt;Parameters!$B$14),CityData!F6*(1+TAXRATE),0)</f>
        <v>0</v>
      </c>
      <c r="AF248" s="14" t="n">
        <f aca="false">IF($A248="",0,IFERROR(VLOOKUP((YEAR($A248)+IF(MONTH($A248)&gt;=10,1,0))&amp;"|Phoenix|"&amp;MONTH($A248),Rates!$A$2:$I$181,5,FALSE()),0))</f>
        <v>0</v>
      </c>
      <c r="AG248" s="14" t="n">
        <f aca="false">IF(OR($A248="",$A248&gt;=Parameters!$B$14),1,IF(AND(AF248&gt;0,CityData!F6&lt;=AF248),1,0))</f>
        <v>1</v>
      </c>
      <c r="AH248" s="14" t="n">
        <f aca="false">IF($A248="",0,IFERROR(VLOOKUP((YEAR($A248)+IF(MONTH($A248)&gt;=10,1,0))&amp;"|Seattle|"&amp;MONTH($A248),Rates!$A$2:$I$181,6,FALSE()),0))</f>
        <v>0</v>
      </c>
      <c r="AI248" s="14" t="n">
        <f aca="false">IF(AH248=0,0,VLOOKUP(AH248,MIE_Components!$A$2:$F$6,2,FALSE()))</f>
        <v>0</v>
      </c>
      <c r="AJ248" s="14" t="n">
        <f aca="false">IF(AH248=0,0,VLOOKUP(AH248,MIE_Components!$A$2:$F$6,3,FALSE()))</f>
        <v>0</v>
      </c>
      <c r="AK248" s="14" t="n">
        <f aca="false">IF(AH248=0,0,VLOOKUP(AH248,MIE_Components!$A$2:$F$6,4,FALSE()))</f>
        <v>0</v>
      </c>
      <c r="AL248" s="14" t="n">
        <f aca="false">IF(OR($A248="",AH248=0),0,MAX(5,AH248*IF(OR($A248=Parameters!$B$13,$A248=Parameters!$B$14),0.75,1)-(IF(AND($A248=DATE(2026,11,29),NOV29BF="Yes"),AI248,0)+IF(OR($A248=DATE(2026,11,29),$A248=DATE(2026,11,30),$A248=DATE(2026,12,1),$A248=DATE(2026,12,2)),AJ248,0)+IF(OR($A248=DATE(2026,11,28),$A248=DATE(2026,12,1)),AK248,0))))</f>
        <v>0</v>
      </c>
      <c r="AM248" s="14" t="n">
        <f aca="false">IF(AND($A248&lt;&gt;"",$A248&lt;Parameters!$B$14),CityData!F7*(1+TAXRATE),0)</f>
        <v>0</v>
      </c>
      <c r="AN248" s="14" t="n">
        <f aca="false">IF($A248="",0,IFERROR(VLOOKUP((YEAR($A248)+IF(MONTH($A248)&gt;=10,1,0))&amp;"|Seattle|"&amp;MONTH($A248),Rates!$A$2:$I$181,5,FALSE()),0))</f>
        <v>0</v>
      </c>
      <c r="AO248" s="14" t="n">
        <f aca="false">IF(OR($A248="",$A248&gt;=Parameters!$B$14),1,IF(AND(AN248&gt;0,CityData!F7&lt;=AN248),1,0))</f>
        <v>1</v>
      </c>
    </row>
    <row r="249" customFormat="false" ht="15" hidden="false" customHeight="true" outlineLevel="0" collapsed="false">
      <c r="A249" s="23" t="str">
        <f aca="false">IF(AND(Parameters!$B$14&gt;=Parameters!$B$13,ROW()-2&lt;=Parameters!$B$14-Parameters!$B$13),Parameters!$B$13+ROW()-2,"")</f>
        <v/>
      </c>
      <c r="B249" s="14" t="n">
        <f aca="false">IF($A249="",0,IFERROR(VLOOKUP((YEAR($A249)+IF(MONTH($A249)&gt;=10,1,0))&amp;"|Boston|"&amp;MONTH($A249),Rates!$A$2:$I$181,6,FALSE()),0))</f>
        <v>0</v>
      </c>
      <c r="C249" s="14" t="n">
        <f aca="false">IF(B249=0,0,VLOOKUP(B249,MIE_Components!$A$2:$F$6,2,FALSE()))</f>
        <v>0</v>
      </c>
      <c r="D249" s="14" t="n">
        <f aca="false">IF(B249=0,0,VLOOKUP(B249,MIE_Components!$A$2:$F$6,3,FALSE()))</f>
        <v>0</v>
      </c>
      <c r="E249" s="14" t="n">
        <f aca="false">IF(B249=0,0,VLOOKUP(B249,MIE_Components!$A$2:$F$6,4,FALSE()))</f>
        <v>0</v>
      </c>
      <c r="F249" s="14" t="n">
        <f aca="false">IF(OR($A249="",B249=0),0,MAX(5,B249*IF(OR($A249=Parameters!$B$13,$A249=Parameters!$B$14),0.75,1)-(IF(AND($A249=DATE(2026,11,29),NOV29BF="Yes"),C249,0)+IF(OR($A249=DATE(2026,11,29),$A249=DATE(2026,11,30),$A249=DATE(2026,12,1),$A249=DATE(2026,12,2)),D249,0)+IF(OR($A249=DATE(2026,11,28),$A249=DATE(2026,12,1)),E249,0))))</f>
        <v>0</v>
      </c>
      <c r="G249" s="14" t="n">
        <f aca="false">IF(AND($A249&lt;&gt;"",$A249&lt;Parameters!$B$14),CityData!F3*(1+TAXRATE),0)</f>
        <v>0</v>
      </c>
      <c r="H249" s="14" t="n">
        <f aca="false">IF($A249="",0,IFERROR(VLOOKUP((YEAR($A249)+IF(MONTH($A249)&gt;=10,1,0))&amp;"|Boston|"&amp;MONTH($A249),Rates!$A$2:$I$181,5,FALSE()),0))</f>
        <v>0</v>
      </c>
      <c r="I249" s="14" t="n">
        <f aca="false">IF(OR($A249="",$A249&gt;=Parameters!$B$14),1,IF(AND(H249&gt;0,CityData!F3&lt;=H249),1,0))</f>
        <v>1</v>
      </c>
      <c r="J249" s="14" t="n">
        <f aca="false">IF($A249="",0,IFERROR(VLOOKUP((YEAR($A249)+IF(MONTH($A249)&gt;=10,1,0))&amp;"|Chicago|"&amp;MONTH($A249),Rates!$A$2:$I$181,6,FALSE()),0))</f>
        <v>0</v>
      </c>
      <c r="K249" s="14" t="n">
        <f aca="false">IF(J249=0,0,VLOOKUP(J249,MIE_Components!$A$2:$F$6,2,FALSE()))</f>
        <v>0</v>
      </c>
      <c r="L249" s="14" t="n">
        <f aca="false">IF(J249=0,0,VLOOKUP(J249,MIE_Components!$A$2:$F$6,3,FALSE()))</f>
        <v>0</v>
      </c>
      <c r="M249" s="14" t="n">
        <f aca="false">IF(J249=0,0,VLOOKUP(J249,MIE_Components!$A$2:$F$6,4,FALSE()))</f>
        <v>0</v>
      </c>
      <c r="N249" s="14" t="n">
        <f aca="false">IF(OR($A249="",J249=0),0,MAX(5,J249*IF(OR($A249=Parameters!$B$13,$A249=Parameters!$B$14),0.75,1)-(IF(AND($A249=DATE(2026,11,29),NOV29BF="Yes"),K249,0)+IF(OR($A249=DATE(2026,11,29),$A249=DATE(2026,11,30),$A249=DATE(2026,12,1),$A249=DATE(2026,12,2)),L249,0)+IF(OR($A249=DATE(2026,11,28),$A249=DATE(2026,12,1)),M249,0))))</f>
        <v>0</v>
      </c>
      <c r="O249" s="14" t="n">
        <f aca="false">IF(AND($A249&lt;&gt;"",$A249&lt;Parameters!$B$14),CityData!F4*(1+TAXRATE),0)</f>
        <v>0</v>
      </c>
      <c r="P249" s="14" t="n">
        <f aca="false">IF($A249="",0,IFERROR(VLOOKUP((YEAR($A249)+IF(MONTH($A249)&gt;=10,1,0))&amp;"|Chicago|"&amp;MONTH($A249),Rates!$A$2:$I$181,5,FALSE()),0))</f>
        <v>0</v>
      </c>
      <c r="Q249" s="14" t="n">
        <f aca="false">IF(OR($A249="",$A249&gt;=Parameters!$B$14),1,IF(AND(P249&gt;0,CityData!F4&lt;=P249),1,0))</f>
        <v>1</v>
      </c>
      <c r="R249" s="14" t="n">
        <f aca="false">IF($A249="",0,IFERROR(VLOOKUP((YEAR($A249)+IF(MONTH($A249)&gt;=10,1,0))&amp;"|Denver|"&amp;MONTH($A249),Rates!$A$2:$I$181,6,FALSE()),0))</f>
        <v>0</v>
      </c>
      <c r="S249" s="14" t="n">
        <f aca="false">IF(R249=0,0,VLOOKUP(R249,MIE_Components!$A$2:$F$6,2,FALSE()))</f>
        <v>0</v>
      </c>
      <c r="T249" s="14" t="n">
        <f aca="false">IF(R249=0,0,VLOOKUP(R249,MIE_Components!$A$2:$F$6,3,FALSE()))</f>
        <v>0</v>
      </c>
      <c r="U249" s="14" t="n">
        <f aca="false">IF(R249=0,0,VLOOKUP(R249,MIE_Components!$A$2:$F$6,4,FALSE()))</f>
        <v>0</v>
      </c>
      <c r="V249" s="14" t="n">
        <f aca="false">IF(OR($A249="",R249=0),0,MAX(5,R249*IF(OR($A249=Parameters!$B$13,$A249=Parameters!$B$14),0.75,1)-(IF(AND($A249=DATE(2026,11,29),NOV29BF="Yes"),S249,0)+IF(OR($A249=DATE(2026,11,29),$A249=DATE(2026,11,30),$A249=DATE(2026,12,1),$A249=DATE(2026,12,2)),T249,0)+IF(OR($A249=DATE(2026,11,28),$A249=DATE(2026,12,1)),U249,0))))</f>
        <v>0</v>
      </c>
      <c r="W249" s="14" t="n">
        <f aca="false">IF(AND($A249&lt;&gt;"",$A249&lt;Parameters!$B$14),CityData!F5*(1+TAXRATE),0)</f>
        <v>0</v>
      </c>
      <c r="X249" s="14" t="n">
        <f aca="false">IF($A249="",0,IFERROR(VLOOKUP((YEAR($A249)+IF(MONTH($A249)&gt;=10,1,0))&amp;"|Denver|"&amp;MONTH($A249),Rates!$A$2:$I$181,5,FALSE()),0))</f>
        <v>0</v>
      </c>
      <c r="Y249" s="14" t="n">
        <f aca="false">IF(OR($A249="",$A249&gt;=Parameters!$B$14),1,IF(AND(X249&gt;0,CityData!F5&lt;=X249),1,0))</f>
        <v>1</v>
      </c>
      <c r="Z249" s="14" t="n">
        <f aca="false">IF($A249="",0,IFERROR(VLOOKUP((YEAR($A249)+IF(MONTH($A249)&gt;=10,1,0))&amp;"|Phoenix|"&amp;MONTH($A249),Rates!$A$2:$I$181,6,FALSE()),0))</f>
        <v>0</v>
      </c>
      <c r="AA249" s="14" t="n">
        <f aca="false">IF(Z249=0,0,VLOOKUP(Z249,MIE_Components!$A$2:$F$6,2,FALSE()))</f>
        <v>0</v>
      </c>
      <c r="AB249" s="14" t="n">
        <f aca="false">IF(Z249=0,0,VLOOKUP(Z249,MIE_Components!$A$2:$F$6,3,FALSE()))</f>
        <v>0</v>
      </c>
      <c r="AC249" s="14" t="n">
        <f aca="false">IF(Z249=0,0,VLOOKUP(Z249,MIE_Components!$A$2:$F$6,4,FALSE()))</f>
        <v>0</v>
      </c>
      <c r="AD249" s="14" t="n">
        <f aca="false">IF(OR($A249="",Z249=0),0,MAX(5,Z249*IF(OR($A249=Parameters!$B$13,$A249=Parameters!$B$14),0.75,1)-(IF(AND($A249=DATE(2026,11,29),NOV29BF="Yes"),AA249,0)+IF(OR($A249=DATE(2026,11,29),$A249=DATE(2026,11,30),$A249=DATE(2026,12,1),$A249=DATE(2026,12,2)),AB249,0)+IF(OR($A249=DATE(2026,11,28),$A249=DATE(2026,12,1)),AC249,0))))</f>
        <v>0</v>
      </c>
      <c r="AE249" s="14" t="n">
        <f aca="false">IF(AND($A249&lt;&gt;"",$A249&lt;Parameters!$B$14),CityData!F6*(1+TAXRATE),0)</f>
        <v>0</v>
      </c>
      <c r="AF249" s="14" t="n">
        <f aca="false">IF($A249="",0,IFERROR(VLOOKUP((YEAR($A249)+IF(MONTH($A249)&gt;=10,1,0))&amp;"|Phoenix|"&amp;MONTH($A249),Rates!$A$2:$I$181,5,FALSE()),0))</f>
        <v>0</v>
      </c>
      <c r="AG249" s="14" t="n">
        <f aca="false">IF(OR($A249="",$A249&gt;=Parameters!$B$14),1,IF(AND(AF249&gt;0,CityData!F6&lt;=AF249),1,0))</f>
        <v>1</v>
      </c>
      <c r="AH249" s="14" t="n">
        <f aca="false">IF($A249="",0,IFERROR(VLOOKUP((YEAR($A249)+IF(MONTH($A249)&gt;=10,1,0))&amp;"|Seattle|"&amp;MONTH($A249),Rates!$A$2:$I$181,6,FALSE()),0))</f>
        <v>0</v>
      </c>
      <c r="AI249" s="14" t="n">
        <f aca="false">IF(AH249=0,0,VLOOKUP(AH249,MIE_Components!$A$2:$F$6,2,FALSE()))</f>
        <v>0</v>
      </c>
      <c r="AJ249" s="14" t="n">
        <f aca="false">IF(AH249=0,0,VLOOKUP(AH249,MIE_Components!$A$2:$F$6,3,FALSE()))</f>
        <v>0</v>
      </c>
      <c r="AK249" s="14" t="n">
        <f aca="false">IF(AH249=0,0,VLOOKUP(AH249,MIE_Components!$A$2:$F$6,4,FALSE()))</f>
        <v>0</v>
      </c>
      <c r="AL249" s="14" t="n">
        <f aca="false">IF(OR($A249="",AH249=0),0,MAX(5,AH249*IF(OR($A249=Parameters!$B$13,$A249=Parameters!$B$14),0.75,1)-(IF(AND($A249=DATE(2026,11,29),NOV29BF="Yes"),AI249,0)+IF(OR($A249=DATE(2026,11,29),$A249=DATE(2026,11,30),$A249=DATE(2026,12,1),$A249=DATE(2026,12,2)),AJ249,0)+IF(OR($A249=DATE(2026,11,28),$A249=DATE(2026,12,1)),AK249,0))))</f>
        <v>0</v>
      </c>
      <c r="AM249" s="14" t="n">
        <f aca="false">IF(AND($A249&lt;&gt;"",$A249&lt;Parameters!$B$14),CityData!F7*(1+TAXRATE),0)</f>
        <v>0</v>
      </c>
      <c r="AN249" s="14" t="n">
        <f aca="false">IF($A249="",0,IFERROR(VLOOKUP((YEAR($A249)+IF(MONTH($A249)&gt;=10,1,0))&amp;"|Seattle|"&amp;MONTH($A249),Rates!$A$2:$I$181,5,FALSE()),0))</f>
        <v>0</v>
      </c>
      <c r="AO249" s="14" t="n">
        <f aca="false">IF(OR($A249="",$A249&gt;=Parameters!$B$14),1,IF(AND(AN249&gt;0,CityData!F7&lt;=AN249),1,0))</f>
        <v>1</v>
      </c>
    </row>
    <row r="250" customFormat="false" ht="15" hidden="false" customHeight="true" outlineLevel="0" collapsed="false">
      <c r="A250" s="23" t="str">
        <f aca="false">IF(AND(Parameters!$B$14&gt;=Parameters!$B$13,ROW()-2&lt;=Parameters!$B$14-Parameters!$B$13),Parameters!$B$13+ROW()-2,"")</f>
        <v/>
      </c>
      <c r="B250" s="14" t="n">
        <f aca="false">IF($A250="",0,IFERROR(VLOOKUP((YEAR($A250)+IF(MONTH($A250)&gt;=10,1,0))&amp;"|Boston|"&amp;MONTH($A250),Rates!$A$2:$I$181,6,FALSE()),0))</f>
        <v>0</v>
      </c>
      <c r="C250" s="14" t="n">
        <f aca="false">IF(B250=0,0,VLOOKUP(B250,MIE_Components!$A$2:$F$6,2,FALSE()))</f>
        <v>0</v>
      </c>
      <c r="D250" s="14" t="n">
        <f aca="false">IF(B250=0,0,VLOOKUP(B250,MIE_Components!$A$2:$F$6,3,FALSE()))</f>
        <v>0</v>
      </c>
      <c r="E250" s="14" t="n">
        <f aca="false">IF(B250=0,0,VLOOKUP(B250,MIE_Components!$A$2:$F$6,4,FALSE()))</f>
        <v>0</v>
      </c>
      <c r="F250" s="14" t="n">
        <f aca="false">IF(OR($A250="",B250=0),0,MAX(5,B250*IF(OR($A250=Parameters!$B$13,$A250=Parameters!$B$14),0.75,1)-(IF(AND($A250=DATE(2026,11,29),NOV29BF="Yes"),C250,0)+IF(OR($A250=DATE(2026,11,29),$A250=DATE(2026,11,30),$A250=DATE(2026,12,1),$A250=DATE(2026,12,2)),D250,0)+IF(OR($A250=DATE(2026,11,28),$A250=DATE(2026,12,1)),E250,0))))</f>
        <v>0</v>
      </c>
      <c r="G250" s="14" t="n">
        <f aca="false">IF(AND($A250&lt;&gt;"",$A250&lt;Parameters!$B$14),CityData!F3*(1+TAXRATE),0)</f>
        <v>0</v>
      </c>
      <c r="H250" s="14" t="n">
        <f aca="false">IF($A250="",0,IFERROR(VLOOKUP((YEAR($A250)+IF(MONTH($A250)&gt;=10,1,0))&amp;"|Boston|"&amp;MONTH($A250),Rates!$A$2:$I$181,5,FALSE()),0))</f>
        <v>0</v>
      </c>
      <c r="I250" s="14" t="n">
        <f aca="false">IF(OR($A250="",$A250&gt;=Parameters!$B$14),1,IF(AND(H250&gt;0,CityData!F3&lt;=H250),1,0))</f>
        <v>1</v>
      </c>
      <c r="J250" s="14" t="n">
        <f aca="false">IF($A250="",0,IFERROR(VLOOKUP((YEAR($A250)+IF(MONTH($A250)&gt;=10,1,0))&amp;"|Chicago|"&amp;MONTH($A250),Rates!$A$2:$I$181,6,FALSE()),0))</f>
        <v>0</v>
      </c>
      <c r="K250" s="14" t="n">
        <f aca="false">IF(J250=0,0,VLOOKUP(J250,MIE_Components!$A$2:$F$6,2,FALSE()))</f>
        <v>0</v>
      </c>
      <c r="L250" s="14" t="n">
        <f aca="false">IF(J250=0,0,VLOOKUP(J250,MIE_Components!$A$2:$F$6,3,FALSE()))</f>
        <v>0</v>
      </c>
      <c r="M250" s="14" t="n">
        <f aca="false">IF(J250=0,0,VLOOKUP(J250,MIE_Components!$A$2:$F$6,4,FALSE()))</f>
        <v>0</v>
      </c>
      <c r="N250" s="14" t="n">
        <f aca="false">IF(OR($A250="",J250=0),0,MAX(5,J250*IF(OR($A250=Parameters!$B$13,$A250=Parameters!$B$14),0.75,1)-(IF(AND($A250=DATE(2026,11,29),NOV29BF="Yes"),K250,0)+IF(OR($A250=DATE(2026,11,29),$A250=DATE(2026,11,30),$A250=DATE(2026,12,1),$A250=DATE(2026,12,2)),L250,0)+IF(OR($A250=DATE(2026,11,28),$A250=DATE(2026,12,1)),M250,0))))</f>
        <v>0</v>
      </c>
      <c r="O250" s="14" t="n">
        <f aca="false">IF(AND($A250&lt;&gt;"",$A250&lt;Parameters!$B$14),CityData!F4*(1+TAXRATE),0)</f>
        <v>0</v>
      </c>
      <c r="P250" s="14" t="n">
        <f aca="false">IF($A250="",0,IFERROR(VLOOKUP((YEAR($A250)+IF(MONTH($A250)&gt;=10,1,0))&amp;"|Chicago|"&amp;MONTH($A250),Rates!$A$2:$I$181,5,FALSE()),0))</f>
        <v>0</v>
      </c>
      <c r="Q250" s="14" t="n">
        <f aca="false">IF(OR($A250="",$A250&gt;=Parameters!$B$14),1,IF(AND(P250&gt;0,CityData!F4&lt;=P250),1,0))</f>
        <v>1</v>
      </c>
      <c r="R250" s="14" t="n">
        <f aca="false">IF($A250="",0,IFERROR(VLOOKUP((YEAR($A250)+IF(MONTH($A250)&gt;=10,1,0))&amp;"|Denver|"&amp;MONTH($A250),Rates!$A$2:$I$181,6,FALSE()),0))</f>
        <v>0</v>
      </c>
      <c r="S250" s="14" t="n">
        <f aca="false">IF(R250=0,0,VLOOKUP(R250,MIE_Components!$A$2:$F$6,2,FALSE()))</f>
        <v>0</v>
      </c>
      <c r="T250" s="14" t="n">
        <f aca="false">IF(R250=0,0,VLOOKUP(R250,MIE_Components!$A$2:$F$6,3,FALSE()))</f>
        <v>0</v>
      </c>
      <c r="U250" s="14" t="n">
        <f aca="false">IF(R250=0,0,VLOOKUP(R250,MIE_Components!$A$2:$F$6,4,FALSE()))</f>
        <v>0</v>
      </c>
      <c r="V250" s="14" t="n">
        <f aca="false">IF(OR($A250="",R250=0),0,MAX(5,R250*IF(OR($A250=Parameters!$B$13,$A250=Parameters!$B$14),0.75,1)-(IF(AND($A250=DATE(2026,11,29),NOV29BF="Yes"),S250,0)+IF(OR($A250=DATE(2026,11,29),$A250=DATE(2026,11,30),$A250=DATE(2026,12,1),$A250=DATE(2026,12,2)),T250,0)+IF(OR($A250=DATE(2026,11,28),$A250=DATE(2026,12,1)),U250,0))))</f>
        <v>0</v>
      </c>
      <c r="W250" s="14" t="n">
        <f aca="false">IF(AND($A250&lt;&gt;"",$A250&lt;Parameters!$B$14),CityData!F5*(1+TAXRATE),0)</f>
        <v>0</v>
      </c>
      <c r="X250" s="14" t="n">
        <f aca="false">IF($A250="",0,IFERROR(VLOOKUP((YEAR($A250)+IF(MONTH($A250)&gt;=10,1,0))&amp;"|Denver|"&amp;MONTH($A250),Rates!$A$2:$I$181,5,FALSE()),0))</f>
        <v>0</v>
      </c>
      <c r="Y250" s="14" t="n">
        <f aca="false">IF(OR($A250="",$A250&gt;=Parameters!$B$14),1,IF(AND(X250&gt;0,CityData!F5&lt;=X250),1,0))</f>
        <v>1</v>
      </c>
      <c r="Z250" s="14" t="n">
        <f aca="false">IF($A250="",0,IFERROR(VLOOKUP((YEAR($A250)+IF(MONTH($A250)&gt;=10,1,0))&amp;"|Phoenix|"&amp;MONTH($A250),Rates!$A$2:$I$181,6,FALSE()),0))</f>
        <v>0</v>
      </c>
      <c r="AA250" s="14" t="n">
        <f aca="false">IF(Z250=0,0,VLOOKUP(Z250,MIE_Components!$A$2:$F$6,2,FALSE()))</f>
        <v>0</v>
      </c>
      <c r="AB250" s="14" t="n">
        <f aca="false">IF(Z250=0,0,VLOOKUP(Z250,MIE_Components!$A$2:$F$6,3,FALSE()))</f>
        <v>0</v>
      </c>
      <c r="AC250" s="14" t="n">
        <f aca="false">IF(Z250=0,0,VLOOKUP(Z250,MIE_Components!$A$2:$F$6,4,FALSE()))</f>
        <v>0</v>
      </c>
      <c r="AD250" s="14" t="n">
        <f aca="false">IF(OR($A250="",Z250=0),0,MAX(5,Z250*IF(OR($A250=Parameters!$B$13,$A250=Parameters!$B$14),0.75,1)-(IF(AND($A250=DATE(2026,11,29),NOV29BF="Yes"),AA250,0)+IF(OR($A250=DATE(2026,11,29),$A250=DATE(2026,11,30),$A250=DATE(2026,12,1),$A250=DATE(2026,12,2)),AB250,0)+IF(OR($A250=DATE(2026,11,28),$A250=DATE(2026,12,1)),AC250,0))))</f>
        <v>0</v>
      </c>
      <c r="AE250" s="14" t="n">
        <f aca="false">IF(AND($A250&lt;&gt;"",$A250&lt;Parameters!$B$14),CityData!F6*(1+TAXRATE),0)</f>
        <v>0</v>
      </c>
      <c r="AF250" s="14" t="n">
        <f aca="false">IF($A250="",0,IFERROR(VLOOKUP((YEAR($A250)+IF(MONTH($A250)&gt;=10,1,0))&amp;"|Phoenix|"&amp;MONTH($A250),Rates!$A$2:$I$181,5,FALSE()),0))</f>
        <v>0</v>
      </c>
      <c r="AG250" s="14" t="n">
        <f aca="false">IF(OR($A250="",$A250&gt;=Parameters!$B$14),1,IF(AND(AF250&gt;0,CityData!F6&lt;=AF250),1,0))</f>
        <v>1</v>
      </c>
      <c r="AH250" s="14" t="n">
        <f aca="false">IF($A250="",0,IFERROR(VLOOKUP((YEAR($A250)+IF(MONTH($A250)&gt;=10,1,0))&amp;"|Seattle|"&amp;MONTH($A250),Rates!$A$2:$I$181,6,FALSE()),0))</f>
        <v>0</v>
      </c>
      <c r="AI250" s="14" t="n">
        <f aca="false">IF(AH250=0,0,VLOOKUP(AH250,MIE_Components!$A$2:$F$6,2,FALSE()))</f>
        <v>0</v>
      </c>
      <c r="AJ250" s="14" t="n">
        <f aca="false">IF(AH250=0,0,VLOOKUP(AH250,MIE_Components!$A$2:$F$6,3,FALSE()))</f>
        <v>0</v>
      </c>
      <c r="AK250" s="14" t="n">
        <f aca="false">IF(AH250=0,0,VLOOKUP(AH250,MIE_Components!$A$2:$F$6,4,FALSE()))</f>
        <v>0</v>
      </c>
      <c r="AL250" s="14" t="n">
        <f aca="false">IF(OR($A250="",AH250=0),0,MAX(5,AH250*IF(OR($A250=Parameters!$B$13,$A250=Parameters!$B$14),0.75,1)-(IF(AND($A250=DATE(2026,11,29),NOV29BF="Yes"),AI250,0)+IF(OR($A250=DATE(2026,11,29),$A250=DATE(2026,11,30),$A250=DATE(2026,12,1),$A250=DATE(2026,12,2)),AJ250,0)+IF(OR($A250=DATE(2026,11,28),$A250=DATE(2026,12,1)),AK250,0))))</f>
        <v>0</v>
      </c>
      <c r="AM250" s="14" t="n">
        <f aca="false">IF(AND($A250&lt;&gt;"",$A250&lt;Parameters!$B$14),CityData!F7*(1+TAXRATE),0)</f>
        <v>0</v>
      </c>
      <c r="AN250" s="14" t="n">
        <f aca="false">IF($A250="",0,IFERROR(VLOOKUP((YEAR($A250)+IF(MONTH($A250)&gt;=10,1,0))&amp;"|Seattle|"&amp;MONTH($A250),Rates!$A$2:$I$181,5,FALSE()),0))</f>
        <v>0</v>
      </c>
      <c r="AO250" s="14" t="n">
        <f aca="false">IF(OR($A250="",$A250&gt;=Parameters!$B$14),1,IF(AND(AN250&gt;0,CityData!F7&lt;=AN250),1,0))</f>
        <v>1</v>
      </c>
    </row>
    <row r="251" customFormat="false" ht="15" hidden="false" customHeight="true" outlineLevel="0" collapsed="false">
      <c r="A251" s="23" t="str">
        <f aca="false">IF(AND(Parameters!$B$14&gt;=Parameters!$B$13,ROW()-2&lt;=Parameters!$B$14-Parameters!$B$13),Parameters!$B$13+ROW()-2,"")</f>
        <v/>
      </c>
      <c r="B251" s="14" t="n">
        <f aca="false">IF($A251="",0,IFERROR(VLOOKUP((YEAR($A251)+IF(MONTH($A251)&gt;=10,1,0))&amp;"|Boston|"&amp;MONTH($A251),Rates!$A$2:$I$181,6,FALSE()),0))</f>
        <v>0</v>
      </c>
      <c r="C251" s="14" t="n">
        <f aca="false">IF(B251=0,0,VLOOKUP(B251,MIE_Components!$A$2:$F$6,2,FALSE()))</f>
        <v>0</v>
      </c>
      <c r="D251" s="14" t="n">
        <f aca="false">IF(B251=0,0,VLOOKUP(B251,MIE_Components!$A$2:$F$6,3,FALSE()))</f>
        <v>0</v>
      </c>
      <c r="E251" s="14" t="n">
        <f aca="false">IF(B251=0,0,VLOOKUP(B251,MIE_Components!$A$2:$F$6,4,FALSE()))</f>
        <v>0</v>
      </c>
      <c r="F251" s="14" t="n">
        <f aca="false">IF(OR($A251="",B251=0),0,MAX(5,B251*IF(OR($A251=Parameters!$B$13,$A251=Parameters!$B$14),0.75,1)-(IF(AND($A251=DATE(2026,11,29),NOV29BF="Yes"),C251,0)+IF(OR($A251=DATE(2026,11,29),$A251=DATE(2026,11,30),$A251=DATE(2026,12,1),$A251=DATE(2026,12,2)),D251,0)+IF(OR($A251=DATE(2026,11,28),$A251=DATE(2026,12,1)),E251,0))))</f>
        <v>0</v>
      </c>
      <c r="G251" s="14" t="n">
        <f aca="false">IF(AND($A251&lt;&gt;"",$A251&lt;Parameters!$B$14),CityData!F3*(1+TAXRATE),0)</f>
        <v>0</v>
      </c>
      <c r="H251" s="14" t="n">
        <f aca="false">IF($A251="",0,IFERROR(VLOOKUP((YEAR($A251)+IF(MONTH($A251)&gt;=10,1,0))&amp;"|Boston|"&amp;MONTH($A251),Rates!$A$2:$I$181,5,FALSE()),0))</f>
        <v>0</v>
      </c>
      <c r="I251" s="14" t="n">
        <f aca="false">IF(OR($A251="",$A251&gt;=Parameters!$B$14),1,IF(AND(H251&gt;0,CityData!F3&lt;=H251),1,0))</f>
        <v>1</v>
      </c>
      <c r="J251" s="14" t="n">
        <f aca="false">IF($A251="",0,IFERROR(VLOOKUP((YEAR($A251)+IF(MONTH($A251)&gt;=10,1,0))&amp;"|Chicago|"&amp;MONTH($A251),Rates!$A$2:$I$181,6,FALSE()),0))</f>
        <v>0</v>
      </c>
      <c r="K251" s="14" t="n">
        <f aca="false">IF(J251=0,0,VLOOKUP(J251,MIE_Components!$A$2:$F$6,2,FALSE()))</f>
        <v>0</v>
      </c>
      <c r="L251" s="14" t="n">
        <f aca="false">IF(J251=0,0,VLOOKUP(J251,MIE_Components!$A$2:$F$6,3,FALSE()))</f>
        <v>0</v>
      </c>
      <c r="M251" s="14" t="n">
        <f aca="false">IF(J251=0,0,VLOOKUP(J251,MIE_Components!$A$2:$F$6,4,FALSE()))</f>
        <v>0</v>
      </c>
      <c r="N251" s="14" t="n">
        <f aca="false">IF(OR($A251="",J251=0),0,MAX(5,J251*IF(OR($A251=Parameters!$B$13,$A251=Parameters!$B$14),0.75,1)-(IF(AND($A251=DATE(2026,11,29),NOV29BF="Yes"),K251,0)+IF(OR($A251=DATE(2026,11,29),$A251=DATE(2026,11,30),$A251=DATE(2026,12,1),$A251=DATE(2026,12,2)),L251,0)+IF(OR($A251=DATE(2026,11,28),$A251=DATE(2026,12,1)),M251,0))))</f>
        <v>0</v>
      </c>
      <c r="O251" s="14" t="n">
        <f aca="false">IF(AND($A251&lt;&gt;"",$A251&lt;Parameters!$B$14),CityData!F4*(1+TAXRATE),0)</f>
        <v>0</v>
      </c>
      <c r="P251" s="14" t="n">
        <f aca="false">IF($A251="",0,IFERROR(VLOOKUP((YEAR($A251)+IF(MONTH($A251)&gt;=10,1,0))&amp;"|Chicago|"&amp;MONTH($A251),Rates!$A$2:$I$181,5,FALSE()),0))</f>
        <v>0</v>
      </c>
      <c r="Q251" s="14" t="n">
        <f aca="false">IF(OR($A251="",$A251&gt;=Parameters!$B$14),1,IF(AND(P251&gt;0,CityData!F4&lt;=P251),1,0))</f>
        <v>1</v>
      </c>
      <c r="R251" s="14" t="n">
        <f aca="false">IF($A251="",0,IFERROR(VLOOKUP((YEAR($A251)+IF(MONTH($A251)&gt;=10,1,0))&amp;"|Denver|"&amp;MONTH($A251),Rates!$A$2:$I$181,6,FALSE()),0))</f>
        <v>0</v>
      </c>
      <c r="S251" s="14" t="n">
        <f aca="false">IF(R251=0,0,VLOOKUP(R251,MIE_Components!$A$2:$F$6,2,FALSE()))</f>
        <v>0</v>
      </c>
      <c r="T251" s="14" t="n">
        <f aca="false">IF(R251=0,0,VLOOKUP(R251,MIE_Components!$A$2:$F$6,3,FALSE()))</f>
        <v>0</v>
      </c>
      <c r="U251" s="14" t="n">
        <f aca="false">IF(R251=0,0,VLOOKUP(R251,MIE_Components!$A$2:$F$6,4,FALSE()))</f>
        <v>0</v>
      </c>
      <c r="V251" s="14" t="n">
        <f aca="false">IF(OR($A251="",R251=0),0,MAX(5,R251*IF(OR($A251=Parameters!$B$13,$A251=Parameters!$B$14),0.75,1)-(IF(AND($A251=DATE(2026,11,29),NOV29BF="Yes"),S251,0)+IF(OR($A251=DATE(2026,11,29),$A251=DATE(2026,11,30),$A251=DATE(2026,12,1),$A251=DATE(2026,12,2)),T251,0)+IF(OR($A251=DATE(2026,11,28),$A251=DATE(2026,12,1)),U251,0))))</f>
        <v>0</v>
      </c>
      <c r="W251" s="14" t="n">
        <f aca="false">IF(AND($A251&lt;&gt;"",$A251&lt;Parameters!$B$14),CityData!F5*(1+TAXRATE),0)</f>
        <v>0</v>
      </c>
      <c r="X251" s="14" t="n">
        <f aca="false">IF($A251="",0,IFERROR(VLOOKUP((YEAR($A251)+IF(MONTH($A251)&gt;=10,1,0))&amp;"|Denver|"&amp;MONTH($A251),Rates!$A$2:$I$181,5,FALSE()),0))</f>
        <v>0</v>
      </c>
      <c r="Y251" s="14" t="n">
        <f aca="false">IF(OR($A251="",$A251&gt;=Parameters!$B$14),1,IF(AND(X251&gt;0,CityData!F5&lt;=X251),1,0))</f>
        <v>1</v>
      </c>
      <c r="Z251" s="14" t="n">
        <f aca="false">IF($A251="",0,IFERROR(VLOOKUP((YEAR($A251)+IF(MONTH($A251)&gt;=10,1,0))&amp;"|Phoenix|"&amp;MONTH($A251),Rates!$A$2:$I$181,6,FALSE()),0))</f>
        <v>0</v>
      </c>
      <c r="AA251" s="14" t="n">
        <f aca="false">IF(Z251=0,0,VLOOKUP(Z251,MIE_Components!$A$2:$F$6,2,FALSE()))</f>
        <v>0</v>
      </c>
      <c r="AB251" s="14" t="n">
        <f aca="false">IF(Z251=0,0,VLOOKUP(Z251,MIE_Components!$A$2:$F$6,3,FALSE()))</f>
        <v>0</v>
      </c>
      <c r="AC251" s="14" t="n">
        <f aca="false">IF(Z251=0,0,VLOOKUP(Z251,MIE_Components!$A$2:$F$6,4,FALSE()))</f>
        <v>0</v>
      </c>
      <c r="AD251" s="14" t="n">
        <f aca="false">IF(OR($A251="",Z251=0),0,MAX(5,Z251*IF(OR($A251=Parameters!$B$13,$A251=Parameters!$B$14),0.75,1)-(IF(AND($A251=DATE(2026,11,29),NOV29BF="Yes"),AA251,0)+IF(OR($A251=DATE(2026,11,29),$A251=DATE(2026,11,30),$A251=DATE(2026,12,1),$A251=DATE(2026,12,2)),AB251,0)+IF(OR($A251=DATE(2026,11,28),$A251=DATE(2026,12,1)),AC251,0))))</f>
        <v>0</v>
      </c>
      <c r="AE251" s="14" t="n">
        <f aca="false">IF(AND($A251&lt;&gt;"",$A251&lt;Parameters!$B$14),CityData!F6*(1+TAXRATE),0)</f>
        <v>0</v>
      </c>
      <c r="AF251" s="14" t="n">
        <f aca="false">IF($A251="",0,IFERROR(VLOOKUP((YEAR($A251)+IF(MONTH($A251)&gt;=10,1,0))&amp;"|Phoenix|"&amp;MONTH($A251),Rates!$A$2:$I$181,5,FALSE()),0))</f>
        <v>0</v>
      </c>
      <c r="AG251" s="14" t="n">
        <f aca="false">IF(OR($A251="",$A251&gt;=Parameters!$B$14),1,IF(AND(AF251&gt;0,CityData!F6&lt;=AF251),1,0))</f>
        <v>1</v>
      </c>
      <c r="AH251" s="14" t="n">
        <f aca="false">IF($A251="",0,IFERROR(VLOOKUP((YEAR($A251)+IF(MONTH($A251)&gt;=10,1,0))&amp;"|Seattle|"&amp;MONTH($A251),Rates!$A$2:$I$181,6,FALSE()),0))</f>
        <v>0</v>
      </c>
      <c r="AI251" s="14" t="n">
        <f aca="false">IF(AH251=0,0,VLOOKUP(AH251,MIE_Components!$A$2:$F$6,2,FALSE()))</f>
        <v>0</v>
      </c>
      <c r="AJ251" s="14" t="n">
        <f aca="false">IF(AH251=0,0,VLOOKUP(AH251,MIE_Components!$A$2:$F$6,3,FALSE()))</f>
        <v>0</v>
      </c>
      <c r="AK251" s="14" t="n">
        <f aca="false">IF(AH251=0,0,VLOOKUP(AH251,MIE_Components!$A$2:$F$6,4,FALSE()))</f>
        <v>0</v>
      </c>
      <c r="AL251" s="14" t="n">
        <f aca="false">IF(OR($A251="",AH251=0),0,MAX(5,AH251*IF(OR($A251=Parameters!$B$13,$A251=Parameters!$B$14),0.75,1)-(IF(AND($A251=DATE(2026,11,29),NOV29BF="Yes"),AI251,0)+IF(OR($A251=DATE(2026,11,29),$A251=DATE(2026,11,30),$A251=DATE(2026,12,1),$A251=DATE(2026,12,2)),AJ251,0)+IF(OR($A251=DATE(2026,11,28),$A251=DATE(2026,12,1)),AK251,0))))</f>
        <v>0</v>
      </c>
      <c r="AM251" s="14" t="n">
        <f aca="false">IF(AND($A251&lt;&gt;"",$A251&lt;Parameters!$B$14),CityData!F7*(1+TAXRATE),0)</f>
        <v>0</v>
      </c>
      <c r="AN251" s="14" t="n">
        <f aca="false">IF($A251="",0,IFERROR(VLOOKUP((YEAR($A251)+IF(MONTH($A251)&gt;=10,1,0))&amp;"|Seattle|"&amp;MONTH($A251),Rates!$A$2:$I$181,5,FALSE()),0))</f>
        <v>0</v>
      </c>
      <c r="AO251" s="14" t="n">
        <f aca="false">IF(OR($A251="",$A251&gt;=Parameters!$B$14),1,IF(AND(AN251&gt;0,CityData!F7&lt;=AN251),1,0))</f>
        <v>1</v>
      </c>
    </row>
    <row r="252" customFormat="false" ht="15" hidden="false" customHeight="true" outlineLevel="0" collapsed="false">
      <c r="A252" s="23" t="str">
        <f aca="false">IF(AND(Parameters!$B$14&gt;=Parameters!$B$13,ROW()-2&lt;=Parameters!$B$14-Parameters!$B$13),Parameters!$B$13+ROW()-2,"")</f>
        <v/>
      </c>
      <c r="B252" s="14" t="n">
        <f aca="false">IF($A252="",0,IFERROR(VLOOKUP((YEAR($A252)+IF(MONTH($A252)&gt;=10,1,0))&amp;"|Boston|"&amp;MONTH($A252),Rates!$A$2:$I$181,6,FALSE()),0))</f>
        <v>0</v>
      </c>
      <c r="C252" s="14" t="n">
        <f aca="false">IF(B252=0,0,VLOOKUP(B252,MIE_Components!$A$2:$F$6,2,FALSE()))</f>
        <v>0</v>
      </c>
      <c r="D252" s="14" t="n">
        <f aca="false">IF(B252=0,0,VLOOKUP(B252,MIE_Components!$A$2:$F$6,3,FALSE()))</f>
        <v>0</v>
      </c>
      <c r="E252" s="14" t="n">
        <f aca="false">IF(B252=0,0,VLOOKUP(B252,MIE_Components!$A$2:$F$6,4,FALSE()))</f>
        <v>0</v>
      </c>
      <c r="F252" s="14" t="n">
        <f aca="false">IF(OR($A252="",B252=0),0,MAX(5,B252*IF(OR($A252=Parameters!$B$13,$A252=Parameters!$B$14),0.75,1)-(IF(AND($A252=DATE(2026,11,29),NOV29BF="Yes"),C252,0)+IF(OR($A252=DATE(2026,11,29),$A252=DATE(2026,11,30),$A252=DATE(2026,12,1),$A252=DATE(2026,12,2)),D252,0)+IF(OR($A252=DATE(2026,11,28),$A252=DATE(2026,12,1)),E252,0))))</f>
        <v>0</v>
      </c>
      <c r="G252" s="14" t="n">
        <f aca="false">IF(AND($A252&lt;&gt;"",$A252&lt;Parameters!$B$14),CityData!F3*(1+TAXRATE),0)</f>
        <v>0</v>
      </c>
      <c r="H252" s="14" t="n">
        <f aca="false">IF($A252="",0,IFERROR(VLOOKUP((YEAR($A252)+IF(MONTH($A252)&gt;=10,1,0))&amp;"|Boston|"&amp;MONTH($A252),Rates!$A$2:$I$181,5,FALSE()),0))</f>
        <v>0</v>
      </c>
      <c r="I252" s="14" t="n">
        <f aca="false">IF(OR($A252="",$A252&gt;=Parameters!$B$14),1,IF(AND(H252&gt;0,CityData!F3&lt;=H252),1,0))</f>
        <v>1</v>
      </c>
      <c r="J252" s="14" t="n">
        <f aca="false">IF($A252="",0,IFERROR(VLOOKUP((YEAR($A252)+IF(MONTH($A252)&gt;=10,1,0))&amp;"|Chicago|"&amp;MONTH($A252),Rates!$A$2:$I$181,6,FALSE()),0))</f>
        <v>0</v>
      </c>
      <c r="K252" s="14" t="n">
        <f aca="false">IF(J252=0,0,VLOOKUP(J252,MIE_Components!$A$2:$F$6,2,FALSE()))</f>
        <v>0</v>
      </c>
      <c r="L252" s="14" t="n">
        <f aca="false">IF(J252=0,0,VLOOKUP(J252,MIE_Components!$A$2:$F$6,3,FALSE()))</f>
        <v>0</v>
      </c>
      <c r="M252" s="14" t="n">
        <f aca="false">IF(J252=0,0,VLOOKUP(J252,MIE_Components!$A$2:$F$6,4,FALSE()))</f>
        <v>0</v>
      </c>
      <c r="N252" s="14" t="n">
        <f aca="false">IF(OR($A252="",J252=0),0,MAX(5,J252*IF(OR($A252=Parameters!$B$13,$A252=Parameters!$B$14),0.75,1)-(IF(AND($A252=DATE(2026,11,29),NOV29BF="Yes"),K252,0)+IF(OR($A252=DATE(2026,11,29),$A252=DATE(2026,11,30),$A252=DATE(2026,12,1),$A252=DATE(2026,12,2)),L252,0)+IF(OR($A252=DATE(2026,11,28),$A252=DATE(2026,12,1)),M252,0))))</f>
        <v>0</v>
      </c>
      <c r="O252" s="14" t="n">
        <f aca="false">IF(AND($A252&lt;&gt;"",$A252&lt;Parameters!$B$14),CityData!F4*(1+TAXRATE),0)</f>
        <v>0</v>
      </c>
      <c r="P252" s="14" t="n">
        <f aca="false">IF($A252="",0,IFERROR(VLOOKUP((YEAR($A252)+IF(MONTH($A252)&gt;=10,1,0))&amp;"|Chicago|"&amp;MONTH($A252),Rates!$A$2:$I$181,5,FALSE()),0))</f>
        <v>0</v>
      </c>
      <c r="Q252" s="14" t="n">
        <f aca="false">IF(OR($A252="",$A252&gt;=Parameters!$B$14),1,IF(AND(P252&gt;0,CityData!F4&lt;=P252),1,0))</f>
        <v>1</v>
      </c>
      <c r="R252" s="14" t="n">
        <f aca="false">IF($A252="",0,IFERROR(VLOOKUP((YEAR($A252)+IF(MONTH($A252)&gt;=10,1,0))&amp;"|Denver|"&amp;MONTH($A252),Rates!$A$2:$I$181,6,FALSE()),0))</f>
        <v>0</v>
      </c>
      <c r="S252" s="14" t="n">
        <f aca="false">IF(R252=0,0,VLOOKUP(R252,MIE_Components!$A$2:$F$6,2,FALSE()))</f>
        <v>0</v>
      </c>
      <c r="T252" s="14" t="n">
        <f aca="false">IF(R252=0,0,VLOOKUP(R252,MIE_Components!$A$2:$F$6,3,FALSE()))</f>
        <v>0</v>
      </c>
      <c r="U252" s="14" t="n">
        <f aca="false">IF(R252=0,0,VLOOKUP(R252,MIE_Components!$A$2:$F$6,4,FALSE()))</f>
        <v>0</v>
      </c>
      <c r="V252" s="14" t="n">
        <f aca="false">IF(OR($A252="",R252=0),0,MAX(5,R252*IF(OR($A252=Parameters!$B$13,$A252=Parameters!$B$14),0.75,1)-(IF(AND($A252=DATE(2026,11,29),NOV29BF="Yes"),S252,0)+IF(OR($A252=DATE(2026,11,29),$A252=DATE(2026,11,30),$A252=DATE(2026,12,1),$A252=DATE(2026,12,2)),T252,0)+IF(OR($A252=DATE(2026,11,28),$A252=DATE(2026,12,1)),U252,0))))</f>
        <v>0</v>
      </c>
      <c r="W252" s="14" t="n">
        <f aca="false">IF(AND($A252&lt;&gt;"",$A252&lt;Parameters!$B$14),CityData!F5*(1+TAXRATE),0)</f>
        <v>0</v>
      </c>
      <c r="X252" s="14" t="n">
        <f aca="false">IF($A252="",0,IFERROR(VLOOKUP((YEAR($A252)+IF(MONTH($A252)&gt;=10,1,0))&amp;"|Denver|"&amp;MONTH($A252),Rates!$A$2:$I$181,5,FALSE()),0))</f>
        <v>0</v>
      </c>
      <c r="Y252" s="14" t="n">
        <f aca="false">IF(OR($A252="",$A252&gt;=Parameters!$B$14),1,IF(AND(X252&gt;0,CityData!F5&lt;=X252),1,0))</f>
        <v>1</v>
      </c>
      <c r="Z252" s="14" t="n">
        <f aca="false">IF($A252="",0,IFERROR(VLOOKUP((YEAR($A252)+IF(MONTH($A252)&gt;=10,1,0))&amp;"|Phoenix|"&amp;MONTH($A252),Rates!$A$2:$I$181,6,FALSE()),0))</f>
        <v>0</v>
      </c>
      <c r="AA252" s="14" t="n">
        <f aca="false">IF(Z252=0,0,VLOOKUP(Z252,MIE_Components!$A$2:$F$6,2,FALSE()))</f>
        <v>0</v>
      </c>
      <c r="AB252" s="14" t="n">
        <f aca="false">IF(Z252=0,0,VLOOKUP(Z252,MIE_Components!$A$2:$F$6,3,FALSE()))</f>
        <v>0</v>
      </c>
      <c r="AC252" s="14" t="n">
        <f aca="false">IF(Z252=0,0,VLOOKUP(Z252,MIE_Components!$A$2:$F$6,4,FALSE()))</f>
        <v>0</v>
      </c>
      <c r="AD252" s="14" t="n">
        <f aca="false">IF(OR($A252="",Z252=0),0,MAX(5,Z252*IF(OR($A252=Parameters!$B$13,$A252=Parameters!$B$14),0.75,1)-(IF(AND($A252=DATE(2026,11,29),NOV29BF="Yes"),AA252,0)+IF(OR($A252=DATE(2026,11,29),$A252=DATE(2026,11,30),$A252=DATE(2026,12,1),$A252=DATE(2026,12,2)),AB252,0)+IF(OR($A252=DATE(2026,11,28),$A252=DATE(2026,12,1)),AC252,0))))</f>
        <v>0</v>
      </c>
      <c r="AE252" s="14" t="n">
        <f aca="false">IF(AND($A252&lt;&gt;"",$A252&lt;Parameters!$B$14),CityData!F6*(1+TAXRATE),0)</f>
        <v>0</v>
      </c>
      <c r="AF252" s="14" t="n">
        <f aca="false">IF($A252="",0,IFERROR(VLOOKUP((YEAR($A252)+IF(MONTH($A252)&gt;=10,1,0))&amp;"|Phoenix|"&amp;MONTH($A252),Rates!$A$2:$I$181,5,FALSE()),0))</f>
        <v>0</v>
      </c>
      <c r="AG252" s="14" t="n">
        <f aca="false">IF(OR($A252="",$A252&gt;=Parameters!$B$14),1,IF(AND(AF252&gt;0,CityData!F6&lt;=AF252),1,0))</f>
        <v>1</v>
      </c>
      <c r="AH252" s="14" t="n">
        <f aca="false">IF($A252="",0,IFERROR(VLOOKUP((YEAR($A252)+IF(MONTH($A252)&gt;=10,1,0))&amp;"|Seattle|"&amp;MONTH($A252),Rates!$A$2:$I$181,6,FALSE()),0))</f>
        <v>0</v>
      </c>
      <c r="AI252" s="14" t="n">
        <f aca="false">IF(AH252=0,0,VLOOKUP(AH252,MIE_Components!$A$2:$F$6,2,FALSE()))</f>
        <v>0</v>
      </c>
      <c r="AJ252" s="14" t="n">
        <f aca="false">IF(AH252=0,0,VLOOKUP(AH252,MIE_Components!$A$2:$F$6,3,FALSE()))</f>
        <v>0</v>
      </c>
      <c r="AK252" s="14" t="n">
        <f aca="false">IF(AH252=0,0,VLOOKUP(AH252,MIE_Components!$A$2:$F$6,4,FALSE()))</f>
        <v>0</v>
      </c>
      <c r="AL252" s="14" t="n">
        <f aca="false">IF(OR($A252="",AH252=0),0,MAX(5,AH252*IF(OR($A252=Parameters!$B$13,$A252=Parameters!$B$14),0.75,1)-(IF(AND($A252=DATE(2026,11,29),NOV29BF="Yes"),AI252,0)+IF(OR($A252=DATE(2026,11,29),$A252=DATE(2026,11,30),$A252=DATE(2026,12,1),$A252=DATE(2026,12,2)),AJ252,0)+IF(OR($A252=DATE(2026,11,28),$A252=DATE(2026,12,1)),AK252,0))))</f>
        <v>0</v>
      </c>
      <c r="AM252" s="14" t="n">
        <f aca="false">IF(AND($A252&lt;&gt;"",$A252&lt;Parameters!$B$14),CityData!F7*(1+TAXRATE),0)</f>
        <v>0</v>
      </c>
      <c r="AN252" s="14" t="n">
        <f aca="false">IF($A252="",0,IFERROR(VLOOKUP((YEAR($A252)+IF(MONTH($A252)&gt;=10,1,0))&amp;"|Seattle|"&amp;MONTH($A252),Rates!$A$2:$I$181,5,FALSE()),0))</f>
        <v>0</v>
      </c>
      <c r="AO252" s="14" t="n">
        <f aca="false">IF(OR($A252="",$A252&gt;=Parameters!$B$14),1,IF(AND(AN252&gt;0,CityData!F7&lt;=AN252),1,0))</f>
        <v>1</v>
      </c>
    </row>
    <row r="253" customFormat="false" ht="15" hidden="false" customHeight="true" outlineLevel="0" collapsed="false">
      <c r="A253" s="23" t="str">
        <f aca="false">IF(AND(Parameters!$B$14&gt;=Parameters!$B$13,ROW()-2&lt;=Parameters!$B$14-Parameters!$B$13),Parameters!$B$13+ROW()-2,"")</f>
        <v/>
      </c>
      <c r="B253" s="14" t="n">
        <f aca="false">IF($A253="",0,IFERROR(VLOOKUP((YEAR($A253)+IF(MONTH($A253)&gt;=10,1,0))&amp;"|Boston|"&amp;MONTH($A253),Rates!$A$2:$I$181,6,FALSE()),0))</f>
        <v>0</v>
      </c>
      <c r="C253" s="14" t="n">
        <f aca="false">IF(B253=0,0,VLOOKUP(B253,MIE_Components!$A$2:$F$6,2,FALSE()))</f>
        <v>0</v>
      </c>
      <c r="D253" s="14" t="n">
        <f aca="false">IF(B253=0,0,VLOOKUP(B253,MIE_Components!$A$2:$F$6,3,FALSE()))</f>
        <v>0</v>
      </c>
      <c r="E253" s="14" t="n">
        <f aca="false">IF(B253=0,0,VLOOKUP(B253,MIE_Components!$A$2:$F$6,4,FALSE()))</f>
        <v>0</v>
      </c>
      <c r="F253" s="14" t="n">
        <f aca="false">IF(OR($A253="",B253=0),0,MAX(5,B253*IF(OR($A253=Parameters!$B$13,$A253=Parameters!$B$14),0.75,1)-(IF(AND($A253=DATE(2026,11,29),NOV29BF="Yes"),C253,0)+IF(OR($A253=DATE(2026,11,29),$A253=DATE(2026,11,30),$A253=DATE(2026,12,1),$A253=DATE(2026,12,2)),D253,0)+IF(OR($A253=DATE(2026,11,28),$A253=DATE(2026,12,1)),E253,0))))</f>
        <v>0</v>
      </c>
      <c r="G253" s="14" t="n">
        <f aca="false">IF(AND($A253&lt;&gt;"",$A253&lt;Parameters!$B$14),CityData!F3*(1+TAXRATE),0)</f>
        <v>0</v>
      </c>
      <c r="H253" s="14" t="n">
        <f aca="false">IF($A253="",0,IFERROR(VLOOKUP((YEAR($A253)+IF(MONTH($A253)&gt;=10,1,0))&amp;"|Boston|"&amp;MONTH($A253),Rates!$A$2:$I$181,5,FALSE()),0))</f>
        <v>0</v>
      </c>
      <c r="I253" s="14" t="n">
        <f aca="false">IF(OR($A253="",$A253&gt;=Parameters!$B$14),1,IF(AND(H253&gt;0,CityData!F3&lt;=H253),1,0))</f>
        <v>1</v>
      </c>
      <c r="J253" s="14" t="n">
        <f aca="false">IF($A253="",0,IFERROR(VLOOKUP((YEAR($A253)+IF(MONTH($A253)&gt;=10,1,0))&amp;"|Chicago|"&amp;MONTH($A253),Rates!$A$2:$I$181,6,FALSE()),0))</f>
        <v>0</v>
      </c>
      <c r="K253" s="14" t="n">
        <f aca="false">IF(J253=0,0,VLOOKUP(J253,MIE_Components!$A$2:$F$6,2,FALSE()))</f>
        <v>0</v>
      </c>
      <c r="L253" s="14" t="n">
        <f aca="false">IF(J253=0,0,VLOOKUP(J253,MIE_Components!$A$2:$F$6,3,FALSE()))</f>
        <v>0</v>
      </c>
      <c r="M253" s="14" t="n">
        <f aca="false">IF(J253=0,0,VLOOKUP(J253,MIE_Components!$A$2:$F$6,4,FALSE()))</f>
        <v>0</v>
      </c>
      <c r="N253" s="14" t="n">
        <f aca="false">IF(OR($A253="",J253=0),0,MAX(5,J253*IF(OR($A253=Parameters!$B$13,$A253=Parameters!$B$14),0.75,1)-(IF(AND($A253=DATE(2026,11,29),NOV29BF="Yes"),K253,0)+IF(OR($A253=DATE(2026,11,29),$A253=DATE(2026,11,30),$A253=DATE(2026,12,1),$A253=DATE(2026,12,2)),L253,0)+IF(OR($A253=DATE(2026,11,28),$A253=DATE(2026,12,1)),M253,0))))</f>
        <v>0</v>
      </c>
      <c r="O253" s="14" t="n">
        <f aca="false">IF(AND($A253&lt;&gt;"",$A253&lt;Parameters!$B$14),CityData!F4*(1+TAXRATE),0)</f>
        <v>0</v>
      </c>
      <c r="P253" s="14" t="n">
        <f aca="false">IF($A253="",0,IFERROR(VLOOKUP((YEAR($A253)+IF(MONTH($A253)&gt;=10,1,0))&amp;"|Chicago|"&amp;MONTH($A253),Rates!$A$2:$I$181,5,FALSE()),0))</f>
        <v>0</v>
      </c>
      <c r="Q253" s="14" t="n">
        <f aca="false">IF(OR($A253="",$A253&gt;=Parameters!$B$14),1,IF(AND(P253&gt;0,CityData!F4&lt;=P253),1,0))</f>
        <v>1</v>
      </c>
      <c r="R253" s="14" t="n">
        <f aca="false">IF($A253="",0,IFERROR(VLOOKUP((YEAR($A253)+IF(MONTH($A253)&gt;=10,1,0))&amp;"|Denver|"&amp;MONTH($A253),Rates!$A$2:$I$181,6,FALSE()),0))</f>
        <v>0</v>
      </c>
      <c r="S253" s="14" t="n">
        <f aca="false">IF(R253=0,0,VLOOKUP(R253,MIE_Components!$A$2:$F$6,2,FALSE()))</f>
        <v>0</v>
      </c>
      <c r="T253" s="14" t="n">
        <f aca="false">IF(R253=0,0,VLOOKUP(R253,MIE_Components!$A$2:$F$6,3,FALSE()))</f>
        <v>0</v>
      </c>
      <c r="U253" s="14" t="n">
        <f aca="false">IF(R253=0,0,VLOOKUP(R253,MIE_Components!$A$2:$F$6,4,FALSE()))</f>
        <v>0</v>
      </c>
      <c r="V253" s="14" t="n">
        <f aca="false">IF(OR($A253="",R253=0),0,MAX(5,R253*IF(OR($A253=Parameters!$B$13,$A253=Parameters!$B$14),0.75,1)-(IF(AND($A253=DATE(2026,11,29),NOV29BF="Yes"),S253,0)+IF(OR($A253=DATE(2026,11,29),$A253=DATE(2026,11,30),$A253=DATE(2026,12,1),$A253=DATE(2026,12,2)),T253,0)+IF(OR($A253=DATE(2026,11,28),$A253=DATE(2026,12,1)),U253,0))))</f>
        <v>0</v>
      </c>
      <c r="W253" s="14" t="n">
        <f aca="false">IF(AND($A253&lt;&gt;"",$A253&lt;Parameters!$B$14),CityData!F5*(1+TAXRATE),0)</f>
        <v>0</v>
      </c>
      <c r="X253" s="14" t="n">
        <f aca="false">IF($A253="",0,IFERROR(VLOOKUP((YEAR($A253)+IF(MONTH($A253)&gt;=10,1,0))&amp;"|Denver|"&amp;MONTH($A253),Rates!$A$2:$I$181,5,FALSE()),0))</f>
        <v>0</v>
      </c>
      <c r="Y253" s="14" t="n">
        <f aca="false">IF(OR($A253="",$A253&gt;=Parameters!$B$14),1,IF(AND(X253&gt;0,CityData!F5&lt;=X253),1,0))</f>
        <v>1</v>
      </c>
      <c r="Z253" s="14" t="n">
        <f aca="false">IF($A253="",0,IFERROR(VLOOKUP((YEAR($A253)+IF(MONTH($A253)&gt;=10,1,0))&amp;"|Phoenix|"&amp;MONTH($A253),Rates!$A$2:$I$181,6,FALSE()),0))</f>
        <v>0</v>
      </c>
      <c r="AA253" s="14" t="n">
        <f aca="false">IF(Z253=0,0,VLOOKUP(Z253,MIE_Components!$A$2:$F$6,2,FALSE()))</f>
        <v>0</v>
      </c>
      <c r="AB253" s="14" t="n">
        <f aca="false">IF(Z253=0,0,VLOOKUP(Z253,MIE_Components!$A$2:$F$6,3,FALSE()))</f>
        <v>0</v>
      </c>
      <c r="AC253" s="14" t="n">
        <f aca="false">IF(Z253=0,0,VLOOKUP(Z253,MIE_Components!$A$2:$F$6,4,FALSE()))</f>
        <v>0</v>
      </c>
      <c r="AD253" s="14" t="n">
        <f aca="false">IF(OR($A253="",Z253=0),0,MAX(5,Z253*IF(OR($A253=Parameters!$B$13,$A253=Parameters!$B$14),0.75,1)-(IF(AND($A253=DATE(2026,11,29),NOV29BF="Yes"),AA253,0)+IF(OR($A253=DATE(2026,11,29),$A253=DATE(2026,11,30),$A253=DATE(2026,12,1),$A253=DATE(2026,12,2)),AB253,0)+IF(OR($A253=DATE(2026,11,28),$A253=DATE(2026,12,1)),AC253,0))))</f>
        <v>0</v>
      </c>
      <c r="AE253" s="14" t="n">
        <f aca="false">IF(AND($A253&lt;&gt;"",$A253&lt;Parameters!$B$14),CityData!F6*(1+TAXRATE),0)</f>
        <v>0</v>
      </c>
      <c r="AF253" s="14" t="n">
        <f aca="false">IF($A253="",0,IFERROR(VLOOKUP((YEAR($A253)+IF(MONTH($A253)&gt;=10,1,0))&amp;"|Phoenix|"&amp;MONTH($A253),Rates!$A$2:$I$181,5,FALSE()),0))</f>
        <v>0</v>
      </c>
      <c r="AG253" s="14" t="n">
        <f aca="false">IF(OR($A253="",$A253&gt;=Parameters!$B$14),1,IF(AND(AF253&gt;0,CityData!F6&lt;=AF253),1,0))</f>
        <v>1</v>
      </c>
      <c r="AH253" s="14" t="n">
        <f aca="false">IF($A253="",0,IFERROR(VLOOKUP((YEAR($A253)+IF(MONTH($A253)&gt;=10,1,0))&amp;"|Seattle|"&amp;MONTH($A253),Rates!$A$2:$I$181,6,FALSE()),0))</f>
        <v>0</v>
      </c>
      <c r="AI253" s="14" t="n">
        <f aca="false">IF(AH253=0,0,VLOOKUP(AH253,MIE_Components!$A$2:$F$6,2,FALSE()))</f>
        <v>0</v>
      </c>
      <c r="AJ253" s="14" t="n">
        <f aca="false">IF(AH253=0,0,VLOOKUP(AH253,MIE_Components!$A$2:$F$6,3,FALSE()))</f>
        <v>0</v>
      </c>
      <c r="AK253" s="14" t="n">
        <f aca="false">IF(AH253=0,0,VLOOKUP(AH253,MIE_Components!$A$2:$F$6,4,FALSE()))</f>
        <v>0</v>
      </c>
      <c r="AL253" s="14" t="n">
        <f aca="false">IF(OR($A253="",AH253=0),0,MAX(5,AH253*IF(OR($A253=Parameters!$B$13,$A253=Parameters!$B$14),0.75,1)-(IF(AND($A253=DATE(2026,11,29),NOV29BF="Yes"),AI253,0)+IF(OR($A253=DATE(2026,11,29),$A253=DATE(2026,11,30),$A253=DATE(2026,12,1),$A253=DATE(2026,12,2)),AJ253,0)+IF(OR($A253=DATE(2026,11,28),$A253=DATE(2026,12,1)),AK253,0))))</f>
        <v>0</v>
      </c>
      <c r="AM253" s="14" t="n">
        <f aca="false">IF(AND($A253&lt;&gt;"",$A253&lt;Parameters!$B$14),CityData!F7*(1+TAXRATE),0)</f>
        <v>0</v>
      </c>
      <c r="AN253" s="14" t="n">
        <f aca="false">IF($A253="",0,IFERROR(VLOOKUP((YEAR($A253)+IF(MONTH($A253)&gt;=10,1,0))&amp;"|Seattle|"&amp;MONTH($A253),Rates!$A$2:$I$181,5,FALSE()),0))</f>
        <v>0</v>
      </c>
      <c r="AO253" s="14" t="n">
        <f aca="false">IF(OR($A253="",$A253&gt;=Parameters!$B$14),1,IF(AND(AN253&gt;0,CityData!F7&lt;=AN253),1,0))</f>
        <v>1</v>
      </c>
    </row>
    <row r="254" customFormat="false" ht="15" hidden="false" customHeight="true" outlineLevel="0" collapsed="false">
      <c r="A254" s="23" t="str">
        <f aca="false">IF(AND(Parameters!$B$14&gt;=Parameters!$B$13,ROW()-2&lt;=Parameters!$B$14-Parameters!$B$13),Parameters!$B$13+ROW()-2,"")</f>
        <v/>
      </c>
      <c r="B254" s="14" t="n">
        <f aca="false">IF($A254="",0,IFERROR(VLOOKUP((YEAR($A254)+IF(MONTH($A254)&gt;=10,1,0))&amp;"|Boston|"&amp;MONTH($A254),Rates!$A$2:$I$181,6,FALSE()),0))</f>
        <v>0</v>
      </c>
      <c r="C254" s="14" t="n">
        <f aca="false">IF(B254=0,0,VLOOKUP(B254,MIE_Components!$A$2:$F$6,2,FALSE()))</f>
        <v>0</v>
      </c>
      <c r="D254" s="14" t="n">
        <f aca="false">IF(B254=0,0,VLOOKUP(B254,MIE_Components!$A$2:$F$6,3,FALSE()))</f>
        <v>0</v>
      </c>
      <c r="E254" s="14" t="n">
        <f aca="false">IF(B254=0,0,VLOOKUP(B254,MIE_Components!$A$2:$F$6,4,FALSE()))</f>
        <v>0</v>
      </c>
      <c r="F254" s="14" t="n">
        <f aca="false">IF(OR($A254="",B254=0),0,MAX(5,B254*IF(OR($A254=Parameters!$B$13,$A254=Parameters!$B$14),0.75,1)-(IF(AND($A254=DATE(2026,11,29),NOV29BF="Yes"),C254,0)+IF(OR($A254=DATE(2026,11,29),$A254=DATE(2026,11,30),$A254=DATE(2026,12,1),$A254=DATE(2026,12,2)),D254,0)+IF(OR($A254=DATE(2026,11,28),$A254=DATE(2026,12,1)),E254,0))))</f>
        <v>0</v>
      </c>
      <c r="G254" s="14" t="n">
        <f aca="false">IF(AND($A254&lt;&gt;"",$A254&lt;Parameters!$B$14),CityData!F3*(1+TAXRATE),0)</f>
        <v>0</v>
      </c>
      <c r="H254" s="14" t="n">
        <f aca="false">IF($A254="",0,IFERROR(VLOOKUP((YEAR($A254)+IF(MONTH($A254)&gt;=10,1,0))&amp;"|Boston|"&amp;MONTH($A254),Rates!$A$2:$I$181,5,FALSE()),0))</f>
        <v>0</v>
      </c>
      <c r="I254" s="14" t="n">
        <f aca="false">IF(OR($A254="",$A254&gt;=Parameters!$B$14),1,IF(AND(H254&gt;0,CityData!F3&lt;=H254),1,0))</f>
        <v>1</v>
      </c>
      <c r="J254" s="14" t="n">
        <f aca="false">IF($A254="",0,IFERROR(VLOOKUP((YEAR($A254)+IF(MONTH($A254)&gt;=10,1,0))&amp;"|Chicago|"&amp;MONTH($A254),Rates!$A$2:$I$181,6,FALSE()),0))</f>
        <v>0</v>
      </c>
      <c r="K254" s="14" t="n">
        <f aca="false">IF(J254=0,0,VLOOKUP(J254,MIE_Components!$A$2:$F$6,2,FALSE()))</f>
        <v>0</v>
      </c>
      <c r="L254" s="14" t="n">
        <f aca="false">IF(J254=0,0,VLOOKUP(J254,MIE_Components!$A$2:$F$6,3,FALSE()))</f>
        <v>0</v>
      </c>
      <c r="M254" s="14" t="n">
        <f aca="false">IF(J254=0,0,VLOOKUP(J254,MIE_Components!$A$2:$F$6,4,FALSE()))</f>
        <v>0</v>
      </c>
      <c r="N254" s="14" t="n">
        <f aca="false">IF(OR($A254="",J254=0),0,MAX(5,J254*IF(OR($A254=Parameters!$B$13,$A254=Parameters!$B$14),0.75,1)-(IF(AND($A254=DATE(2026,11,29),NOV29BF="Yes"),K254,0)+IF(OR($A254=DATE(2026,11,29),$A254=DATE(2026,11,30),$A254=DATE(2026,12,1),$A254=DATE(2026,12,2)),L254,0)+IF(OR($A254=DATE(2026,11,28),$A254=DATE(2026,12,1)),M254,0))))</f>
        <v>0</v>
      </c>
      <c r="O254" s="14" t="n">
        <f aca="false">IF(AND($A254&lt;&gt;"",$A254&lt;Parameters!$B$14),CityData!F4*(1+TAXRATE),0)</f>
        <v>0</v>
      </c>
      <c r="P254" s="14" t="n">
        <f aca="false">IF($A254="",0,IFERROR(VLOOKUP((YEAR($A254)+IF(MONTH($A254)&gt;=10,1,0))&amp;"|Chicago|"&amp;MONTH($A254),Rates!$A$2:$I$181,5,FALSE()),0))</f>
        <v>0</v>
      </c>
      <c r="Q254" s="14" t="n">
        <f aca="false">IF(OR($A254="",$A254&gt;=Parameters!$B$14),1,IF(AND(P254&gt;0,CityData!F4&lt;=P254),1,0))</f>
        <v>1</v>
      </c>
      <c r="R254" s="14" t="n">
        <f aca="false">IF($A254="",0,IFERROR(VLOOKUP((YEAR($A254)+IF(MONTH($A254)&gt;=10,1,0))&amp;"|Denver|"&amp;MONTH($A254),Rates!$A$2:$I$181,6,FALSE()),0))</f>
        <v>0</v>
      </c>
      <c r="S254" s="14" t="n">
        <f aca="false">IF(R254=0,0,VLOOKUP(R254,MIE_Components!$A$2:$F$6,2,FALSE()))</f>
        <v>0</v>
      </c>
      <c r="T254" s="14" t="n">
        <f aca="false">IF(R254=0,0,VLOOKUP(R254,MIE_Components!$A$2:$F$6,3,FALSE()))</f>
        <v>0</v>
      </c>
      <c r="U254" s="14" t="n">
        <f aca="false">IF(R254=0,0,VLOOKUP(R254,MIE_Components!$A$2:$F$6,4,FALSE()))</f>
        <v>0</v>
      </c>
      <c r="V254" s="14" t="n">
        <f aca="false">IF(OR($A254="",R254=0),0,MAX(5,R254*IF(OR($A254=Parameters!$B$13,$A254=Parameters!$B$14),0.75,1)-(IF(AND($A254=DATE(2026,11,29),NOV29BF="Yes"),S254,0)+IF(OR($A254=DATE(2026,11,29),$A254=DATE(2026,11,30),$A254=DATE(2026,12,1),$A254=DATE(2026,12,2)),T254,0)+IF(OR($A254=DATE(2026,11,28),$A254=DATE(2026,12,1)),U254,0))))</f>
        <v>0</v>
      </c>
      <c r="W254" s="14" t="n">
        <f aca="false">IF(AND($A254&lt;&gt;"",$A254&lt;Parameters!$B$14),CityData!F5*(1+TAXRATE),0)</f>
        <v>0</v>
      </c>
      <c r="X254" s="14" t="n">
        <f aca="false">IF($A254="",0,IFERROR(VLOOKUP((YEAR($A254)+IF(MONTH($A254)&gt;=10,1,0))&amp;"|Denver|"&amp;MONTH($A254),Rates!$A$2:$I$181,5,FALSE()),0))</f>
        <v>0</v>
      </c>
      <c r="Y254" s="14" t="n">
        <f aca="false">IF(OR($A254="",$A254&gt;=Parameters!$B$14),1,IF(AND(X254&gt;0,CityData!F5&lt;=X254),1,0))</f>
        <v>1</v>
      </c>
      <c r="Z254" s="14" t="n">
        <f aca="false">IF($A254="",0,IFERROR(VLOOKUP((YEAR($A254)+IF(MONTH($A254)&gt;=10,1,0))&amp;"|Phoenix|"&amp;MONTH($A254),Rates!$A$2:$I$181,6,FALSE()),0))</f>
        <v>0</v>
      </c>
      <c r="AA254" s="14" t="n">
        <f aca="false">IF(Z254=0,0,VLOOKUP(Z254,MIE_Components!$A$2:$F$6,2,FALSE()))</f>
        <v>0</v>
      </c>
      <c r="AB254" s="14" t="n">
        <f aca="false">IF(Z254=0,0,VLOOKUP(Z254,MIE_Components!$A$2:$F$6,3,FALSE()))</f>
        <v>0</v>
      </c>
      <c r="AC254" s="14" t="n">
        <f aca="false">IF(Z254=0,0,VLOOKUP(Z254,MIE_Components!$A$2:$F$6,4,FALSE()))</f>
        <v>0</v>
      </c>
      <c r="AD254" s="14" t="n">
        <f aca="false">IF(OR($A254="",Z254=0),0,MAX(5,Z254*IF(OR($A254=Parameters!$B$13,$A254=Parameters!$B$14),0.75,1)-(IF(AND($A254=DATE(2026,11,29),NOV29BF="Yes"),AA254,0)+IF(OR($A254=DATE(2026,11,29),$A254=DATE(2026,11,30),$A254=DATE(2026,12,1),$A254=DATE(2026,12,2)),AB254,0)+IF(OR($A254=DATE(2026,11,28),$A254=DATE(2026,12,1)),AC254,0))))</f>
        <v>0</v>
      </c>
      <c r="AE254" s="14" t="n">
        <f aca="false">IF(AND($A254&lt;&gt;"",$A254&lt;Parameters!$B$14),CityData!F6*(1+TAXRATE),0)</f>
        <v>0</v>
      </c>
      <c r="AF254" s="14" t="n">
        <f aca="false">IF($A254="",0,IFERROR(VLOOKUP((YEAR($A254)+IF(MONTH($A254)&gt;=10,1,0))&amp;"|Phoenix|"&amp;MONTH($A254),Rates!$A$2:$I$181,5,FALSE()),0))</f>
        <v>0</v>
      </c>
      <c r="AG254" s="14" t="n">
        <f aca="false">IF(OR($A254="",$A254&gt;=Parameters!$B$14),1,IF(AND(AF254&gt;0,CityData!F6&lt;=AF254),1,0))</f>
        <v>1</v>
      </c>
      <c r="AH254" s="14" t="n">
        <f aca="false">IF($A254="",0,IFERROR(VLOOKUP((YEAR($A254)+IF(MONTH($A254)&gt;=10,1,0))&amp;"|Seattle|"&amp;MONTH($A254),Rates!$A$2:$I$181,6,FALSE()),0))</f>
        <v>0</v>
      </c>
      <c r="AI254" s="14" t="n">
        <f aca="false">IF(AH254=0,0,VLOOKUP(AH254,MIE_Components!$A$2:$F$6,2,FALSE()))</f>
        <v>0</v>
      </c>
      <c r="AJ254" s="14" t="n">
        <f aca="false">IF(AH254=0,0,VLOOKUP(AH254,MIE_Components!$A$2:$F$6,3,FALSE()))</f>
        <v>0</v>
      </c>
      <c r="AK254" s="14" t="n">
        <f aca="false">IF(AH254=0,0,VLOOKUP(AH254,MIE_Components!$A$2:$F$6,4,FALSE()))</f>
        <v>0</v>
      </c>
      <c r="AL254" s="14" t="n">
        <f aca="false">IF(OR($A254="",AH254=0),0,MAX(5,AH254*IF(OR($A254=Parameters!$B$13,$A254=Parameters!$B$14),0.75,1)-(IF(AND($A254=DATE(2026,11,29),NOV29BF="Yes"),AI254,0)+IF(OR($A254=DATE(2026,11,29),$A254=DATE(2026,11,30),$A254=DATE(2026,12,1),$A254=DATE(2026,12,2)),AJ254,0)+IF(OR($A254=DATE(2026,11,28),$A254=DATE(2026,12,1)),AK254,0))))</f>
        <v>0</v>
      </c>
      <c r="AM254" s="14" t="n">
        <f aca="false">IF(AND($A254&lt;&gt;"",$A254&lt;Parameters!$B$14),CityData!F7*(1+TAXRATE),0)</f>
        <v>0</v>
      </c>
      <c r="AN254" s="14" t="n">
        <f aca="false">IF($A254="",0,IFERROR(VLOOKUP((YEAR($A254)+IF(MONTH($A254)&gt;=10,1,0))&amp;"|Seattle|"&amp;MONTH($A254),Rates!$A$2:$I$181,5,FALSE()),0))</f>
        <v>0</v>
      </c>
      <c r="AO254" s="14" t="n">
        <f aca="false">IF(OR($A254="",$A254&gt;=Parameters!$B$14),1,IF(AND(AN254&gt;0,CityData!F7&lt;=AN254),1,0))</f>
        <v>1</v>
      </c>
    </row>
    <row r="255" customFormat="false" ht="15" hidden="false" customHeight="true" outlineLevel="0" collapsed="false">
      <c r="A255" s="23" t="str">
        <f aca="false">IF(AND(Parameters!$B$14&gt;=Parameters!$B$13,ROW()-2&lt;=Parameters!$B$14-Parameters!$B$13),Parameters!$B$13+ROW()-2,"")</f>
        <v/>
      </c>
      <c r="B255" s="14" t="n">
        <f aca="false">IF($A255="",0,IFERROR(VLOOKUP((YEAR($A255)+IF(MONTH($A255)&gt;=10,1,0))&amp;"|Boston|"&amp;MONTH($A255),Rates!$A$2:$I$181,6,FALSE()),0))</f>
        <v>0</v>
      </c>
      <c r="C255" s="14" t="n">
        <f aca="false">IF(B255=0,0,VLOOKUP(B255,MIE_Components!$A$2:$F$6,2,FALSE()))</f>
        <v>0</v>
      </c>
      <c r="D255" s="14" t="n">
        <f aca="false">IF(B255=0,0,VLOOKUP(B255,MIE_Components!$A$2:$F$6,3,FALSE()))</f>
        <v>0</v>
      </c>
      <c r="E255" s="14" t="n">
        <f aca="false">IF(B255=0,0,VLOOKUP(B255,MIE_Components!$A$2:$F$6,4,FALSE()))</f>
        <v>0</v>
      </c>
      <c r="F255" s="14" t="n">
        <f aca="false">IF(OR($A255="",B255=0),0,MAX(5,B255*IF(OR($A255=Parameters!$B$13,$A255=Parameters!$B$14),0.75,1)-(IF(AND($A255=DATE(2026,11,29),NOV29BF="Yes"),C255,0)+IF(OR($A255=DATE(2026,11,29),$A255=DATE(2026,11,30),$A255=DATE(2026,12,1),$A255=DATE(2026,12,2)),D255,0)+IF(OR($A255=DATE(2026,11,28),$A255=DATE(2026,12,1)),E255,0))))</f>
        <v>0</v>
      </c>
      <c r="G255" s="14" t="n">
        <f aca="false">IF(AND($A255&lt;&gt;"",$A255&lt;Parameters!$B$14),CityData!F3*(1+TAXRATE),0)</f>
        <v>0</v>
      </c>
      <c r="H255" s="14" t="n">
        <f aca="false">IF($A255="",0,IFERROR(VLOOKUP((YEAR($A255)+IF(MONTH($A255)&gt;=10,1,0))&amp;"|Boston|"&amp;MONTH($A255),Rates!$A$2:$I$181,5,FALSE()),0))</f>
        <v>0</v>
      </c>
      <c r="I255" s="14" t="n">
        <f aca="false">IF(OR($A255="",$A255&gt;=Parameters!$B$14),1,IF(AND(H255&gt;0,CityData!F3&lt;=H255),1,0))</f>
        <v>1</v>
      </c>
      <c r="J255" s="14" t="n">
        <f aca="false">IF($A255="",0,IFERROR(VLOOKUP((YEAR($A255)+IF(MONTH($A255)&gt;=10,1,0))&amp;"|Chicago|"&amp;MONTH($A255),Rates!$A$2:$I$181,6,FALSE()),0))</f>
        <v>0</v>
      </c>
      <c r="K255" s="14" t="n">
        <f aca="false">IF(J255=0,0,VLOOKUP(J255,MIE_Components!$A$2:$F$6,2,FALSE()))</f>
        <v>0</v>
      </c>
      <c r="L255" s="14" t="n">
        <f aca="false">IF(J255=0,0,VLOOKUP(J255,MIE_Components!$A$2:$F$6,3,FALSE()))</f>
        <v>0</v>
      </c>
      <c r="M255" s="14" t="n">
        <f aca="false">IF(J255=0,0,VLOOKUP(J255,MIE_Components!$A$2:$F$6,4,FALSE()))</f>
        <v>0</v>
      </c>
      <c r="N255" s="14" t="n">
        <f aca="false">IF(OR($A255="",J255=0),0,MAX(5,J255*IF(OR($A255=Parameters!$B$13,$A255=Parameters!$B$14),0.75,1)-(IF(AND($A255=DATE(2026,11,29),NOV29BF="Yes"),K255,0)+IF(OR($A255=DATE(2026,11,29),$A255=DATE(2026,11,30),$A255=DATE(2026,12,1),$A255=DATE(2026,12,2)),L255,0)+IF(OR($A255=DATE(2026,11,28),$A255=DATE(2026,12,1)),M255,0))))</f>
        <v>0</v>
      </c>
      <c r="O255" s="14" t="n">
        <f aca="false">IF(AND($A255&lt;&gt;"",$A255&lt;Parameters!$B$14),CityData!F4*(1+TAXRATE),0)</f>
        <v>0</v>
      </c>
      <c r="P255" s="14" t="n">
        <f aca="false">IF($A255="",0,IFERROR(VLOOKUP((YEAR($A255)+IF(MONTH($A255)&gt;=10,1,0))&amp;"|Chicago|"&amp;MONTH($A255),Rates!$A$2:$I$181,5,FALSE()),0))</f>
        <v>0</v>
      </c>
      <c r="Q255" s="14" t="n">
        <f aca="false">IF(OR($A255="",$A255&gt;=Parameters!$B$14),1,IF(AND(P255&gt;0,CityData!F4&lt;=P255),1,0))</f>
        <v>1</v>
      </c>
      <c r="R255" s="14" t="n">
        <f aca="false">IF($A255="",0,IFERROR(VLOOKUP((YEAR($A255)+IF(MONTH($A255)&gt;=10,1,0))&amp;"|Denver|"&amp;MONTH($A255),Rates!$A$2:$I$181,6,FALSE()),0))</f>
        <v>0</v>
      </c>
      <c r="S255" s="14" t="n">
        <f aca="false">IF(R255=0,0,VLOOKUP(R255,MIE_Components!$A$2:$F$6,2,FALSE()))</f>
        <v>0</v>
      </c>
      <c r="T255" s="14" t="n">
        <f aca="false">IF(R255=0,0,VLOOKUP(R255,MIE_Components!$A$2:$F$6,3,FALSE()))</f>
        <v>0</v>
      </c>
      <c r="U255" s="14" t="n">
        <f aca="false">IF(R255=0,0,VLOOKUP(R255,MIE_Components!$A$2:$F$6,4,FALSE()))</f>
        <v>0</v>
      </c>
      <c r="V255" s="14" t="n">
        <f aca="false">IF(OR($A255="",R255=0),0,MAX(5,R255*IF(OR($A255=Parameters!$B$13,$A255=Parameters!$B$14),0.75,1)-(IF(AND($A255=DATE(2026,11,29),NOV29BF="Yes"),S255,0)+IF(OR($A255=DATE(2026,11,29),$A255=DATE(2026,11,30),$A255=DATE(2026,12,1),$A255=DATE(2026,12,2)),T255,0)+IF(OR($A255=DATE(2026,11,28),$A255=DATE(2026,12,1)),U255,0))))</f>
        <v>0</v>
      </c>
      <c r="W255" s="14" t="n">
        <f aca="false">IF(AND($A255&lt;&gt;"",$A255&lt;Parameters!$B$14),CityData!F5*(1+TAXRATE),0)</f>
        <v>0</v>
      </c>
      <c r="X255" s="14" t="n">
        <f aca="false">IF($A255="",0,IFERROR(VLOOKUP((YEAR($A255)+IF(MONTH($A255)&gt;=10,1,0))&amp;"|Denver|"&amp;MONTH($A255),Rates!$A$2:$I$181,5,FALSE()),0))</f>
        <v>0</v>
      </c>
      <c r="Y255" s="14" t="n">
        <f aca="false">IF(OR($A255="",$A255&gt;=Parameters!$B$14),1,IF(AND(X255&gt;0,CityData!F5&lt;=X255),1,0))</f>
        <v>1</v>
      </c>
      <c r="Z255" s="14" t="n">
        <f aca="false">IF($A255="",0,IFERROR(VLOOKUP((YEAR($A255)+IF(MONTH($A255)&gt;=10,1,0))&amp;"|Phoenix|"&amp;MONTH($A255),Rates!$A$2:$I$181,6,FALSE()),0))</f>
        <v>0</v>
      </c>
      <c r="AA255" s="14" t="n">
        <f aca="false">IF(Z255=0,0,VLOOKUP(Z255,MIE_Components!$A$2:$F$6,2,FALSE()))</f>
        <v>0</v>
      </c>
      <c r="AB255" s="14" t="n">
        <f aca="false">IF(Z255=0,0,VLOOKUP(Z255,MIE_Components!$A$2:$F$6,3,FALSE()))</f>
        <v>0</v>
      </c>
      <c r="AC255" s="14" t="n">
        <f aca="false">IF(Z255=0,0,VLOOKUP(Z255,MIE_Components!$A$2:$F$6,4,FALSE()))</f>
        <v>0</v>
      </c>
      <c r="AD255" s="14" t="n">
        <f aca="false">IF(OR($A255="",Z255=0),0,MAX(5,Z255*IF(OR($A255=Parameters!$B$13,$A255=Parameters!$B$14),0.75,1)-(IF(AND($A255=DATE(2026,11,29),NOV29BF="Yes"),AA255,0)+IF(OR($A255=DATE(2026,11,29),$A255=DATE(2026,11,30),$A255=DATE(2026,12,1),$A255=DATE(2026,12,2)),AB255,0)+IF(OR($A255=DATE(2026,11,28),$A255=DATE(2026,12,1)),AC255,0))))</f>
        <v>0</v>
      </c>
      <c r="AE255" s="14" t="n">
        <f aca="false">IF(AND($A255&lt;&gt;"",$A255&lt;Parameters!$B$14),CityData!F6*(1+TAXRATE),0)</f>
        <v>0</v>
      </c>
      <c r="AF255" s="14" t="n">
        <f aca="false">IF($A255="",0,IFERROR(VLOOKUP((YEAR($A255)+IF(MONTH($A255)&gt;=10,1,0))&amp;"|Phoenix|"&amp;MONTH($A255),Rates!$A$2:$I$181,5,FALSE()),0))</f>
        <v>0</v>
      </c>
      <c r="AG255" s="14" t="n">
        <f aca="false">IF(OR($A255="",$A255&gt;=Parameters!$B$14),1,IF(AND(AF255&gt;0,CityData!F6&lt;=AF255),1,0))</f>
        <v>1</v>
      </c>
      <c r="AH255" s="14" t="n">
        <f aca="false">IF($A255="",0,IFERROR(VLOOKUP((YEAR($A255)+IF(MONTH($A255)&gt;=10,1,0))&amp;"|Seattle|"&amp;MONTH($A255),Rates!$A$2:$I$181,6,FALSE()),0))</f>
        <v>0</v>
      </c>
      <c r="AI255" s="14" t="n">
        <f aca="false">IF(AH255=0,0,VLOOKUP(AH255,MIE_Components!$A$2:$F$6,2,FALSE()))</f>
        <v>0</v>
      </c>
      <c r="AJ255" s="14" t="n">
        <f aca="false">IF(AH255=0,0,VLOOKUP(AH255,MIE_Components!$A$2:$F$6,3,FALSE()))</f>
        <v>0</v>
      </c>
      <c r="AK255" s="14" t="n">
        <f aca="false">IF(AH255=0,0,VLOOKUP(AH255,MIE_Components!$A$2:$F$6,4,FALSE()))</f>
        <v>0</v>
      </c>
      <c r="AL255" s="14" t="n">
        <f aca="false">IF(OR($A255="",AH255=0),0,MAX(5,AH255*IF(OR($A255=Parameters!$B$13,$A255=Parameters!$B$14),0.75,1)-(IF(AND($A255=DATE(2026,11,29),NOV29BF="Yes"),AI255,0)+IF(OR($A255=DATE(2026,11,29),$A255=DATE(2026,11,30),$A255=DATE(2026,12,1),$A255=DATE(2026,12,2)),AJ255,0)+IF(OR($A255=DATE(2026,11,28),$A255=DATE(2026,12,1)),AK255,0))))</f>
        <v>0</v>
      </c>
      <c r="AM255" s="14" t="n">
        <f aca="false">IF(AND($A255&lt;&gt;"",$A255&lt;Parameters!$B$14),CityData!F7*(1+TAXRATE),0)</f>
        <v>0</v>
      </c>
      <c r="AN255" s="14" t="n">
        <f aca="false">IF($A255="",0,IFERROR(VLOOKUP((YEAR($A255)+IF(MONTH($A255)&gt;=10,1,0))&amp;"|Seattle|"&amp;MONTH($A255),Rates!$A$2:$I$181,5,FALSE()),0))</f>
        <v>0</v>
      </c>
      <c r="AO255" s="14" t="n">
        <f aca="false">IF(OR($A255="",$A255&gt;=Parameters!$B$14),1,IF(AND(AN255&gt;0,CityData!F7&lt;=AN255),1,0))</f>
        <v>1</v>
      </c>
    </row>
    <row r="256" customFormat="false" ht="15" hidden="false" customHeight="true" outlineLevel="0" collapsed="false">
      <c r="A256" s="23" t="str">
        <f aca="false">IF(AND(Parameters!$B$14&gt;=Parameters!$B$13,ROW()-2&lt;=Parameters!$B$14-Parameters!$B$13),Parameters!$B$13+ROW()-2,"")</f>
        <v/>
      </c>
      <c r="B256" s="14" t="n">
        <f aca="false">IF($A256="",0,IFERROR(VLOOKUP((YEAR($A256)+IF(MONTH($A256)&gt;=10,1,0))&amp;"|Boston|"&amp;MONTH($A256),Rates!$A$2:$I$181,6,FALSE()),0))</f>
        <v>0</v>
      </c>
      <c r="C256" s="14" t="n">
        <f aca="false">IF(B256=0,0,VLOOKUP(B256,MIE_Components!$A$2:$F$6,2,FALSE()))</f>
        <v>0</v>
      </c>
      <c r="D256" s="14" t="n">
        <f aca="false">IF(B256=0,0,VLOOKUP(B256,MIE_Components!$A$2:$F$6,3,FALSE()))</f>
        <v>0</v>
      </c>
      <c r="E256" s="14" t="n">
        <f aca="false">IF(B256=0,0,VLOOKUP(B256,MIE_Components!$A$2:$F$6,4,FALSE()))</f>
        <v>0</v>
      </c>
      <c r="F256" s="14" t="n">
        <f aca="false">IF(OR($A256="",B256=0),0,MAX(5,B256*IF(OR($A256=Parameters!$B$13,$A256=Parameters!$B$14),0.75,1)-(IF(AND($A256=DATE(2026,11,29),NOV29BF="Yes"),C256,0)+IF(OR($A256=DATE(2026,11,29),$A256=DATE(2026,11,30),$A256=DATE(2026,12,1),$A256=DATE(2026,12,2)),D256,0)+IF(OR($A256=DATE(2026,11,28),$A256=DATE(2026,12,1)),E256,0))))</f>
        <v>0</v>
      </c>
      <c r="G256" s="14" t="n">
        <f aca="false">IF(AND($A256&lt;&gt;"",$A256&lt;Parameters!$B$14),CityData!F3*(1+TAXRATE),0)</f>
        <v>0</v>
      </c>
      <c r="H256" s="14" t="n">
        <f aca="false">IF($A256="",0,IFERROR(VLOOKUP((YEAR($A256)+IF(MONTH($A256)&gt;=10,1,0))&amp;"|Boston|"&amp;MONTH($A256),Rates!$A$2:$I$181,5,FALSE()),0))</f>
        <v>0</v>
      </c>
      <c r="I256" s="14" t="n">
        <f aca="false">IF(OR($A256="",$A256&gt;=Parameters!$B$14),1,IF(AND(H256&gt;0,CityData!F3&lt;=H256),1,0))</f>
        <v>1</v>
      </c>
      <c r="J256" s="14" t="n">
        <f aca="false">IF($A256="",0,IFERROR(VLOOKUP((YEAR($A256)+IF(MONTH($A256)&gt;=10,1,0))&amp;"|Chicago|"&amp;MONTH($A256),Rates!$A$2:$I$181,6,FALSE()),0))</f>
        <v>0</v>
      </c>
      <c r="K256" s="14" t="n">
        <f aca="false">IF(J256=0,0,VLOOKUP(J256,MIE_Components!$A$2:$F$6,2,FALSE()))</f>
        <v>0</v>
      </c>
      <c r="L256" s="14" t="n">
        <f aca="false">IF(J256=0,0,VLOOKUP(J256,MIE_Components!$A$2:$F$6,3,FALSE()))</f>
        <v>0</v>
      </c>
      <c r="M256" s="14" t="n">
        <f aca="false">IF(J256=0,0,VLOOKUP(J256,MIE_Components!$A$2:$F$6,4,FALSE()))</f>
        <v>0</v>
      </c>
      <c r="N256" s="14" t="n">
        <f aca="false">IF(OR($A256="",J256=0),0,MAX(5,J256*IF(OR($A256=Parameters!$B$13,$A256=Parameters!$B$14),0.75,1)-(IF(AND($A256=DATE(2026,11,29),NOV29BF="Yes"),K256,0)+IF(OR($A256=DATE(2026,11,29),$A256=DATE(2026,11,30),$A256=DATE(2026,12,1),$A256=DATE(2026,12,2)),L256,0)+IF(OR($A256=DATE(2026,11,28),$A256=DATE(2026,12,1)),M256,0))))</f>
        <v>0</v>
      </c>
      <c r="O256" s="14" t="n">
        <f aca="false">IF(AND($A256&lt;&gt;"",$A256&lt;Parameters!$B$14),CityData!F4*(1+TAXRATE),0)</f>
        <v>0</v>
      </c>
      <c r="P256" s="14" t="n">
        <f aca="false">IF($A256="",0,IFERROR(VLOOKUP((YEAR($A256)+IF(MONTH($A256)&gt;=10,1,0))&amp;"|Chicago|"&amp;MONTH($A256),Rates!$A$2:$I$181,5,FALSE()),0))</f>
        <v>0</v>
      </c>
      <c r="Q256" s="14" t="n">
        <f aca="false">IF(OR($A256="",$A256&gt;=Parameters!$B$14),1,IF(AND(P256&gt;0,CityData!F4&lt;=P256),1,0))</f>
        <v>1</v>
      </c>
      <c r="R256" s="14" t="n">
        <f aca="false">IF($A256="",0,IFERROR(VLOOKUP((YEAR($A256)+IF(MONTH($A256)&gt;=10,1,0))&amp;"|Denver|"&amp;MONTH($A256),Rates!$A$2:$I$181,6,FALSE()),0))</f>
        <v>0</v>
      </c>
      <c r="S256" s="14" t="n">
        <f aca="false">IF(R256=0,0,VLOOKUP(R256,MIE_Components!$A$2:$F$6,2,FALSE()))</f>
        <v>0</v>
      </c>
      <c r="T256" s="14" t="n">
        <f aca="false">IF(R256=0,0,VLOOKUP(R256,MIE_Components!$A$2:$F$6,3,FALSE()))</f>
        <v>0</v>
      </c>
      <c r="U256" s="14" t="n">
        <f aca="false">IF(R256=0,0,VLOOKUP(R256,MIE_Components!$A$2:$F$6,4,FALSE()))</f>
        <v>0</v>
      </c>
      <c r="V256" s="14" t="n">
        <f aca="false">IF(OR($A256="",R256=0),0,MAX(5,R256*IF(OR($A256=Parameters!$B$13,$A256=Parameters!$B$14),0.75,1)-(IF(AND($A256=DATE(2026,11,29),NOV29BF="Yes"),S256,0)+IF(OR($A256=DATE(2026,11,29),$A256=DATE(2026,11,30),$A256=DATE(2026,12,1),$A256=DATE(2026,12,2)),T256,0)+IF(OR($A256=DATE(2026,11,28),$A256=DATE(2026,12,1)),U256,0))))</f>
        <v>0</v>
      </c>
      <c r="W256" s="14" t="n">
        <f aca="false">IF(AND($A256&lt;&gt;"",$A256&lt;Parameters!$B$14),CityData!F5*(1+TAXRATE),0)</f>
        <v>0</v>
      </c>
      <c r="X256" s="14" t="n">
        <f aca="false">IF($A256="",0,IFERROR(VLOOKUP((YEAR($A256)+IF(MONTH($A256)&gt;=10,1,0))&amp;"|Denver|"&amp;MONTH($A256),Rates!$A$2:$I$181,5,FALSE()),0))</f>
        <v>0</v>
      </c>
      <c r="Y256" s="14" t="n">
        <f aca="false">IF(OR($A256="",$A256&gt;=Parameters!$B$14),1,IF(AND(X256&gt;0,CityData!F5&lt;=X256),1,0))</f>
        <v>1</v>
      </c>
      <c r="Z256" s="14" t="n">
        <f aca="false">IF($A256="",0,IFERROR(VLOOKUP((YEAR($A256)+IF(MONTH($A256)&gt;=10,1,0))&amp;"|Phoenix|"&amp;MONTH($A256),Rates!$A$2:$I$181,6,FALSE()),0))</f>
        <v>0</v>
      </c>
      <c r="AA256" s="14" t="n">
        <f aca="false">IF(Z256=0,0,VLOOKUP(Z256,MIE_Components!$A$2:$F$6,2,FALSE()))</f>
        <v>0</v>
      </c>
      <c r="AB256" s="14" t="n">
        <f aca="false">IF(Z256=0,0,VLOOKUP(Z256,MIE_Components!$A$2:$F$6,3,FALSE()))</f>
        <v>0</v>
      </c>
      <c r="AC256" s="14" t="n">
        <f aca="false">IF(Z256=0,0,VLOOKUP(Z256,MIE_Components!$A$2:$F$6,4,FALSE()))</f>
        <v>0</v>
      </c>
      <c r="AD256" s="14" t="n">
        <f aca="false">IF(OR($A256="",Z256=0),0,MAX(5,Z256*IF(OR($A256=Parameters!$B$13,$A256=Parameters!$B$14),0.75,1)-(IF(AND($A256=DATE(2026,11,29),NOV29BF="Yes"),AA256,0)+IF(OR($A256=DATE(2026,11,29),$A256=DATE(2026,11,30),$A256=DATE(2026,12,1),$A256=DATE(2026,12,2)),AB256,0)+IF(OR($A256=DATE(2026,11,28),$A256=DATE(2026,12,1)),AC256,0))))</f>
        <v>0</v>
      </c>
      <c r="AE256" s="14" t="n">
        <f aca="false">IF(AND($A256&lt;&gt;"",$A256&lt;Parameters!$B$14),CityData!F6*(1+TAXRATE),0)</f>
        <v>0</v>
      </c>
      <c r="AF256" s="14" t="n">
        <f aca="false">IF($A256="",0,IFERROR(VLOOKUP((YEAR($A256)+IF(MONTH($A256)&gt;=10,1,0))&amp;"|Phoenix|"&amp;MONTH($A256),Rates!$A$2:$I$181,5,FALSE()),0))</f>
        <v>0</v>
      </c>
      <c r="AG256" s="14" t="n">
        <f aca="false">IF(OR($A256="",$A256&gt;=Parameters!$B$14),1,IF(AND(AF256&gt;0,CityData!F6&lt;=AF256),1,0))</f>
        <v>1</v>
      </c>
      <c r="AH256" s="14" t="n">
        <f aca="false">IF($A256="",0,IFERROR(VLOOKUP((YEAR($A256)+IF(MONTH($A256)&gt;=10,1,0))&amp;"|Seattle|"&amp;MONTH($A256),Rates!$A$2:$I$181,6,FALSE()),0))</f>
        <v>0</v>
      </c>
      <c r="AI256" s="14" t="n">
        <f aca="false">IF(AH256=0,0,VLOOKUP(AH256,MIE_Components!$A$2:$F$6,2,FALSE()))</f>
        <v>0</v>
      </c>
      <c r="AJ256" s="14" t="n">
        <f aca="false">IF(AH256=0,0,VLOOKUP(AH256,MIE_Components!$A$2:$F$6,3,FALSE()))</f>
        <v>0</v>
      </c>
      <c r="AK256" s="14" t="n">
        <f aca="false">IF(AH256=0,0,VLOOKUP(AH256,MIE_Components!$A$2:$F$6,4,FALSE()))</f>
        <v>0</v>
      </c>
      <c r="AL256" s="14" t="n">
        <f aca="false">IF(OR($A256="",AH256=0),0,MAX(5,AH256*IF(OR($A256=Parameters!$B$13,$A256=Parameters!$B$14),0.75,1)-(IF(AND($A256=DATE(2026,11,29),NOV29BF="Yes"),AI256,0)+IF(OR($A256=DATE(2026,11,29),$A256=DATE(2026,11,30),$A256=DATE(2026,12,1),$A256=DATE(2026,12,2)),AJ256,0)+IF(OR($A256=DATE(2026,11,28),$A256=DATE(2026,12,1)),AK256,0))))</f>
        <v>0</v>
      </c>
      <c r="AM256" s="14" t="n">
        <f aca="false">IF(AND($A256&lt;&gt;"",$A256&lt;Parameters!$B$14),CityData!F7*(1+TAXRATE),0)</f>
        <v>0</v>
      </c>
      <c r="AN256" s="14" t="n">
        <f aca="false">IF($A256="",0,IFERROR(VLOOKUP((YEAR($A256)+IF(MONTH($A256)&gt;=10,1,0))&amp;"|Seattle|"&amp;MONTH($A256),Rates!$A$2:$I$181,5,FALSE()),0))</f>
        <v>0</v>
      </c>
      <c r="AO256" s="14" t="n">
        <f aca="false">IF(OR($A256="",$A256&gt;=Parameters!$B$14),1,IF(AND(AN256&gt;0,CityData!F7&lt;=AN256),1,0))</f>
        <v>1</v>
      </c>
    </row>
    <row r="257" customFormat="false" ht="15" hidden="false" customHeight="true" outlineLevel="0" collapsed="false">
      <c r="A257" s="23" t="str">
        <f aca="false">IF(AND(Parameters!$B$14&gt;=Parameters!$B$13,ROW()-2&lt;=Parameters!$B$14-Parameters!$B$13),Parameters!$B$13+ROW()-2,"")</f>
        <v/>
      </c>
      <c r="B257" s="14" t="n">
        <f aca="false">IF($A257="",0,IFERROR(VLOOKUP((YEAR($A257)+IF(MONTH($A257)&gt;=10,1,0))&amp;"|Boston|"&amp;MONTH($A257),Rates!$A$2:$I$181,6,FALSE()),0))</f>
        <v>0</v>
      </c>
      <c r="C257" s="14" t="n">
        <f aca="false">IF(B257=0,0,VLOOKUP(B257,MIE_Components!$A$2:$F$6,2,FALSE()))</f>
        <v>0</v>
      </c>
      <c r="D257" s="14" t="n">
        <f aca="false">IF(B257=0,0,VLOOKUP(B257,MIE_Components!$A$2:$F$6,3,FALSE()))</f>
        <v>0</v>
      </c>
      <c r="E257" s="14" t="n">
        <f aca="false">IF(B257=0,0,VLOOKUP(B257,MIE_Components!$A$2:$F$6,4,FALSE()))</f>
        <v>0</v>
      </c>
      <c r="F257" s="14" t="n">
        <f aca="false">IF(OR($A257="",B257=0),0,MAX(5,B257*IF(OR($A257=Parameters!$B$13,$A257=Parameters!$B$14),0.75,1)-(IF(AND($A257=DATE(2026,11,29),NOV29BF="Yes"),C257,0)+IF(OR($A257=DATE(2026,11,29),$A257=DATE(2026,11,30),$A257=DATE(2026,12,1),$A257=DATE(2026,12,2)),D257,0)+IF(OR($A257=DATE(2026,11,28),$A257=DATE(2026,12,1)),E257,0))))</f>
        <v>0</v>
      </c>
      <c r="G257" s="14" t="n">
        <f aca="false">IF(AND($A257&lt;&gt;"",$A257&lt;Parameters!$B$14),CityData!F3*(1+TAXRATE),0)</f>
        <v>0</v>
      </c>
      <c r="H257" s="14" t="n">
        <f aca="false">IF($A257="",0,IFERROR(VLOOKUP((YEAR($A257)+IF(MONTH($A257)&gt;=10,1,0))&amp;"|Boston|"&amp;MONTH($A257),Rates!$A$2:$I$181,5,FALSE()),0))</f>
        <v>0</v>
      </c>
      <c r="I257" s="14" t="n">
        <f aca="false">IF(OR($A257="",$A257&gt;=Parameters!$B$14),1,IF(AND(H257&gt;0,CityData!F3&lt;=H257),1,0))</f>
        <v>1</v>
      </c>
      <c r="J257" s="14" t="n">
        <f aca="false">IF($A257="",0,IFERROR(VLOOKUP((YEAR($A257)+IF(MONTH($A257)&gt;=10,1,0))&amp;"|Chicago|"&amp;MONTH($A257),Rates!$A$2:$I$181,6,FALSE()),0))</f>
        <v>0</v>
      </c>
      <c r="K257" s="14" t="n">
        <f aca="false">IF(J257=0,0,VLOOKUP(J257,MIE_Components!$A$2:$F$6,2,FALSE()))</f>
        <v>0</v>
      </c>
      <c r="L257" s="14" t="n">
        <f aca="false">IF(J257=0,0,VLOOKUP(J257,MIE_Components!$A$2:$F$6,3,FALSE()))</f>
        <v>0</v>
      </c>
      <c r="M257" s="14" t="n">
        <f aca="false">IF(J257=0,0,VLOOKUP(J257,MIE_Components!$A$2:$F$6,4,FALSE()))</f>
        <v>0</v>
      </c>
      <c r="N257" s="14" t="n">
        <f aca="false">IF(OR($A257="",J257=0),0,MAX(5,J257*IF(OR($A257=Parameters!$B$13,$A257=Parameters!$B$14),0.75,1)-(IF(AND($A257=DATE(2026,11,29),NOV29BF="Yes"),K257,0)+IF(OR($A257=DATE(2026,11,29),$A257=DATE(2026,11,30),$A257=DATE(2026,12,1),$A257=DATE(2026,12,2)),L257,0)+IF(OR($A257=DATE(2026,11,28),$A257=DATE(2026,12,1)),M257,0))))</f>
        <v>0</v>
      </c>
      <c r="O257" s="14" t="n">
        <f aca="false">IF(AND($A257&lt;&gt;"",$A257&lt;Parameters!$B$14),CityData!F4*(1+TAXRATE),0)</f>
        <v>0</v>
      </c>
      <c r="P257" s="14" t="n">
        <f aca="false">IF($A257="",0,IFERROR(VLOOKUP((YEAR($A257)+IF(MONTH($A257)&gt;=10,1,0))&amp;"|Chicago|"&amp;MONTH($A257),Rates!$A$2:$I$181,5,FALSE()),0))</f>
        <v>0</v>
      </c>
      <c r="Q257" s="14" t="n">
        <f aca="false">IF(OR($A257="",$A257&gt;=Parameters!$B$14),1,IF(AND(P257&gt;0,CityData!F4&lt;=P257),1,0))</f>
        <v>1</v>
      </c>
      <c r="R257" s="14" t="n">
        <f aca="false">IF($A257="",0,IFERROR(VLOOKUP((YEAR($A257)+IF(MONTH($A257)&gt;=10,1,0))&amp;"|Denver|"&amp;MONTH($A257),Rates!$A$2:$I$181,6,FALSE()),0))</f>
        <v>0</v>
      </c>
      <c r="S257" s="14" t="n">
        <f aca="false">IF(R257=0,0,VLOOKUP(R257,MIE_Components!$A$2:$F$6,2,FALSE()))</f>
        <v>0</v>
      </c>
      <c r="T257" s="14" t="n">
        <f aca="false">IF(R257=0,0,VLOOKUP(R257,MIE_Components!$A$2:$F$6,3,FALSE()))</f>
        <v>0</v>
      </c>
      <c r="U257" s="14" t="n">
        <f aca="false">IF(R257=0,0,VLOOKUP(R257,MIE_Components!$A$2:$F$6,4,FALSE()))</f>
        <v>0</v>
      </c>
      <c r="V257" s="14" t="n">
        <f aca="false">IF(OR($A257="",R257=0),0,MAX(5,R257*IF(OR($A257=Parameters!$B$13,$A257=Parameters!$B$14),0.75,1)-(IF(AND($A257=DATE(2026,11,29),NOV29BF="Yes"),S257,0)+IF(OR($A257=DATE(2026,11,29),$A257=DATE(2026,11,30),$A257=DATE(2026,12,1),$A257=DATE(2026,12,2)),T257,0)+IF(OR($A257=DATE(2026,11,28),$A257=DATE(2026,12,1)),U257,0))))</f>
        <v>0</v>
      </c>
      <c r="W257" s="14" t="n">
        <f aca="false">IF(AND($A257&lt;&gt;"",$A257&lt;Parameters!$B$14),CityData!F5*(1+TAXRATE),0)</f>
        <v>0</v>
      </c>
      <c r="X257" s="14" t="n">
        <f aca="false">IF($A257="",0,IFERROR(VLOOKUP((YEAR($A257)+IF(MONTH($A257)&gt;=10,1,0))&amp;"|Denver|"&amp;MONTH($A257),Rates!$A$2:$I$181,5,FALSE()),0))</f>
        <v>0</v>
      </c>
      <c r="Y257" s="14" t="n">
        <f aca="false">IF(OR($A257="",$A257&gt;=Parameters!$B$14),1,IF(AND(X257&gt;0,CityData!F5&lt;=X257),1,0))</f>
        <v>1</v>
      </c>
      <c r="Z257" s="14" t="n">
        <f aca="false">IF($A257="",0,IFERROR(VLOOKUP((YEAR($A257)+IF(MONTH($A257)&gt;=10,1,0))&amp;"|Phoenix|"&amp;MONTH($A257),Rates!$A$2:$I$181,6,FALSE()),0))</f>
        <v>0</v>
      </c>
      <c r="AA257" s="14" t="n">
        <f aca="false">IF(Z257=0,0,VLOOKUP(Z257,MIE_Components!$A$2:$F$6,2,FALSE()))</f>
        <v>0</v>
      </c>
      <c r="AB257" s="14" t="n">
        <f aca="false">IF(Z257=0,0,VLOOKUP(Z257,MIE_Components!$A$2:$F$6,3,FALSE()))</f>
        <v>0</v>
      </c>
      <c r="AC257" s="14" t="n">
        <f aca="false">IF(Z257=0,0,VLOOKUP(Z257,MIE_Components!$A$2:$F$6,4,FALSE()))</f>
        <v>0</v>
      </c>
      <c r="AD257" s="14" t="n">
        <f aca="false">IF(OR($A257="",Z257=0),0,MAX(5,Z257*IF(OR($A257=Parameters!$B$13,$A257=Parameters!$B$14),0.75,1)-(IF(AND($A257=DATE(2026,11,29),NOV29BF="Yes"),AA257,0)+IF(OR($A257=DATE(2026,11,29),$A257=DATE(2026,11,30),$A257=DATE(2026,12,1),$A257=DATE(2026,12,2)),AB257,0)+IF(OR($A257=DATE(2026,11,28),$A257=DATE(2026,12,1)),AC257,0))))</f>
        <v>0</v>
      </c>
      <c r="AE257" s="14" t="n">
        <f aca="false">IF(AND($A257&lt;&gt;"",$A257&lt;Parameters!$B$14),CityData!F6*(1+TAXRATE),0)</f>
        <v>0</v>
      </c>
      <c r="AF257" s="14" t="n">
        <f aca="false">IF($A257="",0,IFERROR(VLOOKUP((YEAR($A257)+IF(MONTH($A257)&gt;=10,1,0))&amp;"|Phoenix|"&amp;MONTH($A257),Rates!$A$2:$I$181,5,FALSE()),0))</f>
        <v>0</v>
      </c>
      <c r="AG257" s="14" t="n">
        <f aca="false">IF(OR($A257="",$A257&gt;=Parameters!$B$14),1,IF(AND(AF257&gt;0,CityData!F6&lt;=AF257),1,0))</f>
        <v>1</v>
      </c>
      <c r="AH257" s="14" t="n">
        <f aca="false">IF($A257="",0,IFERROR(VLOOKUP((YEAR($A257)+IF(MONTH($A257)&gt;=10,1,0))&amp;"|Seattle|"&amp;MONTH($A257),Rates!$A$2:$I$181,6,FALSE()),0))</f>
        <v>0</v>
      </c>
      <c r="AI257" s="14" t="n">
        <f aca="false">IF(AH257=0,0,VLOOKUP(AH257,MIE_Components!$A$2:$F$6,2,FALSE()))</f>
        <v>0</v>
      </c>
      <c r="AJ257" s="14" t="n">
        <f aca="false">IF(AH257=0,0,VLOOKUP(AH257,MIE_Components!$A$2:$F$6,3,FALSE()))</f>
        <v>0</v>
      </c>
      <c r="AK257" s="14" t="n">
        <f aca="false">IF(AH257=0,0,VLOOKUP(AH257,MIE_Components!$A$2:$F$6,4,FALSE()))</f>
        <v>0</v>
      </c>
      <c r="AL257" s="14" t="n">
        <f aca="false">IF(OR($A257="",AH257=0),0,MAX(5,AH257*IF(OR($A257=Parameters!$B$13,$A257=Parameters!$B$14),0.75,1)-(IF(AND($A257=DATE(2026,11,29),NOV29BF="Yes"),AI257,0)+IF(OR($A257=DATE(2026,11,29),$A257=DATE(2026,11,30),$A257=DATE(2026,12,1),$A257=DATE(2026,12,2)),AJ257,0)+IF(OR($A257=DATE(2026,11,28),$A257=DATE(2026,12,1)),AK257,0))))</f>
        <v>0</v>
      </c>
      <c r="AM257" s="14" t="n">
        <f aca="false">IF(AND($A257&lt;&gt;"",$A257&lt;Parameters!$B$14),CityData!F7*(1+TAXRATE),0)</f>
        <v>0</v>
      </c>
      <c r="AN257" s="14" t="n">
        <f aca="false">IF($A257="",0,IFERROR(VLOOKUP((YEAR($A257)+IF(MONTH($A257)&gt;=10,1,0))&amp;"|Seattle|"&amp;MONTH($A257),Rates!$A$2:$I$181,5,FALSE()),0))</f>
        <v>0</v>
      </c>
      <c r="AO257" s="14" t="n">
        <f aca="false">IF(OR($A257="",$A257&gt;=Parameters!$B$14),1,IF(AND(AN257&gt;0,CityData!F7&lt;=AN257),1,0))</f>
        <v>1</v>
      </c>
    </row>
    <row r="258" customFormat="false" ht="15" hidden="false" customHeight="true" outlineLevel="0" collapsed="false">
      <c r="A258" s="23" t="str">
        <f aca="false">IF(AND(Parameters!$B$14&gt;=Parameters!$B$13,ROW()-2&lt;=Parameters!$B$14-Parameters!$B$13),Parameters!$B$13+ROW()-2,"")</f>
        <v/>
      </c>
      <c r="B258" s="14" t="n">
        <f aca="false">IF($A258="",0,IFERROR(VLOOKUP((YEAR($A258)+IF(MONTH($A258)&gt;=10,1,0))&amp;"|Boston|"&amp;MONTH($A258),Rates!$A$2:$I$181,6,FALSE()),0))</f>
        <v>0</v>
      </c>
      <c r="C258" s="14" t="n">
        <f aca="false">IF(B258=0,0,VLOOKUP(B258,MIE_Components!$A$2:$F$6,2,FALSE()))</f>
        <v>0</v>
      </c>
      <c r="D258" s="14" t="n">
        <f aca="false">IF(B258=0,0,VLOOKUP(B258,MIE_Components!$A$2:$F$6,3,FALSE()))</f>
        <v>0</v>
      </c>
      <c r="E258" s="14" t="n">
        <f aca="false">IF(B258=0,0,VLOOKUP(B258,MIE_Components!$A$2:$F$6,4,FALSE()))</f>
        <v>0</v>
      </c>
      <c r="F258" s="14" t="n">
        <f aca="false">IF(OR($A258="",B258=0),0,MAX(5,B258*IF(OR($A258=Parameters!$B$13,$A258=Parameters!$B$14),0.75,1)-(IF(AND($A258=DATE(2026,11,29),NOV29BF="Yes"),C258,0)+IF(OR($A258=DATE(2026,11,29),$A258=DATE(2026,11,30),$A258=DATE(2026,12,1),$A258=DATE(2026,12,2)),D258,0)+IF(OR($A258=DATE(2026,11,28),$A258=DATE(2026,12,1)),E258,0))))</f>
        <v>0</v>
      </c>
      <c r="G258" s="14" t="n">
        <f aca="false">IF(AND($A258&lt;&gt;"",$A258&lt;Parameters!$B$14),CityData!F3*(1+TAXRATE),0)</f>
        <v>0</v>
      </c>
      <c r="H258" s="14" t="n">
        <f aca="false">IF($A258="",0,IFERROR(VLOOKUP((YEAR($A258)+IF(MONTH($A258)&gt;=10,1,0))&amp;"|Boston|"&amp;MONTH($A258),Rates!$A$2:$I$181,5,FALSE()),0))</f>
        <v>0</v>
      </c>
      <c r="I258" s="14" t="n">
        <f aca="false">IF(OR($A258="",$A258&gt;=Parameters!$B$14),1,IF(AND(H258&gt;0,CityData!F3&lt;=H258),1,0))</f>
        <v>1</v>
      </c>
      <c r="J258" s="14" t="n">
        <f aca="false">IF($A258="",0,IFERROR(VLOOKUP((YEAR($A258)+IF(MONTH($A258)&gt;=10,1,0))&amp;"|Chicago|"&amp;MONTH($A258),Rates!$A$2:$I$181,6,FALSE()),0))</f>
        <v>0</v>
      </c>
      <c r="K258" s="14" t="n">
        <f aca="false">IF(J258=0,0,VLOOKUP(J258,MIE_Components!$A$2:$F$6,2,FALSE()))</f>
        <v>0</v>
      </c>
      <c r="L258" s="14" t="n">
        <f aca="false">IF(J258=0,0,VLOOKUP(J258,MIE_Components!$A$2:$F$6,3,FALSE()))</f>
        <v>0</v>
      </c>
      <c r="M258" s="14" t="n">
        <f aca="false">IF(J258=0,0,VLOOKUP(J258,MIE_Components!$A$2:$F$6,4,FALSE()))</f>
        <v>0</v>
      </c>
      <c r="N258" s="14" t="n">
        <f aca="false">IF(OR($A258="",J258=0),0,MAX(5,J258*IF(OR($A258=Parameters!$B$13,$A258=Parameters!$B$14),0.75,1)-(IF(AND($A258=DATE(2026,11,29),NOV29BF="Yes"),K258,0)+IF(OR($A258=DATE(2026,11,29),$A258=DATE(2026,11,30),$A258=DATE(2026,12,1),$A258=DATE(2026,12,2)),L258,0)+IF(OR($A258=DATE(2026,11,28),$A258=DATE(2026,12,1)),M258,0))))</f>
        <v>0</v>
      </c>
      <c r="O258" s="14" t="n">
        <f aca="false">IF(AND($A258&lt;&gt;"",$A258&lt;Parameters!$B$14),CityData!F4*(1+TAXRATE),0)</f>
        <v>0</v>
      </c>
      <c r="P258" s="14" t="n">
        <f aca="false">IF($A258="",0,IFERROR(VLOOKUP((YEAR($A258)+IF(MONTH($A258)&gt;=10,1,0))&amp;"|Chicago|"&amp;MONTH($A258),Rates!$A$2:$I$181,5,FALSE()),0))</f>
        <v>0</v>
      </c>
      <c r="Q258" s="14" t="n">
        <f aca="false">IF(OR($A258="",$A258&gt;=Parameters!$B$14),1,IF(AND(P258&gt;0,CityData!F4&lt;=P258),1,0))</f>
        <v>1</v>
      </c>
      <c r="R258" s="14" t="n">
        <f aca="false">IF($A258="",0,IFERROR(VLOOKUP((YEAR($A258)+IF(MONTH($A258)&gt;=10,1,0))&amp;"|Denver|"&amp;MONTH($A258),Rates!$A$2:$I$181,6,FALSE()),0))</f>
        <v>0</v>
      </c>
      <c r="S258" s="14" t="n">
        <f aca="false">IF(R258=0,0,VLOOKUP(R258,MIE_Components!$A$2:$F$6,2,FALSE()))</f>
        <v>0</v>
      </c>
      <c r="T258" s="14" t="n">
        <f aca="false">IF(R258=0,0,VLOOKUP(R258,MIE_Components!$A$2:$F$6,3,FALSE()))</f>
        <v>0</v>
      </c>
      <c r="U258" s="14" t="n">
        <f aca="false">IF(R258=0,0,VLOOKUP(R258,MIE_Components!$A$2:$F$6,4,FALSE()))</f>
        <v>0</v>
      </c>
      <c r="V258" s="14" t="n">
        <f aca="false">IF(OR($A258="",R258=0),0,MAX(5,R258*IF(OR($A258=Parameters!$B$13,$A258=Parameters!$B$14),0.75,1)-(IF(AND($A258=DATE(2026,11,29),NOV29BF="Yes"),S258,0)+IF(OR($A258=DATE(2026,11,29),$A258=DATE(2026,11,30),$A258=DATE(2026,12,1),$A258=DATE(2026,12,2)),T258,0)+IF(OR($A258=DATE(2026,11,28),$A258=DATE(2026,12,1)),U258,0))))</f>
        <v>0</v>
      </c>
      <c r="W258" s="14" t="n">
        <f aca="false">IF(AND($A258&lt;&gt;"",$A258&lt;Parameters!$B$14),CityData!F5*(1+TAXRATE),0)</f>
        <v>0</v>
      </c>
      <c r="X258" s="14" t="n">
        <f aca="false">IF($A258="",0,IFERROR(VLOOKUP((YEAR($A258)+IF(MONTH($A258)&gt;=10,1,0))&amp;"|Denver|"&amp;MONTH($A258),Rates!$A$2:$I$181,5,FALSE()),0))</f>
        <v>0</v>
      </c>
      <c r="Y258" s="14" t="n">
        <f aca="false">IF(OR($A258="",$A258&gt;=Parameters!$B$14),1,IF(AND(X258&gt;0,CityData!F5&lt;=X258),1,0))</f>
        <v>1</v>
      </c>
      <c r="Z258" s="14" t="n">
        <f aca="false">IF($A258="",0,IFERROR(VLOOKUP((YEAR($A258)+IF(MONTH($A258)&gt;=10,1,0))&amp;"|Phoenix|"&amp;MONTH($A258),Rates!$A$2:$I$181,6,FALSE()),0))</f>
        <v>0</v>
      </c>
      <c r="AA258" s="14" t="n">
        <f aca="false">IF(Z258=0,0,VLOOKUP(Z258,MIE_Components!$A$2:$F$6,2,FALSE()))</f>
        <v>0</v>
      </c>
      <c r="AB258" s="14" t="n">
        <f aca="false">IF(Z258=0,0,VLOOKUP(Z258,MIE_Components!$A$2:$F$6,3,FALSE()))</f>
        <v>0</v>
      </c>
      <c r="AC258" s="14" t="n">
        <f aca="false">IF(Z258=0,0,VLOOKUP(Z258,MIE_Components!$A$2:$F$6,4,FALSE()))</f>
        <v>0</v>
      </c>
      <c r="AD258" s="14" t="n">
        <f aca="false">IF(OR($A258="",Z258=0),0,MAX(5,Z258*IF(OR($A258=Parameters!$B$13,$A258=Parameters!$B$14),0.75,1)-(IF(AND($A258=DATE(2026,11,29),NOV29BF="Yes"),AA258,0)+IF(OR($A258=DATE(2026,11,29),$A258=DATE(2026,11,30),$A258=DATE(2026,12,1),$A258=DATE(2026,12,2)),AB258,0)+IF(OR($A258=DATE(2026,11,28),$A258=DATE(2026,12,1)),AC258,0))))</f>
        <v>0</v>
      </c>
      <c r="AE258" s="14" t="n">
        <f aca="false">IF(AND($A258&lt;&gt;"",$A258&lt;Parameters!$B$14),CityData!F6*(1+TAXRATE),0)</f>
        <v>0</v>
      </c>
      <c r="AF258" s="14" t="n">
        <f aca="false">IF($A258="",0,IFERROR(VLOOKUP((YEAR($A258)+IF(MONTH($A258)&gt;=10,1,0))&amp;"|Phoenix|"&amp;MONTH($A258),Rates!$A$2:$I$181,5,FALSE()),0))</f>
        <v>0</v>
      </c>
      <c r="AG258" s="14" t="n">
        <f aca="false">IF(OR($A258="",$A258&gt;=Parameters!$B$14),1,IF(AND(AF258&gt;0,CityData!F6&lt;=AF258),1,0))</f>
        <v>1</v>
      </c>
      <c r="AH258" s="14" t="n">
        <f aca="false">IF($A258="",0,IFERROR(VLOOKUP((YEAR($A258)+IF(MONTH($A258)&gt;=10,1,0))&amp;"|Seattle|"&amp;MONTH($A258),Rates!$A$2:$I$181,6,FALSE()),0))</f>
        <v>0</v>
      </c>
      <c r="AI258" s="14" t="n">
        <f aca="false">IF(AH258=0,0,VLOOKUP(AH258,MIE_Components!$A$2:$F$6,2,FALSE()))</f>
        <v>0</v>
      </c>
      <c r="AJ258" s="14" t="n">
        <f aca="false">IF(AH258=0,0,VLOOKUP(AH258,MIE_Components!$A$2:$F$6,3,FALSE()))</f>
        <v>0</v>
      </c>
      <c r="AK258" s="14" t="n">
        <f aca="false">IF(AH258=0,0,VLOOKUP(AH258,MIE_Components!$A$2:$F$6,4,FALSE()))</f>
        <v>0</v>
      </c>
      <c r="AL258" s="14" t="n">
        <f aca="false">IF(OR($A258="",AH258=0),0,MAX(5,AH258*IF(OR($A258=Parameters!$B$13,$A258=Parameters!$B$14),0.75,1)-(IF(AND($A258=DATE(2026,11,29),NOV29BF="Yes"),AI258,0)+IF(OR($A258=DATE(2026,11,29),$A258=DATE(2026,11,30),$A258=DATE(2026,12,1),$A258=DATE(2026,12,2)),AJ258,0)+IF(OR($A258=DATE(2026,11,28),$A258=DATE(2026,12,1)),AK258,0))))</f>
        <v>0</v>
      </c>
      <c r="AM258" s="14" t="n">
        <f aca="false">IF(AND($A258&lt;&gt;"",$A258&lt;Parameters!$B$14),CityData!F7*(1+TAXRATE),0)</f>
        <v>0</v>
      </c>
      <c r="AN258" s="14" t="n">
        <f aca="false">IF($A258="",0,IFERROR(VLOOKUP((YEAR($A258)+IF(MONTH($A258)&gt;=10,1,0))&amp;"|Seattle|"&amp;MONTH($A258),Rates!$A$2:$I$181,5,FALSE()),0))</f>
        <v>0</v>
      </c>
      <c r="AO258" s="14" t="n">
        <f aca="false">IF(OR($A258="",$A258&gt;=Parameters!$B$14),1,IF(AND(AN258&gt;0,CityData!F7&lt;=AN258),1,0))</f>
        <v>1</v>
      </c>
    </row>
    <row r="259" customFormat="false" ht="15" hidden="false" customHeight="true" outlineLevel="0" collapsed="false">
      <c r="A259" s="23" t="str">
        <f aca="false">IF(AND(Parameters!$B$14&gt;=Parameters!$B$13,ROW()-2&lt;=Parameters!$B$14-Parameters!$B$13),Parameters!$B$13+ROW()-2,"")</f>
        <v/>
      </c>
      <c r="B259" s="14" t="n">
        <f aca="false">IF($A259="",0,IFERROR(VLOOKUP((YEAR($A259)+IF(MONTH($A259)&gt;=10,1,0))&amp;"|Boston|"&amp;MONTH($A259),Rates!$A$2:$I$181,6,FALSE()),0))</f>
        <v>0</v>
      </c>
      <c r="C259" s="14" t="n">
        <f aca="false">IF(B259=0,0,VLOOKUP(B259,MIE_Components!$A$2:$F$6,2,FALSE()))</f>
        <v>0</v>
      </c>
      <c r="D259" s="14" t="n">
        <f aca="false">IF(B259=0,0,VLOOKUP(B259,MIE_Components!$A$2:$F$6,3,FALSE()))</f>
        <v>0</v>
      </c>
      <c r="E259" s="14" t="n">
        <f aca="false">IF(B259=0,0,VLOOKUP(B259,MIE_Components!$A$2:$F$6,4,FALSE()))</f>
        <v>0</v>
      </c>
      <c r="F259" s="14" t="n">
        <f aca="false">IF(OR($A259="",B259=0),0,MAX(5,B259*IF(OR($A259=Parameters!$B$13,$A259=Parameters!$B$14),0.75,1)-(IF(AND($A259=DATE(2026,11,29),NOV29BF="Yes"),C259,0)+IF(OR($A259=DATE(2026,11,29),$A259=DATE(2026,11,30),$A259=DATE(2026,12,1),$A259=DATE(2026,12,2)),D259,0)+IF(OR($A259=DATE(2026,11,28),$A259=DATE(2026,12,1)),E259,0))))</f>
        <v>0</v>
      </c>
      <c r="G259" s="14" t="n">
        <f aca="false">IF(AND($A259&lt;&gt;"",$A259&lt;Parameters!$B$14),CityData!F3*(1+TAXRATE),0)</f>
        <v>0</v>
      </c>
      <c r="H259" s="14" t="n">
        <f aca="false">IF($A259="",0,IFERROR(VLOOKUP((YEAR($A259)+IF(MONTH($A259)&gt;=10,1,0))&amp;"|Boston|"&amp;MONTH($A259),Rates!$A$2:$I$181,5,FALSE()),0))</f>
        <v>0</v>
      </c>
      <c r="I259" s="14" t="n">
        <f aca="false">IF(OR($A259="",$A259&gt;=Parameters!$B$14),1,IF(AND(H259&gt;0,CityData!F3&lt;=H259),1,0))</f>
        <v>1</v>
      </c>
      <c r="J259" s="14" t="n">
        <f aca="false">IF($A259="",0,IFERROR(VLOOKUP((YEAR($A259)+IF(MONTH($A259)&gt;=10,1,0))&amp;"|Chicago|"&amp;MONTH($A259),Rates!$A$2:$I$181,6,FALSE()),0))</f>
        <v>0</v>
      </c>
      <c r="K259" s="14" t="n">
        <f aca="false">IF(J259=0,0,VLOOKUP(J259,MIE_Components!$A$2:$F$6,2,FALSE()))</f>
        <v>0</v>
      </c>
      <c r="L259" s="14" t="n">
        <f aca="false">IF(J259=0,0,VLOOKUP(J259,MIE_Components!$A$2:$F$6,3,FALSE()))</f>
        <v>0</v>
      </c>
      <c r="M259" s="14" t="n">
        <f aca="false">IF(J259=0,0,VLOOKUP(J259,MIE_Components!$A$2:$F$6,4,FALSE()))</f>
        <v>0</v>
      </c>
      <c r="N259" s="14" t="n">
        <f aca="false">IF(OR($A259="",J259=0),0,MAX(5,J259*IF(OR($A259=Parameters!$B$13,$A259=Parameters!$B$14),0.75,1)-(IF(AND($A259=DATE(2026,11,29),NOV29BF="Yes"),K259,0)+IF(OR($A259=DATE(2026,11,29),$A259=DATE(2026,11,30),$A259=DATE(2026,12,1),$A259=DATE(2026,12,2)),L259,0)+IF(OR($A259=DATE(2026,11,28),$A259=DATE(2026,12,1)),M259,0))))</f>
        <v>0</v>
      </c>
      <c r="O259" s="14" t="n">
        <f aca="false">IF(AND($A259&lt;&gt;"",$A259&lt;Parameters!$B$14),CityData!F4*(1+TAXRATE),0)</f>
        <v>0</v>
      </c>
      <c r="P259" s="14" t="n">
        <f aca="false">IF($A259="",0,IFERROR(VLOOKUP((YEAR($A259)+IF(MONTH($A259)&gt;=10,1,0))&amp;"|Chicago|"&amp;MONTH($A259),Rates!$A$2:$I$181,5,FALSE()),0))</f>
        <v>0</v>
      </c>
      <c r="Q259" s="14" t="n">
        <f aca="false">IF(OR($A259="",$A259&gt;=Parameters!$B$14),1,IF(AND(P259&gt;0,CityData!F4&lt;=P259),1,0))</f>
        <v>1</v>
      </c>
      <c r="R259" s="14" t="n">
        <f aca="false">IF($A259="",0,IFERROR(VLOOKUP((YEAR($A259)+IF(MONTH($A259)&gt;=10,1,0))&amp;"|Denver|"&amp;MONTH($A259),Rates!$A$2:$I$181,6,FALSE()),0))</f>
        <v>0</v>
      </c>
      <c r="S259" s="14" t="n">
        <f aca="false">IF(R259=0,0,VLOOKUP(R259,MIE_Components!$A$2:$F$6,2,FALSE()))</f>
        <v>0</v>
      </c>
      <c r="T259" s="14" t="n">
        <f aca="false">IF(R259=0,0,VLOOKUP(R259,MIE_Components!$A$2:$F$6,3,FALSE()))</f>
        <v>0</v>
      </c>
      <c r="U259" s="14" t="n">
        <f aca="false">IF(R259=0,0,VLOOKUP(R259,MIE_Components!$A$2:$F$6,4,FALSE()))</f>
        <v>0</v>
      </c>
      <c r="V259" s="14" t="n">
        <f aca="false">IF(OR($A259="",R259=0),0,MAX(5,R259*IF(OR($A259=Parameters!$B$13,$A259=Parameters!$B$14),0.75,1)-(IF(AND($A259=DATE(2026,11,29),NOV29BF="Yes"),S259,0)+IF(OR($A259=DATE(2026,11,29),$A259=DATE(2026,11,30),$A259=DATE(2026,12,1),$A259=DATE(2026,12,2)),T259,0)+IF(OR($A259=DATE(2026,11,28),$A259=DATE(2026,12,1)),U259,0))))</f>
        <v>0</v>
      </c>
      <c r="W259" s="14" t="n">
        <f aca="false">IF(AND($A259&lt;&gt;"",$A259&lt;Parameters!$B$14),CityData!F5*(1+TAXRATE),0)</f>
        <v>0</v>
      </c>
      <c r="X259" s="14" t="n">
        <f aca="false">IF($A259="",0,IFERROR(VLOOKUP((YEAR($A259)+IF(MONTH($A259)&gt;=10,1,0))&amp;"|Denver|"&amp;MONTH($A259),Rates!$A$2:$I$181,5,FALSE()),0))</f>
        <v>0</v>
      </c>
      <c r="Y259" s="14" t="n">
        <f aca="false">IF(OR($A259="",$A259&gt;=Parameters!$B$14),1,IF(AND(X259&gt;0,CityData!F5&lt;=X259),1,0))</f>
        <v>1</v>
      </c>
      <c r="Z259" s="14" t="n">
        <f aca="false">IF($A259="",0,IFERROR(VLOOKUP((YEAR($A259)+IF(MONTH($A259)&gt;=10,1,0))&amp;"|Phoenix|"&amp;MONTH($A259),Rates!$A$2:$I$181,6,FALSE()),0))</f>
        <v>0</v>
      </c>
      <c r="AA259" s="14" t="n">
        <f aca="false">IF(Z259=0,0,VLOOKUP(Z259,MIE_Components!$A$2:$F$6,2,FALSE()))</f>
        <v>0</v>
      </c>
      <c r="AB259" s="14" t="n">
        <f aca="false">IF(Z259=0,0,VLOOKUP(Z259,MIE_Components!$A$2:$F$6,3,FALSE()))</f>
        <v>0</v>
      </c>
      <c r="AC259" s="14" t="n">
        <f aca="false">IF(Z259=0,0,VLOOKUP(Z259,MIE_Components!$A$2:$F$6,4,FALSE()))</f>
        <v>0</v>
      </c>
      <c r="AD259" s="14" t="n">
        <f aca="false">IF(OR($A259="",Z259=0),0,MAX(5,Z259*IF(OR($A259=Parameters!$B$13,$A259=Parameters!$B$14),0.75,1)-(IF(AND($A259=DATE(2026,11,29),NOV29BF="Yes"),AA259,0)+IF(OR($A259=DATE(2026,11,29),$A259=DATE(2026,11,30),$A259=DATE(2026,12,1),$A259=DATE(2026,12,2)),AB259,0)+IF(OR($A259=DATE(2026,11,28),$A259=DATE(2026,12,1)),AC259,0))))</f>
        <v>0</v>
      </c>
      <c r="AE259" s="14" t="n">
        <f aca="false">IF(AND($A259&lt;&gt;"",$A259&lt;Parameters!$B$14),CityData!F6*(1+TAXRATE),0)</f>
        <v>0</v>
      </c>
      <c r="AF259" s="14" t="n">
        <f aca="false">IF($A259="",0,IFERROR(VLOOKUP((YEAR($A259)+IF(MONTH($A259)&gt;=10,1,0))&amp;"|Phoenix|"&amp;MONTH($A259),Rates!$A$2:$I$181,5,FALSE()),0))</f>
        <v>0</v>
      </c>
      <c r="AG259" s="14" t="n">
        <f aca="false">IF(OR($A259="",$A259&gt;=Parameters!$B$14),1,IF(AND(AF259&gt;0,CityData!F6&lt;=AF259),1,0))</f>
        <v>1</v>
      </c>
      <c r="AH259" s="14" t="n">
        <f aca="false">IF($A259="",0,IFERROR(VLOOKUP((YEAR($A259)+IF(MONTH($A259)&gt;=10,1,0))&amp;"|Seattle|"&amp;MONTH($A259),Rates!$A$2:$I$181,6,FALSE()),0))</f>
        <v>0</v>
      </c>
      <c r="AI259" s="14" t="n">
        <f aca="false">IF(AH259=0,0,VLOOKUP(AH259,MIE_Components!$A$2:$F$6,2,FALSE()))</f>
        <v>0</v>
      </c>
      <c r="AJ259" s="14" t="n">
        <f aca="false">IF(AH259=0,0,VLOOKUP(AH259,MIE_Components!$A$2:$F$6,3,FALSE()))</f>
        <v>0</v>
      </c>
      <c r="AK259" s="14" t="n">
        <f aca="false">IF(AH259=0,0,VLOOKUP(AH259,MIE_Components!$A$2:$F$6,4,FALSE()))</f>
        <v>0</v>
      </c>
      <c r="AL259" s="14" t="n">
        <f aca="false">IF(OR($A259="",AH259=0),0,MAX(5,AH259*IF(OR($A259=Parameters!$B$13,$A259=Parameters!$B$14),0.75,1)-(IF(AND($A259=DATE(2026,11,29),NOV29BF="Yes"),AI259,0)+IF(OR($A259=DATE(2026,11,29),$A259=DATE(2026,11,30),$A259=DATE(2026,12,1),$A259=DATE(2026,12,2)),AJ259,0)+IF(OR($A259=DATE(2026,11,28),$A259=DATE(2026,12,1)),AK259,0))))</f>
        <v>0</v>
      </c>
      <c r="AM259" s="14" t="n">
        <f aca="false">IF(AND($A259&lt;&gt;"",$A259&lt;Parameters!$B$14),CityData!F7*(1+TAXRATE),0)</f>
        <v>0</v>
      </c>
      <c r="AN259" s="14" t="n">
        <f aca="false">IF($A259="",0,IFERROR(VLOOKUP((YEAR($A259)+IF(MONTH($A259)&gt;=10,1,0))&amp;"|Seattle|"&amp;MONTH($A259),Rates!$A$2:$I$181,5,FALSE()),0))</f>
        <v>0</v>
      </c>
      <c r="AO259" s="14" t="n">
        <f aca="false">IF(OR($A259="",$A259&gt;=Parameters!$B$14),1,IF(AND(AN259&gt;0,CityData!F7&lt;=AN259),1,0))</f>
        <v>1</v>
      </c>
    </row>
    <row r="260" customFormat="false" ht="15" hidden="false" customHeight="true" outlineLevel="0" collapsed="false">
      <c r="A260" s="23" t="str">
        <f aca="false">IF(AND(Parameters!$B$14&gt;=Parameters!$B$13,ROW()-2&lt;=Parameters!$B$14-Parameters!$B$13),Parameters!$B$13+ROW()-2,"")</f>
        <v/>
      </c>
      <c r="B260" s="14" t="n">
        <f aca="false">IF($A260="",0,IFERROR(VLOOKUP((YEAR($A260)+IF(MONTH($A260)&gt;=10,1,0))&amp;"|Boston|"&amp;MONTH($A260),Rates!$A$2:$I$181,6,FALSE()),0))</f>
        <v>0</v>
      </c>
      <c r="C260" s="14" t="n">
        <f aca="false">IF(B260=0,0,VLOOKUP(B260,MIE_Components!$A$2:$F$6,2,FALSE()))</f>
        <v>0</v>
      </c>
      <c r="D260" s="14" t="n">
        <f aca="false">IF(B260=0,0,VLOOKUP(B260,MIE_Components!$A$2:$F$6,3,FALSE()))</f>
        <v>0</v>
      </c>
      <c r="E260" s="14" t="n">
        <f aca="false">IF(B260=0,0,VLOOKUP(B260,MIE_Components!$A$2:$F$6,4,FALSE()))</f>
        <v>0</v>
      </c>
      <c r="F260" s="14" t="n">
        <f aca="false">IF(OR($A260="",B260=0),0,MAX(5,B260*IF(OR($A260=Parameters!$B$13,$A260=Parameters!$B$14),0.75,1)-(IF(AND($A260=DATE(2026,11,29),NOV29BF="Yes"),C260,0)+IF(OR($A260=DATE(2026,11,29),$A260=DATE(2026,11,30),$A260=DATE(2026,12,1),$A260=DATE(2026,12,2)),D260,0)+IF(OR($A260=DATE(2026,11,28),$A260=DATE(2026,12,1)),E260,0))))</f>
        <v>0</v>
      </c>
      <c r="G260" s="14" t="n">
        <f aca="false">IF(AND($A260&lt;&gt;"",$A260&lt;Parameters!$B$14),CityData!F3*(1+TAXRATE),0)</f>
        <v>0</v>
      </c>
      <c r="H260" s="14" t="n">
        <f aca="false">IF($A260="",0,IFERROR(VLOOKUP((YEAR($A260)+IF(MONTH($A260)&gt;=10,1,0))&amp;"|Boston|"&amp;MONTH($A260),Rates!$A$2:$I$181,5,FALSE()),0))</f>
        <v>0</v>
      </c>
      <c r="I260" s="14" t="n">
        <f aca="false">IF(OR($A260="",$A260&gt;=Parameters!$B$14),1,IF(AND(H260&gt;0,CityData!F3&lt;=H260),1,0))</f>
        <v>1</v>
      </c>
      <c r="J260" s="14" t="n">
        <f aca="false">IF($A260="",0,IFERROR(VLOOKUP((YEAR($A260)+IF(MONTH($A260)&gt;=10,1,0))&amp;"|Chicago|"&amp;MONTH($A260),Rates!$A$2:$I$181,6,FALSE()),0))</f>
        <v>0</v>
      </c>
      <c r="K260" s="14" t="n">
        <f aca="false">IF(J260=0,0,VLOOKUP(J260,MIE_Components!$A$2:$F$6,2,FALSE()))</f>
        <v>0</v>
      </c>
      <c r="L260" s="14" t="n">
        <f aca="false">IF(J260=0,0,VLOOKUP(J260,MIE_Components!$A$2:$F$6,3,FALSE()))</f>
        <v>0</v>
      </c>
      <c r="M260" s="14" t="n">
        <f aca="false">IF(J260=0,0,VLOOKUP(J260,MIE_Components!$A$2:$F$6,4,FALSE()))</f>
        <v>0</v>
      </c>
      <c r="N260" s="14" t="n">
        <f aca="false">IF(OR($A260="",J260=0),0,MAX(5,J260*IF(OR($A260=Parameters!$B$13,$A260=Parameters!$B$14),0.75,1)-(IF(AND($A260=DATE(2026,11,29),NOV29BF="Yes"),K260,0)+IF(OR($A260=DATE(2026,11,29),$A260=DATE(2026,11,30),$A260=DATE(2026,12,1),$A260=DATE(2026,12,2)),L260,0)+IF(OR($A260=DATE(2026,11,28),$A260=DATE(2026,12,1)),M260,0))))</f>
        <v>0</v>
      </c>
      <c r="O260" s="14" t="n">
        <f aca="false">IF(AND($A260&lt;&gt;"",$A260&lt;Parameters!$B$14),CityData!F4*(1+TAXRATE),0)</f>
        <v>0</v>
      </c>
      <c r="P260" s="14" t="n">
        <f aca="false">IF($A260="",0,IFERROR(VLOOKUP((YEAR($A260)+IF(MONTH($A260)&gt;=10,1,0))&amp;"|Chicago|"&amp;MONTH($A260),Rates!$A$2:$I$181,5,FALSE()),0))</f>
        <v>0</v>
      </c>
      <c r="Q260" s="14" t="n">
        <f aca="false">IF(OR($A260="",$A260&gt;=Parameters!$B$14),1,IF(AND(P260&gt;0,CityData!F4&lt;=P260),1,0))</f>
        <v>1</v>
      </c>
      <c r="R260" s="14" t="n">
        <f aca="false">IF($A260="",0,IFERROR(VLOOKUP((YEAR($A260)+IF(MONTH($A260)&gt;=10,1,0))&amp;"|Denver|"&amp;MONTH($A260),Rates!$A$2:$I$181,6,FALSE()),0))</f>
        <v>0</v>
      </c>
      <c r="S260" s="14" t="n">
        <f aca="false">IF(R260=0,0,VLOOKUP(R260,MIE_Components!$A$2:$F$6,2,FALSE()))</f>
        <v>0</v>
      </c>
      <c r="T260" s="14" t="n">
        <f aca="false">IF(R260=0,0,VLOOKUP(R260,MIE_Components!$A$2:$F$6,3,FALSE()))</f>
        <v>0</v>
      </c>
      <c r="U260" s="14" t="n">
        <f aca="false">IF(R260=0,0,VLOOKUP(R260,MIE_Components!$A$2:$F$6,4,FALSE()))</f>
        <v>0</v>
      </c>
      <c r="V260" s="14" t="n">
        <f aca="false">IF(OR($A260="",R260=0),0,MAX(5,R260*IF(OR($A260=Parameters!$B$13,$A260=Parameters!$B$14),0.75,1)-(IF(AND($A260=DATE(2026,11,29),NOV29BF="Yes"),S260,0)+IF(OR($A260=DATE(2026,11,29),$A260=DATE(2026,11,30),$A260=DATE(2026,12,1),$A260=DATE(2026,12,2)),T260,0)+IF(OR($A260=DATE(2026,11,28),$A260=DATE(2026,12,1)),U260,0))))</f>
        <v>0</v>
      </c>
      <c r="W260" s="14" t="n">
        <f aca="false">IF(AND($A260&lt;&gt;"",$A260&lt;Parameters!$B$14),CityData!F5*(1+TAXRATE),0)</f>
        <v>0</v>
      </c>
      <c r="X260" s="14" t="n">
        <f aca="false">IF($A260="",0,IFERROR(VLOOKUP((YEAR($A260)+IF(MONTH($A260)&gt;=10,1,0))&amp;"|Denver|"&amp;MONTH($A260),Rates!$A$2:$I$181,5,FALSE()),0))</f>
        <v>0</v>
      </c>
      <c r="Y260" s="14" t="n">
        <f aca="false">IF(OR($A260="",$A260&gt;=Parameters!$B$14),1,IF(AND(X260&gt;0,CityData!F5&lt;=X260),1,0))</f>
        <v>1</v>
      </c>
      <c r="Z260" s="14" t="n">
        <f aca="false">IF($A260="",0,IFERROR(VLOOKUP((YEAR($A260)+IF(MONTH($A260)&gt;=10,1,0))&amp;"|Phoenix|"&amp;MONTH($A260),Rates!$A$2:$I$181,6,FALSE()),0))</f>
        <v>0</v>
      </c>
      <c r="AA260" s="14" t="n">
        <f aca="false">IF(Z260=0,0,VLOOKUP(Z260,MIE_Components!$A$2:$F$6,2,FALSE()))</f>
        <v>0</v>
      </c>
      <c r="AB260" s="14" t="n">
        <f aca="false">IF(Z260=0,0,VLOOKUP(Z260,MIE_Components!$A$2:$F$6,3,FALSE()))</f>
        <v>0</v>
      </c>
      <c r="AC260" s="14" t="n">
        <f aca="false">IF(Z260=0,0,VLOOKUP(Z260,MIE_Components!$A$2:$F$6,4,FALSE()))</f>
        <v>0</v>
      </c>
      <c r="AD260" s="14" t="n">
        <f aca="false">IF(OR($A260="",Z260=0),0,MAX(5,Z260*IF(OR($A260=Parameters!$B$13,$A260=Parameters!$B$14),0.75,1)-(IF(AND($A260=DATE(2026,11,29),NOV29BF="Yes"),AA260,0)+IF(OR($A260=DATE(2026,11,29),$A260=DATE(2026,11,30),$A260=DATE(2026,12,1),$A260=DATE(2026,12,2)),AB260,0)+IF(OR($A260=DATE(2026,11,28),$A260=DATE(2026,12,1)),AC260,0))))</f>
        <v>0</v>
      </c>
      <c r="AE260" s="14" t="n">
        <f aca="false">IF(AND($A260&lt;&gt;"",$A260&lt;Parameters!$B$14),CityData!F6*(1+TAXRATE),0)</f>
        <v>0</v>
      </c>
      <c r="AF260" s="14" t="n">
        <f aca="false">IF($A260="",0,IFERROR(VLOOKUP((YEAR($A260)+IF(MONTH($A260)&gt;=10,1,0))&amp;"|Phoenix|"&amp;MONTH($A260),Rates!$A$2:$I$181,5,FALSE()),0))</f>
        <v>0</v>
      </c>
      <c r="AG260" s="14" t="n">
        <f aca="false">IF(OR($A260="",$A260&gt;=Parameters!$B$14),1,IF(AND(AF260&gt;0,CityData!F6&lt;=AF260),1,0))</f>
        <v>1</v>
      </c>
      <c r="AH260" s="14" t="n">
        <f aca="false">IF($A260="",0,IFERROR(VLOOKUP((YEAR($A260)+IF(MONTH($A260)&gt;=10,1,0))&amp;"|Seattle|"&amp;MONTH($A260),Rates!$A$2:$I$181,6,FALSE()),0))</f>
        <v>0</v>
      </c>
      <c r="AI260" s="14" t="n">
        <f aca="false">IF(AH260=0,0,VLOOKUP(AH260,MIE_Components!$A$2:$F$6,2,FALSE()))</f>
        <v>0</v>
      </c>
      <c r="AJ260" s="14" t="n">
        <f aca="false">IF(AH260=0,0,VLOOKUP(AH260,MIE_Components!$A$2:$F$6,3,FALSE()))</f>
        <v>0</v>
      </c>
      <c r="AK260" s="14" t="n">
        <f aca="false">IF(AH260=0,0,VLOOKUP(AH260,MIE_Components!$A$2:$F$6,4,FALSE()))</f>
        <v>0</v>
      </c>
      <c r="AL260" s="14" t="n">
        <f aca="false">IF(OR($A260="",AH260=0),0,MAX(5,AH260*IF(OR($A260=Parameters!$B$13,$A260=Parameters!$B$14),0.75,1)-(IF(AND($A260=DATE(2026,11,29),NOV29BF="Yes"),AI260,0)+IF(OR($A260=DATE(2026,11,29),$A260=DATE(2026,11,30),$A260=DATE(2026,12,1),$A260=DATE(2026,12,2)),AJ260,0)+IF(OR($A260=DATE(2026,11,28),$A260=DATE(2026,12,1)),AK260,0))))</f>
        <v>0</v>
      </c>
      <c r="AM260" s="14" t="n">
        <f aca="false">IF(AND($A260&lt;&gt;"",$A260&lt;Parameters!$B$14),CityData!F7*(1+TAXRATE),0)</f>
        <v>0</v>
      </c>
      <c r="AN260" s="14" t="n">
        <f aca="false">IF($A260="",0,IFERROR(VLOOKUP((YEAR($A260)+IF(MONTH($A260)&gt;=10,1,0))&amp;"|Seattle|"&amp;MONTH($A260),Rates!$A$2:$I$181,5,FALSE()),0))</f>
        <v>0</v>
      </c>
      <c r="AO260" s="14" t="n">
        <f aca="false">IF(OR($A260="",$A260&gt;=Parameters!$B$14),1,IF(AND(AN260&gt;0,CityData!F7&lt;=AN260),1,0))</f>
        <v>1</v>
      </c>
    </row>
    <row r="261" customFormat="false" ht="15" hidden="false" customHeight="true" outlineLevel="0" collapsed="false">
      <c r="A261" s="23" t="str">
        <f aca="false">IF(AND(Parameters!$B$14&gt;=Parameters!$B$13,ROW()-2&lt;=Parameters!$B$14-Parameters!$B$13),Parameters!$B$13+ROW()-2,"")</f>
        <v/>
      </c>
      <c r="B261" s="14" t="n">
        <f aca="false">IF($A261="",0,IFERROR(VLOOKUP((YEAR($A261)+IF(MONTH($A261)&gt;=10,1,0))&amp;"|Boston|"&amp;MONTH($A261),Rates!$A$2:$I$181,6,FALSE()),0))</f>
        <v>0</v>
      </c>
      <c r="C261" s="14" t="n">
        <f aca="false">IF(B261=0,0,VLOOKUP(B261,MIE_Components!$A$2:$F$6,2,FALSE()))</f>
        <v>0</v>
      </c>
      <c r="D261" s="14" t="n">
        <f aca="false">IF(B261=0,0,VLOOKUP(B261,MIE_Components!$A$2:$F$6,3,FALSE()))</f>
        <v>0</v>
      </c>
      <c r="E261" s="14" t="n">
        <f aca="false">IF(B261=0,0,VLOOKUP(B261,MIE_Components!$A$2:$F$6,4,FALSE()))</f>
        <v>0</v>
      </c>
      <c r="F261" s="14" t="n">
        <f aca="false">IF(OR($A261="",B261=0),0,MAX(5,B261*IF(OR($A261=Parameters!$B$13,$A261=Parameters!$B$14),0.75,1)-(IF(AND($A261=DATE(2026,11,29),NOV29BF="Yes"),C261,0)+IF(OR($A261=DATE(2026,11,29),$A261=DATE(2026,11,30),$A261=DATE(2026,12,1),$A261=DATE(2026,12,2)),D261,0)+IF(OR($A261=DATE(2026,11,28),$A261=DATE(2026,12,1)),E261,0))))</f>
        <v>0</v>
      </c>
      <c r="G261" s="14" t="n">
        <f aca="false">IF(AND($A261&lt;&gt;"",$A261&lt;Parameters!$B$14),CityData!F3*(1+TAXRATE),0)</f>
        <v>0</v>
      </c>
      <c r="H261" s="14" t="n">
        <f aca="false">IF($A261="",0,IFERROR(VLOOKUP((YEAR($A261)+IF(MONTH($A261)&gt;=10,1,0))&amp;"|Boston|"&amp;MONTH($A261),Rates!$A$2:$I$181,5,FALSE()),0))</f>
        <v>0</v>
      </c>
      <c r="I261" s="14" t="n">
        <f aca="false">IF(OR($A261="",$A261&gt;=Parameters!$B$14),1,IF(AND(H261&gt;0,CityData!F3&lt;=H261),1,0))</f>
        <v>1</v>
      </c>
      <c r="J261" s="14" t="n">
        <f aca="false">IF($A261="",0,IFERROR(VLOOKUP((YEAR($A261)+IF(MONTH($A261)&gt;=10,1,0))&amp;"|Chicago|"&amp;MONTH($A261),Rates!$A$2:$I$181,6,FALSE()),0))</f>
        <v>0</v>
      </c>
      <c r="K261" s="14" t="n">
        <f aca="false">IF(J261=0,0,VLOOKUP(J261,MIE_Components!$A$2:$F$6,2,FALSE()))</f>
        <v>0</v>
      </c>
      <c r="L261" s="14" t="n">
        <f aca="false">IF(J261=0,0,VLOOKUP(J261,MIE_Components!$A$2:$F$6,3,FALSE()))</f>
        <v>0</v>
      </c>
      <c r="M261" s="14" t="n">
        <f aca="false">IF(J261=0,0,VLOOKUP(J261,MIE_Components!$A$2:$F$6,4,FALSE()))</f>
        <v>0</v>
      </c>
      <c r="N261" s="14" t="n">
        <f aca="false">IF(OR($A261="",J261=0),0,MAX(5,J261*IF(OR($A261=Parameters!$B$13,$A261=Parameters!$B$14),0.75,1)-(IF(AND($A261=DATE(2026,11,29),NOV29BF="Yes"),K261,0)+IF(OR($A261=DATE(2026,11,29),$A261=DATE(2026,11,30),$A261=DATE(2026,12,1),$A261=DATE(2026,12,2)),L261,0)+IF(OR($A261=DATE(2026,11,28),$A261=DATE(2026,12,1)),M261,0))))</f>
        <v>0</v>
      </c>
      <c r="O261" s="14" t="n">
        <f aca="false">IF(AND($A261&lt;&gt;"",$A261&lt;Parameters!$B$14),CityData!F4*(1+TAXRATE),0)</f>
        <v>0</v>
      </c>
      <c r="P261" s="14" t="n">
        <f aca="false">IF($A261="",0,IFERROR(VLOOKUP((YEAR($A261)+IF(MONTH($A261)&gt;=10,1,0))&amp;"|Chicago|"&amp;MONTH($A261),Rates!$A$2:$I$181,5,FALSE()),0))</f>
        <v>0</v>
      </c>
      <c r="Q261" s="14" t="n">
        <f aca="false">IF(OR($A261="",$A261&gt;=Parameters!$B$14),1,IF(AND(P261&gt;0,CityData!F4&lt;=P261),1,0))</f>
        <v>1</v>
      </c>
      <c r="R261" s="14" t="n">
        <f aca="false">IF($A261="",0,IFERROR(VLOOKUP((YEAR($A261)+IF(MONTH($A261)&gt;=10,1,0))&amp;"|Denver|"&amp;MONTH($A261),Rates!$A$2:$I$181,6,FALSE()),0))</f>
        <v>0</v>
      </c>
      <c r="S261" s="14" t="n">
        <f aca="false">IF(R261=0,0,VLOOKUP(R261,MIE_Components!$A$2:$F$6,2,FALSE()))</f>
        <v>0</v>
      </c>
      <c r="T261" s="14" t="n">
        <f aca="false">IF(R261=0,0,VLOOKUP(R261,MIE_Components!$A$2:$F$6,3,FALSE()))</f>
        <v>0</v>
      </c>
      <c r="U261" s="14" t="n">
        <f aca="false">IF(R261=0,0,VLOOKUP(R261,MIE_Components!$A$2:$F$6,4,FALSE()))</f>
        <v>0</v>
      </c>
      <c r="V261" s="14" t="n">
        <f aca="false">IF(OR($A261="",R261=0),0,MAX(5,R261*IF(OR($A261=Parameters!$B$13,$A261=Parameters!$B$14),0.75,1)-(IF(AND($A261=DATE(2026,11,29),NOV29BF="Yes"),S261,0)+IF(OR($A261=DATE(2026,11,29),$A261=DATE(2026,11,30),$A261=DATE(2026,12,1),$A261=DATE(2026,12,2)),T261,0)+IF(OR($A261=DATE(2026,11,28),$A261=DATE(2026,12,1)),U261,0))))</f>
        <v>0</v>
      </c>
      <c r="W261" s="14" t="n">
        <f aca="false">IF(AND($A261&lt;&gt;"",$A261&lt;Parameters!$B$14),CityData!F5*(1+TAXRATE),0)</f>
        <v>0</v>
      </c>
      <c r="X261" s="14" t="n">
        <f aca="false">IF($A261="",0,IFERROR(VLOOKUP((YEAR($A261)+IF(MONTH($A261)&gt;=10,1,0))&amp;"|Denver|"&amp;MONTH($A261),Rates!$A$2:$I$181,5,FALSE()),0))</f>
        <v>0</v>
      </c>
      <c r="Y261" s="14" t="n">
        <f aca="false">IF(OR($A261="",$A261&gt;=Parameters!$B$14),1,IF(AND(X261&gt;0,CityData!F5&lt;=X261),1,0))</f>
        <v>1</v>
      </c>
      <c r="Z261" s="14" t="n">
        <f aca="false">IF($A261="",0,IFERROR(VLOOKUP((YEAR($A261)+IF(MONTH($A261)&gt;=10,1,0))&amp;"|Phoenix|"&amp;MONTH($A261),Rates!$A$2:$I$181,6,FALSE()),0))</f>
        <v>0</v>
      </c>
      <c r="AA261" s="14" t="n">
        <f aca="false">IF(Z261=0,0,VLOOKUP(Z261,MIE_Components!$A$2:$F$6,2,FALSE()))</f>
        <v>0</v>
      </c>
      <c r="AB261" s="14" t="n">
        <f aca="false">IF(Z261=0,0,VLOOKUP(Z261,MIE_Components!$A$2:$F$6,3,FALSE()))</f>
        <v>0</v>
      </c>
      <c r="AC261" s="14" t="n">
        <f aca="false">IF(Z261=0,0,VLOOKUP(Z261,MIE_Components!$A$2:$F$6,4,FALSE()))</f>
        <v>0</v>
      </c>
      <c r="AD261" s="14" t="n">
        <f aca="false">IF(OR($A261="",Z261=0),0,MAX(5,Z261*IF(OR($A261=Parameters!$B$13,$A261=Parameters!$B$14),0.75,1)-(IF(AND($A261=DATE(2026,11,29),NOV29BF="Yes"),AA261,0)+IF(OR($A261=DATE(2026,11,29),$A261=DATE(2026,11,30),$A261=DATE(2026,12,1),$A261=DATE(2026,12,2)),AB261,0)+IF(OR($A261=DATE(2026,11,28),$A261=DATE(2026,12,1)),AC261,0))))</f>
        <v>0</v>
      </c>
      <c r="AE261" s="14" t="n">
        <f aca="false">IF(AND($A261&lt;&gt;"",$A261&lt;Parameters!$B$14),CityData!F6*(1+TAXRATE),0)</f>
        <v>0</v>
      </c>
      <c r="AF261" s="14" t="n">
        <f aca="false">IF($A261="",0,IFERROR(VLOOKUP((YEAR($A261)+IF(MONTH($A261)&gt;=10,1,0))&amp;"|Phoenix|"&amp;MONTH($A261),Rates!$A$2:$I$181,5,FALSE()),0))</f>
        <v>0</v>
      </c>
      <c r="AG261" s="14" t="n">
        <f aca="false">IF(OR($A261="",$A261&gt;=Parameters!$B$14),1,IF(AND(AF261&gt;0,CityData!F6&lt;=AF261),1,0))</f>
        <v>1</v>
      </c>
      <c r="AH261" s="14" t="n">
        <f aca="false">IF($A261="",0,IFERROR(VLOOKUP((YEAR($A261)+IF(MONTH($A261)&gt;=10,1,0))&amp;"|Seattle|"&amp;MONTH($A261),Rates!$A$2:$I$181,6,FALSE()),0))</f>
        <v>0</v>
      </c>
      <c r="AI261" s="14" t="n">
        <f aca="false">IF(AH261=0,0,VLOOKUP(AH261,MIE_Components!$A$2:$F$6,2,FALSE()))</f>
        <v>0</v>
      </c>
      <c r="AJ261" s="14" t="n">
        <f aca="false">IF(AH261=0,0,VLOOKUP(AH261,MIE_Components!$A$2:$F$6,3,FALSE()))</f>
        <v>0</v>
      </c>
      <c r="AK261" s="14" t="n">
        <f aca="false">IF(AH261=0,0,VLOOKUP(AH261,MIE_Components!$A$2:$F$6,4,FALSE()))</f>
        <v>0</v>
      </c>
      <c r="AL261" s="14" t="n">
        <f aca="false">IF(OR($A261="",AH261=0),0,MAX(5,AH261*IF(OR($A261=Parameters!$B$13,$A261=Parameters!$B$14),0.75,1)-(IF(AND($A261=DATE(2026,11,29),NOV29BF="Yes"),AI261,0)+IF(OR($A261=DATE(2026,11,29),$A261=DATE(2026,11,30),$A261=DATE(2026,12,1),$A261=DATE(2026,12,2)),AJ261,0)+IF(OR($A261=DATE(2026,11,28),$A261=DATE(2026,12,1)),AK261,0))))</f>
        <v>0</v>
      </c>
      <c r="AM261" s="14" t="n">
        <f aca="false">IF(AND($A261&lt;&gt;"",$A261&lt;Parameters!$B$14),CityData!F7*(1+TAXRATE),0)</f>
        <v>0</v>
      </c>
      <c r="AN261" s="14" t="n">
        <f aca="false">IF($A261="",0,IFERROR(VLOOKUP((YEAR($A261)+IF(MONTH($A261)&gt;=10,1,0))&amp;"|Seattle|"&amp;MONTH($A261),Rates!$A$2:$I$181,5,FALSE()),0))</f>
        <v>0</v>
      </c>
      <c r="AO261" s="14" t="n">
        <f aca="false">IF(OR($A261="",$A261&gt;=Parameters!$B$14),1,IF(AND(AN261&gt;0,CityData!F7&lt;=AN261),1,0))</f>
        <v>1</v>
      </c>
    </row>
    <row r="262" customFormat="false" ht="15" hidden="false" customHeight="true" outlineLevel="0" collapsed="false">
      <c r="A262" s="23" t="str">
        <f aca="false">IF(AND(Parameters!$B$14&gt;=Parameters!$B$13,ROW()-2&lt;=Parameters!$B$14-Parameters!$B$13),Parameters!$B$13+ROW()-2,"")</f>
        <v/>
      </c>
      <c r="B262" s="14" t="n">
        <f aca="false">IF($A262="",0,IFERROR(VLOOKUP((YEAR($A262)+IF(MONTH($A262)&gt;=10,1,0))&amp;"|Boston|"&amp;MONTH($A262),Rates!$A$2:$I$181,6,FALSE()),0))</f>
        <v>0</v>
      </c>
      <c r="C262" s="14" t="n">
        <f aca="false">IF(B262=0,0,VLOOKUP(B262,MIE_Components!$A$2:$F$6,2,FALSE()))</f>
        <v>0</v>
      </c>
      <c r="D262" s="14" t="n">
        <f aca="false">IF(B262=0,0,VLOOKUP(B262,MIE_Components!$A$2:$F$6,3,FALSE()))</f>
        <v>0</v>
      </c>
      <c r="E262" s="14" t="n">
        <f aca="false">IF(B262=0,0,VLOOKUP(B262,MIE_Components!$A$2:$F$6,4,FALSE()))</f>
        <v>0</v>
      </c>
      <c r="F262" s="14" t="n">
        <f aca="false">IF(OR($A262="",B262=0),0,MAX(5,B262*IF(OR($A262=Parameters!$B$13,$A262=Parameters!$B$14),0.75,1)-(IF(AND($A262=DATE(2026,11,29),NOV29BF="Yes"),C262,0)+IF(OR($A262=DATE(2026,11,29),$A262=DATE(2026,11,30),$A262=DATE(2026,12,1),$A262=DATE(2026,12,2)),D262,0)+IF(OR($A262=DATE(2026,11,28),$A262=DATE(2026,12,1)),E262,0))))</f>
        <v>0</v>
      </c>
      <c r="G262" s="14" t="n">
        <f aca="false">IF(AND($A262&lt;&gt;"",$A262&lt;Parameters!$B$14),CityData!F3*(1+TAXRATE),0)</f>
        <v>0</v>
      </c>
      <c r="H262" s="14" t="n">
        <f aca="false">IF($A262="",0,IFERROR(VLOOKUP((YEAR($A262)+IF(MONTH($A262)&gt;=10,1,0))&amp;"|Boston|"&amp;MONTH($A262),Rates!$A$2:$I$181,5,FALSE()),0))</f>
        <v>0</v>
      </c>
      <c r="I262" s="14" t="n">
        <f aca="false">IF(OR($A262="",$A262&gt;=Parameters!$B$14),1,IF(AND(H262&gt;0,CityData!F3&lt;=H262),1,0))</f>
        <v>1</v>
      </c>
      <c r="J262" s="14" t="n">
        <f aca="false">IF($A262="",0,IFERROR(VLOOKUP((YEAR($A262)+IF(MONTH($A262)&gt;=10,1,0))&amp;"|Chicago|"&amp;MONTH($A262),Rates!$A$2:$I$181,6,FALSE()),0))</f>
        <v>0</v>
      </c>
      <c r="K262" s="14" t="n">
        <f aca="false">IF(J262=0,0,VLOOKUP(J262,MIE_Components!$A$2:$F$6,2,FALSE()))</f>
        <v>0</v>
      </c>
      <c r="L262" s="14" t="n">
        <f aca="false">IF(J262=0,0,VLOOKUP(J262,MIE_Components!$A$2:$F$6,3,FALSE()))</f>
        <v>0</v>
      </c>
      <c r="M262" s="14" t="n">
        <f aca="false">IF(J262=0,0,VLOOKUP(J262,MIE_Components!$A$2:$F$6,4,FALSE()))</f>
        <v>0</v>
      </c>
      <c r="N262" s="14" t="n">
        <f aca="false">IF(OR($A262="",J262=0),0,MAX(5,J262*IF(OR($A262=Parameters!$B$13,$A262=Parameters!$B$14),0.75,1)-(IF(AND($A262=DATE(2026,11,29),NOV29BF="Yes"),K262,0)+IF(OR($A262=DATE(2026,11,29),$A262=DATE(2026,11,30),$A262=DATE(2026,12,1),$A262=DATE(2026,12,2)),L262,0)+IF(OR($A262=DATE(2026,11,28),$A262=DATE(2026,12,1)),M262,0))))</f>
        <v>0</v>
      </c>
      <c r="O262" s="14" t="n">
        <f aca="false">IF(AND($A262&lt;&gt;"",$A262&lt;Parameters!$B$14),CityData!F4*(1+TAXRATE),0)</f>
        <v>0</v>
      </c>
      <c r="P262" s="14" t="n">
        <f aca="false">IF($A262="",0,IFERROR(VLOOKUP((YEAR($A262)+IF(MONTH($A262)&gt;=10,1,0))&amp;"|Chicago|"&amp;MONTH($A262),Rates!$A$2:$I$181,5,FALSE()),0))</f>
        <v>0</v>
      </c>
      <c r="Q262" s="14" t="n">
        <f aca="false">IF(OR($A262="",$A262&gt;=Parameters!$B$14),1,IF(AND(P262&gt;0,CityData!F4&lt;=P262),1,0))</f>
        <v>1</v>
      </c>
      <c r="R262" s="14" t="n">
        <f aca="false">IF($A262="",0,IFERROR(VLOOKUP((YEAR($A262)+IF(MONTH($A262)&gt;=10,1,0))&amp;"|Denver|"&amp;MONTH($A262),Rates!$A$2:$I$181,6,FALSE()),0))</f>
        <v>0</v>
      </c>
      <c r="S262" s="14" t="n">
        <f aca="false">IF(R262=0,0,VLOOKUP(R262,MIE_Components!$A$2:$F$6,2,FALSE()))</f>
        <v>0</v>
      </c>
      <c r="T262" s="14" t="n">
        <f aca="false">IF(R262=0,0,VLOOKUP(R262,MIE_Components!$A$2:$F$6,3,FALSE()))</f>
        <v>0</v>
      </c>
      <c r="U262" s="14" t="n">
        <f aca="false">IF(R262=0,0,VLOOKUP(R262,MIE_Components!$A$2:$F$6,4,FALSE()))</f>
        <v>0</v>
      </c>
      <c r="V262" s="14" t="n">
        <f aca="false">IF(OR($A262="",R262=0),0,MAX(5,R262*IF(OR($A262=Parameters!$B$13,$A262=Parameters!$B$14),0.75,1)-(IF(AND($A262=DATE(2026,11,29),NOV29BF="Yes"),S262,0)+IF(OR($A262=DATE(2026,11,29),$A262=DATE(2026,11,30),$A262=DATE(2026,12,1),$A262=DATE(2026,12,2)),T262,0)+IF(OR($A262=DATE(2026,11,28),$A262=DATE(2026,12,1)),U262,0))))</f>
        <v>0</v>
      </c>
      <c r="W262" s="14" t="n">
        <f aca="false">IF(AND($A262&lt;&gt;"",$A262&lt;Parameters!$B$14),CityData!F5*(1+TAXRATE),0)</f>
        <v>0</v>
      </c>
      <c r="X262" s="14" t="n">
        <f aca="false">IF($A262="",0,IFERROR(VLOOKUP((YEAR($A262)+IF(MONTH($A262)&gt;=10,1,0))&amp;"|Denver|"&amp;MONTH($A262),Rates!$A$2:$I$181,5,FALSE()),0))</f>
        <v>0</v>
      </c>
      <c r="Y262" s="14" t="n">
        <f aca="false">IF(OR($A262="",$A262&gt;=Parameters!$B$14),1,IF(AND(X262&gt;0,CityData!F5&lt;=X262),1,0))</f>
        <v>1</v>
      </c>
      <c r="Z262" s="14" t="n">
        <f aca="false">IF($A262="",0,IFERROR(VLOOKUP((YEAR($A262)+IF(MONTH($A262)&gt;=10,1,0))&amp;"|Phoenix|"&amp;MONTH($A262),Rates!$A$2:$I$181,6,FALSE()),0))</f>
        <v>0</v>
      </c>
      <c r="AA262" s="14" t="n">
        <f aca="false">IF(Z262=0,0,VLOOKUP(Z262,MIE_Components!$A$2:$F$6,2,FALSE()))</f>
        <v>0</v>
      </c>
      <c r="AB262" s="14" t="n">
        <f aca="false">IF(Z262=0,0,VLOOKUP(Z262,MIE_Components!$A$2:$F$6,3,FALSE()))</f>
        <v>0</v>
      </c>
      <c r="AC262" s="14" t="n">
        <f aca="false">IF(Z262=0,0,VLOOKUP(Z262,MIE_Components!$A$2:$F$6,4,FALSE()))</f>
        <v>0</v>
      </c>
      <c r="AD262" s="14" t="n">
        <f aca="false">IF(OR($A262="",Z262=0),0,MAX(5,Z262*IF(OR($A262=Parameters!$B$13,$A262=Parameters!$B$14),0.75,1)-(IF(AND($A262=DATE(2026,11,29),NOV29BF="Yes"),AA262,0)+IF(OR($A262=DATE(2026,11,29),$A262=DATE(2026,11,30),$A262=DATE(2026,12,1),$A262=DATE(2026,12,2)),AB262,0)+IF(OR($A262=DATE(2026,11,28),$A262=DATE(2026,12,1)),AC262,0))))</f>
        <v>0</v>
      </c>
      <c r="AE262" s="14" t="n">
        <f aca="false">IF(AND($A262&lt;&gt;"",$A262&lt;Parameters!$B$14),CityData!F6*(1+TAXRATE),0)</f>
        <v>0</v>
      </c>
      <c r="AF262" s="14" t="n">
        <f aca="false">IF($A262="",0,IFERROR(VLOOKUP((YEAR($A262)+IF(MONTH($A262)&gt;=10,1,0))&amp;"|Phoenix|"&amp;MONTH($A262),Rates!$A$2:$I$181,5,FALSE()),0))</f>
        <v>0</v>
      </c>
      <c r="AG262" s="14" t="n">
        <f aca="false">IF(OR($A262="",$A262&gt;=Parameters!$B$14),1,IF(AND(AF262&gt;0,CityData!F6&lt;=AF262),1,0))</f>
        <v>1</v>
      </c>
      <c r="AH262" s="14" t="n">
        <f aca="false">IF($A262="",0,IFERROR(VLOOKUP((YEAR($A262)+IF(MONTH($A262)&gt;=10,1,0))&amp;"|Seattle|"&amp;MONTH($A262),Rates!$A$2:$I$181,6,FALSE()),0))</f>
        <v>0</v>
      </c>
      <c r="AI262" s="14" t="n">
        <f aca="false">IF(AH262=0,0,VLOOKUP(AH262,MIE_Components!$A$2:$F$6,2,FALSE()))</f>
        <v>0</v>
      </c>
      <c r="AJ262" s="14" t="n">
        <f aca="false">IF(AH262=0,0,VLOOKUP(AH262,MIE_Components!$A$2:$F$6,3,FALSE()))</f>
        <v>0</v>
      </c>
      <c r="AK262" s="14" t="n">
        <f aca="false">IF(AH262=0,0,VLOOKUP(AH262,MIE_Components!$A$2:$F$6,4,FALSE()))</f>
        <v>0</v>
      </c>
      <c r="AL262" s="14" t="n">
        <f aca="false">IF(OR($A262="",AH262=0),0,MAX(5,AH262*IF(OR($A262=Parameters!$B$13,$A262=Parameters!$B$14),0.75,1)-(IF(AND($A262=DATE(2026,11,29),NOV29BF="Yes"),AI262,0)+IF(OR($A262=DATE(2026,11,29),$A262=DATE(2026,11,30),$A262=DATE(2026,12,1),$A262=DATE(2026,12,2)),AJ262,0)+IF(OR($A262=DATE(2026,11,28),$A262=DATE(2026,12,1)),AK262,0))))</f>
        <v>0</v>
      </c>
      <c r="AM262" s="14" t="n">
        <f aca="false">IF(AND($A262&lt;&gt;"",$A262&lt;Parameters!$B$14),CityData!F7*(1+TAXRATE),0)</f>
        <v>0</v>
      </c>
      <c r="AN262" s="14" t="n">
        <f aca="false">IF($A262="",0,IFERROR(VLOOKUP((YEAR($A262)+IF(MONTH($A262)&gt;=10,1,0))&amp;"|Seattle|"&amp;MONTH($A262),Rates!$A$2:$I$181,5,FALSE()),0))</f>
        <v>0</v>
      </c>
      <c r="AO262" s="14" t="n">
        <f aca="false">IF(OR($A262="",$A262&gt;=Parameters!$B$14),1,IF(AND(AN262&gt;0,CityData!F7&lt;=AN262),1,0))</f>
        <v>1</v>
      </c>
    </row>
    <row r="263" customFormat="false" ht="15" hidden="false" customHeight="true" outlineLevel="0" collapsed="false">
      <c r="A263" s="23" t="str">
        <f aca="false">IF(AND(Parameters!$B$14&gt;=Parameters!$B$13,ROW()-2&lt;=Parameters!$B$14-Parameters!$B$13),Parameters!$B$13+ROW()-2,"")</f>
        <v/>
      </c>
      <c r="B263" s="14" t="n">
        <f aca="false">IF($A263="",0,IFERROR(VLOOKUP((YEAR($A263)+IF(MONTH($A263)&gt;=10,1,0))&amp;"|Boston|"&amp;MONTH($A263),Rates!$A$2:$I$181,6,FALSE()),0))</f>
        <v>0</v>
      </c>
      <c r="C263" s="14" t="n">
        <f aca="false">IF(B263=0,0,VLOOKUP(B263,MIE_Components!$A$2:$F$6,2,FALSE()))</f>
        <v>0</v>
      </c>
      <c r="D263" s="14" t="n">
        <f aca="false">IF(B263=0,0,VLOOKUP(B263,MIE_Components!$A$2:$F$6,3,FALSE()))</f>
        <v>0</v>
      </c>
      <c r="E263" s="14" t="n">
        <f aca="false">IF(B263=0,0,VLOOKUP(B263,MIE_Components!$A$2:$F$6,4,FALSE()))</f>
        <v>0</v>
      </c>
      <c r="F263" s="14" t="n">
        <f aca="false">IF(OR($A263="",B263=0),0,MAX(5,B263*IF(OR($A263=Parameters!$B$13,$A263=Parameters!$B$14),0.75,1)-(IF(AND($A263=DATE(2026,11,29),NOV29BF="Yes"),C263,0)+IF(OR($A263=DATE(2026,11,29),$A263=DATE(2026,11,30),$A263=DATE(2026,12,1),$A263=DATE(2026,12,2)),D263,0)+IF(OR($A263=DATE(2026,11,28),$A263=DATE(2026,12,1)),E263,0))))</f>
        <v>0</v>
      </c>
      <c r="G263" s="14" t="n">
        <f aca="false">IF(AND($A263&lt;&gt;"",$A263&lt;Parameters!$B$14),CityData!F3*(1+TAXRATE),0)</f>
        <v>0</v>
      </c>
      <c r="H263" s="14" t="n">
        <f aca="false">IF($A263="",0,IFERROR(VLOOKUP((YEAR($A263)+IF(MONTH($A263)&gt;=10,1,0))&amp;"|Boston|"&amp;MONTH($A263),Rates!$A$2:$I$181,5,FALSE()),0))</f>
        <v>0</v>
      </c>
      <c r="I263" s="14" t="n">
        <f aca="false">IF(OR($A263="",$A263&gt;=Parameters!$B$14),1,IF(AND(H263&gt;0,CityData!F3&lt;=H263),1,0))</f>
        <v>1</v>
      </c>
      <c r="J263" s="14" t="n">
        <f aca="false">IF($A263="",0,IFERROR(VLOOKUP((YEAR($A263)+IF(MONTH($A263)&gt;=10,1,0))&amp;"|Chicago|"&amp;MONTH($A263),Rates!$A$2:$I$181,6,FALSE()),0))</f>
        <v>0</v>
      </c>
      <c r="K263" s="14" t="n">
        <f aca="false">IF(J263=0,0,VLOOKUP(J263,MIE_Components!$A$2:$F$6,2,FALSE()))</f>
        <v>0</v>
      </c>
      <c r="L263" s="14" t="n">
        <f aca="false">IF(J263=0,0,VLOOKUP(J263,MIE_Components!$A$2:$F$6,3,FALSE()))</f>
        <v>0</v>
      </c>
      <c r="M263" s="14" t="n">
        <f aca="false">IF(J263=0,0,VLOOKUP(J263,MIE_Components!$A$2:$F$6,4,FALSE()))</f>
        <v>0</v>
      </c>
      <c r="N263" s="14" t="n">
        <f aca="false">IF(OR($A263="",J263=0),0,MAX(5,J263*IF(OR($A263=Parameters!$B$13,$A263=Parameters!$B$14),0.75,1)-(IF(AND($A263=DATE(2026,11,29),NOV29BF="Yes"),K263,0)+IF(OR($A263=DATE(2026,11,29),$A263=DATE(2026,11,30),$A263=DATE(2026,12,1),$A263=DATE(2026,12,2)),L263,0)+IF(OR($A263=DATE(2026,11,28),$A263=DATE(2026,12,1)),M263,0))))</f>
        <v>0</v>
      </c>
      <c r="O263" s="14" t="n">
        <f aca="false">IF(AND($A263&lt;&gt;"",$A263&lt;Parameters!$B$14),CityData!F4*(1+TAXRATE),0)</f>
        <v>0</v>
      </c>
      <c r="P263" s="14" t="n">
        <f aca="false">IF($A263="",0,IFERROR(VLOOKUP((YEAR($A263)+IF(MONTH($A263)&gt;=10,1,0))&amp;"|Chicago|"&amp;MONTH($A263),Rates!$A$2:$I$181,5,FALSE()),0))</f>
        <v>0</v>
      </c>
      <c r="Q263" s="14" t="n">
        <f aca="false">IF(OR($A263="",$A263&gt;=Parameters!$B$14),1,IF(AND(P263&gt;0,CityData!F4&lt;=P263),1,0))</f>
        <v>1</v>
      </c>
      <c r="R263" s="14" t="n">
        <f aca="false">IF($A263="",0,IFERROR(VLOOKUP((YEAR($A263)+IF(MONTH($A263)&gt;=10,1,0))&amp;"|Denver|"&amp;MONTH($A263),Rates!$A$2:$I$181,6,FALSE()),0))</f>
        <v>0</v>
      </c>
      <c r="S263" s="14" t="n">
        <f aca="false">IF(R263=0,0,VLOOKUP(R263,MIE_Components!$A$2:$F$6,2,FALSE()))</f>
        <v>0</v>
      </c>
      <c r="T263" s="14" t="n">
        <f aca="false">IF(R263=0,0,VLOOKUP(R263,MIE_Components!$A$2:$F$6,3,FALSE()))</f>
        <v>0</v>
      </c>
      <c r="U263" s="14" t="n">
        <f aca="false">IF(R263=0,0,VLOOKUP(R263,MIE_Components!$A$2:$F$6,4,FALSE()))</f>
        <v>0</v>
      </c>
      <c r="V263" s="14" t="n">
        <f aca="false">IF(OR($A263="",R263=0),0,MAX(5,R263*IF(OR($A263=Parameters!$B$13,$A263=Parameters!$B$14),0.75,1)-(IF(AND($A263=DATE(2026,11,29),NOV29BF="Yes"),S263,0)+IF(OR($A263=DATE(2026,11,29),$A263=DATE(2026,11,30),$A263=DATE(2026,12,1),$A263=DATE(2026,12,2)),T263,0)+IF(OR($A263=DATE(2026,11,28),$A263=DATE(2026,12,1)),U263,0))))</f>
        <v>0</v>
      </c>
      <c r="W263" s="14" t="n">
        <f aca="false">IF(AND($A263&lt;&gt;"",$A263&lt;Parameters!$B$14),CityData!F5*(1+TAXRATE),0)</f>
        <v>0</v>
      </c>
      <c r="X263" s="14" t="n">
        <f aca="false">IF($A263="",0,IFERROR(VLOOKUP((YEAR($A263)+IF(MONTH($A263)&gt;=10,1,0))&amp;"|Denver|"&amp;MONTH($A263),Rates!$A$2:$I$181,5,FALSE()),0))</f>
        <v>0</v>
      </c>
      <c r="Y263" s="14" t="n">
        <f aca="false">IF(OR($A263="",$A263&gt;=Parameters!$B$14),1,IF(AND(X263&gt;0,CityData!F5&lt;=X263),1,0))</f>
        <v>1</v>
      </c>
      <c r="Z263" s="14" t="n">
        <f aca="false">IF($A263="",0,IFERROR(VLOOKUP((YEAR($A263)+IF(MONTH($A263)&gt;=10,1,0))&amp;"|Phoenix|"&amp;MONTH($A263),Rates!$A$2:$I$181,6,FALSE()),0))</f>
        <v>0</v>
      </c>
      <c r="AA263" s="14" t="n">
        <f aca="false">IF(Z263=0,0,VLOOKUP(Z263,MIE_Components!$A$2:$F$6,2,FALSE()))</f>
        <v>0</v>
      </c>
      <c r="AB263" s="14" t="n">
        <f aca="false">IF(Z263=0,0,VLOOKUP(Z263,MIE_Components!$A$2:$F$6,3,FALSE()))</f>
        <v>0</v>
      </c>
      <c r="AC263" s="14" t="n">
        <f aca="false">IF(Z263=0,0,VLOOKUP(Z263,MIE_Components!$A$2:$F$6,4,FALSE()))</f>
        <v>0</v>
      </c>
      <c r="AD263" s="14" t="n">
        <f aca="false">IF(OR($A263="",Z263=0),0,MAX(5,Z263*IF(OR($A263=Parameters!$B$13,$A263=Parameters!$B$14),0.75,1)-(IF(AND($A263=DATE(2026,11,29),NOV29BF="Yes"),AA263,0)+IF(OR($A263=DATE(2026,11,29),$A263=DATE(2026,11,30),$A263=DATE(2026,12,1),$A263=DATE(2026,12,2)),AB263,0)+IF(OR($A263=DATE(2026,11,28),$A263=DATE(2026,12,1)),AC263,0))))</f>
        <v>0</v>
      </c>
      <c r="AE263" s="14" t="n">
        <f aca="false">IF(AND($A263&lt;&gt;"",$A263&lt;Parameters!$B$14),CityData!F6*(1+TAXRATE),0)</f>
        <v>0</v>
      </c>
      <c r="AF263" s="14" t="n">
        <f aca="false">IF($A263="",0,IFERROR(VLOOKUP((YEAR($A263)+IF(MONTH($A263)&gt;=10,1,0))&amp;"|Phoenix|"&amp;MONTH($A263),Rates!$A$2:$I$181,5,FALSE()),0))</f>
        <v>0</v>
      </c>
      <c r="AG263" s="14" t="n">
        <f aca="false">IF(OR($A263="",$A263&gt;=Parameters!$B$14),1,IF(AND(AF263&gt;0,CityData!F6&lt;=AF263),1,0))</f>
        <v>1</v>
      </c>
      <c r="AH263" s="14" t="n">
        <f aca="false">IF($A263="",0,IFERROR(VLOOKUP((YEAR($A263)+IF(MONTH($A263)&gt;=10,1,0))&amp;"|Seattle|"&amp;MONTH($A263),Rates!$A$2:$I$181,6,FALSE()),0))</f>
        <v>0</v>
      </c>
      <c r="AI263" s="14" t="n">
        <f aca="false">IF(AH263=0,0,VLOOKUP(AH263,MIE_Components!$A$2:$F$6,2,FALSE()))</f>
        <v>0</v>
      </c>
      <c r="AJ263" s="14" t="n">
        <f aca="false">IF(AH263=0,0,VLOOKUP(AH263,MIE_Components!$A$2:$F$6,3,FALSE()))</f>
        <v>0</v>
      </c>
      <c r="AK263" s="14" t="n">
        <f aca="false">IF(AH263=0,0,VLOOKUP(AH263,MIE_Components!$A$2:$F$6,4,FALSE()))</f>
        <v>0</v>
      </c>
      <c r="AL263" s="14" t="n">
        <f aca="false">IF(OR($A263="",AH263=0),0,MAX(5,AH263*IF(OR($A263=Parameters!$B$13,$A263=Parameters!$B$14),0.75,1)-(IF(AND($A263=DATE(2026,11,29),NOV29BF="Yes"),AI263,0)+IF(OR($A263=DATE(2026,11,29),$A263=DATE(2026,11,30),$A263=DATE(2026,12,1),$A263=DATE(2026,12,2)),AJ263,0)+IF(OR($A263=DATE(2026,11,28),$A263=DATE(2026,12,1)),AK263,0))))</f>
        <v>0</v>
      </c>
      <c r="AM263" s="14" t="n">
        <f aca="false">IF(AND($A263&lt;&gt;"",$A263&lt;Parameters!$B$14),CityData!F7*(1+TAXRATE),0)</f>
        <v>0</v>
      </c>
      <c r="AN263" s="14" t="n">
        <f aca="false">IF($A263="",0,IFERROR(VLOOKUP((YEAR($A263)+IF(MONTH($A263)&gt;=10,1,0))&amp;"|Seattle|"&amp;MONTH($A263),Rates!$A$2:$I$181,5,FALSE()),0))</f>
        <v>0</v>
      </c>
      <c r="AO263" s="14" t="n">
        <f aca="false">IF(OR($A263="",$A263&gt;=Parameters!$B$14),1,IF(AND(AN263&gt;0,CityData!F7&lt;=AN263),1,0))</f>
        <v>1</v>
      </c>
    </row>
    <row r="264" customFormat="false" ht="15" hidden="false" customHeight="true" outlineLevel="0" collapsed="false">
      <c r="A264" s="23" t="str">
        <f aca="false">IF(AND(Parameters!$B$14&gt;=Parameters!$B$13,ROW()-2&lt;=Parameters!$B$14-Parameters!$B$13),Parameters!$B$13+ROW()-2,"")</f>
        <v/>
      </c>
      <c r="B264" s="14" t="n">
        <f aca="false">IF($A264="",0,IFERROR(VLOOKUP((YEAR($A264)+IF(MONTH($A264)&gt;=10,1,0))&amp;"|Boston|"&amp;MONTH($A264),Rates!$A$2:$I$181,6,FALSE()),0))</f>
        <v>0</v>
      </c>
      <c r="C264" s="14" t="n">
        <f aca="false">IF(B264=0,0,VLOOKUP(B264,MIE_Components!$A$2:$F$6,2,FALSE()))</f>
        <v>0</v>
      </c>
      <c r="D264" s="14" t="n">
        <f aca="false">IF(B264=0,0,VLOOKUP(B264,MIE_Components!$A$2:$F$6,3,FALSE()))</f>
        <v>0</v>
      </c>
      <c r="E264" s="14" t="n">
        <f aca="false">IF(B264=0,0,VLOOKUP(B264,MIE_Components!$A$2:$F$6,4,FALSE()))</f>
        <v>0</v>
      </c>
      <c r="F264" s="14" t="n">
        <f aca="false">IF(OR($A264="",B264=0),0,MAX(5,B264*IF(OR($A264=Parameters!$B$13,$A264=Parameters!$B$14),0.75,1)-(IF(AND($A264=DATE(2026,11,29),NOV29BF="Yes"),C264,0)+IF(OR($A264=DATE(2026,11,29),$A264=DATE(2026,11,30),$A264=DATE(2026,12,1),$A264=DATE(2026,12,2)),D264,0)+IF(OR($A264=DATE(2026,11,28),$A264=DATE(2026,12,1)),E264,0))))</f>
        <v>0</v>
      </c>
      <c r="G264" s="14" t="n">
        <f aca="false">IF(AND($A264&lt;&gt;"",$A264&lt;Parameters!$B$14),CityData!F3*(1+TAXRATE),0)</f>
        <v>0</v>
      </c>
      <c r="H264" s="14" t="n">
        <f aca="false">IF($A264="",0,IFERROR(VLOOKUP((YEAR($A264)+IF(MONTH($A264)&gt;=10,1,0))&amp;"|Boston|"&amp;MONTH($A264),Rates!$A$2:$I$181,5,FALSE()),0))</f>
        <v>0</v>
      </c>
      <c r="I264" s="14" t="n">
        <f aca="false">IF(OR($A264="",$A264&gt;=Parameters!$B$14),1,IF(AND(H264&gt;0,CityData!F3&lt;=H264),1,0))</f>
        <v>1</v>
      </c>
      <c r="J264" s="14" t="n">
        <f aca="false">IF($A264="",0,IFERROR(VLOOKUP((YEAR($A264)+IF(MONTH($A264)&gt;=10,1,0))&amp;"|Chicago|"&amp;MONTH($A264),Rates!$A$2:$I$181,6,FALSE()),0))</f>
        <v>0</v>
      </c>
      <c r="K264" s="14" t="n">
        <f aca="false">IF(J264=0,0,VLOOKUP(J264,MIE_Components!$A$2:$F$6,2,FALSE()))</f>
        <v>0</v>
      </c>
      <c r="L264" s="14" t="n">
        <f aca="false">IF(J264=0,0,VLOOKUP(J264,MIE_Components!$A$2:$F$6,3,FALSE()))</f>
        <v>0</v>
      </c>
      <c r="M264" s="14" t="n">
        <f aca="false">IF(J264=0,0,VLOOKUP(J264,MIE_Components!$A$2:$F$6,4,FALSE()))</f>
        <v>0</v>
      </c>
      <c r="N264" s="14" t="n">
        <f aca="false">IF(OR($A264="",J264=0),0,MAX(5,J264*IF(OR($A264=Parameters!$B$13,$A264=Parameters!$B$14),0.75,1)-(IF(AND($A264=DATE(2026,11,29),NOV29BF="Yes"),K264,0)+IF(OR($A264=DATE(2026,11,29),$A264=DATE(2026,11,30),$A264=DATE(2026,12,1),$A264=DATE(2026,12,2)),L264,0)+IF(OR($A264=DATE(2026,11,28),$A264=DATE(2026,12,1)),M264,0))))</f>
        <v>0</v>
      </c>
      <c r="O264" s="14" t="n">
        <f aca="false">IF(AND($A264&lt;&gt;"",$A264&lt;Parameters!$B$14),CityData!F4*(1+TAXRATE),0)</f>
        <v>0</v>
      </c>
      <c r="P264" s="14" t="n">
        <f aca="false">IF($A264="",0,IFERROR(VLOOKUP((YEAR($A264)+IF(MONTH($A264)&gt;=10,1,0))&amp;"|Chicago|"&amp;MONTH($A264),Rates!$A$2:$I$181,5,FALSE()),0))</f>
        <v>0</v>
      </c>
      <c r="Q264" s="14" t="n">
        <f aca="false">IF(OR($A264="",$A264&gt;=Parameters!$B$14),1,IF(AND(P264&gt;0,CityData!F4&lt;=P264),1,0))</f>
        <v>1</v>
      </c>
      <c r="R264" s="14" t="n">
        <f aca="false">IF($A264="",0,IFERROR(VLOOKUP((YEAR($A264)+IF(MONTH($A264)&gt;=10,1,0))&amp;"|Denver|"&amp;MONTH($A264),Rates!$A$2:$I$181,6,FALSE()),0))</f>
        <v>0</v>
      </c>
      <c r="S264" s="14" t="n">
        <f aca="false">IF(R264=0,0,VLOOKUP(R264,MIE_Components!$A$2:$F$6,2,FALSE()))</f>
        <v>0</v>
      </c>
      <c r="T264" s="14" t="n">
        <f aca="false">IF(R264=0,0,VLOOKUP(R264,MIE_Components!$A$2:$F$6,3,FALSE()))</f>
        <v>0</v>
      </c>
      <c r="U264" s="14" t="n">
        <f aca="false">IF(R264=0,0,VLOOKUP(R264,MIE_Components!$A$2:$F$6,4,FALSE()))</f>
        <v>0</v>
      </c>
      <c r="V264" s="14" t="n">
        <f aca="false">IF(OR($A264="",R264=0),0,MAX(5,R264*IF(OR($A264=Parameters!$B$13,$A264=Parameters!$B$14),0.75,1)-(IF(AND($A264=DATE(2026,11,29),NOV29BF="Yes"),S264,0)+IF(OR($A264=DATE(2026,11,29),$A264=DATE(2026,11,30),$A264=DATE(2026,12,1),$A264=DATE(2026,12,2)),T264,0)+IF(OR($A264=DATE(2026,11,28),$A264=DATE(2026,12,1)),U264,0))))</f>
        <v>0</v>
      </c>
      <c r="W264" s="14" t="n">
        <f aca="false">IF(AND($A264&lt;&gt;"",$A264&lt;Parameters!$B$14),CityData!F5*(1+TAXRATE),0)</f>
        <v>0</v>
      </c>
      <c r="X264" s="14" t="n">
        <f aca="false">IF($A264="",0,IFERROR(VLOOKUP((YEAR($A264)+IF(MONTH($A264)&gt;=10,1,0))&amp;"|Denver|"&amp;MONTH($A264),Rates!$A$2:$I$181,5,FALSE()),0))</f>
        <v>0</v>
      </c>
      <c r="Y264" s="14" t="n">
        <f aca="false">IF(OR($A264="",$A264&gt;=Parameters!$B$14),1,IF(AND(X264&gt;0,CityData!F5&lt;=X264),1,0))</f>
        <v>1</v>
      </c>
      <c r="Z264" s="14" t="n">
        <f aca="false">IF($A264="",0,IFERROR(VLOOKUP((YEAR($A264)+IF(MONTH($A264)&gt;=10,1,0))&amp;"|Phoenix|"&amp;MONTH($A264),Rates!$A$2:$I$181,6,FALSE()),0))</f>
        <v>0</v>
      </c>
      <c r="AA264" s="14" t="n">
        <f aca="false">IF(Z264=0,0,VLOOKUP(Z264,MIE_Components!$A$2:$F$6,2,FALSE()))</f>
        <v>0</v>
      </c>
      <c r="AB264" s="14" t="n">
        <f aca="false">IF(Z264=0,0,VLOOKUP(Z264,MIE_Components!$A$2:$F$6,3,FALSE()))</f>
        <v>0</v>
      </c>
      <c r="AC264" s="14" t="n">
        <f aca="false">IF(Z264=0,0,VLOOKUP(Z264,MIE_Components!$A$2:$F$6,4,FALSE()))</f>
        <v>0</v>
      </c>
      <c r="AD264" s="14" t="n">
        <f aca="false">IF(OR($A264="",Z264=0),0,MAX(5,Z264*IF(OR($A264=Parameters!$B$13,$A264=Parameters!$B$14),0.75,1)-(IF(AND($A264=DATE(2026,11,29),NOV29BF="Yes"),AA264,0)+IF(OR($A264=DATE(2026,11,29),$A264=DATE(2026,11,30),$A264=DATE(2026,12,1),$A264=DATE(2026,12,2)),AB264,0)+IF(OR($A264=DATE(2026,11,28),$A264=DATE(2026,12,1)),AC264,0))))</f>
        <v>0</v>
      </c>
      <c r="AE264" s="14" t="n">
        <f aca="false">IF(AND($A264&lt;&gt;"",$A264&lt;Parameters!$B$14),CityData!F6*(1+TAXRATE),0)</f>
        <v>0</v>
      </c>
      <c r="AF264" s="14" t="n">
        <f aca="false">IF($A264="",0,IFERROR(VLOOKUP((YEAR($A264)+IF(MONTH($A264)&gt;=10,1,0))&amp;"|Phoenix|"&amp;MONTH($A264),Rates!$A$2:$I$181,5,FALSE()),0))</f>
        <v>0</v>
      </c>
      <c r="AG264" s="14" t="n">
        <f aca="false">IF(OR($A264="",$A264&gt;=Parameters!$B$14),1,IF(AND(AF264&gt;0,CityData!F6&lt;=AF264),1,0))</f>
        <v>1</v>
      </c>
      <c r="AH264" s="14" t="n">
        <f aca="false">IF($A264="",0,IFERROR(VLOOKUP((YEAR($A264)+IF(MONTH($A264)&gt;=10,1,0))&amp;"|Seattle|"&amp;MONTH($A264),Rates!$A$2:$I$181,6,FALSE()),0))</f>
        <v>0</v>
      </c>
      <c r="AI264" s="14" t="n">
        <f aca="false">IF(AH264=0,0,VLOOKUP(AH264,MIE_Components!$A$2:$F$6,2,FALSE()))</f>
        <v>0</v>
      </c>
      <c r="AJ264" s="14" t="n">
        <f aca="false">IF(AH264=0,0,VLOOKUP(AH264,MIE_Components!$A$2:$F$6,3,FALSE()))</f>
        <v>0</v>
      </c>
      <c r="AK264" s="14" t="n">
        <f aca="false">IF(AH264=0,0,VLOOKUP(AH264,MIE_Components!$A$2:$F$6,4,FALSE()))</f>
        <v>0</v>
      </c>
      <c r="AL264" s="14" t="n">
        <f aca="false">IF(OR($A264="",AH264=0),0,MAX(5,AH264*IF(OR($A264=Parameters!$B$13,$A264=Parameters!$B$14),0.75,1)-(IF(AND($A264=DATE(2026,11,29),NOV29BF="Yes"),AI264,0)+IF(OR($A264=DATE(2026,11,29),$A264=DATE(2026,11,30),$A264=DATE(2026,12,1),$A264=DATE(2026,12,2)),AJ264,0)+IF(OR($A264=DATE(2026,11,28),$A264=DATE(2026,12,1)),AK264,0))))</f>
        <v>0</v>
      </c>
      <c r="AM264" s="14" t="n">
        <f aca="false">IF(AND($A264&lt;&gt;"",$A264&lt;Parameters!$B$14),CityData!F7*(1+TAXRATE),0)</f>
        <v>0</v>
      </c>
      <c r="AN264" s="14" t="n">
        <f aca="false">IF($A264="",0,IFERROR(VLOOKUP((YEAR($A264)+IF(MONTH($A264)&gt;=10,1,0))&amp;"|Seattle|"&amp;MONTH($A264),Rates!$A$2:$I$181,5,FALSE()),0))</f>
        <v>0</v>
      </c>
      <c r="AO264" s="14" t="n">
        <f aca="false">IF(OR($A264="",$A264&gt;=Parameters!$B$14),1,IF(AND(AN264&gt;0,CityData!F7&lt;=AN264),1,0))</f>
        <v>1</v>
      </c>
    </row>
    <row r="265" customFormat="false" ht="15" hidden="false" customHeight="true" outlineLevel="0" collapsed="false">
      <c r="A265" s="23" t="str">
        <f aca="false">IF(AND(Parameters!$B$14&gt;=Parameters!$B$13,ROW()-2&lt;=Parameters!$B$14-Parameters!$B$13),Parameters!$B$13+ROW()-2,"")</f>
        <v/>
      </c>
      <c r="B265" s="14" t="n">
        <f aca="false">IF($A265="",0,IFERROR(VLOOKUP((YEAR($A265)+IF(MONTH($A265)&gt;=10,1,0))&amp;"|Boston|"&amp;MONTH($A265),Rates!$A$2:$I$181,6,FALSE()),0))</f>
        <v>0</v>
      </c>
      <c r="C265" s="14" t="n">
        <f aca="false">IF(B265=0,0,VLOOKUP(B265,MIE_Components!$A$2:$F$6,2,FALSE()))</f>
        <v>0</v>
      </c>
      <c r="D265" s="14" t="n">
        <f aca="false">IF(B265=0,0,VLOOKUP(B265,MIE_Components!$A$2:$F$6,3,FALSE()))</f>
        <v>0</v>
      </c>
      <c r="E265" s="14" t="n">
        <f aca="false">IF(B265=0,0,VLOOKUP(B265,MIE_Components!$A$2:$F$6,4,FALSE()))</f>
        <v>0</v>
      </c>
      <c r="F265" s="14" t="n">
        <f aca="false">IF(OR($A265="",B265=0),0,MAX(5,B265*IF(OR($A265=Parameters!$B$13,$A265=Parameters!$B$14),0.75,1)-(IF(AND($A265=DATE(2026,11,29),NOV29BF="Yes"),C265,0)+IF(OR($A265=DATE(2026,11,29),$A265=DATE(2026,11,30),$A265=DATE(2026,12,1),$A265=DATE(2026,12,2)),D265,0)+IF(OR($A265=DATE(2026,11,28),$A265=DATE(2026,12,1)),E265,0))))</f>
        <v>0</v>
      </c>
      <c r="G265" s="14" t="n">
        <f aca="false">IF(AND($A265&lt;&gt;"",$A265&lt;Parameters!$B$14),CityData!F3*(1+TAXRATE),0)</f>
        <v>0</v>
      </c>
      <c r="H265" s="14" t="n">
        <f aca="false">IF($A265="",0,IFERROR(VLOOKUP((YEAR($A265)+IF(MONTH($A265)&gt;=10,1,0))&amp;"|Boston|"&amp;MONTH($A265),Rates!$A$2:$I$181,5,FALSE()),0))</f>
        <v>0</v>
      </c>
      <c r="I265" s="14" t="n">
        <f aca="false">IF(OR($A265="",$A265&gt;=Parameters!$B$14),1,IF(AND(H265&gt;0,CityData!F3&lt;=H265),1,0))</f>
        <v>1</v>
      </c>
      <c r="J265" s="14" t="n">
        <f aca="false">IF($A265="",0,IFERROR(VLOOKUP((YEAR($A265)+IF(MONTH($A265)&gt;=10,1,0))&amp;"|Chicago|"&amp;MONTH($A265),Rates!$A$2:$I$181,6,FALSE()),0))</f>
        <v>0</v>
      </c>
      <c r="K265" s="14" t="n">
        <f aca="false">IF(J265=0,0,VLOOKUP(J265,MIE_Components!$A$2:$F$6,2,FALSE()))</f>
        <v>0</v>
      </c>
      <c r="L265" s="14" t="n">
        <f aca="false">IF(J265=0,0,VLOOKUP(J265,MIE_Components!$A$2:$F$6,3,FALSE()))</f>
        <v>0</v>
      </c>
      <c r="M265" s="14" t="n">
        <f aca="false">IF(J265=0,0,VLOOKUP(J265,MIE_Components!$A$2:$F$6,4,FALSE()))</f>
        <v>0</v>
      </c>
      <c r="N265" s="14" t="n">
        <f aca="false">IF(OR($A265="",J265=0),0,MAX(5,J265*IF(OR($A265=Parameters!$B$13,$A265=Parameters!$B$14),0.75,1)-(IF(AND($A265=DATE(2026,11,29),NOV29BF="Yes"),K265,0)+IF(OR($A265=DATE(2026,11,29),$A265=DATE(2026,11,30),$A265=DATE(2026,12,1),$A265=DATE(2026,12,2)),L265,0)+IF(OR($A265=DATE(2026,11,28),$A265=DATE(2026,12,1)),M265,0))))</f>
        <v>0</v>
      </c>
      <c r="O265" s="14" t="n">
        <f aca="false">IF(AND($A265&lt;&gt;"",$A265&lt;Parameters!$B$14),CityData!F4*(1+TAXRATE),0)</f>
        <v>0</v>
      </c>
      <c r="P265" s="14" t="n">
        <f aca="false">IF($A265="",0,IFERROR(VLOOKUP((YEAR($A265)+IF(MONTH($A265)&gt;=10,1,0))&amp;"|Chicago|"&amp;MONTH($A265),Rates!$A$2:$I$181,5,FALSE()),0))</f>
        <v>0</v>
      </c>
      <c r="Q265" s="14" t="n">
        <f aca="false">IF(OR($A265="",$A265&gt;=Parameters!$B$14),1,IF(AND(P265&gt;0,CityData!F4&lt;=P265),1,0))</f>
        <v>1</v>
      </c>
      <c r="R265" s="14" t="n">
        <f aca="false">IF($A265="",0,IFERROR(VLOOKUP((YEAR($A265)+IF(MONTH($A265)&gt;=10,1,0))&amp;"|Denver|"&amp;MONTH($A265),Rates!$A$2:$I$181,6,FALSE()),0))</f>
        <v>0</v>
      </c>
      <c r="S265" s="14" t="n">
        <f aca="false">IF(R265=0,0,VLOOKUP(R265,MIE_Components!$A$2:$F$6,2,FALSE()))</f>
        <v>0</v>
      </c>
      <c r="T265" s="14" t="n">
        <f aca="false">IF(R265=0,0,VLOOKUP(R265,MIE_Components!$A$2:$F$6,3,FALSE()))</f>
        <v>0</v>
      </c>
      <c r="U265" s="14" t="n">
        <f aca="false">IF(R265=0,0,VLOOKUP(R265,MIE_Components!$A$2:$F$6,4,FALSE()))</f>
        <v>0</v>
      </c>
      <c r="V265" s="14" t="n">
        <f aca="false">IF(OR($A265="",R265=0),0,MAX(5,R265*IF(OR($A265=Parameters!$B$13,$A265=Parameters!$B$14),0.75,1)-(IF(AND($A265=DATE(2026,11,29),NOV29BF="Yes"),S265,0)+IF(OR($A265=DATE(2026,11,29),$A265=DATE(2026,11,30),$A265=DATE(2026,12,1),$A265=DATE(2026,12,2)),T265,0)+IF(OR($A265=DATE(2026,11,28),$A265=DATE(2026,12,1)),U265,0))))</f>
        <v>0</v>
      </c>
      <c r="W265" s="14" t="n">
        <f aca="false">IF(AND($A265&lt;&gt;"",$A265&lt;Parameters!$B$14),CityData!F5*(1+TAXRATE),0)</f>
        <v>0</v>
      </c>
      <c r="X265" s="14" t="n">
        <f aca="false">IF($A265="",0,IFERROR(VLOOKUP((YEAR($A265)+IF(MONTH($A265)&gt;=10,1,0))&amp;"|Denver|"&amp;MONTH($A265),Rates!$A$2:$I$181,5,FALSE()),0))</f>
        <v>0</v>
      </c>
      <c r="Y265" s="14" t="n">
        <f aca="false">IF(OR($A265="",$A265&gt;=Parameters!$B$14),1,IF(AND(X265&gt;0,CityData!F5&lt;=X265),1,0))</f>
        <v>1</v>
      </c>
      <c r="Z265" s="14" t="n">
        <f aca="false">IF($A265="",0,IFERROR(VLOOKUP((YEAR($A265)+IF(MONTH($A265)&gt;=10,1,0))&amp;"|Phoenix|"&amp;MONTH($A265),Rates!$A$2:$I$181,6,FALSE()),0))</f>
        <v>0</v>
      </c>
      <c r="AA265" s="14" t="n">
        <f aca="false">IF(Z265=0,0,VLOOKUP(Z265,MIE_Components!$A$2:$F$6,2,FALSE()))</f>
        <v>0</v>
      </c>
      <c r="AB265" s="14" t="n">
        <f aca="false">IF(Z265=0,0,VLOOKUP(Z265,MIE_Components!$A$2:$F$6,3,FALSE()))</f>
        <v>0</v>
      </c>
      <c r="AC265" s="14" t="n">
        <f aca="false">IF(Z265=0,0,VLOOKUP(Z265,MIE_Components!$A$2:$F$6,4,FALSE()))</f>
        <v>0</v>
      </c>
      <c r="AD265" s="14" t="n">
        <f aca="false">IF(OR($A265="",Z265=0),0,MAX(5,Z265*IF(OR($A265=Parameters!$B$13,$A265=Parameters!$B$14),0.75,1)-(IF(AND($A265=DATE(2026,11,29),NOV29BF="Yes"),AA265,0)+IF(OR($A265=DATE(2026,11,29),$A265=DATE(2026,11,30),$A265=DATE(2026,12,1),$A265=DATE(2026,12,2)),AB265,0)+IF(OR($A265=DATE(2026,11,28),$A265=DATE(2026,12,1)),AC265,0))))</f>
        <v>0</v>
      </c>
      <c r="AE265" s="14" t="n">
        <f aca="false">IF(AND($A265&lt;&gt;"",$A265&lt;Parameters!$B$14),CityData!F6*(1+TAXRATE),0)</f>
        <v>0</v>
      </c>
      <c r="AF265" s="14" t="n">
        <f aca="false">IF($A265="",0,IFERROR(VLOOKUP((YEAR($A265)+IF(MONTH($A265)&gt;=10,1,0))&amp;"|Phoenix|"&amp;MONTH($A265),Rates!$A$2:$I$181,5,FALSE()),0))</f>
        <v>0</v>
      </c>
      <c r="AG265" s="14" t="n">
        <f aca="false">IF(OR($A265="",$A265&gt;=Parameters!$B$14),1,IF(AND(AF265&gt;0,CityData!F6&lt;=AF265),1,0))</f>
        <v>1</v>
      </c>
      <c r="AH265" s="14" t="n">
        <f aca="false">IF($A265="",0,IFERROR(VLOOKUP((YEAR($A265)+IF(MONTH($A265)&gt;=10,1,0))&amp;"|Seattle|"&amp;MONTH($A265),Rates!$A$2:$I$181,6,FALSE()),0))</f>
        <v>0</v>
      </c>
      <c r="AI265" s="14" t="n">
        <f aca="false">IF(AH265=0,0,VLOOKUP(AH265,MIE_Components!$A$2:$F$6,2,FALSE()))</f>
        <v>0</v>
      </c>
      <c r="AJ265" s="14" t="n">
        <f aca="false">IF(AH265=0,0,VLOOKUP(AH265,MIE_Components!$A$2:$F$6,3,FALSE()))</f>
        <v>0</v>
      </c>
      <c r="AK265" s="14" t="n">
        <f aca="false">IF(AH265=0,0,VLOOKUP(AH265,MIE_Components!$A$2:$F$6,4,FALSE()))</f>
        <v>0</v>
      </c>
      <c r="AL265" s="14" t="n">
        <f aca="false">IF(OR($A265="",AH265=0),0,MAX(5,AH265*IF(OR($A265=Parameters!$B$13,$A265=Parameters!$B$14),0.75,1)-(IF(AND($A265=DATE(2026,11,29),NOV29BF="Yes"),AI265,0)+IF(OR($A265=DATE(2026,11,29),$A265=DATE(2026,11,30),$A265=DATE(2026,12,1),$A265=DATE(2026,12,2)),AJ265,0)+IF(OR($A265=DATE(2026,11,28),$A265=DATE(2026,12,1)),AK265,0))))</f>
        <v>0</v>
      </c>
      <c r="AM265" s="14" t="n">
        <f aca="false">IF(AND($A265&lt;&gt;"",$A265&lt;Parameters!$B$14),CityData!F7*(1+TAXRATE),0)</f>
        <v>0</v>
      </c>
      <c r="AN265" s="14" t="n">
        <f aca="false">IF($A265="",0,IFERROR(VLOOKUP((YEAR($A265)+IF(MONTH($A265)&gt;=10,1,0))&amp;"|Seattle|"&amp;MONTH($A265),Rates!$A$2:$I$181,5,FALSE()),0))</f>
        <v>0</v>
      </c>
      <c r="AO265" s="14" t="n">
        <f aca="false">IF(OR($A265="",$A265&gt;=Parameters!$B$14),1,IF(AND(AN265&gt;0,CityData!F7&lt;=AN265),1,0))</f>
        <v>1</v>
      </c>
    </row>
    <row r="266" customFormat="false" ht="15" hidden="false" customHeight="true" outlineLevel="0" collapsed="false">
      <c r="A266" s="23" t="str">
        <f aca="false">IF(AND(Parameters!$B$14&gt;=Parameters!$B$13,ROW()-2&lt;=Parameters!$B$14-Parameters!$B$13),Parameters!$B$13+ROW()-2,"")</f>
        <v/>
      </c>
      <c r="B266" s="14" t="n">
        <f aca="false">IF($A266="",0,IFERROR(VLOOKUP((YEAR($A266)+IF(MONTH($A266)&gt;=10,1,0))&amp;"|Boston|"&amp;MONTH($A266),Rates!$A$2:$I$181,6,FALSE()),0))</f>
        <v>0</v>
      </c>
      <c r="C266" s="14" t="n">
        <f aca="false">IF(B266=0,0,VLOOKUP(B266,MIE_Components!$A$2:$F$6,2,FALSE()))</f>
        <v>0</v>
      </c>
      <c r="D266" s="14" t="n">
        <f aca="false">IF(B266=0,0,VLOOKUP(B266,MIE_Components!$A$2:$F$6,3,FALSE()))</f>
        <v>0</v>
      </c>
      <c r="E266" s="14" t="n">
        <f aca="false">IF(B266=0,0,VLOOKUP(B266,MIE_Components!$A$2:$F$6,4,FALSE()))</f>
        <v>0</v>
      </c>
      <c r="F266" s="14" t="n">
        <f aca="false">IF(OR($A266="",B266=0),0,MAX(5,B266*IF(OR($A266=Parameters!$B$13,$A266=Parameters!$B$14),0.75,1)-(IF(AND($A266=DATE(2026,11,29),NOV29BF="Yes"),C266,0)+IF(OR($A266=DATE(2026,11,29),$A266=DATE(2026,11,30),$A266=DATE(2026,12,1),$A266=DATE(2026,12,2)),D266,0)+IF(OR($A266=DATE(2026,11,28),$A266=DATE(2026,12,1)),E266,0))))</f>
        <v>0</v>
      </c>
      <c r="G266" s="14" t="n">
        <f aca="false">IF(AND($A266&lt;&gt;"",$A266&lt;Parameters!$B$14),CityData!F3*(1+TAXRATE),0)</f>
        <v>0</v>
      </c>
      <c r="H266" s="14" t="n">
        <f aca="false">IF($A266="",0,IFERROR(VLOOKUP((YEAR($A266)+IF(MONTH($A266)&gt;=10,1,0))&amp;"|Boston|"&amp;MONTH($A266),Rates!$A$2:$I$181,5,FALSE()),0))</f>
        <v>0</v>
      </c>
      <c r="I266" s="14" t="n">
        <f aca="false">IF(OR($A266="",$A266&gt;=Parameters!$B$14),1,IF(AND(H266&gt;0,CityData!F3&lt;=H266),1,0))</f>
        <v>1</v>
      </c>
      <c r="J266" s="14" t="n">
        <f aca="false">IF($A266="",0,IFERROR(VLOOKUP((YEAR($A266)+IF(MONTH($A266)&gt;=10,1,0))&amp;"|Chicago|"&amp;MONTH($A266),Rates!$A$2:$I$181,6,FALSE()),0))</f>
        <v>0</v>
      </c>
      <c r="K266" s="14" t="n">
        <f aca="false">IF(J266=0,0,VLOOKUP(J266,MIE_Components!$A$2:$F$6,2,FALSE()))</f>
        <v>0</v>
      </c>
      <c r="L266" s="14" t="n">
        <f aca="false">IF(J266=0,0,VLOOKUP(J266,MIE_Components!$A$2:$F$6,3,FALSE()))</f>
        <v>0</v>
      </c>
      <c r="M266" s="14" t="n">
        <f aca="false">IF(J266=0,0,VLOOKUP(J266,MIE_Components!$A$2:$F$6,4,FALSE()))</f>
        <v>0</v>
      </c>
      <c r="N266" s="14" t="n">
        <f aca="false">IF(OR($A266="",J266=0),0,MAX(5,J266*IF(OR($A266=Parameters!$B$13,$A266=Parameters!$B$14),0.75,1)-(IF(AND($A266=DATE(2026,11,29),NOV29BF="Yes"),K266,0)+IF(OR($A266=DATE(2026,11,29),$A266=DATE(2026,11,30),$A266=DATE(2026,12,1),$A266=DATE(2026,12,2)),L266,0)+IF(OR($A266=DATE(2026,11,28),$A266=DATE(2026,12,1)),M266,0))))</f>
        <v>0</v>
      </c>
      <c r="O266" s="14" t="n">
        <f aca="false">IF(AND($A266&lt;&gt;"",$A266&lt;Parameters!$B$14),CityData!F4*(1+TAXRATE),0)</f>
        <v>0</v>
      </c>
      <c r="P266" s="14" t="n">
        <f aca="false">IF($A266="",0,IFERROR(VLOOKUP((YEAR($A266)+IF(MONTH($A266)&gt;=10,1,0))&amp;"|Chicago|"&amp;MONTH($A266),Rates!$A$2:$I$181,5,FALSE()),0))</f>
        <v>0</v>
      </c>
      <c r="Q266" s="14" t="n">
        <f aca="false">IF(OR($A266="",$A266&gt;=Parameters!$B$14),1,IF(AND(P266&gt;0,CityData!F4&lt;=P266),1,0))</f>
        <v>1</v>
      </c>
      <c r="R266" s="14" t="n">
        <f aca="false">IF($A266="",0,IFERROR(VLOOKUP((YEAR($A266)+IF(MONTH($A266)&gt;=10,1,0))&amp;"|Denver|"&amp;MONTH($A266),Rates!$A$2:$I$181,6,FALSE()),0))</f>
        <v>0</v>
      </c>
      <c r="S266" s="14" t="n">
        <f aca="false">IF(R266=0,0,VLOOKUP(R266,MIE_Components!$A$2:$F$6,2,FALSE()))</f>
        <v>0</v>
      </c>
      <c r="T266" s="14" t="n">
        <f aca="false">IF(R266=0,0,VLOOKUP(R266,MIE_Components!$A$2:$F$6,3,FALSE()))</f>
        <v>0</v>
      </c>
      <c r="U266" s="14" t="n">
        <f aca="false">IF(R266=0,0,VLOOKUP(R266,MIE_Components!$A$2:$F$6,4,FALSE()))</f>
        <v>0</v>
      </c>
      <c r="V266" s="14" t="n">
        <f aca="false">IF(OR($A266="",R266=0),0,MAX(5,R266*IF(OR($A266=Parameters!$B$13,$A266=Parameters!$B$14),0.75,1)-(IF(AND($A266=DATE(2026,11,29),NOV29BF="Yes"),S266,0)+IF(OR($A266=DATE(2026,11,29),$A266=DATE(2026,11,30),$A266=DATE(2026,12,1),$A266=DATE(2026,12,2)),T266,0)+IF(OR($A266=DATE(2026,11,28),$A266=DATE(2026,12,1)),U266,0))))</f>
        <v>0</v>
      </c>
      <c r="W266" s="14" t="n">
        <f aca="false">IF(AND($A266&lt;&gt;"",$A266&lt;Parameters!$B$14),CityData!F5*(1+TAXRATE),0)</f>
        <v>0</v>
      </c>
      <c r="X266" s="14" t="n">
        <f aca="false">IF($A266="",0,IFERROR(VLOOKUP((YEAR($A266)+IF(MONTH($A266)&gt;=10,1,0))&amp;"|Denver|"&amp;MONTH($A266),Rates!$A$2:$I$181,5,FALSE()),0))</f>
        <v>0</v>
      </c>
      <c r="Y266" s="14" t="n">
        <f aca="false">IF(OR($A266="",$A266&gt;=Parameters!$B$14),1,IF(AND(X266&gt;0,CityData!F5&lt;=X266),1,0))</f>
        <v>1</v>
      </c>
      <c r="Z266" s="14" t="n">
        <f aca="false">IF($A266="",0,IFERROR(VLOOKUP((YEAR($A266)+IF(MONTH($A266)&gt;=10,1,0))&amp;"|Phoenix|"&amp;MONTH($A266),Rates!$A$2:$I$181,6,FALSE()),0))</f>
        <v>0</v>
      </c>
      <c r="AA266" s="14" t="n">
        <f aca="false">IF(Z266=0,0,VLOOKUP(Z266,MIE_Components!$A$2:$F$6,2,FALSE()))</f>
        <v>0</v>
      </c>
      <c r="AB266" s="14" t="n">
        <f aca="false">IF(Z266=0,0,VLOOKUP(Z266,MIE_Components!$A$2:$F$6,3,FALSE()))</f>
        <v>0</v>
      </c>
      <c r="AC266" s="14" t="n">
        <f aca="false">IF(Z266=0,0,VLOOKUP(Z266,MIE_Components!$A$2:$F$6,4,FALSE()))</f>
        <v>0</v>
      </c>
      <c r="AD266" s="14" t="n">
        <f aca="false">IF(OR($A266="",Z266=0),0,MAX(5,Z266*IF(OR($A266=Parameters!$B$13,$A266=Parameters!$B$14),0.75,1)-(IF(AND($A266=DATE(2026,11,29),NOV29BF="Yes"),AA266,0)+IF(OR($A266=DATE(2026,11,29),$A266=DATE(2026,11,30),$A266=DATE(2026,12,1),$A266=DATE(2026,12,2)),AB266,0)+IF(OR($A266=DATE(2026,11,28),$A266=DATE(2026,12,1)),AC266,0))))</f>
        <v>0</v>
      </c>
      <c r="AE266" s="14" t="n">
        <f aca="false">IF(AND($A266&lt;&gt;"",$A266&lt;Parameters!$B$14),CityData!F6*(1+TAXRATE),0)</f>
        <v>0</v>
      </c>
      <c r="AF266" s="14" t="n">
        <f aca="false">IF($A266="",0,IFERROR(VLOOKUP((YEAR($A266)+IF(MONTH($A266)&gt;=10,1,0))&amp;"|Phoenix|"&amp;MONTH($A266),Rates!$A$2:$I$181,5,FALSE()),0))</f>
        <v>0</v>
      </c>
      <c r="AG266" s="14" t="n">
        <f aca="false">IF(OR($A266="",$A266&gt;=Parameters!$B$14),1,IF(AND(AF266&gt;0,CityData!F6&lt;=AF266),1,0))</f>
        <v>1</v>
      </c>
      <c r="AH266" s="14" t="n">
        <f aca="false">IF($A266="",0,IFERROR(VLOOKUP((YEAR($A266)+IF(MONTH($A266)&gt;=10,1,0))&amp;"|Seattle|"&amp;MONTH($A266),Rates!$A$2:$I$181,6,FALSE()),0))</f>
        <v>0</v>
      </c>
      <c r="AI266" s="14" t="n">
        <f aca="false">IF(AH266=0,0,VLOOKUP(AH266,MIE_Components!$A$2:$F$6,2,FALSE()))</f>
        <v>0</v>
      </c>
      <c r="AJ266" s="14" t="n">
        <f aca="false">IF(AH266=0,0,VLOOKUP(AH266,MIE_Components!$A$2:$F$6,3,FALSE()))</f>
        <v>0</v>
      </c>
      <c r="AK266" s="14" t="n">
        <f aca="false">IF(AH266=0,0,VLOOKUP(AH266,MIE_Components!$A$2:$F$6,4,FALSE()))</f>
        <v>0</v>
      </c>
      <c r="AL266" s="14" t="n">
        <f aca="false">IF(OR($A266="",AH266=0),0,MAX(5,AH266*IF(OR($A266=Parameters!$B$13,$A266=Parameters!$B$14),0.75,1)-(IF(AND($A266=DATE(2026,11,29),NOV29BF="Yes"),AI266,0)+IF(OR($A266=DATE(2026,11,29),$A266=DATE(2026,11,30),$A266=DATE(2026,12,1),$A266=DATE(2026,12,2)),AJ266,0)+IF(OR($A266=DATE(2026,11,28),$A266=DATE(2026,12,1)),AK266,0))))</f>
        <v>0</v>
      </c>
      <c r="AM266" s="14" t="n">
        <f aca="false">IF(AND($A266&lt;&gt;"",$A266&lt;Parameters!$B$14),CityData!F7*(1+TAXRATE),0)</f>
        <v>0</v>
      </c>
      <c r="AN266" s="14" t="n">
        <f aca="false">IF($A266="",0,IFERROR(VLOOKUP((YEAR($A266)+IF(MONTH($A266)&gt;=10,1,0))&amp;"|Seattle|"&amp;MONTH($A266),Rates!$A$2:$I$181,5,FALSE()),0))</f>
        <v>0</v>
      </c>
      <c r="AO266" s="14" t="n">
        <f aca="false">IF(OR($A266="",$A266&gt;=Parameters!$B$14),1,IF(AND(AN266&gt;0,CityData!F7&lt;=AN266),1,0))</f>
        <v>1</v>
      </c>
    </row>
    <row r="267" customFormat="false" ht="15" hidden="false" customHeight="true" outlineLevel="0" collapsed="false">
      <c r="A267" s="23" t="str">
        <f aca="false">IF(AND(Parameters!$B$14&gt;=Parameters!$B$13,ROW()-2&lt;=Parameters!$B$14-Parameters!$B$13),Parameters!$B$13+ROW()-2,"")</f>
        <v/>
      </c>
      <c r="B267" s="14" t="n">
        <f aca="false">IF($A267="",0,IFERROR(VLOOKUP((YEAR($A267)+IF(MONTH($A267)&gt;=10,1,0))&amp;"|Boston|"&amp;MONTH($A267),Rates!$A$2:$I$181,6,FALSE()),0))</f>
        <v>0</v>
      </c>
      <c r="C267" s="14" t="n">
        <f aca="false">IF(B267=0,0,VLOOKUP(B267,MIE_Components!$A$2:$F$6,2,FALSE()))</f>
        <v>0</v>
      </c>
      <c r="D267" s="14" t="n">
        <f aca="false">IF(B267=0,0,VLOOKUP(B267,MIE_Components!$A$2:$F$6,3,FALSE()))</f>
        <v>0</v>
      </c>
      <c r="E267" s="14" t="n">
        <f aca="false">IF(B267=0,0,VLOOKUP(B267,MIE_Components!$A$2:$F$6,4,FALSE()))</f>
        <v>0</v>
      </c>
      <c r="F267" s="14" t="n">
        <f aca="false">IF(OR($A267="",B267=0),0,MAX(5,B267*IF(OR($A267=Parameters!$B$13,$A267=Parameters!$B$14),0.75,1)-(IF(AND($A267=DATE(2026,11,29),NOV29BF="Yes"),C267,0)+IF(OR($A267=DATE(2026,11,29),$A267=DATE(2026,11,30),$A267=DATE(2026,12,1),$A267=DATE(2026,12,2)),D267,0)+IF(OR($A267=DATE(2026,11,28),$A267=DATE(2026,12,1)),E267,0))))</f>
        <v>0</v>
      </c>
      <c r="G267" s="14" t="n">
        <f aca="false">IF(AND($A267&lt;&gt;"",$A267&lt;Parameters!$B$14),CityData!F3*(1+TAXRATE),0)</f>
        <v>0</v>
      </c>
      <c r="H267" s="14" t="n">
        <f aca="false">IF($A267="",0,IFERROR(VLOOKUP((YEAR($A267)+IF(MONTH($A267)&gt;=10,1,0))&amp;"|Boston|"&amp;MONTH($A267),Rates!$A$2:$I$181,5,FALSE()),0))</f>
        <v>0</v>
      </c>
      <c r="I267" s="14" t="n">
        <f aca="false">IF(OR($A267="",$A267&gt;=Parameters!$B$14),1,IF(AND(H267&gt;0,CityData!F3&lt;=H267),1,0))</f>
        <v>1</v>
      </c>
      <c r="J267" s="14" t="n">
        <f aca="false">IF($A267="",0,IFERROR(VLOOKUP((YEAR($A267)+IF(MONTH($A267)&gt;=10,1,0))&amp;"|Chicago|"&amp;MONTH($A267),Rates!$A$2:$I$181,6,FALSE()),0))</f>
        <v>0</v>
      </c>
      <c r="K267" s="14" t="n">
        <f aca="false">IF(J267=0,0,VLOOKUP(J267,MIE_Components!$A$2:$F$6,2,FALSE()))</f>
        <v>0</v>
      </c>
      <c r="L267" s="14" t="n">
        <f aca="false">IF(J267=0,0,VLOOKUP(J267,MIE_Components!$A$2:$F$6,3,FALSE()))</f>
        <v>0</v>
      </c>
      <c r="M267" s="14" t="n">
        <f aca="false">IF(J267=0,0,VLOOKUP(J267,MIE_Components!$A$2:$F$6,4,FALSE()))</f>
        <v>0</v>
      </c>
      <c r="N267" s="14" t="n">
        <f aca="false">IF(OR($A267="",J267=0),0,MAX(5,J267*IF(OR($A267=Parameters!$B$13,$A267=Parameters!$B$14),0.75,1)-(IF(AND($A267=DATE(2026,11,29),NOV29BF="Yes"),K267,0)+IF(OR($A267=DATE(2026,11,29),$A267=DATE(2026,11,30),$A267=DATE(2026,12,1),$A267=DATE(2026,12,2)),L267,0)+IF(OR($A267=DATE(2026,11,28),$A267=DATE(2026,12,1)),M267,0))))</f>
        <v>0</v>
      </c>
      <c r="O267" s="14" t="n">
        <f aca="false">IF(AND($A267&lt;&gt;"",$A267&lt;Parameters!$B$14),CityData!F4*(1+TAXRATE),0)</f>
        <v>0</v>
      </c>
      <c r="P267" s="14" t="n">
        <f aca="false">IF($A267="",0,IFERROR(VLOOKUP((YEAR($A267)+IF(MONTH($A267)&gt;=10,1,0))&amp;"|Chicago|"&amp;MONTH($A267),Rates!$A$2:$I$181,5,FALSE()),0))</f>
        <v>0</v>
      </c>
      <c r="Q267" s="14" t="n">
        <f aca="false">IF(OR($A267="",$A267&gt;=Parameters!$B$14),1,IF(AND(P267&gt;0,CityData!F4&lt;=P267),1,0))</f>
        <v>1</v>
      </c>
      <c r="R267" s="14" t="n">
        <f aca="false">IF($A267="",0,IFERROR(VLOOKUP((YEAR($A267)+IF(MONTH($A267)&gt;=10,1,0))&amp;"|Denver|"&amp;MONTH($A267),Rates!$A$2:$I$181,6,FALSE()),0))</f>
        <v>0</v>
      </c>
      <c r="S267" s="14" t="n">
        <f aca="false">IF(R267=0,0,VLOOKUP(R267,MIE_Components!$A$2:$F$6,2,FALSE()))</f>
        <v>0</v>
      </c>
      <c r="T267" s="14" t="n">
        <f aca="false">IF(R267=0,0,VLOOKUP(R267,MIE_Components!$A$2:$F$6,3,FALSE()))</f>
        <v>0</v>
      </c>
      <c r="U267" s="14" t="n">
        <f aca="false">IF(R267=0,0,VLOOKUP(R267,MIE_Components!$A$2:$F$6,4,FALSE()))</f>
        <v>0</v>
      </c>
      <c r="V267" s="14" t="n">
        <f aca="false">IF(OR($A267="",R267=0),0,MAX(5,R267*IF(OR($A267=Parameters!$B$13,$A267=Parameters!$B$14),0.75,1)-(IF(AND($A267=DATE(2026,11,29),NOV29BF="Yes"),S267,0)+IF(OR($A267=DATE(2026,11,29),$A267=DATE(2026,11,30),$A267=DATE(2026,12,1),$A267=DATE(2026,12,2)),T267,0)+IF(OR($A267=DATE(2026,11,28),$A267=DATE(2026,12,1)),U267,0))))</f>
        <v>0</v>
      </c>
      <c r="W267" s="14" t="n">
        <f aca="false">IF(AND($A267&lt;&gt;"",$A267&lt;Parameters!$B$14),CityData!F5*(1+TAXRATE),0)</f>
        <v>0</v>
      </c>
      <c r="X267" s="14" t="n">
        <f aca="false">IF($A267="",0,IFERROR(VLOOKUP((YEAR($A267)+IF(MONTH($A267)&gt;=10,1,0))&amp;"|Denver|"&amp;MONTH($A267),Rates!$A$2:$I$181,5,FALSE()),0))</f>
        <v>0</v>
      </c>
      <c r="Y267" s="14" t="n">
        <f aca="false">IF(OR($A267="",$A267&gt;=Parameters!$B$14),1,IF(AND(X267&gt;0,CityData!F5&lt;=X267),1,0))</f>
        <v>1</v>
      </c>
      <c r="Z267" s="14" t="n">
        <f aca="false">IF($A267="",0,IFERROR(VLOOKUP((YEAR($A267)+IF(MONTH($A267)&gt;=10,1,0))&amp;"|Phoenix|"&amp;MONTH($A267),Rates!$A$2:$I$181,6,FALSE()),0))</f>
        <v>0</v>
      </c>
      <c r="AA267" s="14" t="n">
        <f aca="false">IF(Z267=0,0,VLOOKUP(Z267,MIE_Components!$A$2:$F$6,2,FALSE()))</f>
        <v>0</v>
      </c>
      <c r="AB267" s="14" t="n">
        <f aca="false">IF(Z267=0,0,VLOOKUP(Z267,MIE_Components!$A$2:$F$6,3,FALSE()))</f>
        <v>0</v>
      </c>
      <c r="AC267" s="14" t="n">
        <f aca="false">IF(Z267=0,0,VLOOKUP(Z267,MIE_Components!$A$2:$F$6,4,FALSE()))</f>
        <v>0</v>
      </c>
      <c r="AD267" s="14" t="n">
        <f aca="false">IF(OR($A267="",Z267=0),0,MAX(5,Z267*IF(OR($A267=Parameters!$B$13,$A267=Parameters!$B$14),0.75,1)-(IF(AND($A267=DATE(2026,11,29),NOV29BF="Yes"),AA267,0)+IF(OR($A267=DATE(2026,11,29),$A267=DATE(2026,11,30),$A267=DATE(2026,12,1),$A267=DATE(2026,12,2)),AB267,0)+IF(OR($A267=DATE(2026,11,28),$A267=DATE(2026,12,1)),AC267,0))))</f>
        <v>0</v>
      </c>
      <c r="AE267" s="14" t="n">
        <f aca="false">IF(AND($A267&lt;&gt;"",$A267&lt;Parameters!$B$14),CityData!F6*(1+TAXRATE),0)</f>
        <v>0</v>
      </c>
      <c r="AF267" s="14" t="n">
        <f aca="false">IF($A267="",0,IFERROR(VLOOKUP((YEAR($A267)+IF(MONTH($A267)&gt;=10,1,0))&amp;"|Phoenix|"&amp;MONTH($A267),Rates!$A$2:$I$181,5,FALSE()),0))</f>
        <v>0</v>
      </c>
      <c r="AG267" s="14" t="n">
        <f aca="false">IF(OR($A267="",$A267&gt;=Parameters!$B$14),1,IF(AND(AF267&gt;0,CityData!F6&lt;=AF267),1,0))</f>
        <v>1</v>
      </c>
      <c r="AH267" s="14" t="n">
        <f aca="false">IF($A267="",0,IFERROR(VLOOKUP((YEAR($A267)+IF(MONTH($A267)&gt;=10,1,0))&amp;"|Seattle|"&amp;MONTH($A267),Rates!$A$2:$I$181,6,FALSE()),0))</f>
        <v>0</v>
      </c>
      <c r="AI267" s="14" t="n">
        <f aca="false">IF(AH267=0,0,VLOOKUP(AH267,MIE_Components!$A$2:$F$6,2,FALSE()))</f>
        <v>0</v>
      </c>
      <c r="AJ267" s="14" t="n">
        <f aca="false">IF(AH267=0,0,VLOOKUP(AH267,MIE_Components!$A$2:$F$6,3,FALSE()))</f>
        <v>0</v>
      </c>
      <c r="AK267" s="14" t="n">
        <f aca="false">IF(AH267=0,0,VLOOKUP(AH267,MIE_Components!$A$2:$F$6,4,FALSE()))</f>
        <v>0</v>
      </c>
      <c r="AL267" s="14" t="n">
        <f aca="false">IF(OR($A267="",AH267=0),0,MAX(5,AH267*IF(OR($A267=Parameters!$B$13,$A267=Parameters!$B$14),0.75,1)-(IF(AND($A267=DATE(2026,11,29),NOV29BF="Yes"),AI267,0)+IF(OR($A267=DATE(2026,11,29),$A267=DATE(2026,11,30),$A267=DATE(2026,12,1),$A267=DATE(2026,12,2)),AJ267,0)+IF(OR($A267=DATE(2026,11,28),$A267=DATE(2026,12,1)),AK267,0))))</f>
        <v>0</v>
      </c>
      <c r="AM267" s="14" t="n">
        <f aca="false">IF(AND($A267&lt;&gt;"",$A267&lt;Parameters!$B$14),CityData!F7*(1+TAXRATE),0)</f>
        <v>0</v>
      </c>
      <c r="AN267" s="14" t="n">
        <f aca="false">IF($A267="",0,IFERROR(VLOOKUP((YEAR($A267)+IF(MONTH($A267)&gt;=10,1,0))&amp;"|Seattle|"&amp;MONTH($A267),Rates!$A$2:$I$181,5,FALSE()),0))</f>
        <v>0</v>
      </c>
      <c r="AO267" s="14" t="n">
        <f aca="false">IF(OR($A267="",$A267&gt;=Parameters!$B$14),1,IF(AND(AN267&gt;0,CityData!F7&lt;=AN267),1,0))</f>
        <v>1</v>
      </c>
    </row>
    <row r="268" customFormat="false" ht="15" hidden="false" customHeight="true" outlineLevel="0" collapsed="false">
      <c r="A268" s="23" t="str">
        <f aca="false">IF(AND(Parameters!$B$14&gt;=Parameters!$B$13,ROW()-2&lt;=Parameters!$B$14-Parameters!$B$13),Parameters!$B$13+ROW()-2,"")</f>
        <v/>
      </c>
      <c r="B268" s="14" t="n">
        <f aca="false">IF($A268="",0,IFERROR(VLOOKUP((YEAR($A268)+IF(MONTH($A268)&gt;=10,1,0))&amp;"|Boston|"&amp;MONTH($A268),Rates!$A$2:$I$181,6,FALSE()),0))</f>
        <v>0</v>
      </c>
      <c r="C268" s="14" t="n">
        <f aca="false">IF(B268=0,0,VLOOKUP(B268,MIE_Components!$A$2:$F$6,2,FALSE()))</f>
        <v>0</v>
      </c>
      <c r="D268" s="14" t="n">
        <f aca="false">IF(B268=0,0,VLOOKUP(B268,MIE_Components!$A$2:$F$6,3,FALSE()))</f>
        <v>0</v>
      </c>
      <c r="E268" s="14" t="n">
        <f aca="false">IF(B268=0,0,VLOOKUP(B268,MIE_Components!$A$2:$F$6,4,FALSE()))</f>
        <v>0</v>
      </c>
      <c r="F268" s="14" t="n">
        <f aca="false">IF(OR($A268="",B268=0),0,MAX(5,B268*IF(OR($A268=Parameters!$B$13,$A268=Parameters!$B$14),0.75,1)-(IF(AND($A268=DATE(2026,11,29),NOV29BF="Yes"),C268,0)+IF(OR($A268=DATE(2026,11,29),$A268=DATE(2026,11,30),$A268=DATE(2026,12,1),$A268=DATE(2026,12,2)),D268,0)+IF(OR($A268=DATE(2026,11,28),$A268=DATE(2026,12,1)),E268,0))))</f>
        <v>0</v>
      </c>
      <c r="G268" s="14" t="n">
        <f aca="false">IF(AND($A268&lt;&gt;"",$A268&lt;Parameters!$B$14),CityData!F3*(1+TAXRATE),0)</f>
        <v>0</v>
      </c>
      <c r="H268" s="14" t="n">
        <f aca="false">IF($A268="",0,IFERROR(VLOOKUP((YEAR($A268)+IF(MONTH($A268)&gt;=10,1,0))&amp;"|Boston|"&amp;MONTH($A268),Rates!$A$2:$I$181,5,FALSE()),0))</f>
        <v>0</v>
      </c>
      <c r="I268" s="14" t="n">
        <f aca="false">IF(OR($A268="",$A268&gt;=Parameters!$B$14),1,IF(AND(H268&gt;0,CityData!F3&lt;=H268),1,0))</f>
        <v>1</v>
      </c>
      <c r="J268" s="14" t="n">
        <f aca="false">IF($A268="",0,IFERROR(VLOOKUP((YEAR($A268)+IF(MONTH($A268)&gt;=10,1,0))&amp;"|Chicago|"&amp;MONTH($A268),Rates!$A$2:$I$181,6,FALSE()),0))</f>
        <v>0</v>
      </c>
      <c r="K268" s="14" t="n">
        <f aca="false">IF(J268=0,0,VLOOKUP(J268,MIE_Components!$A$2:$F$6,2,FALSE()))</f>
        <v>0</v>
      </c>
      <c r="L268" s="14" t="n">
        <f aca="false">IF(J268=0,0,VLOOKUP(J268,MIE_Components!$A$2:$F$6,3,FALSE()))</f>
        <v>0</v>
      </c>
      <c r="M268" s="14" t="n">
        <f aca="false">IF(J268=0,0,VLOOKUP(J268,MIE_Components!$A$2:$F$6,4,FALSE()))</f>
        <v>0</v>
      </c>
      <c r="N268" s="14" t="n">
        <f aca="false">IF(OR($A268="",J268=0),0,MAX(5,J268*IF(OR($A268=Parameters!$B$13,$A268=Parameters!$B$14),0.75,1)-(IF(AND($A268=DATE(2026,11,29),NOV29BF="Yes"),K268,0)+IF(OR($A268=DATE(2026,11,29),$A268=DATE(2026,11,30),$A268=DATE(2026,12,1),$A268=DATE(2026,12,2)),L268,0)+IF(OR($A268=DATE(2026,11,28),$A268=DATE(2026,12,1)),M268,0))))</f>
        <v>0</v>
      </c>
      <c r="O268" s="14" t="n">
        <f aca="false">IF(AND($A268&lt;&gt;"",$A268&lt;Parameters!$B$14),CityData!F4*(1+TAXRATE),0)</f>
        <v>0</v>
      </c>
      <c r="P268" s="14" t="n">
        <f aca="false">IF($A268="",0,IFERROR(VLOOKUP((YEAR($A268)+IF(MONTH($A268)&gt;=10,1,0))&amp;"|Chicago|"&amp;MONTH($A268),Rates!$A$2:$I$181,5,FALSE()),0))</f>
        <v>0</v>
      </c>
      <c r="Q268" s="14" t="n">
        <f aca="false">IF(OR($A268="",$A268&gt;=Parameters!$B$14),1,IF(AND(P268&gt;0,CityData!F4&lt;=P268),1,0))</f>
        <v>1</v>
      </c>
      <c r="R268" s="14" t="n">
        <f aca="false">IF($A268="",0,IFERROR(VLOOKUP((YEAR($A268)+IF(MONTH($A268)&gt;=10,1,0))&amp;"|Denver|"&amp;MONTH($A268),Rates!$A$2:$I$181,6,FALSE()),0))</f>
        <v>0</v>
      </c>
      <c r="S268" s="14" t="n">
        <f aca="false">IF(R268=0,0,VLOOKUP(R268,MIE_Components!$A$2:$F$6,2,FALSE()))</f>
        <v>0</v>
      </c>
      <c r="T268" s="14" t="n">
        <f aca="false">IF(R268=0,0,VLOOKUP(R268,MIE_Components!$A$2:$F$6,3,FALSE()))</f>
        <v>0</v>
      </c>
      <c r="U268" s="14" t="n">
        <f aca="false">IF(R268=0,0,VLOOKUP(R268,MIE_Components!$A$2:$F$6,4,FALSE()))</f>
        <v>0</v>
      </c>
      <c r="V268" s="14" t="n">
        <f aca="false">IF(OR($A268="",R268=0),0,MAX(5,R268*IF(OR($A268=Parameters!$B$13,$A268=Parameters!$B$14),0.75,1)-(IF(AND($A268=DATE(2026,11,29),NOV29BF="Yes"),S268,0)+IF(OR($A268=DATE(2026,11,29),$A268=DATE(2026,11,30),$A268=DATE(2026,12,1),$A268=DATE(2026,12,2)),T268,0)+IF(OR($A268=DATE(2026,11,28),$A268=DATE(2026,12,1)),U268,0))))</f>
        <v>0</v>
      </c>
      <c r="W268" s="14" t="n">
        <f aca="false">IF(AND($A268&lt;&gt;"",$A268&lt;Parameters!$B$14),CityData!F5*(1+TAXRATE),0)</f>
        <v>0</v>
      </c>
      <c r="X268" s="14" t="n">
        <f aca="false">IF($A268="",0,IFERROR(VLOOKUP((YEAR($A268)+IF(MONTH($A268)&gt;=10,1,0))&amp;"|Denver|"&amp;MONTH($A268),Rates!$A$2:$I$181,5,FALSE()),0))</f>
        <v>0</v>
      </c>
      <c r="Y268" s="14" t="n">
        <f aca="false">IF(OR($A268="",$A268&gt;=Parameters!$B$14),1,IF(AND(X268&gt;0,CityData!F5&lt;=X268),1,0))</f>
        <v>1</v>
      </c>
      <c r="Z268" s="14" t="n">
        <f aca="false">IF($A268="",0,IFERROR(VLOOKUP((YEAR($A268)+IF(MONTH($A268)&gt;=10,1,0))&amp;"|Phoenix|"&amp;MONTH($A268),Rates!$A$2:$I$181,6,FALSE()),0))</f>
        <v>0</v>
      </c>
      <c r="AA268" s="14" t="n">
        <f aca="false">IF(Z268=0,0,VLOOKUP(Z268,MIE_Components!$A$2:$F$6,2,FALSE()))</f>
        <v>0</v>
      </c>
      <c r="AB268" s="14" t="n">
        <f aca="false">IF(Z268=0,0,VLOOKUP(Z268,MIE_Components!$A$2:$F$6,3,FALSE()))</f>
        <v>0</v>
      </c>
      <c r="AC268" s="14" t="n">
        <f aca="false">IF(Z268=0,0,VLOOKUP(Z268,MIE_Components!$A$2:$F$6,4,FALSE()))</f>
        <v>0</v>
      </c>
      <c r="AD268" s="14" t="n">
        <f aca="false">IF(OR($A268="",Z268=0),0,MAX(5,Z268*IF(OR($A268=Parameters!$B$13,$A268=Parameters!$B$14),0.75,1)-(IF(AND($A268=DATE(2026,11,29),NOV29BF="Yes"),AA268,0)+IF(OR($A268=DATE(2026,11,29),$A268=DATE(2026,11,30),$A268=DATE(2026,12,1),$A268=DATE(2026,12,2)),AB268,0)+IF(OR($A268=DATE(2026,11,28),$A268=DATE(2026,12,1)),AC268,0))))</f>
        <v>0</v>
      </c>
      <c r="AE268" s="14" t="n">
        <f aca="false">IF(AND($A268&lt;&gt;"",$A268&lt;Parameters!$B$14),CityData!F6*(1+TAXRATE),0)</f>
        <v>0</v>
      </c>
      <c r="AF268" s="14" t="n">
        <f aca="false">IF($A268="",0,IFERROR(VLOOKUP((YEAR($A268)+IF(MONTH($A268)&gt;=10,1,0))&amp;"|Phoenix|"&amp;MONTH($A268),Rates!$A$2:$I$181,5,FALSE()),0))</f>
        <v>0</v>
      </c>
      <c r="AG268" s="14" t="n">
        <f aca="false">IF(OR($A268="",$A268&gt;=Parameters!$B$14),1,IF(AND(AF268&gt;0,CityData!F6&lt;=AF268),1,0))</f>
        <v>1</v>
      </c>
      <c r="AH268" s="14" t="n">
        <f aca="false">IF($A268="",0,IFERROR(VLOOKUP((YEAR($A268)+IF(MONTH($A268)&gt;=10,1,0))&amp;"|Seattle|"&amp;MONTH($A268),Rates!$A$2:$I$181,6,FALSE()),0))</f>
        <v>0</v>
      </c>
      <c r="AI268" s="14" t="n">
        <f aca="false">IF(AH268=0,0,VLOOKUP(AH268,MIE_Components!$A$2:$F$6,2,FALSE()))</f>
        <v>0</v>
      </c>
      <c r="AJ268" s="14" t="n">
        <f aca="false">IF(AH268=0,0,VLOOKUP(AH268,MIE_Components!$A$2:$F$6,3,FALSE()))</f>
        <v>0</v>
      </c>
      <c r="AK268" s="14" t="n">
        <f aca="false">IF(AH268=0,0,VLOOKUP(AH268,MIE_Components!$A$2:$F$6,4,FALSE()))</f>
        <v>0</v>
      </c>
      <c r="AL268" s="14" t="n">
        <f aca="false">IF(OR($A268="",AH268=0),0,MAX(5,AH268*IF(OR($A268=Parameters!$B$13,$A268=Parameters!$B$14),0.75,1)-(IF(AND($A268=DATE(2026,11,29),NOV29BF="Yes"),AI268,0)+IF(OR($A268=DATE(2026,11,29),$A268=DATE(2026,11,30),$A268=DATE(2026,12,1),$A268=DATE(2026,12,2)),AJ268,0)+IF(OR($A268=DATE(2026,11,28),$A268=DATE(2026,12,1)),AK268,0))))</f>
        <v>0</v>
      </c>
      <c r="AM268" s="14" t="n">
        <f aca="false">IF(AND($A268&lt;&gt;"",$A268&lt;Parameters!$B$14),CityData!F7*(1+TAXRATE),0)</f>
        <v>0</v>
      </c>
      <c r="AN268" s="14" t="n">
        <f aca="false">IF($A268="",0,IFERROR(VLOOKUP((YEAR($A268)+IF(MONTH($A268)&gt;=10,1,0))&amp;"|Seattle|"&amp;MONTH($A268),Rates!$A$2:$I$181,5,FALSE()),0))</f>
        <v>0</v>
      </c>
      <c r="AO268" s="14" t="n">
        <f aca="false">IF(OR($A268="",$A268&gt;=Parameters!$B$14),1,IF(AND(AN268&gt;0,CityData!F7&lt;=AN268),1,0))</f>
        <v>1</v>
      </c>
    </row>
    <row r="269" customFormat="false" ht="15" hidden="false" customHeight="true" outlineLevel="0" collapsed="false">
      <c r="A269" s="23" t="str">
        <f aca="false">IF(AND(Parameters!$B$14&gt;=Parameters!$B$13,ROW()-2&lt;=Parameters!$B$14-Parameters!$B$13),Parameters!$B$13+ROW()-2,"")</f>
        <v/>
      </c>
      <c r="B269" s="14" t="n">
        <f aca="false">IF($A269="",0,IFERROR(VLOOKUP((YEAR($A269)+IF(MONTH($A269)&gt;=10,1,0))&amp;"|Boston|"&amp;MONTH($A269),Rates!$A$2:$I$181,6,FALSE()),0))</f>
        <v>0</v>
      </c>
      <c r="C269" s="14" t="n">
        <f aca="false">IF(B269=0,0,VLOOKUP(B269,MIE_Components!$A$2:$F$6,2,FALSE()))</f>
        <v>0</v>
      </c>
      <c r="D269" s="14" t="n">
        <f aca="false">IF(B269=0,0,VLOOKUP(B269,MIE_Components!$A$2:$F$6,3,FALSE()))</f>
        <v>0</v>
      </c>
      <c r="E269" s="14" t="n">
        <f aca="false">IF(B269=0,0,VLOOKUP(B269,MIE_Components!$A$2:$F$6,4,FALSE()))</f>
        <v>0</v>
      </c>
      <c r="F269" s="14" t="n">
        <f aca="false">IF(OR($A269="",B269=0),0,MAX(5,B269*IF(OR($A269=Parameters!$B$13,$A269=Parameters!$B$14),0.75,1)-(IF(AND($A269=DATE(2026,11,29),NOV29BF="Yes"),C269,0)+IF(OR($A269=DATE(2026,11,29),$A269=DATE(2026,11,30),$A269=DATE(2026,12,1),$A269=DATE(2026,12,2)),D269,0)+IF(OR($A269=DATE(2026,11,28),$A269=DATE(2026,12,1)),E269,0))))</f>
        <v>0</v>
      </c>
      <c r="G269" s="14" t="n">
        <f aca="false">IF(AND($A269&lt;&gt;"",$A269&lt;Parameters!$B$14),CityData!F3*(1+TAXRATE),0)</f>
        <v>0</v>
      </c>
      <c r="H269" s="14" t="n">
        <f aca="false">IF($A269="",0,IFERROR(VLOOKUP((YEAR($A269)+IF(MONTH($A269)&gt;=10,1,0))&amp;"|Boston|"&amp;MONTH($A269),Rates!$A$2:$I$181,5,FALSE()),0))</f>
        <v>0</v>
      </c>
      <c r="I269" s="14" t="n">
        <f aca="false">IF(OR($A269="",$A269&gt;=Parameters!$B$14),1,IF(AND(H269&gt;0,CityData!F3&lt;=H269),1,0))</f>
        <v>1</v>
      </c>
      <c r="J269" s="14" t="n">
        <f aca="false">IF($A269="",0,IFERROR(VLOOKUP((YEAR($A269)+IF(MONTH($A269)&gt;=10,1,0))&amp;"|Chicago|"&amp;MONTH($A269),Rates!$A$2:$I$181,6,FALSE()),0))</f>
        <v>0</v>
      </c>
      <c r="K269" s="14" t="n">
        <f aca="false">IF(J269=0,0,VLOOKUP(J269,MIE_Components!$A$2:$F$6,2,FALSE()))</f>
        <v>0</v>
      </c>
      <c r="L269" s="14" t="n">
        <f aca="false">IF(J269=0,0,VLOOKUP(J269,MIE_Components!$A$2:$F$6,3,FALSE()))</f>
        <v>0</v>
      </c>
      <c r="M269" s="14" t="n">
        <f aca="false">IF(J269=0,0,VLOOKUP(J269,MIE_Components!$A$2:$F$6,4,FALSE()))</f>
        <v>0</v>
      </c>
      <c r="N269" s="14" t="n">
        <f aca="false">IF(OR($A269="",J269=0),0,MAX(5,J269*IF(OR($A269=Parameters!$B$13,$A269=Parameters!$B$14),0.75,1)-(IF(AND($A269=DATE(2026,11,29),NOV29BF="Yes"),K269,0)+IF(OR($A269=DATE(2026,11,29),$A269=DATE(2026,11,30),$A269=DATE(2026,12,1),$A269=DATE(2026,12,2)),L269,0)+IF(OR($A269=DATE(2026,11,28),$A269=DATE(2026,12,1)),M269,0))))</f>
        <v>0</v>
      </c>
      <c r="O269" s="14" t="n">
        <f aca="false">IF(AND($A269&lt;&gt;"",$A269&lt;Parameters!$B$14),CityData!F4*(1+TAXRATE),0)</f>
        <v>0</v>
      </c>
      <c r="P269" s="14" t="n">
        <f aca="false">IF($A269="",0,IFERROR(VLOOKUP((YEAR($A269)+IF(MONTH($A269)&gt;=10,1,0))&amp;"|Chicago|"&amp;MONTH($A269),Rates!$A$2:$I$181,5,FALSE()),0))</f>
        <v>0</v>
      </c>
      <c r="Q269" s="14" t="n">
        <f aca="false">IF(OR($A269="",$A269&gt;=Parameters!$B$14),1,IF(AND(P269&gt;0,CityData!F4&lt;=P269),1,0))</f>
        <v>1</v>
      </c>
      <c r="R269" s="14" t="n">
        <f aca="false">IF($A269="",0,IFERROR(VLOOKUP((YEAR($A269)+IF(MONTH($A269)&gt;=10,1,0))&amp;"|Denver|"&amp;MONTH($A269),Rates!$A$2:$I$181,6,FALSE()),0))</f>
        <v>0</v>
      </c>
      <c r="S269" s="14" t="n">
        <f aca="false">IF(R269=0,0,VLOOKUP(R269,MIE_Components!$A$2:$F$6,2,FALSE()))</f>
        <v>0</v>
      </c>
      <c r="T269" s="14" t="n">
        <f aca="false">IF(R269=0,0,VLOOKUP(R269,MIE_Components!$A$2:$F$6,3,FALSE()))</f>
        <v>0</v>
      </c>
      <c r="U269" s="14" t="n">
        <f aca="false">IF(R269=0,0,VLOOKUP(R269,MIE_Components!$A$2:$F$6,4,FALSE()))</f>
        <v>0</v>
      </c>
      <c r="V269" s="14" t="n">
        <f aca="false">IF(OR($A269="",R269=0),0,MAX(5,R269*IF(OR($A269=Parameters!$B$13,$A269=Parameters!$B$14),0.75,1)-(IF(AND($A269=DATE(2026,11,29),NOV29BF="Yes"),S269,0)+IF(OR($A269=DATE(2026,11,29),$A269=DATE(2026,11,30),$A269=DATE(2026,12,1),$A269=DATE(2026,12,2)),T269,0)+IF(OR($A269=DATE(2026,11,28),$A269=DATE(2026,12,1)),U269,0))))</f>
        <v>0</v>
      </c>
      <c r="W269" s="14" t="n">
        <f aca="false">IF(AND($A269&lt;&gt;"",$A269&lt;Parameters!$B$14),CityData!F5*(1+TAXRATE),0)</f>
        <v>0</v>
      </c>
      <c r="X269" s="14" t="n">
        <f aca="false">IF($A269="",0,IFERROR(VLOOKUP((YEAR($A269)+IF(MONTH($A269)&gt;=10,1,0))&amp;"|Denver|"&amp;MONTH($A269),Rates!$A$2:$I$181,5,FALSE()),0))</f>
        <v>0</v>
      </c>
      <c r="Y269" s="14" t="n">
        <f aca="false">IF(OR($A269="",$A269&gt;=Parameters!$B$14),1,IF(AND(X269&gt;0,CityData!F5&lt;=X269),1,0))</f>
        <v>1</v>
      </c>
      <c r="Z269" s="14" t="n">
        <f aca="false">IF($A269="",0,IFERROR(VLOOKUP((YEAR($A269)+IF(MONTH($A269)&gt;=10,1,0))&amp;"|Phoenix|"&amp;MONTH($A269),Rates!$A$2:$I$181,6,FALSE()),0))</f>
        <v>0</v>
      </c>
      <c r="AA269" s="14" t="n">
        <f aca="false">IF(Z269=0,0,VLOOKUP(Z269,MIE_Components!$A$2:$F$6,2,FALSE()))</f>
        <v>0</v>
      </c>
      <c r="AB269" s="14" t="n">
        <f aca="false">IF(Z269=0,0,VLOOKUP(Z269,MIE_Components!$A$2:$F$6,3,FALSE()))</f>
        <v>0</v>
      </c>
      <c r="AC269" s="14" t="n">
        <f aca="false">IF(Z269=0,0,VLOOKUP(Z269,MIE_Components!$A$2:$F$6,4,FALSE()))</f>
        <v>0</v>
      </c>
      <c r="AD269" s="14" t="n">
        <f aca="false">IF(OR($A269="",Z269=0),0,MAX(5,Z269*IF(OR($A269=Parameters!$B$13,$A269=Parameters!$B$14),0.75,1)-(IF(AND($A269=DATE(2026,11,29),NOV29BF="Yes"),AA269,0)+IF(OR($A269=DATE(2026,11,29),$A269=DATE(2026,11,30),$A269=DATE(2026,12,1),$A269=DATE(2026,12,2)),AB269,0)+IF(OR($A269=DATE(2026,11,28),$A269=DATE(2026,12,1)),AC269,0))))</f>
        <v>0</v>
      </c>
      <c r="AE269" s="14" t="n">
        <f aca="false">IF(AND($A269&lt;&gt;"",$A269&lt;Parameters!$B$14),CityData!F6*(1+TAXRATE),0)</f>
        <v>0</v>
      </c>
      <c r="AF269" s="14" t="n">
        <f aca="false">IF($A269="",0,IFERROR(VLOOKUP((YEAR($A269)+IF(MONTH($A269)&gt;=10,1,0))&amp;"|Phoenix|"&amp;MONTH($A269),Rates!$A$2:$I$181,5,FALSE()),0))</f>
        <v>0</v>
      </c>
      <c r="AG269" s="14" t="n">
        <f aca="false">IF(OR($A269="",$A269&gt;=Parameters!$B$14),1,IF(AND(AF269&gt;0,CityData!F6&lt;=AF269),1,0))</f>
        <v>1</v>
      </c>
      <c r="AH269" s="14" t="n">
        <f aca="false">IF($A269="",0,IFERROR(VLOOKUP((YEAR($A269)+IF(MONTH($A269)&gt;=10,1,0))&amp;"|Seattle|"&amp;MONTH($A269),Rates!$A$2:$I$181,6,FALSE()),0))</f>
        <v>0</v>
      </c>
      <c r="AI269" s="14" t="n">
        <f aca="false">IF(AH269=0,0,VLOOKUP(AH269,MIE_Components!$A$2:$F$6,2,FALSE()))</f>
        <v>0</v>
      </c>
      <c r="AJ269" s="14" t="n">
        <f aca="false">IF(AH269=0,0,VLOOKUP(AH269,MIE_Components!$A$2:$F$6,3,FALSE()))</f>
        <v>0</v>
      </c>
      <c r="AK269" s="14" t="n">
        <f aca="false">IF(AH269=0,0,VLOOKUP(AH269,MIE_Components!$A$2:$F$6,4,FALSE()))</f>
        <v>0</v>
      </c>
      <c r="AL269" s="14" t="n">
        <f aca="false">IF(OR($A269="",AH269=0),0,MAX(5,AH269*IF(OR($A269=Parameters!$B$13,$A269=Parameters!$B$14),0.75,1)-(IF(AND($A269=DATE(2026,11,29),NOV29BF="Yes"),AI269,0)+IF(OR($A269=DATE(2026,11,29),$A269=DATE(2026,11,30),$A269=DATE(2026,12,1),$A269=DATE(2026,12,2)),AJ269,0)+IF(OR($A269=DATE(2026,11,28),$A269=DATE(2026,12,1)),AK269,0))))</f>
        <v>0</v>
      </c>
      <c r="AM269" s="14" t="n">
        <f aca="false">IF(AND($A269&lt;&gt;"",$A269&lt;Parameters!$B$14),CityData!F7*(1+TAXRATE),0)</f>
        <v>0</v>
      </c>
      <c r="AN269" s="14" t="n">
        <f aca="false">IF($A269="",0,IFERROR(VLOOKUP((YEAR($A269)+IF(MONTH($A269)&gt;=10,1,0))&amp;"|Seattle|"&amp;MONTH($A269),Rates!$A$2:$I$181,5,FALSE()),0))</f>
        <v>0</v>
      </c>
      <c r="AO269" s="14" t="n">
        <f aca="false">IF(OR($A269="",$A269&gt;=Parameters!$B$14),1,IF(AND(AN269&gt;0,CityData!F7&lt;=AN269),1,0))</f>
        <v>1</v>
      </c>
    </row>
    <row r="270" customFormat="false" ht="15" hidden="false" customHeight="true" outlineLevel="0" collapsed="false">
      <c r="A270" s="23" t="str">
        <f aca="false">IF(AND(Parameters!$B$14&gt;=Parameters!$B$13,ROW()-2&lt;=Parameters!$B$14-Parameters!$B$13),Parameters!$B$13+ROW()-2,"")</f>
        <v/>
      </c>
      <c r="B270" s="14" t="n">
        <f aca="false">IF($A270="",0,IFERROR(VLOOKUP((YEAR($A270)+IF(MONTH($A270)&gt;=10,1,0))&amp;"|Boston|"&amp;MONTH($A270),Rates!$A$2:$I$181,6,FALSE()),0))</f>
        <v>0</v>
      </c>
      <c r="C270" s="14" t="n">
        <f aca="false">IF(B270=0,0,VLOOKUP(B270,MIE_Components!$A$2:$F$6,2,FALSE()))</f>
        <v>0</v>
      </c>
      <c r="D270" s="14" t="n">
        <f aca="false">IF(B270=0,0,VLOOKUP(B270,MIE_Components!$A$2:$F$6,3,FALSE()))</f>
        <v>0</v>
      </c>
      <c r="E270" s="14" t="n">
        <f aca="false">IF(B270=0,0,VLOOKUP(B270,MIE_Components!$A$2:$F$6,4,FALSE()))</f>
        <v>0</v>
      </c>
      <c r="F270" s="14" t="n">
        <f aca="false">IF(OR($A270="",B270=0),0,MAX(5,B270*IF(OR($A270=Parameters!$B$13,$A270=Parameters!$B$14),0.75,1)-(IF(AND($A270=DATE(2026,11,29),NOV29BF="Yes"),C270,0)+IF(OR($A270=DATE(2026,11,29),$A270=DATE(2026,11,30),$A270=DATE(2026,12,1),$A270=DATE(2026,12,2)),D270,0)+IF(OR($A270=DATE(2026,11,28),$A270=DATE(2026,12,1)),E270,0))))</f>
        <v>0</v>
      </c>
      <c r="G270" s="14" t="n">
        <f aca="false">IF(AND($A270&lt;&gt;"",$A270&lt;Parameters!$B$14),CityData!F3*(1+TAXRATE),0)</f>
        <v>0</v>
      </c>
      <c r="H270" s="14" t="n">
        <f aca="false">IF($A270="",0,IFERROR(VLOOKUP((YEAR($A270)+IF(MONTH($A270)&gt;=10,1,0))&amp;"|Boston|"&amp;MONTH($A270),Rates!$A$2:$I$181,5,FALSE()),0))</f>
        <v>0</v>
      </c>
      <c r="I270" s="14" t="n">
        <f aca="false">IF(OR($A270="",$A270&gt;=Parameters!$B$14),1,IF(AND(H270&gt;0,CityData!F3&lt;=H270),1,0))</f>
        <v>1</v>
      </c>
      <c r="J270" s="14" t="n">
        <f aca="false">IF($A270="",0,IFERROR(VLOOKUP((YEAR($A270)+IF(MONTH($A270)&gt;=10,1,0))&amp;"|Chicago|"&amp;MONTH($A270),Rates!$A$2:$I$181,6,FALSE()),0))</f>
        <v>0</v>
      </c>
      <c r="K270" s="14" t="n">
        <f aca="false">IF(J270=0,0,VLOOKUP(J270,MIE_Components!$A$2:$F$6,2,FALSE()))</f>
        <v>0</v>
      </c>
      <c r="L270" s="14" t="n">
        <f aca="false">IF(J270=0,0,VLOOKUP(J270,MIE_Components!$A$2:$F$6,3,FALSE()))</f>
        <v>0</v>
      </c>
      <c r="M270" s="14" t="n">
        <f aca="false">IF(J270=0,0,VLOOKUP(J270,MIE_Components!$A$2:$F$6,4,FALSE()))</f>
        <v>0</v>
      </c>
      <c r="N270" s="14" t="n">
        <f aca="false">IF(OR($A270="",J270=0),0,MAX(5,J270*IF(OR($A270=Parameters!$B$13,$A270=Parameters!$B$14),0.75,1)-(IF(AND($A270=DATE(2026,11,29),NOV29BF="Yes"),K270,0)+IF(OR($A270=DATE(2026,11,29),$A270=DATE(2026,11,30),$A270=DATE(2026,12,1),$A270=DATE(2026,12,2)),L270,0)+IF(OR($A270=DATE(2026,11,28),$A270=DATE(2026,12,1)),M270,0))))</f>
        <v>0</v>
      </c>
      <c r="O270" s="14" t="n">
        <f aca="false">IF(AND($A270&lt;&gt;"",$A270&lt;Parameters!$B$14),CityData!F4*(1+TAXRATE),0)</f>
        <v>0</v>
      </c>
      <c r="P270" s="14" t="n">
        <f aca="false">IF($A270="",0,IFERROR(VLOOKUP((YEAR($A270)+IF(MONTH($A270)&gt;=10,1,0))&amp;"|Chicago|"&amp;MONTH($A270),Rates!$A$2:$I$181,5,FALSE()),0))</f>
        <v>0</v>
      </c>
      <c r="Q270" s="14" t="n">
        <f aca="false">IF(OR($A270="",$A270&gt;=Parameters!$B$14),1,IF(AND(P270&gt;0,CityData!F4&lt;=P270),1,0))</f>
        <v>1</v>
      </c>
      <c r="R270" s="14" t="n">
        <f aca="false">IF($A270="",0,IFERROR(VLOOKUP((YEAR($A270)+IF(MONTH($A270)&gt;=10,1,0))&amp;"|Denver|"&amp;MONTH($A270),Rates!$A$2:$I$181,6,FALSE()),0))</f>
        <v>0</v>
      </c>
      <c r="S270" s="14" t="n">
        <f aca="false">IF(R270=0,0,VLOOKUP(R270,MIE_Components!$A$2:$F$6,2,FALSE()))</f>
        <v>0</v>
      </c>
      <c r="T270" s="14" t="n">
        <f aca="false">IF(R270=0,0,VLOOKUP(R270,MIE_Components!$A$2:$F$6,3,FALSE()))</f>
        <v>0</v>
      </c>
      <c r="U270" s="14" t="n">
        <f aca="false">IF(R270=0,0,VLOOKUP(R270,MIE_Components!$A$2:$F$6,4,FALSE()))</f>
        <v>0</v>
      </c>
      <c r="V270" s="14" t="n">
        <f aca="false">IF(OR($A270="",R270=0),0,MAX(5,R270*IF(OR($A270=Parameters!$B$13,$A270=Parameters!$B$14),0.75,1)-(IF(AND($A270=DATE(2026,11,29),NOV29BF="Yes"),S270,0)+IF(OR($A270=DATE(2026,11,29),$A270=DATE(2026,11,30),$A270=DATE(2026,12,1),$A270=DATE(2026,12,2)),T270,0)+IF(OR($A270=DATE(2026,11,28),$A270=DATE(2026,12,1)),U270,0))))</f>
        <v>0</v>
      </c>
      <c r="W270" s="14" t="n">
        <f aca="false">IF(AND($A270&lt;&gt;"",$A270&lt;Parameters!$B$14),CityData!F5*(1+TAXRATE),0)</f>
        <v>0</v>
      </c>
      <c r="X270" s="14" t="n">
        <f aca="false">IF($A270="",0,IFERROR(VLOOKUP((YEAR($A270)+IF(MONTH($A270)&gt;=10,1,0))&amp;"|Denver|"&amp;MONTH($A270),Rates!$A$2:$I$181,5,FALSE()),0))</f>
        <v>0</v>
      </c>
      <c r="Y270" s="14" t="n">
        <f aca="false">IF(OR($A270="",$A270&gt;=Parameters!$B$14),1,IF(AND(X270&gt;0,CityData!F5&lt;=X270),1,0))</f>
        <v>1</v>
      </c>
      <c r="Z270" s="14" t="n">
        <f aca="false">IF($A270="",0,IFERROR(VLOOKUP((YEAR($A270)+IF(MONTH($A270)&gt;=10,1,0))&amp;"|Phoenix|"&amp;MONTH($A270),Rates!$A$2:$I$181,6,FALSE()),0))</f>
        <v>0</v>
      </c>
      <c r="AA270" s="14" t="n">
        <f aca="false">IF(Z270=0,0,VLOOKUP(Z270,MIE_Components!$A$2:$F$6,2,FALSE()))</f>
        <v>0</v>
      </c>
      <c r="AB270" s="14" t="n">
        <f aca="false">IF(Z270=0,0,VLOOKUP(Z270,MIE_Components!$A$2:$F$6,3,FALSE()))</f>
        <v>0</v>
      </c>
      <c r="AC270" s="14" t="n">
        <f aca="false">IF(Z270=0,0,VLOOKUP(Z270,MIE_Components!$A$2:$F$6,4,FALSE()))</f>
        <v>0</v>
      </c>
      <c r="AD270" s="14" t="n">
        <f aca="false">IF(OR($A270="",Z270=0),0,MAX(5,Z270*IF(OR($A270=Parameters!$B$13,$A270=Parameters!$B$14),0.75,1)-(IF(AND($A270=DATE(2026,11,29),NOV29BF="Yes"),AA270,0)+IF(OR($A270=DATE(2026,11,29),$A270=DATE(2026,11,30),$A270=DATE(2026,12,1),$A270=DATE(2026,12,2)),AB270,0)+IF(OR($A270=DATE(2026,11,28),$A270=DATE(2026,12,1)),AC270,0))))</f>
        <v>0</v>
      </c>
      <c r="AE270" s="14" t="n">
        <f aca="false">IF(AND($A270&lt;&gt;"",$A270&lt;Parameters!$B$14),CityData!F6*(1+TAXRATE),0)</f>
        <v>0</v>
      </c>
      <c r="AF270" s="14" t="n">
        <f aca="false">IF($A270="",0,IFERROR(VLOOKUP((YEAR($A270)+IF(MONTH($A270)&gt;=10,1,0))&amp;"|Phoenix|"&amp;MONTH($A270),Rates!$A$2:$I$181,5,FALSE()),0))</f>
        <v>0</v>
      </c>
      <c r="AG270" s="14" t="n">
        <f aca="false">IF(OR($A270="",$A270&gt;=Parameters!$B$14),1,IF(AND(AF270&gt;0,CityData!F6&lt;=AF270),1,0))</f>
        <v>1</v>
      </c>
      <c r="AH270" s="14" t="n">
        <f aca="false">IF($A270="",0,IFERROR(VLOOKUP((YEAR($A270)+IF(MONTH($A270)&gt;=10,1,0))&amp;"|Seattle|"&amp;MONTH($A270),Rates!$A$2:$I$181,6,FALSE()),0))</f>
        <v>0</v>
      </c>
      <c r="AI270" s="14" t="n">
        <f aca="false">IF(AH270=0,0,VLOOKUP(AH270,MIE_Components!$A$2:$F$6,2,FALSE()))</f>
        <v>0</v>
      </c>
      <c r="AJ270" s="14" t="n">
        <f aca="false">IF(AH270=0,0,VLOOKUP(AH270,MIE_Components!$A$2:$F$6,3,FALSE()))</f>
        <v>0</v>
      </c>
      <c r="AK270" s="14" t="n">
        <f aca="false">IF(AH270=0,0,VLOOKUP(AH270,MIE_Components!$A$2:$F$6,4,FALSE()))</f>
        <v>0</v>
      </c>
      <c r="AL270" s="14" t="n">
        <f aca="false">IF(OR($A270="",AH270=0),0,MAX(5,AH270*IF(OR($A270=Parameters!$B$13,$A270=Parameters!$B$14),0.75,1)-(IF(AND($A270=DATE(2026,11,29),NOV29BF="Yes"),AI270,0)+IF(OR($A270=DATE(2026,11,29),$A270=DATE(2026,11,30),$A270=DATE(2026,12,1),$A270=DATE(2026,12,2)),AJ270,0)+IF(OR($A270=DATE(2026,11,28),$A270=DATE(2026,12,1)),AK270,0))))</f>
        <v>0</v>
      </c>
      <c r="AM270" s="14" t="n">
        <f aca="false">IF(AND($A270&lt;&gt;"",$A270&lt;Parameters!$B$14),CityData!F7*(1+TAXRATE),0)</f>
        <v>0</v>
      </c>
      <c r="AN270" s="14" t="n">
        <f aca="false">IF($A270="",0,IFERROR(VLOOKUP((YEAR($A270)+IF(MONTH($A270)&gt;=10,1,0))&amp;"|Seattle|"&amp;MONTH($A270),Rates!$A$2:$I$181,5,FALSE()),0))</f>
        <v>0</v>
      </c>
      <c r="AO270" s="14" t="n">
        <f aca="false">IF(OR($A270="",$A270&gt;=Parameters!$B$14),1,IF(AND(AN270&gt;0,CityData!F7&lt;=AN270),1,0))</f>
        <v>1</v>
      </c>
    </row>
    <row r="271" customFormat="false" ht="15" hidden="false" customHeight="true" outlineLevel="0" collapsed="false">
      <c r="A271" s="23" t="str">
        <f aca="false">IF(AND(Parameters!$B$14&gt;=Parameters!$B$13,ROW()-2&lt;=Parameters!$B$14-Parameters!$B$13),Parameters!$B$13+ROW()-2,"")</f>
        <v/>
      </c>
      <c r="B271" s="14" t="n">
        <f aca="false">IF($A271="",0,IFERROR(VLOOKUP((YEAR($A271)+IF(MONTH($A271)&gt;=10,1,0))&amp;"|Boston|"&amp;MONTH($A271),Rates!$A$2:$I$181,6,FALSE()),0))</f>
        <v>0</v>
      </c>
      <c r="C271" s="14" t="n">
        <f aca="false">IF(B271=0,0,VLOOKUP(B271,MIE_Components!$A$2:$F$6,2,FALSE()))</f>
        <v>0</v>
      </c>
      <c r="D271" s="14" t="n">
        <f aca="false">IF(B271=0,0,VLOOKUP(B271,MIE_Components!$A$2:$F$6,3,FALSE()))</f>
        <v>0</v>
      </c>
      <c r="E271" s="14" t="n">
        <f aca="false">IF(B271=0,0,VLOOKUP(B271,MIE_Components!$A$2:$F$6,4,FALSE()))</f>
        <v>0</v>
      </c>
      <c r="F271" s="14" t="n">
        <f aca="false">IF(OR($A271="",B271=0),0,MAX(5,B271*IF(OR($A271=Parameters!$B$13,$A271=Parameters!$B$14),0.75,1)-(IF(AND($A271=DATE(2026,11,29),NOV29BF="Yes"),C271,0)+IF(OR($A271=DATE(2026,11,29),$A271=DATE(2026,11,30),$A271=DATE(2026,12,1),$A271=DATE(2026,12,2)),D271,0)+IF(OR($A271=DATE(2026,11,28),$A271=DATE(2026,12,1)),E271,0))))</f>
        <v>0</v>
      </c>
      <c r="G271" s="14" t="n">
        <f aca="false">IF(AND($A271&lt;&gt;"",$A271&lt;Parameters!$B$14),CityData!F3*(1+TAXRATE),0)</f>
        <v>0</v>
      </c>
      <c r="H271" s="14" t="n">
        <f aca="false">IF($A271="",0,IFERROR(VLOOKUP((YEAR($A271)+IF(MONTH($A271)&gt;=10,1,0))&amp;"|Boston|"&amp;MONTH($A271),Rates!$A$2:$I$181,5,FALSE()),0))</f>
        <v>0</v>
      </c>
      <c r="I271" s="14" t="n">
        <f aca="false">IF(OR($A271="",$A271&gt;=Parameters!$B$14),1,IF(AND(H271&gt;0,CityData!F3&lt;=H271),1,0))</f>
        <v>1</v>
      </c>
      <c r="J271" s="14" t="n">
        <f aca="false">IF($A271="",0,IFERROR(VLOOKUP((YEAR($A271)+IF(MONTH($A271)&gt;=10,1,0))&amp;"|Chicago|"&amp;MONTH($A271),Rates!$A$2:$I$181,6,FALSE()),0))</f>
        <v>0</v>
      </c>
      <c r="K271" s="14" t="n">
        <f aca="false">IF(J271=0,0,VLOOKUP(J271,MIE_Components!$A$2:$F$6,2,FALSE()))</f>
        <v>0</v>
      </c>
      <c r="L271" s="14" t="n">
        <f aca="false">IF(J271=0,0,VLOOKUP(J271,MIE_Components!$A$2:$F$6,3,FALSE()))</f>
        <v>0</v>
      </c>
      <c r="M271" s="14" t="n">
        <f aca="false">IF(J271=0,0,VLOOKUP(J271,MIE_Components!$A$2:$F$6,4,FALSE()))</f>
        <v>0</v>
      </c>
      <c r="N271" s="14" t="n">
        <f aca="false">IF(OR($A271="",J271=0),0,MAX(5,J271*IF(OR($A271=Parameters!$B$13,$A271=Parameters!$B$14),0.75,1)-(IF(AND($A271=DATE(2026,11,29),NOV29BF="Yes"),K271,0)+IF(OR($A271=DATE(2026,11,29),$A271=DATE(2026,11,30),$A271=DATE(2026,12,1),$A271=DATE(2026,12,2)),L271,0)+IF(OR($A271=DATE(2026,11,28),$A271=DATE(2026,12,1)),M271,0))))</f>
        <v>0</v>
      </c>
      <c r="O271" s="14" t="n">
        <f aca="false">IF(AND($A271&lt;&gt;"",$A271&lt;Parameters!$B$14),CityData!F4*(1+TAXRATE),0)</f>
        <v>0</v>
      </c>
      <c r="P271" s="14" t="n">
        <f aca="false">IF($A271="",0,IFERROR(VLOOKUP((YEAR($A271)+IF(MONTH($A271)&gt;=10,1,0))&amp;"|Chicago|"&amp;MONTH($A271),Rates!$A$2:$I$181,5,FALSE()),0))</f>
        <v>0</v>
      </c>
      <c r="Q271" s="14" t="n">
        <f aca="false">IF(OR($A271="",$A271&gt;=Parameters!$B$14),1,IF(AND(P271&gt;0,CityData!F4&lt;=P271),1,0))</f>
        <v>1</v>
      </c>
      <c r="R271" s="14" t="n">
        <f aca="false">IF($A271="",0,IFERROR(VLOOKUP((YEAR($A271)+IF(MONTH($A271)&gt;=10,1,0))&amp;"|Denver|"&amp;MONTH($A271),Rates!$A$2:$I$181,6,FALSE()),0))</f>
        <v>0</v>
      </c>
      <c r="S271" s="14" t="n">
        <f aca="false">IF(R271=0,0,VLOOKUP(R271,MIE_Components!$A$2:$F$6,2,FALSE()))</f>
        <v>0</v>
      </c>
      <c r="T271" s="14" t="n">
        <f aca="false">IF(R271=0,0,VLOOKUP(R271,MIE_Components!$A$2:$F$6,3,FALSE()))</f>
        <v>0</v>
      </c>
      <c r="U271" s="14" t="n">
        <f aca="false">IF(R271=0,0,VLOOKUP(R271,MIE_Components!$A$2:$F$6,4,FALSE()))</f>
        <v>0</v>
      </c>
      <c r="V271" s="14" t="n">
        <f aca="false">IF(OR($A271="",R271=0),0,MAX(5,R271*IF(OR($A271=Parameters!$B$13,$A271=Parameters!$B$14),0.75,1)-(IF(AND($A271=DATE(2026,11,29),NOV29BF="Yes"),S271,0)+IF(OR($A271=DATE(2026,11,29),$A271=DATE(2026,11,30),$A271=DATE(2026,12,1),$A271=DATE(2026,12,2)),T271,0)+IF(OR($A271=DATE(2026,11,28),$A271=DATE(2026,12,1)),U271,0))))</f>
        <v>0</v>
      </c>
      <c r="W271" s="14" t="n">
        <f aca="false">IF(AND($A271&lt;&gt;"",$A271&lt;Parameters!$B$14),CityData!F5*(1+TAXRATE),0)</f>
        <v>0</v>
      </c>
      <c r="X271" s="14" t="n">
        <f aca="false">IF($A271="",0,IFERROR(VLOOKUP((YEAR($A271)+IF(MONTH($A271)&gt;=10,1,0))&amp;"|Denver|"&amp;MONTH($A271),Rates!$A$2:$I$181,5,FALSE()),0))</f>
        <v>0</v>
      </c>
      <c r="Y271" s="14" t="n">
        <f aca="false">IF(OR($A271="",$A271&gt;=Parameters!$B$14),1,IF(AND(X271&gt;0,CityData!F5&lt;=X271),1,0))</f>
        <v>1</v>
      </c>
      <c r="Z271" s="14" t="n">
        <f aca="false">IF($A271="",0,IFERROR(VLOOKUP((YEAR($A271)+IF(MONTH($A271)&gt;=10,1,0))&amp;"|Phoenix|"&amp;MONTH($A271),Rates!$A$2:$I$181,6,FALSE()),0))</f>
        <v>0</v>
      </c>
      <c r="AA271" s="14" t="n">
        <f aca="false">IF(Z271=0,0,VLOOKUP(Z271,MIE_Components!$A$2:$F$6,2,FALSE()))</f>
        <v>0</v>
      </c>
      <c r="AB271" s="14" t="n">
        <f aca="false">IF(Z271=0,0,VLOOKUP(Z271,MIE_Components!$A$2:$F$6,3,FALSE()))</f>
        <v>0</v>
      </c>
      <c r="AC271" s="14" t="n">
        <f aca="false">IF(Z271=0,0,VLOOKUP(Z271,MIE_Components!$A$2:$F$6,4,FALSE()))</f>
        <v>0</v>
      </c>
      <c r="AD271" s="14" t="n">
        <f aca="false">IF(OR($A271="",Z271=0),0,MAX(5,Z271*IF(OR($A271=Parameters!$B$13,$A271=Parameters!$B$14),0.75,1)-(IF(AND($A271=DATE(2026,11,29),NOV29BF="Yes"),AA271,0)+IF(OR($A271=DATE(2026,11,29),$A271=DATE(2026,11,30),$A271=DATE(2026,12,1),$A271=DATE(2026,12,2)),AB271,0)+IF(OR($A271=DATE(2026,11,28),$A271=DATE(2026,12,1)),AC271,0))))</f>
        <v>0</v>
      </c>
      <c r="AE271" s="14" t="n">
        <f aca="false">IF(AND($A271&lt;&gt;"",$A271&lt;Parameters!$B$14),CityData!F6*(1+TAXRATE),0)</f>
        <v>0</v>
      </c>
      <c r="AF271" s="14" t="n">
        <f aca="false">IF($A271="",0,IFERROR(VLOOKUP((YEAR($A271)+IF(MONTH($A271)&gt;=10,1,0))&amp;"|Phoenix|"&amp;MONTH($A271),Rates!$A$2:$I$181,5,FALSE()),0))</f>
        <v>0</v>
      </c>
      <c r="AG271" s="14" t="n">
        <f aca="false">IF(OR($A271="",$A271&gt;=Parameters!$B$14),1,IF(AND(AF271&gt;0,CityData!F6&lt;=AF271),1,0))</f>
        <v>1</v>
      </c>
      <c r="AH271" s="14" t="n">
        <f aca="false">IF($A271="",0,IFERROR(VLOOKUP((YEAR($A271)+IF(MONTH($A271)&gt;=10,1,0))&amp;"|Seattle|"&amp;MONTH($A271),Rates!$A$2:$I$181,6,FALSE()),0))</f>
        <v>0</v>
      </c>
      <c r="AI271" s="14" t="n">
        <f aca="false">IF(AH271=0,0,VLOOKUP(AH271,MIE_Components!$A$2:$F$6,2,FALSE()))</f>
        <v>0</v>
      </c>
      <c r="AJ271" s="14" t="n">
        <f aca="false">IF(AH271=0,0,VLOOKUP(AH271,MIE_Components!$A$2:$F$6,3,FALSE()))</f>
        <v>0</v>
      </c>
      <c r="AK271" s="14" t="n">
        <f aca="false">IF(AH271=0,0,VLOOKUP(AH271,MIE_Components!$A$2:$F$6,4,FALSE()))</f>
        <v>0</v>
      </c>
      <c r="AL271" s="14" t="n">
        <f aca="false">IF(OR($A271="",AH271=0),0,MAX(5,AH271*IF(OR($A271=Parameters!$B$13,$A271=Parameters!$B$14),0.75,1)-(IF(AND($A271=DATE(2026,11,29),NOV29BF="Yes"),AI271,0)+IF(OR($A271=DATE(2026,11,29),$A271=DATE(2026,11,30),$A271=DATE(2026,12,1),$A271=DATE(2026,12,2)),AJ271,0)+IF(OR($A271=DATE(2026,11,28),$A271=DATE(2026,12,1)),AK271,0))))</f>
        <v>0</v>
      </c>
      <c r="AM271" s="14" t="n">
        <f aca="false">IF(AND($A271&lt;&gt;"",$A271&lt;Parameters!$B$14),CityData!F7*(1+TAXRATE),0)</f>
        <v>0</v>
      </c>
      <c r="AN271" s="14" t="n">
        <f aca="false">IF($A271="",0,IFERROR(VLOOKUP((YEAR($A271)+IF(MONTH($A271)&gt;=10,1,0))&amp;"|Seattle|"&amp;MONTH($A271),Rates!$A$2:$I$181,5,FALSE()),0))</f>
        <v>0</v>
      </c>
      <c r="AO271" s="14" t="n">
        <f aca="false">IF(OR($A271="",$A271&gt;=Parameters!$B$14),1,IF(AND(AN271&gt;0,CityData!F7&lt;=AN271),1,0))</f>
        <v>1</v>
      </c>
    </row>
    <row r="272" customFormat="false" ht="15" hidden="false" customHeight="true" outlineLevel="0" collapsed="false">
      <c r="A272" s="23" t="str">
        <f aca="false">IF(AND(Parameters!$B$14&gt;=Parameters!$B$13,ROW()-2&lt;=Parameters!$B$14-Parameters!$B$13),Parameters!$B$13+ROW()-2,"")</f>
        <v/>
      </c>
      <c r="B272" s="14" t="n">
        <f aca="false">IF($A272="",0,IFERROR(VLOOKUP((YEAR($A272)+IF(MONTH($A272)&gt;=10,1,0))&amp;"|Boston|"&amp;MONTH($A272),Rates!$A$2:$I$181,6,FALSE()),0))</f>
        <v>0</v>
      </c>
      <c r="C272" s="14" t="n">
        <f aca="false">IF(B272=0,0,VLOOKUP(B272,MIE_Components!$A$2:$F$6,2,FALSE()))</f>
        <v>0</v>
      </c>
      <c r="D272" s="14" t="n">
        <f aca="false">IF(B272=0,0,VLOOKUP(B272,MIE_Components!$A$2:$F$6,3,FALSE()))</f>
        <v>0</v>
      </c>
      <c r="E272" s="14" t="n">
        <f aca="false">IF(B272=0,0,VLOOKUP(B272,MIE_Components!$A$2:$F$6,4,FALSE()))</f>
        <v>0</v>
      </c>
      <c r="F272" s="14" t="n">
        <f aca="false">IF(OR($A272="",B272=0),0,MAX(5,B272*IF(OR($A272=Parameters!$B$13,$A272=Parameters!$B$14),0.75,1)-(IF(AND($A272=DATE(2026,11,29),NOV29BF="Yes"),C272,0)+IF(OR($A272=DATE(2026,11,29),$A272=DATE(2026,11,30),$A272=DATE(2026,12,1),$A272=DATE(2026,12,2)),D272,0)+IF(OR($A272=DATE(2026,11,28),$A272=DATE(2026,12,1)),E272,0))))</f>
        <v>0</v>
      </c>
      <c r="G272" s="14" t="n">
        <f aca="false">IF(AND($A272&lt;&gt;"",$A272&lt;Parameters!$B$14),CityData!F3*(1+TAXRATE),0)</f>
        <v>0</v>
      </c>
      <c r="H272" s="14" t="n">
        <f aca="false">IF($A272="",0,IFERROR(VLOOKUP((YEAR($A272)+IF(MONTH($A272)&gt;=10,1,0))&amp;"|Boston|"&amp;MONTH($A272),Rates!$A$2:$I$181,5,FALSE()),0))</f>
        <v>0</v>
      </c>
      <c r="I272" s="14" t="n">
        <f aca="false">IF(OR($A272="",$A272&gt;=Parameters!$B$14),1,IF(AND(H272&gt;0,CityData!F3&lt;=H272),1,0))</f>
        <v>1</v>
      </c>
      <c r="J272" s="14" t="n">
        <f aca="false">IF($A272="",0,IFERROR(VLOOKUP((YEAR($A272)+IF(MONTH($A272)&gt;=10,1,0))&amp;"|Chicago|"&amp;MONTH($A272),Rates!$A$2:$I$181,6,FALSE()),0))</f>
        <v>0</v>
      </c>
      <c r="K272" s="14" t="n">
        <f aca="false">IF(J272=0,0,VLOOKUP(J272,MIE_Components!$A$2:$F$6,2,FALSE()))</f>
        <v>0</v>
      </c>
      <c r="L272" s="14" t="n">
        <f aca="false">IF(J272=0,0,VLOOKUP(J272,MIE_Components!$A$2:$F$6,3,FALSE()))</f>
        <v>0</v>
      </c>
      <c r="M272" s="14" t="n">
        <f aca="false">IF(J272=0,0,VLOOKUP(J272,MIE_Components!$A$2:$F$6,4,FALSE()))</f>
        <v>0</v>
      </c>
      <c r="N272" s="14" t="n">
        <f aca="false">IF(OR($A272="",J272=0),0,MAX(5,J272*IF(OR($A272=Parameters!$B$13,$A272=Parameters!$B$14),0.75,1)-(IF(AND($A272=DATE(2026,11,29),NOV29BF="Yes"),K272,0)+IF(OR($A272=DATE(2026,11,29),$A272=DATE(2026,11,30),$A272=DATE(2026,12,1),$A272=DATE(2026,12,2)),L272,0)+IF(OR($A272=DATE(2026,11,28),$A272=DATE(2026,12,1)),M272,0))))</f>
        <v>0</v>
      </c>
      <c r="O272" s="14" t="n">
        <f aca="false">IF(AND($A272&lt;&gt;"",$A272&lt;Parameters!$B$14),CityData!F4*(1+TAXRATE),0)</f>
        <v>0</v>
      </c>
      <c r="P272" s="14" t="n">
        <f aca="false">IF($A272="",0,IFERROR(VLOOKUP((YEAR($A272)+IF(MONTH($A272)&gt;=10,1,0))&amp;"|Chicago|"&amp;MONTH($A272),Rates!$A$2:$I$181,5,FALSE()),0))</f>
        <v>0</v>
      </c>
      <c r="Q272" s="14" t="n">
        <f aca="false">IF(OR($A272="",$A272&gt;=Parameters!$B$14),1,IF(AND(P272&gt;0,CityData!F4&lt;=P272),1,0))</f>
        <v>1</v>
      </c>
      <c r="R272" s="14" t="n">
        <f aca="false">IF($A272="",0,IFERROR(VLOOKUP((YEAR($A272)+IF(MONTH($A272)&gt;=10,1,0))&amp;"|Denver|"&amp;MONTH($A272),Rates!$A$2:$I$181,6,FALSE()),0))</f>
        <v>0</v>
      </c>
      <c r="S272" s="14" t="n">
        <f aca="false">IF(R272=0,0,VLOOKUP(R272,MIE_Components!$A$2:$F$6,2,FALSE()))</f>
        <v>0</v>
      </c>
      <c r="T272" s="14" t="n">
        <f aca="false">IF(R272=0,0,VLOOKUP(R272,MIE_Components!$A$2:$F$6,3,FALSE()))</f>
        <v>0</v>
      </c>
      <c r="U272" s="14" t="n">
        <f aca="false">IF(R272=0,0,VLOOKUP(R272,MIE_Components!$A$2:$F$6,4,FALSE()))</f>
        <v>0</v>
      </c>
      <c r="V272" s="14" t="n">
        <f aca="false">IF(OR($A272="",R272=0),0,MAX(5,R272*IF(OR($A272=Parameters!$B$13,$A272=Parameters!$B$14),0.75,1)-(IF(AND($A272=DATE(2026,11,29),NOV29BF="Yes"),S272,0)+IF(OR($A272=DATE(2026,11,29),$A272=DATE(2026,11,30),$A272=DATE(2026,12,1),$A272=DATE(2026,12,2)),T272,0)+IF(OR($A272=DATE(2026,11,28),$A272=DATE(2026,12,1)),U272,0))))</f>
        <v>0</v>
      </c>
      <c r="W272" s="14" t="n">
        <f aca="false">IF(AND($A272&lt;&gt;"",$A272&lt;Parameters!$B$14),CityData!F5*(1+TAXRATE),0)</f>
        <v>0</v>
      </c>
      <c r="X272" s="14" t="n">
        <f aca="false">IF($A272="",0,IFERROR(VLOOKUP((YEAR($A272)+IF(MONTH($A272)&gt;=10,1,0))&amp;"|Denver|"&amp;MONTH($A272),Rates!$A$2:$I$181,5,FALSE()),0))</f>
        <v>0</v>
      </c>
      <c r="Y272" s="14" t="n">
        <f aca="false">IF(OR($A272="",$A272&gt;=Parameters!$B$14),1,IF(AND(X272&gt;0,CityData!F5&lt;=X272),1,0))</f>
        <v>1</v>
      </c>
      <c r="Z272" s="14" t="n">
        <f aca="false">IF($A272="",0,IFERROR(VLOOKUP((YEAR($A272)+IF(MONTH($A272)&gt;=10,1,0))&amp;"|Phoenix|"&amp;MONTH($A272),Rates!$A$2:$I$181,6,FALSE()),0))</f>
        <v>0</v>
      </c>
      <c r="AA272" s="14" t="n">
        <f aca="false">IF(Z272=0,0,VLOOKUP(Z272,MIE_Components!$A$2:$F$6,2,FALSE()))</f>
        <v>0</v>
      </c>
      <c r="AB272" s="14" t="n">
        <f aca="false">IF(Z272=0,0,VLOOKUP(Z272,MIE_Components!$A$2:$F$6,3,FALSE()))</f>
        <v>0</v>
      </c>
      <c r="AC272" s="14" t="n">
        <f aca="false">IF(Z272=0,0,VLOOKUP(Z272,MIE_Components!$A$2:$F$6,4,FALSE()))</f>
        <v>0</v>
      </c>
      <c r="AD272" s="14" t="n">
        <f aca="false">IF(OR($A272="",Z272=0),0,MAX(5,Z272*IF(OR($A272=Parameters!$B$13,$A272=Parameters!$B$14),0.75,1)-(IF(AND($A272=DATE(2026,11,29),NOV29BF="Yes"),AA272,0)+IF(OR($A272=DATE(2026,11,29),$A272=DATE(2026,11,30),$A272=DATE(2026,12,1),$A272=DATE(2026,12,2)),AB272,0)+IF(OR($A272=DATE(2026,11,28),$A272=DATE(2026,12,1)),AC272,0))))</f>
        <v>0</v>
      </c>
      <c r="AE272" s="14" t="n">
        <f aca="false">IF(AND($A272&lt;&gt;"",$A272&lt;Parameters!$B$14),CityData!F6*(1+TAXRATE),0)</f>
        <v>0</v>
      </c>
      <c r="AF272" s="14" t="n">
        <f aca="false">IF($A272="",0,IFERROR(VLOOKUP((YEAR($A272)+IF(MONTH($A272)&gt;=10,1,0))&amp;"|Phoenix|"&amp;MONTH($A272),Rates!$A$2:$I$181,5,FALSE()),0))</f>
        <v>0</v>
      </c>
      <c r="AG272" s="14" t="n">
        <f aca="false">IF(OR($A272="",$A272&gt;=Parameters!$B$14),1,IF(AND(AF272&gt;0,CityData!F6&lt;=AF272),1,0))</f>
        <v>1</v>
      </c>
      <c r="AH272" s="14" t="n">
        <f aca="false">IF($A272="",0,IFERROR(VLOOKUP((YEAR($A272)+IF(MONTH($A272)&gt;=10,1,0))&amp;"|Seattle|"&amp;MONTH($A272),Rates!$A$2:$I$181,6,FALSE()),0))</f>
        <v>0</v>
      </c>
      <c r="AI272" s="14" t="n">
        <f aca="false">IF(AH272=0,0,VLOOKUP(AH272,MIE_Components!$A$2:$F$6,2,FALSE()))</f>
        <v>0</v>
      </c>
      <c r="AJ272" s="14" t="n">
        <f aca="false">IF(AH272=0,0,VLOOKUP(AH272,MIE_Components!$A$2:$F$6,3,FALSE()))</f>
        <v>0</v>
      </c>
      <c r="AK272" s="14" t="n">
        <f aca="false">IF(AH272=0,0,VLOOKUP(AH272,MIE_Components!$A$2:$F$6,4,FALSE()))</f>
        <v>0</v>
      </c>
      <c r="AL272" s="14" t="n">
        <f aca="false">IF(OR($A272="",AH272=0),0,MAX(5,AH272*IF(OR($A272=Parameters!$B$13,$A272=Parameters!$B$14),0.75,1)-(IF(AND($A272=DATE(2026,11,29),NOV29BF="Yes"),AI272,0)+IF(OR($A272=DATE(2026,11,29),$A272=DATE(2026,11,30),$A272=DATE(2026,12,1),$A272=DATE(2026,12,2)),AJ272,0)+IF(OR($A272=DATE(2026,11,28),$A272=DATE(2026,12,1)),AK272,0))))</f>
        <v>0</v>
      </c>
      <c r="AM272" s="14" t="n">
        <f aca="false">IF(AND($A272&lt;&gt;"",$A272&lt;Parameters!$B$14),CityData!F7*(1+TAXRATE),0)</f>
        <v>0</v>
      </c>
      <c r="AN272" s="14" t="n">
        <f aca="false">IF($A272="",0,IFERROR(VLOOKUP((YEAR($A272)+IF(MONTH($A272)&gt;=10,1,0))&amp;"|Seattle|"&amp;MONTH($A272),Rates!$A$2:$I$181,5,FALSE()),0))</f>
        <v>0</v>
      </c>
      <c r="AO272" s="14" t="n">
        <f aca="false">IF(OR($A272="",$A272&gt;=Parameters!$B$14),1,IF(AND(AN272&gt;0,CityData!F7&lt;=AN272),1,0))</f>
        <v>1</v>
      </c>
    </row>
    <row r="273" customFormat="false" ht="15" hidden="false" customHeight="true" outlineLevel="0" collapsed="false">
      <c r="A273" s="23" t="str">
        <f aca="false">IF(AND(Parameters!$B$14&gt;=Parameters!$B$13,ROW()-2&lt;=Parameters!$B$14-Parameters!$B$13),Parameters!$B$13+ROW()-2,"")</f>
        <v/>
      </c>
      <c r="B273" s="14" t="n">
        <f aca="false">IF($A273="",0,IFERROR(VLOOKUP((YEAR($A273)+IF(MONTH($A273)&gt;=10,1,0))&amp;"|Boston|"&amp;MONTH($A273),Rates!$A$2:$I$181,6,FALSE()),0))</f>
        <v>0</v>
      </c>
      <c r="C273" s="14" t="n">
        <f aca="false">IF(B273=0,0,VLOOKUP(B273,MIE_Components!$A$2:$F$6,2,FALSE()))</f>
        <v>0</v>
      </c>
      <c r="D273" s="14" t="n">
        <f aca="false">IF(B273=0,0,VLOOKUP(B273,MIE_Components!$A$2:$F$6,3,FALSE()))</f>
        <v>0</v>
      </c>
      <c r="E273" s="14" t="n">
        <f aca="false">IF(B273=0,0,VLOOKUP(B273,MIE_Components!$A$2:$F$6,4,FALSE()))</f>
        <v>0</v>
      </c>
      <c r="F273" s="14" t="n">
        <f aca="false">IF(OR($A273="",B273=0),0,MAX(5,B273*IF(OR($A273=Parameters!$B$13,$A273=Parameters!$B$14),0.75,1)-(IF(AND($A273=DATE(2026,11,29),NOV29BF="Yes"),C273,0)+IF(OR($A273=DATE(2026,11,29),$A273=DATE(2026,11,30),$A273=DATE(2026,12,1),$A273=DATE(2026,12,2)),D273,0)+IF(OR($A273=DATE(2026,11,28),$A273=DATE(2026,12,1)),E273,0))))</f>
        <v>0</v>
      </c>
      <c r="G273" s="14" t="n">
        <f aca="false">IF(AND($A273&lt;&gt;"",$A273&lt;Parameters!$B$14),CityData!F3*(1+TAXRATE),0)</f>
        <v>0</v>
      </c>
      <c r="H273" s="14" t="n">
        <f aca="false">IF($A273="",0,IFERROR(VLOOKUP((YEAR($A273)+IF(MONTH($A273)&gt;=10,1,0))&amp;"|Boston|"&amp;MONTH($A273),Rates!$A$2:$I$181,5,FALSE()),0))</f>
        <v>0</v>
      </c>
      <c r="I273" s="14" t="n">
        <f aca="false">IF(OR($A273="",$A273&gt;=Parameters!$B$14),1,IF(AND(H273&gt;0,CityData!F3&lt;=H273),1,0))</f>
        <v>1</v>
      </c>
      <c r="J273" s="14" t="n">
        <f aca="false">IF($A273="",0,IFERROR(VLOOKUP((YEAR($A273)+IF(MONTH($A273)&gt;=10,1,0))&amp;"|Chicago|"&amp;MONTH($A273),Rates!$A$2:$I$181,6,FALSE()),0))</f>
        <v>0</v>
      </c>
      <c r="K273" s="14" t="n">
        <f aca="false">IF(J273=0,0,VLOOKUP(J273,MIE_Components!$A$2:$F$6,2,FALSE()))</f>
        <v>0</v>
      </c>
      <c r="L273" s="14" t="n">
        <f aca="false">IF(J273=0,0,VLOOKUP(J273,MIE_Components!$A$2:$F$6,3,FALSE()))</f>
        <v>0</v>
      </c>
      <c r="M273" s="14" t="n">
        <f aca="false">IF(J273=0,0,VLOOKUP(J273,MIE_Components!$A$2:$F$6,4,FALSE()))</f>
        <v>0</v>
      </c>
      <c r="N273" s="14" t="n">
        <f aca="false">IF(OR($A273="",J273=0),0,MAX(5,J273*IF(OR($A273=Parameters!$B$13,$A273=Parameters!$B$14),0.75,1)-(IF(AND($A273=DATE(2026,11,29),NOV29BF="Yes"),K273,0)+IF(OR($A273=DATE(2026,11,29),$A273=DATE(2026,11,30),$A273=DATE(2026,12,1),$A273=DATE(2026,12,2)),L273,0)+IF(OR($A273=DATE(2026,11,28),$A273=DATE(2026,12,1)),M273,0))))</f>
        <v>0</v>
      </c>
      <c r="O273" s="14" t="n">
        <f aca="false">IF(AND($A273&lt;&gt;"",$A273&lt;Parameters!$B$14),CityData!F4*(1+TAXRATE),0)</f>
        <v>0</v>
      </c>
      <c r="P273" s="14" t="n">
        <f aca="false">IF($A273="",0,IFERROR(VLOOKUP((YEAR($A273)+IF(MONTH($A273)&gt;=10,1,0))&amp;"|Chicago|"&amp;MONTH($A273),Rates!$A$2:$I$181,5,FALSE()),0))</f>
        <v>0</v>
      </c>
      <c r="Q273" s="14" t="n">
        <f aca="false">IF(OR($A273="",$A273&gt;=Parameters!$B$14),1,IF(AND(P273&gt;0,CityData!F4&lt;=P273),1,0))</f>
        <v>1</v>
      </c>
      <c r="R273" s="14" t="n">
        <f aca="false">IF($A273="",0,IFERROR(VLOOKUP((YEAR($A273)+IF(MONTH($A273)&gt;=10,1,0))&amp;"|Denver|"&amp;MONTH($A273),Rates!$A$2:$I$181,6,FALSE()),0))</f>
        <v>0</v>
      </c>
      <c r="S273" s="14" t="n">
        <f aca="false">IF(R273=0,0,VLOOKUP(R273,MIE_Components!$A$2:$F$6,2,FALSE()))</f>
        <v>0</v>
      </c>
      <c r="T273" s="14" t="n">
        <f aca="false">IF(R273=0,0,VLOOKUP(R273,MIE_Components!$A$2:$F$6,3,FALSE()))</f>
        <v>0</v>
      </c>
      <c r="U273" s="14" t="n">
        <f aca="false">IF(R273=0,0,VLOOKUP(R273,MIE_Components!$A$2:$F$6,4,FALSE()))</f>
        <v>0</v>
      </c>
      <c r="V273" s="14" t="n">
        <f aca="false">IF(OR($A273="",R273=0),0,MAX(5,R273*IF(OR($A273=Parameters!$B$13,$A273=Parameters!$B$14),0.75,1)-(IF(AND($A273=DATE(2026,11,29),NOV29BF="Yes"),S273,0)+IF(OR($A273=DATE(2026,11,29),$A273=DATE(2026,11,30),$A273=DATE(2026,12,1),$A273=DATE(2026,12,2)),T273,0)+IF(OR($A273=DATE(2026,11,28),$A273=DATE(2026,12,1)),U273,0))))</f>
        <v>0</v>
      </c>
      <c r="W273" s="14" t="n">
        <f aca="false">IF(AND($A273&lt;&gt;"",$A273&lt;Parameters!$B$14),CityData!F5*(1+TAXRATE),0)</f>
        <v>0</v>
      </c>
      <c r="X273" s="14" t="n">
        <f aca="false">IF($A273="",0,IFERROR(VLOOKUP((YEAR($A273)+IF(MONTH($A273)&gt;=10,1,0))&amp;"|Denver|"&amp;MONTH($A273),Rates!$A$2:$I$181,5,FALSE()),0))</f>
        <v>0</v>
      </c>
      <c r="Y273" s="14" t="n">
        <f aca="false">IF(OR($A273="",$A273&gt;=Parameters!$B$14),1,IF(AND(X273&gt;0,CityData!F5&lt;=X273),1,0))</f>
        <v>1</v>
      </c>
      <c r="Z273" s="14" t="n">
        <f aca="false">IF($A273="",0,IFERROR(VLOOKUP((YEAR($A273)+IF(MONTH($A273)&gt;=10,1,0))&amp;"|Phoenix|"&amp;MONTH($A273),Rates!$A$2:$I$181,6,FALSE()),0))</f>
        <v>0</v>
      </c>
      <c r="AA273" s="14" t="n">
        <f aca="false">IF(Z273=0,0,VLOOKUP(Z273,MIE_Components!$A$2:$F$6,2,FALSE()))</f>
        <v>0</v>
      </c>
      <c r="AB273" s="14" t="n">
        <f aca="false">IF(Z273=0,0,VLOOKUP(Z273,MIE_Components!$A$2:$F$6,3,FALSE()))</f>
        <v>0</v>
      </c>
      <c r="AC273" s="14" t="n">
        <f aca="false">IF(Z273=0,0,VLOOKUP(Z273,MIE_Components!$A$2:$F$6,4,FALSE()))</f>
        <v>0</v>
      </c>
      <c r="AD273" s="14" t="n">
        <f aca="false">IF(OR($A273="",Z273=0),0,MAX(5,Z273*IF(OR($A273=Parameters!$B$13,$A273=Parameters!$B$14),0.75,1)-(IF(AND($A273=DATE(2026,11,29),NOV29BF="Yes"),AA273,0)+IF(OR($A273=DATE(2026,11,29),$A273=DATE(2026,11,30),$A273=DATE(2026,12,1),$A273=DATE(2026,12,2)),AB273,0)+IF(OR($A273=DATE(2026,11,28),$A273=DATE(2026,12,1)),AC273,0))))</f>
        <v>0</v>
      </c>
      <c r="AE273" s="14" t="n">
        <f aca="false">IF(AND($A273&lt;&gt;"",$A273&lt;Parameters!$B$14),CityData!F6*(1+TAXRATE),0)</f>
        <v>0</v>
      </c>
      <c r="AF273" s="14" t="n">
        <f aca="false">IF($A273="",0,IFERROR(VLOOKUP((YEAR($A273)+IF(MONTH($A273)&gt;=10,1,0))&amp;"|Phoenix|"&amp;MONTH($A273),Rates!$A$2:$I$181,5,FALSE()),0))</f>
        <v>0</v>
      </c>
      <c r="AG273" s="14" t="n">
        <f aca="false">IF(OR($A273="",$A273&gt;=Parameters!$B$14),1,IF(AND(AF273&gt;0,CityData!F6&lt;=AF273),1,0))</f>
        <v>1</v>
      </c>
      <c r="AH273" s="14" t="n">
        <f aca="false">IF($A273="",0,IFERROR(VLOOKUP((YEAR($A273)+IF(MONTH($A273)&gt;=10,1,0))&amp;"|Seattle|"&amp;MONTH($A273),Rates!$A$2:$I$181,6,FALSE()),0))</f>
        <v>0</v>
      </c>
      <c r="AI273" s="14" t="n">
        <f aca="false">IF(AH273=0,0,VLOOKUP(AH273,MIE_Components!$A$2:$F$6,2,FALSE()))</f>
        <v>0</v>
      </c>
      <c r="AJ273" s="14" t="n">
        <f aca="false">IF(AH273=0,0,VLOOKUP(AH273,MIE_Components!$A$2:$F$6,3,FALSE()))</f>
        <v>0</v>
      </c>
      <c r="AK273" s="14" t="n">
        <f aca="false">IF(AH273=0,0,VLOOKUP(AH273,MIE_Components!$A$2:$F$6,4,FALSE()))</f>
        <v>0</v>
      </c>
      <c r="AL273" s="14" t="n">
        <f aca="false">IF(OR($A273="",AH273=0),0,MAX(5,AH273*IF(OR($A273=Parameters!$B$13,$A273=Parameters!$B$14),0.75,1)-(IF(AND($A273=DATE(2026,11,29),NOV29BF="Yes"),AI273,0)+IF(OR($A273=DATE(2026,11,29),$A273=DATE(2026,11,30),$A273=DATE(2026,12,1),$A273=DATE(2026,12,2)),AJ273,0)+IF(OR($A273=DATE(2026,11,28),$A273=DATE(2026,12,1)),AK273,0))))</f>
        <v>0</v>
      </c>
      <c r="AM273" s="14" t="n">
        <f aca="false">IF(AND($A273&lt;&gt;"",$A273&lt;Parameters!$B$14),CityData!F7*(1+TAXRATE),0)</f>
        <v>0</v>
      </c>
      <c r="AN273" s="14" t="n">
        <f aca="false">IF($A273="",0,IFERROR(VLOOKUP((YEAR($A273)+IF(MONTH($A273)&gt;=10,1,0))&amp;"|Seattle|"&amp;MONTH($A273),Rates!$A$2:$I$181,5,FALSE()),0))</f>
        <v>0</v>
      </c>
      <c r="AO273" s="14" t="n">
        <f aca="false">IF(OR($A273="",$A273&gt;=Parameters!$B$14),1,IF(AND(AN273&gt;0,CityData!F7&lt;=AN273),1,0))</f>
        <v>1</v>
      </c>
    </row>
    <row r="274" customFormat="false" ht="15" hidden="false" customHeight="true" outlineLevel="0" collapsed="false">
      <c r="A274" s="23" t="str">
        <f aca="false">IF(AND(Parameters!$B$14&gt;=Parameters!$B$13,ROW()-2&lt;=Parameters!$B$14-Parameters!$B$13),Parameters!$B$13+ROW()-2,"")</f>
        <v/>
      </c>
      <c r="B274" s="14" t="n">
        <f aca="false">IF($A274="",0,IFERROR(VLOOKUP((YEAR($A274)+IF(MONTH($A274)&gt;=10,1,0))&amp;"|Boston|"&amp;MONTH($A274),Rates!$A$2:$I$181,6,FALSE()),0))</f>
        <v>0</v>
      </c>
      <c r="C274" s="14" t="n">
        <f aca="false">IF(B274=0,0,VLOOKUP(B274,MIE_Components!$A$2:$F$6,2,FALSE()))</f>
        <v>0</v>
      </c>
      <c r="D274" s="14" t="n">
        <f aca="false">IF(B274=0,0,VLOOKUP(B274,MIE_Components!$A$2:$F$6,3,FALSE()))</f>
        <v>0</v>
      </c>
      <c r="E274" s="14" t="n">
        <f aca="false">IF(B274=0,0,VLOOKUP(B274,MIE_Components!$A$2:$F$6,4,FALSE()))</f>
        <v>0</v>
      </c>
      <c r="F274" s="14" t="n">
        <f aca="false">IF(OR($A274="",B274=0),0,MAX(5,B274*IF(OR($A274=Parameters!$B$13,$A274=Parameters!$B$14),0.75,1)-(IF(AND($A274=DATE(2026,11,29),NOV29BF="Yes"),C274,0)+IF(OR($A274=DATE(2026,11,29),$A274=DATE(2026,11,30),$A274=DATE(2026,12,1),$A274=DATE(2026,12,2)),D274,0)+IF(OR($A274=DATE(2026,11,28),$A274=DATE(2026,12,1)),E274,0))))</f>
        <v>0</v>
      </c>
      <c r="G274" s="14" t="n">
        <f aca="false">IF(AND($A274&lt;&gt;"",$A274&lt;Parameters!$B$14),CityData!F3*(1+TAXRATE),0)</f>
        <v>0</v>
      </c>
      <c r="H274" s="14" t="n">
        <f aca="false">IF($A274="",0,IFERROR(VLOOKUP((YEAR($A274)+IF(MONTH($A274)&gt;=10,1,0))&amp;"|Boston|"&amp;MONTH($A274),Rates!$A$2:$I$181,5,FALSE()),0))</f>
        <v>0</v>
      </c>
      <c r="I274" s="14" t="n">
        <f aca="false">IF(OR($A274="",$A274&gt;=Parameters!$B$14),1,IF(AND(H274&gt;0,CityData!F3&lt;=H274),1,0))</f>
        <v>1</v>
      </c>
      <c r="J274" s="14" t="n">
        <f aca="false">IF($A274="",0,IFERROR(VLOOKUP((YEAR($A274)+IF(MONTH($A274)&gt;=10,1,0))&amp;"|Chicago|"&amp;MONTH($A274),Rates!$A$2:$I$181,6,FALSE()),0))</f>
        <v>0</v>
      </c>
      <c r="K274" s="14" t="n">
        <f aca="false">IF(J274=0,0,VLOOKUP(J274,MIE_Components!$A$2:$F$6,2,FALSE()))</f>
        <v>0</v>
      </c>
      <c r="L274" s="14" t="n">
        <f aca="false">IF(J274=0,0,VLOOKUP(J274,MIE_Components!$A$2:$F$6,3,FALSE()))</f>
        <v>0</v>
      </c>
      <c r="M274" s="14" t="n">
        <f aca="false">IF(J274=0,0,VLOOKUP(J274,MIE_Components!$A$2:$F$6,4,FALSE()))</f>
        <v>0</v>
      </c>
      <c r="N274" s="14" t="n">
        <f aca="false">IF(OR($A274="",J274=0),0,MAX(5,J274*IF(OR($A274=Parameters!$B$13,$A274=Parameters!$B$14),0.75,1)-(IF(AND($A274=DATE(2026,11,29),NOV29BF="Yes"),K274,0)+IF(OR($A274=DATE(2026,11,29),$A274=DATE(2026,11,30),$A274=DATE(2026,12,1),$A274=DATE(2026,12,2)),L274,0)+IF(OR($A274=DATE(2026,11,28),$A274=DATE(2026,12,1)),M274,0))))</f>
        <v>0</v>
      </c>
      <c r="O274" s="14" t="n">
        <f aca="false">IF(AND($A274&lt;&gt;"",$A274&lt;Parameters!$B$14),CityData!F4*(1+TAXRATE),0)</f>
        <v>0</v>
      </c>
      <c r="P274" s="14" t="n">
        <f aca="false">IF($A274="",0,IFERROR(VLOOKUP((YEAR($A274)+IF(MONTH($A274)&gt;=10,1,0))&amp;"|Chicago|"&amp;MONTH($A274),Rates!$A$2:$I$181,5,FALSE()),0))</f>
        <v>0</v>
      </c>
      <c r="Q274" s="14" t="n">
        <f aca="false">IF(OR($A274="",$A274&gt;=Parameters!$B$14),1,IF(AND(P274&gt;0,CityData!F4&lt;=P274),1,0))</f>
        <v>1</v>
      </c>
      <c r="R274" s="14" t="n">
        <f aca="false">IF($A274="",0,IFERROR(VLOOKUP((YEAR($A274)+IF(MONTH($A274)&gt;=10,1,0))&amp;"|Denver|"&amp;MONTH($A274),Rates!$A$2:$I$181,6,FALSE()),0))</f>
        <v>0</v>
      </c>
      <c r="S274" s="14" t="n">
        <f aca="false">IF(R274=0,0,VLOOKUP(R274,MIE_Components!$A$2:$F$6,2,FALSE()))</f>
        <v>0</v>
      </c>
      <c r="T274" s="14" t="n">
        <f aca="false">IF(R274=0,0,VLOOKUP(R274,MIE_Components!$A$2:$F$6,3,FALSE()))</f>
        <v>0</v>
      </c>
      <c r="U274" s="14" t="n">
        <f aca="false">IF(R274=0,0,VLOOKUP(R274,MIE_Components!$A$2:$F$6,4,FALSE()))</f>
        <v>0</v>
      </c>
      <c r="V274" s="14" t="n">
        <f aca="false">IF(OR($A274="",R274=0),0,MAX(5,R274*IF(OR($A274=Parameters!$B$13,$A274=Parameters!$B$14),0.75,1)-(IF(AND($A274=DATE(2026,11,29),NOV29BF="Yes"),S274,0)+IF(OR($A274=DATE(2026,11,29),$A274=DATE(2026,11,30),$A274=DATE(2026,12,1),$A274=DATE(2026,12,2)),T274,0)+IF(OR($A274=DATE(2026,11,28),$A274=DATE(2026,12,1)),U274,0))))</f>
        <v>0</v>
      </c>
      <c r="W274" s="14" t="n">
        <f aca="false">IF(AND($A274&lt;&gt;"",$A274&lt;Parameters!$B$14),CityData!F5*(1+TAXRATE),0)</f>
        <v>0</v>
      </c>
      <c r="X274" s="14" t="n">
        <f aca="false">IF($A274="",0,IFERROR(VLOOKUP((YEAR($A274)+IF(MONTH($A274)&gt;=10,1,0))&amp;"|Denver|"&amp;MONTH($A274),Rates!$A$2:$I$181,5,FALSE()),0))</f>
        <v>0</v>
      </c>
      <c r="Y274" s="14" t="n">
        <f aca="false">IF(OR($A274="",$A274&gt;=Parameters!$B$14),1,IF(AND(X274&gt;0,CityData!F5&lt;=X274),1,0))</f>
        <v>1</v>
      </c>
      <c r="Z274" s="14" t="n">
        <f aca="false">IF($A274="",0,IFERROR(VLOOKUP((YEAR($A274)+IF(MONTH($A274)&gt;=10,1,0))&amp;"|Phoenix|"&amp;MONTH($A274),Rates!$A$2:$I$181,6,FALSE()),0))</f>
        <v>0</v>
      </c>
      <c r="AA274" s="14" t="n">
        <f aca="false">IF(Z274=0,0,VLOOKUP(Z274,MIE_Components!$A$2:$F$6,2,FALSE()))</f>
        <v>0</v>
      </c>
      <c r="AB274" s="14" t="n">
        <f aca="false">IF(Z274=0,0,VLOOKUP(Z274,MIE_Components!$A$2:$F$6,3,FALSE()))</f>
        <v>0</v>
      </c>
      <c r="AC274" s="14" t="n">
        <f aca="false">IF(Z274=0,0,VLOOKUP(Z274,MIE_Components!$A$2:$F$6,4,FALSE()))</f>
        <v>0</v>
      </c>
      <c r="AD274" s="14" t="n">
        <f aca="false">IF(OR($A274="",Z274=0),0,MAX(5,Z274*IF(OR($A274=Parameters!$B$13,$A274=Parameters!$B$14),0.75,1)-(IF(AND($A274=DATE(2026,11,29),NOV29BF="Yes"),AA274,0)+IF(OR($A274=DATE(2026,11,29),$A274=DATE(2026,11,30),$A274=DATE(2026,12,1),$A274=DATE(2026,12,2)),AB274,0)+IF(OR($A274=DATE(2026,11,28),$A274=DATE(2026,12,1)),AC274,0))))</f>
        <v>0</v>
      </c>
      <c r="AE274" s="14" t="n">
        <f aca="false">IF(AND($A274&lt;&gt;"",$A274&lt;Parameters!$B$14),CityData!F6*(1+TAXRATE),0)</f>
        <v>0</v>
      </c>
      <c r="AF274" s="14" t="n">
        <f aca="false">IF($A274="",0,IFERROR(VLOOKUP((YEAR($A274)+IF(MONTH($A274)&gt;=10,1,0))&amp;"|Phoenix|"&amp;MONTH($A274),Rates!$A$2:$I$181,5,FALSE()),0))</f>
        <v>0</v>
      </c>
      <c r="AG274" s="14" t="n">
        <f aca="false">IF(OR($A274="",$A274&gt;=Parameters!$B$14),1,IF(AND(AF274&gt;0,CityData!F6&lt;=AF274),1,0))</f>
        <v>1</v>
      </c>
      <c r="AH274" s="14" t="n">
        <f aca="false">IF($A274="",0,IFERROR(VLOOKUP((YEAR($A274)+IF(MONTH($A274)&gt;=10,1,0))&amp;"|Seattle|"&amp;MONTH($A274),Rates!$A$2:$I$181,6,FALSE()),0))</f>
        <v>0</v>
      </c>
      <c r="AI274" s="14" t="n">
        <f aca="false">IF(AH274=0,0,VLOOKUP(AH274,MIE_Components!$A$2:$F$6,2,FALSE()))</f>
        <v>0</v>
      </c>
      <c r="AJ274" s="14" t="n">
        <f aca="false">IF(AH274=0,0,VLOOKUP(AH274,MIE_Components!$A$2:$F$6,3,FALSE()))</f>
        <v>0</v>
      </c>
      <c r="AK274" s="14" t="n">
        <f aca="false">IF(AH274=0,0,VLOOKUP(AH274,MIE_Components!$A$2:$F$6,4,FALSE()))</f>
        <v>0</v>
      </c>
      <c r="AL274" s="14" t="n">
        <f aca="false">IF(OR($A274="",AH274=0),0,MAX(5,AH274*IF(OR($A274=Parameters!$B$13,$A274=Parameters!$B$14),0.75,1)-(IF(AND($A274=DATE(2026,11,29),NOV29BF="Yes"),AI274,0)+IF(OR($A274=DATE(2026,11,29),$A274=DATE(2026,11,30),$A274=DATE(2026,12,1),$A274=DATE(2026,12,2)),AJ274,0)+IF(OR($A274=DATE(2026,11,28),$A274=DATE(2026,12,1)),AK274,0))))</f>
        <v>0</v>
      </c>
      <c r="AM274" s="14" t="n">
        <f aca="false">IF(AND($A274&lt;&gt;"",$A274&lt;Parameters!$B$14),CityData!F7*(1+TAXRATE),0)</f>
        <v>0</v>
      </c>
      <c r="AN274" s="14" t="n">
        <f aca="false">IF($A274="",0,IFERROR(VLOOKUP((YEAR($A274)+IF(MONTH($A274)&gt;=10,1,0))&amp;"|Seattle|"&amp;MONTH($A274),Rates!$A$2:$I$181,5,FALSE()),0))</f>
        <v>0</v>
      </c>
      <c r="AO274" s="14" t="n">
        <f aca="false">IF(OR($A274="",$A274&gt;=Parameters!$B$14),1,IF(AND(AN274&gt;0,CityData!F7&lt;=AN274),1,0))</f>
        <v>1</v>
      </c>
    </row>
    <row r="275" customFormat="false" ht="15" hidden="false" customHeight="true" outlineLevel="0" collapsed="false">
      <c r="A275" s="23" t="str">
        <f aca="false">IF(AND(Parameters!$B$14&gt;=Parameters!$B$13,ROW()-2&lt;=Parameters!$B$14-Parameters!$B$13),Parameters!$B$13+ROW()-2,"")</f>
        <v/>
      </c>
      <c r="B275" s="14" t="n">
        <f aca="false">IF($A275="",0,IFERROR(VLOOKUP((YEAR($A275)+IF(MONTH($A275)&gt;=10,1,0))&amp;"|Boston|"&amp;MONTH($A275),Rates!$A$2:$I$181,6,FALSE()),0))</f>
        <v>0</v>
      </c>
      <c r="C275" s="14" t="n">
        <f aca="false">IF(B275=0,0,VLOOKUP(B275,MIE_Components!$A$2:$F$6,2,FALSE()))</f>
        <v>0</v>
      </c>
      <c r="D275" s="14" t="n">
        <f aca="false">IF(B275=0,0,VLOOKUP(B275,MIE_Components!$A$2:$F$6,3,FALSE()))</f>
        <v>0</v>
      </c>
      <c r="E275" s="14" t="n">
        <f aca="false">IF(B275=0,0,VLOOKUP(B275,MIE_Components!$A$2:$F$6,4,FALSE()))</f>
        <v>0</v>
      </c>
      <c r="F275" s="14" t="n">
        <f aca="false">IF(OR($A275="",B275=0),0,MAX(5,B275*IF(OR($A275=Parameters!$B$13,$A275=Parameters!$B$14),0.75,1)-(IF(AND($A275=DATE(2026,11,29),NOV29BF="Yes"),C275,0)+IF(OR($A275=DATE(2026,11,29),$A275=DATE(2026,11,30),$A275=DATE(2026,12,1),$A275=DATE(2026,12,2)),D275,0)+IF(OR($A275=DATE(2026,11,28),$A275=DATE(2026,12,1)),E275,0))))</f>
        <v>0</v>
      </c>
      <c r="G275" s="14" t="n">
        <f aca="false">IF(AND($A275&lt;&gt;"",$A275&lt;Parameters!$B$14),CityData!F3*(1+TAXRATE),0)</f>
        <v>0</v>
      </c>
      <c r="H275" s="14" t="n">
        <f aca="false">IF($A275="",0,IFERROR(VLOOKUP((YEAR($A275)+IF(MONTH($A275)&gt;=10,1,0))&amp;"|Boston|"&amp;MONTH($A275),Rates!$A$2:$I$181,5,FALSE()),0))</f>
        <v>0</v>
      </c>
      <c r="I275" s="14" t="n">
        <f aca="false">IF(OR($A275="",$A275&gt;=Parameters!$B$14),1,IF(AND(H275&gt;0,CityData!F3&lt;=H275),1,0))</f>
        <v>1</v>
      </c>
      <c r="J275" s="14" t="n">
        <f aca="false">IF($A275="",0,IFERROR(VLOOKUP((YEAR($A275)+IF(MONTH($A275)&gt;=10,1,0))&amp;"|Chicago|"&amp;MONTH($A275),Rates!$A$2:$I$181,6,FALSE()),0))</f>
        <v>0</v>
      </c>
      <c r="K275" s="14" t="n">
        <f aca="false">IF(J275=0,0,VLOOKUP(J275,MIE_Components!$A$2:$F$6,2,FALSE()))</f>
        <v>0</v>
      </c>
      <c r="L275" s="14" t="n">
        <f aca="false">IF(J275=0,0,VLOOKUP(J275,MIE_Components!$A$2:$F$6,3,FALSE()))</f>
        <v>0</v>
      </c>
      <c r="M275" s="14" t="n">
        <f aca="false">IF(J275=0,0,VLOOKUP(J275,MIE_Components!$A$2:$F$6,4,FALSE()))</f>
        <v>0</v>
      </c>
      <c r="N275" s="14" t="n">
        <f aca="false">IF(OR($A275="",J275=0),0,MAX(5,J275*IF(OR($A275=Parameters!$B$13,$A275=Parameters!$B$14),0.75,1)-(IF(AND($A275=DATE(2026,11,29),NOV29BF="Yes"),K275,0)+IF(OR($A275=DATE(2026,11,29),$A275=DATE(2026,11,30),$A275=DATE(2026,12,1),$A275=DATE(2026,12,2)),L275,0)+IF(OR($A275=DATE(2026,11,28),$A275=DATE(2026,12,1)),M275,0))))</f>
        <v>0</v>
      </c>
      <c r="O275" s="14" t="n">
        <f aca="false">IF(AND($A275&lt;&gt;"",$A275&lt;Parameters!$B$14),CityData!F4*(1+TAXRATE),0)</f>
        <v>0</v>
      </c>
      <c r="P275" s="14" t="n">
        <f aca="false">IF($A275="",0,IFERROR(VLOOKUP((YEAR($A275)+IF(MONTH($A275)&gt;=10,1,0))&amp;"|Chicago|"&amp;MONTH($A275),Rates!$A$2:$I$181,5,FALSE()),0))</f>
        <v>0</v>
      </c>
      <c r="Q275" s="14" t="n">
        <f aca="false">IF(OR($A275="",$A275&gt;=Parameters!$B$14),1,IF(AND(P275&gt;0,CityData!F4&lt;=P275),1,0))</f>
        <v>1</v>
      </c>
      <c r="R275" s="14" t="n">
        <f aca="false">IF($A275="",0,IFERROR(VLOOKUP((YEAR($A275)+IF(MONTH($A275)&gt;=10,1,0))&amp;"|Denver|"&amp;MONTH($A275),Rates!$A$2:$I$181,6,FALSE()),0))</f>
        <v>0</v>
      </c>
      <c r="S275" s="14" t="n">
        <f aca="false">IF(R275=0,0,VLOOKUP(R275,MIE_Components!$A$2:$F$6,2,FALSE()))</f>
        <v>0</v>
      </c>
      <c r="T275" s="14" t="n">
        <f aca="false">IF(R275=0,0,VLOOKUP(R275,MIE_Components!$A$2:$F$6,3,FALSE()))</f>
        <v>0</v>
      </c>
      <c r="U275" s="14" t="n">
        <f aca="false">IF(R275=0,0,VLOOKUP(R275,MIE_Components!$A$2:$F$6,4,FALSE()))</f>
        <v>0</v>
      </c>
      <c r="V275" s="14" t="n">
        <f aca="false">IF(OR($A275="",R275=0),0,MAX(5,R275*IF(OR($A275=Parameters!$B$13,$A275=Parameters!$B$14),0.75,1)-(IF(AND($A275=DATE(2026,11,29),NOV29BF="Yes"),S275,0)+IF(OR($A275=DATE(2026,11,29),$A275=DATE(2026,11,30),$A275=DATE(2026,12,1),$A275=DATE(2026,12,2)),T275,0)+IF(OR($A275=DATE(2026,11,28),$A275=DATE(2026,12,1)),U275,0))))</f>
        <v>0</v>
      </c>
      <c r="W275" s="14" t="n">
        <f aca="false">IF(AND($A275&lt;&gt;"",$A275&lt;Parameters!$B$14),CityData!F5*(1+TAXRATE),0)</f>
        <v>0</v>
      </c>
      <c r="X275" s="14" t="n">
        <f aca="false">IF($A275="",0,IFERROR(VLOOKUP((YEAR($A275)+IF(MONTH($A275)&gt;=10,1,0))&amp;"|Denver|"&amp;MONTH($A275),Rates!$A$2:$I$181,5,FALSE()),0))</f>
        <v>0</v>
      </c>
      <c r="Y275" s="14" t="n">
        <f aca="false">IF(OR($A275="",$A275&gt;=Parameters!$B$14),1,IF(AND(X275&gt;0,CityData!F5&lt;=X275),1,0))</f>
        <v>1</v>
      </c>
      <c r="Z275" s="14" t="n">
        <f aca="false">IF($A275="",0,IFERROR(VLOOKUP((YEAR($A275)+IF(MONTH($A275)&gt;=10,1,0))&amp;"|Phoenix|"&amp;MONTH($A275),Rates!$A$2:$I$181,6,FALSE()),0))</f>
        <v>0</v>
      </c>
      <c r="AA275" s="14" t="n">
        <f aca="false">IF(Z275=0,0,VLOOKUP(Z275,MIE_Components!$A$2:$F$6,2,FALSE()))</f>
        <v>0</v>
      </c>
      <c r="AB275" s="14" t="n">
        <f aca="false">IF(Z275=0,0,VLOOKUP(Z275,MIE_Components!$A$2:$F$6,3,FALSE()))</f>
        <v>0</v>
      </c>
      <c r="AC275" s="14" t="n">
        <f aca="false">IF(Z275=0,0,VLOOKUP(Z275,MIE_Components!$A$2:$F$6,4,FALSE()))</f>
        <v>0</v>
      </c>
      <c r="AD275" s="14" t="n">
        <f aca="false">IF(OR($A275="",Z275=0),0,MAX(5,Z275*IF(OR($A275=Parameters!$B$13,$A275=Parameters!$B$14),0.75,1)-(IF(AND($A275=DATE(2026,11,29),NOV29BF="Yes"),AA275,0)+IF(OR($A275=DATE(2026,11,29),$A275=DATE(2026,11,30),$A275=DATE(2026,12,1),$A275=DATE(2026,12,2)),AB275,0)+IF(OR($A275=DATE(2026,11,28),$A275=DATE(2026,12,1)),AC275,0))))</f>
        <v>0</v>
      </c>
      <c r="AE275" s="14" t="n">
        <f aca="false">IF(AND($A275&lt;&gt;"",$A275&lt;Parameters!$B$14),CityData!F6*(1+TAXRATE),0)</f>
        <v>0</v>
      </c>
      <c r="AF275" s="14" t="n">
        <f aca="false">IF($A275="",0,IFERROR(VLOOKUP((YEAR($A275)+IF(MONTH($A275)&gt;=10,1,0))&amp;"|Phoenix|"&amp;MONTH($A275),Rates!$A$2:$I$181,5,FALSE()),0))</f>
        <v>0</v>
      </c>
      <c r="AG275" s="14" t="n">
        <f aca="false">IF(OR($A275="",$A275&gt;=Parameters!$B$14),1,IF(AND(AF275&gt;0,CityData!F6&lt;=AF275),1,0))</f>
        <v>1</v>
      </c>
      <c r="AH275" s="14" t="n">
        <f aca="false">IF($A275="",0,IFERROR(VLOOKUP((YEAR($A275)+IF(MONTH($A275)&gt;=10,1,0))&amp;"|Seattle|"&amp;MONTH($A275),Rates!$A$2:$I$181,6,FALSE()),0))</f>
        <v>0</v>
      </c>
      <c r="AI275" s="14" t="n">
        <f aca="false">IF(AH275=0,0,VLOOKUP(AH275,MIE_Components!$A$2:$F$6,2,FALSE()))</f>
        <v>0</v>
      </c>
      <c r="AJ275" s="14" t="n">
        <f aca="false">IF(AH275=0,0,VLOOKUP(AH275,MIE_Components!$A$2:$F$6,3,FALSE()))</f>
        <v>0</v>
      </c>
      <c r="AK275" s="14" t="n">
        <f aca="false">IF(AH275=0,0,VLOOKUP(AH275,MIE_Components!$A$2:$F$6,4,FALSE()))</f>
        <v>0</v>
      </c>
      <c r="AL275" s="14" t="n">
        <f aca="false">IF(OR($A275="",AH275=0),0,MAX(5,AH275*IF(OR($A275=Parameters!$B$13,$A275=Parameters!$B$14),0.75,1)-(IF(AND($A275=DATE(2026,11,29),NOV29BF="Yes"),AI275,0)+IF(OR($A275=DATE(2026,11,29),$A275=DATE(2026,11,30),$A275=DATE(2026,12,1),$A275=DATE(2026,12,2)),AJ275,0)+IF(OR($A275=DATE(2026,11,28),$A275=DATE(2026,12,1)),AK275,0))))</f>
        <v>0</v>
      </c>
      <c r="AM275" s="14" t="n">
        <f aca="false">IF(AND($A275&lt;&gt;"",$A275&lt;Parameters!$B$14),CityData!F7*(1+TAXRATE),0)</f>
        <v>0</v>
      </c>
      <c r="AN275" s="14" t="n">
        <f aca="false">IF($A275="",0,IFERROR(VLOOKUP((YEAR($A275)+IF(MONTH($A275)&gt;=10,1,0))&amp;"|Seattle|"&amp;MONTH($A275),Rates!$A$2:$I$181,5,FALSE()),0))</f>
        <v>0</v>
      </c>
      <c r="AO275" s="14" t="n">
        <f aca="false">IF(OR($A275="",$A275&gt;=Parameters!$B$14),1,IF(AND(AN275&gt;0,CityData!F7&lt;=AN275),1,0))</f>
        <v>1</v>
      </c>
    </row>
    <row r="276" customFormat="false" ht="15" hidden="false" customHeight="true" outlineLevel="0" collapsed="false">
      <c r="A276" s="23" t="str">
        <f aca="false">IF(AND(Parameters!$B$14&gt;=Parameters!$B$13,ROW()-2&lt;=Parameters!$B$14-Parameters!$B$13),Parameters!$B$13+ROW()-2,"")</f>
        <v/>
      </c>
      <c r="B276" s="14" t="n">
        <f aca="false">IF($A276="",0,IFERROR(VLOOKUP((YEAR($A276)+IF(MONTH($A276)&gt;=10,1,0))&amp;"|Boston|"&amp;MONTH($A276),Rates!$A$2:$I$181,6,FALSE()),0))</f>
        <v>0</v>
      </c>
      <c r="C276" s="14" t="n">
        <f aca="false">IF(B276=0,0,VLOOKUP(B276,MIE_Components!$A$2:$F$6,2,FALSE()))</f>
        <v>0</v>
      </c>
      <c r="D276" s="14" t="n">
        <f aca="false">IF(B276=0,0,VLOOKUP(B276,MIE_Components!$A$2:$F$6,3,FALSE()))</f>
        <v>0</v>
      </c>
      <c r="E276" s="14" t="n">
        <f aca="false">IF(B276=0,0,VLOOKUP(B276,MIE_Components!$A$2:$F$6,4,FALSE()))</f>
        <v>0</v>
      </c>
      <c r="F276" s="14" t="n">
        <f aca="false">IF(OR($A276="",B276=0),0,MAX(5,B276*IF(OR($A276=Parameters!$B$13,$A276=Parameters!$B$14),0.75,1)-(IF(AND($A276=DATE(2026,11,29),NOV29BF="Yes"),C276,0)+IF(OR($A276=DATE(2026,11,29),$A276=DATE(2026,11,30),$A276=DATE(2026,12,1),$A276=DATE(2026,12,2)),D276,0)+IF(OR($A276=DATE(2026,11,28),$A276=DATE(2026,12,1)),E276,0))))</f>
        <v>0</v>
      </c>
      <c r="G276" s="14" t="n">
        <f aca="false">IF(AND($A276&lt;&gt;"",$A276&lt;Parameters!$B$14),CityData!F3*(1+TAXRATE),0)</f>
        <v>0</v>
      </c>
      <c r="H276" s="14" t="n">
        <f aca="false">IF($A276="",0,IFERROR(VLOOKUP((YEAR($A276)+IF(MONTH($A276)&gt;=10,1,0))&amp;"|Boston|"&amp;MONTH($A276),Rates!$A$2:$I$181,5,FALSE()),0))</f>
        <v>0</v>
      </c>
      <c r="I276" s="14" t="n">
        <f aca="false">IF(OR($A276="",$A276&gt;=Parameters!$B$14),1,IF(AND(H276&gt;0,CityData!F3&lt;=H276),1,0))</f>
        <v>1</v>
      </c>
      <c r="J276" s="14" t="n">
        <f aca="false">IF($A276="",0,IFERROR(VLOOKUP((YEAR($A276)+IF(MONTH($A276)&gt;=10,1,0))&amp;"|Chicago|"&amp;MONTH($A276),Rates!$A$2:$I$181,6,FALSE()),0))</f>
        <v>0</v>
      </c>
      <c r="K276" s="14" t="n">
        <f aca="false">IF(J276=0,0,VLOOKUP(J276,MIE_Components!$A$2:$F$6,2,FALSE()))</f>
        <v>0</v>
      </c>
      <c r="L276" s="14" t="n">
        <f aca="false">IF(J276=0,0,VLOOKUP(J276,MIE_Components!$A$2:$F$6,3,FALSE()))</f>
        <v>0</v>
      </c>
      <c r="M276" s="14" t="n">
        <f aca="false">IF(J276=0,0,VLOOKUP(J276,MIE_Components!$A$2:$F$6,4,FALSE()))</f>
        <v>0</v>
      </c>
      <c r="N276" s="14" t="n">
        <f aca="false">IF(OR($A276="",J276=0),0,MAX(5,J276*IF(OR($A276=Parameters!$B$13,$A276=Parameters!$B$14),0.75,1)-(IF(AND($A276=DATE(2026,11,29),NOV29BF="Yes"),K276,0)+IF(OR($A276=DATE(2026,11,29),$A276=DATE(2026,11,30),$A276=DATE(2026,12,1),$A276=DATE(2026,12,2)),L276,0)+IF(OR($A276=DATE(2026,11,28),$A276=DATE(2026,12,1)),M276,0))))</f>
        <v>0</v>
      </c>
      <c r="O276" s="14" t="n">
        <f aca="false">IF(AND($A276&lt;&gt;"",$A276&lt;Parameters!$B$14),CityData!F4*(1+TAXRATE),0)</f>
        <v>0</v>
      </c>
      <c r="P276" s="14" t="n">
        <f aca="false">IF($A276="",0,IFERROR(VLOOKUP((YEAR($A276)+IF(MONTH($A276)&gt;=10,1,0))&amp;"|Chicago|"&amp;MONTH($A276),Rates!$A$2:$I$181,5,FALSE()),0))</f>
        <v>0</v>
      </c>
      <c r="Q276" s="14" t="n">
        <f aca="false">IF(OR($A276="",$A276&gt;=Parameters!$B$14),1,IF(AND(P276&gt;0,CityData!F4&lt;=P276),1,0))</f>
        <v>1</v>
      </c>
      <c r="R276" s="14" t="n">
        <f aca="false">IF($A276="",0,IFERROR(VLOOKUP((YEAR($A276)+IF(MONTH($A276)&gt;=10,1,0))&amp;"|Denver|"&amp;MONTH($A276),Rates!$A$2:$I$181,6,FALSE()),0))</f>
        <v>0</v>
      </c>
      <c r="S276" s="14" t="n">
        <f aca="false">IF(R276=0,0,VLOOKUP(R276,MIE_Components!$A$2:$F$6,2,FALSE()))</f>
        <v>0</v>
      </c>
      <c r="T276" s="14" t="n">
        <f aca="false">IF(R276=0,0,VLOOKUP(R276,MIE_Components!$A$2:$F$6,3,FALSE()))</f>
        <v>0</v>
      </c>
      <c r="U276" s="14" t="n">
        <f aca="false">IF(R276=0,0,VLOOKUP(R276,MIE_Components!$A$2:$F$6,4,FALSE()))</f>
        <v>0</v>
      </c>
      <c r="V276" s="14" t="n">
        <f aca="false">IF(OR($A276="",R276=0),0,MAX(5,R276*IF(OR($A276=Parameters!$B$13,$A276=Parameters!$B$14),0.75,1)-(IF(AND($A276=DATE(2026,11,29),NOV29BF="Yes"),S276,0)+IF(OR($A276=DATE(2026,11,29),$A276=DATE(2026,11,30),$A276=DATE(2026,12,1),$A276=DATE(2026,12,2)),T276,0)+IF(OR($A276=DATE(2026,11,28),$A276=DATE(2026,12,1)),U276,0))))</f>
        <v>0</v>
      </c>
      <c r="W276" s="14" t="n">
        <f aca="false">IF(AND($A276&lt;&gt;"",$A276&lt;Parameters!$B$14),CityData!F5*(1+TAXRATE),0)</f>
        <v>0</v>
      </c>
      <c r="X276" s="14" t="n">
        <f aca="false">IF($A276="",0,IFERROR(VLOOKUP((YEAR($A276)+IF(MONTH($A276)&gt;=10,1,0))&amp;"|Denver|"&amp;MONTH($A276),Rates!$A$2:$I$181,5,FALSE()),0))</f>
        <v>0</v>
      </c>
      <c r="Y276" s="14" t="n">
        <f aca="false">IF(OR($A276="",$A276&gt;=Parameters!$B$14),1,IF(AND(X276&gt;0,CityData!F5&lt;=X276),1,0))</f>
        <v>1</v>
      </c>
      <c r="Z276" s="14" t="n">
        <f aca="false">IF($A276="",0,IFERROR(VLOOKUP((YEAR($A276)+IF(MONTH($A276)&gt;=10,1,0))&amp;"|Phoenix|"&amp;MONTH($A276),Rates!$A$2:$I$181,6,FALSE()),0))</f>
        <v>0</v>
      </c>
      <c r="AA276" s="14" t="n">
        <f aca="false">IF(Z276=0,0,VLOOKUP(Z276,MIE_Components!$A$2:$F$6,2,FALSE()))</f>
        <v>0</v>
      </c>
      <c r="AB276" s="14" t="n">
        <f aca="false">IF(Z276=0,0,VLOOKUP(Z276,MIE_Components!$A$2:$F$6,3,FALSE()))</f>
        <v>0</v>
      </c>
      <c r="AC276" s="14" t="n">
        <f aca="false">IF(Z276=0,0,VLOOKUP(Z276,MIE_Components!$A$2:$F$6,4,FALSE()))</f>
        <v>0</v>
      </c>
      <c r="AD276" s="14" t="n">
        <f aca="false">IF(OR($A276="",Z276=0),0,MAX(5,Z276*IF(OR($A276=Parameters!$B$13,$A276=Parameters!$B$14),0.75,1)-(IF(AND($A276=DATE(2026,11,29),NOV29BF="Yes"),AA276,0)+IF(OR($A276=DATE(2026,11,29),$A276=DATE(2026,11,30),$A276=DATE(2026,12,1),$A276=DATE(2026,12,2)),AB276,0)+IF(OR($A276=DATE(2026,11,28),$A276=DATE(2026,12,1)),AC276,0))))</f>
        <v>0</v>
      </c>
      <c r="AE276" s="14" t="n">
        <f aca="false">IF(AND($A276&lt;&gt;"",$A276&lt;Parameters!$B$14),CityData!F6*(1+TAXRATE),0)</f>
        <v>0</v>
      </c>
      <c r="AF276" s="14" t="n">
        <f aca="false">IF($A276="",0,IFERROR(VLOOKUP((YEAR($A276)+IF(MONTH($A276)&gt;=10,1,0))&amp;"|Phoenix|"&amp;MONTH($A276),Rates!$A$2:$I$181,5,FALSE()),0))</f>
        <v>0</v>
      </c>
      <c r="AG276" s="14" t="n">
        <f aca="false">IF(OR($A276="",$A276&gt;=Parameters!$B$14),1,IF(AND(AF276&gt;0,CityData!F6&lt;=AF276),1,0))</f>
        <v>1</v>
      </c>
      <c r="AH276" s="14" t="n">
        <f aca="false">IF($A276="",0,IFERROR(VLOOKUP((YEAR($A276)+IF(MONTH($A276)&gt;=10,1,0))&amp;"|Seattle|"&amp;MONTH($A276),Rates!$A$2:$I$181,6,FALSE()),0))</f>
        <v>0</v>
      </c>
      <c r="AI276" s="14" t="n">
        <f aca="false">IF(AH276=0,0,VLOOKUP(AH276,MIE_Components!$A$2:$F$6,2,FALSE()))</f>
        <v>0</v>
      </c>
      <c r="AJ276" s="14" t="n">
        <f aca="false">IF(AH276=0,0,VLOOKUP(AH276,MIE_Components!$A$2:$F$6,3,FALSE()))</f>
        <v>0</v>
      </c>
      <c r="AK276" s="14" t="n">
        <f aca="false">IF(AH276=0,0,VLOOKUP(AH276,MIE_Components!$A$2:$F$6,4,FALSE()))</f>
        <v>0</v>
      </c>
      <c r="AL276" s="14" t="n">
        <f aca="false">IF(OR($A276="",AH276=0),0,MAX(5,AH276*IF(OR($A276=Parameters!$B$13,$A276=Parameters!$B$14),0.75,1)-(IF(AND($A276=DATE(2026,11,29),NOV29BF="Yes"),AI276,0)+IF(OR($A276=DATE(2026,11,29),$A276=DATE(2026,11,30),$A276=DATE(2026,12,1),$A276=DATE(2026,12,2)),AJ276,0)+IF(OR($A276=DATE(2026,11,28),$A276=DATE(2026,12,1)),AK276,0))))</f>
        <v>0</v>
      </c>
      <c r="AM276" s="14" t="n">
        <f aca="false">IF(AND($A276&lt;&gt;"",$A276&lt;Parameters!$B$14),CityData!F7*(1+TAXRATE),0)</f>
        <v>0</v>
      </c>
      <c r="AN276" s="14" t="n">
        <f aca="false">IF($A276="",0,IFERROR(VLOOKUP((YEAR($A276)+IF(MONTH($A276)&gt;=10,1,0))&amp;"|Seattle|"&amp;MONTH($A276),Rates!$A$2:$I$181,5,FALSE()),0))</f>
        <v>0</v>
      </c>
      <c r="AO276" s="14" t="n">
        <f aca="false">IF(OR($A276="",$A276&gt;=Parameters!$B$14),1,IF(AND(AN276&gt;0,CityData!F7&lt;=AN276),1,0))</f>
        <v>1</v>
      </c>
    </row>
    <row r="277" customFormat="false" ht="15" hidden="false" customHeight="true" outlineLevel="0" collapsed="false">
      <c r="A277" s="23" t="str">
        <f aca="false">IF(AND(Parameters!$B$14&gt;=Parameters!$B$13,ROW()-2&lt;=Parameters!$B$14-Parameters!$B$13),Parameters!$B$13+ROW()-2,"")</f>
        <v/>
      </c>
      <c r="B277" s="14" t="n">
        <f aca="false">IF($A277="",0,IFERROR(VLOOKUP((YEAR($A277)+IF(MONTH($A277)&gt;=10,1,0))&amp;"|Boston|"&amp;MONTH($A277),Rates!$A$2:$I$181,6,FALSE()),0))</f>
        <v>0</v>
      </c>
      <c r="C277" s="14" t="n">
        <f aca="false">IF(B277=0,0,VLOOKUP(B277,MIE_Components!$A$2:$F$6,2,FALSE()))</f>
        <v>0</v>
      </c>
      <c r="D277" s="14" t="n">
        <f aca="false">IF(B277=0,0,VLOOKUP(B277,MIE_Components!$A$2:$F$6,3,FALSE()))</f>
        <v>0</v>
      </c>
      <c r="E277" s="14" t="n">
        <f aca="false">IF(B277=0,0,VLOOKUP(B277,MIE_Components!$A$2:$F$6,4,FALSE()))</f>
        <v>0</v>
      </c>
      <c r="F277" s="14" t="n">
        <f aca="false">IF(OR($A277="",B277=0),0,MAX(5,B277*IF(OR($A277=Parameters!$B$13,$A277=Parameters!$B$14),0.75,1)-(IF(AND($A277=DATE(2026,11,29),NOV29BF="Yes"),C277,0)+IF(OR($A277=DATE(2026,11,29),$A277=DATE(2026,11,30),$A277=DATE(2026,12,1),$A277=DATE(2026,12,2)),D277,0)+IF(OR($A277=DATE(2026,11,28),$A277=DATE(2026,12,1)),E277,0))))</f>
        <v>0</v>
      </c>
      <c r="G277" s="14" t="n">
        <f aca="false">IF(AND($A277&lt;&gt;"",$A277&lt;Parameters!$B$14),CityData!F3*(1+TAXRATE),0)</f>
        <v>0</v>
      </c>
      <c r="H277" s="14" t="n">
        <f aca="false">IF($A277="",0,IFERROR(VLOOKUP((YEAR($A277)+IF(MONTH($A277)&gt;=10,1,0))&amp;"|Boston|"&amp;MONTH($A277),Rates!$A$2:$I$181,5,FALSE()),0))</f>
        <v>0</v>
      </c>
      <c r="I277" s="14" t="n">
        <f aca="false">IF(OR($A277="",$A277&gt;=Parameters!$B$14),1,IF(AND(H277&gt;0,CityData!F3&lt;=H277),1,0))</f>
        <v>1</v>
      </c>
      <c r="J277" s="14" t="n">
        <f aca="false">IF($A277="",0,IFERROR(VLOOKUP((YEAR($A277)+IF(MONTH($A277)&gt;=10,1,0))&amp;"|Chicago|"&amp;MONTH($A277),Rates!$A$2:$I$181,6,FALSE()),0))</f>
        <v>0</v>
      </c>
      <c r="K277" s="14" t="n">
        <f aca="false">IF(J277=0,0,VLOOKUP(J277,MIE_Components!$A$2:$F$6,2,FALSE()))</f>
        <v>0</v>
      </c>
      <c r="L277" s="14" t="n">
        <f aca="false">IF(J277=0,0,VLOOKUP(J277,MIE_Components!$A$2:$F$6,3,FALSE()))</f>
        <v>0</v>
      </c>
      <c r="M277" s="14" t="n">
        <f aca="false">IF(J277=0,0,VLOOKUP(J277,MIE_Components!$A$2:$F$6,4,FALSE()))</f>
        <v>0</v>
      </c>
      <c r="N277" s="14" t="n">
        <f aca="false">IF(OR($A277="",J277=0),0,MAX(5,J277*IF(OR($A277=Parameters!$B$13,$A277=Parameters!$B$14),0.75,1)-(IF(AND($A277=DATE(2026,11,29),NOV29BF="Yes"),K277,0)+IF(OR($A277=DATE(2026,11,29),$A277=DATE(2026,11,30),$A277=DATE(2026,12,1),$A277=DATE(2026,12,2)),L277,0)+IF(OR($A277=DATE(2026,11,28),$A277=DATE(2026,12,1)),M277,0))))</f>
        <v>0</v>
      </c>
      <c r="O277" s="14" t="n">
        <f aca="false">IF(AND($A277&lt;&gt;"",$A277&lt;Parameters!$B$14),CityData!F4*(1+TAXRATE),0)</f>
        <v>0</v>
      </c>
      <c r="P277" s="14" t="n">
        <f aca="false">IF($A277="",0,IFERROR(VLOOKUP((YEAR($A277)+IF(MONTH($A277)&gt;=10,1,0))&amp;"|Chicago|"&amp;MONTH($A277),Rates!$A$2:$I$181,5,FALSE()),0))</f>
        <v>0</v>
      </c>
      <c r="Q277" s="14" t="n">
        <f aca="false">IF(OR($A277="",$A277&gt;=Parameters!$B$14),1,IF(AND(P277&gt;0,CityData!F4&lt;=P277),1,0))</f>
        <v>1</v>
      </c>
      <c r="R277" s="14" t="n">
        <f aca="false">IF($A277="",0,IFERROR(VLOOKUP((YEAR($A277)+IF(MONTH($A277)&gt;=10,1,0))&amp;"|Denver|"&amp;MONTH($A277),Rates!$A$2:$I$181,6,FALSE()),0))</f>
        <v>0</v>
      </c>
      <c r="S277" s="14" t="n">
        <f aca="false">IF(R277=0,0,VLOOKUP(R277,MIE_Components!$A$2:$F$6,2,FALSE()))</f>
        <v>0</v>
      </c>
      <c r="T277" s="14" t="n">
        <f aca="false">IF(R277=0,0,VLOOKUP(R277,MIE_Components!$A$2:$F$6,3,FALSE()))</f>
        <v>0</v>
      </c>
      <c r="U277" s="14" t="n">
        <f aca="false">IF(R277=0,0,VLOOKUP(R277,MIE_Components!$A$2:$F$6,4,FALSE()))</f>
        <v>0</v>
      </c>
      <c r="V277" s="14" t="n">
        <f aca="false">IF(OR($A277="",R277=0),0,MAX(5,R277*IF(OR($A277=Parameters!$B$13,$A277=Parameters!$B$14),0.75,1)-(IF(AND($A277=DATE(2026,11,29),NOV29BF="Yes"),S277,0)+IF(OR($A277=DATE(2026,11,29),$A277=DATE(2026,11,30),$A277=DATE(2026,12,1),$A277=DATE(2026,12,2)),T277,0)+IF(OR($A277=DATE(2026,11,28),$A277=DATE(2026,12,1)),U277,0))))</f>
        <v>0</v>
      </c>
      <c r="W277" s="14" t="n">
        <f aca="false">IF(AND($A277&lt;&gt;"",$A277&lt;Parameters!$B$14),CityData!F5*(1+TAXRATE),0)</f>
        <v>0</v>
      </c>
      <c r="X277" s="14" t="n">
        <f aca="false">IF($A277="",0,IFERROR(VLOOKUP((YEAR($A277)+IF(MONTH($A277)&gt;=10,1,0))&amp;"|Denver|"&amp;MONTH($A277),Rates!$A$2:$I$181,5,FALSE()),0))</f>
        <v>0</v>
      </c>
      <c r="Y277" s="14" t="n">
        <f aca="false">IF(OR($A277="",$A277&gt;=Parameters!$B$14),1,IF(AND(X277&gt;0,CityData!F5&lt;=X277),1,0))</f>
        <v>1</v>
      </c>
      <c r="Z277" s="14" t="n">
        <f aca="false">IF($A277="",0,IFERROR(VLOOKUP((YEAR($A277)+IF(MONTH($A277)&gt;=10,1,0))&amp;"|Phoenix|"&amp;MONTH($A277),Rates!$A$2:$I$181,6,FALSE()),0))</f>
        <v>0</v>
      </c>
      <c r="AA277" s="14" t="n">
        <f aca="false">IF(Z277=0,0,VLOOKUP(Z277,MIE_Components!$A$2:$F$6,2,FALSE()))</f>
        <v>0</v>
      </c>
      <c r="AB277" s="14" t="n">
        <f aca="false">IF(Z277=0,0,VLOOKUP(Z277,MIE_Components!$A$2:$F$6,3,FALSE()))</f>
        <v>0</v>
      </c>
      <c r="AC277" s="14" t="n">
        <f aca="false">IF(Z277=0,0,VLOOKUP(Z277,MIE_Components!$A$2:$F$6,4,FALSE()))</f>
        <v>0</v>
      </c>
      <c r="AD277" s="14" t="n">
        <f aca="false">IF(OR($A277="",Z277=0),0,MAX(5,Z277*IF(OR($A277=Parameters!$B$13,$A277=Parameters!$B$14),0.75,1)-(IF(AND($A277=DATE(2026,11,29),NOV29BF="Yes"),AA277,0)+IF(OR($A277=DATE(2026,11,29),$A277=DATE(2026,11,30),$A277=DATE(2026,12,1),$A277=DATE(2026,12,2)),AB277,0)+IF(OR($A277=DATE(2026,11,28),$A277=DATE(2026,12,1)),AC277,0))))</f>
        <v>0</v>
      </c>
      <c r="AE277" s="14" t="n">
        <f aca="false">IF(AND($A277&lt;&gt;"",$A277&lt;Parameters!$B$14),CityData!F6*(1+TAXRATE),0)</f>
        <v>0</v>
      </c>
      <c r="AF277" s="14" t="n">
        <f aca="false">IF($A277="",0,IFERROR(VLOOKUP((YEAR($A277)+IF(MONTH($A277)&gt;=10,1,0))&amp;"|Phoenix|"&amp;MONTH($A277),Rates!$A$2:$I$181,5,FALSE()),0))</f>
        <v>0</v>
      </c>
      <c r="AG277" s="14" t="n">
        <f aca="false">IF(OR($A277="",$A277&gt;=Parameters!$B$14),1,IF(AND(AF277&gt;0,CityData!F6&lt;=AF277),1,0))</f>
        <v>1</v>
      </c>
      <c r="AH277" s="14" t="n">
        <f aca="false">IF($A277="",0,IFERROR(VLOOKUP((YEAR($A277)+IF(MONTH($A277)&gt;=10,1,0))&amp;"|Seattle|"&amp;MONTH($A277),Rates!$A$2:$I$181,6,FALSE()),0))</f>
        <v>0</v>
      </c>
      <c r="AI277" s="14" t="n">
        <f aca="false">IF(AH277=0,0,VLOOKUP(AH277,MIE_Components!$A$2:$F$6,2,FALSE()))</f>
        <v>0</v>
      </c>
      <c r="AJ277" s="14" t="n">
        <f aca="false">IF(AH277=0,0,VLOOKUP(AH277,MIE_Components!$A$2:$F$6,3,FALSE()))</f>
        <v>0</v>
      </c>
      <c r="AK277" s="14" t="n">
        <f aca="false">IF(AH277=0,0,VLOOKUP(AH277,MIE_Components!$A$2:$F$6,4,FALSE()))</f>
        <v>0</v>
      </c>
      <c r="AL277" s="14" t="n">
        <f aca="false">IF(OR($A277="",AH277=0),0,MAX(5,AH277*IF(OR($A277=Parameters!$B$13,$A277=Parameters!$B$14),0.75,1)-(IF(AND($A277=DATE(2026,11,29),NOV29BF="Yes"),AI277,0)+IF(OR($A277=DATE(2026,11,29),$A277=DATE(2026,11,30),$A277=DATE(2026,12,1),$A277=DATE(2026,12,2)),AJ277,0)+IF(OR($A277=DATE(2026,11,28),$A277=DATE(2026,12,1)),AK277,0))))</f>
        <v>0</v>
      </c>
      <c r="AM277" s="14" t="n">
        <f aca="false">IF(AND($A277&lt;&gt;"",$A277&lt;Parameters!$B$14),CityData!F7*(1+TAXRATE),0)</f>
        <v>0</v>
      </c>
      <c r="AN277" s="14" t="n">
        <f aca="false">IF($A277="",0,IFERROR(VLOOKUP((YEAR($A277)+IF(MONTH($A277)&gt;=10,1,0))&amp;"|Seattle|"&amp;MONTH($A277),Rates!$A$2:$I$181,5,FALSE()),0))</f>
        <v>0</v>
      </c>
      <c r="AO277" s="14" t="n">
        <f aca="false">IF(OR($A277="",$A277&gt;=Parameters!$B$14),1,IF(AND(AN277&gt;0,CityData!F7&lt;=AN277),1,0))</f>
        <v>1</v>
      </c>
    </row>
    <row r="278" customFormat="false" ht="15" hidden="false" customHeight="true" outlineLevel="0" collapsed="false">
      <c r="A278" s="23" t="str">
        <f aca="false">IF(AND(Parameters!$B$14&gt;=Parameters!$B$13,ROW()-2&lt;=Parameters!$B$14-Parameters!$B$13),Parameters!$B$13+ROW()-2,"")</f>
        <v/>
      </c>
      <c r="B278" s="14" t="n">
        <f aca="false">IF($A278="",0,IFERROR(VLOOKUP((YEAR($A278)+IF(MONTH($A278)&gt;=10,1,0))&amp;"|Boston|"&amp;MONTH($A278),Rates!$A$2:$I$181,6,FALSE()),0))</f>
        <v>0</v>
      </c>
      <c r="C278" s="14" t="n">
        <f aca="false">IF(B278=0,0,VLOOKUP(B278,MIE_Components!$A$2:$F$6,2,FALSE()))</f>
        <v>0</v>
      </c>
      <c r="D278" s="14" t="n">
        <f aca="false">IF(B278=0,0,VLOOKUP(B278,MIE_Components!$A$2:$F$6,3,FALSE()))</f>
        <v>0</v>
      </c>
      <c r="E278" s="14" t="n">
        <f aca="false">IF(B278=0,0,VLOOKUP(B278,MIE_Components!$A$2:$F$6,4,FALSE()))</f>
        <v>0</v>
      </c>
      <c r="F278" s="14" t="n">
        <f aca="false">IF(OR($A278="",B278=0),0,MAX(5,B278*IF(OR($A278=Parameters!$B$13,$A278=Parameters!$B$14),0.75,1)-(IF(AND($A278=DATE(2026,11,29),NOV29BF="Yes"),C278,0)+IF(OR($A278=DATE(2026,11,29),$A278=DATE(2026,11,30),$A278=DATE(2026,12,1),$A278=DATE(2026,12,2)),D278,0)+IF(OR($A278=DATE(2026,11,28),$A278=DATE(2026,12,1)),E278,0))))</f>
        <v>0</v>
      </c>
      <c r="G278" s="14" t="n">
        <f aca="false">IF(AND($A278&lt;&gt;"",$A278&lt;Parameters!$B$14),CityData!F3*(1+TAXRATE),0)</f>
        <v>0</v>
      </c>
      <c r="H278" s="14" t="n">
        <f aca="false">IF($A278="",0,IFERROR(VLOOKUP((YEAR($A278)+IF(MONTH($A278)&gt;=10,1,0))&amp;"|Boston|"&amp;MONTH($A278),Rates!$A$2:$I$181,5,FALSE()),0))</f>
        <v>0</v>
      </c>
      <c r="I278" s="14" t="n">
        <f aca="false">IF(OR($A278="",$A278&gt;=Parameters!$B$14),1,IF(AND(H278&gt;0,CityData!F3&lt;=H278),1,0))</f>
        <v>1</v>
      </c>
      <c r="J278" s="14" t="n">
        <f aca="false">IF($A278="",0,IFERROR(VLOOKUP((YEAR($A278)+IF(MONTH($A278)&gt;=10,1,0))&amp;"|Chicago|"&amp;MONTH($A278),Rates!$A$2:$I$181,6,FALSE()),0))</f>
        <v>0</v>
      </c>
      <c r="K278" s="14" t="n">
        <f aca="false">IF(J278=0,0,VLOOKUP(J278,MIE_Components!$A$2:$F$6,2,FALSE()))</f>
        <v>0</v>
      </c>
      <c r="L278" s="14" t="n">
        <f aca="false">IF(J278=0,0,VLOOKUP(J278,MIE_Components!$A$2:$F$6,3,FALSE()))</f>
        <v>0</v>
      </c>
      <c r="M278" s="14" t="n">
        <f aca="false">IF(J278=0,0,VLOOKUP(J278,MIE_Components!$A$2:$F$6,4,FALSE()))</f>
        <v>0</v>
      </c>
      <c r="N278" s="14" t="n">
        <f aca="false">IF(OR($A278="",J278=0),0,MAX(5,J278*IF(OR($A278=Parameters!$B$13,$A278=Parameters!$B$14),0.75,1)-(IF(AND($A278=DATE(2026,11,29),NOV29BF="Yes"),K278,0)+IF(OR($A278=DATE(2026,11,29),$A278=DATE(2026,11,30),$A278=DATE(2026,12,1),$A278=DATE(2026,12,2)),L278,0)+IF(OR($A278=DATE(2026,11,28),$A278=DATE(2026,12,1)),M278,0))))</f>
        <v>0</v>
      </c>
      <c r="O278" s="14" t="n">
        <f aca="false">IF(AND($A278&lt;&gt;"",$A278&lt;Parameters!$B$14),CityData!F4*(1+TAXRATE),0)</f>
        <v>0</v>
      </c>
      <c r="P278" s="14" t="n">
        <f aca="false">IF($A278="",0,IFERROR(VLOOKUP((YEAR($A278)+IF(MONTH($A278)&gt;=10,1,0))&amp;"|Chicago|"&amp;MONTH($A278),Rates!$A$2:$I$181,5,FALSE()),0))</f>
        <v>0</v>
      </c>
      <c r="Q278" s="14" t="n">
        <f aca="false">IF(OR($A278="",$A278&gt;=Parameters!$B$14),1,IF(AND(P278&gt;0,CityData!F4&lt;=P278),1,0))</f>
        <v>1</v>
      </c>
      <c r="R278" s="14" t="n">
        <f aca="false">IF($A278="",0,IFERROR(VLOOKUP((YEAR($A278)+IF(MONTH($A278)&gt;=10,1,0))&amp;"|Denver|"&amp;MONTH($A278),Rates!$A$2:$I$181,6,FALSE()),0))</f>
        <v>0</v>
      </c>
      <c r="S278" s="14" t="n">
        <f aca="false">IF(R278=0,0,VLOOKUP(R278,MIE_Components!$A$2:$F$6,2,FALSE()))</f>
        <v>0</v>
      </c>
      <c r="T278" s="14" t="n">
        <f aca="false">IF(R278=0,0,VLOOKUP(R278,MIE_Components!$A$2:$F$6,3,FALSE()))</f>
        <v>0</v>
      </c>
      <c r="U278" s="14" t="n">
        <f aca="false">IF(R278=0,0,VLOOKUP(R278,MIE_Components!$A$2:$F$6,4,FALSE()))</f>
        <v>0</v>
      </c>
      <c r="V278" s="14" t="n">
        <f aca="false">IF(OR($A278="",R278=0),0,MAX(5,R278*IF(OR($A278=Parameters!$B$13,$A278=Parameters!$B$14),0.75,1)-(IF(AND($A278=DATE(2026,11,29),NOV29BF="Yes"),S278,0)+IF(OR($A278=DATE(2026,11,29),$A278=DATE(2026,11,30),$A278=DATE(2026,12,1),$A278=DATE(2026,12,2)),T278,0)+IF(OR($A278=DATE(2026,11,28),$A278=DATE(2026,12,1)),U278,0))))</f>
        <v>0</v>
      </c>
      <c r="W278" s="14" t="n">
        <f aca="false">IF(AND($A278&lt;&gt;"",$A278&lt;Parameters!$B$14),CityData!F5*(1+TAXRATE),0)</f>
        <v>0</v>
      </c>
      <c r="X278" s="14" t="n">
        <f aca="false">IF($A278="",0,IFERROR(VLOOKUP((YEAR($A278)+IF(MONTH($A278)&gt;=10,1,0))&amp;"|Denver|"&amp;MONTH($A278),Rates!$A$2:$I$181,5,FALSE()),0))</f>
        <v>0</v>
      </c>
      <c r="Y278" s="14" t="n">
        <f aca="false">IF(OR($A278="",$A278&gt;=Parameters!$B$14),1,IF(AND(X278&gt;0,CityData!F5&lt;=X278),1,0))</f>
        <v>1</v>
      </c>
      <c r="Z278" s="14" t="n">
        <f aca="false">IF($A278="",0,IFERROR(VLOOKUP((YEAR($A278)+IF(MONTH($A278)&gt;=10,1,0))&amp;"|Phoenix|"&amp;MONTH($A278),Rates!$A$2:$I$181,6,FALSE()),0))</f>
        <v>0</v>
      </c>
      <c r="AA278" s="14" t="n">
        <f aca="false">IF(Z278=0,0,VLOOKUP(Z278,MIE_Components!$A$2:$F$6,2,FALSE()))</f>
        <v>0</v>
      </c>
      <c r="AB278" s="14" t="n">
        <f aca="false">IF(Z278=0,0,VLOOKUP(Z278,MIE_Components!$A$2:$F$6,3,FALSE()))</f>
        <v>0</v>
      </c>
      <c r="AC278" s="14" t="n">
        <f aca="false">IF(Z278=0,0,VLOOKUP(Z278,MIE_Components!$A$2:$F$6,4,FALSE()))</f>
        <v>0</v>
      </c>
      <c r="AD278" s="14" t="n">
        <f aca="false">IF(OR($A278="",Z278=0),0,MAX(5,Z278*IF(OR($A278=Parameters!$B$13,$A278=Parameters!$B$14),0.75,1)-(IF(AND($A278=DATE(2026,11,29),NOV29BF="Yes"),AA278,0)+IF(OR($A278=DATE(2026,11,29),$A278=DATE(2026,11,30),$A278=DATE(2026,12,1),$A278=DATE(2026,12,2)),AB278,0)+IF(OR($A278=DATE(2026,11,28),$A278=DATE(2026,12,1)),AC278,0))))</f>
        <v>0</v>
      </c>
      <c r="AE278" s="14" t="n">
        <f aca="false">IF(AND($A278&lt;&gt;"",$A278&lt;Parameters!$B$14),CityData!F6*(1+TAXRATE),0)</f>
        <v>0</v>
      </c>
      <c r="AF278" s="14" t="n">
        <f aca="false">IF($A278="",0,IFERROR(VLOOKUP((YEAR($A278)+IF(MONTH($A278)&gt;=10,1,0))&amp;"|Phoenix|"&amp;MONTH($A278),Rates!$A$2:$I$181,5,FALSE()),0))</f>
        <v>0</v>
      </c>
      <c r="AG278" s="14" t="n">
        <f aca="false">IF(OR($A278="",$A278&gt;=Parameters!$B$14),1,IF(AND(AF278&gt;0,CityData!F6&lt;=AF278),1,0))</f>
        <v>1</v>
      </c>
      <c r="AH278" s="14" t="n">
        <f aca="false">IF($A278="",0,IFERROR(VLOOKUP((YEAR($A278)+IF(MONTH($A278)&gt;=10,1,0))&amp;"|Seattle|"&amp;MONTH($A278),Rates!$A$2:$I$181,6,FALSE()),0))</f>
        <v>0</v>
      </c>
      <c r="AI278" s="14" t="n">
        <f aca="false">IF(AH278=0,0,VLOOKUP(AH278,MIE_Components!$A$2:$F$6,2,FALSE()))</f>
        <v>0</v>
      </c>
      <c r="AJ278" s="14" t="n">
        <f aca="false">IF(AH278=0,0,VLOOKUP(AH278,MIE_Components!$A$2:$F$6,3,FALSE()))</f>
        <v>0</v>
      </c>
      <c r="AK278" s="14" t="n">
        <f aca="false">IF(AH278=0,0,VLOOKUP(AH278,MIE_Components!$A$2:$F$6,4,FALSE()))</f>
        <v>0</v>
      </c>
      <c r="AL278" s="14" t="n">
        <f aca="false">IF(OR($A278="",AH278=0),0,MAX(5,AH278*IF(OR($A278=Parameters!$B$13,$A278=Parameters!$B$14),0.75,1)-(IF(AND($A278=DATE(2026,11,29),NOV29BF="Yes"),AI278,0)+IF(OR($A278=DATE(2026,11,29),$A278=DATE(2026,11,30),$A278=DATE(2026,12,1),$A278=DATE(2026,12,2)),AJ278,0)+IF(OR($A278=DATE(2026,11,28),$A278=DATE(2026,12,1)),AK278,0))))</f>
        <v>0</v>
      </c>
      <c r="AM278" s="14" t="n">
        <f aca="false">IF(AND($A278&lt;&gt;"",$A278&lt;Parameters!$B$14),CityData!F7*(1+TAXRATE),0)</f>
        <v>0</v>
      </c>
      <c r="AN278" s="14" t="n">
        <f aca="false">IF($A278="",0,IFERROR(VLOOKUP((YEAR($A278)+IF(MONTH($A278)&gt;=10,1,0))&amp;"|Seattle|"&amp;MONTH($A278),Rates!$A$2:$I$181,5,FALSE()),0))</f>
        <v>0</v>
      </c>
      <c r="AO278" s="14" t="n">
        <f aca="false">IF(OR($A278="",$A278&gt;=Parameters!$B$14),1,IF(AND(AN278&gt;0,CityData!F7&lt;=AN278),1,0))</f>
        <v>1</v>
      </c>
    </row>
    <row r="279" customFormat="false" ht="15" hidden="false" customHeight="true" outlineLevel="0" collapsed="false">
      <c r="A279" s="23" t="str">
        <f aca="false">IF(AND(Parameters!$B$14&gt;=Parameters!$B$13,ROW()-2&lt;=Parameters!$B$14-Parameters!$B$13),Parameters!$B$13+ROW()-2,"")</f>
        <v/>
      </c>
      <c r="B279" s="14" t="n">
        <f aca="false">IF($A279="",0,IFERROR(VLOOKUP((YEAR($A279)+IF(MONTH($A279)&gt;=10,1,0))&amp;"|Boston|"&amp;MONTH($A279),Rates!$A$2:$I$181,6,FALSE()),0))</f>
        <v>0</v>
      </c>
      <c r="C279" s="14" t="n">
        <f aca="false">IF(B279=0,0,VLOOKUP(B279,MIE_Components!$A$2:$F$6,2,FALSE()))</f>
        <v>0</v>
      </c>
      <c r="D279" s="14" t="n">
        <f aca="false">IF(B279=0,0,VLOOKUP(B279,MIE_Components!$A$2:$F$6,3,FALSE()))</f>
        <v>0</v>
      </c>
      <c r="E279" s="14" t="n">
        <f aca="false">IF(B279=0,0,VLOOKUP(B279,MIE_Components!$A$2:$F$6,4,FALSE()))</f>
        <v>0</v>
      </c>
      <c r="F279" s="14" t="n">
        <f aca="false">IF(OR($A279="",B279=0),0,MAX(5,B279*IF(OR($A279=Parameters!$B$13,$A279=Parameters!$B$14),0.75,1)-(IF(AND($A279=DATE(2026,11,29),NOV29BF="Yes"),C279,0)+IF(OR($A279=DATE(2026,11,29),$A279=DATE(2026,11,30),$A279=DATE(2026,12,1),$A279=DATE(2026,12,2)),D279,0)+IF(OR($A279=DATE(2026,11,28),$A279=DATE(2026,12,1)),E279,0))))</f>
        <v>0</v>
      </c>
      <c r="G279" s="14" t="n">
        <f aca="false">IF(AND($A279&lt;&gt;"",$A279&lt;Parameters!$B$14),CityData!F3*(1+TAXRATE),0)</f>
        <v>0</v>
      </c>
      <c r="H279" s="14" t="n">
        <f aca="false">IF($A279="",0,IFERROR(VLOOKUP((YEAR($A279)+IF(MONTH($A279)&gt;=10,1,0))&amp;"|Boston|"&amp;MONTH($A279),Rates!$A$2:$I$181,5,FALSE()),0))</f>
        <v>0</v>
      </c>
      <c r="I279" s="14" t="n">
        <f aca="false">IF(OR($A279="",$A279&gt;=Parameters!$B$14),1,IF(AND(H279&gt;0,CityData!F3&lt;=H279),1,0))</f>
        <v>1</v>
      </c>
      <c r="J279" s="14" t="n">
        <f aca="false">IF($A279="",0,IFERROR(VLOOKUP((YEAR($A279)+IF(MONTH($A279)&gt;=10,1,0))&amp;"|Chicago|"&amp;MONTH($A279),Rates!$A$2:$I$181,6,FALSE()),0))</f>
        <v>0</v>
      </c>
      <c r="K279" s="14" t="n">
        <f aca="false">IF(J279=0,0,VLOOKUP(J279,MIE_Components!$A$2:$F$6,2,FALSE()))</f>
        <v>0</v>
      </c>
      <c r="L279" s="14" t="n">
        <f aca="false">IF(J279=0,0,VLOOKUP(J279,MIE_Components!$A$2:$F$6,3,FALSE()))</f>
        <v>0</v>
      </c>
      <c r="M279" s="14" t="n">
        <f aca="false">IF(J279=0,0,VLOOKUP(J279,MIE_Components!$A$2:$F$6,4,FALSE()))</f>
        <v>0</v>
      </c>
      <c r="N279" s="14" t="n">
        <f aca="false">IF(OR($A279="",J279=0),0,MAX(5,J279*IF(OR($A279=Parameters!$B$13,$A279=Parameters!$B$14),0.75,1)-(IF(AND($A279=DATE(2026,11,29),NOV29BF="Yes"),K279,0)+IF(OR($A279=DATE(2026,11,29),$A279=DATE(2026,11,30),$A279=DATE(2026,12,1),$A279=DATE(2026,12,2)),L279,0)+IF(OR($A279=DATE(2026,11,28),$A279=DATE(2026,12,1)),M279,0))))</f>
        <v>0</v>
      </c>
      <c r="O279" s="14" t="n">
        <f aca="false">IF(AND($A279&lt;&gt;"",$A279&lt;Parameters!$B$14),CityData!F4*(1+TAXRATE),0)</f>
        <v>0</v>
      </c>
      <c r="P279" s="14" t="n">
        <f aca="false">IF($A279="",0,IFERROR(VLOOKUP((YEAR($A279)+IF(MONTH($A279)&gt;=10,1,0))&amp;"|Chicago|"&amp;MONTH($A279),Rates!$A$2:$I$181,5,FALSE()),0))</f>
        <v>0</v>
      </c>
      <c r="Q279" s="14" t="n">
        <f aca="false">IF(OR($A279="",$A279&gt;=Parameters!$B$14),1,IF(AND(P279&gt;0,CityData!F4&lt;=P279),1,0))</f>
        <v>1</v>
      </c>
      <c r="R279" s="14" t="n">
        <f aca="false">IF($A279="",0,IFERROR(VLOOKUP((YEAR($A279)+IF(MONTH($A279)&gt;=10,1,0))&amp;"|Denver|"&amp;MONTH($A279),Rates!$A$2:$I$181,6,FALSE()),0))</f>
        <v>0</v>
      </c>
      <c r="S279" s="14" t="n">
        <f aca="false">IF(R279=0,0,VLOOKUP(R279,MIE_Components!$A$2:$F$6,2,FALSE()))</f>
        <v>0</v>
      </c>
      <c r="T279" s="14" t="n">
        <f aca="false">IF(R279=0,0,VLOOKUP(R279,MIE_Components!$A$2:$F$6,3,FALSE()))</f>
        <v>0</v>
      </c>
      <c r="U279" s="14" t="n">
        <f aca="false">IF(R279=0,0,VLOOKUP(R279,MIE_Components!$A$2:$F$6,4,FALSE()))</f>
        <v>0</v>
      </c>
      <c r="V279" s="14" t="n">
        <f aca="false">IF(OR($A279="",R279=0),0,MAX(5,R279*IF(OR($A279=Parameters!$B$13,$A279=Parameters!$B$14),0.75,1)-(IF(AND($A279=DATE(2026,11,29),NOV29BF="Yes"),S279,0)+IF(OR($A279=DATE(2026,11,29),$A279=DATE(2026,11,30),$A279=DATE(2026,12,1),$A279=DATE(2026,12,2)),T279,0)+IF(OR($A279=DATE(2026,11,28),$A279=DATE(2026,12,1)),U279,0))))</f>
        <v>0</v>
      </c>
      <c r="W279" s="14" t="n">
        <f aca="false">IF(AND($A279&lt;&gt;"",$A279&lt;Parameters!$B$14),CityData!F5*(1+TAXRATE),0)</f>
        <v>0</v>
      </c>
      <c r="X279" s="14" t="n">
        <f aca="false">IF($A279="",0,IFERROR(VLOOKUP((YEAR($A279)+IF(MONTH($A279)&gt;=10,1,0))&amp;"|Denver|"&amp;MONTH($A279),Rates!$A$2:$I$181,5,FALSE()),0))</f>
        <v>0</v>
      </c>
      <c r="Y279" s="14" t="n">
        <f aca="false">IF(OR($A279="",$A279&gt;=Parameters!$B$14),1,IF(AND(X279&gt;0,CityData!F5&lt;=X279),1,0))</f>
        <v>1</v>
      </c>
      <c r="Z279" s="14" t="n">
        <f aca="false">IF($A279="",0,IFERROR(VLOOKUP((YEAR($A279)+IF(MONTH($A279)&gt;=10,1,0))&amp;"|Phoenix|"&amp;MONTH($A279),Rates!$A$2:$I$181,6,FALSE()),0))</f>
        <v>0</v>
      </c>
      <c r="AA279" s="14" t="n">
        <f aca="false">IF(Z279=0,0,VLOOKUP(Z279,MIE_Components!$A$2:$F$6,2,FALSE()))</f>
        <v>0</v>
      </c>
      <c r="AB279" s="14" t="n">
        <f aca="false">IF(Z279=0,0,VLOOKUP(Z279,MIE_Components!$A$2:$F$6,3,FALSE()))</f>
        <v>0</v>
      </c>
      <c r="AC279" s="14" t="n">
        <f aca="false">IF(Z279=0,0,VLOOKUP(Z279,MIE_Components!$A$2:$F$6,4,FALSE()))</f>
        <v>0</v>
      </c>
      <c r="AD279" s="14" t="n">
        <f aca="false">IF(OR($A279="",Z279=0),0,MAX(5,Z279*IF(OR($A279=Parameters!$B$13,$A279=Parameters!$B$14),0.75,1)-(IF(AND($A279=DATE(2026,11,29),NOV29BF="Yes"),AA279,0)+IF(OR($A279=DATE(2026,11,29),$A279=DATE(2026,11,30),$A279=DATE(2026,12,1),$A279=DATE(2026,12,2)),AB279,0)+IF(OR($A279=DATE(2026,11,28),$A279=DATE(2026,12,1)),AC279,0))))</f>
        <v>0</v>
      </c>
      <c r="AE279" s="14" t="n">
        <f aca="false">IF(AND($A279&lt;&gt;"",$A279&lt;Parameters!$B$14),CityData!F6*(1+TAXRATE),0)</f>
        <v>0</v>
      </c>
      <c r="AF279" s="14" t="n">
        <f aca="false">IF($A279="",0,IFERROR(VLOOKUP((YEAR($A279)+IF(MONTH($A279)&gt;=10,1,0))&amp;"|Phoenix|"&amp;MONTH($A279),Rates!$A$2:$I$181,5,FALSE()),0))</f>
        <v>0</v>
      </c>
      <c r="AG279" s="14" t="n">
        <f aca="false">IF(OR($A279="",$A279&gt;=Parameters!$B$14),1,IF(AND(AF279&gt;0,CityData!F6&lt;=AF279),1,0))</f>
        <v>1</v>
      </c>
      <c r="AH279" s="14" t="n">
        <f aca="false">IF($A279="",0,IFERROR(VLOOKUP((YEAR($A279)+IF(MONTH($A279)&gt;=10,1,0))&amp;"|Seattle|"&amp;MONTH($A279),Rates!$A$2:$I$181,6,FALSE()),0))</f>
        <v>0</v>
      </c>
      <c r="AI279" s="14" t="n">
        <f aca="false">IF(AH279=0,0,VLOOKUP(AH279,MIE_Components!$A$2:$F$6,2,FALSE()))</f>
        <v>0</v>
      </c>
      <c r="AJ279" s="14" t="n">
        <f aca="false">IF(AH279=0,0,VLOOKUP(AH279,MIE_Components!$A$2:$F$6,3,FALSE()))</f>
        <v>0</v>
      </c>
      <c r="AK279" s="14" t="n">
        <f aca="false">IF(AH279=0,0,VLOOKUP(AH279,MIE_Components!$A$2:$F$6,4,FALSE()))</f>
        <v>0</v>
      </c>
      <c r="AL279" s="14" t="n">
        <f aca="false">IF(OR($A279="",AH279=0),0,MAX(5,AH279*IF(OR($A279=Parameters!$B$13,$A279=Parameters!$B$14),0.75,1)-(IF(AND($A279=DATE(2026,11,29),NOV29BF="Yes"),AI279,0)+IF(OR($A279=DATE(2026,11,29),$A279=DATE(2026,11,30),$A279=DATE(2026,12,1),$A279=DATE(2026,12,2)),AJ279,0)+IF(OR($A279=DATE(2026,11,28),$A279=DATE(2026,12,1)),AK279,0))))</f>
        <v>0</v>
      </c>
      <c r="AM279" s="14" t="n">
        <f aca="false">IF(AND($A279&lt;&gt;"",$A279&lt;Parameters!$B$14),CityData!F7*(1+TAXRATE),0)</f>
        <v>0</v>
      </c>
      <c r="AN279" s="14" t="n">
        <f aca="false">IF($A279="",0,IFERROR(VLOOKUP((YEAR($A279)+IF(MONTH($A279)&gt;=10,1,0))&amp;"|Seattle|"&amp;MONTH($A279),Rates!$A$2:$I$181,5,FALSE()),0))</f>
        <v>0</v>
      </c>
      <c r="AO279" s="14" t="n">
        <f aca="false">IF(OR($A279="",$A279&gt;=Parameters!$B$14),1,IF(AND(AN279&gt;0,CityData!F7&lt;=AN279),1,0))</f>
        <v>1</v>
      </c>
    </row>
    <row r="280" customFormat="false" ht="15" hidden="false" customHeight="true" outlineLevel="0" collapsed="false">
      <c r="A280" s="23" t="str">
        <f aca="false">IF(AND(Parameters!$B$14&gt;=Parameters!$B$13,ROW()-2&lt;=Parameters!$B$14-Parameters!$B$13),Parameters!$B$13+ROW()-2,"")</f>
        <v/>
      </c>
      <c r="B280" s="14" t="n">
        <f aca="false">IF($A280="",0,IFERROR(VLOOKUP((YEAR($A280)+IF(MONTH($A280)&gt;=10,1,0))&amp;"|Boston|"&amp;MONTH($A280),Rates!$A$2:$I$181,6,FALSE()),0))</f>
        <v>0</v>
      </c>
      <c r="C280" s="14" t="n">
        <f aca="false">IF(B280=0,0,VLOOKUP(B280,MIE_Components!$A$2:$F$6,2,FALSE()))</f>
        <v>0</v>
      </c>
      <c r="D280" s="14" t="n">
        <f aca="false">IF(B280=0,0,VLOOKUP(B280,MIE_Components!$A$2:$F$6,3,FALSE()))</f>
        <v>0</v>
      </c>
      <c r="E280" s="14" t="n">
        <f aca="false">IF(B280=0,0,VLOOKUP(B280,MIE_Components!$A$2:$F$6,4,FALSE()))</f>
        <v>0</v>
      </c>
      <c r="F280" s="14" t="n">
        <f aca="false">IF(OR($A280="",B280=0),0,MAX(5,B280*IF(OR($A280=Parameters!$B$13,$A280=Parameters!$B$14),0.75,1)-(IF(AND($A280=DATE(2026,11,29),NOV29BF="Yes"),C280,0)+IF(OR($A280=DATE(2026,11,29),$A280=DATE(2026,11,30),$A280=DATE(2026,12,1),$A280=DATE(2026,12,2)),D280,0)+IF(OR($A280=DATE(2026,11,28),$A280=DATE(2026,12,1)),E280,0))))</f>
        <v>0</v>
      </c>
      <c r="G280" s="14" t="n">
        <f aca="false">IF(AND($A280&lt;&gt;"",$A280&lt;Parameters!$B$14),CityData!F3*(1+TAXRATE),0)</f>
        <v>0</v>
      </c>
      <c r="H280" s="14" t="n">
        <f aca="false">IF($A280="",0,IFERROR(VLOOKUP((YEAR($A280)+IF(MONTH($A280)&gt;=10,1,0))&amp;"|Boston|"&amp;MONTH($A280),Rates!$A$2:$I$181,5,FALSE()),0))</f>
        <v>0</v>
      </c>
      <c r="I280" s="14" t="n">
        <f aca="false">IF(OR($A280="",$A280&gt;=Parameters!$B$14),1,IF(AND(H280&gt;0,CityData!F3&lt;=H280),1,0))</f>
        <v>1</v>
      </c>
      <c r="J280" s="14" t="n">
        <f aca="false">IF($A280="",0,IFERROR(VLOOKUP((YEAR($A280)+IF(MONTH($A280)&gt;=10,1,0))&amp;"|Chicago|"&amp;MONTH($A280),Rates!$A$2:$I$181,6,FALSE()),0))</f>
        <v>0</v>
      </c>
      <c r="K280" s="14" t="n">
        <f aca="false">IF(J280=0,0,VLOOKUP(J280,MIE_Components!$A$2:$F$6,2,FALSE()))</f>
        <v>0</v>
      </c>
      <c r="L280" s="14" t="n">
        <f aca="false">IF(J280=0,0,VLOOKUP(J280,MIE_Components!$A$2:$F$6,3,FALSE()))</f>
        <v>0</v>
      </c>
      <c r="M280" s="14" t="n">
        <f aca="false">IF(J280=0,0,VLOOKUP(J280,MIE_Components!$A$2:$F$6,4,FALSE()))</f>
        <v>0</v>
      </c>
      <c r="N280" s="14" t="n">
        <f aca="false">IF(OR($A280="",J280=0),0,MAX(5,J280*IF(OR($A280=Parameters!$B$13,$A280=Parameters!$B$14),0.75,1)-(IF(AND($A280=DATE(2026,11,29),NOV29BF="Yes"),K280,0)+IF(OR($A280=DATE(2026,11,29),$A280=DATE(2026,11,30),$A280=DATE(2026,12,1),$A280=DATE(2026,12,2)),L280,0)+IF(OR($A280=DATE(2026,11,28),$A280=DATE(2026,12,1)),M280,0))))</f>
        <v>0</v>
      </c>
      <c r="O280" s="14" t="n">
        <f aca="false">IF(AND($A280&lt;&gt;"",$A280&lt;Parameters!$B$14),CityData!F4*(1+TAXRATE),0)</f>
        <v>0</v>
      </c>
      <c r="P280" s="14" t="n">
        <f aca="false">IF($A280="",0,IFERROR(VLOOKUP((YEAR($A280)+IF(MONTH($A280)&gt;=10,1,0))&amp;"|Chicago|"&amp;MONTH($A280),Rates!$A$2:$I$181,5,FALSE()),0))</f>
        <v>0</v>
      </c>
      <c r="Q280" s="14" t="n">
        <f aca="false">IF(OR($A280="",$A280&gt;=Parameters!$B$14),1,IF(AND(P280&gt;0,CityData!F4&lt;=P280),1,0))</f>
        <v>1</v>
      </c>
      <c r="R280" s="14" t="n">
        <f aca="false">IF($A280="",0,IFERROR(VLOOKUP((YEAR($A280)+IF(MONTH($A280)&gt;=10,1,0))&amp;"|Denver|"&amp;MONTH($A280),Rates!$A$2:$I$181,6,FALSE()),0))</f>
        <v>0</v>
      </c>
      <c r="S280" s="14" t="n">
        <f aca="false">IF(R280=0,0,VLOOKUP(R280,MIE_Components!$A$2:$F$6,2,FALSE()))</f>
        <v>0</v>
      </c>
      <c r="T280" s="14" t="n">
        <f aca="false">IF(R280=0,0,VLOOKUP(R280,MIE_Components!$A$2:$F$6,3,FALSE()))</f>
        <v>0</v>
      </c>
      <c r="U280" s="14" t="n">
        <f aca="false">IF(R280=0,0,VLOOKUP(R280,MIE_Components!$A$2:$F$6,4,FALSE()))</f>
        <v>0</v>
      </c>
      <c r="V280" s="14" t="n">
        <f aca="false">IF(OR($A280="",R280=0),0,MAX(5,R280*IF(OR($A280=Parameters!$B$13,$A280=Parameters!$B$14),0.75,1)-(IF(AND($A280=DATE(2026,11,29),NOV29BF="Yes"),S280,0)+IF(OR($A280=DATE(2026,11,29),$A280=DATE(2026,11,30),$A280=DATE(2026,12,1),$A280=DATE(2026,12,2)),T280,0)+IF(OR($A280=DATE(2026,11,28),$A280=DATE(2026,12,1)),U280,0))))</f>
        <v>0</v>
      </c>
      <c r="W280" s="14" t="n">
        <f aca="false">IF(AND($A280&lt;&gt;"",$A280&lt;Parameters!$B$14),CityData!F5*(1+TAXRATE),0)</f>
        <v>0</v>
      </c>
      <c r="X280" s="14" t="n">
        <f aca="false">IF($A280="",0,IFERROR(VLOOKUP((YEAR($A280)+IF(MONTH($A280)&gt;=10,1,0))&amp;"|Denver|"&amp;MONTH($A280),Rates!$A$2:$I$181,5,FALSE()),0))</f>
        <v>0</v>
      </c>
      <c r="Y280" s="14" t="n">
        <f aca="false">IF(OR($A280="",$A280&gt;=Parameters!$B$14),1,IF(AND(X280&gt;0,CityData!F5&lt;=X280),1,0))</f>
        <v>1</v>
      </c>
      <c r="Z280" s="14" t="n">
        <f aca="false">IF($A280="",0,IFERROR(VLOOKUP((YEAR($A280)+IF(MONTH($A280)&gt;=10,1,0))&amp;"|Phoenix|"&amp;MONTH($A280),Rates!$A$2:$I$181,6,FALSE()),0))</f>
        <v>0</v>
      </c>
      <c r="AA280" s="14" t="n">
        <f aca="false">IF(Z280=0,0,VLOOKUP(Z280,MIE_Components!$A$2:$F$6,2,FALSE()))</f>
        <v>0</v>
      </c>
      <c r="AB280" s="14" t="n">
        <f aca="false">IF(Z280=0,0,VLOOKUP(Z280,MIE_Components!$A$2:$F$6,3,FALSE()))</f>
        <v>0</v>
      </c>
      <c r="AC280" s="14" t="n">
        <f aca="false">IF(Z280=0,0,VLOOKUP(Z280,MIE_Components!$A$2:$F$6,4,FALSE()))</f>
        <v>0</v>
      </c>
      <c r="AD280" s="14" t="n">
        <f aca="false">IF(OR($A280="",Z280=0),0,MAX(5,Z280*IF(OR($A280=Parameters!$B$13,$A280=Parameters!$B$14),0.75,1)-(IF(AND($A280=DATE(2026,11,29),NOV29BF="Yes"),AA280,0)+IF(OR($A280=DATE(2026,11,29),$A280=DATE(2026,11,30),$A280=DATE(2026,12,1),$A280=DATE(2026,12,2)),AB280,0)+IF(OR($A280=DATE(2026,11,28),$A280=DATE(2026,12,1)),AC280,0))))</f>
        <v>0</v>
      </c>
      <c r="AE280" s="14" t="n">
        <f aca="false">IF(AND($A280&lt;&gt;"",$A280&lt;Parameters!$B$14),CityData!F6*(1+TAXRATE),0)</f>
        <v>0</v>
      </c>
      <c r="AF280" s="14" t="n">
        <f aca="false">IF($A280="",0,IFERROR(VLOOKUP((YEAR($A280)+IF(MONTH($A280)&gt;=10,1,0))&amp;"|Phoenix|"&amp;MONTH($A280),Rates!$A$2:$I$181,5,FALSE()),0))</f>
        <v>0</v>
      </c>
      <c r="AG280" s="14" t="n">
        <f aca="false">IF(OR($A280="",$A280&gt;=Parameters!$B$14),1,IF(AND(AF280&gt;0,CityData!F6&lt;=AF280),1,0))</f>
        <v>1</v>
      </c>
      <c r="AH280" s="14" t="n">
        <f aca="false">IF($A280="",0,IFERROR(VLOOKUP((YEAR($A280)+IF(MONTH($A280)&gt;=10,1,0))&amp;"|Seattle|"&amp;MONTH($A280),Rates!$A$2:$I$181,6,FALSE()),0))</f>
        <v>0</v>
      </c>
      <c r="AI280" s="14" t="n">
        <f aca="false">IF(AH280=0,0,VLOOKUP(AH280,MIE_Components!$A$2:$F$6,2,FALSE()))</f>
        <v>0</v>
      </c>
      <c r="AJ280" s="14" t="n">
        <f aca="false">IF(AH280=0,0,VLOOKUP(AH280,MIE_Components!$A$2:$F$6,3,FALSE()))</f>
        <v>0</v>
      </c>
      <c r="AK280" s="14" t="n">
        <f aca="false">IF(AH280=0,0,VLOOKUP(AH280,MIE_Components!$A$2:$F$6,4,FALSE()))</f>
        <v>0</v>
      </c>
      <c r="AL280" s="14" t="n">
        <f aca="false">IF(OR($A280="",AH280=0),0,MAX(5,AH280*IF(OR($A280=Parameters!$B$13,$A280=Parameters!$B$14),0.75,1)-(IF(AND($A280=DATE(2026,11,29),NOV29BF="Yes"),AI280,0)+IF(OR($A280=DATE(2026,11,29),$A280=DATE(2026,11,30),$A280=DATE(2026,12,1),$A280=DATE(2026,12,2)),AJ280,0)+IF(OR($A280=DATE(2026,11,28),$A280=DATE(2026,12,1)),AK280,0))))</f>
        <v>0</v>
      </c>
      <c r="AM280" s="14" t="n">
        <f aca="false">IF(AND($A280&lt;&gt;"",$A280&lt;Parameters!$B$14),CityData!F7*(1+TAXRATE),0)</f>
        <v>0</v>
      </c>
      <c r="AN280" s="14" t="n">
        <f aca="false">IF($A280="",0,IFERROR(VLOOKUP((YEAR($A280)+IF(MONTH($A280)&gt;=10,1,0))&amp;"|Seattle|"&amp;MONTH($A280),Rates!$A$2:$I$181,5,FALSE()),0))</f>
        <v>0</v>
      </c>
      <c r="AO280" s="14" t="n">
        <f aca="false">IF(OR($A280="",$A280&gt;=Parameters!$B$14),1,IF(AND(AN280&gt;0,CityData!F7&lt;=AN280),1,0))</f>
        <v>1</v>
      </c>
    </row>
    <row r="281" customFormat="false" ht="15" hidden="false" customHeight="true" outlineLevel="0" collapsed="false">
      <c r="A281" s="23" t="str">
        <f aca="false">IF(AND(Parameters!$B$14&gt;=Parameters!$B$13,ROW()-2&lt;=Parameters!$B$14-Parameters!$B$13),Parameters!$B$13+ROW()-2,"")</f>
        <v/>
      </c>
      <c r="B281" s="14" t="n">
        <f aca="false">IF($A281="",0,IFERROR(VLOOKUP((YEAR($A281)+IF(MONTH($A281)&gt;=10,1,0))&amp;"|Boston|"&amp;MONTH($A281),Rates!$A$2:$I$181,6,FALSE()),0))</f>
        <v>0</v>
      </c>
      <c r="C281" s="14" t="n">
        <f aca="false">IF(B281=0,0,VLOOKUP(B281,MIE_Components!$A$2:$F$6,2,FALSE()))</f>
        <v>0</v>
      </c>
      <c r="D281" s="14" t="n">
        <f aca="false">IF(B281=0,0,VLOOKUP(B281,MIE_Components!$A$2:$F$6,3,FALSE()))</f>
        <v>0</v>
      </c>
      <c r="E281" s="14" t="n">
        <f aca="false">IF(B281=0,0,VLOOKUP(B281,MIE_Components!$A$2:$F$6,4,FALSE()))</f>
        <v>0</v>
      </c>
      <c r="F281" s="14" t="n">
        <f aca="false">IF(OR($A281="",B281=0),0,MAX(5,B281*IF(OR($A281=Parameters!$B$13,$A281=Parameters!$B$14),0.75,1)-(IF(AND($A281=DATE(2026,11,29),NOV29BF="Yes"),C281,0)+IF(OR($A281=DATE(2026,11,29),$A281=DATE(2026,11,30),$A281=DATE(2026,12,1),$A281=DATE(2026,12,2)),D281,0)+IF(OR($A281=DATE(2026,11,28),$A281=DATE(2026,12,1)),E281,0))))</f>
        <v>0</v>
      </c>
      <c r="G281" s="14" t="n">
        <f aca="false">IF(AND($A281&lt;&gt;"",$A281&lt;Parameters!$B$14),CityData!F3*(1+TAXRATE),0)</f>
        <v>0</v>
      </c>
      <c r="H281" s="14" t="n">
        <f aca="false">IF($A281="",0,IFERROR(VLOOKUP((YEAR($A281)+IF(MONTH($A281)&gt;=10,1,0))&amp;"|Boston|"&amp;MONTH($A281),Rates!$A$2:$I$181,5,FALSE()),0))</f>
        <v>0</v>
      </c>
      <c r="I281" s="14" t="n">
        <f aca="false">IF(OR($A281="",$A281&gt;=Parameters!$B$14),1,IF(AND(H281&gt;0,CityData!F3&lt;=H281),1,0))</f>
        <v>1</v>
      </c>
      <c r="J281" s="14" t="n">
        <f aca="false">IF($A281="",0,IFERROR(VLOOKUP((YEAR($A281)+IF(MONTH($A281)&gt;=10,1,0))&amp;"|Chicago|"&amp;MONTH($A281),Rates!$A$2:$I$181,6,FALSE()),0))</f>
        <v>0</v>
      </c>
      <c r="K281" s="14" t="n">
        <f aca="false">IF(J281=0,0,VLOOKUP(J281,MIE_Components!$A$2:$F$6,2,FALSE()))</f>
        <v>0</v>
      </c>
      <c r="L281" s="14" t="n">
        <f aca="false">IF(J281=0,0,VLOOKUP(J281,MIE_Components!$A$2:$F$6,3,FALSE()))</f>
        <v>0</v>
      </c>
      <c r="M281" s="14" t="n">
        <f aca="false">IF(J281=0,0,VLOOKUP(J281,MIE_Components!$A$2:$F$6,4,FALSE()))</f>
        <v>0</v>
      </c>
      <c r="N281" s="14" t="n">
        <f aca="false">IF(OR($A281="",J281=0),0,MAX(5,J281*IF(OR($A281=Parameters!$B$13,$A281=Parameters!$B$14),0.75,1)-(IF(AND($A281=DATE(2026,11,29),NOV29BF="Yes"),K281,0)+IF(OR($A281=DATE(2026,11,29),$A281=DATE(2026,11,30),$A281=DATE(2026,12,1),$A281=DATE(2026,12,2)),L281,0)+IF(OR($A281=DATE(2026,11,28),$A281=DATE(2026,12,1)),M281,0))))</f>
        <v>0</v>
      </c>
      <c r="O281" s="14" t="n">
        <f aca="false">IF(AND($A281&lt;&gt;"",$A281&lt;Parameters!$B$14),CityData!F4*(1+TAXRATE),0)</f>
        <v>0</v>
      </c>
      <c r="P281" s="14" t="n">
        <f aca="false">IF($A281="",0,IFERROR(VLOOKUP((YEAR($A281)+IF(MONTH($A281)&gt;=10,1,0))&amp;"|Chicago|"&amp;MONTH($A281),Rates!$A$2:$I$181,5,FALSE()),0))</f>
        <v>0</v>
      </c>
      <c r="Q281" s="14" t="n">
        <f aca="false">IF(OR($A281="",$A281&gt;=Parameters!$B$14),1,IF(AND(P281&gt;0,CityData!F4&lt;=P281),1,0))</f>
        <v>1</v>
      </c>
      <c r="R281" s="14" t="n">
        <f aca="false">IF($A281="",0,IFERROR(VLOOKUP((YEAR($A281)+IF(MONTH($A281)&gt;=10,1,0))&amp;"|Denver|"&amp;MONTH($A281),Rates!$A$2:$I$181,6,FALSE()),0))</f>
        <v>0</v>
      </c>
      <c r="S281" s="14" t="n">
        <f aca="false">IF(R281=0,0,VLOOKUP(R281,MIE_Components!$A$2:$F$6,2,FALSE()))</f>
        <v>0</v>
      </c>
      <c r="T281" s="14" t="n">
        <f aca="false">IF(R281=0,0,VLOOKUP(R281,MIE_Components!$A$2:$F$6,3,FALSE()))</f>
        <v>0</v>
      </c>
      <c r="U281" s="14" t="n">
        <f aca="false">IF(R281=0,0,VLOOKUP(R281,MIE_Components!$A$2:$F$6,4,FALSE()))</f>
        <v>0</v>
      </c>
      <c r="V281" s="14" t="n">
        <f aca="false">IF(OR($A281="",R281=0),0,MAX(5,R281*IF(OR($A281=Parameters!$B$13,$A281=Parameters!$B$14),0.75,1)-(IF(AND($A281=DATE(2026,11,29),NOV29BF="Yes"),S281,0)+IF(OR($A281=DATE(2026,11,29),$A281=DATE(2026,11,30),$A281=DATE(2026,12,1),$A281=DATE(2026,12,2)),T281,0)+IF(OR($A281=DATE(2026,11,28),$A281=DATE(2026,12,1)),U281,0))))</f>
        <v>0</v>
      </c>
      <c r="W281" s="14" t="n">
        <f aca="false">IF(AND($A281&lt;&gt;"",$A281&lt;Parameters!$B$14),CityData!F5*(1+TAXRATE),0)</f>
        <v>0</v>
      </c>
      <c r="X281" s="14" t="n">
        <f aca="false">IF($A281="",0,IFERROR(VLOOKUP((YEAR($A281)+IF(MONTH($A281)&gt;=10,1,0))&amp;"|Denver|"&amp;MONTH($A281),Rates!$A$2:$I$181,5,FALSE()),0))</f>
        <v>0</v>
      </c>
      <c r="Y281" s="14" t="n">
        <f aca="false">IF(OR($A281="",$A281&gt;=Parameters!$B$14),1,IF(AND(X281&gt;0,CityData!F5&lt;=X281),1,0))</f>
        <v>1</v>
      </c>
      <c r="Z281" s="14" t="n">
        <f aca="false">IF($A281="",0,IFERROR(VLOOKUP((YEAR($A281)+IF(MONTH($A281)&gt;=10,1,0))&amp;"|Phoenix|"&amp;MONTH($A281),Rates!$A$2:$I$181,6,FALSE()),0))</f>
        <v>0</v>
      </c>
      <c r="AA281" s="14" t="n">
        <f aca="false">IF(Z281=0,0,VLOOKUP(Z281,MIE_Components!$A$2:$F$6,2,FALSE()))</f>
        <v>0</v>
      </c>
      <c r="AB281" s="14" t="n">
        <f aca="false">IF(Z281=0,0,VLOOKUP(Z281,MIE_Components!$A$2:$F$6,3,FALSE()))</f>
        <v>0</v>
      </c>
      <c r="AC281" s="14" t="n">
        <f aca="false">IF(Z281=0,0,VLOOKUP(Z281,MIE_Components!$A$2:$F$6,4,FALSE()))</f>
        <v>0</v>
      </c>
      <c r="AD281" s="14" t="n">
        <f aca="false">IF(OR($A281="",Z281=0),0,MAX(5,Z281*IF(OR($A281=Parameters!$B$13,$A281=Parameters!$B$14),0.75,1)-(IF(AND($A281=DATE(2026,11,29),NOV29BF="Yes"),AA281,0)+IF(OR($A281=DATE(2026,11,29),$A281=DATE(2026,11,30),$A281=DATE(2026,12,1),$A281=DATE(2026,12,2)),AB281,0)+IF(OR($A281=DATE(2026,11,28),$A281=DATE(2026,12,1)),AC281,0))))</f>
        <v>0</v>
      </c>
      <c r="AE281" s="14" t="n">
        <f aca="false">IF(AND($A281&lt;&gt;"",$A281&lt;Parameters!$B$14),CityData!F6*(1+TAXRATE),0)</f>
        <v>0</v>
      </c>
      <c r="AF281" s="14" t="n">
        <f aca="false">IF($A281="",0,IFERROR(VLOOKUP((YEAR($A281)+IF(MONTH($A281)&gt;=10,1,0))&amp;"|Phoenix|"&amp;MONTH($A281),Rates!$A$2:$I$181,5,FALSE()),0))</f>
        <v>0</v>
      </c>
      <c r="AG281" s="14" t="n">
        <f aca="false">IF(OR($A281="",$A281&gt;=Parameters!$B$14),1,IF(AND(AF281&gt;0,CityData!F6&lt;=AF281),1,0))</f>
        <v>1</v>
      </c>
      <c r="AH281" s="14" t="n">
        <f aca="false">IF($A281="",0,IFERROR(VLOOKUP((YEAR($A281)+IF(MONTH($A281)&gt;=10,1,0))&amp;"|Seattle|"&amp;MONTH($A281),Rates!$A$2:$I$181,6,FALSE()),0))</f>
        <v>0</v>
      </c>
      <c r="AI281" s="14" t="n">
        <f aca="false">IF(AH281=0,0,VLOOKUP(AH281,MIE_Components!$A$2:$F$6,2,FALSE()))</f>
        <v>0</v>
      </c>
      <c r="AJ281" s="14" t="n">
        <f aca="false">IF(AH281=0,0,VLOOKUP(AH281,MIE_Components!$A$2:$F$6,3,FALSE()))</f>
        <v>0</v>
      </c>
      <c r="AK281" s="14" t="n">
        <f aca="false">IF(AH281=0,0,VLOOKUP(AH281,MIE_Components!$A$2:$F$6,4,FALSE()))</f>
        <v>0</v>
      </c>
      <c r="AL281" s="14" t="n">
        <f aca="false">IF(OR($A281="",AH281=0),0,MAX(5,AH281*IF(OR($A281=Parameters!$B$13,$A281=Parameters!$B$14),0.75,1)-(IF(AND($A281=DATE(2026,11,29),NOV29BF="Yes"),AI281,0)+IF(OR($A281=DATE(2026,11,29),$A281=DATE(2026,11,30),$A281=DATE(2026,12,1),$A281=DATE(2026,12,2)),AJ281,0)+IF(OR($A281=DATE(2026,11,28),$A281=DATE(2026,12,1)),AK281,0))))</f>
        <v>0</v>
      </c>
      <c r="AM281" s="14" t="n">
        <f aca="false">IF(AND($A281&lt;&gt;"",$A281&lt;Parameters!$B$14),CityData!F7*(1+TAXRATE),0)</f>
        <v>0</v>
      </c>
      <c r="AN281" s="14" t="n">
        <f aca="false">IF($A281="",0,IFERROR(VLOOKUP((YEAR($A281)+IF(MONTH($A281)&gt;=10,1,0))&amp;"|Seattle|"&amp;MONTH($A281),Rates!$A$2:$I$181,5,FALSE()),0))</f>
        <v>0</v>
      </c>
      <c r="AO281" s="14" t="n">
        <f aca="false">IF(OR($A281="",$A281&gt;=Parameters!$B$14),1,IF(AND(AN281&gt;0,CityData!F7&lt;=AN281),1,0))</f>
        <v>1</v>
      </c>
    </row>
    <row r="282" customFormat="false" ht="15" hidden="false" customHeight="true" outlineLevel="0" collapsed="false">
      <c r="A282" s="23" t="str">
        <f aca="false">IF(AND(Parameters!$B$14&gt;=Parameters!$B$13,ROW()-2&lt;=Parameters!$B$14-Parameters!$B$13),Parameters!$B$13+ROW()-2,"")</f>
        <v/>
      </c>
      <c r="B282" s="14" t="n">
        <f aca="false">IF($A282="",0,IFERROR(VLOOKUP((YEAR($A282)+IF(MONTH($A282)&gt;=10,1,0))&amp;"|Boston|"&amp;MONTH($A282),Rates!$A$2:$I$181,6,FALSE()),0))</f>
        <v>0</v>
      </c>
      <c r="C282" s="14" t="n">
        <f aca="false">IF(B282=0,0,VLOOKUP(B282,MIE_Components!$A$2:$F$6,2,FALSE()))</f>
        <v>0</v>
      </c>
      <c r="D282" s="14" t="n">
        <f aca="false">IF(B282=0,0,VLOOKUP(B282,MIE_Components!$A$2:$F$6,3,FALSE()))</f>
        <v>0</v>
      </c>
      <c r="E282" s="14" t="n">
        <f aca="false">IF(B282=0,0,VLOOKUP(B282,MIE_Components!$A$2:$F$6,4,FALSE()))</f>
        <v>0</v>
      </c>
      <c r="F282" s="14" t="n">
        <f aca="false">IF(OR($A282="",B282=0),0,MAX(5,B282*IF(OR($A282=Parameters!$B$13,$A282=Parameters!$B$14),0.75,1)-(IF(AND($A282=DATE(2026,11,29),NOV29BF="Yes"),C282,0)+IF(OR($A282=DATE(2026,11,29),$A282=DATE(2026,11,30),$A282=DATE(2026,12,1),$A282=DATE(2026,12,2)),D282,0)+IF(OR($A282=DATE(2026,11,28),$A282=DATE(2026,12,1)),E282,0))))</f>
        <v>0</v>
      </c>
      <c r="G282" s="14" t="n">
        <f aca="false">IF(AND($A282&lt;&gt;"",$A282&lt;Parameters!$B$14),CityData!F3*(1+TAXRATE),0)</f>
        <v>0</v>
      </c>
      <c r="H282" s="14" t="n">
        <f aca="false">IF($A282="",0,IFERROR(VLOOKUP((YEAR($A282)+IF(MONTH($A282)&gt;=10,1,0))&amp;"|Boston|"&amp;MONTH($A282),Rates!$A$2:$I$181,5,FALSE()),0))</f>
        <v>0</v>
      </c>
      <c r="I282" s="14" t="n">
        <f aca="false">IF(OR($A282="",$A282&gt;=Parameters!$B$14),1,IF(AND(H282&gt;0,CityData!F3&lt;=H282),1,0))</f>
        <v>1</v>
      </c>
      <c r="J282" s="14" t="n">
        <f aca="false">IF($A282="",0,IFERROR(VLOOKUP((YEAR($A282)+IF(MONTH($A282)&gt;=10,1,0))&amp;"|Chicago|"&amp;MONTH($A282),Rates!$A$2:$I$181,6,FALSE()),0))</f>
        <v>0</v>
      </c>
      <c r="K282" s="14" t="n">
        <f aca="false">IF(J282=0,0,VLOOKUP(J282,MIE_Components!$A$2:$F$6,2,FALSE()))</f>
        <v>0</v>
      </c>
      <c r="L282" s="14" t="n">
        <f aca="false">IF(J282=0,0,VLOOKUP(J282,MIE_Components!$A$2:$F$6,3,FALSE()))</f>
        <v>0</v>
      </c>
      <c r="M282" s="14" t="n">
        <f aca="false">IF(J282=0,0,VLOOKUP(J282,MIE_Components!$A$2:$F$6,4,FALSE()))</f>
        <v>0</v>
      </c>
      <c r="N282" s="14" t="n">
        <f aca="false">IF(OR($A282="",J282=0),0,MAX(5,J282*IF(OR($A282=Parameters!$B$13,$A282=Parameters!$B$14),0.75,1)-(IF(AND($A282=DATE(2026,11,29),NOV29BF="Yes"),K282,0)+IF(OR($A282=DATE(2026,11,29),$A282=DATE(2026,11,30),$A282=DATE(2026,12,1),$A282=DATE(2026,12,2)),L282,0)+IF(OR($A282=DATE(2026,11,28),$A282=DATE(2026,12,1)),M282,0))))</f>
        <v>0</v>
      </c>
      <c r="O282" s="14" t="n">
        <f aca="false">IF(AND($A282&lt;&gt;"",$A282&lt;Parameters!$B$14),CityData!F4*(1+TAXRATE),0)</f>
        <v>0</v>
      </c>
      <c r="P282" s="14" t="n">
        <f aca="false">IF($A282="",0,IFERROR(VLOOKUP((YEAR($A282)+IF(MONTH($A282)&gt;=10,1,0))&amp;"|Chicago|"&amp;MONTH($A282),Rates!$A$2:$I$181,5,FALSE()),0))</f>
        <v>0</v>
      </c>
      <c r="Q282" s="14" t="n">
        <f aca="false">IF(OR($A282="",$A282&gt;=Parameters!$B$14),1,IF(AND(P282&gt;0,CityData!F4&lt;=P282),1,0))</f>
        <v>1</v>
      </c>
      <c r="R282" s="14" t="n">
        <f aca="false">IF($A282="",0,IFERROR(VLOOKUP((YEAR($A282)+IF(MONTH($A282)&gt;=10,1,0))&amp;"|Denver|"&amp;MONTH($A282),Rates!$A$2:$I$181,6,FALSE()),0))</f>
        <v>0</v>
      </c>
      <c r="S282" s="14" t="n">
        <f aca="false">IF(R282=0,0,VLOOKUP(R282,MIE_Components!$A$2:$F$6,2,FALSE()))</f>
        <v>0</v>
      </c>
      <c r="T282" s="14" t="n">
        <f aca="false">IF(R282=0,0,VLOOKUP(R282,MIE_Components!$A$2:$F$6,3,FALSE()))</f>
        <v>0</v>
      </c>
      <c r="U282" s="14" t="n">
        <f aca="false">IF(R282=0,0,VLOOKUP(R282,MIE_Components!$A$2:$F$6,4,FALSE()))</f>
        <v>0</v>
      </c>
      <c r="V282" s="14" t="n">
        <f aca="false">IF(OR($A282="",R282=0),0,MAX(5,R282*IF(OR($A282=Parameters!$B$13,$A282=Parameters!$B$14),0.75,1)-(IF(AND($A282=DATE(2026,11,29),NOV29BF="Yes"),S282,0)+IF(OR($A282=DATE(2026,11,29),$A282=DATE(2026,11,30),$A282=DATE(2026,12,1),$A282=DATE(2026,12,2)),T282,0)+IF(OR($A282=DATE(2026,11,28),$A282=DATE(2026,12,1)),U282,0))))</f>
        <v>0</v>
      </c>
      <c r="W282" s="14" t="n">
        <f aca="false">IF(AND($A282&lt;&gt;"",$A282&lt;Parameters!$B$14),CityData!F5*(1+TAXRATE),0)</f>
        <v>0</v>
      </c>
      <c r="X282" s="14" t="n">
        <f aca="false">IF($A282="",0,IFERROR(VLOOKUP((YEAR($A282)+IF(MONTH($A282)&gt;=10,1,0))&amp;"|Denver|"&amp;MONTH($A282),Rates!$A$2:$I$181,5,FALSE()),0))</f>
        <v>0</v>
      </c>
      <c r="Y282" s="14" t="n">
        <f aca="false">IF(OR($A282="",$A282&gt;=Parameters!$B$14),1,IF(AND(X282&gt;0,CityData!F5&lt;=X282),1,0))</f>
        <v>1</v>
      </c>
      <c r="Z282" s="14" t="n">
        <f aca="false">IF($A282="",0,IFERROR(VLOOKUP((YEAR($A282)+IF(MONTH($A282)&gt;=10,1,0))&amp;"|Phoenix|"&amp;MONTH($A282),Rates!$A$2:$I$181,6,FALSE()),0))</f>
        <v>0</v>
      </c>
      <c r="AA282" s="14" t="n">
        <f aca="false">IF(Z282=0,0,VLOOKUP(Z282,MIE_Components!$A$2:$F$6,2,FALSE()))</f>
        <v>0</v>
      </c>
      <c r="AB282" s="14" t="n">
        <f aca="false">IF(Z282=0,0,VLOOKUP(Z282,MIE_Components!$A$2:$F$6,3,FALSE()))</f>
        <v>0</v>
      </c>
      <c r="AC282" s="14" t="n">
        <f aca="false">IF(Z282=0,0,VLOOKUP(Z282,MIE_Components!$A$2:$F$6,4,FALSE()))</f>
        <v>0</v>
      </c>
      <c r="AD282" s="14" t="n">
        <f aca="false">IF(OR($A282="",Z282=0),0,MAX(5,Z282*IF(OR($A282=Parameters!$B$13,$A282=Parameters!$B$14),0.75,1)-(IF(AND($A282=DATE(2026,11,29),NOV29BF="Yes"),AA282,0)+IF(OR($A282=DATE(2026,11,29),$A282=DATE(2026,11,30),$A282=DATE(2026,12,1),$A282=DATE(2026,12,2)),AB282,0)+IF(OR($A282=DATE(2026,11,28),$A282=DATE(2026,12,1)),AC282,0))))</f>
        <v>0</v>
      </c>
      <c r="AE282" s="14" t="n">
        <f aca="false">IF(AND($A282&lt;&gt;"",$A282&lt;Parameters!$B$14),CityData!F6*(1+TAXRATE),0)</f>
        <v>0</v>
      </c>
      <c r="AF282" s="14" t="n">
        <f aca="false">IF($A282="",0,IFERROR(VLOOKUP((YEAR($A282)+IF(MONTH($A282)&gt;=10,1,0))&amp;"|Phoenix|"&amp;MONTH($A282),Rates!$A$2:$I$181,5,FALSE()),0))</f>
        <v>0</v>
      </c>
      <c r="AG282" s="14" t="n">
        <f aca="false">IF(OR($A282="",$A282&gt;=Parameters!$B$14),1,IF(AND(AF282&gt;0,CityData!F6&lt;=AF282),1,0))</f>
        <v>1</v>
      </c>
      <c r="AH282" s="14" t="n">
        <f aca="false">IF($A282="",0,IFERROR(VLOOKUP((YEAR($A282)+IF(MONTH($A282)&gt;=10,1,0))&amp;"|Seattle|"&amp;MONTH($A282),Rates!$A$2:$I$181,6,FALSE()),0))</f>
        <v>0</v>
      </c>
      <c r="AI282" s="14" t="n">
        <f aca="false">IF(AH282=0,0,VLOOKUP(AH282,MIE_Components!$A$2:$F$6,2,FALSE()))</f>
        <v>0</v>
      </c>
      <c r="AJ282" s="14" t="n">
        <f aca="false">IF(AH282=0,0,VLOOKUP(AH282,MIE_Components!$A$2:$F$6,3,FALSE()))</f>
        <v>0</v>
      </c>
      <c r="AK282" s="14" t="n">
        <f aca="false">IF(AH282=0,0,VLOOKUP(AH282,MIE_Components!$A$2:$F$6,4,FALSE()))</f>
        <v>0</v>
      </c>
      <c r="AL282" s="14" t="n">
        <f aca="false">IF(OR($A282="",AH282=0),0,MAX(5,AH282*IF(OR($A282=Parameters!$B$13,$A282=Parameters!$B$14),0.75,1)-(IF(AND($A282=DATE(2026,11,29),NOV29BF="Yes"),AI282,0)+IF(OR($A282=DATE(2026,11,29),$A282=DATE(2026,11,30),$A282=DATE(2026,12,1),$A282=DATE(2026,12,2)),AJ282,0)+IF(OR($A282=DATE(2026,11,28),$A282=DATE(2026,12,1)),AK282,0))))</f>
        <v>0</v>
      </c>
      <c r="AM282" s="14" t="n">
        <f aca="false">IF(AND($A282&lt;&gt;"",$A282&lt;Parameters!$B$14),CityData!F7*(1+TAXRATE),0)</f>
        <v>0</v>
      </c>
      <c r="AN282" s="14" t="n">
        <f aca="false">IF($A282="",0,IFERROR(VLOOKUP((YEAR($A282)+IF(MONTH($A282)&gt;=10,1,0))&amp;"|Seattle|"&amp;MONTH($A282),Rates!$A$2:$I$181,5,FALSE()),0))</f>
        <v>0</v>
      </c>
      <c r="AO282" s="14" t="n">
        <f aca="false">IF(OR($A282="",$A282&gt;=Parameters!$B$14),1,IF(AND(AN282&gt;0,CityData!F7&lt;=AN282),1,0))</f>
        <v>1</v>
      </c>
    </row>
    <row r="283" customFormat="false" ht="15" hidden="false" customHeight="true" outlineLevel="0" collapsed="false">
      <c r="A283" s="23" t="str">
        <f aca="false">IF(AND(Parameters!$B$14&gt;=Parameters!$B$13,ROW()-2&lt;=Parameters!$B$14-Parameters!$B$13),Parameters!$B$13+ROW()-2,"")</f>
        <v/>
      </c>
      <c r="B283" s="14" t="n">
        <f aca="false">IF($A283="",0,IFERROR(VLOOKUP((YEAR($A283)+IF(MONTH($A283)&gt;=10,1,0))&amp;"|Boston|"&amp;MONTH($A283),Rates!$A$2:$I$181,6,FALSE()),0))</f>
        <v>0</v>
      </c>
      <c r="C283" s="14" t="n">
        <f aca="false">IF(B283=0,0,VLOOKUP(B283,MIE_Components!$A$2:$F$6,2,FALSE()))</f>
        <v>0</v>
      </c>
      <c r="D283" s="14" t="n">
        <f aca="false">IF(B283=0,0,VLOOKUP(B283,MIE_Components!$A$2:$F$6,3,FALSE()))</f>
        <v>0</v>
      </c>
      <c r="E283" s="14" t="n">
        <f aca="false">IF(B283=0,0,VLOOKUP(B283,MIE_Components!$A$2:$F$6,4,FALSE()))</f>
        <v>0</v>
      </c>
      <c r="F283" s="14" t="n">
        <f aca="false">IF(OR($A283="",B283=0),0,MAX(5,B283*IF(OR($A283=Parameters!$B$13,$A283=Parameters!$B$14),0.75,1)-(IF(AND($A283=DATE(2026,11,29),NOV29BF="Yes"),C283,0)+IF(OR($A283=DATE(2026,11,29),$A283=DATE(2026,11,30),$A283=DATE(2026,12,1),$A283=DATE(2026,12,2)),D283,0)+IF(OR($A283=DATE(2026,11,28),$A283=DATE(2026,12,1)),E283,0))))</f>
        <v>0</v>
      </c>
      <c r="G283" s="14" t="n">
        <f aca="false">IF(AND($A283&lt;&gt;"",$A283&lt;Parameters!$B$14),CityData!F3*(1+TAXRATE),0)</f>
        <v>0</v>
      </c>
      <c r="H283" s="14" t="n">
        <f aca="false">IF($A283="",0,IFERROR(VLOOKUP((YEAR($A283)+IF(MONTH($A283)&gt;=10,1,0))&amp;"|Boston|"&amp;MONTH($A283),Rates!$A$2:$I$181,5,FALSE()),0))</f>
        <v>0</v>
      </c>
      <c r="I283" s="14" t="n">
        <f aca="false">IF(OR($A283="",$A283&gt;=Parameters!$B$14),1,IF(AND(H283&gt;0,CityData!F3&lt;=H283),1,0))</f>
        <v>1</v>
      </c>
      <c r="J283" s="14" t="n">
        <f aca="false">IF($A283="",0,IFERROR(VLOOKUP((YEAR($A283)+IF(MONTH($A283)&gt;=10,1,0))&amp;"|Chicago|"&amp;MONTH($A283),Rates!$A$2:$I$181,6,FALSE()),0))</f>
        <v>0</v>
      </c>
      <c r="K283" s="14" t="n">
        <f aca="false">IF(J283=0,0,VLOOKUP(J283,MIE_Components!$A$2:$F$6,2,FALSE()))</f>
        <v>0</v>
      </c>
      <c r="L283" s="14" t="n">
        <f aca="false">IF(J283=0,0,VLOOKUP(J283,MIE_Components!$A$2:$F$6,3,FALSE()))</f>
        <v>0</v>
      </c>
      <c r="M283" s="14" t="n">
        <f aca="false">IF(J283=0,0,VLOOKUP(J283,MIE_Components!$A$2:$F$6,4,FALSE()))</f>
        <v>0</v>
      </c>
      <c r="N283" s="14" t="n">
        <f aca="false">IF(OR($A283="",J283=0),0,MAX(5,J283*IF(OR($A283=Parameters!$B$13,$A283=Parameters!$B$14),0.75,1)-(IF(AND($A283=DATE(2026,11,29),NOV29BF="Yes"),K283,0)+IF(OR($A283=DATE(2026,11,29),$A283=DATE(2026,11,30),$A283=DATE(2026,12,1),$A283=DATE(2026,12,2)),L283,0)+IF(OR($A283=DATE(2026,11,28),$A283=DATE(2026,12,1)),M283,0))))</f>
        <v>0</v>
      </c>
      <c r="O283" s="14" t="n">
        <f aca="false">IF(AND($A283&lt;&gt;"",$A283&lt;Parameters!$B$14),CityData!F4*(1+TAXRATE),0)</f>
        <v>0</v>
      </c>
      <c r="P283" s="14" t="n">
        <f aca="false">IF($A283="",0,IFERROR(VLOOKUP((YEAR($A283)+IF(MONTH($A283)&gt;=10,1,0))&amp;"|Chicago|"&amp;MONTH($A283),Rates!$A$2:$I$181,5,FALSE()),0))</f>
        <v>0</v>
      </c>
      <c r="Q283" s="14" t="n">
        <f aca="false">IF(OR($A283="",$A283&gt;=Parameters!$B$14),1,IF(AND(P283&gt;0,CityData!F4&lt;=P283),1,0))</f>
        <v>1</v>
      </c>
      <c r="R283" s="14" t="n">
        <f aca="false">IF($A283="",0,IFERROR(VLOOKUP((YEAR($A283)+IF(MONTH($A283)&gt;=10,1,0))&amp;"|Denver|"&amp;MONTH($A283),Rates!$A$2:$I$181,6,FALSE()),0))</f>
        <v>0</v>
      </c>
      <c r="S283" s="14" t="n">
        <f aca="false">IF(R283=0,0,VLOOKUP(R283,MIE_Components!$A$2:$F$6,2,FALSE()))</f>
        <v>0</v>
      </c>
      <c r="T283" s="14" t="n">
        <f aca="false">IF(R283=0,0,VLOOKUP(R283,MIE_Components!$A$2:$F$6,3,FALSE()))</f>
        <v>0</v>
      </c>
      <c r="U283" s="14" t="n">
        <f aca="false">IF(R283=0,0,VLOOKUP(R283,MIE_Components!$A$2:$F$6,4,FALSE()))</f>
        <v>0</v>
      </c>
      <c r="V283" s="14" t="n">
        <f aca="false">IF(OR($A283="",R283=0),0,MAX(5,R283*IF(OR($A283=Parameters!$B$13,$A283=Parameters!$B$14),0.75,1)-(IF(AND($A283=DATE(2026,11,29),NOV29BF="Yes"),S283,0)+IF(OR($A283=DATE(2026,11,29),$A283=DATE(2026,11,30),$A283=DATE(2026,12,1),$A283=DATE(2026,12,2)),T283,0)+IF(OR($A283=DATE(2026,11,28),$A283=DATE(2026,12,1)),U283,0))))</f>
        <v>0</v>
      </c>
      <c r="W283" s="14" t="n">
        <f aca="false">IF(AND($A283&lt;&gt;"",$A283&lt;Parameters!$B$14),CityData!F5*(1+TAXRATE),0)</f>
        <v>0</v>
      </c>
      <c r="X283" s="14" t="n">
        <f aca="false">IF($A283="",0,IFERROR(VLOOKUP((YEAR($A283)+IF(MONTH($A283)&gt;=10,1,0))&amp;"|Denver|"&amp;MONTH($A283),Rates!$A$2:$I$181,5,FALSE()),0))</f>
        <v>0</v>
      </c>
      <c r="Y283" s="14" t="n">
        <f aca="false">IF(OR($A283="",$A283&gt;=Parameters!$B$14),1,IF(AND(X283&gt;0,CityData!F5&lt;=X283),1,0))</f>
        <v>1</v>
      </c>
      <c r="Z283" s="14" t="n">
        <f aca="false">IF($A283="",0,IFERROR(VLOOKUP((YEAR($A283)+IF(MONTH($A283)&gt;=10,1,0))&amp;"|Phoenix|"&amp;MONTH($A283),Rates!$A$2:$I$181,6,FALSE()),0))</f>
        <v>0</v>
      </c>
      <c r="AA283" s="14" t="n">
        <f aca="false">IF(Z283=0,0,VLOOKUP(Z283,MIE_Components!$A$2:$F$6,2,FALSE()))</f>
        <v>0</v>
      </c>
      <c r="AB283" s="14" t="n">
        <f aca="false">IF(Z283=0,0,VLOOKUP(Z283,MIE_Components!$A$2:$F$6,3,FALSE()))</f>
        <v>0</v>
      </c>
      <c r="AC283" s="14" t="n">
        <f aca="false">IF(Z283=0,0,VLOOKUP(Z283,MIE_Components!$A$2:$F$6,4,FALSE()))</f>
        <v>0</v>
      </c>
      <c r="AD283" s="14" t="n">
        <f aca="false">IF(OR($A283="",Z283=0),0,MAX(5,Z283*IF(OR($A283=Parameters!$B$13,$A283=Parameters!$B$14),0.75,1)-(IF(AND($A283=DATE(2026,11,29),NOV29BF="Yes"),AA283,0)+IF(OR($A283=DATE(2026,11,29),$A283=DATE(2026,11,30),$A283=DATE(2026,12,1),$A283=DATE(2026,12,2)),AB283,0)+IF(OR($A283=DATE(2026,11,28),$A283=DATE(2026,12,1)),AC283,0))))</f>
        <v>0</v>
      </c>
      <c r="AE283" s="14" t="n">
        <f aca="false">IF(AND($A283&lt;&gt;"",$A283&lt;Parameters!$B$14),CityData!F6*(1+TAXRATE),0)</f>
        <v>0</v>
      </c>
      <c r="AF283" s="14" t="n">
        <f aca="false">IF($A283="",0,IFERROR(VLOOKUP((YEAR($A283)+IF(MONTH($A283)&gt;=10,1,0))&amp;"|Phoenix|"&amp;MONTH($A283),Rates!$A$2:$I$181,5,FALSE()),0))</f>
        <v>0</v>
      </c>
      <c r="AG283" s="14" t="n">
        <f aca="false">IF(OR($A283="",$A283&gt;=Parameters!$B$14),1,IF(AND(AF283&gt;0,CityData!F6&lt;=AF283),1,0))</f>
        <v>1</v>
      </c>
      <c r="AH283" s="14" t="n">
        <f aca="false">IF($A283="",0,IFERROR(VLOOKUP((YEAR($A283)+IF(MONTH($A283)&gt;=10,1,0))&amp;"|Seattle|"&amp;MONTH($A283),Rates!$A$2:$I$181,6,FALSE()),0))</f>
        <v>0</v>
      </c>
      <c r="AI283" s="14" t="n">
        <f aca="false">IF(AH283=0,0,VLOOKUP(AH283,MIE_Components!$A$2:$F$6,2,FALSE()))</f>
        <v>0</v>
      </c>
      <c r="AJ283" s="14" t="n">
        <f aca="false">IF(AH283=0,0,VLOOKUP(AH283,MIE_Components!$A$2:$F$6,3,FALSE()))</f>
        <v>0</v>
      </c>
      <c r="AK283" s="14" t="n">
        <f aca="false">IF(AH283=0,0,VLOOKUP(AH283,MIE_Components!$A$2:$F$6,4,FALSE()))</f>
        <v>0</v>
      </c>
      <c r="AL283" s="14" t="n">
        <f aca="false">IF(OR($A283="",AH283=0),0,MAX(5,AH283*IF(OR($A283=Parameters!$B$13,$A283=Parameters!$B$14),0.75,1)-(IF(AND($A283=DATE(2026,11,29),NOV29BF="Yes"),AI283,0)+IF(OR($A283=DATE(2026,11,29),$A283=DATE(2026,11,30),$A283=DATE(2026,12,1),$A283=DATE(2026,12,2)),AJ283,0)+IF(OR($A283=DATE(2026,11,28),$A283=DATE(2026,12,1)),AK283,0))))</f>
        <v>0</v>
      </c>
      <c r="AM283" s="14" t="n">
        <f aca="false">IF(AND($A283&lt;&gt;"",$A283&lt;Parameters!$B$14),CityData!F7*(1+TAXRATE),0)</f>
        <v>0</v>
      </c>
      <c r="AN283" s="14" t="n">
        <f aca="false">IF($A283="",0,IFERROR(VLOOKUP((YEAR($A283)+IF(MONTH($A283)&gt;=10,1,0))&amp;"|Seattle|"&amp;MONTH($A283),Rates!$A$2:$I$181,5,FALSE()),0))</f>
        <v>0</v>
      </c>
      <c r="AO283" s="14" t="n">
        <f aca="false">IF(OR($A283="",$A283&gt;=Parameters!$B$14),1,IF(AND(AN283&gt;0,CityData!F7&lt;=AN283),1,0))</f>
        <v>1</v>
      </c>
    </row>
    <row r="284" customFormat="false" ht="15" hidden="false" customHeight="true" outlineLevel="0" collapsed="false">
      <c r="A284" s="23" t="str">
        <f aca="false">IF(AND(Parameters!$B$14&gt;=Parameters!$B$13,ROW()-2&lt;=Parameters!$B$14-Parameters!$B$13),Parameters!$B$13+ROW()-2,"")</f>
        <v/>
      </c>
      <c r="B284" s="14" t="n">
        <f aca="false">IF($A284="",0,IFERROR(VLOOKUP((YEAR($A284)+IF(MONTH($A284)&gt;=10,1,0))&amp;"|Boston|"&amp;MONTH($A284),Rates!$A$2:$I$181,6,FALSE()),0))</f>
        <v>0</v>
      </c>
      <c r="C284" s="14" t="n">
        <f aca="false">IF(B284=0,0,VLOOKUP(B284,MIE_Components!$A$2:$F$6,2,FALSE()))</f>
        <v>0</v>
      </c>
      <c r="D284" s="14" t="n">
        <f aca="false">IF(B284=0,0,VLOOKUP(B284,MIE_Components!$A$2:$F$6,3,FALSE()))</f>
        <v>0</v>
      </c>
      <c r="E284" s="14" t="n">
        <f aca="false">IF(B284=0,0,VLOOKUP(B284,MIE_Components!$A$2:$F$6,4,FALSE()))</f>
        <v>0</v>
      </c>
      <c r="F284" s="14" t="n">
        <f aca="false">IF(OR($A284="",B284=0),0,MAX(5,B284*IF(OR($A284=Parameters!$B$13,$A284=Parameters!$B$14),0.75,1)-(IF(AND($A284=DATE(2026,11,29),NOV29BF="Yes"),C284,0)+IF(OR($A284=DATE(2026,11,29),$A284=DATE(2026,11,30),$A284=DATE(2026,12,1),$A284=DATE(2026,12,2)),D284,0)+IF(OR($A284=DATE(2026,11,28),$A284=DATE(2026,12,1)),E284,0))))</f>
        <v>0</v>
      </c>
      <c r="G284" s="14" t="n">
        <f aca="false">IF(AND($A284&lt;&gt;"",$A284&lt;Parameters!$B$14),CityData!F3*(1+TAXRATE),0)</f>
        <v>0</v>
      </c>
      <c r="H284" s="14" t="n">
        <f aca="false">IF($A284="",0,IFERROR(VLOOKUP((YEAR($A284)+IF(MONTH($A284)&gt;=10,1,0))&amp;"|Boston|"&amp;MONTH($A284),Rates!$A$2:$I$181,5,FALSE()),0))</f>
        <v>0</v>
      </c>
      <c r="I284" s="14" t="n">
        <f aca="false">IF(OR($A284="",$A284&gt;=Parameters!$B$14),1,IF(AND(H284&gt;0,CityData!F3&lt;=H284),1,0))</f>
        <v>1</v>
      </c>
      <c r="J284" s="14" t="n">
        <f aca="false">IF($A284="",0,IFERROR(VLOOKUP((YEAR($A284)+IF(MONTH($A284)&gt;=10,1,0))&amp;"|Chicago|"&amp;MONTH($A284),Rates!$A$2:$I$181,6,FALSE()),0))</f>
        <v>0</v>
      </c>
      <c r="K284" s="14" t="n">
        <f aca="false">IF(J284=0,0,VLOOKUP(J284,MIE_Components!$A$2:$F$6,2,FALSE()))</f>
        <v>0</v>
      </c>
      <c r="L284" s="14" t="n">
        <f aca="false">IF(J284=0,0,VLOOKUP(J284,MIE_Components!$A$2:$F$6,3,FALSE()))</f>
        <v>0</v>
      </c>
      <c r="M284" s="14" t="n">
        <f aca="false">IF(J284=0,0,VLOOKUP(J284,MIE_Components!$A$2:$F$6,4,FALSE()))</f>
        <v>0</v>
      </c>
      <c r="N284" s="14" t="n">
        <f aca="false">IF(OR($A284="",J284=0),0,MAX(5,J284*IF(OR($A284=Parameters!$B$13,$A284=Parameters!$B$14),0.75,1)-(IF(AND($A284=DATE(2026,11,29),NOV29BF="Yes"),K284,0)+IF(OR($A284=DATE(2026,11,29),$A284=DATE(2026,11,30),$A284=DATE(2026,12,1),$A284=DATE(2026,12,2)),L284,0)+IF(OR($A284=DATE(2026,11,28),$A284=DATE(2026,12,1)),M284,0))))</f>
        <v>0</v>
      </c>
      <c r="O284" s="14" t="n">
        <f aca="false">IF(AND($A284&lt;&gt;"",$A284&lt;Parameters!$B$14),CityData!F4*(1+TAXRATE),0)</f>
        <v>0</v>
      </c>
      <c r="P284" s="14" t="n">
        <f aca="false">IF($A284="",0,IFERROR(VLOOKUP((YEAR($A284)+IF(MONTH($A284)&gt;=10,1,0))&amp;"|Chicago|"&amp;MONTH($A284),Rates!$A$2:$I$181,5,FALSE()),0))</f>
        <v>0</v>
      </c>
      <c r="Q284" s="14" t="n">
        <f aca="false">IF(OR($A284="",$A284&gt;=Parameters!$B$14),1,IF(AND(P284&gt;0,CityData!F4&lt;=P284),1,0))</f>
        <v>1</v>
      </c>
      <c r="R284" s="14" t="n">
        <f aca="false">IF($A284="",0,IFERROR(VLOOKUP((YEAR($A284)+IF(MONTH($A284)&gt;=10,1,0))&amp;"|Denver|"&amp;MONTH($A284),Rates!$A$2:$I$181,6,FALSE()),0))</f>
        <v>0</v>
      </c>
      <c r="S284" s="14" t="n">
        <f aca="false">IF(R284=0,0,VLOOKUP(R284,MIE_Components!$A$2:$F$6,2,FALSE()))</f>
        <v>0</v>
      </c>
      <c r="T284" s="14" t="n">
        <f aca="false">IF(R284=0,0,VLOOKUP(R284,MIE_Components!$A$2:$F$6,3,FALSE()))</f>
        <v>0</v>
      </c>
      <c r="U284" s="14" t="n">
        <f aca="false">IF(R284=0,0,VLOOKUP(R284,MIE_Components!$A$2:$F$6,4,FALSE()))</f>
        <v>0</v>
      </c>
      <c r="V284" s="14" t="n">
        <f aca="false">IF(OR($A284="",R284=0),0,MAX(5,R284*IF(OR($A284=Parameters!$B$13,$A284=Parameters!$B$14),0.75,1)-(IF(AND($A284=DATE(2026,11,29),NOV29BF="Yes"),S284,0)+IF(OR($A284=DATE(2026,11,29),$A284=DATE(2026,11,30),$A284=DATE(2026,12,1),$A284=DATE(2026,12,2)),T284,0)+IF(OR($A284=DATE(2026,11,28),$A284=DATE(2026,12,1)),U284,0))))</f>
        <v>0</v>
      </c>
      <c r="W284" s="14" t="n">
        <f aca="false">IF(AND($A284&lt;&gt;"",$A284&lt;Parameters!$B$14),CityData!F5*(1+TAXRATE),0)</f>
        <v>0</v>
      </c>
      <c r="X284" s="14" t="n">
        <f aca="false">IF($A284="",0,IFERROR(VLOOKUP((YEAR($A284)+IF(MONTH($A284)&gt;=10,1,0))&amp;"|Denver|"&amp;MONTH($A284),Rates!$A$2:$I$181,5,FALSE()),0))</f>
        <v>0</v>
      </c>
      <c r="Y284" s="14" t="n">
        <f aca="false">IF(OR($A284="",$A284&gt;=Parameters!$B$14),1,IF(AND(X284&gt;0,CityData!F5&lt;=X284),1,0))</f>
        <v>1</v>
      </c>
      <c r="Z284" s="14" t="n">
        <f aca="false">IF($A284="",0,IFERROR(VLOOKUP((YEAR($A284)+IF(MONTH($A284)&gt;=10,1,0))&amp;"|Phoenix|"&amp;MONTH($A284),Rates!$A$2:$I$181,6,FALSE()),0))</f>
        <v>0</v>
      </c>
      <c r="AA284" s="14" t="n">
        <f aca="false">IF(Z284=0,0,VLOOKUP(Z284,MIE_Components!$A$2:$F$6,2,FALSE()))</f>
        <v>0</v>
      </c>
      <c r="AB284" s="14" t="n">
        <f aca="false">IF(Z284=0,0,VLOOKUP(Z284,MIE_Components!$A$2:$F$6,3,FALSE()))</f>
        <v>0</v>
      </c>
      <c r="AC284" s="14" t="n">
        <f aca="false">IF(Z284=0,0,VLOOKUP(Z284,MIE_Components!$A$2:$F$6,4,FALSE()))</f>
        <v>0</v>
      </c>
      <c r="AD284" s="14" t="n">
        <f aca="false">IF(OR($A284="",Z284=0),0,MAX(5,Z284*IF(OR($A284=Parameters!$B$13,$A284=Parameters!$B$14),0.75,1)-(IF(AND($A284=DATE(2026,11,29),NOV29BF="Yes"),AA284,0)+IF(OR($A284=DATE(2026,11,29),$A284=DATE(2026,11,30),$A284=DATE(2026,12,1),$A284=DATE(2026,12,2)),AB284,0)+IF(OR($A284=DATE(2026,11,28),$A284=DATE(2026,12,1)),AC284,0))))</f>
        <v>0</v>
      </c>
      <c r="AE284" s="14" t="n">
        <f aca="false">IF(AND($A284&lt;&gt;"",$A284&lt;Parameters!$B$14),CityData!F6*(1+TAXRATE),0)</f>
        <v>0</v>
      </c>
      <c r="AF284" s="14" t="n">
        <f aca="false">IF($A284="",0,IFERROR(VLOOKUP((YEAR($A284)+IF(MONTH($A284)&gt;=10,1,0))&amp;"|Phoenix|"&amp;MONTH($A284),Rates!$A$2:$I$181,5,FALSE()),0))</f>
        <v>0</v>
      </c>
      <c r="AG284" s="14" t="n">
        <f aca="false">IF(OR($A284="",$A284&gt;=Parameters!$B$14),1,IF(AND(AF284&gt;0,CityData!F6&lt;=AF284),1,0))</f>
        <v>1</v>
      </c>
      <c r="AH284" s="14" t="n">
        <f aca="false">IF($A284="",0,IFERROR(VLOOKUP((YEAR($A284)+IF(MONTH($A284)&gt;=10,1,0))&amp;"|Seattle|"&amp;MONTH($A284),Rates!$A$2:$I$181,6,FALSE()),0))</f>
        <v>0</v>
      </c>
      <c r="AI284" s="14" t="n">
        <f aca="false">IF(AH284=0,0,VLOOKUP(AH284,MIE_Components!$A$2:$F$6,2,FALSE()))</f>
        <v>0</v>
      </c>
      <c r="AJ284" s="14" t="n">
        <f aca="false">IF(AH284=0,0,VLOOKUP(AH284,MIE_Components!$A$2:$F$6,3,FALSE()))</f>
        <v>0</v>
      </c>
      <c r="AK284" s="14" t="n">
        <f aca="false">IF(AH284=0,0,VLOOKUP(AH284,MIE_Components!$A$2:$F$6,4,FALSE()))</f>
        <v>0</v>
      </c>
      <c r="AL284" s="14" t="n">
        <f aca="false">IF(OR($A284="",AH284=0),0,MAX(5,AH284*IF(OR($A284=Parameters!$B$13,$A284=Parameters!$B$14),0.75,1)-(IF(AND($A284=DATE(2026,11,29),NOV29BF="Yes"),AI284,0)+IF(OR($A284=DATE(2026,11,29),$A284=DATE(2026,11,30),$A284=DATE(2026,12,1),$A284=DATE(2026,12,2)),AJ284,0)+IF(OR($A284=DATE(2026,11,28),$A284=DATE(2026,12,1)),AK284,0))))</f>
        <v>0</v>
      </c>
      <c r="AM284" s="14" t="n">
        <f aca="false">IF(AND($A284&lt;&gt;"",$A284&lt;Parameters!$B$14),CityData!F7*(1+TAXRATE),0)</f>
        <v>0</v>
      </c>
      <c r="AN284" s="14" t="n">
        <f aca="false">IF($A284="",0,IFERROR(VLOOKUP((YEAR($A284)+IF(MONTH($A284)&gt;=10,1,0))&amp;"|Seattle|"&amp;MONTH($A284),Rates!$A$2:$I$181,5,FALSE()),0))</f>
        <v>0</v>
      </c>
      <c r="AO284" s="14" t="n">
        <f aca="false">IF(OR($A284="",$A284&gt;=Parameters!$B$14),1,IF(AND(AN284&gt;0,CityData!F7&lt;=AN284),1,0))</f>
        <v>1</v>
      </c>
    </row>
    <row r="285" customFormat="false" ht="15" hidden="false" customHeight="true" outlineLevel="0" collapsed="false">
      <c r="A285" s="23" t="str">
        <f aca="false">IF(AND(Parameters!$B$14&gt;=Parameters!$B$13,ROW()-2&lt;=Parameters!$B$14-Parameters!$B$13),Parameters!$B$13+ROW()-2,"")</f>
        <v/>
      </c>
      <c r="B285" s="14" t="n">
        <f aca="false">IF($A285="",0,IFERROR(VLOOKUP((YEAR($A285)+IF(MONTH($A285)&gt;=10,1,0))&amp;"|Boston|"&amp;MONTH($A285),Rates!$A$2:$I$181,6,FALSE()),0))</f>
        <v>0</v>
      </c>
      <c r="C285" s="14" t="n">
        <f aca="false">IF(B285=0,0,VLOOKUP(B285,MIE_Components!$A$2:$F$6,2,FALSE()))</f>
        <v>0</v>
      </c>
      <c r="D285" s="14" t="n">
        <f aca="false">IF(B285=0,0,VLOOKUP(B285,MIE_Components!$A$2:$F$6,3,FALSE()))</f>
        <v>0</v>
      </c>
      <c r="E285" s="14" t="n">
        <f aca="false">IF(B285=0,0,VLOOKUP(B285,MIE_Components!$A$2:$F$6,4,FALSE()))</f>
        <v>0</v>
      </c>
      <c r="F285" s="14" t="n">
        <f aca="false">IF(OR($A285="",B285=0),0,MAX(5,B285*IF(OR($A285=Parameters!$B$13,$A285=Parameters!$B$14),0.75,1)-(IF(AND($A285=DATE(2026,11,29),NOV29BF="Yes"),C285,0)+IF(OR($A285=DATE(2026,11,29),$A285=DATE(2026,11,30),$A285=DATE(2026,12,1),$A285=DATE(2026,12,2)),D285,0)+IF(OR($A285=DATE(2026,11,28),$A285=DATE(2026,12,1)),E285,0))))</f>
        <v>0</v>
      </c>
      <c r="G285" s="14" t="n">
        <f aca="false">IF(AND($A285&lt;&gt;"",$A285&lt;Parameters!$B$14),CityData!F3*(1+TAXRATE),0)</f>
        <v>0</v>
      </c>
      <c r="H285" s="14" t="n">
        <f aca="false">IF($A285="",0,IFERROR(VLOOKUP((YEAR($A285)+IF(MONTH($A285)&gt;=10,1,0))&amp;"|Boston|"&amp;MONTH($A285),Rates!$A$2:$I$181,5,FALSE()),0))</f>
        <v>0</v>
      </c>
      <c r="I285" s="14" t="n">
        <f aca="false">IF(OR($A285="",$A285&gt;=Parameters!$B$14),1,IF(AND(H285&gt;0,CityData!F3&lt;=H285),1,0))</f>
        <v>1</v>
      </c>
      <c r="J285" s="14" t="n">
        <f aca="false">IF($A285="",0,IFERROR(VLOOKUP((YEAR($A285)+IF(MONTH($A285)&gt;=10,1,0))&amp;"|Chicago|"&amp;MONTH($A285),Rates!$A$2:$I$181,6,FALSE()),0))</f>
        <v>0</v>
      </c>
      <c r="K285" s="14" t="n">
        <f aca="false">IF(J285=0,0,VLOOKUP(J285,MIE_Components!$A$2:$F$6,2,FALSE()))</f>
        <v>0</v>
      </c>
      <c r="L285" s="14" t="n">
        <f aca="false">IF(J285=0,0,VLOOKUP(J285,MIE_Components!$A$2:$F$6,3,FALSE()))</f>
        <v>0</v>
      </c>
      <c r="M285" s="14" t="n">
        <f aca="false">IF(J285=0,0,VLOOKUP(J285,MIE_Components!$A$2:$F$6,4,FALSE()))</f>
        <v>0</v>
      </c>
      <c r="N285" s="14" t="n">
        <f aca="false">IF(OR($A285="",J285=0),0,MAX(5,J285*IF(OR($A285=Parameters!$B$13,$A285=Parameters!$B$14),0.75,1)-(IF(AND($A285=DATE(2026,11,29),NOV29BF="Yes"),K285,0)+IF(OR($A285=DATE(2026,11,29),$A285=DATE(2026,11,30),$A285=DATE(2026,12,1),$A285=DATE(2026,12,2)),L285,0)+IF(OR($A285=DATE(2026,11,28),$A285=DATE(2026,12,1)),M285,0))))</f>
        <v>0</v>
      </c>
      <c r="O285" s="14" t="n">
        <f aca="false">IF(AND($A285&lt;&gt;"",$A285&lt;Parameters!$B$14),CityData!F4*(1+TAXRATE),0)</f>
        <v>0</v>
      </c>
      <c r="P285" s="14" t="n">
        <f aca="false">IF($A285="",0,IFERROR(VLOOKUP((YEAR($A285)+IF(MONTH($A285)&gt;=10,1,0))&amp;"|Chicago|"&amp;MONTH($A285),Rates!$A$2:$I$181,5,FALSE()),0))</f>
        <v>0</v>
      </c>
      <c r="Q285" s="14" t="n">
        <f aca="false">IF(OR($A285="",$A285&gt;=Parameters!$B$14),1,IF(AND(P285&gt;0,CityData!F4&lt;=P285),1,0))</f>
        <v>1</v>
      </c>
      <c r="R285" s="14" t="n">
        <f aca="false">IF($A285="",0,IFERROR(VLOOKUP((YEAR($A285)+IF(MONTH($A285)&gt;=10,1,0))&amp;"|Denver|"&amp;MONTH($A285),Rates!$A$2:$I$181,6,FALSE()),0))</f>
        <v>0</v>
      </c>
      <c r="S285" s="14" t="n">
        <f aca="false">IF(R285=0,0,VLOOKUP(R285,MIE_Components!$A$2:$F$6,2,FALSE()))</f>
        <v>0</v>
      </c>
      <c r="T285" s="14" t="n">
        <f aca="false">IF(R285=0,0,VLOOKUP(R285,MIE_Components!$A$2:$F$6,3,FALSE()))</f>
        <v>0</v>
      </c>
      <c r="U285" s="14" t="n">
        <f aca="false">IF(R285=0,0,VLOOKUP(R285,MIE_Components!$A$2:$F$6,4,FALSE()))</f>
        <v>0</v>
      </c>
      <c r="V285" s="14" t="n">
        <f aca="false">IF(OR($A285="",R285=0),0,MAX(5,R285*IF(OR($A285=Parameters!$B$13,$A285=Parameters!$B$14),0.75,1)-(IF(AND($A285=DATE(2026,11,29),NOV29BF="Yes"),S285,0)+IF(OR($A285=DATE(2026,11,29),$A285=DATE(2026,11,30),$A285=DATE(2026,12,1),$A285=DATE(2026,12,2)),T285,0)+IF(OR($A285=DATE(2026,11,28),$A285=DATE(2026,12,1)),U285,0))))</f>
        <v>0</v>
      </c>
      <c r="W285" s="14" t="n">
        <f aca="false">IF(AND($A285&lt;&gt;"",$A285&lt;Parameters!$B$14),CityData!F5*(1+TAXRATE),0)</f>
        <v>0</v>
      </c>
      <c r="X285" s="14" t="n">
        <f aca="false">IF($A285="",0,IFERROR(VLOOKUP((YEAR($A285)+IF(MONTH($A285)&gt;=10,1,0))&amp;"|Denver|"&amp;MONTH($A285),Rates!$A$2:$I$181,5,FALSE()),0))</f>
        <v>0</v>
      </c>
      <c r="Y285" s="14" t="n">
        <f aca="false">IF(OR($A285="",$A285&gt;=Parameters!$B$14),1,IF(AND(X285&gt;0,CityData!F5&lt;=X285),1,0))</f>
        <v>1</v>
      </c>
      <c r="Z285" s="14" t="n">
        <f aca="false">IF($A285="",0,IFERROR(VLOOKUP((YEAR($A285)+IF(MONTH($A285)&gt;=10,1,0))&amp;"|Phoenix|"&amp;MONTH($A285),Rates!$A$2:$I$181,6,FALSE()),0))</f>
        <v>0</v>
      </c>
      <c r="AA285" s="14" t="n">
        <f aca="false">IF(Z285=0,0,VLOOKUP(Z285,MIE_Components!$A$2:$F$6,2,FALSE()))</f>
        <v>0</v>
      </c>
      <c r="AB285" s="14" t="n">
        <f aca="false">IF(Z285=0,0,VLOOKUP(Z285,MIE_Components!$A$2:$F$6,3,FALSE()))</f>
        <v>0</v>
      </c>
      <c r="AC285" s="14" t="n">
        <f aca="false">IF(Z285=0,0,VLOOKUP(Z285,MIE_Components!$A$2:$F$6,4,FALSE()))</f>
        <v>0</v>
      </c>
      <c r="AD285" s="14" t="n">
        <f aca="false">IF(OR($A285="",Z285=0),0,MAX(5,Z285*IF(OR($A285=Parameters!$B$13,$A285=Parameters!$B$14),0.75,1)-(IF(AND($A285=DATE(2026,11,29),NOV29BF="Yes"),AA285,0)+IF(OR($A285=DATE(2026,11,29),$A285=DATE(2026,11,30),$A285=DATE(2026,12,1),$A285=DATE(2026,12,2)),AB285,0)+IF(OR($A285=DATE(2026,11,28),$A285=DATE(2026,12,1)),AC285,0))))</f>
        <v>0</v>
      </c>
      <c r="AE285" s="14" t="n">
        <f aca="false">IF(AND($A285&lt;&gt;"",$A285&lt;Parameters!$B$14),CityData!F6*(1+TAXRATE),0)</f>
        <v>0</v>
      </c>
      <c r="AF285" s="14" t="n">
        <f aca="false">IF($A285="",0,IFERROR(VLOOKUP((YEAR($A285)+IF(MONTH($A285)&gt;=10,1,0))&amp;"|Phoenix|"&amp;MONTH($A285),Rates!$A$2:$I$181,5,FALSE()),0))</f>
        <v>0</v>
      </c>
      <c r="AG285" s="14" t="n">
        <f aca="false">IF(OR($A285="",$A285&gt;=Parameters!$B$14),1,IF(AND(AF285&gt;0,CityData!F6&lt;=AF285),1,0))</f>
        <v>1</v>
      </c>
      <c r="AH285" s="14" t="n">
        <f aca="false">IF($A285="",0,IFERROR(VLOOKUP((YEAR($A285)+IF(MONTH($A285)&gt;=10,1,0))&amp;"|Seattle|"&amp;MONTH($A285),Rates!$A$2:$I$181,6,FALSE()),0))</f>
        <v>0</v>
      </c>
      <c r="AI285" s="14" t="n">
        <f aca="false">IF(AH285=0,0,VLOOKUP(AH285,MIE_Components!$A$2:$F$6,2,FALSE()))</f>
        <v>0</v>
      </c>
      <c r="AJ285" s="14" t="n">
        <f aca="false">IF(AH285=0,0,VLOOKUP(AH285,MIE_Components!$A$2:$F$6,3,FALSE()))</f>
        <v>0</v>
      </c>
      <c r="AK285" s="14" t="n">
        <f aca="false">IF(AH285=0,0,VLOOKUP(AH285,MIE_Components!$A$2:$F$6,4,FALSE()))</f>
        <v>0</v>
      </c>
      <c r="AL285" s="14" t="n">
        <f aca="false">IF(OR($A285="",AH285=0),0,MAX(5,AH285*IF(OR($A285=Parameters!$B$13,$A285=Parameters!$B$14),0.75,1)-(IF(AND($A285=DATE(2026,11,29),NOV29BF="Yes"),AI285,0)+IF(OR($A285=DATE(2026,11,29),$A285=DATE(2026,11,30),$A285=DATE(2026,12,1),$A285=DATE(2026,12,2)),AJ285,0)+IF(OR($A285=DATE(2026,11,28),$A285=DATE(2026,12,1)),AK285,0))))</f>
        <v>0</v>
      </c>
      <c r="AM285" s="14" t="n">
        <f aca="false">IF(AND($A285&lt;&gt;"",$A285&lt;Parameters!$B$14),CityData!F7*(1+TAXRATE),0)</f>
        <v>0</v>
      </c>
      <c r="AN285" s="14" t="n">
        <f aca="false">IF($A285="",0,IFERROR(VLOOKUP((YEAR($A285)+IF(MONTH($A285)&gt;=10,1,0))&amp;"|Seattle|"&amp;MONTH($A285),Rates!$A$2:$I$181,5,FALSE()),0))</f>
        <v>0</v>
      </c>
      <c r="AO285" s="14" t="n">
        <f aca="false">IF(OR($A285="",$A285&gt;=Parameters!$B$14),1,IF(AND(AN285&gt;0,CityData!F7&lt;=AN285),1,0))</f>
        <v>1</v>
      </c>
    </row>
    <row r="286" customFormat="false" ht="15" hidden="false" customHeight="true" outlineLevel="0" collapsed="false">
      <c r="A286" s="23" t="str">
        <f aca="false">IF(AND(Parameters!$B$14&gt;=Parameters!$B$13,ROW()-2&lt;=Parameters!$B$14-Parameters!$B$13),Parameters!$B$13+ROW()-2,"")</f>
        <v/>
      </c>
      <c r="B286" s="14" t="n">
        <f aca="false">IF($A286="",0,IFERROR(VLOOKUP((YEAR($A286)+IF(MONTH($A286)&gt;=10,1,0))&amp;"|Boston|"&amp;MONTH($A286),Rates!$A$2:$I$181,6,FALSE()),0))</f>
        <v>0</v>
      </c>
      <c r="C286" s="14" t="n">
        <f aca="false">IF(B286=0,0,VLOOKUP(B286,MIE_Components!$A$2:$F$6,2,FALSE()))</f>
        <v>0</v>
      </c>
      <c r="D286" s="14" t="n">
        <f aca="false">IF(B286=0,0,VLOOKUP(B286,MIE_Components!$A$2:$F$6,3,FALSE()))</f>
        <v>0</v>
      </c>
      <c r="E286" s="14" t="n">
        <f aca="false">IF(B286=0,0,VLOOKUP(B286,MIE_Components!$A$2:$F$6,4,FALSE()))</f>
        <v>0</v>
      </c>
      <c r="F286" s="14" t="n">
        <f aca="false">IF(OR($A286="",B286=0),0,MAX(5,B286*IF(OR($A286=Parameters!$B$13,$A286=Parameters!$B$14),0.75,1)-(IF(AND($A286=DATE(2026,11,29),NOV29BF="Yes"),C286,0)+IF(OR($A286=DATE(2026,11,29),$A286=DATE(2026,11,30),$A286=DATE(2026,12,1),$A286=DATE(2026,12,2)),D286,0)+IF(OR($A286=DATE(2026,11,28),$A286=DATE(2026,12,1)),E286,0))))</f>
        <v>0</v>
      </c>
      <c r="G286" s="14" t="n">
        <f aca="false">IF(AND($A286&lt;&gt;"",$A286&lt;Parameters!$B$14),CityData!F3*(1+TAXRATE),0)</f>
        <v>0</v>
      </c>
      <c r="H286" s="14" t="n">
        <f aca="false">IF($A286="",0,IFERROR(VLOOKUP((YEAR($A286)+IF(MONTH($A286)&gt;=10,1,0))&amp;"|Boston|"&amp;MONTH($A286),Rates!$A$2:$I$181,5,FALSE()),0))</f>
        <v>0</v>
      </c>
      <c r="I286" s="14" t="n">
        <f aca="false">IF(OR($A286="",$A286&gt;=Parameters!$B$14),1,IF(AND(H286&gt;0,CityData!F3&lt;=H286),1,0))</f>
        <v>1</v>
      </c>
      <c r="J286" s="14" t="n">
        <f aca="false">IF($A286="",0,IFERROR(VLOOKUP((YEAR($A286)+IF(MONTH($A286)&gt;=10,1,0))&amp;"|Chicago|"&amp;MONTH($A286),Rates!$A$2:$I$181,6,FALSE()),0))</f>
        <v>0</v>
      </c>
      <c r="K286" s="14" t="n">
        <f aca="false">IF(J286=0,0,VLOOKUP(J286,MIE_Components!$A$2:$F$6,2,FALSE()))</f>
        <v>0</v>
      </c>
      <c r="L286" s="14" t="n">
        <f aca="false">IF(J286=0,0,VLOOKUP(J286,MIE_Components!$A$2:$F$6,3,FALSE()))</f>
        <v>0</v>
      </c>
      <c r="M286" s="14" t="n">
        <f aca="false">IF(J286=0,0,VLOOKUP(J286,MIE_Components!$A$2:$F$6,4,FALSE()))</f>
        <v>0</v>
      </c>
      <c r="N286" s="14" t="n">
        <f aca="false">IF(OR($A286="",J286=0),0,MAX(5,J286*IF(OR($A286=Parameters!$B$13,$A286=Parameters!$B$14),0.75,1)-(IF(AND($A286=DATE(2026,11,29),NOV29BF="Yes"),K286,0)+IF(OR($A286=DATE(2026,11,29),$A286=DATE(2026,11,30),$A286=DATE(2026,12,1),$A286=DATE(2026,12,2)),L286,0)+IF(OR($A286=DATE(2026,11,28),$A286=DATE(2026,12,1)),M286,0))))</f>
        <v>0</v>
      </c>
      <c r="O286" s="14" t="n">
        <f aca="false">IF(AND($A286&lt;&gt;"",$A286&lt;Parameters!$B$14),CityData!F4*(1+TAXRATE),0)</f>
        <v>0</v>
      </c>
      <c r="P286" s="14" t="n">
        <f aca="false">IF($A286="",0,IFERROR(VLOOKUP((YEAR($A286)+IF(MONTH($A286)&gt;=10,1,0))&amp;"|Chicago|"&amp;MONTH($A286),Rates!$A$2:$I$181,5,FALSE()),0))</f>
        <v>0</v>
      </c>
      <c r="Q286" s="14" t="n">
        <f aca="false">IF(OR($A286="",$A286&gt;=Parameters!$B$14),1,IF(AND(P286&gt;0,CityData!F4&lt;=P286),1,0))</f>
        <v>1</v>
      </c>
      <c r="R286" s="14" t="n">
        <f aca="false">IF($A286="",0,IFERROR(VLOOKUP((YEAR($A286)+IF(MONTH($A286)&gt;=10,1,0))&amp;"|Denver|"&amp;MONTH($A286),Rates!$A$2:$I$181,6,FALSE()),0))</f>
        <v>0</v>
      </c>
      <c r="S286" s="14" t="n">
        <f aca="false">IF(R286=0,0,VLOOKUP(R286,MIE_Components!$A$2:$F$6,2,FALSE()))</f>
        <v>0</v>
      </c>
      <c r="T286" s="14" t="n">
        <f aca="false">IF(R286=0,0,VLOOKUP(R286,MIE_Components!$A$2:$F$6,3,FALSE()))</f>
        <v>0</v>
      </c>
      <c r="U286" s="14" t="n">
        <f aca="false">IF(R286=0,0,VLOOKUP(R286,MIE_Components!$A$2:$F$6,4,FALSE()))</f>
        <v>0</v>
      </c>
      <c r="V286" s="14" t="n">
        <f aca="false">IF(OR($A286="",R286=0),0,MAX(5,R286*IF(OR($A286=Parameters!$B$13,$A286=Parameters!$B$14),0.75,1)-(IF(AND($A286=DATE(2026,11,29),NOV29BF="Yes"),S286,0)+IF(OR($A286=DATE(2026,11,29),$A286=DATE(2026,11,30),$A286=DATE(2026,12,1),$A286=DATE(2026,12,2)),T286,0)+IF(OR($A286=DATE(2026,11,28),$A286=DATE(2026,12,1)),U286,0))))</f>
        <v>0</v>
      </c>
      <c r="W286" s="14" t="n">
        <f aca="false">IF(AND($A286&lt;&gt;"",$A286&lt;Parameters!$B$14),CityData!F5*(1+TAXRATE),0)</f>
        <v>0</v>
      </c>
      <c r="X286" s="14" t="n">
        <f aca="false">IF($A286="",0,IFERROR(VLOOKUP((YEAR($A286)+IF(MONTH($A286)&gt;=10,1,0))&amp;"|Denver|"&amp;MONTH($A286),Rates!$A$2:$I$181,5,FALSE()),0))</f>
        <v>0</v>
      </c>
      <c r="Y286" s="14" t="n">
        <f aca="false">IF(OR($A286="",$A286&gt;=Parameters!$B$14),1,IF(AND(X286&gt;0,CityData!F5&lt;=X286),1,0))</f>
        <v>1</v>
      </c>
      <c r="Z286" s="14" t="n">
        <f aca="false">IF($A286="",0,IFERROR(VLOOKUP((YEAR($A286)+IF(MONTH($A286)&gt;=10,1,0))&amp;"|Phoenix|"&amp;MONTH($A286),Rates!$A$2:$I$181,6,FALSE()),0))</f>
        <v>0</v>
      </c>
      <c r="AA286" s="14" t="n">
        <f aca="false">IF(Z286=0,0,VLOOKUP(Z286,MIE_Components!$A$2:$F$6,2,FALSE()))</f>
        <v>0</v>
      </c>
      <c r="AB286" s="14" t="n">
        <f aca="false">IF(Z286=0,0,VLOOKUP(Z286,MIE_Components!$A$2:$F$6,3,FALSE()))</f>
        <v>0</v>
      </c>
      <c r="AC286" s="14" t="n">
        <f aca="false">IF(Z286=0,0,VLOOKUP(Z286,MIE_Components!$A$2:$F$6,4,FALSE()))</f>
        <v>0</v>
      </c>
      <c r="AD286" s="14" t="n">
        <f aca="false">IF(OR($A286="",Z286=0),0,MAX(5,Z286*IF(OR($A286=Parameters!$B$13,$A286=Parameters!$B$14),0.75,1)-(IF(AND($A286=DATE(2026,11,29),NOV29BF="Yes"),AA286,0)+IF(OR($A286=DATE(2026,11,29),$A286=DATE(2026,11,30),$A286=DATE(2026,12,1),$A286=DATE(2026,12,2)),AB286,0)+IF(OR($A286=DATE(2026,11,28),$A286=DATE(2026,12,1)),AC286,0))))</f>
        <v>0</v>
      </c>
      <c r="AE286" s="14" t="n">
        <f aca="false">IF(AND($A286&lt;&gt;"",$A286&lt;Parameters!$B$14),CityData!F6*(1+TAXRATE),0)</f>
        <v>0</v>
      </c>
      <c r="AF286" s="14" t="n">
        <f aca="false">IF($A286="",0,IFERROR(VLOOKUP((YEAR($A286)+IF(MONTH($A286)&gt;=10,1,0))&amp;"|Phoenix|"&amp;MONTH($A286),Rates!$A$2:$I$181,5,FALSE()),0))</f>
        <v>0</v>
      </c>
      <c r="AG286" s="14" t="n">
        <f aca="false">IF(OR($A286="",$A286&gt;=Parameters!$B$14),1,IF(AND(AF286&gt;0,CityData!F6&lt;=AF286),1,0))</f>
        <v>1</v>
      </c>
      <c r="AH286" s="14" t="n">
        <f aca="false">IF($A286="",0,IFERROR(VLOOKUP((YEAR($A286)+IF(MONTH($A286)&gt;=10,1,0))&amp;"|Seattle|"&amp;MONTH($A286),Rates!$A$2:$I$181,6,FALSE()),0))</f>
        <v>0</v>
      </c>
      <c r="AI286" s="14" t="n">
        <f aca="false">IF(AH286=0,0,VLOOKUP(AH286,MIE_Components!$A$2:$F$6,2,FALSE()))</f>
        <v>0</v>
      </c>
      <c r="AJ286" s="14" t="n">
        <f aca="false">IF(AH286=0,0,VLOOKUP(AH286,MIE_Components!$A$2:$F$6,3,FALSE()))</f>
        <v>0</v>
      </c>
      <c r="AK286" s="14" t="n">
        <f aca="false">IF(AH286=0,0,VLOOKUP(AH286,MIE_Components!$A$2:$F$6,4,FALSE()))</f>
        <v>0</v>
      </c>
      <c r="AL286" s="14" t="n">
        <f aca="false">IF(OR($A286="",AH286=0),0,MAX(5,AH286*IF(OR($A286=Parameters!$B$13,$A286=Parameters!$B$14),0.75,1)-(IF(AND($A286=DATE(2026,11,29),NOV29BF="Yes"),AI286,0)+IF(OR($A286=DATE(2026,11,29),$A286=DATE(2026,11,30),$A286=DATE(2026,12,1),$A286=DATE(2026,12,2)),AJ286,0)+IF(OR($A286=DATE(2026,11,28),$A286=DATE(2026,12,1)),AK286,0))))</f>
        <v>0</v>
      </c>
      <c r="AM286" s="14" t="n">
        <f aca="false">IF(AND($A286&lt;&gt;"",$A286&lt;Parameters!$B$14),CityData!F7*(1+TAXRATE),0)</f>
        <v>0</v>
      </c>
      <c r="AN286" s="14" t="n">
        <f aca="false">IF($A286="",0,IFERROR(VLOOKUP((YEAR($A286)+IF(MONTH($A286)&gt;=10,1,0))&amp;"|Seattle|"&amp;MONTH($A286),Rates!$A$2:$I$181,5,FALSE()),0))</f>
        <v>0</v>
      </c>
      <c r="AO286" s="14" t="n">
        <f aca="false">IF(OR($A286="",$A286&gt;=Parameters!$B$14),1,IF(AND(AN286&gt;0,CityData!F7&lt;=AN286),1,0))</f>
        <v>1</v>
      </c>
    </row>
    <row r="287" customFormat="false" ht="15" hidden="false" customHeight="true" outlineLevel="0" collapsed="false">
      <c r="A287" s="23" t="str">
        <f aca="false">IF(AND(Parameters!$B$14&gt;=Parameters!$B$13,ROW()-2&lt;=Parameters!$B$14-Parameters!$B$13),Parameters!$B$13+ROW()-2,"")</f>
        <v/>
      </c>
      <c r="B287" s="14" t="n">
        <f aca="false">IF($A287="",0,IFERROR(VLOOKUP((YEAR($A287)+IF(MONTH($A287)&gt;=10,1,0))&amp;"|Boston|"&amp;MONTH($A287),Rates!$A$2:$I$181,6,FALSE()),0))</f>
        <v>0</v>
      </c>
      <c r="C287" s="14" t="n">
        <f aca="false">IF(B287=0,0,VLOOKUP(B287,MIE_Components!$A$2:$F$6,2,FALSE()))</f>
        <v>0</v>
      </c>
      <c r="D287" s="14" t="n">
        <f aca="false">IF(B287=0,0,VLOOKUP(B287,MIE_Components!$A$2:$F$6,3,FALSE()))</f>
        <v>0</v>
      </c>
      <c r="E287" s="14" t="n">
        <f aca="false">IF(B287=0,0,VLOOKUP(B287,MIE_Components!$A$2:$F$6,4,FALSE()))</f>
        <v>0</v>
      </c>
      <c r="F287" s="14" t="n">
        <f aca="false">IF(OR($A287="",B287=0),0,MAX(5,B287*IF(OR($A287=Parameters!$B$13,$A287=Parameters!$B$14),0.75,1)-(IF(AND($A287=DATE(2026,11,29),NOV29BF="Yes"),C287,0)+IF(OR($A287=DATE(2026,11,29),$A287=DATE(2026,11,30),$A287=DATE(2026,12,1),$A287=DATE(2026,12,2)),D287,0)+IF(OR($A287=DATE(2026,11,28),$A287=DATE(2026,12,1)),E287,0))))</f>
        <v>0</v>
      </c>
      <c r="G287" s="14" t="n">
        <f aca="false">IF(AND($A287&lt;&gt;"",$A287&lt;Parameters!$B$14),CityData!F3*(1+TAXRATE),0)</f>
        <v>0</v>
      </c>
      <c r="H287" s="14" t="n">
        <f aca="false">IF($A287="",0,IFERROR(VLOOKUP((YEAR($A287)+IF(MONTH($A287)&gt;=10,1,0))&amp;"|Boston|"&amp;MONTH($A287),Rates!$A$2:$I$181,5,FALSE()),0))</f>
        <v>0</v>
      </c>
      <c r="I287" s="14" t="n">
        <f aca="false">IF(OR($A287="",$A287&gt;=Parameters!$B$14),1,IF(AND(H287&gt;0,CityData!F3&lt;=H287),1,0))</f>
        <v>1</v>
      </c>
      <c r="J287" s="14" t="n">
        <f aca="false">IF($A287="",0,IFERROR(VLOOKUP((YEAR($A287)+IF(MONTH($A287)&gt;=10,1,0))&amp;"|Chicago|"&amp;MONTH($A287),Rates!$A$2:$I$181,6,FALSE()),0))</f>
        <v>0</v>
      </c>
      <c r="K287" s="14" t="n">
        <f aca="false">IF(J287=0,0,VLOOKUP(J287,MIE_Components!$A$2:$F$6,2,FALSE()))</f>
        <v>0</v>
      </c>
      <c r="L287" s="14" t="n">
        <f aca="false">IF(J287=0,0,VLOOKUP(J287,MIE_Components!$A$2:$F$6,3,FALSE()))</f>
        <v>0</v>
      </c>
      <c r="M287" s="14" t="n">
        <f aca="false">IF(J287=0,0,VLOOKUP(J287,MIE_Components!$A$2:$F$6,4,FALSE()))</f>
        <v>0</v>
      </c>
      <c r="N287" s="14" t="n">
        <f aca="false">IF(OR($A287="",J287=0),0,MAX(5,J287*IF(OR($A287=Parameters!$B$13,$A287=Parameters!$B$14),0.75,1)-(IF(AND($A287=DATE(2026,11,29),NOV29BF="Yes"),K287,0)+IF(OR($A287=DATE(2026,11,29),$A287=DATE(2026,11,30),$A287=DATE(2026,12,1),$A287=DATE(2026,12,2)),L287,0)+IF(OR($A287=DATE(2026,11,28),$A287=DATE(2026,12,1)),M287,0))))</f>
        <v>0</v>
      </c>
      <c r="O287" s="14" t="n">
        <f aca="false">IF(AND($A287&lt;&gt;"",$A287&lt;Parameters!$B$14),CityData!F4*(1+TAXRATE),0)</f>
        <v>0</v>
      </c>
      <c r="P287" s="14" t="n">
        <f aca="false">IF($A287="",0,IFERROR(VLOOKUP((YEAR($A287)+IF(MONTH($A287)&gt;=10,1,0))&amp;"|Chicago|"&amp;MONTH($A287),Rates!$A$2:$I$181,5,FALSE()),0))</f>
        <v>0</v>
      </c>
      <c r="Q287" s="14" t="n">
        <f aca="false">IF(OR($A287="",$A287&gt;=Parameters!$B$14),1,IF(AND(P287&gt;0,CityData!F4&lt;=P287),1,0))</f>
        <v>1</v>
      </c>
      <c r="R287" s="14" t="n">
        <f aca="false">IF($A287="",0,IFERROR(VLOOKUP((YEAR($A287)+IF(MONTH($A287)&gt;=10,1,0))&amp;"|Denver|"&amp;MONTH($A287),Rates!$A$2:$I$181,6,FALSE()),0))</f>
        <v>0</v>
      </c>
      <c r="S287" s="14" t="n">
        <f aca="false">IF(R287=0,0,VLOOKUP(R287,MIE_Components!$A$2:$F$6,2,FALSE()))</f>
        <v>0</v>
      </c>
      <c r="T287" s="14" t="n">
        <f aca="false">IF(R287=0,0,VLOOKUP(R287,MIE_Components!$A$2:$F$6,3,FALSE()))</f>
        <v>0</v>
      </c>
      <c r="U287" s="14" t="n">
        <f aca="false">IF(R287=0,0,VLOOKUP(R287,MIE_Components!$A$2:$F$6,4,FALSE()))</f>
        <v>0</v>
      </c>
      <c r="V287" s="14" t="n">
        <f aca="false">IF(OR($A287="",R287=0),0,MAX(5,R287*IF(OR($A287=Parameters!$B$13,$A287=Parameters!$B$14),0.75,1)-(IF(AND($A287=DATE(2026,11,29),NOV29BF="Yes"),S287,0)+IF(OR($A287=DATE(2026,11,29),$A287=DATE(2026,11,30),$A287=DATE(2026,12,1),$A287=DATE(2026,12,2)),T287,0)+IF(OR($A287=DATE(2026,11,28),$A287=DATE(2026,12,1)),U287,0))))</f>
        <v>0</v>
      </c>
      <c r="W287" s="14" t="n">
        <f aca="false">IF(AND($A287&lt;&gt;"",$A287&lt;Parameters!$B$14),CityData!F5*(1+TAXRATE),0)</f>
        <v>0</v>
      </c>
      <c r="X287" s="14" t="n">
        <f aca="false">IF($A287="",0,IFERROR(VLOOKUP((YEAR($A287)+IF(MONTH($A287)&gt;=10,1,0))&amp;"|Denver|"&amp;MONTH($A287),Rates!$A$2:$I$181,5,FALSE()),0))</f>
        <v>0</v>
      </c>
      <c r="Y287" s="14" t="n">
        <f aca="false">IF(OR($A287="",$A287&gt;=Parameters!$B$14),1,IF(AND(X287&gt;0,CityData!F5&lt;=X287),1,0))</f>
        <v>1</v>
      </c>
      <c r="Z287" s="14" t="n">
        <f aca="false">IF($A287="",0,IFERROR(VLOOKUP((YEAR($A287)+IF(MONTH($A287)&gt;=10,1,0))&amp;"|Phoenix|"&amp;MONTH($A287),Rates!$A$2:$I$181,6,FALSE()),0))</f>
        <v>0</v>
      </c>
      <c r="AA287" s="14" t="n">
        <f aca="false">IF(Z287=0,0,VLOOKUP(Z287,MIE_Components!$A$2:$F$6,2,FALSE()))</f>
        <v>0</v>
      </c>
      <c r="AB287" s="14" t="n">
        <f aca="false">IF(Z287=0,0,VLOOKUP(Z287,MIE_Components!$A$2:$F$6,3,FALSE()))</f>
        <v>0</v>
      </c>
      <c r="AC287" s="14" t="n">
        <f aca="false">IF(Z287=0,0,VLOOKUP(Z287,MIE_Components!$A$2:$F$6,4,FALSE()))</f>
        <v>0</v>
      </c>
      <c r="AD287" s="14" t="n">
        <f aca="false">IF(OR($A287="",Z287=0),0,MAX(5,Z287*IF(OR($A287=Parameters!$B$13,$A287=Parameters!$B$14),0.75,1)-(IF(AND($A287=DATE(2026,11,29),NOV29BF="Yes"),AA287,0)+IF(OR($A287=DATE(2026,11,29),$A287=DATE(2026,11,30),$A287=DATE(2026,12,1),$A287=DATE(2026,12,2)),AB287,0)+IF(OR($A287=DATE(2026,11,28),$A287=DATE(2026,12,1)),AC287,0))))</f>
        <v>0</v>
      </c>
      <c r="AE287" s="14" t="n">
        <f aca="false">IF(AND($A287&lt;&gt;"",$A287&lt;Parameters!$B$14),CityData!F6*(1+TAXRATE),0)</f>
        <v>0</v>
      </c>
      <c r="AF287" s="14" t="n">
        <f aca="false">IF($A287="",0,IFERROR(VLOOKUP((YEAR($A287)+IF(MONTH($A287)&gt;=10,1,0))&amp;"|Phoenix|"&amp;MONTH($A287),Rates!$A$2:$I$181,5,FALSE()),0))</f>
        <v>0</v>
      </c>
      <c r="AG287" s="14" t="n">
        <f aca="false">IF(OR($A287="",$A287&gt;=Parameters!$B$14),1,IF(AND(AF287&gt;0,CityData!F6&lt;=AF287),1,0))</f>
        <v>1</v>
      </c>
      <c r="AH287" s="14" t="n">
        <f aca="false">IF($A287="",0,IFERROR(VLOOKUP((YEAR($A287)+IF(MONTH($A287)&gt;=10,1,0))&amp;"|Seattle|"&amp;MONTH($A287),Rates!$A$2:$I$181,6,FALSE()),0))</f>
        <v>0</v>
      </c>
      <c r="AI287" s="14" t="n">
        <f aca="false">IF(AH287=0,0,VLOOKUP(AH287,MIE_Components!$A$2:$F$6,2,FALSE()))</f>
        <v>0</v>
      </c>
      <c r="AJ287" s="14" t="n">
        <f aca="false">IF(AH287=0,0,VLOOKUP(AH287,MIE_Components!$A$2:$F$6,3,FALSE()))</f>
        <v>0</v>
      </c>
      <c r="AK287" s="14" t="n">
        <f aca="false">IF(AH287=0,0,VLOOKUP(AH287,MIE_Components!$A$2:$F$6,4,FALSE()))</f>
        <v>0</v>
      </c>
      <c r="AL287" s="14" t="n">
        <f aca="false">IF(OR($A287="",AH287=0),0,MAX(5,AH287*IF(OR($A287=Parameters!$B$13,$A287=Parameters!$B$14),0.75,1)-(IF(AND($A287=DATE(2026,11,29),NOV29BF="Yes"),AI287,0)+IF(OR($A287=DATE(2026,11,29),$A287=DATE(2026,11,30),$A287=DATE(2026,12,1),$A287=DATE(2026,12,2)),AJ287,0)+IF(OR($A287=DATE(2026,11,28),$A287=DATE(2026,12,1)),AK287,0))))</f>
        <v>0</v>
      </c>
      <c r="AM287" s="14" t="n">
        <f aca="false">IF(AND($A287&lt;&gt;"",$A287&lt;Parameters!$B$14),CityData!F7*(1+TAXRATE),0)</f>
        <v>0</v>
      </c>
      <c r="AN287" s="14" t="n">
        <f aca="false">IF($A287="",0,IFERROR(VLOOKUP((YEAR($A287)+IF(MONTH($A287)&gt;=10,1,0))&amp;"|Seattle|"&amp;MONTH($A287),Rates!$A$2:$I$181,5,FALSE()),0))</f>
        <v>0</v>
      </c>
      <c r="AO287" s="14" t="n">
        <f aca="false">IF(OR($A287="",$A287&gt;=Parameters!$B$14),1,IF(AND(AN287&gt;0,CityData!F7&lt;=AN287),1,0))</f>
        <v>1</v>
      </c>
    </row>
    <row r="288" customFormat="false" ht="15" hidden="false" customHeight="true" outlineLevel="0" collapsed="false">
      <c r="A288" s="23" t="str">
        <f aca="false">IF(AND(Parameters!$B$14&gt;=Parameters!$B$13,ROW()-2&lt;=Parameters!$B$14-Parameters!$B$13),Parameters!$B$13+ROW()-2,"")</f>
        <v/>
      </c>
      <c r="B288" s="14" t="n">
        <f aca="false">IF($A288="",0,IFERROR(VLOOKUP((YEAR($A288)+IF(MONTH($A288)&gt;=10,1,0))&amp;"|Boston|"&amp;MONTH($A288),Rates!$A$2:$I$181,6,FALSE()),0))</f>
        <v>0</v>
      </c>
      <c r="C288" s="14" t="n">
        <f aca="false">IF(B288=0,0,VLOOKUP(B288,MIE_Components!$A$2:$F$6,2,FALSE()))</f>
        <v>0</v>
      </c>
      <c r="D288" s="14" t="n">
        <f aca="false">IF(B288=0,0,VLOOKUP(B288,MIE_Components!$A$2:$F$6,3,FALSE()))</f>
        <v>0</v>
      </c>
      <c r="E288" s="14" t="n">
        <f aca="false">IF(B288=0,0,VLOOKUP(B288,MIE_Components!$A$2:$F$6,4,FALSE()))</f>
        <v>0</v>
      </c>
      <c r="F288" s="14" t="n">
        <f aca="false">IF(OR($A288="",B288=0),0,MAX(5,B288*IF(OR($A288=Parameters!$B$13,$A288=Parameters!$B$14),0.75,1)-(IF(AND($A288=DATE(2026,11,29),NOV29BF="Yes"),C288,0)+IF(OR($A288=DATE(2026,11,29),$A288=DATE(2026,11,30),$A288=DATE(2026,12,1),$A288=DATE(2026,12,2)),D288,0)+IF(OR($A288=DATE(2026,11,28),$A288=DATE(2026,12,1)),E288,0))))</f>
        <v>0</v>
      </c>
      <c r="G288" s="14" t="n">
        <f aca="false">IF(AND($A288&lt;&gt;"",$A288&lt;Parameters!$B$14),CityData!F3*(1+TAXRATE),0)</f>
        <v>0</v>
      </c>
      <c r="H288" s="14" t="n">
        <f aca="false">IF($A288="",0,IFERROR(VLOOKUP((YEAR($A288)+IF(MONTH($A288)&gt;=10,1,0))&amp;"|Boston|"&amp;MONTH($A288),Rates!$A$2:$I$181,5,FALSE()),0))</f>
        <v>0</v>
      </c>
      <c r="I288" s="14" t="n">
        <f aca="false">IF(OR($A288="",$A288&gt;=Parameters!$B$14),1,IF(AND(H288&gt;0,CityData!F3&lt;=H288),1,0))</f>
        <v>1</v>
      </c>
      <c r="J288" s="14" t="n">
        <f aca="false">IF($A288="",0,IFERROR(VLOOKUP((YEAR($A288)+IF(MONTH($A288)&gt;=10,1,0))&amp;"|Chicago|"&amp;MONTH($A288),Rates!$A$2:$I$181,6,FALSE()),0))</f>
        <v>0</v>
      </c>
      <c r="K288" s="14" t="n">
        <f aca="false">IF(J288=0,0,VLOOKUP(J288,MIE_Components!$A$2:$F$6,2,FALSE()))</f>
        <v>0</v>
      </c>
      <c r="L288" s="14" t="n">
        <f aca="false">IF(J288=0,0,VLOOKUP(J288,MIE_Components!$A$2:$F$6,3,FALSE()))</f>
        <v>0</v>
      </c>
      <c r="M288" s="14" t="n">
        <f aca="false">IF(J288=0,0,VLOOKUP(J288,MIE_Components!$A$2:$F$6,4,FALSE()))</f>
        <v>0</v>
      </c>
      <c r="N288" s="14" t="n">
        <f aca="false">IF(OR($A288="",J288=0),0,MAX(5,J288*IF(OR($A288=Parameters!$B$13,$A288=Parameters!$B$14),0.75,1)-(IF(AND($A288=DATE(2026,11,29),NOV29BF="Yes"),K288,0)+IF(OR($A288=DATE(2026,11,29),$A288=DATE(2026,11,30),$A288=DATE(2026,12,1),$A288=DATE(2026,12,2)),L288,0)+IF(OR($A288=DATE(2026,11,28),$A288=DATE(2026,12,1)),M288,0))))</f>
        <v>0</v>
      </c>
      <c r="O288" s="14" t="n">
        <f aca="false">IF(AND($A288&lt;&gt;"",$A288&lt;Parameters!$B$14),CityData!F4*(1+TAXRATE),0)</f>
        <v>0</v>
      </c>
      <c r="P288" s="14" t="n">
        <f aca="false">IF($A288="",0,IFERROR(VLOOKUP((YEAR($A288)+IF(MONTH($A288)&gt;=10,1,0))&amp;"|Chicago|"&amp;MONTH($A288),Rates!$A$2:$I$181,5,FALSE()),0))</f>
        <v>0</v>
      </c>
      <c r="Q288" s="14" t="n">
        <f aca="false">IF(OR($A288="",$A288&gt;=Parameters!$B$14),1,IF(AND(P288&gt;0,CityData!F4&lt;=P288),1,0))</f>
        <v>1</v>
      </c>
      <c r="R288" s="14" t="n">
        <f aca="false">IF($A288="",0,IFERROR(VLOOKUP((YEAR($A288)+IF(MONTH($A288)&gt;=10,1,0))&amp;"|Denver|"&amp;MONTH($A288),Rates!$A$2:$I$181,6,FALSE()),0))</f>
        <v>0</v>
      </c>
      <c r="S288" s="14" t="n">
        <f aca="false">IF(R288=0,0,VLOOKUP(R288,MIE_Components!$A$2:$F$6,2,FALSE()))</f>
        <v>0</v>
      </c>
      <c r="T288" s="14" t="n">
        <f aca="false">IF(R288=0,0,VLOOKUP(R288,MIE_Components!$A$2:$F$6,3,FALSE()))</f>
        <v>0</v>
      </c>
      <c r="U288" s="14" t="n">
        <f aca="false">IF(R288=0,0,VLOOKUP(R288,MIE_Components!$A$2:$F$6,4,FALSE()))</f>
        <v>0</v>
      </c>
      <c r="V288" s="14" t="n">
        <f aca="false">IF(OR($A288="",R288=0),0,MAX(5,R288*IF(OR($A288=Parameters!$B$13,$A288=Parameters!$B$14),0.75,1)-(IF(AND($A288=DATE(2026,11,29),NOV29BF="Yes"),S288,0)+IF(OR($A288=DATE(2026,11,29),$A288=DATE(2026,11,30),$A288=DATE(2026,12,1),$A288=DATE(2026,12,2)),T288,0)+IF(OR($A288=DATE(2026,11,28),$A288=DATE(2026,12,1)),U288,0))))</f>
        <v>0</v>
      </c>
      <c r="W288" s="14" t="n">
        <f aca="false">IF(AND($A288&lt;&gt;"",$A288&lt;Parameters!$B$14),CityData!F5*(1+TAXRATE),0)</f>
        <v>0</v>
      </c>
      <c r="X288" s="14" t="n">
        <f aca="false">IF($A288="",0,IFERROR(VLOOKUP((YEAR($A288)+IF(MONTH($A288)&gt;=10,1,0))&amp;"|Denver|"&amp;MONTH($A288),Rates!$A$2:$I$181,5,FALSE()),0))</f>
        <v>0</v>
      </c>
      <c r="Y288" s="14" t="n">
        <f aca="false">IF(OR($A288="",$A288&gt;=Parameters!$B$14),1,IF(AND(X288&gt;0,CityData!F5&lt;=X288),1,0))</f>
        <v>1</v>
      </c>
      <c r="Z288" s="14" t="n">
        <f aca="false">IF($A288="",0,IFERROR(VLOOKUP((YEAR($A288)+IF(MONTH($A288)&gt;=10,1,0))&amp;"|Phoenix|"&amp;MONTH($A288),Rates!$A$2:$I$181,6,FALSE()),0))</f>
        <v>0</v>
      </c>
      <c r="AA288" s="14" t="n">
        <f aca="false">IF(Z288=0,0,VLOOKUP(Z288,MIE_Components!$A$2:$F$6,2,FALSE()))</f>
        <v>0</v>
      </c>
      <c r="AB288" s="14" t="n">
        <f aca="false">IF(Z288=0,0,VLOOKUP(Z288,MIE_Components!$A$2:$F$6,3,FALSE()))</f>
        <v>0</v>
      </c>
      <c r="AC288" s="14" t="n">
        <f aca="false">IF(Z288=0,0,VLOOKUP(Z288,MIE_Components!$A$2:$F$6,4,FALSE()))</f>
        <v>0</v>
      </c>
      <c r="AD288" s="14" t="n">
        <f aca="false">IF(OR($A288="",Z288=0),0,MAX(5,Z288*IF(OR($A288=Parameters!$B$13,$A288=Parameters!$B$14),0.75,1)-(IF(AND($A288=DATE(2026,11,29),NOV29BF="Yes"),AA288,0)+IF(OR($A288=DATE(2026,11,29),$A288=DATE(2026,11,30),$A288=DATE(2026,12,1),$A288=DATE(2026,12,2)),AB288,0)+IF(OR($A288=DATE(2026,11,28),$A288=DATE(2026,12,1)),AC288,0))))</f>
        <v>0</v>
      </c>
      <c r="AE288" s="14" t="n">
        <f aca="false">IF(AND($A288&lt;&gt;"",$A288&lt;Parameters!$B$14),CityData!F6*(1+TAXRATE),0)</f>
        <v>0</v>
      </c>
      <c r="AF288" s="14" t="n">
        <f aca="false">IF($A288="",0,IFERROR(VLOOKUP((YEAR($A288)+IF(MONTH($A288)&gt;=10,1,0))&amp;"|Phoenix|"&amp;MONTH($A288),Rates!$A$2:$I$181,5,FALSE()),0))</f>
        <v>0</v>
      </c>
      <c r="AG288" s="14" t="n">
        <f aca="false">IF(OR($A288="",$A288&gt;=Parameters!$B$14),1,IF(AND(AF288&gt;0,CityData!F6&lt;=AF288),1,0))</f>
        <v>1</v>
      </c>
      <c r="AH288" s="14" t="n">
        <f aca="false">IF($A288="",0,IFERROR(VLOOKUP((YEAR($A288)+IF(MONTH($A288)&gt;=10,1,0))&amp;"|Seattle|"&amp;MONTH($A288),Rates!$A$2:$I$181,6,FALSE()),0))</f>
        <v>0</v>
      </c>
      <c r="AI288" s="14" t="n">
        <f aca="false">IF(AH288=0,0,VLOOKUP(AH288,MIE_Components!$A$2:$F$6,2,FALSE()))</f>
        <v>0</v>
      </c>
      <c r="AJ288" s="14" t="n">
        <f aca="false">IF(AH288=0,0,VLOOKUP(AH288,MIE_Components!$A$2:$F$6,3,FALSE()))</f>
        <v>0</v>
      </c>
      <c r="AK288" s="14" t="n">
        <f aca="false">IF(AH288=0,0,VLOOKUP(AH288,MIE_Components!$A$2:$F$6,4,FALSE()))</f>
        <v>0</v>
      </c>
      <c r="AL288" s="14" t="n">
        <f aca="false">IF(OR($A288="",AH288=0),0,MAX(5,AH288*IF(OR($A288=Parameters!$B$13,$A288=Parameters!$B$14),0.75,1)-(IF(AND($A288=DATE(2026,11,29),NOV29BF="Yes"),AI288,0)+IF(OR($A288=DATE(2026,11,29),$A288=DATE(2026,11,30),$A288=DATE(2026,12,1),$A288=DATE(2026,12,2)),AJ288,0)+IF(OR($A288=DATE(2026,11,28),$A288=DATE(2026,12,1)),AK288,0))))</f>
        <v>0</v>
      </c>
      <c r="AM288" s="14" t="n">
        <f aca="false">IF(AND($A288&lt;&gt;"",$A288&lt;Parameters!$B$14),CityData!F7*(1+TAXRATE),0)</f>
        <v>0</v>
      </c>
      <c r="AN288" s="14" t="n">
        <f aca="false">IF($A288="",0,IFERROR(VLOOKUP((YEAR($A288)+IF(MONTH($A288)&gt;=10,1,0))&amp;"|Seattle|"&amp;MONTH($A288),Rates!$A$2:$I$181,5,FALSE()),0))</f>
        <v>0</v>
      </c>
      <c r="AO288" s="14" t="n">
        <f aca="false">IF(OR($A288="",$A288&gt;=Parameters!$B$14),1,IF(AND(AN288&gt;0,CityData!F7&lt;=AN288),1,0))</f>
        <v>1</v>
      </c>
    </row>
    <row r="289" customFormat="false" ht="15" hidden="false" customHeight="true" outlineLevel="0" collapsed="false">
      <c r="A289" s="23" t="str">
        <f aca="false">IF(AND(Parameters!$B$14&gt;=Parameters!$B$13,ROW()-2&lt;=Parameters!$B$14-Parameters!$B$13),Parameters!$B$13+ROW()-2,"")</f>
        <v/>
      </c>
      <c r="B289" s="14" t="n">
        <f aca="false">IF($A289="",0,IFERROR(VLOOKUP((YEAR($A289)+IF(MONTH($A289)&gt;=10,1,0))&amp;"|Boston|"&amp;MONTH($A289),Rates!$A$2:$I$181,6,FALSE()),0))</f>
        <v>0</v>
      </c>
      <c r="C289" s="14" t="n">
        <f aca="false">IF(B289=0,0,VLOOKUP(B289,MIE_Components!$A$2:$F$6,2,FALSE()))</f>
        <v>0</v>
      </c>
      <c r="D289" s="14" t="n">
        <f aca="false">IF(B289=0,0,VLOOKUP(B289,MIE_Components!$A$2:$F$6,3,FALSE()))</f>
        <v>0</v>
      </c>
      <c r="E289" s="14" t="n">
        <f aca="false">IF(B289=0,0,VLOOKUP(B289,MIE_Components!$A$2:$F$6,4,FALSE()))</f>
        <v>0</v>
      </c>
      <c r="F289" s="14" t="n">
        <f aca="false">IF(OR($A289="",B289=0),0,MAX(5,B289*IF(OR($A289=Parameters!$B$13,$A289=Parameters!$B$14),0.75,1)-(IF(AND($A289=DATE(2026,11,29),NOV29BF="Yes"),C289,0)+IF(OR($A289=DATE(2026,11,29),$A289=DATE(2026,11,30),$A289=DATE(2026,12,1),$A289=DATE(2026,12,2)),D289,0)+IF(OR($A289=DATE(2026,11,28),$A289=DATE(2026,12,1)),E289,0))))</f>
        <v>0</v>
      </c>
      <c r="G289" s="14" t="n">
        <f aca="false">IF(AND($A289&lt;&gt;"",$A289&lt;Parameters!$B$14),CityData!F3*(1+TAXRATE),0)</f>
        <v>0</v>
      </c>
      <c r="H289" s="14" t="n">
        <f aca="false">IF($A289="",0,IFERROR(VLOOKUP((YEAR($A289)+IF(MONTH($A289)&gt;=10,1,0))&amp;"|Boston|"&amp;MONTH($A289),Rates!$A$2:$I$181,5,FALSE()),0))</f>
        <v>0</v>
      </c>
      <c r="I289" s="14" t="n">
        <f aca="false">IF(OR($A289="",$A289&gt;=Parameters!$B$14),1,IF(AND(H289&gt;0,CityData!F3&lt;=H289),1,0))</f>
        <v>1</v>
      </c>
      <c r="J289" s="14" t="n">
        <f aca="false">IF($A289="",0,IFERROR(VLOOKUP((YEAR($A289)+IF(MONTH($A289)&gt;=10,1,0))&amp;"|Chicago|"&amp;MONTH($A289),Rates!$A$2:$I$181,6,FALSE()),0))</f>
        <v>0</v>
      </c>
      <c r="K289" s="14" t="n">
        <f aca="false">IF(J289=0,0,VLOOKUP(J289,MIE_Components!$A$2:$F$6,2,FALSE()))</f>
        <v>0</v>
      </c>
      <c r="L289" s="14" t="n">
        <f aca="false">IF(J289=0,0,VLOOKUP(J289,MIE_Components!$A$2:$F$6,3,FALSE()))</f>
        <v>0</v>
      </c>
      <c r="M289" s="14" t="n">
        <f aca="false">IF(J289=0,0,VLOOKUP(J289,MIE_Components!$A$2:$F$6,4,FALSE()))</f>
        <v>0</v>
      </c>
      <c r="N289" s="14" t="n">
        <f aca="false">IF(OR($A289="",J289=0),0,MAX(5,J289*IF(OR($A289=Parameters!$B$13,$A289=Parameters!$B$14),0.75,1)-(IF(AND($A289=DATE(2026,11,29),NOV29BF="Yes"),K289,0)+IF(OR($A289=DATE(2026,11,29),$A289=DATE(2026,11,30),$A289=DATE(2026,12,1),$A289=DATE(2026,12,2)),L289,0)+IF(OR($A289=DATE(2026,11,28),$A289=DATE(2026,12,1)),M289,0))))</f>
        <v>0</v>
      </c>
      <c r="O289" s="14" t="n">
        <f aca="false">IF(AND($A289&lt;&gt;"",$A289&lt;Parameters!$B$14),CityData!F4*(1+TAXRATE),0)</f>
        <v>0</v>
      </c>
      <c r="P289" s="14" t="n">
        <f aca="false">IF($A289="",0,IFERROR(VLOOKUP((YEAR($A289)+IF(MONTH($A289)&gt;=10,1,0))&amp;"|Chicago|"&amp;MONTH($A289),Rates!$A$2:$I$181,5,FALSE()),0))</f>
        <v>0</v>
      </c>
      <c r="Q289" s="14" t="n">
        <f aca="false">IF(OR($A289="",$A289&gt;=Parameters!$B$14),1,IF(AND(P289&gt;0,CityData!F4&lt;=P289),1,0))</f>
        <v>1</v>
      </c>
      <c r="R289" s="14" t="n">
        <f aca="false">IF($A289="",0,IFERROR(VLOOKUP((YEAR($A289)+IF(MONTH($A289)&gt;=10,1,0))&amp;"|Denver|"&amp;MONTH($A289),Rates!$A$2:$I$181,6,FALSE()),0))</f>
        <v>0</v>
      </c>
      <c r="S289" s="14" t="n">
        <f aca="false">IF(R289=0,0,VLOOKUP(R289,MIE_Components!$A$2:$F$6,2,FALSE()))</f>
        <v>0</v>
      </c>
      <c r="T289" s="14" t="n">
        <f aca="false">IF(R289=0,0,VLOOKUP(R289,MIE_Components!$A$2:$F$6,3,FALSE()))</f>
        <v>0</v>
      </c>
      <c r="U289" s="14" t="n">
        <f aca="false">IF(R289=0,0,VLOOKUP(R289,MIE_Components!$A$2:$F$6,4,FALSE()))</f>
        <v>0</v>
      </c>
      <c r="V289" s="14" t="n">
        <f aca="false">IF(OR($A289="",R289=0),0,MAX(5,R289*IF(OR($A289=Parameters!$B$13,$A289=Parameters!$B$14),0.75,1)-(IF(AND($A289=DATE(2026,11,29),NOV29BF="Yes"),S289,0)+IF(OR($A289=DATE(2026,11,29),$A289=DATE(2026,11,30),$A289=DATE(2026,12,1),$A289=DATE(2026,12,2)),T289,0)+IF(OR($A289=DATE(2026,11,28),$A289=DATE(2026,12,1)),U289,0))))</f>
        <v>0</v>
      </c>
      <c r="W289" s="14" t="n">
        <f aca="false">IF(AND($A289&lt;&gt;"",$A289&lt;Parameters!$B$14),CityData!F5*(1+TAXRATE),0)</f>
        <v>0</v>
      </c>
      <c r="X289" s="14" t="n">
        <f aca="false">IF($A289="",0,IFERROR(VLOOKUP((YEAR($A289)+IF(MONTH($A289)&gt;=10,1,0))&amp;"|Denver|"&amp;MONTH($A289),Rates!$A$2:$I$181,5,FALSE()),0))</f>
        <v>0</v>
      </c>
      <c r="Y289" s="14" t="n">
        <f aca="false">IF(OR($A289="",$A289&gt;=Parameters!$B$14),1,IF(AND(X289&gt;0,CityData!F5&lt;=X289),1,0))</f>
        <v>1</v>
      </c>
      <c r="Z289" s="14" t="n">
        <f aca="false">IF($A289="",0,IFERROR(VLOOKUP((YEAR($A289)+IF(MONTH($A289)&gt;=10,1,0))&amp;"|Phoenix|"&amp;MONTH($A289),Rates!$A$2:$I$181,6,FALSE()),0))</f>
        <v>0</v>
      </c>
      <c r="AA289" s="14" t="n">
        <f aca="false">IF(Z289=0,0,VLOOKUP(Z289,MIE_Components!$A$2:$F$6,2,FALSE()))</f>
        <v>0</v>
      </c>
      <c r="AB289" s="14" t="n">
        <f aca="false">IF(Z289=0,0,VLOOKUP(Z289,MIE_Components!$A$2:$F$6,3,FALSE()))</f>
        <v>0</v>
      </c>
      <c r="AC289" s="14" t="n">
        <f aca="false">IF(Z289=0,0,VLOOKUP(Z289,MIE_Components!$A$2:$F$6,4,FALSE()))</f>
        <v>0</v>
      </c>
      <c r="AD289" s="14" t="n">
        <f aca="false">IF(OR($A289="",Z289=0),0,MAX(5,Z289*IF(OR($A289=Parameters!$B$13,$A289=Parameters!$B$14),0.75,1)-(IF(AND($A289=DATE(2026,11,29),NOV29BF="Yes"),AA289,0)+IF(OR($A289=DATE(2026,11,29),$A289=DATE(2026,11,30),$A289=DATE(2026,12,1),$A289=DATE(2026,12,2)),AB289,0)+IF(OR($A289=DATE(2026,11,28),$A289=DATE(2026,12,1)),AC289,0))))</f>
        <v>0</v>
      </c>
      <c r="AE289" s="14" t="n">
        <f aca="false">IF(AND($A289&lt;&gt;"",$A289&lt;Parameters!$B$14),CityData!F6*(1+TAXRATE),0)</f>
        <v>0</v>
      </c>
      <c r="AF289" s="14" t="n">
        <f aca="false">IF($A289="",0,IFERROR(VLOOKUP((YEAR($A289)+IF(MONTH($A289)&gt;=10,1,0))&amp;"|Phoenix|"&amp;MONTH($A289),Rates!$A$2:$I$181,5,FALSE()),0))</f>
        <v>0</v>
      </c>
      <c r="AG289" s="14" t="n">
        <f aca="false">IF(OR($A289="",$A289&gt;=Parameters!$B$14),1,IF(AND(AF289&gt;0,CityData!F6&lt;=AF289),1,0))</f>
        <v>1</v>
      </c>
      <c r="AH289" s="14" t="n">
        <f aca="false">IF($A289="",0,IFERROR(VLOOKUP((YEAR($A289)+IF(MONTH($A289)&gt;=10,1,0))&amp;"|Seattle|"&amp;MONTH($A289),Rates!$A$2:$I$181,6,FALSE()),0))</f>
        <v>0</v>
      </c>
      <c r="AI289" s="14" t="n">
        <f aca="false">IF(AH289=0,0,VLOOKUP(AH289,MIE_Components!$A$2:$F$6,2,FALSE()))</f>
        <v>0</v>
      </c>
      <c r="AJ289" s="14" t="n">
        <f aca="false">IF(AH289=0,0,VLOOKUP(AH289,MIE_Components!$A$2:$F$6,3,FALSE()))</f>
        <v>0</v>
      </c>
      <c r="AK289" s="14" t="n">
        <f aca="false">IF(AH289=0,0,VLOOKUP(AH289,MIE_Components!$A$2:$F$6,4,FALSE()))</f>
        <v>0</v>
      </c>
      <c r="AL289" s="14" t="n">
        <f aca="false">IF(OR($A289="",AH289=0),0,MAX(5,AH289*IF(OR($A289=Parameters!$B$13,$A289=Parameters!$B$14),0.75,1)-(IF(AND($A289=DATE(2026,11,29),NOV29BF="Yes"),AI289,0)+IF(OR($A289=DATE(2026,11,29),$A289=DATE(2026,11,30),$A289=DATE(2026,12,1),$A289=DATE(2026,12,2)),AJ289,0)+IF(OR($A289=DATE(2026,11,28),$A289=DATE(2026,12,1)),AK289,0))))</f>
        <v>0</v>
      </c>
      <c r="AM289" s="14" t="n">
        <f aca="false">IF(AND($A289&lt;&gt;"",$A289&lt;Parameters!$B$14),CityData!F7*(1+TAXRATE),0)</f>
        <v>0</v>
      </c>
      <c r="AN289" s="14" t="n">
        <f aca="false">IF($A289="",0,IFERROR(VLOOKUP((YEAR($A289)+IF(MONTH($A289)&gt;=10,1,0))&amp;"|Seattle|"&amp;MONTH($A289),Rates!$A$2:$I$181,5,FALSE()),0))</f>
        <v>0</v>
      </c>
      <c r="AO289" s="14" t="n">
        <f aca="false">IF(OR($A289="",$A289&gt;=Parameters!$B$14),1,IF(AND(AN289&gt;0,CityData!F7&lt;=AN289),1,0))</f>
        <v>1</v>
      </c>
    </row>
    <row r="290" customFormat="false" ht="15" hidden="false" customHeight="true" outlineLevel="0" collapsed="false">
      <c r="A290" s="23" t="str">
        <f aca="false">IF(AND(Parameters!$B$14&gt;=Parameters!$B$13,ROW()-2&lt;=Parameters!$B$14-Parameters!$B$13),Parameters!$B$13+ROW()-2,"")</f>
        <v/>
      </c>
      <c r="B290" s="14" t="n">
        <f aca="false">IF($A290="",0,IFERROR(VLOOKUP((YEAR($A290)+IF(MONTH($A290)&gt;=10,1,0))&amp;"|Boston|"&amp;MONTH($A290),Rates!$A$2:$I$181,6,FALSE()),0))</f>
        <v>0</v>
      </c>
      <c r="C290" s="14" t="n">
        <f aca="false">IF(B290=0,0,VLOOKUP(B290,MIE_Components!$A$2:$F$6,2,FALSE()))</f>
        <v>0</v>
      </c>
      <c r="D290" s="14" t="n">
        <f aca="false">IF(B290=0,0,VLOOKUP(B290,MIE_Components!$A$2:$F$6,3,FALSE()))</f>
        <v>0</v>
      </c>
      <c r="E290" s="14" t="n">
        <f aca="false">IF(B290=0,0,VLOOKUP(B290,MIE_Components!$A$2:$F$6,4,FALSE()))</f>
        <v>0</v>
      </c>
      <c r="F290" s="14" t="n">
        <f aca="false">IF(OR($A290="",B290=0),0,MAX(5,B290*IF(OR($A290=Parameters!$B$13,$A290=Parameters!$B$14),0.75,1)-(IF(AND($A290=DATE(2026,11,29),NOV29BF="Yes"),C290,0)+IF(OR($A290=DATE(2026,11,29),$A290=DATE(2026,11,30),$A290=DATE(2026,12,1),$A290=DATE(2026,12,2)),D290,0)+IF(OR($A290=DATE(2026,11,28),$A290=DATE(2026,12,1)),E290,0))))</f>
        <v>0</v>
      </c>
      <c r="G290" s="14" t="n">
        <f aca="false">IF(AND($A290&lt;&gt;"",$A290&lt;Parameters!$B$14),CityData!F3*(1+TAXRATE),0)</f>
        <v>0</v>
      </c>
      <c r="H290" s="14" t="n">
        <f aca="false">IF($A290="",0,IFERROR(VLOOKUP((YEAR($A290)+IF(MONTH($A290)&gt;=10,1,0))&amp;"|Boston|"&amp;MONTH($A290),Rates!$A$2:$I$181,5,FALSE()),0))</f>
        <v>0</v>
      </c>
      <c r="I290" s="14" t="n">
        <f aca="false">IF(OR($A290="",$A290&gt;=Parameters!$B$14),1,IF(AND(H290&gt;0,CityData!F3&lt;=H290),1,0))</f>
        <v>1</v>
      </c>
      <c r="J290" s="14" t="n">
        <f aca="false">IF($A290="",0,IFERROR(VLOOKUP((YEAR($A290)+IF(MONTH($A290)&gt;=10,1,0))&amp;"|Chicago|"&amp;MONTH($A290),Rates!$A$2:$I$181,6,FALSE()),0))</f>
        <v>0</v>
      </c>
      <c r="K290" s="14" t="n">
        <f aca="false">IF(J290=0,0,VLOOKUP(J290,MIE_Components!$A$2:$F$6,2,FALSE()))</f>
        <v>0</v>
      </c>
      <c r="L290" s="14" t="n">
        <f aca="false">IF(J290=0,0,VLOOKUP(J290,MIE_Components!$A$2:$F$6,3,FALSE()))</f>
        <v>0</v>
      </c>
      <c r="M290" s="14" t="n">
        <f aca="false">IF(J290=0,0,VLOOKUP(J290,MIE_Components!$A$2:$F$6,4,FALSE()))</f>
        <v>0</v>
      </c>
      <c r="N290" s="14" t="n">
        <f aca="false">IF(OR($A290="",J290=0),0,MAX(5,J290*IF(OR($A290=Parameters!$B$13,$A290=Parameters!$B$14),0.75,1)-(IF(AND($A290=DATE(2026,11,29),NOV29BF="Yes"),K290,0)+IF(OR($A290=DATE(2026,11,29),$A290=DATE(2026,11,30),$A290=DATE(2026,12,1),$A290=DATE(2026,12,2)),L290,0)+IF(OR($A290=DATE(2026,11,28),$A290=DATE(2026,12,1)),M290,0))))</f>
        <v>0</v>
      </c>
      <c r="O290" s="14" t="n">
        <f aca="false">IF(AND($A290&lt;&gt;"",$A290&lt;Parameters!$B$14),CityData!F4*(1+TAXRATE),0)</f>
        <v>0</v>
      </c>
      <c r="P290" s="14" t="n">
        <f aca="false">IF($A290="",0,IFERROR(VLOOKUP((YEAR($A290)+IF(MONTH($A290)&gt;=10,1,0))&amp;"|Chicago|"&amp;MONTH($A290),Rates!$A$2:$I$181,5,FALSE()),0))</f>
        <v>0</v>
      </c>
      <c r="Q290" s="14" t="n">
        <f aca="false">IF(OR($A290="",$A290&gt;=Parameters!$B$14),1,IF(AND(P290&gt;0,CityData!F4&lt;=P290),1,0))</f>
        <v>1</v>
      </c>
      <c r="R290" s="14" t="n">
        <f aca="false">IF($A290="",0,IFERROR(VLOOKUP((YEAR($A290)+IF(MONTH($A290)&gt;=10,1,0))&amp;"|Denver|"&amp;MONTH($A290),Rates!$A$2:$I$181,6,FALSE()),0))</f>
        <v>0</v>
      </c>
      <c r="S290" s="14" t="n">
        <f aca="false">IF(R290=0,0,VLOOKUP(R290,MIE_Components!$A$2:$F$6,2,FALSE()))</f>
        <v>0</v>
      </c>
      <c r="T290" s="14" t="n">
        <f aca="false">IF(R290=0,0,VLOOKUP(R290,MIE_Components!$A$2:$F$6,3,FALSE()))</f>
        <v>0</v>
      </c>
      <c r="U290" s="14" t="n">
        <f aca="false">IF(R290=0,0,VLOOKUP(R290,MIE_Components!$A$2:$F$6,4,FALSE()))</f>
        <v>0</v>
      </c>
      <c r="V290" s="14" t="n">
        <f aca="false">IF(OR($A290="",R290=0),0,MAX(5,R290*IF(OR($A290=Parameters!$B$13,$A290=Parameters!$B$14),0.75,1)-(IF(AND($A290=DATE(2026,11,29),NOV29BF="Yes"),S290,0)+IF(OR($A290=DATE(2026,11,29),$A290=DATE(2026,11,30),$A290=DATE(2026,12,1),$A290=DATE(2026,12,2)),T290,0)+IF(OR($A290=DATE(2026,11,28),$A290=DATE(2026,12,1)),U290,0))))</f>
        <v>0</v>
      </c>
      <c r="W290" s="14" t="n">
        <f aca="false">IF(AND($A290&lt;&gt;"",$A290&lt;Parameters!$B$14),CityData!F5*(1+TAXRATE),0)</f>
        <v>0</v>
      </c>
      <c r="X290" s="14" t="n">
        <f aca="false">IF($A290="",0,IFERROR(VLOOKUP((YEAR($A290)+IF(MONTH($A290)&gt;=10,1,0))&amp;"|Denver|"&amp;MONTH($A290),Rates!$A$2:$I$181,5,FALSE()),0))</f>
        <v>0</v>
      </c>
      <c r="Y290" s="14" t="n">
        <f aca="false">IF(OR($A290="",$A290&gt;=Parameters!$B$14),1,IF(AND(X290&gt;0,CityData!F5&lt;=X290),1,0))</f>
        <v>1</v>
      </c>
      <c r="Z290" s="14" t="n">
        <f aca="false">IF($A290="",0,IFERROR(VLOOKUP((YEAR($A290)+IF(MONTH($A290)&gt;=10,1,0))&amp;"|Phoenix|"&amp;MONTH($A290),Rates!$A$2:$I$181,6,FALSE()),0))</f>
        <v>0</v>
      </c>
      <c r="AA290" s="14" t="n">
        <f aca="false">IF(Z290=0,0,VLOOKUP(Z290,MIE_Components!$A$2:$F$6,2,FALSE()))</f>
        <v>0</v>
      </c>
      <c r="AB290" s="14" t="n">
        <f aca="false">IF(Z290=0,0,VLOOKUP(Z290,MIE_Components!$A$2:$F$6,3,FALSE()))</f>
        <v>0</v>
      </c>
      <c r="AC290" s="14" t="n">
        <f aca="false">IF(Z290=0,0,VLOOKUP(Z290,MIE_Components!$A$2:$F$6,4,FALSE()))</f>
        <v>0</v>
      </c>
      <c r="AD290" s="14" t="n">
        <f aca="false">IF(OR($A290="",Z290=0),0,MAX(5,Z290*IF(OR($A290=Parameters!$B$13,$A290=Parameters!$B$14),0.75,1)-(IF(AND($A290=DATE(2026,11,29),NOV29BF="Yes"),AA290,0)+IF(OR($A290=DATE(2026,11,29),$A290=DATE(2026,11,30),$A290=DATE(2026,12,1),$A290=DATE(2026,12,2)),AB290,0)+IF(OR($A290=DATE(2026,11,28),$A290=DATE(2026,12,1)),AC290,0))))</f>
        <v>0</v>
      </c>
      <c r="AE290" s="14" t="n">
        <f aca="false">IF(AND($A290&lt;&gt;"",$A290&lt;Parameters!$B$14),CityData!F6*(1+TAXRATE),0)</f>
        <v>0</v>
      </c>
      <c r="AF290" s="14" t="n">
        <f aca="false">IF($A290="",0,IFERROR(VLOOKUP((YEAR($A290)+IF(MONTH($A290)&gt;=10,1,0))&amp;"|Phoenix|"&amp;MONTH($A290),Rates!$A$2:$I$181,5,FALSE()),0))</f>
        <v>0</v>
      </c>
      <c r="AG290" s="14" t="n">
        <f aca="false">IF(OR($A290="",$A290&gt;=Parameters!$B$14),1,IF(AND(AF290&gt;0,CityData!F6&lt;=AF290),1,0))</f>
        <v>1</v>
      </c>
      <c r="AH290" s="14" t="n">
        <f aca="false">IF($A290="",0,IFERROR(VLOOKUP((YEAR($A290)+IF(MONTH($A290)&gt;=10,1,0))&amp;"|Seattle|"&amp;MONTH($A290),Rates!$A$2:$I$181,6,FALSE()),0))</f>
        <v>0</v>
      </c>
      <c r="AI290" s="14" t="n">
        <f aca="false">IF(AH290=0,0,VLOOKUP(AH290,MIE_Components!$A$2:$F$6,2,FALSE()))</f>
        <v>0</v>
      </c>
      <c r="AJ290" s="14" t="n">
        <f aca="false">IF(AH290=0,0,VLOOKUP(AH290,MIE_Components!$A$2:$F$6,3,FALSE()))</f>
        <v>0</v>
      </c>
      <c r="AK290" s="14" t="n">
        <f aca="false">IF(AH290=0,0,VLOOKUP(AH290,MIE_Components!$A$2:$F$6,4,FALSE()))</f>
        <v>0</v>
      </c>
      <c r="AL290" s="14" t="n">
        <f aca="false">IF(OR($A290="",AH290=0),0,MAX(5,AH290*IF(OR($A290=Parameters!$B$13,$A290=Parameters!$B$14),0.75,1)-(IF(AND($A290=DATE(2026,11,29),NOV29BF="Yes"),AI290,0)+IF(OR($A290=DATE(2026,11,29),$A290=DATE(2026,11,30),$A290=DATE(2026,12,1),$A290=DATE(2026,12,2)),AJ290,0)+IF(OR($A290=DATE(2026,11,28),$A290=DATE(2026,12,1)),AK290,0))))</f>
        <v>0</v>
      </c>
      <c r="AM290" s="14" t="n">
        <f aca="false">IF(AND($A290&lt;&gt;"",$A290&lt;Parameters!$B$14),CityData!F7*(1+TAXRATE),0)</f>
        <v>0</v>
      </c>
      <c r="AN290" s="14" t="n">
        <f aca="false">IF($A290="",0,IFERROR(VLOOKUP((YEAR($A290)+IF(MONTH($A290)&gt;=10,1,0))&amp;"|Seattle|"&amp;MONTH($A290),Rates!$A$2:$I$181,5,FALSE()),0))</f>
        <v>0</v>
      </c>
      <c r="AO290" s="14" t="n">
        <f aca="false">IF(OR($A290="",$A290&gt;=Parameters!$B$14),1,IF(AND(AN290&gt;0,CityData!F7&lt;=AN290),1,0))</f>
        <v>1</v>
      </c>
    </row>
    <row r="291" customFormat="false" ht="15" hidden="false" customHeight="true" outlineLevel="0" collapsed="false">
      <c r="A291" s="23" t="str">
        <f aca="false">IF(AND(Parameters!$B$14&gt;=Parameters!$B$13,ROW()-2&lt;=Parameters!$B$14-Parameters!$B$13),Parameters!$B$13+ROW()-2,"")</f>
        <v/>
      </c>
      <c r="B291" s="14" t="n">
        <f aca="false">IF($A291="",0,IFERROR(VLOOKUP((YEAR($A291)+IF(MONTH($A291)&gt;=10,1,0))&amp;"|Boston|"&amp;MONTH($A291),Rates!$A$2:$I$181,6,FALSE()),0))</f>
        <v>0</v>
      </c>
      <c r="C291" s="14" t="n">
        <f aca="false">IF(B291=0,0,VLOOKUP(B291,MIE_Components!$A$2:$F$6,2,FALSE()))</f>
        <v>0</v>
      </c>
      <c r="D291" s="14" t="n">
        <f aca="false">IF(B291=0,0,VLOOKUP(B291,MIE_Components!$A$2:$F$6,3,FALSE()))</f>
        <v>0</v>
      </c>
      <c r="E291" s="14" t="n">
        <f aca="false">IF(B291=0,0,VLOOKUP(B291,MIE_Components!$A$2:$F$6,4,FALSE()))</f>
        <v>0</v>
      </c>
      <c r="F291" s="14" t="n">
        <f aca="false">IF(OR($A291="",B291=0),0,MAX(5,B291*IF(OR($A291=Parameters!$B$13,$A291=Parameters!$B$14),0.75,1)-(IF(AND($A291=DATE(2026,11,29),NOV29BF="Yes"),C291,0)+IF(OR($A291=DATE(2026,11,29),$A291=DATE(2026,11,30),$A291=DATE(2026,12,1),$A291=DATE(2026,12,2)),D291,0)+IF(OR($A291=DATE(2026,11,28),$A291=DATE(2026,12,1)),E291,0))))</f>
        <v>0</v>
      </c>
      <c r="G291" s="14" t="n">
        <f aca="false">IF(AND($A291&lt;&gt;"",$A291&lt;Parameters!$B$14),CityData!F3*(1+TAXRATE),0)</f>
        <v>0</v>
      </c>
      <c r="H291" s="14" t="n">
        <f aca="false">IF($A291="",0,IFERROR(VLOOKUP((YEAR($A291)+IF(MONTH($A291)&gt;=10,1,0))&amp;"|Boston|"&amp;MONTH($A291),Rates!$A$2:$I$181,5,FALSE()),0))</f>
        <v>0</v>
      </c>
      <c r="I291" s="14" t="n">
        <f aca="false">IF(OR($A291="",$A291&gt;=Parameters!$B$14),1,IF(AND(H291&gt;0,CityData!F3&lt;=H291),1,0))</f>
        <v>1</v>
      </c>
      <c r="J291" s="14" t="n">
        <f aca="false">IF($A291="",0,IFERROR(VLOOKUP((YEAR($A291)+IF(MONTH($A291)&gt;=10,1,0))&amp;"|Chicago|"&amp;MONTH($A291),Rates!$A$2:$I$181,6,FALSE()),0))</f>
        <v>0</v>
      </c>
      <c r="K291" s="14" t="n">
        <f aca="false">IF(J291=0,0,VLOOKUP(J291,MIE_Components!$A$2:$F$6,2,FALSE()))</f>
        <v>0</v>
      </c>
      <c r="L291" s="14" t="n">
        <f aca="false">IF(J291=0,0,VLOOKUP(J291,MIE_Components!$A$2:$F$6,3,FALSE()))</f>
        <v>0</v>
      </c>
      <c r="M291" s="14" t="n">
        <f aca="false">IF(J291=0,0,VLOOKUP(J291,MIE_Components!$A$2:$F$6,4,FALSE()))</f>
        <v>0</v>
      </c>
      <c r="N291" s="14" t="n">
        <f aca="false">IF(OR($A291="",J291=0),0,MAX(5,J291*IF(OR($A291=Parameters!$B$13,$A291=Parameters!$B$14),0.75,1)-(IF(AND($A291=DATE(2026,11,29),NOV29BF="Yes"),K291,0)+IF(OR($A291=DATE(2026,11,29),$A291=DATE(2026,11,30),$A291=DATE(2026,12,1),$A291=DATE(2026,12,2)),L291,0)+IF(OR($A291=DATE(2026,11,28),$A291=DATE(2026,12,1)),M291,0))))</f>
        <v>0</v>
      </c>
      <c r="O291" s="14" t="n">
        <f aca="false">IF(AND($A291&lt;&gt;"",$A291&lt;Parameters!$B$14),CityData!F4*(1+TAXRATE),0)</f>
        <v>0</v>
      </c>
      <c r="P291" s="14" t="n">
        <f aca="false">IF($A291="",0,IFERROR(VLOOKUP((YEAR($A291)+IF(MONTH($A291)&gt;=10,1,0))&amp;"|Chicago|"&amp;MONTH($A291),Rates!$A$2:$I$181,5,FALSE()),0))</f>
        <v>0</v>
      </c>
      <c r="Q291" s="14" t="n">
        <f aca="false">IF(OR($A291="",$A291&gt;=Parameters!$B$14),1,IF(AND(P291&gt;0,CityData!F4&lt;=P291),1,0))</f>
        <v>1</v>
      </c>
      <c r="R291" s="14" t="n">
        <f aca="false">IF($A291="",0,IFERROR(VLOOKUP((YEAR($A291)+IF(MONTH($A291)&gt;=10,1,0))&amp;"|Denver|"&amp;MONTH($A291),Rates!$A$2:$I$181,6,FALSE()),0))</f>
        <v>0</v>
      </c>
      <c r="S291" s="14" t="n">
        <f aca="false">IF(R291=0,0,VLOOKUP(R291,MIE_Components!$A$2:$F$6,2,FALSE()))</f>
        <v>0</v>
      </c>
      <c r="T291" s="14" t="n">
        <f aca="false">IF(R291=0,0,VLOOKUP(R291,MIE_Components!$A$2:$F$6,3,FALSE()))</f>
        <v>0</v>
      </c>
      <c r="U291" s="14" t="n">
        <f aca="false">IF(R291=0,0,VLOOKUP(R291,MIE_Components!$A$2:$F$6,4,FALSE()))</f>
        <v>0</v>
      </c>
      <c r="V291" s="14" t="n">
        <f aca="false">IF(OR($A291="",R291=0),0,MAX(5,R291*IF(OR($A291=Parameters!$B$13,$A291=Parameters!$B$14),0.75,1)-(IF(AND($A291=DATE(2026,11,29),NOV29BF="Yes"),S291,0)+IF(OR($A291=DATE(2026,11,29),$A291=DATE(2026,11,30),$A291=DATE(2026,12,1),$A291=DATE(2026,12,2)),T291,0)+IF(OR($A291=DATE(2026,11,28),$A291=DATE(2026,12,1)),U291,0))))</f>
        <v>0</v>
      </c>
      <c r="W291" s="14" t="n">
        <f aca="false">IF(AND($A291&lt;&gt;"",$A291&lt;Parameters!$B$14),CityData!F5*(1+TAXRATE),0)</f>
        <v>0</v>
      </c>
      <c r="X291" s="14" t="n">
        <f aca="false">IF($A291="",0,IFERROR(VLOOKUP((YEAR($A291)+IF(MONTH($A291)&gt;=10,1,0))&amp;"|Denver|"&amp;MONTH($A291),Rates!$A$2:$I$181,5,FALSE()),0))</f>
        <v>0</v>
      </c>
      <c r="Y291" s="14" t="n">
        <f aca="false">IF(OR($A291="",$A291&gt;=Parameters!$B$14),1,IF(AND(X291&gt;0,CityData!F5&lt;=X291),1,0))</f>
        <v>1</v>
      </c>
      <c r="Z291" s="14" t="n">
        <f aca="false">IF($A291="",0,IFERROR(VLOOKUP((YEAR($A291)+IF(MONTH($A291)&gt;=10,1,0))&amp;"|Phoenix|"&amp;MONTH($A291),Rates!$A$2:$I$181,6,FALSE()),0))</f>
        <v>0</v>
      </c>
      <c r="AA291" s="14" t="n">
        <f aca="false">IF(Z291=0,0,VLOOKUP(Z291,MIE_Components!$A$2:$F$6,2,FALSE()))</f>
        <v>0</v>
      </c>
      <c r="AB291" s="14" t="n">
        <f aca="false">IF(Z291=0,0,VLOOKUP(Z291,MIE_Components!$A$2:$F$6,3,FALSE()))</f>
        <v>0</v>
      </c>
      <c r="AC291" s="14" t="n">
        <f aca="false">IF(Z291=0,0,VLOOKUP(Z291,MIE_Components!$A$2:$F$6,4,FALSE()))</f>
        <v>0</v>
      </c>
      <c r="AD291" s="14" t="n">
        <f aca="false">IF(OR($A291="",Z291=0),0,MAX(5,Z291*IF(OR($A291=Parameters!$B$13,$A291=Parameters!$B$14),0.75,1)-(IF(AND($A291=DATE(2026,11,29),NOV29BF="Yes"),AA291,0)+IF(OR($A291=DATE(2026,11,29),$A291=DATE(2026,11,30),$A291=DATE(2026,12,1),$A291=DATE(2026,12,2)),AB291,0)+IF(OR($A291=DATE(2026,11,28),$A291=DATE(2026,12,1)),AC291,0))))</f>
        <v>0</v>
      </c>
      <c r="AE291" s="14" t="n">
        <f aca="false">IF(AND($A291&lt;&gt;"",$A291&lt;Parameters!$B$14),CityData!F6*(1+TAXRATE),0)</f>
        <v>0</v>
      </c>
      <c r="AF291" s="14" t="n">
        <f aca="false">IF($A291="",0,IFERROR(VLOOKUP((YEAR($A291)+IF(MONTH($A291)&gt;=10,1,0))&amp;"|Phoenix|"&amp;MONTH($A291),Rates!$A$2:$I$181,5,FALSE()),0))</f>
        <v>0</v>
      </c>
      <c r="AG291" s="14" t="n">
        <f aca="false">IF(OR($A291="",$A291&gt;=Parameters!$B$14),1,IF(AND(AF291&gt;0,CityData!F6&lt;=AF291),1,0))</f>
        <v>1</v>
      </c>
      <c r="AH291" s="14" t="n">
        <f aca="false">IF($A291="",0,IFERROR(VLOOKUP((YEAR($A291)+IF(MONTH($A291)&gt;=10,1,0))&amp;"|Seattle|"&amp;MONTH($A291),Rates!$A$2:$I$181,6,FALSE()),0))</f>
        <v>0</v>
      </c>
      <c r="AI291" s="14" t="n">
        <f aca="false">IF(AH291=0,0,VLOOKUP(AH291,MIE_Components!$A$2:$F$6,2,FALSE()))</f>
        <v>0</v>
      </c>
      <c r="AJ291" s="14" t="n">
        <f aca="false">IF(AH291=0,0,VLOOKUP(AH291,MIE_Components!$A$2:$F$6,3,FALSE()))</f>
        <v>0</v>
      </c>
      <c r="AK291" s="14" t="n">
        <f aca="false">IF(AH291=0,0,VLOOKUP(AH291,MIE_Components!$A$2:$F$6,4,FALSE()))</f>
        <v>0</v>
      </c>
      <c r="AL291" s="14" t="n">
        <f aca="false">IF(OR($A291="",AH291=0),0,MAX(5,AH291*IF(OR($A291=Parameters!$B$13,$A291=Parameters!$B$14),0.75,1)-(IF(AND($A291=DATE(2026,11,29),NOV29BF="Yes"),AI291,0)+IF(OR($A291=DATE(2026,11,29),$A291=DATE(2026,11,30),$A291=DATE(2026,12,1),$A291=DATE(2026,12,2)),AJ291,0)+IF(OR($A291=DATE(2026,11,28),$A291=DATE(2026,12,1)),AK291,0))))</f>
        <v>0</v>
      </c>
      <c r="AM291" s="14" t="n">
        <f aca="false">IF(AND($A291&lt;&gt;"",$A291&lt;Parameters!$B$14),CityData!F7*(1+TAXRATE),0)</f>
        <v>0</v>
      </c>
      <c r="AN291" s="14" t="n">
        <f aca="false">IF($A291="",0,IFERROR(VLOOKUP((YEAR($A291)+IF(MONTH($A291)&gt;=10,1,0))&amp;"|Seattle|"&amp;MONTH($A291),Rates!$A$2:$I$181,5,FALSE()),0))</f>
        <v>0</v>
      </c>
      <c r="AO291" s="14" t="n">
        <f aca="false">IF(OR($A291="",$A291&gt;=Parameters!$B$14),1,IF(AND(AN291&gt;0,CityData!F7&lt;=AN291),1,0))</f>
        <v>1</v>
      </c>
    </row>
    <row r="292" customFormat="false" ht="15" hidden="false" customHeight="true" outlineLevel="0" collapsed="false">
      <c r="A292" s="23" t="str">
        <f aca="false">IF(AND(Parameters!$B$14&gt;=Parameters!$B$13,ROW()-2&lt;=Parameters!$B$14-Parameters!$B$13),Parameters!$B$13+ROW()-2,"")</f>
        <v/>
      </c>
      <c r="B292" s="14" t="n">
        <f aca="false">IF($A292="",0,IFERROR(VLOOKUP((YEAR($A292)+IF(MONTH($A292)&gt;=10,1,0))&amp;"|Boston|"&amp;MONTH($A292),Rates!$A$2:$I$181,6,FALSE()),0))</f>
        <v>0</v>
      </c>
      <c r="C292" s="14" t="n">
        <f aca="false">IF(B292=0,0,VLOOKUP(B292,MIE_Components!$A$2:$F$6,2,FALSE()))</f>
        <v>0</v>
      </c>
      <c r="D292" s="14" t="n">
        <f aca="false">IF(B292=0,0,VLOOKUP(B292,MIE_Components!$A$2:$F$6,3,FALSE()))</f>
        <v>0</v>
      </c>
      <c r="E292" s="14" t="n">
        <f aca="false">IF(B292=0,0,VLOOKUP(B292,MIE_Components!$A$2:$F$6,4,FALSE()))</f>
        <v>0</v>
      </c>
      <c r="F292" s="14" t="n">
        <f aca="false">IF(OR($A292="",B292=0),0,MAX(5,B292*IF(OR($A292=Parameters!$B$13,$A292=Parameters!$B$14),0.75,1)-(IF(AND($A292=DATE(2026,11,29),NOV29BF="Yes"),C292,0)+IF(OR($A292=DATE(2026,11,29),$A292=DATE(2026,11,30),$A292=DATE(2026,12,1),$A292=DATE(2026,12,2)),D292,0)+IF(OR($A292=DATE(2026,11,28),$A292=DATE(2026,12,1)),E292,0))))</f>
        <v>0</v>
      </c>
      <c r="G292" s="14" t="n">
        <f aca="false">IF(AND($A292&lt;&gt;"",$A292&lt;Parameters!$B$14),CityData!F3*(1+TAXRATE),0)</f>
        <v>0</v>
      </c>
      <c r="H292" s="14" t="n">
        <f aca="false">IF($A292="",0,IFERROR(VLOOKUP((YEAR($A292)+IF(MONTH($A292)&gt;=10,1,0))&amp;"|Boston|"&amp;MONTH($A292),Rates!$A$2:$I$181,5,FALSE()),0))</f>
        <v>0</v>
      </c>
      <c r="I292" s="14" t="n">
        <f aca="false">IF(OR($A292="",$A292&gt;=Parameters!$B$14),1,IF(AND(H292&gt;0,CityData!F3&lt;=H292),1,0))</f>
        <v>1</v>
      </c>
      <c r="J292" s="14" t="n">
        <f aca="false">IF($A292="",0,IFERROR(VLOOKUP((YEAR($A292)+IF(MONTH($A292)&gt;=10,1,0))&amp;"|Chicago|"&amp;MONTH($A292),Rates!$A$2:$I$181,6,FALSE()),0))</f>
        <v>0</v>
      </c>
      <c r="K292" s="14" t="n">
        <f aca="false">IF(J292=0,0,VLOOKUP(J292,MIE_Components!$A$2:$F$6,2,FALSE()))</f>
        <v>0</v>
      </c>
      <c r="L292" s="14" t="n">
        <f aca="false">IF(J292=0,0,VLOOKUP(J292,MIE_Components!$A$2:$F$6,3,FALSE()))</f>
        <v>0</v>
      </c>
      <c r="M292" s="14" t="n">
        <f aca="false">IF(J292=0,0,VLOOKUP(J292,MIE_Components!$A$2:$F$6,4,FALSE()))</f>
        <v>0</v>
      </c>
      <c r="N292" s="14" t="n">
        <f aca="false">IF(OR($A292="",J292=0),0,MAX(5,J292*IF(OR($A292=Parameters!$B$13,$A292=Parameters!$B$14),0.75,1)-(IF(AND($A292=DATE(2026,11,29),NOV29BF="Yes"),K292,0)+IF(OR($A292=DATE(2026,11,29),$A292=DATE(2026,11,30),$A292=DATE(2026,12,1),$A292=DATE(2026,12,2)),L292,0)+IF(OR($A292=DATE(2026,11,28),$A292=DATE(2026,12,1)),M292,0))))</f>
        <v>0</v>
      </c>
      <c r="O292" s="14" t="n">
        <f aca="false">IF(AND($A292&lt;&gt;"",$A292&lt;Parameters!$B$14),CityData!F4*(1+TAXRATE),0)</f>
        <v>0</v>
      </c>
      <c r="P292" s="14" t="n">
        <f aca="false">IF($A292="",0,IFERROR(VLOOKUP((YEAR($A292)+IF(MONTH($A292)&gt;=10,1,0))&amp;"|Chicago|"&amp;MONTH($A292),Rates!$A$2:$I$181,5,FALSE()),0))</f>
        <v>0</v>
      </c>
      <c r="Q292" s="14" t="n">
        <f aca="false">IF(OR($A292="",$A292&gt;=Parameters!$B$14),1,IF(AND(P292&gt;0,CityData!F4&lt;=P292),1,0))</f>
        <v>1</v>
      </c>
      <c r="R292" s="14" t="n">
        <f aca="false">IF($A292="",0,IFERROR(VLOOKUP((YEAR($A292)+IF(MONTH($A292)&gt;=10,1,0))&amp;"|Denver|"&amp;MONTH($A292),Rates!$A$2:$I$181,6,FALSE()),0))</f>
        <v>0</v>
      </c>
      <c r="S292" s="14" t="n">
        <f aca="false">IF(R292=0,0,VLOOKUP(R292,MIE_Components!$A$2:$F$6,2,FALSE()))</f>
        <v>0</v>
      </c>
      <c r="T292" s="14" t="n">
        <f aca="false">IF(R292=0,0,VLOOKUP(R292,MIE_Components!$A$2:$F$6,3,FALSE()))</f>
        <v>0</v>
      </c>
      <c r="U292" s="14" t="n">
        <f aca="false">IF(R292=0,0,VLOOKUP(R292,MIE_Components!$A$2:$F$6,4,FALSE()))</f>
        <v>0</v>
      </c>
      <c r="V292" s="14" t="n">
        <f aca="false">IF(OR($A292="",R292=0),0,MAX(5,R292*IF(OR($A292=Parameters!$B$13,$A292=Parameters!$B$14),0.75,1)-(IF(AND($A292=DATE(2026,11,29),NOV29BF="Yes"),S292,0)+IF(OR($A292=DATE(2026,11,29),$A292=DATE(2026,11,30),$A292=DATE(2026,12,1),$A292=DATE(2026,12,2)),T292,0)+IF(OR($A292=DATE(2026,11,28),$A292=DATE(2026,12,1)),U292,0))))</f>
        <v>0</v>
      </c>
      <c r="W292" s="14" t="n">
        <f aca="false">IF(AND($A292&lt;&gt;"",$A292&lt;Parameters!$B$14),CityData!F5*(1+TAXRATE),0)</f>
        <v>0</v>
      </c>
      <c r="X292" s="14" t="n">
        <f aca="false">IF($A292="",0,IFERROR(VLOOKUP((YEAR($A292)+IF(MONTH($A292)&gt;=10,1,0))&amp;"|Denver|"&amp;MONTH($A292),Rates!$A$2:$I$181,5,FALSE()),0))</f>
        <v>0</v>
      </c>
      <c r="Y292" s="14" t="n">
        <f aca="false">IF(OR($A292="",$A292&gt;=Parameters!$B$14),1,IF(AND(X292&gt;0,CityData!F5&lt;=X292),1,0))</f>
        <v>1</v>
      </c>
      <c r="Z292" s="14" t="n">
        <f aca="false">IF($A292="",0,IFERROR(VLOOKUP((YEAR($A292)+IF(MONTH($A292)&gt;=10,1,0))&amp;"|Phoenix|"&amp;MONTH($A292),Rates!$A$2:$I$181,6,FALSE()),0))</f>
        <v>0</v>
      </c>
      <c r="AA292" s="14" t="n">
        <f aca="false">IF(Z292=0,0,VLOOKUP(Z292,MIE_Components!$A$2:$F$6,2,FALSE()))</f>
        <v>0</v>
      </c>
      <c r="AB292" s="14" t="n">
        <f aca="false">IF(Z292=0,0,VLOOKUP(Z292,MIE_Components!$A$2:$F$6,3,FALSE()))</f>
        <v>0</v>
      </c>
      <c r="AC292" s="14" t="n">
        <f aca="false">IF(Z292=0,0,VLOOKUP(Z292,MIE_Components!$A$2:$F$6,4,FALSE()))</f>
        <v>0</v>
      </c>
      <c r="AD292" s="14" t="n">
        <f aca="false">IF(OR($A292="",Z292=0),0,MAX(5,Z292*IF(OR($A292=Parameters!$B$13,$A292=Parameters!$B$14),0.75,1)-(IF(AND($A292=DATE(2026,11,29),NOV29BF="Yes"),AA292,0)+IF(OR($A292=DATE(2026,11,29),$A292=DATE(2026,11,30),$A292=DATE(2026,12,1),$A292=DATE(2026,12,2)),AB292,0)+IF(OR($A292=DATE(2026,11,28),$A292=DATE(2026,12,1)),AC292,0))))</f>
        <v>0</v>
      </c>
      <c r="AE292" s="14" t="n">
        <f aca="false">IF(AND($A292&lt;&gt;"",$A292&lt;Parameters!$B$14),CityData!F6*(1+TAXRATE),0)</f>
        <v>0</v>
      </c>
      <c r="AF292" s="14" t="n">
        <f aca="false">IF($A292="",0,IFERROR(VLOOKUP((YEAR($A292)+IF(MONTH($A292)&gt;=10,1,0))&amp;"|Phoenix|"&amp;MONTH($A292),Rates!$A$2:$I$181,5,FALSE()),0))</f>
        <v>0</v>
      </c>
      <c r="AG292" s="14" t="n">
        <f aca="false">IF(OR($A292="",$A292&gt;=Parameters!$B$14),1,IF(AND(AF292&gt;0,CityData!F6&lt;=AF292),1,0))</f>
        <v>1</v>
      </c>
      <c r="AH292" s="14" t="n">
        <f aca="false">IF($A292="",0,IFERROR(VLOOKUP((YEAR($A292)+IF(MONTH($A292)&gt;=10,1,0))&amp;"|Seattle|"&amp;MONTH($A292),Rates!$A$2:$I$181,6,FALSE()),0))</f>
        <v>0</v>
      </c>
      <c r="AI292" s="14" t="n">
        <f aca="false">IF(AH292=0,0,VLOOKUP(AH292,MIE_Components!$A$2:$F$6,2,FALSE()))</f>
        <v>0</v>
      </c>
      <c r="AJ292" s="14" t="n">
        <f aca="false">IF(AH292=0,0,VLOOKUP(AH292,MIE_Components!$A$2:$F$6,3,FALSE()))</f>
        <v>0</v>
      </c>
      <c r="AK292" s="14" t="n">
        <f aca="false">IF(AH292=0,0,VLOOKUP(AH292,MIE_Components!$A$2:$F$6,4,FALSE()))</f>
        <v>0</v>
      </c>
      <c r="AL292" s="14" t="n">
        <f aca="false">IF(OR($A292="",AH292=0),0,MAX(5,AH292*IF(OR($A292=Parameters!$B$13,$A292=Parameters!$B$14),0.75,1)-(IF(AND($A292=DATE(2026,11,29),NOV29BF="Yes"),AI292,0)+IF(OR($A292=DATE(2026,11,29),$A292=DATE(2026,11,30),$A292=DATE(2026,12,1),$A292=DATE(2026,12,2)),AJ292,0)+IF(OR($A292=DATE(2026,11,28),$A292=DATE(2026,12,1)),AK292,0))))</f>
        <v>0</v>
      </c>
      <c r="AM292" s="14" t="n">
        <f aca="false">IF(AND($A292&lt;&gt;"",$A292&lt;Parameters!$B$14),CityData!F7*(1+TAXRATE),0)</f>
        <v>0</v>
      </c>
      <c r="AN292" s="14" t="n">
        <f aca="false">IF($A292="",0,IFERROR(VLOOKUP((YEAR($A292)+IF(MONTH($A292)&gt;=10,1,0))&amp;"|Seattle|"&amp;MONTH($A292),Rates!$A$2:$I$181,5,FALSE()),0))</f>
        <v>0</v>
      </c>
      <c r="AO292" s="14" t="n">
        <f aca="false">IF(OR($A292="",$A292&gt;=Parameters!$B$14),1,IF(AND(AN292&gt;0,CityData!F7&lt;=AN292),1,0))</f>
        <v>1</v>
      </c>
    </row>
    <row r="293" customFormat="false" ht="15" hidden="false" customHeight="true" outlineLevel="0" collapsed="false">
      <c r="A293" s="23" t="str">
        <f aca="false">IF(AND(Parameters!$B$14&gt;=Parameters!$B$13,ROW()-2&lt;=Parameters!$B$14-Parameters!$B$13),Parameters!$B$13+ROW()-2,"")</f>
        <v/>
      </c>
      <c r="B293" s="14" t="n">
        <f aca="false">IF($A293="",0,IFERROR(VLOOKUP((YEAR($A293)+IF(MONTH($A293)&gt;=10,1,0))&amp;"|Boston|"&amp;MONTH($A293),Rates!$A$2:$I$181,6,FALSE()),0))</f>
        <v>0</v>
      </c>
      <c r="C293" s="14" t="n">
        <f aca="false">IF(B293=0,0,VLOOKUP(B293,MIE_Components!$A$2:$F$6,2,FALSE()))</f>
        <v>0</v>
      </c>
      <c r="D293" s="14" t="n">
        <f aca="false">IF(B293=0,0,VLOOKUP(B293,MIE_Components!$A$2:$F$6,3,FALSE()))</f>
        <v>0</v>
      </c>
      <c r="E293" s="14" t="n">
        <f aca="false">IF(B293=0,0,VLOOKUP(B293,MIE_Components!$A$2:$F$6,4,FALSE()))</f>
        <v>0</v>
      </c>
      <c r="F293" s="14" t="n">
        <f aca="false">IF(OR($A293="",B293=0),0,MAX(5,B293*IF(OR($A293=Parameters!$B$13,$A293=Parameters!$B$14),0.75,1)-(IF(AND($A293=DATE(2026,11,29),NOV29BF="Yes"),C293,0)+IF(OR($A293=DATE(2026,11,29),$A293=DATE(2026,11,30),$A293=DATE(2026,12,1),$A293=DATE(2026,12,2)),D293,0)+IF(OR($A293=DATE(2026,11,28),$A293=DATE(2026,12,1)),E293,0))))</f>
        <v>0</v>
      </c>
      <c r="G293" s="14" t="n">
        <f aca="false">IF(AND($A293&lt;&gt;"",$A293&lt;Parameters!$B$14),CityData!F3*(1+TAXRATE),0)</f>
        <v>0</v>
      </c>
      <c r="H293" s="14" t="n">
        <f aca="false">IF($A293="",0,IFERROR(VLOOKUP((YEAR($A293)+IF(MONTH($A293)&gt;=10,1,0))&amp;"|Boston|"&amp;MONTH($A293),Rates!$A$2:$I$181,5,FALSE()),0))</f>
        <v>0</v>
      </c>
      <c r="I293" s="14" t="n">
        <f aca="false">IF(OR($A293="",$A293&gt;=Parameters!$B$14),1,IF(AND(H293&gt;0,CityData!F3&lt;=H293),1,0))</f>
        <v>1</v>
      </c>
      <c r="J293" s="14" t="n">
        <f aca="false">IF($A293="",0,IFERROR(VLOOKUP((YEAR($A293)+IF(MONTH($A293)&gt;=10,1,0))&amp;"|Chicago|"&amp;MONTH($A293),Rates!$A$2:$I$181,6,FALSE()),0))</f>
        <v>0</v>
      </c>
      <c r="K293" s="14" t="n">
        <f aca="false">IF(J293=0,0,VLOOKUP(J293,MIE_Components!$A$2:$F$6,2,FALSE()))</f>
        <v>0</v>
      </c>
      <c r="L293" s="14" t="n">
        <f aca="false">IF(J293=0,0,VLOOKUP(J293,MIE_Components!$A$2:$F$6,3,FALSE()))</f>
        <v>0</v>
      </c>
      <c r="M293" s="14" t="n">
        <f aca="false">IF(J293=0,0,VLOOKUP(J293,MIE_Components!$A$2:$F$6,4,FALSE()))</f>
        <v>0</v>
      </c>
      <c r="N293" s="14" t="n">
        <f aca="false">IF(OR($A293="",J293=0),0,MAX(5,J293*IF(OR($A293=Parameters!$B$13,$A293=Parameters!$B$14),0.75,1)-(IF(AND($A293=DATE(2026,11,29),NOV29BF="Yes"),K293,0)+IF(OR($A293=DATE(2026,11,29),$A293=DATE(2026,11,30),$A293=DATE(2026,12,1),$A293=DATE(2026,12,2)),L293,0)+IF(OR($A293=DATE(2026,11,28),$A293=DATE(2026,12,1)),M293,0))))</f>
        <v>0</v>
      </c>
      <c r="O293" s="14" t="n">
        <f aca="false">IF(AND($A293&lt;&gt;"",$A293&lt;Parameters!$B$14),CityData!F4*(1+TAXRATE),0)</f>
        <v>0</v>
      </c>
      <c r="P293" s="14" t="n">
        <f aca="false">IF($A293="",0,IFERROR(VLOOKUP((YEAR($A293)+IF(MONTH($A293)&gt;=10,1,0))&amp;"|Chicago|"&amp;MONTH($A293),Rates!$A$2:$I$181,5,FALSE()),0))</f>
        <v>0</v>
      </c>
      <c r="Q293" s="14" t="n">
        <f aca="false">IF(OR($A293="",$A293&gt;=Parameters!$B$14),1,IF(AND(P293&gt;0,CityData!F4&lt;=P293),1,0))</f>
        <v>1</v>
      </c>
      <c r="R293" s="14" t="n">
        <f aca="false">IF($A293="",0,IFERROR(VLOOKUP((YEAR($A293)+IF(MONTH($A293)&gt;=10,1,0))&amp;"|Denver|"&amp;MONTH($A293),Rates!$A$2:$I$181,6,FALSE()),0))</f>
        <v>0</v>
      </c>
      <c r="S293" s="14" t="n">
        <f aca="false">IF(R293=0,0,VLOOKUP(R293,MIE_Components!$A$2:$F$6,2,FALSE()))</f>
        <v>0</v>
      </c>
      <c r="T293" s="14" t="n">
        <f aca="false">IF(R293=0,0,VLOOKUP(R293,MIE_Components!$A$2:$F$6,3,FALSE()))</f>
        <v>0</v>
      </c>
      <c r="U293" s="14" t="n">
        <f aca="false">IF(R293=0,0,VLOOKUP(R293,MIE_Components!$A$2:$F$6,4,FALSE()))</f>
        <v>0</v>
      </c>
      <c r="V293" s="14" t="n">
        <f aca="false">IF(OR($A293="",R293=0),0,MAX(5,R293*IF(OR($A293=Parameters!$B$13,$A293=Parameters!$B$14),0.75,1)-(IF(AND($A293=DATE(2026,11,29),NOV29BF="Yes"),S293,0)+IF(OR($A293=DATE(2026,11,29),$A293=DATE(2026,11,30),$A293=DATE(2026,12,1),$A293=DATE(2026,12,2)),T293,0)+IF(OR($A293=DATE(2026,11,28),$A293=DATE(2026,12,1)),U293,0))))</f>
        <v>0</v>
      </c>
      <c r="W293" s="14" t="n">
        <f aca="false">IF(AND($A293&lt;&gt;"",$A293&lt;Parameters!$B$14),CityData!F5*(1+TAXRATE),0)</f>
        <v>0</v>
      </c>
      <c r="X293" s="14" t="n">
        <f aca="false">IF($A293="",0,IFERROR(VLOOKUP((YEAR($A293)+IF(MONTH($A293)&gt;=10,1,0))&amp;"|Denver|"&amp;MONTH($A293),Rates!$A$2:$I$181,5,FALSE()),0))</f>
        <v>0</v>
      </c>
      <c r="Y293" s="14" t="n">
        <f aca="false">IF(OR($A293="",$A293&gt;=Parameters!$B$14),1,IF(AND(X293&gt;0,CityData!F5&lt;=X293),1,0))</f>
        <v>1</v>
      </c>
      <c r="Z293" s="14" t="n">
        <f aca="false">IF($A293="",0,IFERROR(VLOOKUP((YEAR($A293)+IF(MONTH($A293)&gt;=10,1,0))&amp;"|Phoenix|"&amp;MONTH($A293),Rates!$A$2:$I$181,6,FALSE()),0))</f>
        <v>0</v>
      </c>
      <c r="AA293" s="14" t="n">
        <f aca="false">IF(Z293=0,0,VLOOKUP(Z293,MIE_Components!$A$2:$F$6,2,FALSE()))</f>
        <v>0</v>
      </c>
      <c r="AB293" s="14" t="n">
        <f aca="false">IF(Z293=0,0,VLOOKUP(Z293,MIE_Components!$A$2:$F$6,3,FALSE()))</f>
        <v>0</v>
      </c>
      <c r="AC293" s="14" t="n">
        <f aca="false">IF(Z293=0,0,VLOOKUP(Z293,MIE_Components!$A$2:$F$6,4,FALSE()))</f>
        <v>0</v>
      </c>
      <c r="AD293" s="14" t="n">
        <f aca="false">IF(OR($A293="",Z293=0),0,MAX(5,Z293*IF(OR($A293=Parameters!$B$13,$A293=Parameters!$B$14),0.75,1)-(IF(AND($A293=DATE(2026,11,29),NOV29BF="Yes"),AA293,0)+IF(OR($A293=DATE(2026,11,29),$A293=DATE(2026,11,30),$A293=DATE(2026,12,1),$A293=DATE(2026,12,2)),AB293,0)+IF(OR($A293=DATE(2026,11,28),$A293=DATE(2026,12,1)),AC293,0))))</f>
        <v>0</v>
      </c>
      <c r="AE293" s="14" t="n">
        <f aca="false">IF(AND($A293&lt;&gt;"",$A293&lt;Parameters!$B$14),CityData!F6*(1+TAXRATE),0)</f>
        <v>0</v>
      </c>
      <c r="AF293" s="14" t="n">
        <f aca="false">IF($A293="",0,IFERROR(VLOOKUP((YEAR($A293)+IF(MONTH($A293)&gt;=10,1,0))&amp;"|Phoenix|"&amp;MONTH($A293),Rates!$A$2:$I$181,5,FALSE()),0))</f>
        <v>0</v>
      </c>
      <c r="AG293" s="14" t="n">
        <f aca="false">IF(OR($A293="",$A293&gt;=Parameters!$B$14),1,IF(AND(AF293&gt;0,CityData!F6&lt;=AF293),1,0))</f>
        <v>1</v>
      </c>
      <c r="AH293" s="14" t="n">
        <f aca="false">IF($A293="",0,IFERROR(VLOOKUP((YEAR($A293)+IF(MONTH($A293)&gt;=10,1,0))&amp;"|Seattle|"&amp;MONTH($A293),Rates!$A$2:$I$181,6,FALSE()),0))</f>
        <v>0</v>
      </c>
      <c r="AI293" s="14" t="n">
        <f aca="false">IF(AH293=0,0,VLOOKUP(AH293,MIE_Components!$A$2:$F$6,2,FALSE()))</f>
        <v>0</v>
      </c>
      <c r="AJ293" s="14" t="n">
        <f aca="false">IF(AH293=0,0,VLOOKUP(AH293,MIE_Components!$A$2:$F$6,3,FALSE()))</f>
        <v>0</v>
      </c>
      <c r="AK293" s="14" t="n">
        <f aca="false">IF(AH293=0,0,VLOOKUP(AH293,MIE_Components!$A$2:$F$6,4,FALSE()))</f>
        <v>0</v>
      </c>
      <c r="AL293" s="14" t="n">
        <f aca="false">IF(OR($A293="",AH293=0),0,MAX(5,AH293*IF(OR($A293=Parameters!$B$13,$A293=Parameters!$B$14),0.75,1)-(IF(AND($A293=DATE(2026,11,29),NOV29BF="Yes"),AI293,0)+IF(OR($A293=DATE(2026,11,29),$A293=DATE(2026,11,30),$A293=DATE(2026,12,1),$A293=DATE(2026,12,2)),AJ293,0)+IF(OR($A293=DATE(2026,11,28),$A293=DATE(2026,12,1)),AK293,0))))</f>
        <v>0</v>
      </c>
      <c r="AM293" s="14" t="n">
        <f aca="false">IF(AND($A293&lt;&gt;"",$A293&lt;Parameters!$B$14),CityData!F7*(1+TAXRATE),0)</f>
        <v>0</v>
      </c>
      <c r="AN293" s="14" t="n">
        <f aca="false">IF($A293="",0,IFERROR(VLOOKUP((YEAR($A293)+IF(MONTH($A293)&gt;=10,1,0))&amp;"|Seattle|"&amp;MONTH($A293),Rates!$A$2:$I$181,5,FALSE()),0))</f>
        <v>0</v>
      </c>
      <c r="AO293" s="14" t="n">
        <f aca="false">IF(OR($A293="",$A293&gt;=Parameters!$B$14),1,IF(AND(AN293&gt;0,CityData!F7&lt;=AN293),1,0))</f>
        <v>1</v>
      </c>
    </row>
    <row r="294" customFormat="false" ht="15" hidden="false" customHeight="true" outlineLevel="0" collapsed="false">
      <c r="A294" s="23" t="str">
        <f aca="false">IF(AND(Parameters!$B$14&gt;=Parameters!$B$13,ROW()-2&lt;=Parameters!$B$14-Parameters!$B$13),Parameters!$B$13+ROW()-2,"")</f>
        <v/>
      </c>
      <c r="B294" s="14" t="n">
        <f aca="false">IF($A294="",0,IFERROR(VLOOKUP((YEAR($A294)+IF(MONTH($A294)&gt;=10,1,0))&amp;"|Boston|"&amp;MONTH($A294),Rates!$A$2:$I$181,6,FALSE()),0))</f>
        <v>0</v>
      </c>
      <c r="C294" s="14" t="n">
        <f aca="false">IF(B294=0,0,VLOOKUP(B294,MIE_Components!$A$2:$F$6,2,FALSE()))</f>
        <v>0</v>
      </c>
      <c r="D294" s="14" t="n">
        <f aca="false">IF(B294=0,0,VLOOKUP(B294,MIE_Components!$A$2:$F$6,3,FALSE()))</f>
        <v>0</v>
      </c>
      <c r="E294" s="14" t="n">
        <f aca="false">IF(B294=0,0,VLOOKUP(B294,MIE_Components!$A$2:$F$6,4,FALSE()))</f>
        <v>0</v>
      </c>
      <c r="F294" s="14" t="n">
        <f aca="false">IF(OR($A294="",B294=0),0,MAX(5,B294*IF(OR($A294=Parameters!$B$13,$A294=Parameters!$B$14),0.75,1)-(IF(AND($A294=DATE(2026,11,29),NOV29BF="Yes"),C294,0)+IF(OR($A294=DATE(2026,11,29),$A294=DATE(2026,11,30),$A294=DATE(2026,12,1),$A294=DATE(2026,12,2)),D294,0)+IF(OR($A294=DATE(2026,11,28),$A294=DATE(2026,12,1)),E294,0))))</f>
        <v>0</v>
      </c>
      <c r="G294" s="14" t="n">
        <f aca="false">IF(AND($A294&lt;&gt;"",$A294&lt;Parameters!$B$14),CityData!F3*(1+TAXRATE),0)</f>
        <v>0</v>
      </c>
      <c r="H294" s="14" t="n">
        <f aca="false">IF($A294="",0,IFERROR(VLOOKUP((YEAR($A294)+IF(MONTH($A294)&gt;=10,1,0))&amp;"|Boston|"&amp;MONTH($A294),Rates!$A$2:$I$181,5,FALSE()),0))</f>
        <v>0</v>
      </c>
      <c r="I294" s="14" t="n">
        <f aca="false">IF(OR($A294="",$A294&gt;=Parameters!$B$14),1,IF(AND(H294&gt;0,CityData!F3&lt;=H294),1,0))</f>
        <v>1</v>
      </c>
      <c r="J294" s="14" t="n">
        <f aca="false">IF($A294="",0,IFERROR(VLOOKUP((YEAR($A294)+IF(MONTH($A294)&gt;=10,1,0))&amp;"|Chicago|"&amp;MONTH($A294),Rates!$A$2:$I$181,6,FALSE()),0))</f>
        <v>0</v>
      </c>
      <c r="K294" s="14" t="n">
        <f aca="false">IF(J294=0,0,VLOOKUP(J294,MIE_Components!$A$2:$F$6,2,FALSE()))</f>
        <v>0</v>
      </c>
      <c r="L294" s="14" t="n">
        <f aca="false">IF(J294=0,0,VLOOKUP(J294,MIE_Components!$A$2:$F$6,3,FALSE()))</f>
        <v>0</v>
      </c>
      <c r="M294" s="14" t="n">
        <f aca="false">IF(J294=0,0,VLOOKUP(J294,MIE_Components!$A$2:$F$6,4,FALSE()))</f>
        <v>0</v>
      </c>
      <c r="N294" s="14" t="n">
        <f aca="false">IF(OR($A294="",J294=0),0,MAX(5,J294*IF(OR($A294=Parameters!$B$13,$A294=Parameters!$B$14),0.75,1)-(IF(AND($A294=DATE(2026,11,29),NOV29BF="Yes"),K294,0)+IF(OR($A294=DATE(2026,11,29),$A294=DATE(2026,11,30),$A294=DATE(2026,12,1),$A294=DATE(2026,12,2)),L294,0)+IF(OR($A294=DATE(2026,11,28),$A294=DATE(2026,12,1)),M294,0))))</f>
        <v>0</v>
      </c>
      <c r="O294" s="14" t="n">
        <f aca="false">IF(AND($A294&lt;&gt;"",$A294&lt;Parameters!$B$14),CityData!F4*(1+TAXRATE),0)</f>
        <v>0</v>
      </c>
      <c r="P294" s="14" t="n">
        <f aca="false">IF($A294="",0,IFERROR(VLOOKUP((YEAR($A294)+IF(MONTH($A294)&gt;=10,1,0))&amp;"|Chicago|"&amp;MONTH($A294),Rates!$A$2:$I$181,5,FALSE()),0))</f>
        <v>0</v>
      </c>
      <c r="Q294" s="14" t="n">
        <f aca="false">IF(OR($A294="",$A294&gt;=Parameters!$B$14),1,IF(AND(P294&gt;0,CityData!F4&lt;=P294),1,0))</f>
        <v>1</v>
      </c>
      <c r="R294" s="14" t="n">
        <f aca="false">IF($A294="",0,IFERROR(VLOOKUP((YEAR($A294)+IF(MONTH($A294)&gt;=10,1,0))&amp;"|Denver|"&amp;MONTH($A294),Rates!$A$2:$I$181,6,FALSE()),0))</f>
        <v>0</v>
      </c>
      <c r="S294" s="14" t="n">
        <f aca="false">IF(R294=0,0,VLOOKUP(R294,MIE_Components!$A$2:$F$6,2,FALSE()))</f>
        <v>0</v>
      </c>
      <c r="T294" s="14" t="n">
        <f aca="false">IF(R294=0,0,VLOOKUP(R294,MIE_Components!$A$2:$F$6,3,FALSE()))</f>
        <v>0</v>
      </c>
      <c r="U294" s="14" t="n">
        <f aca="false">IF(R294=0,0,VLOOKUP(R294,MIE_Components!$A$2:$F$6,4,FALSE()))</f>
        <v>0</v>
      </c>
      <c r="V294" s="14" t="n">
        <f aca="false">IF(OR($A294="",R294=0),0,MAX(5,R294*IF(OR($A294=Parameters!$B$13,$A294=Parameters!$B$14),0.75,1)-(IF(AND($A294=DATE(2026,11,29),NOV29BF="Yes"),S294,0)+IF(OR($A294=DATE(2026,11,29),$A294=DATE(2026,11,30),$A294=DATE(2026,12,1),$A294=DATE(2026,12,2)),T294,0)+IF(OR($A294=DATE(2026,11,28),$A294=DATE(2026,12,1)),U294,0))))</f>
        <v>0</v>
      </c>
      <c r="W294" s="14" t="n">
        <f aca="false">IF(AND($A294&lt;&gt;"",$A294&lt;Parameters!$B$14),CityData!F5*(1+TAXRATE),0)</f>
        <v>0</v>
      </c>
      <c r="X294" s="14" t="n">
        <f aca="false">IF($A294="",0,IFERROR(VLOOKUP((YEAR($A294)+IF(MONTH($A294)&gt;=10,1,0))&amp;"|Denver|"&amp;MONTH($A294),Rates!$A$2:$I$181,5,FALSE()),0))</f>
        <v>0</v>
      </c>
      <c r="Y294" s="14" t="n">
        <f aca="false">IF(OR($A294="",$A294&gt;=Parameters!$B$14),1,IF(AND(X294&gt;0,CityData!F5&lt;=X294),1,0))</f>
        <v>1</v>
      </c>
      <c r="Z294" s="14" t="n">
        <f aca="false">IF($A294="",0,IFERROR(VLOOKUP((YEAR($A294)+IF(MONTH($A294)&gt;=10,1,0))&amp;"|Phoenix|"&amp;MONTH($A294),Rates!$A$2:$I$181,6,FALSE()),0))</f>
        <v>0</v>
      </c>
      <c r="AA294" s="14" t="n">
        <f aca="false">IF(Z294=0,0,VLOOKUP(Z294,MIE_Components!$A$2:$F$6,2,FALSE()))</f>
        <v>0</v>
      </c>
      <c r="AB294" s="14" t="n">
        <f aca="false">IF(Z294=0,0,VLOOKUP(Z294,MIE_Components!$A$2:$F$6,3,FALSE()))</f>
        <v>0</v>
      </c>
      <c r="AC294" s="14" t="n">
        <f aca="false">IF(Z294=0,0,VLOOKUP(Z294,MIE_Components!$A$2:$F$6,4,FALSE()))</f>
        <v>0</v>
      </c>
      <c r="AD294" s="14" t="n">
        <f aca="false">IF(OR($A294="",Z294=0),0,MAX(5,Z294*IF(OR($A294=Parameters!$B$13,$A294=Parameters!$B$14),0.75,1)-(IF(AND($A294=DATE(2026,11,29),NOV29BF="Yes"),AA294,0)+IF(OR($A294=DATE(2026,11,29),$A294=DATE(2026,11,30),$A294=DATE(2026,12,1),$A294=DATE(2026,12,2)),AB294,0)+IF(OR($A294=DATE(2026,11,28),$A294=DATE(2026,12,1)),AC294,0))))</f>
        <v>0</v>
      </c>
      <c r="AE294" s="14" t="n">
        <f aca="false">IF(AND($A294&lt;&gt;"",$A294&lt;Parameters!$B$14),CityData!F6*(1+TAXRATE),0)</f>
        <v>0</v>
      </c>
      <c r="AF294" s="14" t="n">
        <f aca="false">IF($A294="",0,IFERROR(VLOOKUP((YEAR($A294)+IF(MONTH($A294)&gt;=10,1,0))&amp;"|Phoenix|"&amp;MONTH($A294),Rates!$A$2:$I$181,5,FALSE()),0))</f>
        <v>0</v>
      </c>
      <c r="AG294" s="14" t="n">
        <f aca="false">IF(OR($A294="",$A294&gt;=Parameters!$B$14),1,IF(AND(AF294&gt;0,CityData!F6&lt;=AF294),1,0))</f>
        <v>1</v>
      </c>
      <c r="AH294" s="14" t="n">
        <f aca="false">IF($A294="",0,IFERROR(VLOOKUP((YEAR($A294)+IF(MONTH($A294)&gt;=10,1,0))&amp;"|Seattle|"&amp;MONTH($A294),Rates!$A$2:$I$181,6,FALSE()),0))</f>
        <v>0</v>
      </c>
      <c r="AI294" s="14" t="n">
        <f aca="false">IF(AH294=0,0,VLOOKUP(AH294,MIE_Components!$A$2:$F$6,2,FALSE()))</f>
        <v>0</v>
      </c>
      <c r="AJ294" s="14" t="n">
        <f aca="false">IF(AH294=0,0,VLOOKUP(AH294,MIE_Components!$A$2:$F$6,3,FALSE()))</f>
        <v>0</v>
      </c>
      <c r="AK294" s="14" t="n">
        <f aca="false">IF(AH294=0,0,VLOOKUP(AH294,MIE_Components!$A$2:$F$6,4,FALSE()))</f>
        <v>0</v>
      </c>
      <c r="AL294" s="14" t="n">
        <f aca="false">IF(OR($A294="",AH294=0),0,MAX(5,AH294*IF(OR($A294=Parameters!$B$13,$A294=Parameters!$B$14),0.75,1)-(IF(AND($A294=DATE(2026,11,29),NOV29BF="Yes"),AI294,0)+IF(OR($A294=DATE(2026,11,29),$A294=DATE(2026,11,30),$A294=DATE(2026,12,1),$A294=DATE(2026,12,2)),AJ294,0)+IF(OR($A294=DATE(2026,11,28),$A294=DATE(2026,12,1)),AK294,0))))</f>
        <v>0</v>
      </c>
      <c r="AM294" s="14" t="n">
        <f aca="false">IF(AND($A294&lt;&gt;"",$A294&lt;Parameters!$B$14),CityData!F7*(1+TAXRATE),0)</f>
        <v>0</v>
      </c>
      <c r="AN294" s="14" t="n">
        <f aca="false">IF($A294="",0,IFERROR(VLOOKUP((YEAR($A294)+IF(MONTH($A294)&gt;=10,1,0))&amp;"|Seattle|"&amp;MONTH($A294),Rates!$A$2:$I$181,5,FALSE()),0))</f>
        <v>0</v>
      </c>
      <c r="AO294" s="14" t="n">
        <f aca="false">IF(OR($A294="",$A294&gt;=Parameters!$B$14),1,IF(AND(AN294&gt;0,CityData!F7&lt;=AN294),1,0))</f>
        <v>1</v>
      </c>
    </row>
    <row r="295" customFormat="false" ht="15" hidden="false" customHeight="true" outlineLevel="0" collapsed="false">
      <c r="A295" s="23" t="str">
        <f aca="false">IF(AND(Parameters!$B$14&gt;=Parameters!$B$13,ROW()-2&lt;=Parameters!$B$14-Parameters!$B$13),Parameters!$B$13+ROW()-2,"")</f>
        <v/>
      </c>
      <c r="B295" s="14" t="n">
        <f aca="false">IF($A295="",0,IFERROR(VLOOKUP((YEAR($A295)+IF(MONTH($A295)&gt;=10,1,0))&amp;"|Boston|"&amp;MONTH($A295),Rates!$A$2:$I$181,6,FALSE()),0))</f>
        <v>0</v>
      </c>
      <c r="C295" s="14" t="n">
        <f aca="false">IF(B295=0,0,VLOOKUP(B295,MIE_Components!$A$2:$F$6,2,FALSE()))</f>
        <v>0</v>
      </c>
      <c r="D295" s="14" t="n">
        <f aca="false">IF(B295=0,0,VLOOKUP(B295,MIE_Components!$A$2:$F$6,3,FALSE()))</f>
        <v>0</v>
      </c>
      <c r="E295" s="14" t="n">
        <f aca="false">IF(B295=0,0,VLOOKUP(B295,MIE_Components!$A$2:$F$6,4,FALSE()))</f>
        <v>0</v>
      </c>
      <c r="F295" s="14" t="n">
        <f aca="false">IF(OR($A295="",B295=0),0,MAX(5,B295*IF(OR($A295=Parameters!$B$13,$A295=Parameters!$B$14),0.75,1)-(IF(AND($A295=DATE(2026,11,29),NOV29BF="Yes"),C295,0)+IF(OR($A295=DATE(2026,11,29),$A295=DATE(2026,11,30),$A295=DATE(2026,12,1),$A295=DATE(2026,12,2)),D295,0)+IF(OR($A295=DATE(2026,11,28),$A295=DATE(2026,12,1)),E295,0))))</f>
        <v>0</v>
      </c>
      <c r="G295" s="14" t="n">
        <f aca="false">IF(AND($A295&lt;&gt;"",$A295&lt;Parameters!$B$14),CityData!F3*(1+TAXRATE),0)</f>
        <v>0</v>
      </c>
      <c r="H295" s="14" t="n">
        <f aca="false">IF($A295="",0,IFERROR(VLOOKUP((YEAR($A295)+IF(MONTH($A295)&gt;=10,1,0))&amp;"|Boston|"&amp;MONTH($A295),Rates!$A$2:$I$181,5,FALSE()),0))</f>
        <v>0</v>
      </c>
      <c r="I295" s="14" t="n">
        <f aca="false">IF(OR($A295="",$A295&gt;=Parameters!$B$14),1,IF(AND(H295&gt;0,CityData!F3&lt;=H295),1,0))</f>
        <v>1</v>
      </c>
      <c r="J295" s="14" t="n">
        <f aca="false">IF($A295="",0,IFERROR(VLOOKUP((YEAR($A295)+IF(MONTH($A295)&gt;=10,1,0))&amp;"|Chicago|"&amp;MONTH($A295),Rates!$A$2:$I$181,6,FALSE()),0))</f>
        <v>0</v>
      </c>
      <c r="K295" s="14" t="n">
        <f aca="false">IF(J295=0,0,VLOOKUP(J295,MIE_Components!$A$2:$F$6,2,FALSE()))</f>
        <v>0</v>
      </c>
      <c r="L295" s="14" t="n">
        <f aca="false">IF(J295=0,0,VLOOKUP(J295,MIE_Components!$A$2:$F$6,3,FALSE()))</f>
        <v>0</v>
      </c>
      <c r="M295" s="14" t="n">
        <f aca="false">IF(J295=0,0,VLOOKUP(J295,MIE_Components!$A$2:$F$6,4,FALSE()))</f>
        <v>0</v>
      </c>
      <c r="N295" s="14" t="n">
        <f aca="false">IF(OR($A295="",J295=0),0,MAX(5,J295*IF(OR($A295=Parameters!$B$13,$A295=Parameters!$B$14),0.75,1)-(IF(AND($A295=DATE(2026,11,29),NOV29BF="Yes"),K295,0)+IF(OR($A295=DATE(2026,11,29),$A295=DATE(2026,11,30),$A295=DATE(2026,12,1),$A295=DATE(2026,12,2)),L295,0)+IF(OR($A295=DATE(2026,11,28),$A295=DATE(2026,12,1)),M295,0))))</f>
        <v>0</v>
      </c>
      <c r="O295" s="14" t="n">
        <f aca="false">IF(AND($A295&lt;&gt;"",$A295&lt;Parameters!$B$14),CityData!F4*(1+TAXRATE),0)</f>
        <v>0</v>
      </c>
      <c r="P295" s="14" t="n">
        <f aca="false">IF($A295="",0,IFERROR(VLOOKUP((YEAR($A295)+IF(MONTH($A295)&gt;=10,1,0))&amp;"|Chicago|"&amp;MONTH($A295),Rates!$A$2:$I$181,5,FALSE()),0))</f>
        <v>0</v>
      </c>
      <c r="Q295" s="14" t="n">
        <f aca="false">IF(OR($A295="",$A295&gt;=Parameters!$B$14),1,IF(AND(P295&gt;0,CityData!F4&lt;=P295),1,0))</f>
        <v>1</v>
      </c>
      <c r="R295" s="14" t="n">
        <f aca="false">IF($A295="",0,IFERROR(VLOOKUP((YEAR($A295)+IF(MONTH($A295)&gt;=10,1,0))&amp;"|Denver|"&amp;MONTH($A295),Rates!$A$2:$I$181,6,FALSE()),0))</f>
        <v>0</v>
      </c>
      <c r="S295" s="14" t="n">
        <f aca="false">IF(R295=0,0,VLOOKUP(R295,MIE_Components!$A$2:$F$6,2,FALSE()))</f>
        <v>0</v>
      </c>
      <c r="T295" s="14" t="n">
        <f aca="false">IF(R295=0,0,VLOOKUP(R295,MIE_Components!$A$2:$F$6,3,FALSE()))</f>
        <v>0</v>
      </c>
      <c r="U295" s="14" t="n">
        <f aca="false">IF(R295=0,0,VLOOKUP(R295,MIE_Components!$A$2:$F$6,4,FALSE()))</f>
        <v>0</v>
      </c>
      <c r="V295" s="14" t="n">
        <f aca="false">IF(OR($A295="",R295=0),0,MAX(5,R295*IF(OR($A295=Parameters!$B$13,$A295=Parameters!$B$14),0.75,1)-(IF(AND($A295=DATE(2026,11,29),NOV29BF="Yes"),S295,0)+IF(OR($A295=DATE(2026,11,29),$A295=DATE(2026,11,30),$A295=DATE(2026,12,1),$A295=DATE(2026,12,2)),T295,0)+IF(OR($A295=DATE(2026,11,28),$A295=DATE(2026,12,1)),U295,0))))</f>
        <v>0</v>
      </c>
      <c r="W295" s="14" t="n">
        <f aca="false">IF(AND($A295&lt;&gt;"",$A295&lt;Parameters!$B$14),CityData!F5*(1+TAXRATE),0)</f>
        <v>0</v>
      </c>
      <c r="X295" s="14" t="n">
        <f aca="false">IF($A295="",0,IFERROR(VLOOKUP((YEAR($A295)+IF(MONTH($A295)&gt;=10,1,0))&amp;"|Denver|"&amp;MONTH($A295),Rates!$A$2:$I$181,5,FALSE()),0))</f>
        <v>0</v>
      </c>
      <c r="Y295" s="14" t="n">
        <f aca="false">IF(OR($A295="",$A295&gt;=Parameters!$B$14),1,IF(AND(X295&gt;0,CityData!F5&lt;=X295),1,0))</f>
        <v>1</v>
      </c>
      <c r="Z295" s="14" t="n">
        <f aca="false">IF($A295="",0,IFERROR(VLOOKUP((YEAR($A295)+IF(MONTH($A295)&gt;=10,1,0))&amp;"|Phoenix|"&amp;MONTH($A295),Rates!$A$2:$I$181,6,FALSE()),0))</f>
        <v>0</v>
      </c>
      <c r="AA295" s="14" t="n">
        <f aca="false">IF(Z295=0,0,VLOOKUP(Z295,MIE_Components!$A$2:$F$6,2,FALSE()))</f>
        <v>0</v>
      </c>
      <c r="AB295" s="14" t="n">
        <f aca="false">IF(Z295=0,0,VLOOKUP(Z295,MIE_Components!$A$2:$F$6,3,FALSE()))</f>
        <v>0</v>
      </c>
      <c r="AC295" s="14" t="n">
        <f aca="false">IF(Z295=0,0,VLOOKUP(Z295,MIE_Components!$A$2:$F$6,4,FALSE()))</f>
        <v>0</v>
      </c>
      <c r="AD295" s="14" t="n">
        <f aca="false">IF(OR($A295="",Z295=0),0,MAX(5,Z295*IF(OR($A295=Parameters!$B$13,$A295=Parameters!$B$14),0.75,1)-(IF(AND($A295=DATE(2026,11,29),NOV29BF="Yes"),AA295,0)+IF(OR($A295=DATE(2026,11,29),$A295=DATE(2026,11,30),$A295=DATE(2026,12,1),$A295=DATE(2026,12,2)),AB295,0)+IF(OR($A295=DATE(2026,11,28),$A295=DATE(2026,12,1)),AC295,0))))</f>
        <v>0</v>
      </c>
      <c r="AE295" s="14" t="n">
        <f aca="false">IF(AND($A295&lt;&gt;"",$A295&lt;Parameters!$B$14),CityData!F6*(1+TAXRATE),0)</f>
        <v>0</v>
      </c>
      <c r="AF295" s="14" t="n">
        <f aca="false">IF($A295="",0,IFERROR(VLOOKUP((YEAR($A295)+IF(MONTH($A295)&gt;=10,1,0))&amp;"|Phoenix|"&amp;MONTH($A295),Rates!$A$2:$I$181,5,FALSE()),0))</f>
        <v>0</v>
      </c>
      <c r="AG295" s="14" t="n">
        <f aca="false">IF(OR($A295="",$A295&gt;=Parameters!$B$14),1,IF(AND(AF295&gt;0,CityData!F6&lt;=AF295),1,0))</f>
        <v>1</v>
      </c>
      <c r="AH295" s="14" t="n">
        <f aca="false">IF($A295="",0,IFERROR(VLOOKUP((YEAR($A295)+IF(MONTH($A295)&gt;=10,1,0))&amp;"|Seattle|"&amp;MONTH($A295),Rates!$A$2:$I$181,6,FALSE()),0))</f>
        <v>0</v>
      </c>
      <c r="AI295" s="14" t="n">
        <f aca="false">IF(AH295=0,0,VLOOKUP(AH295,MIE_Components!$A$2:$F$6,2,FALSE()))</f>
        <v>0</v>
      </c>
      <c r="AJ295" s="14" t="n">
        <f aca="false">IF(AH295=0,0,VLOOKUP(AH295,MIE_Components!$A$2:$F$6,3,FALSE()))</f>
        <v>0</v>
      </c>
      <c r="AK295" s="14" t="n">
        <f aca="false">IF(AH295=0,0,VLOOKUP(AH295,MIE_Components!$A$2:$F$6,4,FALSE()))</f>
        <v>0</v>
      </c>
      <c r="AL295" s="14" t="n">
        <f aca="false">IF(OR($A295="",AH295=0),0,MAX(5,AH295*IF(OR($A295=Parameters!$B$13,$A295=Parameters!$B$14),0.75,1)-(IF(AND($A295=DATE(2026,11,29),NOV29BF="Yes"),AI295,0)+IF(OR($A295=DATE(2026,11,29),$A295=DATE(2026,11,30),$A295=DATE(2026,12,1),$A295=DATE(2026,12,2)),AJ295,0)+IF(OR($A295=DATE(2026,11,28),$A295=DATE(2026,12,1)),AK295,0))))</f>
        <v>0</v>
      </c>
      <c r="AM295" s="14" t="n">
        <f aca="false">IF(AND($A295&lt;&gt;"",$A295&lt;Parameters!$B$14),CityData!F7*(1+TAXRATE),0)</f>
        <v>0</v>
      </c>
      <c r="AN295" s="14" t="n">
        <f aca="false">IF($A295="",0,IFERROR(VLOOKUP((YEAR($A295)+IF(MONTH($A295)&gt;=10,1,0))&amp;"|Seattle|"&amp;MONTH($A295),Rates!$A$2:$I$181,5,FALSE()),0))</f>
        <v>0</v>
      </c>
      <c r="AO295" s="14" t="n">
        <f aca="false">IF(OR($A295="",$A295&gt;=Parameters!$B$14),1,IF(AND(AN295&gt;0,CityData!F7&lt;=AN295),1,0))</f>
        <v>1</v>
      </c>
    </row>
    <row r="296" customFormat="false" ht="15" hidden="false" customHeight="true" outlineLevel="0" collapsed="false">
      <c r="A296" s="23" t="str">
        <f aca="false">IF(AND(Parameters!$B$14&gt;=Parameters!$B$13,ROW()-2&lt;=Parameters!$B$14-Parameters!$B$13),Parameters!$B$13+ROW()-2,"")</f>
        <v/>
      </c>
      <c r="B296" s="14" t="n">
        <f aca="false">IF($A296="",0,IFERROR(VLOOKUP((YEAR($A296)+IF(MONTH($A296)&gt;=10,1,0))&amp;"|Boston|"&amp;MONTH($A296),Rates!$A$2:$I$181,6,FALSE()),0))</f>
        <v>0</v>
      </c>
      <c r="C296" s="14" t="n">
        <f aca="false">IF(B296=0,0,VLOOKUP(B296,MIE_Components!$A$2:$F$6,2,FALSE()))</f>
        <v>0</v>
      </c>
      <c r="D296" s="14" t="n">
        <f aca="false">IF(B296=0,0,VLOOKUP(B296,MIE_Components!$A$2:$F$6,3,FALSE()))</f>
        <v>0</v>
      </c>
      <c r="E296" s="14" t="n">
        <f aca="false">IF(B296=0,0,VLOOKUP(B296,MIE_Components!$A$2:$F$6,4,FALSE()))</f>
        <v>0</v>
      </c>
      <c r="F296" s="14" t="n">
        <f aca="false">IF(OR($A296="",B296=0),0,MAX(5,B296*IF(OR($A296=Parameters!$B$13,$A296=Parameters!$B$14),0.75,1)-(IF(AND($A296=DATE(2026,11,29),NOV29BF="Yes"),C296,0)+IF(OR($A296=DATE(2026,11,29),$A296=DATE(2026,11,30),$A296=DATE(2026,12,1),$A296=DATE(2026,12,2)),D296,0)+IF(OR($A296=DATE(2026,11,28),$A296=DATE(2026,12,1)),E296,0))))</f>
        <v>0</v>
      </c>
      <c r="G296" s="14" t="n">
        <f aca="false">IF(AND($A296&lt;&gt;"",$A296&lt;Parameters!$B$14),CityData!F3*(1+TAXRATE),0)</f>
        <v>0</v>
      </c>
      <c r="H296" s="14" t="n">
        <f aca="false">IF($A296="",0,IFERROR(VLOOKUP((YEAR($A296)+IF(MONTH($A296)&gt;=10,1,0))&amp;"|Boston|"&amp;MONTH($A296),Rates!$A$2:$I$181,5,FALSE()),0))</f>
        <v>0</v>
      </c>
      <c r="I296" s="14" t="n">
        <f aca="false">IF(OR($A296="",$A296&gt;=Parameters!$B$14),1,IF(AND(H296&gt;0,CityData!F3&lt;=H296),1,0))</f>
        <v>1</v>
      </c>
      <c r="J296" s="14" t="n">
        <f aca="false">IF($A296="",0,IFERROR(VLOOKUP((YEAR($A296)+IF(MONTH($A296)&gt;=10,1,0))&amp;"|Chicago|"&amp;MONTH($A296),Rates!$A$2:$I$181,6,FALSE()),0))</f>
        <v>0</v>
      </c>
      <c r="K296" s="14" t="n">
        <f aca="false">IF(J296=0,0,VLOOKUP(J296,MIE_Components!$A$2:$F$6,2,FALSE()))</f>
        <v>0</v>
      </c>
      <c r="L296" s="14" t="n">
        <f aca="false">IF(J296=0,0,VLOOKUP(J296,MIE_Components!$A$2:$F$6,3,FALSE()))</f>
        <v>0</v>
      </c>
      <c r="M296" s="14" t="n">
        <f aca="false">IF(J296=0,0,VLOOKUP(J296,MIE_Components!$A$2:$F$6,4,FALSE()))</f>
        <v>0</v>
      </c>
      <c r="N296" s="14" t="n">
        <f aca="false">IF(OR($A296="",J296=0),0,MAX(5,J296*IF(OR($A296=Parameters!$B$13,$A296=Parameters!$B$14),0.75,1)-(IF(AND($A296=DATE(2026,11,29),NOV29BF="Yes"),K296,0)+IF(OR($A296=DATE(2026,11,29),$A296=DATE(2026,11,30),$A296=DATE(2026,12,1),$A296=DATE(2026,12,2)),L296,0)+IF(OR($A296=DATE(2026,11,28),$A296=DATE(2026,12,1)),M296,0))))</f>
        <v>0</v>
      </c>
      <c r="O296" s="14" t="n">
        <f aca="false">IF(AND($A296&lt;&gt;"",$A296&lt;Parameters!$B$14),CityData!F4*(1+TAXRATE),0)</f>
        <v>0</v>
      </c>
      <c r="P296" s="14" t="n">
        <f aca="false">IF($A296="",0,IFERROR(VLOOKUP((YEAR($A296)+IF(MONTH($A296)&gt;=10,1,0))&amp;"|Chicago|"&amp;MONTH($A296),Rates!$A$2:$I$181,5,FALSE()),0))</f>
        <v>0</v>
      </c>
      <c r="Q296" s="14" t="n">
        <f aca="false">IF(OR($A296="",$A296&gt;=Parameters!$B$14),1,IF(AND(P296&gt;0,CityData!F4&lt;=P296),1,0))</f>
        <v>1</v>
      </c>
      <c r="R296" s="14" t="n">
        <f aca="false">IF($A296="",0,IFERROR(VLOOKUP((YEAR($A296)+IF(MONTH($A296)&gt;=10,1,0))&amp;"|Denver|"&amp;MONTH($A296),Rates!$A$2:$I$181,6,FALSE()),0))</f>
        <v>0</v>
      </c>
      <c r="S296" s="14" t="n">
        <f aca="false">IF(R296=0,0,VLOOKUP(R296,MIE_Components!$A$2:$F$6,2,FALSE()))</f>
        <v>0</v>
      </c>
      <c r="T296" s="14" t="n">
        <f aca="false">IF(R296=0,0,VLOOKUP(R296,MIE_Components!$A$2:$F$6,3,FALSE()))</f>
        <v>0</v>
      </c>
      <c r="U296" s="14" t="n">
        <f aca="false">IF(R296=0,0,VLOOKUP(R296,MIE_Components!$A$2:$F$6,4,FALSE()))</f>
        <v>0</v>
      </c>
      <c r="V296" s="14" t="n">
        <f aca="false">IF(OR($A296="",R296=0),0,MAX(5,R296*IF(OR($A296=Parameters!$B$13,$A296=Parameters!$B$14),0.75,1)-(IF(AND($A296=DATE(2026,11,29),NOV29BF="Yes"),S296,0)+IF(OR($A296=DATE(2026,11,29),$A296=DATE(2026,11,30),$A296=DATE(2026,12,1),$A296=DATE(2026,12,2)),T296,0)+IF(OR($A296=DATE(2026,11,28),$A296=DATE(2026,12,1)),U296,0))))</f>
        <v>0</v>
      </c>
      <c r="W296" s="14" t="n">
        <f aca="false">IF(AND($A296&lt;&gt;"",$A296&lt;Parameters!$B$14),CityData!F5*(1+TAXRATE),0)</f>
        <v>0</v>
      </c>
      <c r="X296" s="14" t="n">
        <f aca="false">IF($A296="",0,IFERROR(VLOOKUP((YEAR($A296)+IF(MONTH($A296)&gt;=10,1,0))&amp;"|Denver|"&amp;MONTH($A296),Rates!$A$2:$I$181,5,FALSE()),0))</f>
        <v>0</v>
      </c>
      <c r="Y296" s="14" t="n">
        <f aca="false">IF(OR($A296="",$A296&gt;=Parameters!$B$14),1,IF(AND(X296&gt;0,CityData!F5&lt;=X296),1,0))</f>
        <v>1</v>
      </c>
      <c r="Z296" s="14" t="n">
        <f aca="false">IF($A296="",0,IFERROR(VLOOKUP((YEAR($A296)+IF(MONTH($A296)&gt;=10,1,0))&amp;"|Phoenix|"&amp;MONTH($A296),Rates!$A$2:$I$181,6,FALSE()),0))</f>
        <v>0</v>
      </c>
      <c r="AA296" s="14" t="n">
        <f aca="false">IF(Z296=0,0,VLOOKUP(Z296,MIE_Components!$A$2:$F$6,2,FALSE()))</f>
        <v>0</v>
      </c>
      <c r="AB296" s="14" t="n">
        <f aca="false">IF(Z296=0,0,VLOOKUP(Z296,MIE_Components!$A$2:$F$6,3,FALSE()))</f>
        <v>0</v>
      </c>
      <c r="AC296" s="14" t="n">
        <f aca="false">IF(Z296=0,0,VLOOKUP(Z296,MIE_Components!$A$2:$F$6,4,FALSE()))</f>
        <v>0</v>
      </c>
      <c r="AD296" s="14" t="n">
        <f aca="false">IF(OR($A296="",Z296=0),0,MAX(5,Z296*IF(OR($A296=Parameters!$B$13,$A296=Parameters!$B$14),0.75,1)-(IF(AND($A296=DATE(2026,11,29),NOV29BF="Yes"),AA296,0)+IF(OR($A296=DATE(2026,11,29),$A296=DATE(2026,11,30),$A296=DATE(2026,12,1),$A296=DATE(2026,12,2)),AB296,0)+IF(OR($A296=DATE(2026,11,28),$A296=DATE(2026,12,1)),AC296,0))))</f>
        <v>0</v>
      </c>
      <c r="AE296" s="14" t="n">
        <f aca="false">IF(AND($A296&lt;&gt;"",$A296&lt;Parameters!$B$14),CityData!F6*(1+TAXRATE),0)</f>
        <v>0</v>
      </c>
      <c r="AF296" s="14" t="n">
        <f aca="false">IF($A296="",0,IFERROR(VLOOKUP((YEAR($A296)+IF(MONTH($A296)&gt;=10,1,0))&amp;"|Phoenix|"&amp;MONTH($A296),Rates!$A$2:$I$181,5,FALSE()),0))</f>
        <v>0</v>
      </c>
      <c r="AG296" s="14" t="n">
        <f aca="false">IF(OR($A296="",$A296&gt;=Parameters!$B$14),1,IF(AND(AF296&gt;0,CityData!F6&lt;=AF296),1,0))</f>
        <v>1</v>
      </c>
      <c r="AH296" s="14" t="n">
        <f aca="false">IF($A296="",0,IFERROR(VLOOKUP((YEAR($A296)+IF(MONTH($A296)&gt;=10,1,0))&amp;"|Seattle|"&amp;MONTH($A296),Rates!$A$2:$I$181,6,FALSE()),0))</f>
        <v>0</v>
      </c>
      <c r="AI296" s="14" t="n">
        <f aca="false">IF(AH296=0,0,VLOOKUP(AH296,MIE_Components!$A$2:$F$6,2,FALSE()))</f>
        <v>0</v>
      </c>
      <c r="AJ296" s="14" t="n">
        <f aca="false">IF(AH296=0,0,VLOOKUP(AH296,MIE_Components!$A$2:$F$6,3,FALSE()))</f>
        <v>0</v>
      </c>
      <c r="AK296" s="14" t="n">
        <f aca="false">IF(AH296=0,0,VLOOKUP(AH296,MIE_Components!$A$2:$F$6,4,FALSE()))</f>
        <v>0</v>
      </c>
      <c r="AL296" s="14" t="n">
        <f aca="false">IF(OR($A296="",AH296=0),0,MAX(5,AH296*IF(OR($A296=Parameters!$B$13,$A296=Parameters!$B$14),0.75,1)-(IF(AND($A296=DATE(2026,11,29),NOV29BF="Yes"),AI296,0)+IF(OR($A296=DATE(2026,11,29),$A296=DATE(2026,11,30),$A296=DATE(2026,12,1),$A296=DATE(2026,12,2)),AJ296,0)+IF(OR($A296=DATE(2026,11,28),$A296=DATE(2026,12,1)),AK296,0))))</f>
        <v>0</v>
      </c>
      <c r="AM296" s="14" t="n">
        <f aca="false">IF(AND($A296&lt;&gt;"",$A296&lt;Parameters!$B$14),CityData!F7*(1+TAXRATE),0)</f>
        <v>0</v>
      </c>
      <c r="AN296" s="14" t="n">
        <f aca="false">IF($A296="",0,IFERROR(VLOOKUP((YEAR($A296)+IF(MONTH($A296)&gt;=10,1,0))&amp;"|Seattle|"&amp;MONTH($A296),Rates!$A$2:$I$181,5,FALSE()),0))</f>
        <v>0</v>
      </c>
      <c r="AO296" s="14" t="n">
        <f aca="false">IF(OR($A296="",$A296&gt;=Parameters!$B$14),1,IF(AND(AN296&gt;0,CityData!F7&lt;=AN296),1,0))</f>
        <v>1</v>
      </c>
    </row>
    <row r="297" customFormat="false" ht="15" hidden="false" customHeight="true" outlineLevel="0" collapsed="false">
      <c r="A297" s="23" t="str">
        <f aca="false">IF(AND(Parameters!$B$14&gt;=Parameters!$B$13,ROW()-2&lt;=Parameters!$B$14-Parameters!$B$13),Parameters!$B$13+ROW()-2,"")</f>
        <v/>
      </c>
      <c r="B297" s="14" t="n">
        <f aca="false">IF($A297="",0,IFERROR(VLOOKUP((YEAR($A297)+IF(MONTH($A297)&gt;=10,1,0))&amp;"|Boston|"&amp;MONTH($A297),Rates!$A$2:$I$181,6,FALSE()),0))</f>
        <v>0</v>
      </c>
      <c r="C297" s="14" t="n">
        <f aca="false">IF(B297=0,0,VLOOKUP(B297,MIE_Components!$A$2:$F$6,2,FALSE()))</f>
        <v>0</v>
      </c>
      <c r="D297" s="14" t="n">
        <f aca="false">IF(B297=0,0,VLOOKUP(B297,MIE_Components!$A$2:$F$6,3,FALSE()))</f>
        <v>0</v>
      </c>
      <c r="E297" s="14" t="n">
        <f aca="false">IF(B297=0,0,VLOOKUP(B297,MIE_Components!$A$2:$F$6,4,FALSE()))</f>
        <v>0</v>
      </c>
      <c r="F297" s="14" t="n">
        <f aca="false">IF(OR($A297="",B297=0),0,MAX(5,B297*IF(OR($A297=Parameters!$B$13,$A297=Parameters!$B$14),0.75,1)-(IF(AND($A297=DATE(2026,11,29),NOV29BF="Yes"),C297,0)+IF(OR($A297=DATE(2026,11,29),$A297=DATE(2026,11,30),$A297=DATE(2026,12,1),$A297=DATE(2026,12,2)),D297,0)+IF(OR($A297=DATE(2026,11,28),$A297=DATE(2026,12,1)),E297,0))))</f>
        <v>0</v>
      </c>
      <c r="G297" s="14" t="n">
        <f aca="false">IF(AND($A297&lt;&gt;"",$A297&lt;Parameters!$B$14),CityData!F3*(1+TAXRATE),0)</f>
        <v>0</v>
      </c>
      <c r="H297" s="14" t="n">
        <f aca="false">IF($A297="",0,IFERROR(VLOOKUP((YEAR($A297)+IF(MONTH($A297)&gt;=10,1,0))&amp;"|Boston|"&amp;MONTH($A297),Rates!$A$2:$I$181,5,FALSE()),0))</f>
        <v>0</v>
      </c>
      <c r="I297" s="14" t="n">
        <f aca="false">IF(OR($A297="",$A297&gt;=Parameters!$B$14),1,IF(AND(H297&gt;0,CityData!F3&lt;=H297),1,0))</f>
        <v>1</v>
      </c>
      <c r="J297" s="14" t="n">
        <f aca="false">IF($A297="",0,IFERROR(VLOOKUP((YEAR($A297)+IF(MONTH($A297)&gt;=10,1,0))&amp;"|Chicago|"&amp;MONTH($A297),Rates!$A$2:$I$181,6,FALSE()),0))</f>
        <v>0</v>
      </c>
      <c r="K297" s="14" t="n">
        <f aca="false">IF(J297=0,0,VLOOKUP(J297,MIE_Components!$A$2:$F$6,2,FALSE()))</f>
        <v>0</v>
      </c>
      <c r="L297" s="14" t="n">
        <f aca="false">IF(J297=0,0,VLOOKUP(J297,MIE_Components!$A$2:$F$6,3,FALSE()))</f>
        <v>0</v>
      </c>
      <c r="M297" s="14" t="n">
        <f aca="false">IF(J297=0,0,VLOOKUP(J297,MIE_Components!$A$2:$F$6,4,FALSE()))</f>
        <v>0</v>
      </c>
      <c r="N297" s="14" t="n">
        <f aca="false">IF(OR($A297="",J297=0),0,MAX(5,J297*IF(OR($A297=Parameters!$B$13,$A297=Parameters!$B$14),0.75,1)-(IF(AND($A297=DATE(2026,11,29),NOV29BF="Yes"),K297,0)+IF(OR($A297=DATE(2026,11,29),$A297=DATE(2026,11,30),$A297=DATE(2026,12,1),$A297=DATE(2026,12,2)),L297,0)+IF(OR($A297=DATE(2026,11,28),$A297=DATE(2026,12,1)),M297,0))))</f>
        <v>0</v>
      </c>
      <c r="O297" s="14" t="n">
        <f aca="false">IF(AND($A297&lt;&gt;"",$A297&lt;Parameters!$B$14),CityData!F4*(1+TAXRATE),0)</f>
        <v>0</v>
      </c>
      <c r="P297" s="14" t="n">
        <f aca="false">IF($A297="",0,IFERROR(VLOOKUP((YEAR($A297)+IF(MONTH($A297)&gt;=10,1,0))&amp;"|Chicago|"&amp;MONTH($A297),Rates!$A$2:$I$181,5,FALSE()),0))</f>
        <v>0</v>
      </c>
      <c r="Q297" s="14" t="n">
        <f aca="false">IF(OR($A297="",$A297&gt;=Parameters!$B$14),1,IF(AND(P297&gt;0,CityData!F4&lt;=P297),1,0))</f>
        <v>1</v>
      </c>
      <c r="R297" s="14" t="n">
        <f aca="false">IF($A297="",0,IFERROR(VLOOKUP((YEAR($A297)+IF(MONTH($A297)&gt;=10,1,0))&amp;"|Denver|"&amp;MONTH($A297),Rates!$A$2:$I$181,6,FALSE()),0))</f>
        <v>0</v>
      </c>
      <c r="S297" s="14" t="n">
        <f aca="false">IF(R297=0,0,VLOOKUP(R297,MIE_Components!$A$2:$F$6,2,FALSE()))</f>
        <v>0</v>
      </c>
      <c r="T297" s="14" t="n">
        <f aca="false">IF(R297=0,0,VLOOKUP(R297,MIE_Components!$A$2:$F$6,3,FALSE()))</f>
        <v>0</v>
      </c>
      <c r="U297" s="14" t="n">
        <f aca="false">IF(R297=0,0,VLOOKUP(R297,MIE_Components!$A$2:$F$6,4,FALSE()))</f>
        <v>0</v>
      </c>
      <c r="V297" s="14" t="n">
        <f aca="false">IF(OR($A297="",R297=0),0,MAX(5,R297*IF(OR($A297=Parameters!$B$13,$A297=Parameters!$B$14),0.75,1)-(IF(AND($A297=DATE(2026,11,29),NOV29BF="Yes"),S297,0)+IF(OR($A297=DATE(2026,11,29),$A297=DATE(2026,11,30),$A297=DATE(2026,12,1),$A297=DATE(2026,12,2)),T297,0)+IF(OR($A297=DATE(2026,11,28),$A297=DATE(2026,12,1)),U297,0))))</f>
        <v>0</v>
      </c>
      <c r="W297" s="14" t="n">
        <f aca="false">IF(AND($A297&lt;&gt;"",$A297&lt;Parameters!$B$14),CityData!F5*(1+TAXRATE),0)</f>
        <v>0</v>
      </c>
      <c r="X297" s="14" t="n">
        <f aca="false">IF($A297="",0,IFERROR(VLOOKUP((YEAR($A297)+IF(MONTH($A297)&gt;=10,1,0))&amp;"|Denver|"&amp;MONTH($A297),Rates!$A$2:$I$181,5,FALSE()),0))</f>
        <v>0</v>
      </c>
      <c r="Y297" s="14" t="n">
        <f aca="false">IF(OR($A297="",$A297&gt;=Parameters!$B$14),1,IF(AND(X297&gt;0,CityData!F5&lt;=X297),1,0))</f>
        <v>1</v>
      </c>
      <c r="Z297" s="14" t="n">
        <f aca="false">IF($A297="",0,IFERROR(VLOOKUP((YEAR($A297)+IF(MONTH($A297)&gt;=10,1,0))&amp;"|Phoenix|"&amp;MONTH($A297),Rates!$A$2:$I$181,6,FALSE()),0))</f>
        <v>0</v>
      </c>
      <c r="AA297" s="14" t="n">
        <f aca="false">IF(Z297=0,0,VLOOKUP(Z297,MIE_Components!$A$2:$F$6,2,FALSE()))</f>
        <v>0</v>
      </c>
      <c r="AB297" s="14" t="n">
        <f aca="false">IF(Z297=0,0,VLOOKUP(Z297,MIE_Components!$A$2:$F$6,3,FALSE()))</f>
        <v>0</v>
      </c>
      <c r="AC297" s="14" t="n">
        <f aca="false">IF(Z297=0,0,VLOOKUP(Z297,MIE_Components!$A$2:$F$6,4,FALSE()))</f>
        <v>0</v>
      </c>
      <c r="AD297" s="14" t="n">
        <f aca="false">IF(OR($A297="",Z297=0),0,MAX(5,Z297*IF(OR($A297=Parameters!$B$13,$A297=Parameters!$B$14),0.75,1)-(IF(AND($A297=DATE(2026,11,29),NOV29BF="Yes"),AA297,0)+IF(OR($A297=DATE(2026,11,29),$A297=DATE(2026,11,30),$A297=DATE(2026,12,1),$A297=DATE(2026,12,2)),AB297,0)+IF(OR($A297=DATE(2026,11,28),$A297=DATE(2026,12,1)),AC297,0))))</f>
        <v>0</v>
      </c>
      <c r="AE297" s="14" t="n">
        <f aca="false">IF(AND($A297&lt;&gt;"",$A297&lt;Parameters!$B$14),CityData!F6*(1+TAXRATE),0)</f>
        <v>0</v>
      </c>
      <c r="AF297" s="14" t="n">
        <f aca="false">IF($A297="",0,IFERROR(VLOOKUP((YEAR($A297)+IF(MONTH($A297)&gt;=10,1,0))&amp;"|Phoenix|"&amp;MONTH($A297),Rates!$A$2:$I$181,5,FALSE()),0))</f>
        <v>0</v>
      </c>
      <c r="AG297" s="14" t="n">
        <f aca="false">IF(OR($A297="",$A297&gt;=Parameters!$B$14),1,IF(AND(AF297&gt;0,CityData!F6&lt;=AF297),1,0))</f>
        <v>1</v>
      </c>
      <c r="AH297" s="14" t="n">
        <f aca="false">IF($A297="",0,IFERROR(VLOOKUP((YEAR($A297)+IF(MONTH($A297)&gt;=10,1,0))&amp;"|Seattle|"&amp;MONTH($A297),Rates!$A$2:$I$181,6,FALSE()),0))</f>
        <v>0</v>
      </c>
      <c r="AI297" s="14" t="n">
        <f aca="false">IF(AH297=0,0,VLOOKUP(AH297,MIE_Components!$A$2:$F$6,2,FALSE()))</f>
        <v>0</v>
      </c>
      <c r="AJ297" s="14" t="n">
        <f aca="false">IF(AH297=0,0,VLOOKUP(AH297,MIE_Components!$A$2:$F$6,3,FALSE()))</f>
        <v>0</v>
      </c>
      <c r="AK297" s="14" t="n">
        <f aca="false">IF(AH297=0,0,VLOOKUP(AH297,MIE_Components!$A$2:$F$6,4,FALSE()))</f>
        <v>0</v>
      </c>
      <c r="AL297" s="14" t="n">
        <f aca="false">IF(OR($A297="",AH297=0),0,MAX(5,AH297*IF(OR($A297=Parameters!$B$13,$A297=Parameters!$B$14),0.75,1)-(IF(AND($A297=DATE(2026,11,29),NOV29BF="Yes"),AI297,0)+IF(OR($A297=DATE(2026,11,29),$A297=DATE(2026,11,30),$A297=DATE(2026,12,1),$A297=DATE(2026,12,2)),AJ297,0)+IF(OR($A297=DATE(2026,11,28),$A297=DATE(2026,12,1)),AK297,0))))</f>
        <v>0</v>
      </c>
      <c r="AM297" s="14" t="n">
        <f aca="false">IF(AND($A297&lt;&gt;"",$A297&lt;Parameters!$B$14),CityData!F7*(1+TAXRATE),0)</f>
        <v>0</v>
      </c>
      <c r="AN297" s="14" t="n">
        <f aca="false">IF($A297="",0,IFERROR(VLOOKUP((YEAR($A297)+IF(MONTH($A297)&gt;=10,1,0))&amp;"|Seattle|"&amp;MONTH($A297),Rates!$A$2:$I$181,5,FALSE()),0))</f>
        <v>0</v>
      </c>
      <c r="AO297" s="14" t="n">
        <f aca="false">IF(OR($A297="",$A297&gt;=Parameters!$B$14),1,IF(AND(AN297&gt;0,CityData!F7&lt;=AN297),1,0))</f>
        <v>1</v>
      </c>
    </row>
    <row r="298" customFormat="false" ht="15" hidden="false" customHeight="true" outlineLevel="0" collapsed="false">
      <c r="A298" s="23" t="str">
        <f aca="false">IF(AND(Parameters!$B$14&gt;=Parameters!$B$13,ROW()-2&lt;=Parameters!$B$14-Parameters!$B$13),Parameters!$B$13+ROW()-2,"")</f>
        <v/>
      </c>
      <c r="B298" s="14" t="n">
        <f aca="false">IF($A298="",0,IFERROR(VLOOKUP((YEAR($A298)+IF(MONTH($A298)&gt;=10,1,0))&amp;"|Boston|"&amp;MONTH($A298),Rates!$A$2:$I$181,6,FALSE()),0))</f>
        <v>0</v>
      </c>
      <c r="C298" s="14" t="n">
        <f aca="false">IF(B298=0,0,VLOOKUP(B298,MIE_Components!$A$2:$F$6,2,FALSE()))</f>
        <v>0</v>
      </c>
      <c r="D298" s="14" t="n">
        <f aca="false">IF(B298=0,0,VLOOKUP(B298,MIE_Components!$A$2:$F$6,3,FALSE()))</f>
        <v>0</v>
      </c>
      <c r="E298" s="14" t="n">
        <f aca="false">IF(B298=0,0,VLOOKUP(B298,MIE_Components!$A$2:$F$6,4,FALSE()))</f>
        <v>0</v>
      </c>
      <c r="F298" s="14" t="n">
        <f aca="false">IF(OR($A298="",B298=0),0,MAX(5,B298*IF(OR($A298=Parameters!$B$13,$A298=Parameters!$B$14),0.75,1)-(IF(AND($A298=DATE(2026,11,29),NOV29BF="Yes"),C298,0)+IF(OR($A298=DATE(2026,11,29),$A298=DATE(2026,11,30),$A298=DATE(2026,12,1),$A298=DATE(2026,12,2)),D298,0)+IF(OR($A298=DATE(2026,11,28),$A298=DATE(2026,12,1)),E298,0))))</f>
        <v>0</v>
      </c>
      <c r="G298" s="14" t="n">
        <f aca="false">IF(AND($A298&lt;&gt;"",$A298&lt;Parameters!$B$14),CityData!F3*(1+TAXRATE),0)</f>
        <v>0</v>
      </c>
      <c r="H298" s="14" t="n">
        <f aca="false">IF($A298="",0,IFERROR(VLOOKUP((YEAR($A298)+IF(MONTH($A298)&gt;=10,1,0))&amp;"|Boston|"&amp;MONTH($A298),Rates!$A$2:$I$181,5,FALSE()),0))</f>
        <v>0</v>
      </c>
      <c r="I298" s="14" t="n">
        <f aca="false">IF(OR($A298="",$A298&gt;=Parameters!$B$14),1,IF(AND(H298&gt;0,CityData!F3&lt;=H298),1,0))</f>
        <v>1</v>
      </c>
      <c r="J298" s="14" t="n">
        <f aca="false">IF($A298="",0,IFERROR(VLOOKUP((YEAR($A298)+IF(MONTH($A298)&gt;=10,1,0))&amp;"|Chicago|"&amp;MONTH($A298),Rates!$A$2:$I$181,6,FALSE()),0))</f>
        <v>0</v>
      </c>
      <c r="K298" s="14" t="n">
        <f aca="false">IF(J298=0,0,VLOOKUP(J298,MIE_Components!$A$2:$F$6,2,FALSE()))</f>
        <v>0</v>
      </c>
      <c r="L298" s="14" t="n">
        <f aca="false">IF(J298=0,0,VLOOKUP(J298,MIE_Components!$A$2:$F$6,3,FALSE()))</f>
        <v>0</v>
      </c>
      <c r="M298" s="14" t="n">
        <f aca="false">IF(J298=0,0,VLOOKUP(J298,MIE_Components!$A$2:$F$6,4,FALSE()))</f>
        <v>0</v>
      </c>
      <c r="N298" s="14" t="n">
        <f aca="false">IF(OR($A298="",J298=0),0,MAX(5,J298*IF(OR($A298=Parameters!$B$13,$A298=Parameters!$B$14),0.75,1)-(IF(AND($A298=DATE(2026,11,29),NOV29BF="Yes"),K298,0)+IF(OR($A298=DATE(2026,11,29),$A298=DATE(2026,11,30),$A298=DATE(2026,12,1),$A298=DATE(2026,12,2)),L298,0)+IF(OR($A298=DATE(2026,11,28),$A298=DATE(2026,12,1)),M298,0))))</f>
        <v>0</v>
      </c>
      <c r="O298" s="14" t="n">
        <f aca="false">IF(AND($A298&lt;&gt;"",$A298&lt;Parameters!$B$14),CityData!F4*(1+TAXRATE),0)</f>
        <v>0</v>
      </c>
      <c r="P298" s="14" t="n">
        <f aca="false">IF($A298="",0,IFERROR(VLOOKUP((YEAR($A298)+IF(MONTH($A298)&gt;=10,1,0))&amp;"|Chicago|"&amp;MONTH($A298),Rates!$A$2:$I$181,5,FALSE()),0))</f>
        <v>0</v>
      </c>
      <c r="Q298" s="14" t="n">
        <f aca="false">IF(OR($A298="",$A298&gt;=Parameters!$B$14),1,IF(AND(P298&gt;0,CityData!F4&lt;=P298),1,0))</f>
        <v>1</v>
      </c>
      <c r="R298" s="14" t="n">
        <f aca="false">IF($A298="",0,IFERROR(VLOOKUP((YEAR($A298)+IF(MONTH($A298)&gt;=10,1,0))&amp;"|Denver|"&amp;MONTH($A298),Rates!$A$2:$I$181,6,FALSE()),0))</f>
        <v>0</v>
      </c>
      <c r="S298" s="14" t="n">
        <f aca="false">IF(R298=0,0,VLOOKUP(R298,MIE_Components!$A$2:$F$6,2,FALSE()))</f>
        <v>0</v>
      </c>
      <c r="T298" s="14" t="n">
        <f aca="false">IF(R298=0,0,VLOOKUP(R298,MIE_Components!$A$2:$F$6,3,FALSE()))</f>
        <v>0</v>
      </c>
      <c r="U298" s="14" t="n">
        <f aca="false">IF(R298=0,0,VLOOKUP(R298,MIE_Components!$A$2:$F$6,4,FALSE()))</f>
        <v>0</v>
      </c>
      <c r="V298" s="14" t="n">
        <f aca="false">IF(OR($A298="",R298=0),0,MAX(5,R298*IF(OR($A298=Parameters!$B$13,$A298=Parameters!$B$14),0.75,1)-(IF(AND($A298=DATE(2026,11,29),NOV29BF="Yes"),S298,0)+IF(OR($A298=DATE(2026,11,29),$A298=DATE(2026,11,30),$A298=DATE(2026,12,1),$A298=DATE(2026,12,2)),T298,0)+IF(OR($A298=DATE(2026,11,28),$A298=DATE(2026,12,1)),U298,0))))</f>
        <v>0</v>
      </c>
      <c r="W298" s="14" t="n">
        <f aca="false">IF(AND($A298&lt;&gt;"",$A298&lt;Parameters!$B$14),CityData!F5*(1+TAXRATE),0)</f>
        <v>0</v>
      </c>
      <c r="X298" s="14" t="n">
        <f aca="false">IF($A298="",0,IFERROR(VLOOKUP((YEAR($A298)+IF(MONTH($A298)&gt;=10,1,0))&amp;"|Denver|"&amp;MONTH($A298),Rates!$A$2:$I$181,5,FALSE()),0))</f>
        <v>0</v>
      </c>
      <c r="Y298" s="14" t="n">
        <f aca="false">IF(OR($A298="",$A298&gt;=Parameters!$B$14),1,IF(AND(X298&gt;0,CityData!F5&lt;=X298),1,0))</f>
        <v>1</v>
      </c>
      <c r="Z298" s="14" t="n">
        <f aca="false">IF($A298="",0,IFERROR(VLOOKUP((YEAR($A298)+IF(MONTH($A298)&gt;=10,1,0))&amp;"|Phoenix|"&amp;MONTH($A298),Rates!$A$2:$I$181,6,FALSE()),0))</f>
        <v>0</v>
      </c>
      <c r="AA298" s="14" t="n">
        <f aca="false">IF(Z298=0,0,VLOOKUP(Z298,MIE_Components!$A$2:$F$6,2,FALSE()))</f>
        <v>0</v>
      </c>
      <c r="AB298" s="14" t="n">
        <f aca="false">IF(Z298=0,0,VLOOKUP(Z298,MIE_Components!$A$2:$F$6,3,FALSE()))</f>
        <v>0</v>
      </c>
      <c r="AC298" s="14" t="n">
        <f aca="false">IF(Z298=0,0,VLOOKUP(Z298,MIE_Components!$A$2:$F$6,4,FALSE()))</f>
        <v>0</v>
      </c>
      <c r="AD298" s="14" t="n">
        <f aca="false">IF(OR($A298="",Z298=0),0,MAX(5,Z298*IF(OR($A298=Parameters!$B$13,$A298=Parameters!$B$14),0.75,1)-(IF(AND($A298=DATE(2026,11,29),NOV29BF="Yes"),AA298,0)+IF(OR($A298=DATE(2026,11,29),$A298=DATE(2026,11,30),$A298=DATE(2026,12,1),$A298=DATE(2026,12,2)),AB298,0)+IF(OR($A298=DATE(2026,11,28),$A298=DATE(2026,12,1)),AC298,0))))</f>
        <v>0</v>
      </c>
      <c r="AE298" s="14" t="n">
        <f aca="false">IF(AND($A298&lt;&gt;"",$A298&lt;Parameters!$B$14),CityData!F6*(1+TAXRATE),0)</f>
        <v>0</v>
      </c>
      <c r="AF298" s="14" t="n">
        <f aca="false">IF($A298="",0,IFERROR(VLOOKUP((YEAR($A298)+IF(MONTH($A298)&gt;=10,1,0))&amp;"|Phoenix|"&amp;MONTH($A298),Rates!$A$2:$I$181,5,FALSE()),0))</f>
        <v>0</v>
      </c>
      <c r="AG298" s="14" t="n">
        <f aca="false">IF(OR($A298="",$A298&gt;=Parameters!$B$14),1,IF(AND(AF298&gt;0,CityData!F6&lt;=AF298),1,0))</f>
        <v>1</v>
      </c>
      <c r="AH298" s="14" t="n">
        <f aca="false">IF($A298="",0,IFERROR(VLOOKUP((YEAR($A298)+IF(MONTH($A298)&gt;=10,1,0))&amp;"|Seattle|"&amp;MONTH($A298),Rates!$A$2:$I$181,6,FALSE()),0))</f>
        <v>0</v>
      </c>
      <c r="AI298" s="14" t="n">
        <f aca="false">IF(AH298=0,0,VLOOKUP(AH298,MIE_Components!$A$2:$F$6,2,FALSE()))</f>
        <v>0</v>
      </c>
      <c r="AJ298" s="14" t="n">
        <f aca="false">IF(AH298=0,0,VLOOKUP(AH298,MIE_Components!$A$2:$F$6,3,FALSE()))</f>
        <v>0</v>
      </c>
      <c r="AK298" s="14" t="n">
        <f aca="false">IF(AH298=0,0,VLOOKUP(AH298,MIE_Components!$A$2:$F$6,4,FALSE()))</f>
        <v>0</v>
      </c>
      <c r="AL298" s="14" t="n">
        <f aca="false">IF(OR($A298="",AH298=0),0,MAX(5,AH298*IF(OR($A298=Parameters!$B$13,$A298=Parameters!$B$14),0.75,1)-(IF(AND($A298=DATE(2026,11,29),NOV29BF="Yes"),AI298,0)+IF(OR($A298=DATE(2026,11,29),$A298=DATE(2026,11,30),$A298=DATE(2026,12,1),$A298=DATE(2026,12,2)),AJ298,0)+IF(OR($A298=DATE(2026,11,28),$A298=DATE(2026,12,1)),AK298,0))))</f>
        <v>0</v>
      </c>
      <c r="AM298" s="14" t="n">
        <f aca="false">IF(AND($A298&lt;&gt;"",$A298&lt;Parameters!$B$14),CityData!F7*(1+TAXRATE),0)</f>
        <v>0</v>
      </c>
      <c r="AN298" s="14" t="n">
        <f aca="false">IF($A298="",0,IFERROR(VLOOKUP((YEAR($A298)+IF(MONTH($A298)&gt;=10,1,0))&amp;"|Seattle|"&amp;MONTH($A298),Rates!$A$2:$I$181,5,FALSE()),0))</f>
        <v>0</v>
      </c>
      <c r="AO298" s="14" t="n">
        <f aca="false">IF(OR($A298="",$A298&gt;=Parameters!$B$14),1,IF(AND(AN298&gt;0,CityData!F7&lt;=AN298),1,0))</f>
        <v>1</v>
      </c>
    </row>
    <row r="299" customFormat="false" ht="15" hidden="false" customHeight="true" outlineLevel="0" collapsed="false">
      <c r="A299" s="23" t="str">
        <f aca="false">IF(AND(Parameters!$B$14&gt;=Parameters!$B$13,ROW()-2&lt;=Parameters!$B$14-Parameters!$B$13),Parameters!$B$13+ROW()-2,"")</f>
        <v/>
      </c>
      <c r="B299" s="14" t="n">
        <f aca="false">IF($A299="",0,IFERROR(VLOOKUP((YEAR($A299)+IF(MONTH($A299)&gt;=10,1,0))&amp;"|Boston|"&amp;MONTH($A299),Rates!$A$2:$I$181,6,FALSE()),0))</f>
        <v>0</v>
      </c>
      <c r="C299" s="14" t="n">
        <f aca="false">IF(B299=0,0,VLOOKUP(B299,MIE_Components!$A$2:$F$6,2,FALSE()))</f>
        <v>0</v>
      </c>
      <c r="D299" s="14" t="n">
        <f aca="false">IF(B299=0,0,VLOOKUP(B299,MIE_Components!$A$2:$F$6,3,FALSE()))</f>
        <v>0</v>
      </c>
      <c r="E299" s="14" t="n">
        <f aca="false">IF(B299=0,0,VLOOKUP(B299,MIE_Components!$A$2:$F$6,4,FALSE()))</f>
        <v>0</v>
      </c>
      <c r="F299" s="14" t="n">
        <f aca="false">IF(OR($A299="",B299=0),0,MAX(5,B299*IF(OR($A299=Parameters!$B$13,$A299=Parameters!$B$14),0.75,1)-(IF(AND($A299=DATE(2026,11,29),NOV29BF="Yes"),C299,0)+IF(OR($A299=DATE(2026,11,29),$A299=DATE(2026,11,30),$A299=DATE(2026,12,1),$A299=DATE(2026,12,2)),D299,0)+IF(OR($A299=DATE(2026,11,28),$A299=DATE(2026,12,1)),E299,0))))</f>
        <v>0</v>
      </c>
      <c r="G299" s="14" t="n">
        <f aca="false">IF(AND($A299&lt;&gt;"",$A299&lt;Parameters!$B$14),CityData!F3*(1+TAXRATE),0)</f>
        <v>0</v>
      </c>
      <c r="H299" s="14" t="n">
        <f aca="false">IF($A299="",0,IFERROR(VLOOKUP((YEAR($A299)+IF(MONTH($A299)&gt;=10,1,0))&amp;"|Boston|"&amp;MONTH($A299),Rates!$A$2:$I$181,5,FALSE()),0))</f>
        <v>0</v>
      </c>
      <c r="I299" s="14" t="n">
        <f aca="false">IF(OR($A299="",$A299&gt;=Parameters!$B$14),1,IF(AND(H299&gt;0,CityData!F3&lt;=H299),1,0))</f>
        <v>1</v>
      </c>
      <c r="J299" s="14" t="n">
        <f aca="false">IF($A299="",0,IFERROR(VLOOKUP((YEAR($A299)+IF(MONTH($A299)&gt;=10,1,0))&amp;"|Chicago|"&amp;MONTH($A299),Rates!$A$2:$I$181,6,FALSE()),0))</f>
        <v>0</v>
      </c>
      <c r="K299" s="14" t="n">
        <f aca="false">IF(J299=0,0,VLOOKUP(J299,MIE_Components!$A$2:$F$6,2,FALSE()))</f>
        <v>0</v>
      </c>
      <c r="L299" s="14" t="n">
        <f aca="false">IF(J299=0,0,VLOOKUP(J299,MIE_Components!$A$2:$F$6,3,FALSE()))</f>
        <v>0</v>
      </c>
      <c r="M299" s="14" t="n">
        <f aca="false">IF(J299=0,0,VLOOKUP(J299,MIE_Components!$A$2:$F$6,4,FALSE()))</f>
        <v>0</v>
      </c>
      <c r="N299" s="14" t="n">
        <f aca="false">IF(OR($A299="",J299=0),0,MAX(5,J299*IF(OR($A299=Parameters!$B$13,$A299=Parameters!$B$14),0.75,1)-(IF(AND($A299=DATE(2026,11,29),NOV29BF="Yes"),K299,0)+IF(OR($A299=DATE(2026,11,29),$A299=DATE(2026,11,30),$A299=DATE(2026,12,1),$A299=DATE(2026,12,2)),L299,0)+IF(OR($A299=DATE(2026,11,28),$A299=DATE(2026,12,1)),M299,0))))</f>
        <v>0</v>
      </c>
      <c r="O299" s="14" t="n">
        <f aca="false">IF(AND($A299&lt;&gt;"",$A299&lt;Parameters!$B$14),CityData!F4*(1+TAXRATE),0)</f>
        <v>0</v>
      </c>
      <c r="P299" s="14" t="n">
        <f aca="false">IF($A299="",0,IFERROR(VLOOKUP((YEAR($A299)+IF(MONTH($A299)&gt;=10,1,0))&amp;"|Chicago|"&amp;MONTH($A299),Rates!$A$2:$I$181,5,FALSE()),0))</f>
        <v>0</v>
      </c>
      <c r="Q299" s="14" t="n">
        <f aca="false">IF(OR($A299="",$A299&gt;=Parameters!$B$14),1,IF(AND(P299&gt;0,CityData!F4&lt;=P299),1,0))</f>
        <v>1</v>
      </c>
      <c r="R299" s="14" t="n">
        <f aca="false">IF($A299="",0,IFERROR(VLOOKUP((YEAR($A299)+IF(MONTH($A299)&gt;=10,1,0))&amp;"|Denver|"&amp;MONTH($A299),Rates!$A$2:$I$181,6,FALSE()),0))</f>
        <v>0</v>
      </c>
      <c r="S299" s="14" t="n">
        <f aca="false">IF(R299=0,0,VLOOKUP(R299,MIE_Components!$A$2:$F$6,2,FALSE()))</f>
        <v>0</v>
      </c>
      <c r="T299" s="14" t="n">
        <f aca="false">IF(R299=0,0,VLOOKUP(R299,MIE_Components!$A$2:$F$6,3,FALSE()))</f>
        <v>0</v>
      </c>
      <c r="U299" s="14" t="n">
        <f aca="false">IF(R299=0,0,VLOOKUP(R299,MIE_Components!$A$2:$F$6,4,FALSE()))</f>
        <v>0</v>
      </c>
      <c r="V299" s="14" t="n">
        <f aca="false">IF(OR($A299="",R299=0),0,MAX(5,R299*IF(OR($A299=Parameters!$B$13,$A299=Parameters!$B$14),0.75,1)-(IF(AND($A299=DATE(2026,11,29),NOV29BF="Yes"),S299,0)+IF(OR($A299=DATE(2026,11,29),$A299=DATE(2026,11,30),$A299=DATE(2026,12,1),$A299=DATE(2026,12,2)),T299,0)+IF(OR($A299=DATE(2026,11,28),$A299=DATE(2026,12,1)),U299,0))))</f>
        <v>0</v>
      </c>
      <c r="W299" s="14" t="n">
        <f aca="false">IF(AND($A299&lt;&gt;"",$A299&lt;Parameters!$B$14),CityData!F5*(1+TAXRATE),0)</f>
        <v>0</v>
      </c>
      <c r="X299" s="14" t="n">
        <f aca="false">IF($A299="",0,IFERROR(VLOOKUP((YEAR($A299)+IF(MONTH($A299)&gt;=10,1,0))&amp;"|Denver|"&amp;MONTH($A299),Rates!$A$2:$I$181,5,FALSE()),0))</f>
        <v>0</v>
      </c>
      <c r="Y299" s="14" t="n">
        <f aca="false">IF(OR($A299="",$A299&gt;=Parameters!$B$14),1,IF(AND(X299&gt;0,CityData!F5&lt;=X299),1,0))</f>
        <v>1</v>
      </c>
      <c r="Z299" s="14" t="n">
        <f aca="false">IF($A299="",0,IFERROR(VLOOKUP((YEAR($A299)+IF(MONTH($A299)&gt;=10,1,0))&amp;"|Phoenix|"&amp;MONTH($A299),Rates!$A$2:$I$181,6,FALSE()),0))</f>
        <v>0</v>
      </c>
      <c r="AA299" s="14" t="n">
        <f aca="false">IF(Z299=0,0,VLOOKUP(Z299,MIE_Components!$A$2:$F$6,2,FALSE()))</f>
        <v>0</v>
      </c>
      <c r="AB299" s="14" t="n">
        <f aca="false">IF(Z299=0,0,VLOOKUP(Z299,MIE_Components!$A$2:$F$6,3,FALSE()))</f>
        <v>0</v>
      </c>
      <c r="AC299" s="14" t="n">
        <f aca="false">IF(Z299=0,0,VLOOKUP(Z299,MIE_Components!$A$2:$F$6,4,FALSE()))</f>
        <v>0</v>
      </c>
      <c r="AD299" s="14" t="n">
        <f aca="false">IF(OR($A299="",Z299=0),0,MAX(5,Z299*IF(OR($A299=Parameters!$B$13,$A299=Parameters!$B$14),0.75,1)-(IF(AND($A299=DATE(2026,11,29),NOV29BF="Yes"),AA299,0)+IF(OR($A299=DATE(2026,11,29),$A299=DATE(2026,11,30),$A299=DATE(2026,12,1),$A299=DATE(2026,12,2)),AB299,0)+IF(OR($A299=DATE(2026,11,28),$A299=DATE(2026,12,1)),AC299,0))))</f>
        <v>0</v>
      </c>
      <c r="AE299" s="14" t="n">
        <f aca="false">IF(AND($A299&lt;&gt;"",$A299&lt;Parameters!$B$14),CityData!F6*(1+TAXRATE),0)</f>
        <v>0</v>
      </c>
      <c r="AF299" s="14" t="n">
        <f aca="false">IF($A299="",0,IFERROR(VLOOKUP((YEAR($A299)+IF(MONTH($A299)&gt;=10,1,0))&amp;"|Phoenix|"&amp;MONTH($A299),Rates!$A$2:$I$181,5,FALSE()),0))</f>
        <v>0</v>
      </c>
      <c r="AG299" s="14" t="n">
        <f aca="false">IF(OR($A299="",$A299&gt;=Parameters!$B$14),1,IF(AND(AF299&gt;0,CityData!F6&lt;=AF299),1,0))</f>
        <v>1</v>
      </c>
      <c r="AH299" s="14" t="n">
        <f aca="false">IF($A299="",0,IFERROR(VLOOKUP((YEAR($A299)+IF(MONTH($A299)&gt;=10,1,0))&amp;"|Seattle|"&amp;MONTH($A299),Rates!$A$2:$I$181,6,FALSE()),0))</f>
        <v>0</v>
      </c>
      <c r="AI299" s="14" t="n">
        <f aca="false">IF(AH299=0,0,VLOOKUP(AH299,MIE_Components!$A$2:$F$6,2,FALSE()))</f>
        <v>0</v>
      </c>
      <c r="AJ299" s="14" t="n">
        <f aca="false">IF(AH299=0,0,VLOOKUP(AH299,MIE_Components!$A$2:$F$6,3,FALSE()))</f>
        <v>0</v>
      </c>
      <c r="AK299" s="14" t="n">
        <f aca="false">IF(AH299=0,0,VLOOKUP(AH299,MIE_Components!$A$2:$F$6,4,FALSE()))</f>
        <v>0</v>
      </c>
      <c r="AL299" s="14" t="n">
        <f aca="false">IF(OR($A299="",AH299=0),0,MAX(5,AH299*IF(OR($A299=Parameters!$B$13,$A299=Parameters!$B$14),0.75,1)-(IF(AND($A299=DATE(2026,11,29),NOV29BF="Yes"),AI299,0)+IF(OR($A299=DATE(2026,11,29),$A299=DATE(2026,11,30),$A299=DATE(2026,12,1),$A299=DATE(2026,12,2)),AJ299,0)+IF(OR($A299=DATE(2026,11,28),$A299=DATE(2026,12,1)),AK299,0))))</f>
        <v>0</v>
      </c>
      <c r="AM299" s="14" t="n">
        <f aca="false">IF(AND($A299&lt;&gt;"",$A299&lt;Parameters!$B$14),CityData!F7*(1+TAXRATE),0)</f>
        <v>0</v>
      </c>
      <c r="AN299" s="14" t="n">
        <f aca="false">IF($A299="",0,IFERROR(VLOOKUP((YEAR($A299)+IF(MONTH($A299)&gt;=10,1,0))&amp;"|Seattle|"&amp;MONTH($A299),Rates!$A$2:$I$181,5,FALSE()),0))</f>
        <v>0</v>
      </c>
      <c r="AO299" s="14" t="n">
        <f aca="false">IF(OR($A299="",$A299&gt;=Parameters!$B$14),1,IF(AND(AN299&gt;0,CityData!F7&lt;=AN299),1,0))</f>
        <v>1</v>
      </c>
    </row>
    <row r="300" customFormat="false" ht="15" hidden="false" customHeight="true" outlineLevel="0" collapsed="false">
      <c r="A300" s="23" t="str">
        <f aca="false">IF(AND(Parameters!$B$14&gt;=Parameters!$B$13,ROW()-2&lt;=Parameters!$B$14-Parameters!$B$13),Parameters!$B$13+ROW()-2,"")</f>
        <v/>
      </c>
      <c r="B300" s="14" t="n">
        <f aca="false">IF($A300="",0,IFERROR(VLOOKUP((YEAR($A300)+IF(MONTH($A300)&gt;=10,1,0))&amp;"|Boston|"&amp;MONTH($A300),Rates!$A$2:$I$181,6,FALSE()),0))</f>
        <v>0</v>
      </c>
      <c r="C300" s="14" t="n">
        <f aca="false">IF(B300=0,0,VLOOKUP(B300,MIE_Components!$A$2:$F$6,2,FALSE()))</f>
        <v>0</v>
      </c>
      <c r="D300" s="14" t="n">
        <f aca="false">IF(B300=0,0,VLOOKUP(B300,MIE_Components!$A$2:$F$6,3,FALSE()))</f>
        <v>0</v>
      </c>
      <c r="E300" s="14" t="n">
        <f aca="false">IF(B300=0,0,VLOOKUP(B300,MIE_Components!$A$2:$F$6,4,FALSE()))</f>
        <v>0</v>
      </c>
      <c r="F300" s="14" t="n">
        <f aca="false">IF(OR($A300="",B300=0),0,MAX(5,B300*IF(OR($A300=Parameters!$B$13,$A300=Parameters!$B$14),0.75,1)-(IF(AND($A300=DATE(2026,11,29),NOV29BF="Yes"),C300,0)+IF(OR($A300=DATE(2026,11,29),$A300=DATE(2026,11,30),$A300=DATE(2026,12,1),$A300=DATE(2026,12,2)),D300,0)+IF(OR($A300=DATE(2026,11,28),$A300=DATE(2026,12,1)),E300,0))))</f>
        <v>0</v>
      </c>
      <c r="G300" s="14" t="n">
        <f aca="false">IF(AND($A300&lt;&gt;"",$A300&lt;Parameters!$B$14),CityData!F3*(1+TAXRATE),0)</f>
        <v>0</v>
      </c>
      <c r="H300" s="14" t="n">
        <f aca="false">IF($A300="",0,IFERROR(VLOOKUP((YEAR($A300)+IF(MONTH($A300)&gt;=10,1,0))&amp;"|Boston|"&amp;MONTH($A300),Rates!$A$2:$I$181,5,FALSE()),0))</f>
        <v>0</v>
      </c>
      <c r="I300" s="14" t="n">
        <f aca="false">IF(OR($A300="",$A300&gt;=Parameters!$B$14),1,IF(AND(H300&gt;0,CityData!F3&lt;=H300),1,0))</f>
        <v>1</v>
      </c>
      <c r="J300" s="14" t="n">
        <f aca="false">IF($A300="",0,IFERROR(VLOOKUP((YEAR($A300)+IF(MONTH($A300)&gt;=10,1,0))&amp;"|Chicago|"&amp;MONTH($A300),Rates!$A$2:$I$181,6,FALSE()),0))</f>
        <v>0</v>
      </c>
      <c r="K300" s="14" t="n">
        <f aca="false">IF(J300=0,0,VLOOKUP(J300,MIE_Components!$A$2:$F$6,2,FALSE()))</f>
        <v>0</v>
      </c>
      <c r="L300" s="14" t="n">
        <f aca="false">IF(J300=0,0,VLOOKUP(J300,MIE_Components!$A$2:$F$6,3,FALSE()))</f>
        <v>0</v>
      </c>
      <c r="M300" s="14" t="n">
        <f aca="false">IF(J300=0,0,VLOOKUP(J300,MIE_Components!$A$2:$F$6,4,FALSE()))</f>
        <v>0</v>
      </c>
      <c r="N300" s="14" t="n">
        <f aca="false">IF(OR($A300="",J300=0),0,MAX(5,J300*IF(OR($A300=Parameters!$B$13,$A300=Parameters!$B$14),0.75,1)-(IF(AND($A300=DATE(2026,11,29),NOV29BF="Yes"),K300,0)+IF(OR($A300=DATE(2026,11,29),$A300=DATE(2026,11,30),$A300=DATE(2026,12,1),$A300=DATE(2026,12,2)),L300,0)+IF(OR($A300=DATE(2026,11,28),$A300=DATE(2026,12,1)),M300,0))))</f>
        <v>0</v>
      </c>
      <c r="O300" s="14" t="n">
        <f aca="false">IF(AND($A300&lt;&gt;"",$A300&lt;Parameters!$B$14),CityData!F4*(1+TAXRATE),0)</f>
        <v>0</v>
      </c>
      <c r="P300" s="14" t="n">
        <f aca="false">IF($A300="",0,IFERROR(VLOOKUP((YEAR($A300)+IF(MONTH($A300)&gt;=10,1,0))&amp;"|Chicago|"&amp;MONTH($A300),Rates!$A$2:$I$181,5,FALSE()),0))</f>
        <v>0</v>
      </c>
      <c r="Q300" s="14" t="n">
        <f aca="false">IF(OR($A300="",$A300&gt;=Parameters!$B$14),1,IF(AND(P300&gt;0,CityData!F4&lt;=P300),1,0))</f>
        <v>1</v>
      </c>
      <c r="R300" s="14" t="n">
        <f aca="false">IF($A300="",0,IFERROR(VLOOKUP((YEAR($A300)+IF(MONTH($A300)&gt;=10,1,0))&amp;"|Denver|"&amp;MONTH($A300),Rates!$A$2:$I$181,6,FALSE()),0))</f>
        <v>0</v>
      </c>
      <c r="S300" s="14" t="n">
        <f aca="false">IF(R300=0,0,VLOOKUP(R300,MIE_Components!$A$2:$F$6,2,FALSE()))</f>
        <v>0</v>
      </c>
      <c r="T300" s="14" t="n">
        <f aca="false">IF(R300=0,0,VLOOKUP(R300,MIE_Components!$A$2:$F$6,3,FALSE()))</f>
        <v>0</v>
      </c>
      <c r="U300" s="14" t="n">
        <f aca="false">IF(R300=0,0,VLOOKUP(R300,MIE_Components!$A$2:$F$6,4,FALSE()))</f>
        <v>0</v>
      </c>
      <c r="V300" s="14" t="n">
        <f aca="false">IF(OR($A300="",R300=0),0,MAX(5,R300*IF(OR($A300=Parameters!$B$13,$A300=Parameters!$B$14),0.75,1)-(IF(AND($A300=DATE(2026,11,29),NOV29BF="Yes"),S300,0)+IF(OR($A300=DATE(2026,11,29),$A300=DATE(2026,11,30),$A300=DATE(2026,12,1),$A300=DATE(2026,12,2)),T300,0)+IF(OR($A300=DATE(2026,11,28),$A300=DATE(2026,12,1)),U300,0))))</f>
        <v>0</v>
      </c>
      <c r="W300" s="14" t="n">
        <f aca="false">IF(AND($A300&lt;&gt;"",$A300&lt;Parameters!$B$14),CityData!F5*(1+TAXRATE),0)</f>
        <v>0</v>
      </c>
      <c r="X300" s="14" t="n">
        <f aca="false">IF($A300="",0,IFERROR(VLOOKUP((YEAR($A300)+IF(MONTH($A300)&gt;=10,1,0))&amp;"|Denver|"&amp;MONTH($A300),Rates!$A$2:$I$181,5,FALSE()),0))</f>
        <v>0</v>
      </c>
      <c r="Y300" s="14" t="n">
        <f aca="false">IF(OR($A300="",$A300&gt;=Parameters!$B$14),1,IF(AND(X300&gt;0,CityData!F5&lt;=X300),1,0))</f>
        <v>1</v>
      </c>
      <c r="Z300" s="14" t="n">
        <f aca="false">IF($A300="",0,IFERROR(VLOOKUP((YEAR($A300)+IF(MONTH($A300)&gt;=10,1,0))&amp;"|Phoenix|"&amp;MONTH($A300),Rates!$A$2:$I$181,6,FALSE()),0))</f>
        <v>0</v>
      </c>
      <c r="AA300" s="14" t="n">
        <f aca="false">IF(Z300=0,0,VLOOKUP(Z300,MIE_Components!$A$2:$F$6,2,FALSE()))</f>
        <v>0</v>
      </c>
      <c r="AB300" s="14" t="n">
        <f aca="false">IF(Z300=0,0,VLOOKUP(Z300,MIE_Components!$A$2:$F$6,3,FALSE()))</f>
        <v>0</v>
      </c>
      <c r="AC300" s="14" t="n">
        <f aca="false">IF(Z300=0,0,VLOOKUP(Z300,MIE_Components!$A$2:$F$6,4,FALSE()))</f>
        <v>0</v>
      </c>
      <c r="AD300" s="14" t="n">
        <f aca="false">IF(OR($A300="",Z300=0),0,MAX(5,Z300*IF(OR($A300=Parameters!$B$13,$A300=Parameters!$B$14),0.75,1)-(IF(AND($A300=DATE(2026,11,29),NOV29BF="Yes"),AA300,0)+IF(OR($A300=DATE(2026,11,29),$A300=DATE(2026,11,30),$A300=DATE(2026,12,1),$A300=DATE(2026,12,2)),AB300,0)+IF(OR($A300=DATE(2026,11,28),$A300=DATE(2026,12,1)),AC300,0))))</f>
        <v>0</v>
      </c>
      <c r="AE300" s="14" t="n">
        <f aca="false">IF(AND($A300&lt;&gt;"",$A300&lt;Parameters!$B$14),CityData!F6*(1+TAXRATE),0)</f>
        <v>0</v>
      </c>
      <c r="AF300" s="14" t="n">
        <f aca="false">IF($A300="",0,IFERROR(VLOOKUP((YEAR($A300)+IF(MONTH($A300)&gt;=10,1,0))&amp;"|Phoenix|"&amp;MONTH($A300),Rates!$A$2:$I$181,5,FALSE()),0))</f>
        <v>0</v>
      </c>
      <c r="AG300" s="14" t="n">
        <f aca="false">IF(OR($A300="",$A300&gt;=Parameters!$B$14),1,IF(AND(AF300&gt;0,CityData!F6&lt;=AF300),1,0))</f>
        <v>1</v>
      </c>
      <c r="AH300" s="14" t="n">
        <f aca="false">IF($A300="",0,IFERROR(VLOOKUP((YEAR($A300)+IF(MONTH($A300)&gt;=10,1,0))&amp;"|Seattle|"&amp;MONTH($A300),Rates!$A$2:$I$181,6,FALSE()),0))</f>
        <v>0</v>
      </c>
      <c r="AI300" s="14" t="n">
        <f aca="false">IF(AH300=0,0,VLOOKUP(AH300,MIE_Components!$A$2:$F$6,2,FALSE()))</f>
        <v>0</v>
      </c>
      <c r="AJ300" s="14" t="n">
        <f aca="false">IF(AH300=0,0,VLOOKUP(AH300,MIE_Components!$A$2:$F$6,3,FALSE()))</f>
        <v>0</v>
      </c>
      <c r="AK300" s="14" t="n">
        <f aca="false">IF(AH300=0,0,VLOOKUP(AH300,MIE_Components!$A$2:$F$6,4,FALSE()))</f>
        <v>0</v>
      </c>
      <c r="AL300" s="14" t="n">
        <f aca="false">IF(OR($A300="",AH300=0),0,MAX(5,AH300*IF(OR($A300=Parameters!$B$13,$A300=Parameters!$B$14),0.75,1)-(IF(AND($A300=DATE(2026,11,29),NOV29BF="Yes"),AI300,0)+IF(OR($A300=DATE(2026,11,29),$A300=DATE(2026,11,30),$A300=DATE(2026,12,1),$A300=DATE(2026,12,2)),AJ300,0)+IF(OR($A300=DATE(2026,11,28),$A300=DATE(2026,12,1)),AK300,0))))</f>
        <v>0</v>
      </c>
      <c r="AM300" s="14" t="n">
        <f aca="false">IF(AND($A300&lt;&gt;"",$A300&lt;Parameters!$B$14),CityData!F7*(1+TAXRATE),0)</f>
        <v>0</v>
      </c>
      <c r="AN300" s="14" t="n">
        <f aca="false">IF($A300="",0,IFERROR(VLOOKUP((YEAR($A300)+IF(MONTH($A300)&gt;=10,1,0))&amp;"|Seattle|"&amp;MONTH($A300),Rates!$A$2:$I$181,5,FALSE()),0))</f>
        <v>0</v>
      </c>
      <c r="AO300" s="14" t="n">
        <f aca="false">IF(OR($A300="",$A300&gt;=Parameters!$B$14),1,IF(AND(AN300&gt;0,CityData!F7&lt;=AN300),1,0))</f>
        <v>1</v>
      </c>
    </row>
    <row r="301" customFormat="false" ht="15" hidden="false" customHeight="true" outlineLevel="0" collapsed="false">
      <c r="A301" s="23" t="str">
        <f aca="false">IF(AND(Parameters!$B$14&gt;=Parameters!$B$13,ROW()-2&lt;=Parameters!$B$14-Parameters!$B$13),Parameters!$B$13+ROW()-2,"")</f>
        <v/>
      </c>
      <c r="B301" s="14" t="n">
        <f aca="false">IF($A301="",0,IFERROR(VLOOKUP((YEAR($A301)+IF(MONTH($A301)&gt;=10,1,0))&amp;"|Boston|"&amp;MONTH($A301),Rates!$A$2:$I$181,6,FALSE()),0))</f>
        <v>0</v>
      </c>
      <c r="C301" s="14" t="n">
        <f aca="false">IF(B301=0,0,VLOOKUP(B301,MIE_Components!$A$2:$F$6,2,FALSE()))</f>
        <v>0</v>
      </c>
      <c r="D301" s="14" t="n">
        <f aca="false">IF(B301=0,0,VLOOKUP(B301,MIE_Components!$A$2:$F$6,3,FALSE()))</f>
        <v>0</v>
      </c>
      <c r="E301" s="14" t="n">
        <f aca="false">IF(B301=0,0,VLOOKUP(B301,MIE_Components!$A$2:$F$6,4,FALSE()))</f>
        <v>0</v>
      </c>
      <c r="F301" s="14" t="n">
        <f aca="false">IF(OR($A301="",B301=0),0,MAX(5,B301*IF(OR($A301=Parameters!$B$13,$A301=Parameters!$B$14),0.75,1)-(IF(AND($A301=DATE(2026,11,29),NOV29BF="Yes"),C301,0)+IF(OR($A301=DATE(2026,11,29),$A301=DATE(2026,11,30),$A301=DATE(2026,12,1),$A301=DATE(2026,12,2)),D301,0)+IF(OR($A301=DATE(2026,11,28),$A301=DATE(2026,12,1)),E301,0))))</f>
        <v>0</v>
      </c>
      <c r="G301" s="14" t="n">
        <f aca="false">IF(AND($A301&lt;&gt;"",$A301&lt;Parameters!$B$14),CityData!F3*(1+TAXRATE),0)</f>
        <v>0</v>
      </c>
      <c r="H301" s="14" t="n">
        <f aca="false">IF($A301="",0,IFERROR(VLOOKUP((YEAR($A301)+IF(MONTH($A301)&gt;=10,1,0))&amp;"|Boston|"&amp;MONTH($A301),Rates!$A$2:$I$181,5,FALSE()),0))</f>
        <v>0</v>
      </c>
      <c r="I301" s="14" t="n">
        <f aca="false">IF(OR($A301="",$A301&gt;=Parameters!$B$14),1,IF(AND(H301&gt;0,CityData!F3&lt;=H301),1,0))</f>
        <v>1</v>
      </c>
      <c r="J301" s="14" t="n">
        <f aca="false">IF($A301="",0,IFERROR(VLOOKUP((YEAR($A301)+IF(MONTH($A301)&gt;=10,1,0))&amp;"|Chicago|"&amp;MONTH($A301),Rates!$A$2:$I$181,6,FALSE()),0))</f>
        <v>0</v>
      </c>
      <c r="K301" s="14" t="n">
        <f aca="false">IF(J301=0,0,VLOOKUP(J301,MIE_Components!$A$2:$F$6,2,FALSE()))</f>
        <v>0</v>
      </c>
      <c r="L301" s="14" t="n">
        <f aca="false">IF(J301=0,0,VLOOKUP(J301,MIE_Components!$A$2:$F$6,3,FALSE()))</f>
        <v>0</v>
      </c>
      <c r="M301" s="14" t="n">
        <f aca="false">IF(J301=0,0,VLOOKUP(J301,MIE_Components!$A$2:$F$6,4,FALSE()))</f>
        <v>0</v>
      </c>
      <c r="N301" s="14" t="n">
        <f aca="false">IF(OR($A301="",J301=0),0,MAX(5,J301*IF(OR($A301=Parameters!$B$13,$A301=Parameters!$B$14),0.75,1)-(IF(AND($A301=DATE(2026,11,29),NOV29BF="Yes"),K301,0)+IF(OR($A301=DATE(2026,11,29),$A301=DATE(2026,11,30),$A301=DATE(2026,12,1),$A301=DATE(2026,12,2)),L301,0)+IF(OR($A301=DATE(2026,11,28),$A301=DATE(2026,12,1)),M301,0))))</f>
        <v>0</v>
      </c>
      <c r="O301" s="14" t="n">
        <f aca="false">IF(AND($A301&lt;&gt;"",$A301&lt;Parameters!$B$14),CityData!F4*(1+TAXRATE),0)</f>
        <v>0</v>
      </c>
      <c r="P301" s="14" t="n">
        <f aca="false">IF($A301="",0,IFERROR(VLOOKUP((YEAR($A301)+IF(MONTH($A301)&gt;=10,1,0))&amp;"|Chicago|"&amp;MONTH($A301),Rates!$A$2:$I$181,5,FALSE()),0))</f>
        <v>0</v>
      </c>
      <c r="Q301" s="14" t="n">
        <f aca="false">IF(OR($A301="",$A301&gt;=Parameters!$B$14),1,IF(AND(P301&gt;0,CityData!F4&lt;=P301),1,0))</f>
        <v>1</v>
      </c>
      <c r="R301" s="14" t="n">
        <f aca="false">IF($A301="",0,IFERROR(VLOOKUP((YEAR($A301)+IF(MONTH($A301)&gt;=10,1,0))&amp;"|Denver|"&amp;MONTH($A301),Rates!$A$2:$I$181,6,FALSE()),0))</f>
        <v>0</v>
      </c>
      <c r="S301" s="14" t="n">
        <f aca="false">IF(R301=0,0,VLOOKUP(R301,MIE_Components!$A$2:$F$6,2,FALSE()))</f>
        <v>0</v>
      </c>
      <c r="T301" s="14" t="n">
        <f aca="false">IF(R301=0,0,VLOOKUP(R301,MIE_Components!$A$2:$F$6,3,FALSE()))</f>
        <v>0</v>
      </c>
      <c r="U301" s="14" t="n">
        <f aca="false">IF(R301=0,0,VLOOKUP(R301,MIE_Components!$A$2:$F$6,4,FALSE()))</f>
        <v>0</v>
      </c>
      <c r="V301" s="14" t="n">
        <f aca="false">IF(OR($A301="",R301=0),0,MAX(5,R301*IF(OR($A301=Parameters!$B$13,$A301=Parameters!$B$14),0.75,1)-(IF(AND($A301=DATE(2026,11,29),NOV29BF="Yes"),S301,0)+IF(OR($A301=DATE(2026,11,29),$A301=DATE(2026,11,30),$A301=DATE(2026,12,1),$A301=DATE(2026,12,2)),T301,0)+IF(OR($A301=DATE(2026,11,28),$A301=DATE(2026,12,1)),U301,0))))</f>
        <v>0</v>
      </c>
      <c r="W301" s="14" t="n">
        <f aca="false">IF(AND($A301&lt;&gt;"",$A301&lt;Parameters!$B$14),CityData!F5*(1+TAXRATE),0)</f>
        <v>0</v>
      </c>
      <c r="X301" s="14" t="n">
        <f aca="false">IF($A301="",0,IFERROR(VLOOKUP((YEAR($A301)+IF(MONTH($A301)&gt;=10,1,0))&amp;"|Denver|"&amp;MONTH($A301),Rates!$A$2:$I$181,5,FALSE()),0))</f>
        <v>0</v>
      </c>
      <c r="Y301" s="14" t="n">
        <f aca="false">IF(OR($A301="",$A301&gt;=Parameters!$B$14),1,IF(AND(X301&gt;0,CityData!F5&lt;=X301),1,0))</f>
        <v>1</v>
      </c>
      <c r="Z301" s="14" t="n">
        <f aca="false">IF($A301="",0,IFERROR(VLOOKUP((YEAR($A301)+IF(MONTH($A301)&gt;=10,1,0))&amp;"|Phoenix|"&amp;MONTH($A301),Rates!$A$2:$I$181,6,FALSE()),0))</f>
        <v>0</v>
      </c>
      <c r="AA301" s="14" t="n">
        <f aca="false">IF(Z301=0,0,VLOOKUP(Z301,MIE_Components!$A$2:$F$6,2,FALSE()))</f>
        <v>0</v>
      </c>
      <c r="AB301" s="14" t="n">
        <f aca="false">IF(Z301=0,0,VLOOKUP(Z301,MIE_Components!$A$2:$F$6,3,FALSE()))</f>
        <v>0</v>
      </c>
      <c r="AC301" s="14" t="n">
        <f aca="false">IF(Z301=0,0,VLOOKUP(Z301,MIE_Components!$A$2:$F$6,4,FALSE()))</f>
        <v>0</v>
      </c>
      <c r="AD301" s="14" t="n">
        <f aca="false">IF(OR($A301="",Z301=0),0,MAX(5,Z301*IF(OR($A301=Parameters!$B$13,$A301=Parameters!$B$14),0.75,1)-(IF(AND($A301=DATE(2026,11,29),NOV29BF="Yes"),AA301,0)+IF(OR($A301=DATE(2026,11,29),$A301=DATE(2026,11,30),$A301=DATE(2026,12,1),$A301=DATE(2026,12,2)),AB301,0)+IF(OR($A301=DATE(2026,11,28),$A301=DATE(2026,12,1)),AC301,0))))</f>
        <v>0</v>
      </c>
      <c r="AE301" s="14" t="n">
        <f aca="false">IF(AND($A301&lt;&gt;"",$A301&lt;Parameters!$B$14),CityData!F6*(1+TAXRATE),0)</f>
        <v>0</v>
      </c>
      <c r="AF301" s="14" t="n">
        <f aca="false">IF($A301="",0,IFERROR(VLOOKUP((YEAR($A301)+IF(MONTH($A301)&gt;=10,1,0))&amp;"|Phoenix|"&amp;MONTH($A301),Rates!$A$2:$I$181,5,FALSE()),0))</f>
        <v>0</v>
      </c>
      <c r="AG301" s="14" t="n">
        <f aca="false">IF(OR($A301="",$A301&gt;=Parameters!$B$14),1,IF(AND(AF301&gt;0,CityData!F6&lt;=AF301),1,0))</f>
        <v>1</v>
      </c>
      <c r="AH301" s="14" t="n">
        <f aca="false">IF($A301="",0,IFERROR(VLOOKUP((YEAR($A301)+IF(MONTH($A301)&gt;=10,1,0))&amp;"|Seattle|"&amp;MONTH($A301),Rates!$A$2:$I$181,6,FALSE()),0))</f>
        <v>0</v>
      </c>
      <c r="AI301" s="14" t="n">
        <f aca="false">IF(AH301=0,0,VLOOKUP(AH301,MIE_Components!$A$2:$F$6,2,FALSE()))</f>
        <v>0</v>
      </c>
      <c r="AJ301" s="14" t="n">
        <f aca="false">IF(AH301=0,0,VLOOKUP(AH301,MIE_Components!$A$2:$F$6,3,FALSE()))</f>
        <v>0</v>
      </c>
      <c r="AK301" s="14" t="n">
        <f aca="false">IF(AH301=0,0,VLOOKUP(AH301,MIE_Components!$A$2:$F$6,4,FALSE()))</f>
        <v>0</v>
      </c>
      <c r="AL301" s="14" t="n">
        <f aca="false">IF(OR($A301="",AH301=0),0,MAX(5,AH301*IF(OR($A301=Parameters!$B$13,$A301=Parameters!$B$14),0.75,1)-(IF(AND($A301=DATE(2026,11,29),NOV29BF="Yes"),AI301,0)+IF(OR($A301=DATE(2026,11,29),$A301=DATE(2026,11,30),$A301=DATE(2026,12,1),$A301=DATE(2026,12,2)),AJ301,0)+IF(OR($A301=DATE(2026,11,28),$A301=DATE(2026,12,1)),AK301,0))))</f>
        <v>0</v>
      </c>
      <c r="AM301" s="14" t="n">
        <f aca="false">IF(AND($A301&lt;&gt;"",$A301&lt;Parameters!$B$14),CityData!F7*(1+TAXRATE),0)</f>
        <v>0</v>
      </c>
      <c r="AN301" s="14" t="n">
        <f aca="false">IF($A301="",0,IFERROR(VLOOKUP((YEAR($A301)+IF(MONTH($A301)&gt;=10,1,0))&amp;"|Seattle|"&amp;MONTH($A301),Rates!$A$2:$I$181,5,FALSE()),0))</f>
        <v>0</v>
      </c>
      <c r="AO301" s="14" t="n">
        <f aca="false">IF(OR($A301="",$A301&gt;=Parameters!$B$14),1,IF(AND(AN301&gt;0,CityData!F7&lt;=AN301),1,0))</f>
        <v>1</v>
      </c>
    </row>
    <row r="302" customFormat="false" ht="15" hidden="false" customHeight="true" outlineLevel="0" collapsed="false">
      <c r="A302" s="23" t="str">
        <f aca="false">IF(AND(Parameters!$B$14&gt;=Parameters!$B$13,ROW()-2&lt;=Parameters!$B$14-Parameters!$B$13),Parameters!$B$13+ROW()-2,"")</f>
        <v/>
      </c>
      <c r="B302" s="14" t="n">
        <f aca="false">IF($A302="",0,IFERROR(VLOOKUP((YEAR($A302)+IF(MONTH($A302)&gt;=10,1,0))&amp;"|Boston|"&amp;MONTH($A302),Rates!$A$2:$I$181,6,FALSE()),0))</f>
        <v>0</v>
      </c>
      <c r="C302" s="14" t="n">
        <f aca="false">IF(B302=0,0,VLOOKUP(B302,MIE_Components!$A$2:$F$6,2,FALSE()))</f>
        <v>0</v>
      </c>
      <c r="D302" s="14" t="n">
        <f aca="false">IF(B302=0,0,VLOOKUP(B302,MIE_Components!$A$2:$F$6,3,FALSE()))</f>
        <v>0</v>
      </c>
      <c r="E302" s="14" t="n">
        <f aca="false">IF(B302=0,0,VLOOKUP(B302,MIE_Components!$A$2:$F$6,4,FALSE()))</f>
        <v>0</v>
      </c>
      <c r="F302" s="14" t="n">
        <f aca="false">IF(OR($A302="",B302=0),0,MAX(5,B302*IF(OR($A302=Parameters!$B$13,$A302=Parameters!$B$14),0.75,1)-(IF(AND($A302=DATE(2026,11,29),NOV29BF="Yes"),C302,0)+IF(OR($A302=DATE(2026,11,29),$A302=DATE(2026,11,30),$A302=DATE(2026,12,1),$A302=DATE(2026,12,2)),D302,0)+IF(OR($A302=DATE(2026,11,28),$A302=DATE(2026,12,1)),E302,0))))</f>
        <v>0</v>
      </c>
      <c r="G302" s="14" t="n">
        <f aca="false">IF(AND($A302&lt;&gt;"",$A302&lt;Parameters!$B$14),CityData!F3*(1+TAXRATE),0)</f>
        <v>0</v>
      </c>
      <c r="H302" s="14" t="n">
        <f aca="false">IF($A302="",0,IFERROR(VLOOKUP((YEAR($A302)+IF(MONTH($A302)&gt;=10,1,0))&amp;"|Boston|"&amp;MONTH($A302),Rates!$A$2:$I$181,5,FALSE()),0))</f>
        <v>0</v>
      </c>
      <c r="I302" s="14" t="n">
        <f aca="false">IF(OR($A302="",$A302&gt;=Parameters!$B$14),1,IF(AND(H302&gt;0,CityData!F3&lt;=H302),1,0))</f>
        <v>1</v>
      </c>
      <c r="J302" s="14" t="n">
        <f aca="false">IF($A302="",0,IFERROR(VLOOKUP((YEAR($A302)+IF(MONTH($A302)&gt;=10,1,0))&amp;"|Chicago|"&amp;MONTH($A302),Rates!$A$2:$I$181,6,FALSE()),0))</f>
        <v>0</v>
      </c>
      <c r="K302" s="14" t="n">
        <f aca="false">IF(J302=0,0,VLOOKUP(J302,MIE_Components!$A$2:$F$6,2,FALSE()))</f>
        <v>0</v>
      </c>
      <c r="L302" s="14" t="n">
        <f aca="false">IF(J302=0,0,VLOOKUP(J302,MIE_Components!$A$2:$F$6,3,FALSE()))</f>
        <v>0</v>
      </c>
      <c r="M302" s="14" t="n">
        <f aca="false">IF(J302=0,0,VLOOKUP(J302,MIE_Components!$A$2:$F$6,4,FALSE()))</f>
        <v>0</v>
      </c>
      <c r="N302" s="14" t="n">
        <f aca="false">IF(OR($A302="",J302=0),0,MAX(5,J302*IF(OR($A302=Parameters!$B$13,$A302=Parameters!$B$14),0.75,1)-(IF(AND($A302=DATE(2026,11,29),NOV29BF="Yes"),K302,0)+IF(OR($A302=DATE(2026,11,29),$A302=DATE(2026,11,30),$A302=DATE(2026,12,1),$A302=DATE(2026,12,2)),L302,0)+IF(OR($A302=DATE(2026,11,28),$A302=DATE(2026,12,1)),M302,0))))</f>
        <v>0</v>
      </c>
      <c r="O302" s="14" t="n">
        <f aca="false">IF(AND($A302&lt;&gt;"",$A302&lt;Parameters!$B$14),CityData!F4*(1+TAXRATE),0)</f>
        <v>0</v>
      </c>
      <c r="P302" s="14" t="n">
        <f aca="false">IF($A302="",0,IFERROR(VLOOKUP((YEAR($A302)+IF(MONTH($A302)&gt;=10,1,0))&amp;"|Chicago|"&amp;MONTH($A302),Rates!$A$2:$I$181,5,FALSE()),0))</f>
        <v>0</v>
      </c>
      <c r="Q302" s="14" t="n">
        <f aca="false">IF(OR($A302="",$A302&gt;=Parameters!$B$14),1,IF(AND(P302&gt;0,CityData!F4&lt;=P302),1,0))</f>
        <v>1</v>
      </c>
      <c r="R302" s="14" t="n">
        <f aca="false">IF($A302="",0,IFERROR(VLOOKUP((YEAR($A302)+IF(MONTH($A302)&gt;=10,1,0))&amp;"|Denver|"&amp;MONTH($A302),Rates!$A$2:$I$181,6,FALSE()),0))</f>
        <v>0</v>
      </c>
      <c r="S302" s="14" t="n">
        <f aca="false">IF(R302=0,0,VLOOKUP(R302,MIE_Components!$A$2:$F$6,2,FALSE()))</f>
        <v>0</v>
      </c>
      <c r="T302" s="14" t="n">
        <f aca="false">IF(R302=0,0,VLOOKUP(R302,MIE_Components!$A$2:$F$6,3,FALSE()))</f>
        <v>0</v>
      </c>
      <c r="U302" s="14" t="n">
        <f aca="false">IF(R302=0,0,VLOOKUP(R302,MIE_Components!$A$2:$F$6,4,FALSE()))</f>
        <v>0</v>
      </c>
      <c r="V302" s="14" t="n">
        <f aca="false">IF(OR($A302="",R302=0),0,MAX(5,R302*IF(OR($A302=Parameters!$B$13,$A302=Parameters!$B$14),0.75,1)-(IF(AND($A302=DATE(2026,11,29),NOV29BF="Yes"),S302,0)+IF(OR($A302=DATE(2026,11,29),$A302=DATE(2026,11,30),$A302=DATE(2026,12,1),$A302=DATE(2026,12,2)),T302,0)+IF(OR($A302=DATE(2026,11,28),$A302=DATE(2026,12,1)),U302,0))))</f>
        <v>0</v>
      </c>
      <c r="W302" s="14" t="n">
        <f aca="false">IF(AND($A302&lt;&gt;"",$A302&lt;Parameters!$B$14),CityData!F5*(1+TAXRATE),0)</f>
        <v>0</v>
      </c>
      <c r="X302" s="14" t="n">
        <f aca="false">IF($A302="",0,IFERROR(VLOOKUP((YEAR($A302)+IF(MONTH($A302)&gt;=10,1,0))&amp;"|Denver|"&amp;MONTH($A302),Rates!$A$2:$I$181,5,FALSE()),0))</f>
        <v>0</v>
      </c>
      <c r="Y302" s="14" t="n">
        <f aca="false">IF(OR($A302="",$A302&gt;=Parameters!$B$14),1,IF(AND(X302&gt;0,CityData!F5&lt;=X302),1,0))</f>
        <v>1</v>
      </c>
      <c r="Z302" s="14" t="n">
        <f aca="false">IF($A302="",0,IFERROR(VLOOKUP((YEAR($A302)+IF(MONTH($A302)&gt;=10,1,0))&amp;"|Phoenix|"&amp;MONTH($A302),Rates!$A$2:$I$181,6,FALSE()),0))</f>
        <v>0</v>
      </c>
      <c r="AA302" s="14" t="n">
        <f aca="false">IF(Z302=0,0,VLOOKUP(Z302,MIE_Components!$A$2:$F$6,2,FALSE()))</f>
        <v>0</v>
      </c>
      <c r="AB302" s="14" t="n">
        <f aca="false">IF(Z302=0,0,VLOOKUP(Z302,MIE_Components!$A$2:$F$6,3,FALSE()))</f>
        <v>0</v>
      </c>
      <c r="AC302" s="14" t="n">
        <f aca="false">IF(Z302=0,0,VLOOKUP(Z302,MIE_Components!$A$2:$F$6,4,FALSE()))</f>
        <v>0</v>
      </c>
      <c r="AD302" s="14" t="n">
        <f aca="false">IF(OR($A302="",Z302=0),0,MAX(5,Z302*IF(OR($A302=Parameters!$B$13,$A302=Parameters!$B$14),0.75,1)-(IF(AND($A302=DATE(2026,11,29),NOV29BF="Yes"),AA302,0)+IF(OR($A302=DATE(2026,11,29),$A302=DATE(2026,11,30),$A302=DATE(2026,12,1),$A302=DATE(2026,12,2)),AB302,0)+IF(OR($A302=DATE(2026,11,28),$A302=DATE(2026,12,1)),AC302,0))))</f>
        <v>0</v>
      </c>
      <c r="AE302" s="14" t="n">
        <f aca="false">IF(AND($A302&lt;&gt;"",$A302&lt;Parameters!$B$14),CityData!F6*(1+TAXRATE),0)</f>
        <v>0</v>
      </c>
      <c r="AF302" s="14" t="n">
        <f aca="false">IF($A302="",0,IFERROR(VLOOKUP((YEAR($A302)+IF(MONTH($A302)&gt;=10,1,0))&amp;"|Phoenix|"&amp;MONTH($A302),Rates!$A$2:$I$181,5,FALSE()),0))</f>
        <v>0</v>
      </c>
      <c r="AG302" s="14" t="n">
        <f aca="false">IF(OR($A302="",$A302&gt;=Parameters!$B$14),1,IF(AND(AF302&gt;0,CityData!F6&lt;=AF302),1,0))</f>
        <v>1</v>
      </c>
      <c r="AH302" s="14" t="n">
        <f aca="false">IF($A302="",0,IFERROR(VLOOKUP((YEAR($A302)+IF(MONTH($A302)&gt;=10,1,0))&amp;"|Seattle|"&amp;MONTH($A302),Rates!$A$2:$I$181,6,FALSE()),0))</f>
        <v>0</v>
      </c>
      <c r="AI302" s="14" t="n">
        <f aca="false">IF(AH302=0,0,VLOOKUP(AH302,MIE_Components!$A$2:$F$6,2,FALSE()))</f>
        <v>0</v>
      </c>
      <c r="AJ302" s="14" t="n">
        <f aca="false">IF(AH302=0,0,VLOOKUP(AH302,MIE_Components!$A$2:$F$6,3,FALSE()))</f>
        <v>0</v>
      </c>
      <c r="AK302" s="14" t="n">
        <f aca="false">IF(AH302=0,0,VLOOKUP(AH302,MIE_Components!$A$2:$F$6,4,FALSE()))</f>
        <v>0</v>
      </c>
      <c r="AL302" s="14" t="n">
        <f aca="false">IF(OR($A302="",AH302=0),0,MAX(5,AH302*IF(OR($A302=Parameters!$B$13,$A302=Parameters!$B$14),0.75,1)-(IF(AND($A302=DATE(2026,11,29),NOV29BF="Yes"),AI302,0)+IF(OR($A302=DATE(2026,11,29),$A302=DATE(2026,11,30),$A302=DATE(2026,12,1),$A302=DATE(2026,12,2)),AJ302,0)+IF(OR($A302=DATE(2026,11,28),$A302=DATE(2026,12,1)),AK302,0))))</f>
        <v>0</v>
      </c>
      <c r="AM302" s="14" t="n">
        <f aca="false">IF(AND($A302&lt;&gt;"",$A302&lt;Parameters!$B$14),CityData!F7*(1+TAXRATE),0)</f>
        <v>0</v>
      </c>
      <c r="AN302" s="14" t="n">
        <f aca="false">IF($A302="",0,IFERROR(VLOOKUP((YEAR($A302)+IF(MONTH($A302)&gt;=10,1,0))&amp;"|Seattle|"&amp;MONTH($A302),Rates!$A$2:$I$181,5,FALSE()),0))</f>
        <v>0</v>
      </c>
      <c r="AO302" s="14" t="n">
        <f aca="false">IF(OR($A302="",$A302&gt;=Parameters!$B$14),1,IF(AND(AN302&gt;0,CityData!F7&lt;=AN302),1,0))</f>
        <v>1</v>
      </c>
    </row>
    <row r="303" customFormat="false" ht="15" hidden="false" customHeight="true" outlineLevel="0" collapsed="false">
      <c r="A303" s="23" t="str">
        <f aca="false">IF(AND(Parameters!$B$14&gt;=Parameters!$B$13,ROW()-2&lt;=Parameters!$B$14-Parameters!$B$13),Parameters!$B$13+ROW()-2,"")</f>
        <v/>
      </c>
      <c r="B303" s="14" t="n">
        <f aca="false">IF($A303="",0,IFERROR(VLOOKUP((YEAR($A303)+IF(MONTH($A303)&gt;=10,1,0))&amp;"|Boston|"&amp;MONTH($A303),Rates!$A$2:$I$181,6,FALSE()),0))</f>
        <v>0</v>
      </c>
      <c r="C303" s="14" t="n">
        <f aca="false">IF(B303=0,0,VLOOKUP(B303,MIE_Components!$A$2:$F$6,2,FALSE()))</f>
        <v>0</v>
      </c>
      <c r="D303" s="14" t="n">
        <f aca="false">IF(B303=0,0,VLOOKUP(B303,MIE_Components!$A$2:$F$6,3,FALSE()))</f>
        <v>0</v>
      </c>
      <c r="E303" s="14" t="n">
        <f aca="false">IF(B303=0,0,VLOOKUP(B303,MIE_Components!$A$2:$F$6,4,FALSE()))</f>
        <v>0</v>
      </c>
      <c r="F303" s="14" t="n">
        <f aca="false">IF(OR($A303="",B303=0),0,MAX(5,B303*IF(OR($A303=Parameters!$B$13,$A303=Parameters!$B$14),0.75,1)-(IF(AND($A303=DATE(2026,11,29),NOV29BF="Yes"),C303,0)+IF(OR($A303=DATE(2026,11,29),$A303=DATE(2026,11,30),$A303=DATE(2026,12,1),$A303=DATE(2026,12,2)),D303,0)+IF(OR($A303=DATE(2026,11,28),$A303=DATE(2026,12,1)),E303,0))))</f>
        <v>0</v>
      </c>
      <c r="G303" s="14" t="n">
        <f aca="false">IF(AND($A303&lt;&gt;"",$A303&lt;Parameters!$B$14),CityData!F3*(1+TAXRATE),0)</f>
        <v>0</v>
      </c>
      <c r="H303" s="14" t="n">
        <f aca="false">IF($A303="",0,IFERROR(VLOOKUP((YEAR($A303)+IF(MONTH($A303)&gt;=10,1,0))&amp;"|Boston|"&amp;MONTH($A303),Rates!$A$2:$I$181,5,FALSE()),0))</f>
        <v>0</v>
      </c>
      <c r="I303" s="14" t="n">
        <f aca="false">IF(OR($A303="",$A303&gt;=Parameters!$B$14),1,IF(AND(H303&gt;0,CityData!F3&lt;=H303),1,0))</f>
        <v>1</v>
      </c>
      <c r="J303" s="14" t="n">
        <f aca="false">IF($A303="",0,IFERROR(VLOOKUP((YEAR($A303)+IF(MONTH($A303)&gt;=10,1,0))&amp;"|Chicago|"&amp;MONTH($A303),Rates!$A$2:$I$181,6,FALSE()),0))</f>
        <v>0</v>
      </c>
      <c r="K303" s="14" t="n">
        <f aca="false">IF(J303=0,0,VLOOKUP(J303,MIE_Components!$A$2:$F$6,2,FALSE()))</f>
        <v>0</v>
      </c>
      <c r="L303" s="14" t="n">
        <f aca="false">IF(J303=0,0,VLOOKUP(J303,MIE_Components!$A$2:$F$6,3,FALSE()))</f>
        <v>0</v>
      </c>
      <c r="M303" s="14" t="n">
        <f aca="false">IF(J303=0,0,VLOOKUP(J303,MIE_Components!$A$2:$F$6,4,FALSE()))</f>
        <v>0</v>
      </c>
      <c r="N303" s="14" t="n">
        <f aca="false">IF(OR($A303="",J303=0),0,MAX(5,J303*IF(OR($A303=Parameters!$B$13,$A303=Parameters!$B$14),0.75,1)-(IF(AND($A303=DATE(2026,11,29),NOV29BF="Yes"),K303,0)+IF(OR($A303=DATE(2026,11,29),$A303=DATE(2026,11,30),$A303=DATE(2026,12,1),$A303=DATE(2026,12,2)),L303,0)+IF(OR($A303=DATE(2026,11,28),$A303=DATE(2026,12,1)),M303,0))))</f>
        <v>0</v>
      </c>
      <c r="O303" s="14" t="n">
        <f aca="false">IF(AND($A303&lt;&gt;"",$A303&lt;Parameters!$B$14),CityData!F4*(1+TAXRATE),0)</f>
        <v>0</v>
      </c>
      <c r="P303" s="14" t="n">
        <f aca="false">IF($A303="",0,IFERROR(VLOOKUP((YEAR($A303)+IF(MONTH($A303)&gt;=10,1,0))&amp;"|Chicago|"&amp;MONTH($A303),Rates!$A$2:$I$181,5,FALSE()),0))</f>
        <v>0</v>
      </c>
      <c r="Q303" s="14" t="n">
        <f aca="false">IF(OR($A303="",$A303&gt;=Parameters!$B$14),1,IF(AND(P303&gt;0,CityData!F4&lt;=P303),1,0))</f>
        <v>1</v>
      </c>
      <c r="R303" s="14" t="n">
        <f aca="false">IF($A303="",0,IFERROR(VLOOKUP((YEAR($A303)+IF(MONTH($A303)&gt;=10,1,0))&amp;"|Denver|"&amp;MONTH($A303),Rates!$A$2:$I$181,6,FALSE()),0))</f>
        <v>0</v>
      </c>
      <c r="S303" s="14" t="n">
        <f aca="false">IF(R303=0,0,VLOOKUP(R303,MIE_Components!$A$2:$F$6,2,FALSE()))</f>
        <v>0</v>
      </c>
      <c r="T303" s="14" t="n">
        <f aca="false">IF(R303=0,0,VLOOKUP(R303,MIE_Components!$A$2:$F$6,3,FALSE()))</f>
        <v>0</v>
      </c>
      <c r="U303" s="14" t="n">
        <f aca="false">IF(R303=0,0,VLOOKUP(R303,MIE_Components!$A$2:$F$6,4,FALSE()))</f>
        <v>0</v>
      </c>
      <c r="V303" s="14" t="n">
        <f aca="false">IF(OR($A303="",R303=0),0,MAX(5,R303*IF(OR($A303=Parameters!$B$13,$A303=Parameters!$B$14),0.75,1)-(IF(AND($A303=DATE(2026,11,29),NOV29BF="Yes"),S303,0)+IF(OR($A303=DATE(2026,11,29),$A303=DATE(2026,11,30),$A303=DATE(2026,12,1),$A303=DATE(2026,12,2)),T303,0)+IF(OR($A303=DATE(2026,11,28),$A303=DATE(2026,12,1)),U303,0))))</f>
        <v>0</v>
      </c>
      <c r="W303" s="14" t="n">
        <f aca="false">IF(AND($A303&lt;&gt;"",$A303&lt;Parameters!$B$14),CityData!F5*(1+TAXRATE),0)</f>
        <v>0</v>
      </c>
      <c r="X303" s="14" t="n">
        <f aca="false">IF($A303="",0,IFERROR(VLOOKUP((YEAR($A303)+IF(MONTH($A303)&gt;=10,1,0))&amp;"|Denver|"&amp;MONTH($A303),Rates!$A$2:$I$181,5,FALSE()),0))</f>
        <v>0</v>
      </c>
      <c r="Y303" s="14" t="n">
        <f aca="false">IF(OR($A303="",$A303&gt;=Parameters!$B$14),1,IF(AND(X303&gt;0,CityData!F5&lt;=X303),1,0))</f>
        <v>1</v>
      </c>
      <c r="Z303" s="14" t="n">
        <f aca="false">IF($A303="",0,IFERROR(VLOOKUP((YEAR($A303)+IF(MONTH($A303)&gt;=10,1,0))&amp;"|Phoenix|"&amp;MONTH($A303),Rates!$A$2:$I$181,6,FALSE()),0))</f>
        <v>0</v>
      </c>
      <c r="AA303" s="14" t="n">
        <f aca="false">IF(Z303=0,0,VLOOKUP(Z303,MIE_Components!$A$2:$F$6,2,FALSE()))</f>
        <v>0</v>
      </c>
      <c r="AB303" s="14" t="n">
        <f aca="false">IF(Z303=0,0,VLOOKUP(Z303,MIE_Components!$A$2:$F$6,3,FALSE()))</f>
        <v>0</v>
      </c>
      <c r="AC303" s="14" t="n">
        <f aca="false">IF(Z303=0,0,VLOOKUP(Z303,MIE_Components!$A$2:$F$6,4,FALSE()))</f>
        <v>0</v>
      </c>
      <c r="AD303" s="14" t="n">
        <f aca="false">IF(OR($A303="",Z303=0),0,MAX(5,Z303*IF(OR($A303=Parameters!$B$13,$A303=Parameters!$B$14),0.75,1)-(IF(AND($A303=DATE(2026,11,29),NOV29BF="Yes"),AA303,0)+IF(OR($A303=DATE(2026,11,29),$A303=DATE(2026,11,30),$A303=DATE(2026,12,1),$A303=DATE(2026,12,2)),AB303,0)+IF(OR($A303=DATE(2026,11,28),$A303=DATE(2026,12,1)),AC303,0))))</f>
        <v>0</v>
      </c>
      <c r="AE303" s="14" t="n">
        <f aca="false">IF(AND($A303&lt;&gt;"",$A303&lt;Parameters!$B$14),CityData!F6*(1+TAXRATE),0)</f>
        <v>0</v>
      </c>
      <c r="AF303" s="14" t="n">
        <f aca="false">IF($A303="",0,IFERROR(VLOOKUP((YEAR($A303)+IF(MONTH($A303)&gt;=10,1,0))&amp;"|Phoenix|"&amp;MONTH($A303),Rates!$A$2:$I$181,5,FALSE()),0))</f>
        <v>0</v>
      </c>
      <c r="AG303" s="14" t="n">
        <f aca="false">IF(OR($A303="",$A303&gt;=Parameters!$B$14),1,IF(AND(AF303&gt;0,CityData!F6&lt;=AF303),1,0))</f>
        <v>1</v>
      </c>
      <c r="AH303" s="14" t="n">
        <f aca="false">IF($A303="",0,IFERROR(VLOOKUP((YEAR($A303)+IF(MONTH($A303)&gt;=10,1,0))&amp;"|Seattle|"&amp;MONTH($A303),Rates!$A$2:$I$181,6,FALSE()),0))</f>
        <v>0</v>
      </c>
      <c r="AI303" s="14" t="n">
        <f aca="false">IF(AH303=0,0,VLOOKUP(AH303,MIE_Components!$A$2:$F$6,2,FALSE()))</f>
        <v>0</v>
      </c>
      <c r="AJ303" s="14" t="n">
        <f aca="false">IF(AH303=0,0,VLOOKUP(AH303,MIE_Components!$A$2:$F$6,3,FALSE()))</f>
        <v>0</v>
      </c>
      <c r="AK303" s="14" t="n">
        <f aca="false">IF(AH303=0,0,VLOOKUP(AH303,MIE_Components!$A$2:$F$6,4,FALSE()))</f>
        <v>0</v>
      </c>
      <c r="AL303" s="14" t="n">
        <f aca="false">IF(OR($A303="",AH303=0),0,MAX(5,AH303*IF(OR($A303=Parameters!$B$13,$A303=Parameters!$B$14),0.75,1)-(IF(AND($A303=DATE(2026,11,29),NOV29BF="Yes"),AI303,0)+IF(OR($A303=DATE(2026,11,29),$A303=DATE(2026,11,30),$A303=DATE(2026,12,1),$A303=DATE(2026,12,2)),AJ303,0)+IF(OR($A303=DATE(2026,11,28),$A303=DATE(2026,12,1)),AK303,0))))</f>
        <v>0</v>
      </c>
      <c r="AM303" s="14" t="n">
        <f aca="false">IF(AND($A303&lt;&gt;"",$A303&lt;Parameters!$B$14),CityData!F7*(1+TAXRATE),0)</f>
        <v>0</v>
      </c>
      <c r="AN303" s="14" t="n">
        <f aca="false">IF($A303="",0,IFERROR(VLOOKUP((YEAR($A303)+IF(MONTH($A303)&gt;=10,1,0))&amp;"|Seattle|"&amp;MONTH($A303),Rates!$A$2:$I$181,5,FALSE()),0))</f>
        <v>0</v>
      </c>
      <c r="AO303" s="14" t="n">
        <f aca="false">IF(OR($A303="",$A303&gt;=Parameters!$B$14),1,IF(AND(AN303&gt;0,CityData!F7&lt;=AN303),1,0))</f>
        <v>1</v>
      </c>
    </row>
    <row r="304" customFormat="false" ht="15" hidden="false" customHeight="true" outlineLevel="0" collapsed="false">
      <c r="A304" s="23" t="str">
        <f aca="false">IF(AND(Parameters!$B$14&gt;=Parameters!$B$13,ROW()-2&lt;=Parameters!$B$14-Parameters!$B$13),Parameters!$B$13+ROW()-2,"")</f>
        <v/>
      </c>
      <c r="B304" s="14" t="n">
        <f aca="false">IF($A304="",0,IFERROR(VLOOKUP((YEAR($A304)+IF(MONTH($A304)&gt;=10,1,0))&amp;"|Boston|"&amp;MONTH($A304),Rates!$A$2:$I$181,6,FALSE()),0))</f>
        <v>0</v>
      </c>
      <c r="C304" s="14" t="n">
        <f aca="false">IF(B304=0,0,VLOOKUP(B304,MIE_Components!$A$2:$F$6,2,FALSE()))</f>
        <v>0</v>
      </c>
      <c r="D304" s="14" t="n">
        <f aca="false">IF(B304=0,0,VLOOKUP(B304,MIE_Components!$A$2:$F$6,3,FALSE()))</f>
        <v>0</v>
      </c>
      <c r="E304" s="14" t="n">
        <f aca="false">IF(B304=0,0,VLOOKUP(B304,MIE_Components!$A$2:$F$6,4,FALSE()))</f>
        <v>0</v>
      </c>
      <c r="F304" s="14" t="n">
        <f aca="false">IF(OR($A304="",B304=0),0,MAX(5,B304*IF(OR($A304=Parameters!$B$13,$A304=Parameters!$B$14),0.75,1)-(IF(AND($A304=DATE(2026,11,29),NOV29BF="Yes"),C304,0)+IF(OR($A304=DATE(2026,11,29),$A304=DATE(2026,11,30),$A304=DATE(2026,12,1),$A304=DATE(2026,12,2)),D304,0)+IF(OR($A304=DATE(2026,11,28),$A304=DATE(2026,12,1)),E304,0))))</f>
        <v>0</v>
      </c>
      <c r="G304" s="14" t="n">
        <f aca="false">IF(AND($A304&lt;&gt;"",$A304&lt;Parameters!$B$14),CityData!F3*(1+TAXRATE),0)</f>
        <v>0</v>
      </c>
      <c r="H304" s="14" t="n">
        <f aca="false">IF($A304="",0,IFERROR(VLOOKUP((YEAR($A304)+IF(MONTH($A304)&gt;=10,1,0))&amp;"|Boston|"&amp;MONTH($A304),Rates!$A$2:$I$181,5,FALSE()),0))</f>
        <v>0</v>
      </c>
      <c r="I304" s="14" t="n">
        <f aca="false">IF(OR($A304="",$A304&gt;=Parameters!$B$14),1,IF(AND(H304&gt;0,CityData!F3&lt;=H304),1,0))</f>
        <v>1</v>
      </c>
      <c r="J304" s="14" t="n">
        <f aca="false">IF($A304="",0,IFERROR(VLOOKUP((YEAR($A304)+IF(MONTH($A304)&gt;=10,1,0))&amp;"|Chicago|"&amp;MONTH($A304),Rates!$A$2:$I$181,6,FALSE()),0))</f>
        <v>0</v>
      </c>
      <c r="K304" s="14" t="n">
        <f aca="false">IF(J304=0,0,VLOOKUP(J304,MIE_Components!$A$2:$F$6,2,FALSE()))</f>
        <v>0</v>
      </c>
      <c r="L304" s="14" t="n">
        <f aca="false">IF(J304=0,0,VLOOKUP(J304,MIE_Components!$A$2:$F$6,3,FALSE()))</f>
        <v>0</v>
      </c>
      <c r="M304" s="14" t="n">
        <f aca="false">IF(J304=0,0,VLOOKUP(J304,MIE_Components!$A$2:$F$6,4,FALSE()))</f>
        <v>0</v>
      </c>
      <c r="N304" s="14" t="n">
        <f aca="false">IF(OR($A304="",J304=0),0,MAX(5,J304*IF(OR($A304=Parameters!$B$13,$A304=Parameters!$B$14),0.75,1)-(IF(AND($A304=DATE(2026,11,29),NOV29BF="Yes"),K304,0)+IF(OR($A304=DATE(2026,11,29),$A304=DATE(2026,11,30),$A304=DATE(2026,12,1),$A304=DATE(2026,12,2)),L304,0)+IF(OR($A304=DATE(2026,11,28),$A304=DATE(2026,12,1)),M304,0))))</f>
        <v>0</v>
      </c>
      <c r="O304" s="14" t="n">
        <f aca="false">IF(AND($A304&lt;&gt;"",$A304&lt;Parameters!$B$14),CityData!F4*(1+TAXRATE),0)</f>
        <v>0</v>
      </c>
      <c r="P304" s="14" t="n">
        <f aca="false">IF($A304="",0,IFERROR(VLOOKUP((YEAR($A304)+IF(MONTH($A304)&gt;=10,1,0))&amp;"|Chicago|"&amp;MONTH($A304),Rates!$A$2:$I$181,5,FALSE()),0))</f>
        <v>0</v>
      </c>
      <c r="Q304" s="14" t="n">
        <f aca="false">IF(OR($A304="",$A304&gt;=Parameters!$B$14),1,IF(AND(P304&gt;0,CityData!F4&lt;=P304),1,0))</f>
        <v>1</v>
      </c>
      <c r="R304" s="14" t="n">
        <f aca="false">IF($A304="",0,IFERROR(VLOOKUP((YEAR($A304)+IF(MONTH($A304)&gt;=10,1,0))&amp;"|Denver|"&amp;MONTH($A304),Rates!$A$2:$I$181,6,FALSE()),0))</f>
        <v>0</v>
      </c>
      <c r="S304" s="14" t="n">
        <f aca="false">IF(R304=0,0,VLOOKUP(R304,MIE_Components!$A$2:$F$6,2,FALSE()))</f>
        <v>0</v>
      </c>
      <c r="T304" s="14" t="n">
        <f aca="false">IF(R304=0,0,VLOOKUP(R304,MIE_Components!$A$2:$F$6,3,FALSE()))</f>
        <v>0</v>
      </c>
      <c r="U304" s="14" t="n">
        <f aca="false">IF(R304=0,0,VLOOKUP(R304,MIE_Components!$A$2:$F$6,4,FALSE()))</f>
        <v>0</v>
      </c>
      <c r="V304" s="14" t="n">
        <f aca="false">IF(OR($A304="",R304=0),0,MAX(5,R304*IF(OR($A304=Parameters!$B$13,$A304=Parameters!$B$14),0.75,1)-(IF(AND($A304=DATE(2026,11,29),NOV29BF="Yes"),S304,0)+IF(OR($A304=DATE(2026,11,29),$A304=DATE(2026,11,30),$A304=DATE(2026,12,1),$A304=DATE(2026,12,2)),T304,0)+IF(OR($A304=DATE(2026,11,28),$A304=DATE(2026,12,1)),U304,0))))</f>
        <v>0</v>
      </c>
      <c r="W304" s="14" t="n">
        <f aca="false">IF(AND($A304&lt;&gt;"",$A304&lt;Parameters!$B$14),CityData!F5*(1+TAXRATE),0)</f>
        <v>0</v>
      </c>
      <c r="X304" s="14" t="n">
        <f aca="false">IF($A304="",0,IFERROR(VLOOKUP((YEAR($A304)+IF(MONTH($A304)&gt;=10,1,0))&amp;"|Denver|"&amp;MONTH($A304),Rates!$A$2:$I$181,5,FALSE()),0))</f>
        <v>0</v>
      </c>
      <c r="Y304" s="14" t="n">
        <f aca="false">IF(OR($A304="",$A304&gt;=Parameters!$B$14),1,IF(AND(X304&gt;0,CityData!F5&lt;=X304),1,0))</f>
        <v>1</v>
      </c>
      <c r="Z304" s="14" t="n">
        <f aca="false">IF($A304="",0,IFERROR(VLOOKUP((YEAR($A304)+IF(MONTH($A304)&gt;=10,1,0))&amp;"|Phoenix|"&amp;MONTH($A304),Rates!$A$2:$I$181,6,FALSE()),0))</f>
        <v>0</v>
      </c>
      <c r="AA304" s="14" t="n">
        <f aca="false">IF(Z304=0,0,VLOOKUP(Z304,MIE_Components!$A$2:$F$6,2,FALSE()))</f>
        <v>0</v>
      </c>
      <c r="AB304" s="14" t="n">
        <f aca="false">IF(Z304=0,0,VLOOKUP(Z304,MIE_Components!$A$2:$F$6,3,FALSE()))</f>
        <v>0</v>
      </c>
      <c r="AC304" s="14" t="n">
        <f aca="false">IF(Z304=0,0,VLOOKUP(Z304,MIE_Components!$A$2:$F$6,4,FALSE()))</f>
        <v>0</v>
      </c>
      <c r="AD304" s="14" t="n">
        <f aca="false">IF(OR($A304="",Z304=0),0,MAX(5,Z304*IF(OR($A304=Parameters!$B$13,$A304=Parameters!$B$14),0.75,1)-(IF(AND($A304=DATE(2026,11,29),NOV29BF="Yes"),AA304,0)+IF(OR($A304=DATE(2026,11,29),$A304=DATE(2026,11,30),$A304=DATE(2026,12,1),$A304=DATE(2026,12,2)),AB304,0)+IF(OR($A304=DATE(2026,11,28),$A304=DATE(2026,12,1)),AC304,0))))</f>
        <v>0</v>
      </c>
      <c r="AE304" s="14" t="n">
        <f aca="false">IF(AND($A304&lt;&gt;"",$A304&lt;Parameters!$B$14),CityData!F6*(1+TAXRATE),0)</f>
        <v>0</v>
      </c>
      <c r="AF304" s="14" t="n">
        <f aca="false">IF($A304="",0,IFERROR(VLOOKUP((YEAR($A304)+IF(MONTH($A304)&gt;=10,1,0))&amp;"|Phoenix|"&amp;MONTH($A304),Rates!$A$2:$I$181,5,FALSE()),0))</f>
        <v>0</v>
      </c>
      <c r="AG304" s="14" t="n">
        <f aca="false">IF(OR($A304="",$A304&gt;=Parameters!$B$14),1,IF(AND(AF304&gt;0,CityData!F6&lt;=AF304),1,0))</f>
        <v>1</v>
      </c>
      <c r="AH304" s="14" t="n">
        <f aca="false">IF($A304="",0,IFERROR(VLOOKUP((YEAR($A304)+IF(MONTH($A304)&gt;=10,1,0))&amp;"|Seattle|"&amp;MONTH($A304),Rates!$A$2:$I$181,6,FALSE()),0))</f>
        <v>0</v>
      </c>
      <c r="AI304" s="14" t="n">
        <f aca="false">IF(AH304=0,0,VLOOKUP(AH304,MIE_Components!$A$2:$F$6,2,FALSE()))</f>
        <v>0</v>
      </c>
      <c r="AJ304" s="14" t="n">
        <f aca="false">IF(AH304=0,0,VLOOKUP(AH304,MIE_Components!$A$2:$F$6,3,FALSE()))</f>
        <v>0</v>
      </c>
      <c r="AK304" s="14" t="n">
        <f aca="false">IF(AH304=0,0,VLOOKUP(AH304,MIE_Components!$A$2:$F$6,4,FALSE()))</f>
        <v>0</v>
      </c>
      <c r="AL304" s="14" t="n">
        <f aca="false">IF(OR($A304="",AH304=0),0,MAX(5,AH304*IF(OR($A304=Parameters!$B$13,$A304=Parameters!$B$14),0.75,1)-(IF(AND($A304=DATE(2026,11,29),NOV29BF="Yes"),AI304,0)+IF(OR($A304=DATE(2026,11,29),$A304=DATE(2026,11,30),$A304=DATE(2026,12,1),$A304=DATE(2026,12,2)),AJ304,0)+IF(OR($A304=DATE(2026,11,28),$A304=DATE(2026,12,1)),AK304,0))))</f>
        <v>0</v>
      </c>
      <c r="AM304" s="14" t="n">
        <f aca="false">IF(AND($A304&lt;&gt;"",$A304&lt;Parameters!$B$14),CityData!F7*(1+TAXRATE),0)</f>
        <v>0</v>
      </c>
      <c r="AN304" s="14" t="n">
        <f aca="false">IF($A304="",0,IFERROR(VLOOKUP((YEAR($A304)+IF(MONTH($A304)&gt;=10,1,0))&amp;"|Seattle|"&amp;MONTH($A304),Rates!$A$2:$I$181,5,FALSE()),0))</f>
        <v>0</v>
      </c>
      <c r="AO304" s="14" t="n">
        <f aca="false">IF(OR($A304="",$A304&gt;=Parameters!$B$14),1,IF(AND(AN304&gt;0,CityData!F7&lt;=AN304),1,0))</f>
        <v>1</v>
      </c>
    </row>
    <row r="305" customFormat="false" ht="15" hidden="false" customHeight="true" outlineLevel="0" collapsed="false">
      <c r="A305" s="23" t="str">
        <f aca="false">IF(AND(Parameters!$B$14&gt;=Parameters!$B$13,ROW()-2&lt;=Parameters!$B$14-Parameters!$B$13),Parameters!$B$13+ROW()-2,"")</f>
        <v/>
      </c>
      <c r="B305" s="14" t="n">
        <f aca="false">IF($A305="",0,IFERROR(VLOOKUP((YEAR($A305)+IF(MONTH($A305)&gt;=10,1,0))&amp;"|Boston|"&amp;MONTH($A305),Rates!$A$2:$I$181,6,FALSE()),0))</f>
        <v>0</v>
      </c>
      <c r="C305" s="14" t="n">
        <f aca="false">IF(B305=0,0,VLOOKUP(B305,MIE_Components!$A$2:$F$6,2,FALSE()))</f>
        <v>0</v>
      </c>
      <c r="D305" s="14" t="n">
        <f aca="false">IF(B305=0,0,VLOOKUP(B305,MIE_Components!$A$2:$F$6,3,FALSE()))</f>
        <v>0</v>
      </c>
      <c r="E305" s="14" t="n">
        <f aca="false">IF(B305=0,0,VLOOKUP(B305,MIE_Components!$A$2:$F$6,4,FALSE()))</f>
        <v>0</v>
      </c>
      <c r="F305" s="14" t="n">
        <f aca="false">IF(OR($A305="",B305=0),0,MAX(5,B305*IF(OR($A305=Parameters!$B$13,$A305=Parameters!$B$14),0.75,1)-(IF(AND($A305=DATE(2026,11,29),NOV29BF="Yes"),C305,0)+IF(OR($A305=DATE(2026,11,29),$A305=DATE(2026,11,30),$A305=DATE(2026,12,1),$A305=DATE(2026,12,2)),D305,0)+IF(OR($A305=DATE(2026,11,28),$A305=DATE(2026,12,1)),E305,0))))</f>
        <v>0</v>
      </c>
      <c r="G305" s="14" t="n">
        <f aca="false">IF(AND($A305&lt;&gt;"",$A305&lt;Parameters!$B$14),CityData!F3*(1+TAXRATE),0)</f>
        <v>0</v>
      </c>
      <c r="H305" s="14" t="n">
        <f aca="false">IF($A305="",0,IFERROR(VLOOKUP((YEAR($A305)+IF(MONTH($A305)&gt;=10,1,0))&amp;"|Boston|"&amp;MONTH($A305),Rates!$A$2:$I$181,5,FALSE()),0))</f>
        <v>0</v>
      </c>
      <c r="I305" s="14" t="n">
        <f aca="false">IF(OR($A305="",$A305&gt;=Parameters!$B$14),1,IF(AND(H305&gt;0,CityData!F3&lt;=H305),1,0))</f>
        <v>1</v>
      </c>
      <c r="J305" s="14" t="n">
        <f aca="false">IF($A305="",0,IFERROR(VLOOKUP((YEAR($A305)+IF(MONTH($A305)&gt;=10,1,0))&amp;"|Chicago|"&amp;MONTH($A305),Rates!$A$2:$I$181,6,FALSE()),0))</f>
        <v>0</v>
      </c>
      <c r="K305" s="14" t="n">
        <f aca="false">IF(J305=0,0,VLOOKUP(J305,MIE_Components!$A$2:$F$6,2,FALSE()))</f>
        <v>0</v>
      </c>
      <c r="L305" s="14" t="n">
        <f aca="false">IF(J305=0,0,VLOOKUP(J305,MIE_Components!$A$2:$F$6,3,FALSE()))</f>
        <v>0</v>
      </c>
      <c r="M305" s="14" t="n">
        <f aca="false">IF(J305=0,0,VLOOKUP(J305,MIE_Components!$A$2:$F$6,4,FALSE()))</f>
        <v>0</v>
      </c>
      <c r="N305" s="14" t="n">
        <f aca="false">IF(OR($A305="",J305=0),0,MAX(5,J305*IF(OR($A305=Parameters!$B$13,$A305=Parameters!$B$14),0.75,1)-(IF(AND($A305=DATE(2026,11,29),NOV29BF="Yes"),K305,0)+IF(OR($A305=DATE(2026,11,29),$A305=DATE(2026,11,30),$A305=DATE(2026,12,1),$A305=DATE(2026,12,2)),L305,0)+IF(OR($A305=DATE(2026,11,28),$A305=DATE(2026,12,1)),M305,0))))</f>
        <v>0</v>
      </c>
      <c r="O305" s="14" t="n">
        <f aca="false">IF(AND($A305&lt;&gt;"",$A305&lt;Parameters!$B$14),CityData!F4*(1+TAXRATE),0)</f>
        <v>0</v>
      </c>
      <c r="P305" s="14" t="n">
        <f aca="false">IF($A305="",0,IFERROR(VLOOKUP((YEAR($A305)+IF(MONTH($A305)&gt;=10,1,0))&amp;"|Chicago|"&amp;MONTH($A305),Rates!$A$2:$I$181,5,FALSE()),0))</f>
        <v>0</v>
      </c>
      <c r="Q305" s="14" t="n">
        <f aca="false">IF(OR($A305="",$A305&gt;=Parameters!$B$14),1,IF(AND(P305&gt;0,CityData!F4&lt;=P305),1,0))</f>
        <v>1</v>
      </c>
      <c r="R305" s="14" t="n">
        <f aca="false">IF($A305="",0,IFERROR(VLOOKUP((YEAR($A305)+IF(MONTH($A305)&gt;=10,1,0))&amp;"|Denver|"&amp;MONTH($A305),Rates!$A$2:$I$181,6,FALSE()),0))</f>
        <v>0</v>
      </c>
      <c r="S305" s="14" t="n">
        <f aca="false">IF(R305=0,0,VLOOKUP(R305,MIE_Components!$A$2:$F$6,2,FALSE()))</f>
        <v>0</v>
      </c>
      <c r="T305" s="14" t="n">
        <f aca="false">IF(R305=0,0,VLOOKUP(R305,MIE_Components!$A$2:$F$6,3,FALSE()))</f>
        <v>0</v>
      </c>
      <c r="U305" s="14" t="n">
        <f aca="false">IF(R305=0,0,VLOOKUP(R305,MIE_Components!$A$2:$F$6,4,FALSE()))</f>
        <v>0</v>
      </c>
      <c r="V305" s="14" t="n">
        <f aca="false">IF(OR($A305="",R305=0),0,MAX(5,R305*IF(OR($A305=Parameters!$B$13,$A305=Parameters!$B$14),0.75,1)-(IF(AND($A305=DATE(2026,11,29),NOV29BF="Yes"),S305,0)+IF(OR($A305=DATE(2026,11,29),$A305=DATE(2026,11,30),$A305=DATE(2026,12,1),$A305=DATE(2026,12,2)),T305,0)+IF(OR($A305=DATE(2026,11,28),$A305=DATE(2026,12,1)),U305,0))))</f>
        <v>0</v>
      </c>
      <c r="W305" s="14" t="n">
        <f aca="false">IF(AND($A305&lt;&gt;"",$A305&lt;Parameters!$B$14),CityData!F5*(1+TAXRATE),0)</f>
        <v>0</v>
      </c>
      <c r="X305" s="14" t="n">
        <f aca="false">IF($A305="",0,IFERROR(VLOOKUP((YEAR($A305)+IF(MONTH($A305)&gt;=10,1,0))&amp;"|Denver|"&amp;MONTH($A305),Rates!$A$2:$I$181,5,FALSE()),0))</f>
        <v>0</v>
      </c>
      <c r="Y305" s="14" t="n">
        <f aca="false">IF(OR($A305="",$A305&gt;=Parameters!$B$14),1,IF(AND(X305&gt;0,CityData!F5&lt;=X305),1,0))</f>
        <v>1</v>
      </c>
      <c r="Z305" s="14" t="n">
        <f aca="false">IF($A305="",0,IFERROR(VLOOKUP((YEAR($A305)+IF(MONTH($A305)&gt;=10,1,0))&amp;"|Phoenix|"&amp;MONTH($A305),Rates!$A$2:$I$181,6,FALSE()),0))</f>
        <v>0</v>
      </c>
      <c r="AA305" s="14" t="n">
        <f aca="false">IF(Z305=0,0,VLOOKUP(Z305,MIE_Components!$A$2:$F$6,2,FALSE()))</f>
        <v>0</v>
      </c>
      <c r="AB305" s="14" t="n">
        <f aca="false">IF(Z305=0,0,VLOOKUP(Z305,MIE_Components!$A$2:$F$6,3,FALSE()))</f>
        <v>0</v>
      </c>
      <c r="AC305" s="14" t="n">
        <f aca="false">IF(Z305=0,0,VLOOKUP(Z305,MIE_Components!$A$2:$F$6,4,FALSE()))</f>
        <v>0</v>
      </c>
      <c r="AD305" s="14" t="n">
        <f aca="false">IF(OR($A305="",Z305=0),0,MAX(5,Z305*IF(OR($A305=Parameters!$B$13,$A305=Parameters!$B$14),0.75,1)-(IF(AND($A305=DATE(2026,11,29),NOV29BF="Yes"),AA305,0)+IF(OR($A305=DATE(2026,11,29),$A305=DATE(2026,11,30),$A305=DATE(2026,12,1),$A305=DATE(2026,12,2)),AB305,0)+IF(OR($A305=DATE(2026,11,28),$A305=DATE(2026,12,1)),AC305,0))))</f>
        <v>0</v>
      </c>
      <c r="AE305" s="14" t="n">
        <f aca="false">IF(AND($A305&lt;&gt;"",$A305&lt;Parameters!$B$14),CityData!F6*(1+TAXRATE),0)</f>
        <v>0</v>
      </c>
      <c r="AF305" s="14" t="n">
        <f aca="false">IF($A305="",0,IFERROR(VLOOKUP((YEAR($A305)+IF(MONTH($A305)&gt;=10,1,0))&amp;"|Phoenix|"&amp;MONTH($A305),Rates!$A$2:$I$181,5,FALSE()),0))</f>
        <v>0</v>
      </c>
      <c r="AG305" s="14" t="n">
        <f aca="false">IF(OR($A305="",$A305&gt;=Parameters!$B$14),1,IF(AND(AF305&gt;0,CityData!F6&lt;=AF305),1,0))</f>
        <v>1</v>
      </c>
      <c r="AH305" s="14" t="n">
        <f aca="false">IF($A305="",0,IFERROR(VLOOKUP((YEAR($A305)+IF(MONTH($A305)&gt;=10,1,0))&amp;"|Seattle|"&amp;MONTH($A305),Rates!$A$2:$I$181,6,FALSE()),0))</f>
        <v>0</v>
      </c>
      <c r="AI305" s="14" t="n">
        <f aca="false">IF(AH305=0,0,VLOOKUP(AH305,MIE_Components!$A$2:$F$6,2,FALSE()))</f>
        <v>0</v>
      </c>
      <c r="AJ305" s="14" t="n">
        <f aca="false">IF(AH305=0,0,VLOOKUP(AH305,MIE_Components!$A$2:$F$6,3,FALSE()))</f>
        <v>0</v>
      </c>
      <c r="AK305" s="14" t="n">
        <f aca="false">IF(AH305=0,0,VLOOKUP(AH305,MIE_Components!$A$2:$F$6,4,FALSE()))</f>
        <v>0</v>
      </c>
      <c r="AL305" s="14" t="n">
        <f aca="false">IF(OR($A305="",AH305=0),0,MAX(5,AH305*IF(OR($A305=Parameters!$B$13,$A305=Parameters!$B$14),0.75,1)-(IF(AND($A305=DATE(2026,11,29),NOV29BF="Yes"),AI305,0)+IF(OR($A305=DATE(2026,11,29),$A305=DATE(2026,11,30),$A305=DATE(2026,12,1),$A305=DATE(2026,12,2)),AJ305,0)+IF(OR($A305=DATE(2026,11,28),$A305=DATE(2026,12,1)),AK305,0))))</f>
        <v>0</v>
      </c>
      <c r="AM305" s="14" t="n">
        <f aca="false">IF(AND($A305&lt;&gt;"",$A305&lt;Parameters!$B$14),CityData!F7*(1+TAXRATE),0)</f>
        <v>0</v>
      </c>
      <c r="AN305" s="14" t="n">
        <f aca="false">IF($A305="",0,IFERROR(VLOOKUP((YEAR($A305)+IF(MONTH($A305)&gt;=10,1,0))&amp;"|Seattle|"&amp;MONTH($A305),Rates!$A$2:$I$181,5,FALSE()),0))</f>
        <v>0</v>
      </c>
      <c r="AO305" s="14" t="n">
        <f aca="false">IF(OR($A305="",$A305&gt;=Parameters!$B$14),1,IF(AND(AN305&gt;0,CityData!F7&lt;=AN305),1,0))</f>
        <v>1</v>
      </c>
    </row>
    <row r="306" customFormat="false" ht="15" hidden="false" customHeight="true" outlineLevel="0" collapsed="false">
      <c r="A306" s="23" t="str">
        <f aca="false">IF(AND(Parameters!$B$14&gt;=Parameters!$B$13,ROW()-2&lt;=Parameters!$B$14-Parameters!$B$13),Parameters!$B$13+ROW()-2,"")</f>
        <v/>
      </c>
      <c r="B306" s="14" t="n">
        <f aca="false">IF($A306="",0,IFERROR(VLOOKUP((YEAR($A306)+IF(MONTH($A306)&gt;=10,1,0))&amp;"|Boston|"&amp;MONTH($A306),Rates!$A$2:$I$181,6,FALSE()),0))</f>
        <v>0</v>
      </c>
      <c r="C306" s="14" t="n">
        <f aca="false">IF(B306=0,0,VLOOKUP(B306,MIE_Components!$A$2:$F$6,2,FALSE()))</f>
        <v>0</v>
      </c>
      <c r="D306" s="14" t="n">
        <f aca="false">IF(B306=0,0,VLOOKUP(B306,MIE_Components!$A$2:$F$6,3,FALSE()))</f>
        <v>0</v>
      </c>
      <c r="E306" s="14" t="n">
        <f aca="false">IF(B306=0,0,VLOOKUP(B306,MIE_Components!$A$2:$F$6,4,FALSE()))</f>
        <v>0</v>
      </c>
      <c r="F306" s="14" t="n">
        <f aca="false">IF(OR($A306="",B306=0),0,MAX(5,B306*IF(OR($A306=Parameters!$B$13,$A306=Parameters!$B$14),0.75,1)-(IF(AND($A306=DATE(2026,11,29),NOV29BF="Yes"),C306,0)+IF(OR($A306=DATE(2026,11,29),$A306=DATE(2026,11,30),$A306=DATE(2026,12,1),$A306=DATE(2026,12,2)),D306,0)+IF(OR($A306=DATE(2026,11,28),$A306=DATE(2026,12,1)),E306,0))))</f>
        <v>0</v>
      </c>
      <c r="G306" s="14" t="n">
        <f aca="false">IF(AND($A306&lt;&gt;"",$A306&lt;Parameters!$B$14),CityData!F3*(1+TAXRATE),0)</f>
        <v>0</v>
      </c>
      <c r="H306" s="14" t="n">
        <f aca="false">IF($A306="",0,IFERROR(VLOOKUP((YEAR($A306)+IF(MONTH($A306)&gt;=10,1,0))&amp;"|Boston|"&amp;MONTH($A306),Rates!$A$2:$I$181,5,FALSE()),0))</f>
        <v>0</v>
      </c>
      <c r="I306" s="14" t="n">
        <f aca="false">IF(OR($A306="",$A306&gt;=Parameters!$B$14),1,IF(AND(H306&gt;0,CityData!F3&lt;=H306),1,0))</f>
        <v>1</v>
      </c>
      <c r="J306" s="14" t="n">
        <f aca="false">IF($A306="",0,IFERROR(VLOOKUP((YEAR($A306)+IF(MONTH($A306)&gt;=10,1,0))&amp;"|Chicago|"&amp;MONTH($A306),Rates!$A$2:$I$181,6,FALSE()),0))</f>
        <v>0</v>
      </c>
      <c r="K306" s="14" t="n">
        <f aca="false">IF(J306=0,0,VLOOKUP(J306,MIE_Components!$A$2:$F$6,2,FALSE()))</f>
        <v>0</v>
      </c>
      <c r="L306" s="14" t="n">
        <f aca="false">IF(J306=0,0,VLOOKUP(J306,MIE_Components!$A$2:$F$6,3,FALSE()))</f>
        <v>0</v>
      </c>
      <c r="M306" s="14" t="n">
        <f aca="false">IF(J306=0,0,VLOOKUP(J306,MIE_Components!$A$2:$F$6,4,FALSE()))</f>
        <v>0</v>
      </c>
      <c r="N306" s="14" t="n">
        <f aca="false">IF(OR($A306="",J306=0),0,MAX(5,J306*IF(OR($A306=Parameters!$B$13,$A306=Parameters!$B$14),0.75,1)-(IF(AND($A306=DATE(2026,11,29),NOV29BF="Yes"),K306,0)+IF(OR($A306=DATE(2026,11,29),$A306=DATE(2026,11,30),$A306=DATE(2026,12,1),$A306=DATE(2026,12,2)),L306,0)+IF(OR($A306=DATE(2026,11,28),$A306=DATE(2026,12,1)),M306,0))))</f>
        <v>0</v>
      </c>
      <c r="O306" s="14" t="n">
        <f aca="false">IF(AND($A306&lt;&gt;"",$A306&lt;Parameters!$B$14),CityData!F4*(1+TAXRATE),0)</f>
        <v>0</v>
      </c>
      <c r="P306" s="14" t="n">
        <f aca="false">IF($A306="",0,IFERROR(VLOOKUP((YEAR($A306)+IF(MONTH($A306)&gt;=10,1,0))&amp;"|Chicago|"&amp;MONTH($A306),Rates!$A$2:$I$181,5,FALSE()),0))</f>
        <v>0</v>
      </c>
      <c r="Q306" s="14" t="n">
        <f aca="false">IF(OR($A306="",$A306&gt;=Parameters!$B$14),1,IF(AND(P306&gt;0,CityData!F4&lt;=P306),1,0))</f>
        <v>1</v>
      </c>
      <c r="R306" s="14" t="n">
        <f aca="false">IF($A306="",0,IFERROR(VLOOKUP((YEAR($A306)+IF(MONTH($A306)&gt;=10,1,0))&amp;"|Denver|"&amp;MONTH($A306),Rates!$A$2:$I$181,6,FALSE()),0))</f>
        <v>0</v>
      </c>
      <c r="S306" s="14" t="n">
        <f aca="false">IF(R306=0,0,VLOOKUP(R306,MIE_Components!$A$2:$F$6,2,FALSE()))</f>
        <v>0</v>
      </c>
      <c r="T306" s="14" t="n">
        <f aca="false">IF(R306=0,0,VLOOKUP(R306,MIE_Components!$A$2:$F$6,3,FALSE()))</f>
        <v>0</v>
      </c>
      <c r="U306" s="14" t="n">
        <f aca="false">IF(R306=0,0,VLOOKUP(R306,MIE_Components!$A$2:$F$6,4,FALSE()))</f>
        <v>0</v>
      </c>
      <c r="V306" s="14" t="n">
        <f aca="false">IF(OR($A306="",R306=0),0,MAX(5,R306*IF(OR($A306=Parameters!$B$13,$A306=Parameters!$B$14),0.75,1)-(IF(AND($A306=DATE(2026,11,29),NOV29BF="Yes"),S306,0)+IF(OR($A306=DATE(2026,11,29),$A306=DATE(2026,11,30),$A306=DATE(2026,12,1),$A306=DATE(2026,12,2)),T306,0)+IF(OR($A306=DATE(2026,11,28),$A306=DATE(2026,12,1)),U306,0))))</f>
        <v>0</v>
      </c>
      <c r="W306" s="14" t="n">
        <f aca="false">IF(AND($A306&lt;&gt;"",$A306&lt;Parameters!$B$14),CityData!F5*(1+TAXRATE),0)</f>
        <v>0</v>
      </c>
      <c r="X306" s="14" t="n">
        <f aca="false">IF($A306="",0,IFERROR(VLOOKUP((YEAR($A306)+IF(MONTH($A306)&gt;=10,1,0))&amp;"|Denver|"&amp;MONTH($A306),Rates!$A$2:$I$181,5,FALSE()),0))</f>
        <v>0</v>
      </c>
      <c r="Y306" s="14" t="n">
        <f aca="false">IF(OR($A306="",$A306&gt;=Parameters!$B$14),1,IF(AND(X306&gt;0,CityData!F5&lt;=X306),1,0))</f>
        <v>1</v>
      </c>
      <c r="Z306" s="14" t="n">
        <f aca="false">IF($A306="",0,IFERROR(VLOOKUP((YEAR($A306)+IF(MONTH($A306)&gt;=10,1,0))&amp;"|Phoenix|"&amp;MONTH($A306),Rates!$A$2:$I$181,6,FALSE()),0))</f>
        <v>0</v>
      </c>
      <c r="AA306" s="14" t="n">
        <f aca="false">IF(Z306=0,0,VLOOKUP(Z306,MIE_Components!$A$2:$F$6,2,FALSE()))</f>
        <v>0</v>
      </c>
      <c r="AB306" s="14" t="n">
        <f aca="false">IF(Z306=0,0,VLOOKUP(Z306,MIE_Components!$A$2:$F$6,3,FALSE()))</f>
        <v>0</v>
      </c>
      <c r="AC306" s="14" t="n">
        <f aca="false">IF(Z306=0,0,VLOOKUP(Z306,MIE_Components!$A$2:$F$6,4,FALSE()))</f>
        <v>0</v>
      </c>
      <c r="AD306" s="14" t="n">
        <f aca="false">IF(OR($A306="",Z306=0),0,MAX(5,Z306*IF(OR($A306=Parameters!$B$13,$A306=Parameters!$B$14),0.75,1)-(IF(AND($A306=DATE(2026,11,29),NOV29BF="Yes"),AA306,0)+IF(OR($A306=DATE(2026,11,29),$A306=DATE(2026,11,30),$A306=DATE(2026,12,1),$A306=DATE(2026,12,2)),AB306,0)+IF(OR($A306=DATE(2026,11,28),$A306=DATE(2026,12,1)),AC306,0))))</f>
        <v>0</v>
      </c>
      <c r="AE306" s="14" t="n">
        <f aca="false">IF(AND($A306&lt;&gt;"",$A306&lt;Parameters!$B$14),CityData!F6*(1+TAXRATE),0)</f>
        <v>0</v>
      </c>
      <c r="AF306" s="14" t="n">
        <f aca="false">IF($A306="",0,IFERROR(VLOOKUP((YEAR($A306)+IF(MONTH($A306)&gt;=10,1,0))&amp;"|Phoenix|"&amp;MONTH($A306),Rates!$A$2:$I$181,5,FALSE()),0))</f>
        <v>0</v>
      </c>
      <c r="AG306" s="14" t="n">
        <f aca="false">IF(OR($A306="",$A306&gt;=Parameters!$B$14),1,IF(AND(AF306&gt;0,CityData!F6&lt;=AF306),1,0))</f>
        <v>1</v>
      </c>
      <c r="AH306" s="14" t="n">
        <f aca="false">IF($A306="",0,IFERROR(VLOOKUP((YEAR($A306)+IF(MONTH($A306)&gt;=10,1,0))&amp;"|Seattle|"&amp;MONTH($A306),Rates!$A$2:$I$181,6,FALSE()),0))</f>
        <v>0</v>
      </c>
      <c r="AI306" s="14" t="n">
        <f aca="false">IF(AH306=0,0,VLOOKUP(AH306,MIE_Components!$A$2:$F$6,2,FALSE()))</f>
        <v>0</v>
      </c>
      <c r="AJ306" s="14" t="n">
        <f aca="false">IF(AH306=0,0,VLOOKUP(AH306,MIE_Components!$A$2:$F$6,3,FALSE()))</f>
        <v>0</v>
      </c>
      <c r="AK306" s="14" t="n">
        <f aca="false">IF(AH306=0,0,VLOOKUP(AH306,MIE_Components!$A$2:$F$6,4,FALSE()))</f>
        <v>0</v>
      </c>
      <c r="AL306" s="14" t="n">
        <f aca="false">IF(OR($A306="",AH306=0),0,MAX(5,AH306*IF(OR($A306=Parameters!$B$13,$A306=Parameters!$B$14),0.75,1)-(IF(AND($A306=DATE(2026,11,29),NOV29BF="Yes"),AI306,0)+IF(OR($A306=DATE(2026,11,29),$A306=DATE(2026,11,30),$A306=DATE(2026,12,1),$A306=DATE(2026,12,2)),AJ306,0)+IF(OR($A306=DATE(2026,11,28),$A306=DATE(2026,12,1)),AK306,0))))</f>
        <v>0</v>
      </c>
      <c r="AM306" s="14" t="n">
        <f aca="false">IF(AND($A306&lt;&gt;"",$A306&lt;Parameters!$B$14),CityData!F7*(1+TAXRATE),0)</f>
        <v>0</v>
      </c>
      <c r="AN306" s="14" t="n">
        <f aca="false">IF($A306="",0,IFERROR(VLOOKUP((YEAR($A306)+IF(MONTH($A306)&gt;=10,1,0))&amp;"|Seattle|"&amp;MONTH($A306),Rates!$A$2:$I$181,5,FALSE()),0))</f>
        <v>0</v>
      </c>
      <c r="AO306" s="14" t="n">
        <f aca="false">IF(OR($A306="",$A306&gt;=Parameters!$B$14),1,IF(AND(AN306&gt;0,CityData!F7&lt;=AN306),1,0))</f>
        <v>1</v>
      </c>
    </row>
    <row r="307" customFormat="false" ht="15" hidden="false" customHeight="true" outlineLevel="0" collapsed="false">
      <c r="A307" s="23" t="str">
        <f aca="false">IF(AND(Parameters!$B$14&gt;=Parameters!$B$13,ROW()-2&lt;=Parameters!$B$14-Parameters!$B$13),Parameters!$B$13+ROW()-2,"")</f>
        <v/>
      </c>
      <c r="B307" s="14" t="n">
        <f aca="false">IF($A307="",0,IFERROR(VLOOKUP((YEAR($A307)+IF(MONTH($A307)&gt;=10,1,0))&amp;"|Boston|"&amp;MONTH($A307),Rates!$A$2:$I$181,6,FALSE()),0))</f>
        <v>0</v>
      </c>
      <c r="C307" s="14" t="n">
        <f aca="false">IF(B307=0,0,VLOOKUP(B307,MIE_Components!$A$2:$F$6,2,FALSE()))</f>
        <v>0</v>
      </c>
      <c r="D307" s="14" t="n">
        <f aca="false">IF(B307=0,0,VLOOKUP(B307,MIE_Components!$A$2:$F$6,3,FALSE()))</f>
        <v>0</v>
      </c>
      <c r="E307" s="14" t="n">
        <f aca="false">IF(B307=0,0,VLOOKUP(B307,MIE_Components!$A$2:$F$6,4,FALSE()))</f>
        <v>0</v>
      </c>
      <c r="F307" s="14" t="n">
        <f aca="false">IF(OR($A307="",B307=0),0,MAX(5,B307*IF(OR($A307=Parameters!$B$13,$A307=Parameters!$B$14),0.75,1)-(IF(AND($A307=DATE(2026,11,29),NOV29BF="Yes"),C307,0)+IF(OR($A307=DATE(2026,11,29),$A307=DATE(2026,11,30),$A307=DATE(2026,12,1),$A307=DATE(2026,12,2)),D307,0)+IF(OR($A307=DATE(2026,11,28),$A307=DATE(2026,12,1)),E307,0))))</f>
        <v>0</v>
      </c>
      <c r="G307" s="14" t="n">
        <f aca="false">IF(AND($A307&lt;&gt;"",$A307&lt;Parameters!$B$14),CityData!F3*(1+TAXRATE),0)</f>
        <v>0</v>
      </c>
      <c r="H307" s="14" t="n">
        <f aca="false">IF($A307="",0,IFERROR(VLOOKUP((YEAR($A307)+IF(MONTH($A307)&gt;=10,1,0))&amp;"|Boston|"&amp;MONTH($A307),Rates!$A$2:$I$181,5,FALSE()),0))</f>
        <v>0</v>
      </c>
      <c r="I307" s="14" t="n">
        <f aca="false">IF(OR($A307="",$A307&gt;=Parameters!$B$14),1,IF(AND(H307&gt;0,CityData!F3&lt;=H307),1,0))</f>
        <v>1</v>
      </c>
      <c r="J307" s="14" t="n">
        <f aca="false">IF($A307="",0,IFERROR(VLOOKUP((YEAR($A307)+IF(MONTH($A307)&gt;=10,1,0))&amp;"|Chicago|"&amp;MONTH($A307),Rates!$A$2:$I$181,6,FALSE()),0))</f>
        <v>0</v>
      </c>
      <c r="K307" s="14" t="n">
        <f aca="false">IF(J307=0,0,VLOOKUP(J307,MIE_Components!$A$2:$F$6,2,FALSE()))</f>
        <v>0</v>
      </c>
      <c r="L307" s="14" t="n">
        <f aca="false">IF(J307=0,0,VLOOKUP(J307,MIE_Components!$A$2:$F$6,3,FALSE()))</f>
        <v>0</v>
      </c>
      <c r="M307" s="14" t="n">
        <f aca="false">IF(J307=0,0,VLOOKUP(J307,MIE_Components!$A$2:$F$6,4,FALSE()))</f>
        <v>0</v>
      </c>
      <c r="N307" s="14" t="n">
        <f aca="false">IF(OR($A307="",J307=0),0,MAX(5,J307*IF(OR($A307=Parameters!$B$13,$A307=Parameters!$B$14),0.75,1)-(IF(AND($A307=DATE(2026,11,29),NOV29BF="Yes"),K307,0)+IF(OR($A307=DATE(2026,11,29),$A307=DATE(2026,11,30),$A307=DATE(2026,12,1),$A307=DATE(2026,12,2)),L307,0)+IF(OR($A307=DATE(2026,11,28),$A307=DATE(2026,12,1)),M307,0))))</f>
        <v>0</v>
      </c>
      <c r="O307" s="14" t="n">
        <f aca="false">IF(AND($A307&lt;&gt;"",$A307&lt;Parameters!$B$14),CityData!F4*(1+TAXRATE),0)</f>
        <v>0</v>
      </c>
      <c r="P307" s="14" t="n">
        <f aca="false">IF($A307="",0,IFERROR(VLOOKUP((YEAR($A307)+IF(MONTH($A307)&gt;=10,1,0))&amp;"|Chicago|"&amp;MONTH($A307),Rates!$A$2:$I$181,5,FALSE()),0))</f>
        <v>0</v>
      </c>
      <c r="Q307" s="14" t="n">
        <f aca="false">IF(OR($A307="",$A307&gt;=Parameters!$B$14),1,IF(AND(P307&gt;0,CityData!F4&lt;=P307),1,0))</f>
        <v>1</v>
      </c>
      <c r="R307" s="14" t="n">
        <f aca="false">IF($A307="",0,IFERROR(VLOOKUP((YEAR($A307)+IF(MONTH($A307)&gt;=10,1,0))&amp;"|Denver|"&amp;MONTH($A307),Rates!$A$2:$I$181,6,FALSE()),0))</f>
        <v>0</v>
      </c>
      <c r="S307" s="14" t="n">
        <f aca="false">IF(R307=0,0,VLOOKUP(R307,MIE_Components!$A$2:$F$6,2,FALSE()))</f>
        <v>0</v>
      </c>
      <c r="T307" s="14" t="n">
        <f aca="false">IF(R307=0,0,VLOOKUP(R307,MIE_Components!$A$2:$F$6,3,FALSE()))</f>
        <v>0</v>
      </c>
      <c r="U307" s="14" t="n">
        <f aca="false">IF(R307=0,0,VLOOKUP(R307,MIE_Components!$A$2:$F$6,4,FALSE()))</f>
        <v>0</v>
      </c>
      <c r="V307" s="14" t="n">
        <f aca="false">IF(OR($A307="",R307=0),0,MAX(5,R307*IF(OR($A307=Parameters!$B$13,$A307=Parameters!$B$14),0.75,1)-(IF(AND($A307=DATE(2026,11,29),NOV29BF="Yes"),S307,0)+IF(OR($A307=DATE(2026,11,29),$A307=DATE(2026,11,30),$A307=DATE(2026,12,1),$A307=DATE(2026,12,2)),T307,0)+IF(OR($A307=DATE(2026,11,28),$A307=DATE(2026,12,1)),U307,0))))</f>
        <v>0</v>
      </c>
      <c r="W307" s="14" t="n">
        <f aca="false">IF(AND($A307&lt;&gt;"",$A307&lt;Parameters!$B$14),CityData!F5*(1+TAXRATE),0)</f>
        <v>0</v>
      </c>
      <c r="X307" s="14" t="n">
        <f aca="false">IF($A307="",0,IFERROR(VLOOKUP((YEAR($A307)+IF(MONTH($A307)&gt;=10,1,0))&amp;"|Denver|"&amp;MONTH($A307),Rates!$A$2:$I$181,5,FALSE()),0))</f>
        <v>0</v>
      </c>
      <c r="Y307" s="14" t="n">
        <f aca="false">IF(OR($A307="",$A307&gt;=Parameters!$B$14),1,IF(AND(X307&gt;0,CityData!F5&lt;=X307),1,0))</f>
        <v>1</v>
      </c>
      <c r="Z307" s="14" t="n">
        <f aca="false">IF($A307="",0,IFERROR(VLOOKUP((YEAR($A307)+IF(MONTH($A307)&gt;=10,1,0))&amp;"|Phoenix|"&amp;MONTH($A307),Rates!$A$2:$I$181,6,FALSE()),0))</f>
        <v>0</v>
      </c>
      <c r="AA307" s="14" t="n">
        <f aca="false">IF(Z307=0,0,VLOOKUP(Z307,MIE_Components!$A$2:$F$6,2,FALSE()))</f>
        <v>0</v>
      </c>
      <c r="AB307" s="14" t="n">
        <f aca="false">IF(Z307=0,0,VLOOKUP(Z307,MIE_Components!$A$2:$F$6,3,FALSE()))</f>
        <v>0</v>
      </c>
      <c r="AC307" s="14" t="n">
        <f aca="false">IF(Z307=0,0,VLOOKUP(Z307,MIE_Components!$A$2:$F$6,4,FALSE()))</f>
        <v>0</v>
      </c>
      <c r="AD307" s="14" t="n">
        <f aca="false">IF(OR($A307="",Z307=0),0,MAX(5,Z307*IF(OR($A307=Parameters!$B$13,$A307=Parameters!$B$14),0.75,1)-(IF(AND($A307=DATE(2026,11,29),NOV29BF="Yes"),AA307,0)+IF(OR($A307=DATE(2026,11,29),$A307=DATE(2026,11,30),$A307=DATE(2026,12,1),$A307=DATE(2026,12,2)),AB307,0)+IF(OR($A307=DATE(2026,11,28),$A307=DATE(2026,12,1)),AC307,0))))</f>
        <v>0</v>
      </c>
      <c r="AE307" s="14" t="n">
        <f aca="false">IF(AND($A307&lt;&gt;"",$A307&lt;Parameters!$B$14),CityData!F6*(1+TAXRATE),0)</f>
        <v>0</v>
      </c>
      <c r="AF307" s="14" t="n">
        <f aca="false">IF($A307="",0,IFERROR(VLOOKUP((YEAR($A307)+IF(MONTH($A307)&gt;=10,1,0))&amp;"|Phoenix|"&amp;MONTH($A307),Rates!$A$2:$I$181,5,FALSE()),0))</f>
        <v>0</v>
      </c>
      <c r="AG307" s="14" t="n">
        <f aca="false">IF(OR($A307="",$A307&gt;=Parameters!$B$14),1,IF(AND(AF307&gt;0,CityData!F6&lt;=AF307),1,0))</f>
        <v>1</v>
      </c>
      <c r="AH307" s="14" t="n">
        <f aca="false">IF($A307="",0,IFERROR(VLOOKUP((YEAR($A307)+IF(MONTH($A307)&gt;=10,1,0))&amp;"|Seattle|"&amp;MONTH($A307),Rates!$A$2:$I$181,6,FALSE()),0))</f>
        <v>0</v>
      </c>
      <c r="AI307" s="14" t="n">
        <f aca="false">IF(AH307=0,0,VLOOKUP(AH307,MIE_Components!$A$2:$F$6,2,FALSE()))</f>
        <v>0</v>
      </c>
      <c r="AJ307" s="14" t="n">
        <f aca="false">IF(AH307=0,0,VLOOKUP(AH307,MIE_Components!$A$2:$F$6,3,FALSE()))</f>
        <v>0</v>
      </c>
      <c r="AK307" s="14" t="n">
        <f aca="false">IF(AH307=0,0,VLOOKUP(AH307,MIE_Components!$A$2:$F$6,4,FALSE()))</f>
        <v>0</v>
      </c>
      <c r="AL307" s="14" t="n">
        <f aca="false">IF(OR($A307="",AH307=0),0,MAX(5,AH307*IF(OR($A307=Parameters!$B$13,$A307=Parameters!$B$14),0.75,1)-(IF(AND($A307=DATE(2026,11,29),NOV29BF="Yes"),AI307,0)+IF(OR($A307=DATE(2026,11,29),$A307=DATE(2026,11,30),$A307=DATE(2026,12,1),$A307=DATE(2026,12,2)),AJ307,0)+IF(OR($A307=DATE(2026,11,28),$A307=DATE(2026,12,1)),AK307,0))))</f>
        <v>0</v>
      </c>
      <c r="AM307" s="14" t="n">
        <f aca="false">IF(AND($A307&lt;&gt;"",$A307&lt;Parameters!$B$14),CityData!F7*(1+TAXRATE),0)</f>
        <v>0</v>
      </c>
      <c r="AN307" s="14" t="n">
        <f aca="false">IF($A307="",0,IFERROR(VLOOKUP((YEAR($A307)+IF(MONTH($A307)&gt;=10,1,0))&amp;"|Seattle|"&amp;MONTH($A307),Rates!$A$2:$I$181,5,FALSE()),0))</f>
        <v>0</v>
      </c>
      <c r="AO307" s="14" t="n">
        <f aca="false">IF(OR($A307="",$A307&gt;=Parameters!$B$14),1,IF(AND(AN307&gt;0,CityData!F7&lt;=AN307),1,0))</f>
        <v>1</v>
      </c>
    </row>
    <row r="308" customFormat="false" ht="15" hidden="false" customHeight="true" outlineLevel="0" collapsed="false">
      <c r="A308" s="23" t="str">
        <f aca="false">IF(AND(Parameters!$B$14&gt;=Parameters!$B$13,ROW()-2&lt;=Parameters!$B$14-Parameters!$B$13),Parameters!$B$13+ROW()-2,"")</f>
        <v/>
      </c>
      <c r="B308" s="14" t="n">
        <f aca="false">IF($A308="",0,IFERROR(VLOOKUP((YEAR($A308)+IF(MONTH($A308)&gt;=10,1,0))&amp;"|Boston|"&amp;MONTH($A308),Rates!$A$2:$I$181,6,FALSE()),0))</f>
        <v>0</v>
      </c>
      <c r="C308" s="14" t="n">
        <f aca="false">IF(B308=0,0,VLOOKUP(B308,MIE_Components!$A$2:$F$6,2,FALSE()))</f>
        <v>0</v>
      </c>
      <c r="D308" s="14" t="n">
        <f aca="false">IF(B308=0,0,VLOOKUP(B308,MIE_Components!$A$2:$F$6,3,FALSE()))</f>
        <v>0</v>
      </c>
      <c r="E308" s="14" t="n">
        <f aca="false">IF(B308=0,0,VLOOKUP(B308,MIE_Components!$A$2:$F$6,4,FALSE()))</f>
        <v>0</v>
      </c>
      <c r="F308" s="14" t="n">
        <f aca="false">IF(OR($A308="",B308=0),0,MAX(5,B308*IF(OR($A308=Parameters!$B$13,$A308=Parameters!$B$14),0.75,1)-(IF(AND($A308=DATE(2026,11,29),NOV29BF="Yes"),C308,0)+IF(OR($A308=DATE(2026,11,29),$A308=DATE(2026,11,30),$A308=DATE(2026,12,1),$A308=DATE(2026,12,2)),D308,0)+IF(OR($A308=DATE(2026,11,28),$A308=DATE(2026,12,1)),E308,0))))</f>
        <v>0</v>
      </c>
      <c r="G308" s="14" t="n">
        <f aca="false">IF(AND($A308&lt;&gt;"",$A308&lt;Parameters!$B$14),CityData!F3*(1+TAXRATE),0)</f>
        <v>0</v>
      </c>
      <c r="H308" s="14" t="n">
        <f aca="false">IF($A308="",0,IFERROR(VLOOKUP((YEAR($A308)+IF(MONTH($A308)&gt;=10,1,0))&amp;"|Boston|"&amp;MONTH($A308),Rates!$A$2:$I$181,5,FALSE()),0))</f>
        <v>0</v>
      </c>
      <c r="I308" s="14" t="n">
        <f aca="false">IF(OR($A308="",$A308&gt;=Parameters!$B$14),1,IF(AND(H308&gt;0,CityData!F3&lt;=H308),1,0))</f>
        <v>1</v>
      </c>
      <c r="J308" s="14" t="n">
        <f aca="false">IF($A308="",0,IFERROR(VLOOKUP((YEAR($A308)+IF(MONTH($A308)&gt;=10,1,0))&amp;"|Chicago|"&amp;MONTH($A308),Rates!$A$2:$I$181,6,FALSE()),0))</f>
        <v>0</v>
      </c>
      <c r="K308" s="14" t="n">
        <f aca="false">IF(J308=0,0,VLOOKUP(J308,MIE_Components!$A$2:$F$6,2,FALSE()))</f>
        <v>0</v>
      </c>
      <c r="L308" s="14" t="n">
        <f aca="false">IF(J308=0,0,VLOOKUP(J308,MIE_Components!$A$2:$F$6,3,FALSE()))</f>
        <v>0</v>
      </c>
      <c r="M308" s="14" t="n">
        <f aca="false">IF(J308=0,0,VLOOKUP(J308,MIE_Components!$A$2:$F$6,4,FALSE()))</f>
        <v>0</v>
      </c>
      <c r="N308" s="14" t="n">
        <f aca="false">IF(OR($A308="",J308=0),0,MAX(5,J308*IF(OR($A308=Parameters!$B$13,$A308=Parameters!$B$14),0.75,1)-(IF(AND($A308=DATE(2026,11,29),NOV29BF="Yes"),K308,0)+IF(OR($A308=DATE(2026,11,29),$A308=DATE(2026,11,30),$A308=DATE(2026,12,1),$A308=DATE(2026,12,2)),L308,0)+IF(OR($A308=DATE(2026,11,28),$A308=DATE(2026,12,1)),M308,0))))</f>
        <v>0</v>
      </c>
      <c r="O308" s="14" t="n">
        <f aca="false">IF(AND($A308&lt;&gt;"",$A308&lt;Parameters!$B$14),CityData!F4*(1+TAXRATE),0)</f>
        <v>0</v>
      </c>
      <c r="P308" s="14" t="n">
        <f aca="false">IF($A308="",0,IFERROR(VLOOKUP((YEAR($A308)+IF(MONTH($A308)&gt;=10,1,0))&amp;"|Chicago|"&amp;MONTH($A308),Rates!$A$2:$I$181,5,FALSE()),0))</f>
        <v>0</v>
      </c>
      <c r="Q308" s="14" t="n">
        <f aca="false">IF(OR($A308="",$A308&gt;=Parameters!$B$14),1,IF(AND(P308&gt;0,CityData!F4&lt;=P308),1,0))</f>
        <v>1</v>
      </c>
      <c r="R308" s="14" t="n">
        <f aca="false">IF($A308="",0,IFERROR(VLOOKUP((YEAR($A308)+IF(MONTH($A308)&gt;=10,1,0))&amp;"|Denver|"&amp;MONTH($A308),Rates!$A$2:$I$181,6,FALSE()),0))</f>
        <v>0</v>
      </c>
      <c r="S308" s="14" t="n">
        <f aca="false">IF(R308=0,0,VLOOKUP(R308,MIE_Components!$A$2:$F$6,2,FALSE()))</f>
        <v>0</v>
      </c>
      <c r="T308" s="14" t="n">
        <f aca="false">IF(R308=0,0,VLOOKUP(R308,MIE_Components!$A$2:$F$6,3,FALSE()))</f>
        <v>0</v>
      </c>
      <c r="U308" s="14" t="n">
        <f aca="false">IF(R308=0,0,VLOOKUP(R308,MIE_Components!$A$2:$F$6,4,FALSE()))</f>
        <v>0</v>
      </c>
      <c r="V308" s="14" t="n">
        <f aca="false">IF(OR($A308="",R308=0),0,MAX(5,R308*IF(OR($A308=Parameters!$B$13,$A308=Parameters!$B$14),0.75,1)-(IF(AND($A308=DATE(2026,11,29),NOV29BF="Yes"),S308,0)+IF(OR($A308=DATE(2026,11,29),$A308=DATE(2026,11,30),$A308=DATE(2026,12,1),$A308=DATE(2026,12,2)),T308,0)+IF(OR($A308=DATE(2026,11,28),$A308=DATE(2026,12,1)),U308,0))))</f>
        <v>0</v>
      </c>
      <c r="W308" s="14" t="n">
        <f aca="false">IF(AND($A308&lt;&gt;"",$A308&lt;Parameters!$B$14),CityData!F5*(1+TAXRATE),0)</f>
        <v>0</v>
      </c>
      <c r="X308" s="14" t="n">
        <f aca="false">IF($A308="",0,IFERROR(VLOOKUP((YEAR($A308)+IF(MONTH($A308)&gt;=10,1,0))&amp;"|Denver|"&amp;MONTH($A308),Rates!$A$2:$I$181,5,FALSE()),0))</f>
        <v>0</v>
      </c>
      <c r="Y308" s="14" t="n">
        <f aca="false">IF(OR($A308="",$A308&gt;=Parameters!$B$14),1,IF(AND(X308&gt;0,CityData!F5&lt;=X308),1,0))</f>
        <v>1</v>
      </c>
      <c r="Z308" s="14" t="n">
        <f aca="false">IF($A308="",0,IFERROR(VLOOKUP((YEAR($A308)+IF(MONTH($A308)&gt;=10,1,0))&amp;"|Phoenix|"&amp;MONTH($A308),Rates!$A$2:$I$181,6,FALSE()),0))</f>
        <v>0</v>
      </c>
      <c r="AA308" s="14" t="n">
        <f aca="false">IF(Z308=0,0,VLOOKUP(Z308,MIE_Components!$A$2:$F$6,2,FALSE()))</f>
        <v>0</v>
      </c>
      <c r="AB308" s="14" t="n">
        <f aca="false">IF(Z308=0,0,VLOOKUP(Z308,MIE_Components!$A$2:$F$6,3,FALSE()))</f>
        <v>0</v>
      </c>
      <c r="AC308" s="14" t="n">
        <f aca="false">IF(Z308=0,0,VLOOKUP(Z308,MIE_Components!$A$2:$F$6,4,FALSE()))</f>
        <v>0</v>
      </c>
      <c r="AD308" s="14" t="n">
        <f aca="false">IF(OR($A308="",Z308=0),0,MAX(5,Z308*IF(OR($A308=Parameters!$B$13,$A308=Parameters!$B$14),0.75,1)-(IF(AND($A308=DATE(2026,11,29),NOV29BF="Yes"),AA308,0)+IF(OR($A308=DATE(2026,11,29),$A308=DATE(2026,11,30),$A308=DATE(2026,12,1),$A308=DATE(2026,12,2)),AB308,0)+IF(OR($A308=DATE(2026,11,28),$A308=DATE(2026,12,1)),AC308,0))))</f>
        <v>0</v>
      </c>
      <c r="AE308" s="14" t="n">
        <f aca="false">IF(AND($A308&lt;&gt;"",$A308&lt;Parameters!$B$14),CityData!F6*(1+TAXRATE),0)</f>
        <v>0</v>
      </c>
      <c r="AF308" s="14" t="n">
        <f aca="false">IF($A308="",0,IFERROR(VLOOKUP((YEAR($A308)+IF(MONTH($A308)&gt;=10,1,0))&amp;"|Phoenix|"&amp;MONTH($A308),Rates!$A$2:$I$181,5,FALSE()),0))</f>
        <v>0</v>
      </c>
      <c r="AG308" s="14" t="n">
        <f aca="false">IF(OR($A308="",$A308&gt;=Parameters!$B$14),1,IF(AND(AF308&gt;0,CityData!F6&lt;=AF308),1,0))</f>
        <v>1</v>
      </c>
      <c r="AH308" s="14" t="n">
        <f aca="false">IF($A308="",0,IFERROR(VLOOKUP((YEAR($A308)+IF(MONTH($A308)&gt;=10,1,0))&amp;"|Seattle|"&amp;MONTH($A308),Rates!$A$2:$I$181,6,FALSE()),0))</f>
        <v>0</v>
      </c>
      <c r="AI308" s="14" t="n">
        <f aca="false">IF(AH308=0,0,VLOOKUP(AH308,MIE_Components!$A$2:$F$6,2,FALSE()))</f>
        <v>0</v>
      </c>
      <c r="AJ308" s="14" t="n">
        <f aca="false">IF(AH308=0,0,VLOOKUP(AH308,MIE_Components!$A$2:$F$6,3,FALSE()))</f>
        <v>0</v>
      </c>
      <c r="AK308" s="14" t="n">
        <f aca="false">IF(AH308=0,0,VLOOKUP(AH308,MIE_Components!$A$2:$F$6,4,FALSE()))</f>
        <v>0</v>
      </c>
      <c r="AL308" s="14" t="n">
        <f aca="false">IF(OR($A308="",AH308=0),0,MAX(5,AH308*IF(OR($A308=Parameters!$B$13,$A308=Parameters!$B$14),0.75,1)-(IF(AND($A308=DATE(2026,11,29),NOV29BF="Yes"),AI308,0)+IF(OR($A308=DATE(2026,11,29),$A308=DATE(2026,11,30),$A308=DATE(2026,12,1),$A308=DATE(2026,12,2)),AJ308,0)+IF(OR($A308=DATE(2026,11,28),$A308=DATE(2026,12,1)),AK308,0))))</f>
        <v>0</v>
      </c>
      <c r="AM308" s="14" t="n">
        <f aca="false">IF(AND($A308&lt;&gt;"",$A308&lt;Parameters!$B$14),CityData!F7*(1+TAXRATE),0)</f>
        <v>0</v>
      </c>
      <c r="AN308" s="14" t="n">
        <f aca="false">IF($A308="",0,IFERROR(VLOOKUP((YEAR($A308)+IF(MONTH($A308)&gt;=10,1,0))&amp;"|Seattle|"&amp;MONTH($A308),Rates!$A$2:$I$181,5,FALSE()),0))</f>
        <v>0</v>
      </c>
      <c r="AO308" s="14" t="n">
        <f aca="false">IF(OR($A308="",$A308&gt;=Parameters!$B$14),1,IF(AND(AN308&gt;0,CityData!F7&lt;=AN308),1,0))</f>
        <v>1</v>
      </c>
    </row>
    <row r="309" customFormat="false" ht="15" hidden="false" customHeight="true" outlineLevel="0" collapsed="false">
      <c r="A309" s="23" t="str">
        <f aca="false">IF(AND(Parameters!$B$14&gt;=Parameters!$B$13,ROW()-2&lt;=Parameters!$B$14-Parameters!$B$13),Parameters!$B$13+ROW()-2,"")</f>
        <v/>
      </c>
      <c r="B309" s="14" t="n">
        <f aca="false">IF($A309="",0,IFERROR(VLOOKUP((YEAR($A309)+IF(MONTH($A309)&gt;=10,1,0))&amp;"|Boston|"&amp;MONTH($A309),Rates!$A$2:$I$181,6,FALSE()),0))</f>
        <v>0</v>
      </c>
      <c r="C309" s="14" t="n">
        <f aca="false">IF(B309=0,0,VLOOKUP(B309,MIE_Components!$A$2:$F$6,2,FALSE()))</f>
        <v>0</v>
      </c>
      <c r="D309" s="14" t="n">
        <f aca="false">IF(B309=0,0,VLOOKUP(B309,MIE_Components!$A$2:$F$6,3,FALSE()))</f>
        <v>0</v>
      </c>
      <c r="E309" s="14" t="n">
        <f aca="false">IF(B309=0,0,VLOOKUP(B309,MIE_Components!$A$2:$F$6,4,FALSE()))</f>
        <v>0</v>
      </c>
      <c r="F309" s="14" t="n">
        <f aca="false">IF(OR($A309="",B309=0),0,MAX(5,B309*IF(OR($A309=Parameters!$B$13,$A309=Parameters!$B$14),0.75,1)-(IF(AND($A309=DATE(2026,11,29),NOV29BF="Yes"),C309,0)+IF(OR($A309=DATE(2026,11,29),$A309=DATE(2026,11,30),$A309=DATE(2026,12,1),$A309=DATE(2026,12,2)),D309,0)+IF(OR($A309=DATE(2026,11,28),$A309=DATE(2026,12,1)),E309,0))))</f>
        <v>0</v>
      </c>
      <c r="G309" s="14" t="n">
        <f aca="false">IF(AND($A309&lt;&gt;"",$A309&lt;Parameters!$B$14),CityData!F3*(1+TAXRATE),0)</f>
        <v>0</v>
      </c>
      <c r="H309" s="14" t="n">
        <f aca="false">IF($A309="",0,IFERROR(VLOOKUP((YEAR($A309)+IF(MONTH($A309)&gt;=10,1,0))&amp;"|Boston|"&amp;MONTH($A309),Rates!$A$2:$I$181,5,FALSE()),0))</f>
        <v>0</v>
      </c>
      <c r="I309" s="14" t="n">
        <f aca="false">IF(OR($A309="",$A309&gt;=Parameters!$B$14),1,IF(AND(H309&gt;0,CityData!F3&lt;=H309),1,0))</f>
        <v>1</v>
      </c>
      <c r="J309" s="14" t="n">
        <f aca="false">IF($A309="",0,IFERROR(VLOOKUP((YEAR($A309)+IF(MONTH($A309)&gt;=10,1,0))&amp;"|Chicago|"&amp;MONTH($A309),Rates!$A$2:$I$181,6,FALSE()),0))</f>
        <v>0</v>
      </c>
      <c r="K309" s="14" t="n">
        <f aca="false">IF(J309=0,0,VLOOKUP(J309,MIE_Components!$A$2:$F$6,2,FALSE()))</f>
        <v>0</v>
      </c>
      <c r="L309" s="14" t="n">
        <f aca="false">IF(J309=0,0,VLOOKUP(J309,MIE_Components!$A$2:$F$6,3,FALSE()))</f>
        <v>0</v>
      </c>
      <c r="M309" s="14" t="n">
        <f aca="false">IF(J309=0,0,VLOOKUP(J309,MIE_Components!$A$2:$F$6,4,FALSE()))</f>
        <v>0</v>
      </c>
      <c r="N309" s="14" t="n">
        <f aca="false">IF(OR($A309="",J309=0),0,MAX(5,J309*IF(OR($A309=Parameters!$B$13,$A309=Parameters!$B$14),0.75,1)-(IF(AND($A309=DATE(2026,11,29),NOV29BF="Yes"),K309,0)+IF(OR($A309=DATE(2026,11,29),$A309=DATE(2026,11,30),$A309=DATE(2026,12,1),$A309=DATE(2026,12,2)),L309,0)+IF(OR($A309=DATE(2026,11,28),$A309=DATE(2026,12,1)),M309,0))))</f>
        <v>0</v>
      </c>
      <c r="O309" s="14" t="n">
        <f aca="false">IF(AND($A309&lt;&gt;"",$A309&lt;Parameters!$B$14),CityData!F4*(1+TAXRATE),0)</f>
        <v>0</v>
      </c>
      <c r="P309" s="14" t="n">
        <f aca="false">IF($A309="",0,IFERROR(VLOOKUP((YEAR($A309)+IF(MONTH($A309)&gt;=10,1,0))&amp;"|Chicago|"&amp;MONTH($A309),Rates!$A$2:$I$181,5,FALSE()),0))</f>
        <v>0</v>
      </c>
      <c r="Q309" s="14" t="n">
        <f aca="false">IF(OR($A309="",$A309&gt;=Parameters!$B$14),1,IF(AND(P309&gt;0,CityData!F4&lt;=P309),1,0))</f>
        <v>1</v>
      </c>
      <c r="R309" s="14" t="n">
        <f aca="false">IF($A309="",0,IFERROR(VLOOKUP((YEAR($A309)+IF(MONTH($A309)&gt;=10,1,0))&amp;"|Denver|"&amp;MONTH($A309),Rates!$A$2:$I$181,6,FALSE()),0))</f>
        <v>0</v>
      </c>
      <c r="S309" s="14" t="n">
        <f aca="false">IF(R309=0,0,VLOOKUP(R309,MIE_Components!$A$2:$F$6,2,FALSE()))</f>
        <v>0</v>
      </c>
      <c r="T309" s="14" t="n">
        <f aca="false">IF(R309=0,0,VLOOKUP(R309,MIE_Components!$A$2:$F$6,3,FALSE()))</f>
        <v>0</v>
      </c>
      <c r="U309" s="14" t="n">
        <f aca="false">IF(R309=0,0,VLOOKUP(R309,MIE_Components!$A$2:$F$6,4,FALSE()))</f>
        <v>0</v>
      </c>
      <c r="V309" s="14" t="n">
        <f aca="false">IF(OR($A309="",R309=0),0,MAX(5,R309*IF(OR($A309=Parameters!$B$13,$A309=Parameters!$B$14),0.75,1)-(IF(AND($A309=DATE(2026,11,29),NOV29BF="Yes"),S309,0)+IF(OR($A309=DATE(2026,11,29),$A309=DATE(2026,11,30),$A309=DATE(2026,12,1),$A309=DATE(2026,12,2)),T309,0)+IF(OR($A309=DATE(2026,11,28),$A309=DATE(2026,12,1)),U309,0))))</f>
        <v>0</v>
      </c>
      <c r="W309" s="14" t="n">
        <f aca="false">IF(AND($A309&lt;&gt;"",$A309&lt;Parameters!$B$14),CityData!F5*(1+TAXRATE),0)</f>
        <v>0</v>
      </c>
      <c r="X309" s="14" t="n">
        <f aca="false">IF($A309="",0,IFERROR(VLOOKUP((YEAR($A309)+IF(MONTH($A309)&gt;=10,1,0))&amp;"|Denver|"&amp;MONTH($A309),Rates!$A$2:$I$181,5,FALSE()),0))</f>
        <v>0</v>
      </c>
      <c r="Y309" s="14" t="n">
        <f aca="false">IF(OR($A309="",$A309&gt;=Parameters!$B$14),1,IF(AND(X309&gt;0,CityData!F5&lt;=X309),1,0))</f>
        <v>1</v>
      </c>
      <c r="Z309" s="14" t="n">
        <f aca="false">IF($A309="",0,IFERROR(VLOOKUP((YEAR($A309)+IF(MONTH($A309)&gt;=10,1,0))&amp;"|Phoenix|"&amp;MONTH($A309),Rates!$A$2:$I$181,6,FALSE()),0))</f>
        <v>0</v>
      </c>
      <c r="AA309" s="14" t="n">
        <f aca="false">IF(Z309=0,0,VLOOKUP(Z309,MIE_Components!$A$2:$F$6,2,FALSE()))</f>
        <v>0</v>
      </c>
      <c r="AB309" s="14" t="n">
        <f aca="false">IF(Z309=0,0,VLOOKUP(Z309,MIE_Components!$A$2:$F$6,3,FALSE()))</f>
        <v>0</v>
      </c>
      <c r="AC309" s="14" t="n">
        <f aca="false">IF(Z309=0,0,VLOOKUP(Z309,MIE_Components!$A$2:$F$6,4,FALSE()))</f>
        <v>0</v>
      </c>
      <c r="AD309" s="14" t="n">
        <f aca="false">IF(OR($A309="",Z309=0),0,MAX(5,Z309*IF(OR($A309=Parameters!$B$13,$A309=Parameters!$B$14),0.75,1)-(IF(AND($A309=DATE(2026,11,29),NOV29BF="Yes"),AA309,0)+IF(OR($A309=DATE(2026,11,29),$A309=DATE(2026,11,30),$A309=DATE(2026,12,1),$A309=DATE(2026,12,2)),AB309,0)+IF(OR($A309=DATE(2026,11,28),$A309=DATE(2026,12,1)),AC309,0))))</f>
        <v>0</v>
      </c>
      <c r="AE309" s="14" t="n">
        <f aca="false">IF(AND($A309&lt;&gt;"",$A309&lt;Parameters!$B$14),CityData!F6*(1+TAXRATE),0)</f>
        <v>0</v>
      </c>
      <c r="AF309" s="14" t="n">
        <f aca="false">IF($A309="",0,IFERROR(VLOOKUP((YEAR($A309)+IF(MONTH($A309)&gt;=10,1,0))&amp;"|Phoenix|"&amp;MONTH($A309),Rates!$A$2:$I$181,5,FALSE()),0))</f>
        <v>0</v>
      </c>
      <c r="AG309" s="14" t="n">
        <f aca="false">IF(OR($A309="",$A309&gt;=Parameters!$B$14),1,IF(AND(AF309&gt;0,CityData!F6&lt;=AF309),1,0))</f>
        <v>1</v>
      </c>
      <c r="AH309" s="14" t="n">
        <f aca="false">IF($A309="",0,IFERROR(VLOOKUP((YEAR($A309)+IF(MONTH($A309)&gt;=10,1,0))&amp;"|Seattle|"&amp;MONTH($A309),Rates!$A$2:$I$181,6,FALSE()),0))</f>
        <v>0</v>
      </c>
      <c r="AI309" s="14" t="n">
        <f aca="false">IF(AH309=0,0,VLOOKUP(AH309,MIE_Components!$A$2:$F$6,2,FALSE()))</f>
        <v>0</v>
      </c>
      <c r="AJ309" s="14" t="n">
        <f aca="false">IF(AH309=0,0,VLOOKUP(AH309,MIE_Components!$A$2:$F$6,3,FALSE()))</f>
        <v>0</v>
      </c>
      <c r="AK309" s="14" t="n">
        <f aca="false">IF(AH309=0,0,VLOOKUP(AH309,MIE_Components!$A$2:$F$6,4,FALSE()))</f>
        <v>0</v>
      </c>
      <c r="AL309" s="14" t="n">
        <f aca="false">IF(OR($A309="",AH309=0),0,MAX(5,AH309*IF(OR($A309=Parameters!$B$13,$A309=Parameters!$B$14),0.75,1)-(IF(AND($A309=DATE(2026,11,29),NOV29BF="Yes"),AI309,0)+IF(OR($A309=DATE(2026,11,29),$A309=DATE(2026,11,30),$A309=DATE(2026,12,1),$A309=DATE(2026,12,2)),AJ309,0)+IF(OR($A309=DATE(2026,11,28),$A309=DATE(2026,12,1)),AK309,0))))</f>
        <v>0</v>
      </c>
      <c r="AM309" s="14" t="n">
        <f aca="false">IF(AND($A309&lt;&gt;"",$A309&lt;Parameters!$B$14),CityData!F7*(1+TAXRATE),0)</f>
        <v>0</v>
      </c>
      <c r="AN309" s="14" t="n">
        <f aca="false">IF($A309="",0,IFERROR(VLOOKUP((YEAR($A309)+IF(MONTH($A309)&gt;=10,1,0))&amp;"|Seattle|"&amp;MONTH($A309),Rates!$A$2:$I$181,5,FALSE()),0))</f>
        <v>0</v>
      </c>
      <c r="AO309" s="14" t="n">
        <f aca="false">IF(OR($A309="",$A309&gt;=Parameters!$B$14),1,IF(AND(AN309&gt;0,CityData!F7&lt;=AN309),1,0))</f>
        <v>1</v>
      </c>
    </row>
    <row r="310" customFormat="false" ht="15" hidden="false" customHeight="true" outlineLevel="0" collapsed="false">
      <c r="A310" s="23" t="str">
        <f aca="false">IF(AND(Parameters!$B$14&gt;=Parameters!$B$13,ROW()-2&lt;=Parameters!$B$14-Parameters!$B$13),Parameters!$B$13+ROW()-2,"")</f>
        <v/>
      </c>
      <c r="B310" s="14" t="n">
        <f aca="false">IF($A310="",0,IFERROR(VLOOKUP((YEAR($A310)+IF(MONTH($A310)&gt;=10,1,0))&amp;"|Boston|"&amp;MONTH($A310),Rates!$A$2:$I$181,6,FALSE()),0))</f>
        <v>0</v>
      </c>
      <c r="C310" s="14" t="n">
        <f aca="false">IF(B310=0,0,VLOOKUP(B310,MIE_Components!$A$2:$F$6,2,FALSE()))</f>
        <v>0</v>
      </c>
      <c r="D310" s="14" t="n">
        <f aca="false">IF(B310=0,0,VLOOKUP(B310,MIE_Components!$A$2:$F$6,3,FALSE()))</f>
        <v>0</v>
      </c>
      <c r="E310" s="14" t="n">
        <f aca="false">IF(B310=0,0,VLOOKUP(B310,MIE_Components!$A$2:$F$6,4,FALSE()))</f>
        <v>0</v>
      </c>
      <c r="F310" s="14" t="n">
        <f aca="false">IF(OR($A310="",B310=0),0,MAX(5,B310*IF(OR($A310=Parameters!$B$13,$A310=Parameters!$B$14),0.75,1)-(IF(AND($A310=DATE(2026,11,29),NOV29BF="Yes"),C310,0)+IF(OR($A310=DATE(2026,11,29),$A310=DATE(2026,11,30),$A310=DATE(2026,12,1),$A310=DATE(2026,12,2)),D310,0)+IF(OR($A310=DATE(2026,11,28),$A310=DATE(2026,12,1)),E310,0))))</f>
        <v>0</v>
      </c>
      <c r="G310" s="14" t="n">
        <f aca="false">IF(AND($A310&lt;&gt;"",$A310&lt;Parameters!$B$14),CityData!F3*(1+TAXRATE),0)</f>
        <v>0</v>
      </c>
      <c r="H310" s="14" t="n">
        <f aca="false">IF($A310="",0,IFERROR(VLOOKUP((YEAR($A310)+IF(MONTH($A310)&gt;=10,1,0))&amp;"|Boston|"&amp;MONTH($A310),Rates!$A$2:$I$181,5,FALSE()),0))</f>
        <v>0</v>
      </c>
      <c r="I310" s="14" t="n">
        <f aca="false">IF(OR($A310="",$A310&gt;=Parameters!$B$14),1,IF(AND(H310&gt;0,CityData!F3&lt;=H310),1,0))</f>
        <v>1</v>
      </c>
      <c r="J310" s="14" t="n">
        <f aca="false">IF($A310="",0,IFERROR(VLOOKUP((YEAR($A310)+IF(MONTH($A310)&gt;=10,1,0))&amp;"|Chicago|"&amp;MONTH($A310),Rates!$A$2:$I$181,6,FALSE()),0))</f>
        <v>0</v>
      </c>
      <c r="K310" s="14" t="n">
        <f aca="false">IF(J310=0,0,VLOOKUP(J310,MIE_Components!$A$2:$F$6,2,FALSE()))</f>
        <v>0</v>
      </c>
      <c r="L310" s="14" t="n">
        <f aca="false">IF(J310=0,0,VLOOKUP(J310,MIE_Components!$A$2:$F$6,3,FALSE()))</f>
        <v>0</v>
      </c>
      <c r="M310" s="14" t="n">
        <f aca="false">IF(J310=0,0,VLOOKUP(J310,MIE_Components!$A$2:$F$6,4,FALSE()))</f>
        <v>0</v>
      </c>
      <c r="N310" s="14" t="n">
        <f aca="false">IF(OR($A310="",J310=0),0,MAX(5,J310*IF(OR($A310=Parameters!$B$13,$A310=Parameters!$B$14),0.75,1)-(IF(AND($A310=DATE(2026,11,29),NOV29BF="Yes"),K310,0)+IF(OR($A310=DATE(2026,11,29),$A310=DATE(2026,11,30),$A310=DATE(2026,12,1),$A310=DATE(2026,12,2)),L310,0)+IF(OR($A310=DATE(2026,11,28),$A310=DATE(2026,12,1)),M310,0))))</f>
        <v>0</v>
      </c>
      <c r="O310" s="14" t="n">
        <f aca="false">IF(AND($A310&lt;&gt;"",$A310&lt;Parameters!$B$14),CityData!F4*(1+TAXRATE),0)</f>
        <v>0</v>
      </c>
      <c r="P310" s="14" t="n">
        <f aca="false">IF($A310="",0,IFERROR(VLOOKUP((YEAR($A310)+IF(MONTH($A310)&gt;=10,1,0))&amp;"|Chicago|"&amp;MONTH($A310),Rates!$A$2:$I$181,5,FALSE()),0))</f>
        <v>0</v>
      </c>
      <c r="Q310" s="14" t="n">
        <f aca="false">IF(OR($A310="",$A310&gt;=Parameters!$B$14),1,IF(AND(P310&gt;0,CityData!F4&lt;=P310),1,0))</f>
        <v>1</v>
      </c>
      <c r="R310" s="14" t="n">
        <f aca="false">IF($A310="",0,IFERROR(VLOOKUP((YEAR($A310)+IF(MONTH($A310)&gt;=10,1,0))&amp;"|Denver|"&amp;MONTH($A310),Rates!$A$2:$I$181,6,FALSE()),0))</f>
        <v>0</v>
      </c>
      <c r="S310" s="14" t="n">
        <f aca="false">IF(R310=0,0,VLOOKUP(R310,MIE_Components!$A$2:$F$6,2,FALSE()))</f>
        <v>0</v>
      </c>
      <c r="T310" s="14" t="n">
        <f aca="false">IF(R310=0,0,VLOOKUP(R310,MIE_Components!$A$2:$F$6,3,FALSE()))</f>
        <v>0</v>
      </c>
      <c r="U310" s="14" t="n">
        <f aca="false">IF(R310=0,0,VLOOKUP(R310,MIE_Components!$A$2:$F$6,4,FALSE()))</f>
        <v>0</v>
      </c>
      <c r="V310" s="14" t="n">
        <f aca="false">IF(OR($A310="",R310=0),0,MAX(5,R310*IF(OR($A310=Parameters!$B$13,$A310=Parameters!$B$14),0.75,1)-(IF(AND($A310=DATE(2026,11,29),NOV29BF="Yes"),S310,0)+IF(OR($A310=DATE(2026,11,29),$A310=DATE(2026,11,30),$A310=DATE(2026,12,1),$A310=DATE(2026,12,2)),T310,0)+IF(OR($A310=DATE(2026,11,28),$A310=DATE(2026,12,1)),U310,0))))</f>
        <v>0</v>
      </c>
      <c r="W310" s="14" t="n">
        <f aca="false">IF(AND($A310&lt;&gt;"",$A310&lt;Parameters!$B$14),CityData!F5*(1+TAXRATE),0)</f>
        <v>0</v>
      </c>
      <c r="X310" s="14" t="n">
        <f aca="false">IF($A310="",0,IFERROR(VLOOKUP((YEAR($A310)+IF(MONTH($A310)&gt;=10,1,0))&amp;"|Denver|"&amp;MONTH($A310),Rates!$A$2:$I$181,5,FALSE()),0))</f>
        <v>0</v>
      </c>
      <c r="Y310" s="14" t="n">
        <f aca="false">IF(OR($A310="",$A310&gt;=Parameters!$B$14),1,IF(AND(X310&gt;0,CityData!F5&lt;=X310),1,0))</f>
        <v>1</v>
      </c>
      <c r="Z310" s="14" t="n">
        <f aca="false">IF($A310="",0,IFERROR(VLOOKUP((YEAR($A310)+IF(MONTH($A310)&gt;=10,1,0))&amp;"|Phoenix|"&amp;MONTH($A310),Rates!$A$2:$I$181,6,FALSE()),0))</f>
        <v>0</v>
      </c>
      <c r="AA310" s="14" t="n">
        <f aca="false">IF(Z310=0,0,VLOOKUP(Z310,MIE_Components!$A$2:$F$6,2,FALSE()))</f>
        <v>0</v>
      </c>
      <c r="AB310" s="14" t="n">
        <f aca="false">IF(Z310=0,0,VLOOKUP(Z310,MIE_Components!$A$2:$F$6,3,FALSE()))</f>
        <v>0</v>
      </c>
      <c r="AC310" s="14" t="n">
        <f aca="false">IF(Z310=0,0,VLOOKUP(Z310,MIE_Components!$A$2:$F$6,4,FALSE()))</f>
        <v>0</v>
      </c>
      <c r="AD310" s="14" t="n">
        <f aca="false">IF(OR($A310="",Z310=0),0,MAX(5,Z310*IF(OR($A310=Parameters!$B$13,$A310=Parameters!$B$14),0.75,1)-(IF(AND($A310=DATE(2026,11,29),NOV29BF="Yes"),AA310,0)+IF(OR($A310=DATE(2026,11,29),$A310=DATE(2026,11,30),$A310=DATE(2026,12,1),$A310=DATE(2026,12,2)),AB310,0)+IF(OR($A310=DATE(2026,11,28),$A310=DATE(2026,12,1)),AC310,0))))</f>
        <v>0</v>
      </c>
      <c r="AE310" s="14" t="n">
        <f aca="false">IF(AND($A310&lt;&gt;"",$A310&lt;Parameters!$B$14),CityData!F6*(1+TAXRATE),0)</f>
        <v>0</v>
      </c>
      <c r="AF310" s="14" t="n">
        <f aca="false">IF($A310="",0,IFERROR(VLOOKUP((YEAR($A310)+IF(MONTH($A310)&gt;=10,1,0))&amp;"|Phoenix|"&amp;MONTH($A310),Rates!$A$2:$I$181,5,FALSE()),0))</f>
        <v>0</v>
      </c>
      <c r="AG310" s="14" t="n">
        <f aca="false">IF(OR($A310="",$A310&gt;=Parameters!$B$14),1,IF(AND(AF310&gt;0,CityData!F6&lt;=AF310),1,0))</f>
        <v>1</v>
      </c>
      <c r="AH310" s="14" t="n">
        <f aca="false">IF($A310="",0,IFERROR(VLOOKUP((YEAR($A310)+IF(MONTH($A310)&gt;=10,1,0))&amp;"|Seattle|"&amp;MONTH($A310),Rates!$A$2:$I$181,6,FALSE()),0))</f>
        <v>0</v>
      </c>
      <c r="AI310" s="14" t="n">
        <f aca="false">IF(AH310=0,0,VLOOKUP(AH310,MIE_Components!$A$2:$F$6,2,FALSE()))</f>
        <v>0</v>
      </c>
      <c r="AJ310" s="14" t="n">
        <f aca="false">IF(AH310=0,0,VLOOKUP(AH310,MIE_Components!$A$2:$F$6,3,FALSE()))</f>
        <v>0</v>
      </c>
      <c r="AK310" s="14" t="n">
        <f aca="false">IF(AH310=0,0,VLOOKUP(AH310,MIE_Components!$A$2:$F$6,4,FALSE()))</f>
        <v>0</v>
      </c>
      <c r="AL310" s="14" t="n">
        <f aca="false">IF(OR($A310="",AH310=0),0,MAX(5,AH310*IF(OR($A310=Parameters!$B$13,$A310=Parameters!$B$14),0.75,1)-(IF(AND($A310=DATE(2026,11,29),NOV29BF="Yes"),AI310,0)+IF(OR($A310=DATE(2026,11,29),$A310=DATE(2026,11,30),$A310=DATE(2026,12,1),$A310=DATE(2026,12,2)),AJ310,0)+IF(OR($A310=DATE(2026,11,28),$A310=DATE(2026,12,1)),AK310,0))))</f>
        <v>0</v>
      </c>
      <c r="AM310" s="14" t="n">
        <f aca="false">IF(AND($A310&lt;&gt;"",$A310&lt;Parameters!$B$14),CityData!F7*(1+TAXRATE),0)</f>
        <v>0</v>
      </c>
      <c r="AN310" s="14" t="n">
        <f aca="false">IF($A310="",0,IFERROR(VLOOKUP((YEAR($A310)+IF(MONTH($A310)&gt;=10,1,0))&amp;"|Seattle|"&amp;MONTH($A310),Rates!$A$2:$I$181,5,FALSE()),0))</f>
        <v>0</v>
      </c>
      <c r="AO310" s="14" t="n">
        <f aca="false">IF(OR($A310="",$A310&gt;=Parameters!$B$14),1,IF(AND(AN310&gt;0,CityData!F7&lt;=AN310),1,0))</f>
        <v>1</v>
      </c>
    </row>
    <row r="311" customFormat="false" ht="15" hidden="false" customHeight="true" outlineLevel="0" collapsed="false">
      <c r="A311" s="23" t="str">
        <f aca="false">IF(AND(Parameters!$B$14&gt;=Parameters!$B$13,ROW()-2&lt;=Parameters!$B$14-Parameters!$B$13),Parameters!$B$13+ROW()-2,"")</f>
        <v/>
      </c>
      <c r="B311" s="14" t="n">
        <f aca="false">IF($A311="",0,IFERROR(VLOOKUP((YEAR($A311)+IF(MONTH($A311)&gt;=10,1,0))&amp;"|Boston|"&amp;MONTH($A311),Rates!$A$2:$I$181,6,FALSE()),0))</f>
        <v>0</v>
      </c>
      <c r="C311" s="14" t="n">
        <f aca="false">IF(B311=0,0,VLOOKUP(B311,MIE_Components!$A$2:$F$6,2,FALSE()))</f>
        <v>0</v>
      </c>
      <c r="D311" s="14" t="n">
        <f aca="false">IF(B311=0,0,VLOOKUP(B311,MIE_Components!$A$2:$F$6,3,FALSE()))</f>
        <v>0</v>
      </c>
      <c r="E311" s="14" t="n">
        <f aca="false">IF(B311=0,0,VLOOKUP(B311,MIE_Components!$A$2:$F$6,4,FALSE()))</f>
        <v>0</v>
      </c>
      <c r="F311" s="14" t="n">
        <f aca="false">IF(OR($A311="",B311=0),0,MAX(5,B311*IF(OR($A311=Parameters!$B$13,$A311=Parameters!$B$14),0.75,1)-(IF(AND($A311=DATE(2026,11,29),NOV29BF="Yes"),C311,0)+IF(OR($A311=DATE(2026,11,29),$A311=DATE(2026,11,30),$A311=DATE(2026,12,1),$A311=DATE(2026,12,2)),D311,0)+IF(OR($A311=DATE(2026,11,28),$A311=DATE(2026,12,1)),E311,0))))</f>
        <v>0</v>
      </c>
      <c r="G311" s="14" t="n">
        <f aca="false">IF(AND($A311&lt;&gt;"",$A311&lt;Parameters!$B$14),CityData!F3*(1+TAXRATE),0)</f>
        <v>0</v>
      </c>
      <c r="H311" s="14" t="n">
        <f aca="false">IF($A311="",0,IFERROR(VLOOKUP((YEAR($A311)+IF(MONTH($A311)&gt;=10,1,0))&amp;"|Boston|"&amp;MONTH($A311),Rates!$A$2:$I$181,5,FALSE()),0))</f>
        <v>0</v>
      </c>
      <c r="I311" s="14" t="n">
        <f aca="false">IF(OR($A311="",$A311&gt;=Parameters!$B$14),1,IF(AND(H311&gt;0,CityData!F3&lt;=H311),1,0))</f>
        <v>1</v>
      </c>
      <c r="J311" s="14" t="n">
        <f aca="false">IF($A311="",0,IFERROR(VLOOKUP((YEAR($A311)+IF(MONTH($A311)&gt;=10,1,0))&amp;"|Chicago|"&amp;MONTH($A311),Rates!$A$2:$I$181,6,FALSE()),0))</f>
        <v>0</v>
      </c>
      <c r="K311" s="14" t="n">
        <f aca="false">IF(J311=0,0,VLOOKUP(J311,MIE_Components!$A$2:$F$6,2,FALSE()))</f>
        <v>0</v>
      </c>
      <c r="L311" s="14" t="n">
        <f aca="false">IF(J311=0,0,VLOOKUP(J311,MIE_Components!$A$2:$F$6,3,FALSE()))</f>
        <v>0</v>
      </c>
      <c r="M311" s="14" t="n">
        <f aca="false">IF(J311=0,0,VLOOKUP(J311,MIE_Components!$A$2:$F$6,4,FALSE()))</f>
        <v>0</v>
      </c>
      <c r="N311" s="14" t="n">
        <f aca="false">IF(OR($A311="",J311=0),0,MAX(5,J311*IF(OR($A311=Parameters!$B$13,$A311=Parameters!$B$14),0.75,1)-(IF(AND($A311=DATE(2026,11,29),NOV29BF="Yes"),K311,0)+IF(OR($A311=DATE(2026,11,29),$A311=DATE(2026,11,30),$A311=DATE(2026,12,1),$A311=DATE(2026,12,2)),L311,0)+IF(OR($A311=DATE(2026,11,28),$A311=DATE(2026,12,1)),M311,0))))</f>
        <v>0</v>
      </c>
      <c r="O311" s="14" t="n">
        <f aca="false">IF(AND($A311&lt;&gt;"",$A311&lt;Parameters!$B$14),CityData!F4*(1+TAXRATE),0)</f>
        <v>0</v>
      </c>
      <c r="P311" s="14" t="n">
        <f aca="false">IF($A311="",0,IFERROR(VLOOKUP((YEAR($A311)+IF(MONTH($A311)&gt;=10,1,0))&amp;"|Chicago|"&amp;MONTH($A311),Rates!$A$2:$I$181,5,FALSE()),0))</f>
        <v>0</v>
      </c>
      <c r="Q311" s="14" t="n">
        <f aca="false">IF(OR($A311="",$A311&gt;=Parameters!$B$14),1,IF(AND(P311&gt;0,CityData!F4&lt;=P311),1,0))</f>
        <v>1</v>
      </c>
      <c r="R311" s="14" t="n">
        <f aca="false">IF($A311="",0,IFERROR(VLOOKUP((YEAR($A311)+IF(MONTH($A311)&gt;=10,1,0))&amp;"|Denver|"&amp;MONTH($A311),Rates!$A$2:$I$181,6,FALSE()),0))</f>
        <v>0</v>
      </c>
      <c r="S311" s="14" t="n">
        <f aca="false">IF(R311=0,0,VLOOKUP(R311,MIE_Components!$A$2:$F$6,2,FALSE()))</f>
        <v>0</v>
      </c>
      <c r="T311" s="14" t="n">
        <f aca="false">IF(R311=0,0,VLOOKUP(R311,MIE_Components!$A$2:$F$6,3,FALSE()))</f>
        <v>0</v>
      </c>
      <c r="U311" s="14" t="n">
        <f aca="false">IF(R311=0,0,VLOOKUP(R311,MIE_Components!$A$2:$F$6,4,FALSE()))</f>
        <v>0</v>
      </c>
      <c r="V311" s="14" t="n">
        <f aca="false">IF(OR($A311="",R311=0),0,MAX(5,R311*IF(OR($A311=Parameters!$B$13,$A311=Parameters!$B$14),0.75,1)-(IF(AND($A311=DATE(2026,11,29),NOV29BF="Yes"),S311,0)+IF(OR($A311=DATE(2026,11,29),$A311=DATE(2026,11,30),$A311=DATE(2026,12,1),$A311=DATE(2026,12,2)),T311,0)+IF(OR($A311=DATE(2026,11,28),$A311=DATE(2026,12,1)),U311,0))))</f>
        <v>0</v>
      </c>
      <c r="W311" s="14" t="n">
        <f aca="false">IF(AND($A311&lt;&gt;"",$A311&lt;Parameters!$B$14),CityData!F5*(1+TAXRATE),0)</f>
        <v>0</v>
      </c>
      <c r="X311" s="14" t="n">
        <f aca="false">IF($A311="",0,IFERROR(VLOOKUP((YEAR($A311)+IF(MONTH($A311)&gt;=10,1,0))&amp;"|Denver|"&amp;MONTH($A311),Rates!$A$2:$I$181,5,FALSE()),0))</f>
        <v>0</v>
      </c>
      <c r="Y311" s="14" t="n">
        <f aca="false">IF(OR($A311="",$A311&gt;=Parameters!$B$14),1,IF(AND(X311&gt;0,CityData!F5&lt;=X311),1,0))</f>
        <v>1</v>
      </c>
      <c r="Z311" s="14" t="n">
        <f aca="false">IF($A311="",0,IFERROR(VLOOKUP((YEAR($A311)+IF(MONTH($A311)&gt;=10,1,0))&amp;"|Phoenix|"&amp;MONTH($A311),Rates!$A$2:$I$181,6,FALSE()),0))</f>
        <v>0</v>
      </c>
      <c r="AA311" s="14" t="n">
        <f aca="false">IF(Z311=0,0,VLOOKUP(Z311,MIE_Components!$A$2:$F$6,2,FALSE()))</f>
        <v>0</v>
      </c>
      <c r="AB311" s="14" t="n">
        <f aca="false">IF(Z311=0,0,VLOOKUP(Z311,MIE_Components!$A$2:$F$6,3,FALSE()))</f>
        <v>0</v>
      </c>
      <c r="AC311" s="14" t="n">
        <f aca="false">IF(Z311=0,0,VLOOKUP(Z311,MIE_Components!$A$2:$F$6,4,FALSE()))</f>
        <v>0</v>
      </c>
      <c r="AD311" s="14" t="n">
        <f aca="false">IF(OR($A311="",Z311=0),0,MAX(5,Z311*IF(OR($A311=Parameters!$B$13,$A311=Parameters!$B$14),0.75,1)-(IF(AND($A311=DATE(2026,11,29),NOV29BF="Yes"),AA311,0)+IF(OR($A311=DATE(2026,11,29),$A311=DATE(2026,11,30),$A311=DATE(2026,12,1),$A311=DATE(2026,12,2)),AB311,0)+IF(OR($A311=DATE(2026,11,28),$A311=DATE(2026,12,1)),AC311,0))))</f>
        <v>0</v>
      </c>
      <c r="AE311" s="14" t="n">
        <f aca="false">IF(AND($A311&lt;&gt;"",$A311&lt;Parameters!$B$14),CityData!F6*(1+TAXRATE),0)</f>
        <v>0</v>
      </c>
      <c r="AF311" s="14" t="n">
        <f aca="false">IF($A311="",0,IFERROR(VLOOKUP((YEAR($A311)+IF(MONTH($A311)&gt;=10,1,0))&amp;"|Phoenix|"&amp;MONTH($A311),Rates!$A$2:$I$181,5,FALSE()),0))</f>
        <v>0</v>
      </c>
      <c r="AG311" s="14" t="n">
        <f aca="false">IF(OR($A311="",$A311&gt;=Parameters!$B$14),1,IF(AND(AF311&gt;0,CityData!F6&lt;=AF311),1,0))</f>
        <v>1</v>
      </c>
      <c r="AH311" s="14" t="n">
        <f aca="false">IF($A311="",0,IFERROR(VLOOKUP((YEAR($A311)+IF(MONTH($A311)&gt;=10,1,0))&amp;"|Seattle|"&amp;MONTH($A311),Rates!$A$2:$I$181,6,FALSE()),0))</f>
        <v>0</v>
      </c>
      <c r="AI311" s="14" t="n">
        <f aca="false">IF(AH311=0,0,VLOOKUP(AH311,MIE_Components!$A$2:$F$6,2,FALSE()))</f>
        <v>0</v>
      </c>
      <c r="AJ311" s="14" t="n">
        <f aca="false">IF(AH311=0,0,VLOOKUP(AH311,MIE_Components!$A$2:$F$6,3,FALSE()))</f>
        <v>0</v>
      </c>
      <c r="AK311" s="14" t="n">
        <f aca="false">IF(AH311=0,0,VLOOKUP(AH311,MIE_Components!$A$2:$F$6,4,FALSE()))</f>
        <v>0</v>
      </c>
      <c r="AL311" s="14" t="n">
        <f aca="false">IF(OR($A311="",AH311=0),0,MAX(5,AH311*IF(OR($A311=Parameters!$B$13,$A311=Parameters!$B$14),0.75,1)-(IF(AND($A311=DATE(2026,11,29),NOV29BF="Yes"),AI311,0)+IF(OR($A311=DATE(2026,11,29),$A311=DATE(2026,11,30),$A311=DATE(2026,12,1),$A311=DATE(2026,12,2)),AJ311,0)+IF(OR($A311=DATE(2026,11,28),$A311=DATE(2026,12,1)),AK311,0))))</f>
        <v>0</v>
      </c>
      <c r="AM311" s="14" t="n">
        <f aca="false">IF(AND($A311&lt;&gt;"",$A311&lt;Parameters!$B$14),CityData!F7*(1+TAXRATE),0)</f>
        <v>0</v>
      </c>
      <c r="AN311" s="14" t="n">
        <f aca="false">IF($A311="",0,IFERROR(VLOOKUP((YEAR($A311)+IF(MONTH($A311)&gt;=10,1,0))&amp;"|Seattle|"&amp;MONTH($A311),Rates!$A$2:$I$181,5,FALSE()),0))</f>
        <v>0</v>
      </c>
      <c r="AO311" s="14" t="n">
        <f aca="false">IF(OR($A311="",$A311&gt;=Parameters!$B$14),1,IF(AND(AN311&gt;0,CityData!F7&lt;=AN311),1,0))</f>
        <v>1</v>
      </c>
    </row>
    <row r="312" customFormat="false" ht="15" hidden="false" customHeight="true" outlineLevel="0" collapsed="false">
      <c r="A312" s="23" t="str">
        <f aca="false">IF(AND(Parameters!$B$14&gt;=Parameters!$B$13,ROW()-2&lt;=Parameters!$B$14-Parameters!$B$13),Parameters!$B$13+ROW()-2,"")</f>
        <v/>
      </c>
      <c r="B312" s="14" t="n">
        <f aca="false">IF($A312="",0,IFERROR(VLOOKUP((YEAR($A312)+IF(MONTH($A312)&gt;=10,1,0))&amp;"|Boston|"&amp;MONTH($A312),Rates!$A$2:$I$181,6,FALSE()),0))</f>
        <v>0</v>
      </c>
      <c r="C312" s="14" t="n">
        <f aca="false">IF(B312=0,0,VLOOKUP(B312,MIE_Components!$A$2:$F$6,2,FALSE()))</f>
        <v>0</v>
      </c>
      <c r="D312" s="14" t="n">
        <f aca="false">IF(B312=0,0,VLOOKUP(B312,MIE_Components!$A$2:$F$6,3,FALSE()))</f>
        <v>0</v>
      </c>
      <c r="E312" s="14" t="n">
        <f aca="false">IF(B312=0,0,VLOOKUP(B312,MIE_Components!$A$2:$F$6,4,FALSE()))</f>
        <v>0</v>
      </c>
      <c r="F312" s="14" t="n">
        <f aca="false">IF(OR($A312="",B312=0),0,MAX(5,B312*IF(OR($A312=Parameters!$B$13,$A312=Parameters!$B$14),0.75,1)-(IF(AND($A312=DATE(2026,11,29),NOV29BF="Yes"),C312,0)+IF(OR($A312=DATE(2026,11,29),$A312=DATE(2026,11,30),$A312=DATE(2026,12,1),$A312=DATE(2026,12,2)),D312,0)+IF(OR($A312=DATE(2026,11,28),$A312=DATE(2026,12,1)),E312,0))))</f>
        <v>0</v>
      </c>
      <c r="G312" s="14" t="n">
        <f aca="false">IF(AND($A312&lt;&gt;"",$A312&lt;Parameters!$B$14),CityData!F3*(1+TAXRATE),0)</f>
        <v>0</v>
      </c>
      <c r="H312" s="14" t="n">
        <f aca="false">IF($A312="",0,IFERROR(VLOOKUP((YEAR($A312)+IF(MONTH($A312)&gt;=10,1,0))&amp;"|Boston|"&amp;MONTH($A312),Rates!$A$2:$I$181,5,FALSE()),0))</f>
        <v>0</v>
      </c>
      <c r="I312" s="14" t="n">
        <f aca="false">IF(OR($A312="",$A312&gt;=Parameters!$B$14),1,IF(AND(H312&gt;0,CityData!F3&lt;=H312),1,0))</f>
        <v>1</v>
      </c>
      <c r="J312" s="14" t="n">
        <f aca="false">IF($A312="",0,IFERROR(VLOOKUP((YEAR($A312)+IF(MONTH($A312)&gt;=10,1,0))&amp;"|Chicago|"&amp;MONTH($A312),Rates!$A$2:$I$181,6,FALSE()),0))</f>
        <v>0</v>
      </c>
      <c r="K312" s="14" t="n">
        <f aca="false">IF(J312=0,0,VLOOKUP(J312,MIE_Components!$A$2:$F$6,2,FALSE()))</f>
        <v>0</v>
      </c>
      <c r="L312" s="14" t="n">
        <f aca="false">IF(J312=0,0,VLOOKUP(J312,MIE_Components!$A$2:$F$6,3,FALSE()))</f>
        <v>0</v>
      </c>
      <c r="M312" s="14" t="n">
        <f aca="false">IF(J312=0,0,VLOOKUP(J312,MIE_Components!$A$2:$F$6,4,FALSE()))</f>
        <v>0</v>
      </c>
      <c r="N312" s="14" t="n">
        <f aca="false">IF(OR($A312="",J312=0),0,MAX(5,J312*IF(OR($A312=Parameters!$B$13,$A312=Parameters!$B$14),0.75,1)-(IF(AND($A312=DATE(2026,11,29),NOV29BF="Yes"),K312,0)+IF(OR($A312=DATE(2026,11,29),$A312=DATE(2026,11,30),$A312=DATE(2026,12,1),$A312=DATE(2026,12,2)),L312,0)+IF(OR($A312=DATE(2026,11,28),$A312=DATE(2026,12,1)),M312,0))))</f>
        <v>0</v>
      </c>
      <c r="O312" s="14" t="n">
        <f aca="false">IF(AND($A312&lt;&gt;"",$A312&lt;Parameters!$B$14),CityData!F4*(1+TAXRATE),0)</f>
        <v>0</v>
      </c>
      <c r="P312" s="14" t="n">
        <f aca="false">IF($A312="",0,IFERROR(VLOOKUP((YEAR($A312)+IF(MONTH($A312)&gt;=10,1,0))&amp;"|Chicago|"&amp;MONTH($A312),Rates!$A$2:$I$181,5,FALSE()),0))</f>
        <v>0</v>
      </c>
      <c r="Q312" s="14" t="n">
        <f aca="false">IF(OR($A312="",$A312&gt;=Parameters!$B$14),1,IF(AND(P312&gt;0,CityData!F4&lt;=P312),1,0))</f>
        <v>1</v>
      </c>
      <c r="R312" s="14" t="n">
        <f aca="false">IF($A312="",0,IFERROR(VLOOKUP((YEAR($A312)+IF(MONTH($A312)&gt;=10,1,0))&amp;"|Denver|"&amp;MONTH($A312),Rates!$A$2:$I$181,6,FALSE()),0))</f>
        <v>0</v>
      </c>
      <c r="S312" s="14" t="n">
        <f aca="false">IF(R312=0,0,VLOOKUP(R312,MIE_Components!$A$2:$F$6,2,FALSE()))</f>
        <v>0</v>
      </c>
      <c r="T312" s="14" t="n">
        <f aca="false">IF(R312=0,0,VLOOKUP(R312,MIE_Components!$A$2:$F$6,3,FALSE()))</f>
        <v>0</v>
      </c>
      <c r="U312" s="14" t="n">
        <f aca="false">IF(R312=0,0,VLOOKUP(R312,MIE_Components!$A$2:$F$6,4,FALSE()))</f>
        <v>0</v>
      </c>
      <c r="V312" s="14" t="n">
        <f aca="false">IF(OR($A312="",R312=0),0,MAX(5,R312*IF(OR($A312=Parameters!$B$13,$A312=Parameters!$B$14),0.75,1)-(IF(AND($A312=DATE(2026,11,29),NOV29BF="Yes"),S312,0)+IF(OR($A312=DATE(2026,11,29),$A312=DATE(2026,11,30),$A312=DATE(2026,12,1),$A312=DATE(2026,12,2)),T312,0)+IF(OR($A312=DATE(2026,11,28),$A312=DATE(2026,12,1)),U312,0))))</f>
        <v>0</v>
      </c>
      <c r="W312" s="14" t="n">
        <f aca="false">IF(AND($A312&lt;&gt;"",$A312&lt;Parameters!$B$14),CityData!F5*(1+TAXRATE),0)</f>
        <v>0</v>
      </c>
      <c r="X312" s="14" t="n">
        <f aca="false">IF($A312="",0,IFERROR(VLOOKUP((YEAR($A312)+IF(MONTH($A312)&gt;=10,1,0))&amp;"|Denver|"&amp;MONTH($A312),Rates!$A$2:$I$181,5,FALSE()),0))</f>
        <v>0</v>
      </c>
      <c r="Y312" s="14" t="n">
        <f aca="false">IF(OR($A312="",$A312&gt;=Parameters!$B$14),1,IF(AND(X312&gt;0,CityData!F5&lt;=X312),1,0))</f>
        <v>1</v>
      </c>
      <c r="Z312" s="14" t="n">
        <f aca="false">IF($A312="",0,IFERROR(VLOOKUP((YEAR($A312)+IF(MONTH($A312)&gt;=10,1,0))&amp;"|Phoenix|"&amp;MONTH($A312),Rates!$A$2:$I$181,6,FALSE()),0))</f>
        <v>0</v>
      </c>
      <c r="AA312" s="14" t="n">
        <f aca="false">IF(Z312=0,0,VLOOKUP(Z312,MIE_Components!$A$2:$F$6,2,FALSE()))</f>
        <v>0</v>
      </c>
      <c r="AB312" s="14" t="n">
        <f aca="false">IF(Z312=0,0,VLOOKUP(Z312,MIE_Components!$A$2:$F$6,3,FALSE()))</f>
        <v>0</v>
      </c>
      <c r="AC312" s="14" t="n">
        <f aca="false">IF(Z312=0,0,VLOOKUP(Z312,MIE_Components!$A$2:$F$6,4,FALSE()))</f>
        <v>0</v>
      </c>
      <c r="AD312" s="14" t="n">
        <f aca="false">IF(OR($A312="",Z312=0),0,MAX(5,Z312*IF(OR($A312=Parameters!$B$13,$A312=Parameters!$B$14),0.75,1)-(IF(AND($A312=DATE(2026,11,29),NOV29BF="Yes"),AA312,0)+IF(OR($A312=DATE(2026,11,29),$A312=DATE(2026,11,30),$A312=DATE(2026,12,1),$A312=DATE(2026,12,2)),AB312,0)+IF(OR($A312=DATE(2026,11,28),$A312=DATE(2026,12,1)),AC312,0))))</f>
        <v>0</v>
      </c>
      <c r="AE312" s="14" t="n">
        <f aca="false">IF(AND($A312&lt;&gt;"",$A312&lt;Parameters!$B$14),CityData!F6*(1+TAXRATE),0)</f>
        <v>0</v>
      </c>
      <c r="AF312" s="14" t="n">
        <f aca="false">IF($A312="",0,IFERROR(VLOOKUP((YEAR($A312)+IF(MONTH($A312)&gt;=10,1,0))&amp;"|Phoenix|"&amp;MONTH($A312),Rates!$A$2:$I$181,5,FALSE()),0))</f>
        <v>0</v>
      </c>
      <c r="AG312" s="14" t="n">
        <f aca="false">IF(OR($A312="",$A312&gt;=Parameters!$B$14),1,IF(AND(AF312&gt;0,CityData!F6&lt;=AF312),1,0))</f>
        <v>1</v>
      </c>
      <c r="AH312" s="14" t="n">
        <f aca="false">IF($A312="",0,IFERROR(VLOOKUP((YEAR($A312)+IF(MONTH($A312)&gt;=10,1,0))&amp;"|Seattle|"&amp;MONTH($A312),Rates!$A$2:$I$181,6,FALSE()),0))</f>
        <v>0</v>
      </c>
      <c r="AI312" s="14" t="n">
        <f aca="false">IF(AH312=0,0,VLOOKUP(AH312,MIE_Components!$A$2:$F$6,2,FALSE()))</f>
        <v>0</v>
      </c>
      <c r="AJ312" s="14" t="n">
        <f aca="false">IF(AH312=0,0,VLOOKUP(AH312,MIE_Components!$A$2:$F$6,3,FALSE()))</f>
        <v>0</v>
      </c>
      <c r="AK312" s="14" t="n">
        <f aca="false">IF(AH312=0,0,VLOOKUP(AH312,MIE_Components!$A$2:$F$6,4,FALSE()))</f>
        <v>0</v>
      </c>
      <c r="AL312" s="14" t="n">
        <f aca="false">IF(OR($A312="",AH312=0),0,MAX(5,AH312*IF(OR($A312=Parameters!$B$13,$A312=Parameters!$B$14),0.75,1)-(IF(AND($A312=DATE(2026,11,29),NOV29BF="Yes"),AI312,0)+IF(OR($A312=DATE(2026,11,29),$A312=DATE(2026,11,30),$A312=DATE(2026,12,1),$A312=DATE(2026,12,2)),AJ312,0)+IF(OR($A312=DATE(2026,11,28),$A312=DATE(2026,12,1)),AK312,0))))</f>
        <v>0</v>
      </c>
      <c r="AM312" s="14" t="n">
        <f aca="false">IF(AND($A312&lt;&gt;"",$A312&lt;Parameters!$B$14),CityData!F7*(1+TAXRATE),0)</f>
        <v>0</v>
      </c>
      <c r="AN312" s="14" t="n">
        <f aca="false">IF($A312="",0,IFERROR(VLOOKUP((YEAR($A312)+IF(MONTH($A312)&gt;=10,1,0))&amp;"|Seattle|"&amp;MONTH($A312),Rates!$A$2:$I$181,5,FALSE()),0))</f>
        <v>0</v>
      </c>
      <c r="AO312" s="14" t="n">
        <f aca="false">IF(OR($A312="",$A312&gt;=Parameters!$B$14),1,IF(AND(AN312&gt;0,CityData!F7&lt;=AN312),1,0))</f>
        <v>1</v>
      </c>
    </row>
    <row r="313" customFormat="false" ht="15" hidden="false" customHeight="true" outlineLevel="0" collapsed="false">
      <c r="A313" s="23" t="str">
        <f aca="false">IF(AND(Parameters!$B$14&gt;=Parameters!$B$13,ROW()-2&lt;=Parameters!$B$14-Parameters!$B$13),Parameters!$B$13+ROW()-2,"")</f>
        <v/>
      </c>
      <c r="B313" s="14" t="n">
        <f aca="false">IF($A313="",0,IFERROR(VLOOKUP((YEAR($A313)+IF(MONTH($A313)&gt;=10,1,0))&amp;"|Boston|"&amp;MONTH($A313),Rates!$A$2:$I$181,6,FALSE()),0))</f>
        <v>0</v>
      </c>
      <c r="C313" s="14" t="n">
        <f aca="false">IF(B313=0,0,VLOOKUP(B313,MIE_Components!$A$2:$F$6,2,FALSE()))</f>
        <v>0</v>
      </c>
      <c r="D313" s="14" t="n">
        <f aca="false">IF(B313=0,0,VLOOKUP(B313,MIE_Components!$A$2:$F$6,3,FALSE()))</f>
        <v>0</v>
      </c>
      <c r="E313" s="14" t="n">
        <f aca="false">IF(B313=0,0,VLOOKUP(B313,MIE_Components!$A$2:$F$6,4,FALSE()))</f>
        <v>0</v>
      </c>
      <c r="F313" s="14" t="n">
        <f aca="false">IF(OR($A313="",B313=0),0,MAX(5,B313*IF(OR($A313=Parameters!$B$13,$A313=Parameters!$B$14),0.75,1)-(IF(AND($A313=DATE(2026,11,29),NOV29BF="Yes"),C313,0)+IF(OR($A313=DATE(2026,11,29),$A313=DATE(2026,11,30),$A313=DATE(2026,12,1),$A313=DATE(2026,12,2)),D313,0)+IF(OR($A313=DATE(2026,11,28),$A313=DATE(2026,12,1)),E313,0))))</f>
        <v>0</v>
      </c>
      <c r="G313" s="14" t="n">
        <f aca="false">IF(AND($A313&lt;&gt;"",$A313&lt;Parameters!$B$14),CityData!F3*(1+TAXRATE),0)</f>
        <v>0</v>
      </c>
      <c r="H313" s="14" t="n">
        <f aca="false">IF($A313="",0,IFERROR(VLOOKUP((YEAR($A313)+IF(MONTH($A313)&gt;=10,1,0))&amp;"|Boston|"&amp;MONTH($A313),Rates!$A$2:$I$181,5,FALSE()),0))</f>
        <v>0</v>
      </c>
      <c r="I313" s="14" t="n">
        <f aca="false">IF(OR($A313="",$A313&gt;=Parameters!$B$14),1,IF(AND(H313&gt;0,CityData!F3&lt;=H313),1,0))</f>
        <v>1</v>
      </c>
      <c r="J313" s="14" t="n">
        <f aca="false">IF($A313="",0,IFERROR(VLOOKUP((YEAR($A313)+IF(MONTH($A313)&gt;=10,1,0))&amp;"|Chicago|"&amp;MONTH($A313),Rates!$A$2:$I$181,6,FALSE()),0))</f>
        <v>0</v>
      </c>
      <c r="K313" s="14" t="n">
        <f aca="false">IF(J313=0,0,VLOOKUP(J313,MIE_Components!$A$2:$F$6,2,FALSE()))</f>
        <v>0</v>
      </c>
      <c r="L313" s="14" t="n">
        <f aca="false">IF(J313=0,0,VLOOKUP(J313,MIE_Components!$A$2:$F$6,3,FALSE()))</f>
        <v>0</v>
      </c>
      <c r="M313" s="14" t="n">
        <f aca="false">IF(J313=0,0,VLOOKUP(J313,MIE_Components!$A$2:$F$6,4,FALSE()))</f>
        <v>0</v>
      </c>
      <c r="N313" s="14" t="n">
        <f aca="false">IF(OR($A313="",J313=0),0,MAX(5,J313*IF(OR($A313=Parameters!$B$13,$A313=Parameters!$B$14),0.75,1)-(IF(AND($A313=DATE(2026,11,29),NOV29BF="Yes"),K313,0)+IF(OR($A313=DATE(2026,11,29),$A313=DATE(2026,11,30),$A313=DATE(2026,12,1),$A313=DATE(2026,12,2)),L313,0)+IF(OR($A313=DATE(2026,11,28),$A313=DATE(2026,12,1)),M313,0))))</f>
        <v>0</v>
      </c>
      <c r="O313" s="14" t="n">
        <f aca="false">IF(AND($A313&lt;&gt;"",$A313&lt;Parameters!$B$14),CityData!F4*(1+TAXRATE),0)</f>
        <v>0</v>
      </c>
      <c r="P313" s="14" t="n">
        <f aca="false">IF($A313="",0,IFERROR(VLOOKUP((YEAR($A313)+IF(MONTH($A313)&gt;=10,1,0))&amp;"|Chicago|"&amp;MONTH($A313),Rates!$A$2:$I$181,5,FALSE()),0))</f>
        <v>0</v>
      </c>
      <c r="Q313" s="14" t="n">
        <f aca="false">IF(OR($A313="",$A313&gt;=Parameters!$B$14),1,IF(AND(P313&gt;0,CityData!F4&lt;=P313),1,0))</f>
        <v>1</v>
      </c>
      <c r="R313" s="14" t="n">
        <f aca="false">IF($A313="",0,IFERROR(VLOOKUP((YEAR($A313)+IF(MONTH($A313)&gt;=10,1,0))&amp;"|Denver|"&amp;MONTH($A313),Rates!$A$2:$I$181,6,FALSE()),0))</f>
        <v>0</v>
      </c>
      <c r="S313" s="14" t="n">
        <f aca="false">IF(R313=0,0,VLOOKUP(R313,MIE_Components!$A$2:$F$6,2,FALSE()))</f>
        <v>0</v>
      </c>
      <c r="T313" s="14" t="n">
        <f aca="false">IF(R313=0,0,VLOOKUP(R313,MIE_Components!$A$2:$F$6,3,FALSE()))</f>
        <v>0</v>
      </c>
      <c r="U313" s="14" t="n">
        <f aca="false">IF(R313=0,0,VLOOKUP(R313,MIE_Components!$A$2:$F$6,4,FALSE()))</f>
        <v>0</v>
      </c>
      <c r="V313" s="14" t="n">
        <f aca="false">IF(OR($A313="",R313=0),0,MAX(5,R313*IF(OR($A313=Parameters!$B$13,$A313=Parameters!$B$14),0.75,1)-(IF(AND($A313=DATE(2026,11,29),NOV29BF="Yes"),S313,0)+IF(OR($A313=DATE(2026,11,29),$A313=DATE(2026,11,30),$A313=DATE(2026,12,1),$A313=DATE(2026,12,2)),T313,0)+IF(OR($A313=DATE(2026,11,28),$A313=DATE(2026,12,1)),U313,0))))</f>
        <v>0</v>
      </c>
      <c r="W313" s="14" t="n">
        <f aca="false">IF(AND($A313&lt;&gt;"",$A313&lt;Parameters!$B$14),CityData!F5*(1+TAXRATE),0)</f>
        <v>0</v>
      </c>
      <c r="X313" s="14" t="n">
        <f aca="false">IF($A313="",0,IFERROR(VLOOKUP((YEAR($A313)+IF(MONTH($A313)&gt;=10,1,0))&amp;"|Denver|"&amp;MONTH($A313),Rates!$A$2:$I$181,5,FALSE()),0))</f>
        <v>0</v>
      </c>
      <c r="Y313" s="14" t="n">
        <f aca="false">IF(OR($A313="",$A313&gt;=Parameters!$B$14),1,IF(AND(X313&gt;0,CityData!F5&lt;=X313),1,0))</f>
        <v>1</v>
      </c>
      <c r="Z313" s="14" t="n">
        <f aca="false">IF($A313="",0,IFERROR(VLOOKUP((YEAR($A313)+IF(MONTH($A313)&gt;=10,1,0))&amp;"|Phoenix|"&amp;MONTH($A313),Rates!$A$2:$I$181,6,FALSE()),0))</f>
        <v>0</v>
      </c>
      <c r="AA313" s="14" t="n">
        <f aca="false">IF(Z313=0,0,VLOOKUP(Z313,MIE_Components!$A$2:$F$6,2,FALSE()))</f>
        <v>0</v>
      </c>
      <c r="AB313" s="14" t="n">
        <f aca="false">IF(Z313=0,0,VLOOKUP(Z313,MIE_Components!$A$2:$F$6,3,FALSE()))</f>
        <v>0</v>
      </c>
      <c r="AC313" s="14" t="n">
        <f aca="false">IF(Z313=0,0,VLOOKUP(Z313,MIE_Components!$A$2:$F$6,4,FALSE()))</f>
        <v>0</v>
      </c>
      <c r="AD313" s="14" t="n">
        <f aca="false">IF(OR($A313="",Z313=0),0,MAX(5,Z313*IF(OR($A313=Parameters!$B$13,$A313=Parameters!$B$14),0.75,1)-(IF(AND($A313=DATE(2026,11,29),NOV29BF="Yes"),AA313,0)+IF(OR($A313=DATE(2026,11,29),$A313=DATE(2026,11,30),$A313=DATE(2026,12,1),$A313=DATE(2026,12,2)),AB313,0)+IF(OR($A313=DATE(2026,11,28),$A313=DATE(2026,12,1)),AC313,0))))</f>
        <v>0</v>
      </c>
      <c r="AE313" s="14" t="n">
        <f aca="false">IF(AND($A313&lt;&gt;"",$A313&lt;Parameters!$B$14),CityData!F6*(1+TAXRATE),0)</f>
        <v>0</v>
      </c>
      <c r="AF313" s="14" t="n">
        <f aca="false">IF($A313="",0,IFERROR(VLOOKUP((YEAR($A313)+IF(MONTH($A313)&gt;=10,1,0))&amp;"|Phoenix|"&amp;MONTH($A313),Rates!$A$2:$I$181,5,FALSE()),0))</f>
        <v>0</v>
      </c>
      <c r="AG313" s="14" t="n">
        <f aca="false">IF(OR($A313="",$A313&gt;=Parameters!$B$14),1,IF(AND(AF313&gt;0,CityData!F6&lt;=AF313),1,0))</f>
        <v>1</v>
      </c>
      <c r="AH313" s="14" t="n">
        <f aca="false">IF($A313="",0,IFERROR(VLOOKUP((YEAR($A313)+IF(MONTH($A313)&gt;=10,1,0))&amp;"|Seattle|"&amp;MONTH($A313),Rates!$A$2:$I$181,6,FALSE()),0))</f>
        <v>0</v>
      </c>
      <c r="AI313" s="14" t="n">
        <f aca="false">IF(AH313=0,0,VLOOKUP(AH313,MIE_Components!$A$2:$F$6,2,FALSE()))</f>
        <v>0</v>
      </c>
      <c r="AJ313" s="14" t="n">
        <f aca="false">IF(AH313=0,0,VLOOKUP(AH313,MIE_Components!$A$2:$F$6,3,FALSE()))</f>
        <v>0</v>
      </c>
      <c r="AK313" s="14" t="n">
        <f aca="false">IF(AH313=0,0,VLOOKUP(AH313,MIE_Components!$A$2:$F$6,4,FALSE()))</f>
        <v>0</v>
      </c>
      <c r="AL313" s="14" t="n">
        <f aca="false">IF(OR($A313="",AH313=0),0,MAX(5,AH313*IF(OR($A313=Parameters!$B$13,$A313=Parameters!$B$14),0.75,1)-(IF(AND($A313=DATE(2026,11,29),NOV29BF="Yes"),AI313,0)+IF(OR($A313=DATE(2026,11,29),$A313=DATE(2026,11,30),$A313=DATE(2026,12,1),$A313=DATE(2026,12,2)),AJ313,0)+IF(OR($A313=DATE(2026,11,28),$A313=DATE(2026,12,1)),AK313,0))))</f>
        <v>0</v>
      </c>
      <c r="AM313" s="14" t="n">
        <f aca="false">IF(AND($A313&lt;&gt;"",$A313&lt;Parameters!$B$14),CityData!F7*(1+TAXRATE),0)</f>
        <v>0</v>
      </c>
      <c r="AN313" s="14" t="n">
        <f aca="false">IF($A313="",0,IFERROR(VLOOKUP((YEAR($A313)+IF(MONTH($A313)&gt;=10,1,0))&amp;"|Seattle|"&amp;MONTH($A313),Rates!$A$2:$I$181,5,FALSE()),0))</f>
        <v>0</v>
      </c>
      <c r="AO313" s="14" t="n">
        <f aca="false">IF(OR($A313="",$A313&gt;=Parameters!$B$14),1,IF(AND(AN313&gt;0,CityData!F7&lt;=AN313),1,0))</f>
        <v>1</v>
      </c>
    </row>
    <row r="314" customFormat="false" ht="15" hidden="false" customHeight="true" outlineLevel="0" collapsed="false">
      <c r="A314" s="23" t="str">
        <f aca="false">IF(AND(Parameters!$B$14&gt;=Parameters!$B$13,ROW()-2&lt;=Parameters!$B$14-Parameters!$B$13),Parameters!$B$13+ROW()-2,"")</f>
        <v/>
      </c>
      <c r="B314" s="14" t="n">
        <f aca="false">IF($A314="",0,IFERROR(VLOOKUP((YEAR($A314)+IF(MONTH($A314)&gt;=10,1,0))&amp;"|Boston|"&amp;MONTH($A314),Rates!$A$2:$I$181,6,FALSE()),0))</f>
        <v>0</v>
      </c>
      <c r="C314" s="14" t="n">
        <f aca="false">IF(B314=0,0,VLOOKUP(B314,MIE_Components!$A$2:$F$6,2,FALSE()))</f>
        <v>0</v>
      </c>
      <c r="D314" s="14" t="n">
        <f aca="false">IF(B314=0,0,VLOOKUP(B314,MIE_Components!$A$2:$F$6,3,FALSE()))</f>
        <v>0</v>
      </c>
      <c r="E314" s="14" t="n">
        <f aca="false">IF(B314=0,0,VLOOKUP(B314,MIE_Components!$A$2:$F$6,4,FALSE()))</f>
        <v>0</v>
      </c>
      <c r="F314" s="14" t="n">
        <f aca="false">IF(OR($A314="",B314=0),0,MAX(5,B314*IF(OR($A314=Parameters!$B$13,$A314=Parameters!$B$14),0.75,1)-(IF(AND($A314=DATE(2026,11,29),NOV29BF="Yes"),C314,0)+IF(OR($A314=DATE(2026,11,29),$A314=DATE(2026,11,30),$A314=DATE(2026,12,1),$A314=DATE(2026,12,2)),D314,0)+IF(OR($A314=DATE(2026,11,28),$A314=DATE(2026,12,1)),E314,0))))</f>
        <v>0</v>
      </c>
      <c r="G314" s="14" t="n">
        <f aca="false">IF(AND($A314&lt;&gt;"",$A314&lt;Parameters!$B$14),CityData!F3*(1+TAXRATE),0)</f>
        <v>0</v>
      </c>
      <c r="H314" s="14" t="n">
        <f aca="false">IF($A314="",0,IFERROR(VLOOKUP((YEAR($A314)+IF(MONTH($A314)&gt;=10,1,0))&amp;"|Boston|"&amp;MONTH($A314),Rates!$A$2:$I$181,5,FALSE()),0))</f>
        <v>0</v>
      </c>
      <c r="I314" s="14" t="n">
        <f aca="false">IF(OR($A314="",$A314&gt;=Parameters!$B$14),1,IF(AND(H314&gt;0,CityData!F3&lt;=H314),1,0))</f>
        <v>1</v>
      </c>
      <c r="J314" s="14" t="n">
        <f aca="false">IF($A314="",0,IFERROR(VLOOKUP((YEAR($A314)+IF(MONTH($A314)&gt;=10,1,0))&amp;"|Chicago|"&amp;MONTH($A314),Rates!$A$2:$I$181,6,FALSE()),0))</f>
        <v>0</v>
      </c>
      <c r="K314" s="14" t="n">
        <f aca="false">IF(J314=0,0,VLOOKUP(J314,MIE_Components!$A$2:$F$6,2,FALSE()))</f>
        <v>0</v>
      </c>
      <c r="L314" s="14" t="n">
        <f aca="false">IF(J314=0,0,VLOOKUP(J314,MIE_Components!$A$2:$F$6,3,FALSE()))</f>
        <v>0</v>
      </c>
      <c r="M314" s="14" t="n">
        <f aca="false">IF(J314=0,0,VLOOKUP(J314,MIE_Components!$A$2:$F$6,4,FALSE()))</f>
        <v>0</v>
      </c>
      <c r="N314" s="14" t="n">
        <f aca="false">IF(OR($A314="",J314=0),0,MAX(5,J314*IF(OR($A314=Parameters!$B$13,$A314=Parameters!$B$14),0.75,1)-(IF(AND($A314=DATE(2026,11,29),NOV29BF="Yes"),K314,0)+IF(OR($A314=DATE(2026,11,29),$A314=DATE(2026,11,30),$A314=DATE(2026,12,1),$A314=DATE(2026,12,2)),L314,0)+IF(OR($A314=DATE(2026,11,28),$A314=DATE(2026,12,1)),M314,0))))</f>
        <v>0</v>
      </c>
      <c r="O314" s="14" t="n">
        <f aca="false">IF(AND($A314&lt;&gt;"",$A314&lt;Parameters!$B$14),CityData!F4*(1+TAXRATE),0)</f>
        <v>0</v>
      </c>
      <c r="P314" s="14" t="n">
        <f aca="false">IF($A314="",0,IFERROR(VLOOKUP((YEAR($A314)+IF(MONTH($A314)&gt;=10,1,0))&amp;"|Chicago|"&amp;MONTH($A314),Rates!$A$2:$I$181,5,FALSE()),0))</f>
        <v>0</v>
      </c>
      <c r="Q314" s="14" t="n">
        <f aca="false">IF(OR($A314="",$A314&gt;=Parameters!$B$14),1,IF(AND(P314&gt;0,CityData!F4&lt;=P314),1,0))</f>
        <v>1</v>
      </c>
      <c r="R314" s="14" t="n">
        <f aca="false">IF($A314="",0,IFERROR(VLOOKUP((YEAR($A314)+IF(MONTH($A314)&gt;=10,1,0))&amp;"|Denver|"&amp;MONTH($A314),Rates!$A$2:$I$181,6,FALSE()),0))</f>
        <v>0</v>
      </c>
      <c r="S314" s="14" t="n">
        <f aca="false">IF(R314=0,0,VLOOKUP(R314,MIE_Components!$A$2:$F$6,2,FALSE()))</f>
        <v>0</v>
      </c>
      <c r="T314" s="14" t="n">
        <f aca="false">IF(R314=0,0,VLOOKUP(R314,MIE_Components!$A$2:$F$6,3,FALSE()))</f>
        <v>0</v>
      </c>
      <c r="U314" s="14" t="n">
        <f aca="false">IF(R314=0,0,VLOOKUP(R314,MIE_Components!$A$2:$F$6,4,FALSE()))</f>
        <v>0</v>
      </c>
      <c r="V314" s="14" t="n">
        <f aca="false">IF(OR($A314="",R314=0),0,MAX(5,R314*IF(OR($A314=Parameters!$B$13,$A314=Parameters!$B$14),0.75,1)-(IF(AND($A314=DATE(2026,11,29),NOV29BF="Yes"),S314,0)+IF(OR($A314=DATE(2026,11,29),$A314=DATE(2026,11,30),$A314=DATE(2026,12,1),$A314=DATE(2026,12,2)),T314,0)+IF(OR($A314=DATE(2026,11,28),$A314=DATE(2026,12,1)),U314,0))))</f>
        <v>0</v>
      </c>
      <c r="W314" s="14" t="n">
        <f aca="false">IF(AND($A314&lt;&gt;"",$A314&lt;Parameters!$B$14),CityData!F5*(1+TAXRATE),0)</f>
        <v>0</v>
      </c>
      <c r="X314" s="14" t="n">
        <f aca="false">IF($A314="",0,IFERROR(VLOOKUP((YEAR($A314)+IF(MONTH($A314)&gt;=10,1,0))&amp;"|Denver|"&amp;MONTH($A314),Rates!$A$2:$I$181,5,FALSE()),0))</f>
        <v>0</v>
      </c>
      <c r="Y314" s="14" t="n">
        <f aca="false">IF(OR($A314="",$A314&gt;=Parameters!$B$14),1,IF(AND(X314&gt;0,CityData!F5&lt;=X314),1,0))</f>
        <v>1</v>
      </c>
      <c r="Z314" s="14" t="n">
        <f aca="false">IF($A314="",0,IFERROR(VLOOKUP((YEAR($A314)+IF(MONTH($A314)&gt;=10,1,0))&amp;"|Phoenix|"&amp;MONTH($A314),Rates!$A$2:$I$181,6,FALSE()),0))</f>
        <v>0</v>
      </c>
      <c r="AA314" s="14" t="n">
        <f aca="false">IF(Z314=0,0,VLOOKUP(Z314,MIE_Components!$A$2:$F$6,2,FALSE()))</f>
        <v>0</v>
      </c>
      <c r="AB314" s="14" t="n">
        <f aca="false">IF(Z314=0,0,VLOOKUP(Z314,MIE_Components!$A$2:$F$6,3,FALSE()))</f>
        <v>0</v>
      </c>
      <c r="AC314" s="14" t="n">
        <f aca="false">IF(Z314=0,0,VLOOKUP(Z314,MIE_Components!$A$2:$F$6,4,FALSE()))</f>
        <v>0</v>
      </c>
      <c r="AD314" s="14" t="n">
        <f aca="false">IF(OR($A314="",Z314=0),0,MAX(5,Z314*IF(OR($A314=Parameters!$B$13,$A314=Parameters!$B$14),0.75,1)-(IF(AND($A314=DATE(2026,11,29),NOV29BF="Yes"),AA314,0)+IF(OR($A314=DATE(2026,11,29),$A314=DATE(2026,11,30),$A314=DATE(2026,12,1),$A314=DATE(2026,12,2)),AB314,0)+IF(OR($A314=DATE(2026,11,28),$A314=DATE(2026,12,1)),AC314,0))))</f>
        <v>0</v>
      </c>
      <c r="AE314" s="14" t="n">
        <f aca="false">IF(AND($A314&lt;&gt;"",$A314&lt;Parameters!$B$14),CityData!F6*(1+TAXRATE),0)</f>
        <v>0</v>
      </c>
      <c r="AF314" s="14" t="n">
        <f aca="false">IF($A314="",0,IFERROR(VLOOKUP((YEAR($A314)+IF(MONTH($A314)&gt;=10,1,0))&amp;"|Phoenix|"&amp;MONTH($A314),Rates!$A$2:$I$181,5,FALSE()),0))</f>
        <v>0</v>
      </c>
      <c r="AG314" s="14" t="n">
        <f aca="false">IF(OR($A314="",$A314&gt;=Parameters!$B$14),1,IF(AND(AF314&gt;0,CityData!F6&lt;=AF314),1,0))</f>
        <v>1</v>
      </c>
      <c r="AH314" s="14" t="n">
        <f aca="false">IF($A314="",0,IFERROR(VLOOKUP((YEAR($A314)+IF(MONTH($A314)&gt;=10,1,0))&amp;"|Seattle|"&amp;MONTH($A314),Rates!$A$2:$I$181,6,FALSE()),0))</f>
        <v>0</v>
      </c>
      <c r="AI314" s="14" t="n">
        <f aca="false">IF(AH314=0,0,VLOOKUP(AH314,MIE_Components!$A$2:$F$6,2,FALSE()))</f>
        <v>0</v>
      </c>
      <c r="AJ314" s="14" t="n">
        <f aca="false">IF(AH314=0,0,VLOOKUP(AH314,MIE_Components!$A$2:$F$6,3,FALSE()))</f>
        <v>0</v>
      </c>
      <c r="AK314" s="14" t="n">
        <f aca="false">IF(AH314=0,0,VLOOKUP(AH314,MIE_Components!$A$2:$F$6,4,FALSE()))</f>
        <v>0</v>
      </c>
      <c r="AL314" s="14" t="n">
        <f aca="false">IF(OR($A314="",AH314=0),0,MAX(5,AH314*IF(OR($A314=Parameters!$B$13,$A314=Parameters!$B$14),0.75,1)-(IF(AND($A314=DATE(2026,11,29),NOV29BF="Yes"),AI314,0)+IF(OR($A314=DATE(2026,11,29),$A314=DATE(2026,11,30),$A314=DATE(2026,12,1),$A314=DATE(2026,12,2)),AJ314,0)+IF(OR($A314=DATE(2026,11,28),$A314=DATE(2026,12,1)),AK314,0))))</f>
        <v>0</v>
      </c>
      <c r="AM314" s="14" t="n">
        <f aca="false">IF(AND($A314&lt;&gt;"",$A314&lt;Parameters!$B$14),CityData!F7*(1+TAXRATE),0)</f>
        <v>0</v>
      </c>
      <c r="AN314" s="14" t="n">
        <f aca="false">IF($A314="",0,IFERROR(VLOOKUP((YEAR($A314)+IF(MONTH($A314)&gt;=10,1,0))&amp;"|Seattle|"&amp;MONTH($A314),Rates!$A$2:$I$181,5,FALSE()),0))</f>
        <v>0</v>
      </c>
      <c r="AO314" s="14" t="n">
        <f aca="false">IF(OR($A314="",$A314&gt;=Parameters!$B$14),1,IF(AND(AN314&gt;0,CityData!F7&lt;=AN314),1,0))</f>
        <v>1</v>
      </c>
    </row>
    <row r="315" customFormat="false" ht="15" hidden="false" customHeight="true" outlineLevel="0" collapsed="false">
      <c r="A315" s="23" t="str">
        <f aca="false">IF(AND(Parameters!$B$14&gt;=Parameters!$B$13,ROW()-2&lt;=Parameters!$B$14-Parameters!$B$13),Parameters!$B$13+ROW()-2,"")</f>
        <v/>
      </c>
      <c r="B315" s="14" t="n">
        <f aca="false">IF($A315="",0,IFERROR(VLOOKUP((YEAR($A315)+IF(MONTH($A315)&gt;=10,1,0))&amp;"|Boston|"&amp;MONTH($A315),Rates!$A$2:$I$181,6,FALSE()),0))</f>
        <v>0</v>
      </c>
      <c r="C315" s="14" t="n">
        <f aca="false">IF(B315=0,0,VLOOKUP(B315,MIE_Components!$A$2:$F$6,2,FALSE()))</f>
        <v>0</v>
      </c>
      <c r="D315" s="14" t="n">
        <f aca="false">IF(B315=0,0,VLOOKUP(B315,MIE_Components!$A$2:$F$6,3,FALSE()))</f>
        <v>0</v>
      </c>
      <c r="E315" s="14" t="n">
        <f aca="false">IF(B315=0,0,VLOOKUP(B315,MIE_Components!$A$2:$F$6,4,FALSE()))</f>
        <v>0</v>
      </c>
      <c r="F315" s="14" t="n">
        <f aca="false">IF(OR($A315="",B315=0),0,MAX(5,B315*IF(OR($A315=Parameters!$B$13,$A315=Parameters!$B$14),0.75,1)-(IF(AND($A315=DATE(2026,11,29),NOV29BF="Yes"),C315,0)+IF(OR($A315=DATE(2026,11,29),$A315=DATE(2026,11,30),$A315=DATE(2026,12,1),$A315=DATE(2026,12,2)),D315,0)+IF(OR($A315=DATE(2026,11,28),$A315=DATE(2026,12,1)),E315,0))))</f>
        <v>0</v>
      </c>
      <c r="G315" s="14" t="n">
        <f aca="false">IF(AND($A315&lt;&gt;"",$A315&lt;Parameters!$B$14),CityData!F3*(1+TAXRATE),0)</f>
        <v>0</v>
      </c>
      <c r="H315" s="14" t="n">
        <f aca="false">IF($A315="",0,IFERROR(VLOOKUP((YEAR($A315)+IF(MONTH($A315)&gt;=10,1,0))&amp;"|Boston|"&amp;MONTH($A315),Rates!$A$2:$I$181,5,FALSE()),0))</f>
        <v>0</v>
      </c>
      <c r="I315" s="14" t="n">
        <f aca="false">IF(OR($A315="",$A315&gt;=Parameters!$B$14),1,IF(AND(H315&gt;0,CityData!F3&lt;=H315),1,0))</f>
        <v>1</v>
      </c>
      <c r="J315" s="14" t="n">
        <f aca="false">IF($A315="",0,IFERROR(VLOOKUP((YEAR($A315)+IF(MONTH($A315)&gt;=10,1,0))&amp;"|Chicago|"&amp;MONTH($A315),Rates!$A$2:$I$181,6,FALSE()),0))</f>
        <v>0</v>
      </c>
      <c r="K315" s="14" t="n">
        <f aca="false">IF(J315=0,0,VLOOKUP(J315,MIE_Components!$A$2:$F$6,2,FALSE()))</f>
        <v>0</v>
      </c>
      <c r="L315" s="14" t="n">
        <f aca="false">IF(J315=0,0,VLOOKUP(J315,MIE_Components!$A$2:$F$6,3,FALSE()))</f>
        <v>0</v>
      </c>
      <c r="M315" s="14" t="n">
        <f aca="false">IF(J315=0,0,VLOOKUP(J315,MIE_Components!$A$2:$F$6,4,FALSE()))</f>
        <v>0</v>
      </c>
      <c r="N315" s="14" t="n">
        <f aca="false">IF(OR($A315="",J315=0),0,MAX(5,J315*IF(OR($A315=Parameters!$B$13,$A315=Parameters!$B$14),0.75,1)-(IF(AND($A315=DATE(2026,11,29),NOV29BF="Yes"),K315,0)+IF(OR($A315=DATE(2026,11,29),$A315=DATE(2026,11,30),$A315=DATE(2026,12,1),$A315=DATE(2026,12,2)),L315,0)+IF(OR($A315=DATE(2026,11,28),$A315=DATE(2026,12,1)),M315,0))))</f>
        <v>0</v>
      </c>
      <c r="O315" s="14" t="n">
        <f aca="false">IF(AND($A315&lt;&gt;"",$A315&lt;Parameters!$B$14),CityData!F4*(1+TAXRATE),0)</f>
        <v>0</v>
      </c>
      <c r="P315" s="14" t="n">
        <f aca="false">IF($A315="",0,IFERROR(VLOOKUP((YEAR($A315)+IF(MONTH($A315)&gt;=10,1,0))&amp;"|Chicago|"&amp;MONTH($A315),Rates!$A$2:$I$181,5,FALSE()),0))</f>
        <v>0</v>
      </c>
      <c r="Q315" s="14" t="n">
        <f aca="false">IF(OR($A315="",$A315&gt;=Parameters!$B$14),1,IF(AND(P315&gt;0,CityData!F4&lt;=P315),1,0))</f>
        <v>1</v>
      </c>
      <c r="R315" s="14" t="n">
        <f aca="false">IF($A315="",0,IFERROR(VLOOKUP((YEAR($A315)+IF(MONTH($A315)&gt;=10,1,0))&amp;"|Denver|"&amp;MONTH($A315),Rates!$A$2:$I$181,6,FALSE()),0))</f>
        <v>0</v>
      </c>
      <c r="S315" s="14" t="n">
        <f aca="false">IF(R315=0,0,VLOOKUP(R315,MIE_Components!$A$2:$F$6,2,FALSE()))</f>
        <v>0</v>
      </c>
      <c r="T315" s="14" t="n">
        <f aca="false">IF(R315=0,0,VLOOKUP(R315,MIE_Components!$A$2:$F$6,3,FALSE()))</f>
        <v>0</v>
      </c>
      <c r="U315" s="14" t="n">
        <f aca="false">IF(R315=0,0,VLOOKUP(R315,MIE_Components!$A$2:$F$6,4,FALSE()))</f>
        <v>0</v>
      </c>
      <c r="V315" s="14" t="n">
        <f aca="false">IF(OR($A315="",R315=0),0,MAX(5,R315*IF(OR($A315=Parameters!$B$13,$A315=Parameters!$B$14),0.75,1)-(IF(AND($A315=DATE(2026,11,29),NOV29BF="Yes"),S315,0)+IF(OR($A315=DATE(2026,11,29),$A315=DATE(2026,11,30),$A315=DATE(2026,12,1),$A315=DATE(2026,12,2)),T315,0)+IF(OR($A315=DATE(2026,11,28),$A315=DATE(2026,12,1)),U315,0))))</f>
        <v>0</v>
      </c>
      <c r="W315" s="14" t="n">
        <f aca="false">IF(AND($A315&lt;&gt;"",$A315&lt;Parameters!$B$14),CityData!F5*(1+TAXRATE),0)</f>
        <v>0</v>
      </c>
      <c r="X315" s="14" t="n">
        <f aca="false">IF($A315="",0,IFERROR(VLOOKUP((YEAR($A315)+IF(MONTH($A315)&gt;=10,1,0))&amp;"|Denver|"&amp;MONTH($A315),Rates!$A$2:$I$181,5,FALSE()),0))</f>
        <v>0</v>
      </c>
      <c r="Y315" s="14" t="n">
        <f aca="false">IF(OR($A315="",$A315&gt;=Parameters!$B$14),1,IF(AND(X315&gt;0,CityData!F5&lt;=X315),1,0))</f>
        <v>1</v>
      </c>
      <c r="Z315" s="14" t="n">
        <f aca="false">IF($A315="",0,IFERROR(VLOOKUP((YEAR($A315)+IF(MONTH($A315)&gt;=10,1,0))&amp;"|Phoenix|"&amp;MONTH($A315),Rates!$A$2:$I$181,6,FALSE()),0))</f>
        <v>0</v>
      </c>
      <c r="AA315" s="14" t="n">
        <f aca="false">IF(Z315=0,0,VLOOKUP(Z315,MIE_Components!$A$2:$F$6,2,FALSE()))</f>
        <v>0</v>
      </c>
      <c r="AB315" s="14" t="n">
        <f aca="false">IF(Z315=0,0,VLOOKUP(Z315,MIE_Components!$A$2:$F$6,3,FALSE()))</f>
        <v>0</v>
      </c>
      <c r="AC315" s="14" t="n">
        <f aca="false">IF(Z315=0,0,VLOOKUP(Z315,MIE_Components!$A$2:$F$6,4,FALSE()))</f>
        <v>0</v>
      </c>
      <c r="AD315" s="14" t="n">
        <f aca="false">IF(OR($A315="",Z315=0),0,MAX(5,Z315*IF(OR($A315=Parameters!$B$13,$A315=Parameters!$B$14),0.75,1)-(IF(AND($A315=DATE(2026,11,29),NOV29BF="Yes"),AA315,0)+IF(OR($A315=DATE(2026,11,29),$A315=DATE(2026,11,30),$A315=DATE(2026,12,1),$A315=DATE(2026,12,2)),AB315,0)+IF(OR($A315=DATE(2026,11,28),$A315=DATE(2026,12,1)),AC315,0))))</f>
        <v>0</v>
      </c>
      <c r="AE315" s="14" t="n">
        <f aca="false">IF(AND($A315&lt;&gt;"",$A315&lt;Parameters!$B$14),CityData!F6*(1+TAXRATE),0)</f>
        <v>0</v>
      </c>
      <c r="AF315" s="14" t="n">
        <f aca="false">IF($A315="",0,IFERROR(VLOOKUP((YEAR($A315)+IF(MONTH($A315)&gt;=10,1,0))&amp;"|Phoenix|"&amp;MONTH($A315),Rates!$A$2:$I$181,5,FALSE()),0))</f>
        <v>0</v>
      </c>
      <c r="AG315" s="14" t="n">
        <f aca="false">IF(OR($A315="",$A315&gt;=Parameters!$B$14),1,IF(AND(AF315&gt;0,CityData!F6&lt;=AF315),1,0))</f>
        <v>1</v>
      </c>
      <c r="AH315" s="14" t="n">
        <f aca="false">IF($A315="",0,IFERROR(VLOOKUP((YEAR($A315)+IF(MONTH($A315)&gt;=10,1,0))&amp;"|Seattle|"&amp;MONTH($A315),Rates!$A$2:$I$181,6,FALSE()),0))</f>
        <v>0</v>
      </c>
      <c r="AI315" s="14" t="n">
        <f aca="false">IF(AH315=0,0,VLOOKUP(AH315,MIE_Components!$A$2:$F$6,2,FALSE()))</f>
        <v>0</v>
      </c>
      <c r="AJ315" s="14" t="n">
        <f aca="false">IF(AH315=0,0,VLOOKUP(AH315,MIE_Components!$A$2:$F$6,3,FALSE()))</f>
        <v>0</v>
      </c>
      <c r="AK315" s="14" t="n">
        <f aca="false">IF(AH315=0,0,VLOOKUP(AH315,MIE_Components!$A$2:$F$6,4,FALSE()))</f>
        <v>0</v>
      </c>
      <c r="AL315" s="14" t="n">
        <f aca="false">IF(OR($A315="",AH315=0),0,MAX(5,AH315*IF(OR($A315=Parameters!$B$13,$A315=Parameters!$B$14),0.75,1)-(IF(AND($A315=DATE(2026,11,29),NOV29BF="Yes"),AI315,0)+IF(OR($A315=DATE(2026,11,29),$A315=DATE(2026,11,30),$A315=DATE(2026,12,1),$A315=DATE(2026,12,2)),AJ315,0)+IF(OR($A315=DATE(2026,11,28),$A315=DATE(2026,12,1)),AK315,0))))</f>
        <v>0</v>
      </c>
      <c r="AM315" s="14" t="n">
        <f aca="false">IF(AND($A315&lt;&gt;"",$A315&lt;Parameters!$B$14),CityData!F7*(1+TAXRATE),0)</f>
        <v>0</v>
      </c>
      <c r="AN315" s="14" t="n">
        <f aca="false">IF($A315="",0,IFERROR(VLOOKUP((YEAR($A315)+IF(MONTH($A315)&gt;=10,1,0))&amp;"|Seattle|"&amp;MONTH($A315),Rates!$A$2:$I$181,5,FALSE()),0))</f>
        <v>0</v>
      </c>
      <c r="AO315" s="14" t="n">
        <f aca="false">IF(OR($A315="",$A315&gt;=Parameters!$B$14),1,IF(AND(AN315&gt;0,CityData!F7&lt;=AN315),1,0))</f>
        <v>1</v>
      </c>
    </row>
    <row r="316" customFormat="false" ht="15" hidden="false" customHeight="true" outlineLevel="0" collapsed="false">
      <c r="A316" s="23" t="str">
        <f aca="false">IF(AND(Parameters!$B$14&gt;=Parameters!$B$13,ROW()-2&lt;=Parameters!$B$14-Parameters!$B$13),Parameters!$B$13+ROW()-2,"")</f>
        <v/>
      </c>
      <c r="B316" s="14" t="n">
        <f aca="false">IF($A316="",0,IFERROR(VLOOKUP((YEAR($A316)+IF(MONTH($A316)&gt;=10,1,0))&amp;"|Boston|"&amp;MONTH($A316),Rates!$A$2:$I$181,6,FALSE()),0))</f>
        <v>0</v>
      </c>
      <c r="C316" s="14" t="n">
        <f aca="false">IF(B316=0,0,VLOOKUP(B316,MIE_Components!$A$2:$F$6,2,FALSE()))</f>
        <v>0</v>
      </c>
      <c r="D316" s="14" t="n">
        <f aca="false">IF(B316=0,0,VLOOKUP(B316,MIE_Components!$A$2:$F$6,3,FALSE()))</f>
        <v>0</v>
      </c>
      <c r="E316" s="14" t="n">
        <f aca="false">IF(B316=0,0,VLOOKUP(B316,MIE_Components!$A$2:$F$6,4,FALSE()))</f>
        <v>0</v>
      </c>
      <c r="F316" s="14" t="n">
        <f aca="false">IF(OR($A316="",B316=0),0,MAX(5,B316*IF(OR($A316=Parameters!$B$13,$A316=Parameters!$B$14),0.75,1)-(IF(AND($A316=DATE(2026,11,29),NOV29BF="Yes"),C316,0)+IF(OR($A316=DATE(2026,11,29),$A316=DATE(2026,11,30),$A316=DATE(2026,12,1),$A316=DATE(2026,12,2)),D316,0)+IF(OR($A316=DATE(2026,11,28),$A316=DATE(2026,12,1)),E316,0))))</f>
        <v>0</v>
      </c>
      <c r="G316" s="14" t="n">
        <f aca="false">IF(AND($A316&lt;&gt;"",$A316&lt;Parameters!$B$14),CityData!F3*(1+TAXRATE),0)</f>
        <v>0</v>
      </c>
      <c r="H316" s="14" t="n">
        <f aca="false">IF($A316="",0,IFERROR(VLOOKUP((YEAR($A316)+IF(MONTH($A316)&gt;=10,1,0))&amp;"|Boston|"&amp;MONTH($A316),Rates!$A$2:$I$181,5,FALSE()),0))</f>
        <v>0</v>
      </c>
      <c r="I316" s="14" t="n">
        <f aca="false">IF(OR($A316="",$A316&gt;=Parameters!$B$14),1,IF(AND(H316&gt;0,CityData!F3&lt;=H316),1,0))</f>
        <v>1</v>
      </c>
      <c r="J316" s="14" t="n">
        <f aca="false">IF($A316="",0,IFERROR(VLOOKUP((YEAR($A316)+IF(MONTH($A316)&gt;=10,1,0))&amp;"|Chicago|"&amp;MONTH($A316),Rates!$A$2:$I$181,6,FALSE()),0))</f>
        <v>0</v>
      </c>
      <c r="K316" s="14" t="n">
        <f aca="false">IF(J316=0,0,VLOOKUP(J316,MIE_Components!$A$2:$F$6,2,FALSE()))</f>
        <v>0</v>
      </c>
      <c r="L316" s="14" t="n">
        <f aca="false">IF(J316=0,0,VLOOKUP(J316,MIE_Components!$A$2:$F$6,3,FALSE()))</f>
        <v>0</v>
      </c>
      <c r="M316" s="14" t="n">
        <f aca="false">IF(J316=0,0,VLOOKUP(J316,MIE_Components!$A$2:$F$6,4,FALSE()))</f>
        <v>0</v>
      </c>
      <c r="N316" s="14" t="n">
        <f aca="false">IF(OR($A316="",J316=0),0,MAX(5,J316*IF(OR($A316=Parameters!$B$13,$A316=Parameters!$B$14),0.75,1)-(IF(AND($A316=DATE(2026,11,29),NOV29BF="Yes"),K316,0)+IF(OR($A316=DATE(2026,11,29),$A316=DATE(2026,11,30),$A316=DATE(2026,12,1),$A316=DATE(2026,12,2)),L316,0)+IF(OR($A316=DATE(2026,11,28),$A316=DATE(2026,12,1)),M316,0))))</f>
        <v>0</v>
      </c>
      <c r="O316" s="14" t="n">
        <f aca="false">IF(AND($A316&lt;&gt;"",$A316&lt;Parameters!$B$14),CityData!F4*(1+TAXRATE),0)</f>
        <v>0</v>
      </c>
      <c r="P316" s="14" t="n">
        <f aca="false">IF($A316="",0,IFERROR(VLOOKUP((YEAR($A316)+IF(MONTH($A316)&gt;=10,1,0))&amp;"|Chicago|"&amp;MONTH($A316),Rates!$A$2:$I$181,5,FALSE()),0))</f>
        <v>0</v>
      </c>
      <c r="Q316" s="14" t="n">
        <f aca="false">IF(OR($A316="",$A316&gt;=Parameters!$B$14),1,IF(AND(P316&gt;0,CityData!F4&lt;=P316),1,0))</f>
        <v>1</v>
      </c>
      <c r="R316" s="14" t="n">
        <f aca="false">IF($A316="",0,IFERROR(VLOOKUP((YEAR($A316)+IF(MONTH($A316)&gt;=10,1,0))&amp;"|Denver|"&amp;MONTH($A316),Rates!$A$2:$I$181,6,FALSE()),0))</f>
        <v>0</v>
      </c>
      <c r="S316" s="14" t="n">
        <f aca="false">IF(R316=0,0,VLOOKUP(R316,MIE_Components!$A$2:$F$6,2,FALSE()))</f>
        <v>0</v>
      </c>
      <c r="T316" s="14" t="n">
        <f aca="false">IF(R316=0,0,VLOOKUP(R316,MIE_Components!$A$2:$F$6,3,FALSE()))</f>
        <v>0</v>
      </c>
      <c r="U316" s="14" t="n">
        <f aca="false">IF(R316=0,0,VLOOKUP(R316,MIE_Components!$A$2:$F$6,4,FALSE()))</f>
        <v>0</v>
      </c>
      <c r="V316" s="14" t="n">
        <f aca="false">IF(OR($A316="",R316=0),0,MAX(5,R316*IF(OR($A316=Parameters!$B$13,$A316=Parameters!$B$14),0.75,1)-(IF(AND($A316=DATE(2026,11,29),NOV29BF="Yes"),S316,0)+IF(OR($A316=DATE(2026,11,29),$A316=DATE(2026,11,30),$A316=DATE(2026,12,1),$A316=DATE(2026,12,2)),T316,0)+IF(OR($A316=DATE(2026,11,28),$A316=DATE(2026,12,1)),U316,0))))</f>
        <v>0</v>
      </c>
      <c r="W316" s="14" t="n">
        <f aca="false">IF(AND($A316&lt;&gt;"",$A316&lt;Parameters!$B$14),CityData!F5*(1+TAXRATE),0)</f>
        <v>0</v>
      </c>
      <c r="X316" s="14" t="n">
        <f aca="false">IF($A316="",0,IFERROR(VLOOKUP((YEAR($A316)+IF(MONTH($A316)&gt;=10,1,0))&amp;"|Denver|"&amp;MONTH($A316),Rates!$A$2:$I$181,5,FALSE()),0))</f>
        <v>0</v>
      </c>
      <c r="Y316" s="14" t="n">
        <f aca="false">IF(OR($A316="",$A316&gt;=Parameters!$B$14),1,IF(AND(X316&gt;0,CityData!F5&lt;=X316),1,0))</f>
        <v>1</v>
      </c>
      <c r="Z316" s="14" t="n">
        <f aca="false">IF($A316="",0,IFERROR(VLOOKUP((YEAR($A316)+IF(MONTH($A316)&gt;=10,1,0))&amp;"|Phoenix|"&amp;MONTH($A316),Rates!$A$2:$I$181,6,FALSE()),0))</f>
        <v>0</v>
      </c>
      <c r="AA316" s="14" t="n">
        <f aca="false">IF(Z316=0,0,VLOOKUP(Z316,MIE_Components!$A$2:$F$6,2,FALSE()))</f>
        <v>0</v>
      </c>
      <c r="AB316" s="14" t="n">
        <f aca="false">IF(Z316=0,0,VLOOKUP(Z316,MIE_Components!$A$2:$F$6,3,FALSE()))</f>
        <v>0</v>
      </c>
      <c r="AC316" s="14" t="n">
        <f aca="false">IF(Z316=0,0,VLOOKUP(Z316,MIE_Components!$A$2:$F$6,4,FALSE()))</f>
        <v>0</v>
      </c>
      <c r="AD316" s="14" t="n">
        <f aca="false">IF(OR($A316="",Z316=0),0,MAX(5,Z316*IF(OR($A316=Parameters!$B$13,$A316=Parameters!$B$14),0.75,1)-(IF(AND($A316=DATE(2026,11,29),NOV29BF="Yes"),AA316,0)+IF(OR($A316=DATE(2026,11,29),$A316=DATE(2026,11,30),$A316=DATE(2026,12,1),$A316=DATE(2026,12,2)),AB316,0)+IF(OR($A316=DATE(2026,11,28),$A316=DATE(2026,12,1)),AC316,0))))</f>
        <v>0</v>
      </c>
      <c r="AE316" s="14" t="n">
        <f aca="false">IF(AND($A316&lt;&gt;"",$A316&lt;Parameters!$B$14),CityData!F6*(1+TAXRATE),0)</f>
        <v>0</v>
      </c>
      <c r="AF316" s="14" t="n">
        <f aca="false">IF($A316="",0,IFERROR(VLOOKUP((YEAR($A316)+IF(MONTH($A316)&gt;=10,1,0))&amp;"|Phoenix|"&amp;MONTH($A316),Rates!$A$2:$I$181,5,FALSE()),0))</f>
        <v>0</v>
      </c>
      <c r="AG316" s="14" t="n">
        <f aca="false">IF(OR($A316="",$A316&gt;=Parameters!$B$14),1,IF(AND(AF316&gt;0,CityData!F6&lt;=AF316),1,0))</f>
        <v>1</v>
      </c>
      <c r="AH316" s="14" t="n">
        <f aca="false">IF($A316="",0,IFERROR(VLOOKUP((YEAR($A316)+IF(MONTH($A316)&gt;=10,1,0))&amp;"|Seattle|"&amp;MONTH($A316),Rates!$A$2:$I$181,6,FALSE()),0))</f>
        <v>0</v>
      </c>
      <c r="AI316" s="14" t="n">
        <f aca="false">IF(AH316=0,0,VLOOKUP(AH316,MIE_Components!$A$2:$F$6,2,FALSE()))</f>
        <v>0</v>
      </c>
      <c r="AJ316" s="14" t="n">
        <f aca="false">IF(AH316=0,0,VLOOKUP(AH316,MIE_Components!$A$2:$F$6,3,FALSE()))</f>
        <v>0</v>
      </c>
      <c r="AK316" s="14" t="n">
        <f aca="false">IF(AH316=0,0,VLOOKUP(AH316,MIE_Components!$A$2:$F$6,4,FALSE()))</f>
        <v>0</v>
      </c>
      <c r="AL316" s="14" t="n">
        <f aca="false">IF(OR($A316="",AH316=0),0,MAX(5,AH316*IF(OR($A316=Parameters!$B$13,$A316=Parameters!$B$14),0.75,1)-(IF(AND($A316=DATE(2026,11,29),NOV29BF="Yes"),AI316,0)+IF(OR($A316=DATE(2026,11,29),$A316=DATE(2026,11,30),$A316=DATE(2026,12,1),$A316=DATE(2026,12,2)),AJ316,0)+IF(OR($A316=DATE(2026,11,28),$A316=DATE(2026,12,1)),AK316,0))))</f>
        <v>0</v>
      </c>
      <c r="AM316" s="14" t="n">
        <f aca="false">IF(AND($A316&lt;&gt;"",$A316&lt;Parameters!$B$14),CityData!F7*(1+TAXRATE),0)</f>
        <v>0</v>
      </c>
      <c r="AN316" s="14" t="n">
        <f aca="false">IF($A316="",0,IFERROR(VLOOKUP((YEAR($A316)+IF(MONTH($A316)&gt;=10,1,0))&amp;"|Seattle|"&amp;MONTH($A316),Rates!$A$2:$I$181,5,FALSE()),0))</f>
        <v>0</v>
      </c>
      <c r="AO316" s="14" t="n">
        <f aca="false">IF(OR($A316="",$A316&gt;=Parameters!$B$14),1,IF(AND(AN316&gt;0,CityData!F7&lt;=AN316),1,0))</f>
        <v>1</v>
      </c>
    </row>
    <row r="317" customFormat="false" ht="15" hidden="false" customHeight="true" outlineLevel="0" collapsed="false">
      <c r="A317" s="23" t="str">
        <f aca="false">IF(AND(Parameters!$B$14&gt;=Parameters!$B$13,ROW()-2&lt;=Parameters!$B$14-Parameters!$B$13),Parameters!$B$13+ROW()-2,"")</f>
        <v/>
      </c>
      <c r="B317" s="14" t="n">
        <f aca="false">IF($A317="",0,IFERROR(VLOOKUP((YEAR($A317)+IF(MONTH($A317)&gt;=10,1,0))&amp;"|Boston|"&amp;MONTH($A317),Rates!$A$2:$I$181,6,FALSE()),0))</f>
        <v>0</v>
      </c>
      <c r="C317" s="14" t="n">
        <f aca="false">IF(B317=0,0,VLOOKUP(B317,MIE_Components!$A$2:$F$6,2,FALSE()))</f>
        <v>0</v>
      </c>
      <c r="D317" s="14" t="n">
        <f aca="false">IF(B317=0,0,VLOOKUP(B317,MIE_Components!$A$2:$F$6,3,FALSE()))</f>
        <v>0</v>
      </c>
      <c r="E317" s="14" t="n">
        <f aca="false">IF(B317=0,0,VLOOKUP(B317,MIE_Components!$A$2:$F$6,4,FALSE()))</f>
        <v>0</v>
      </c>
      <c r="F317" s="14" t="n">
        <f aca="false">IF(OR($A317="",B317=0),0,MAX(5,B317*IF(OR($A317=Parameters!$B$13,$A317=Parameters!$B$14),0.75,1)-(IF(AND($A317=DATE(2026,11,29),NOV29BF="Yes"),C317,0)+IF(OR($A317=DATE(2026,11,29),$A317=DATE(2026,11,30),$A317=DATE(2026,12,1),$A317=DATE(2026,12,2)),D317,0)+IF(OR($A317=DATE(2026,11,28),$A317=DATE(2026,12,1)),E317,0))))</f>
        <v>0</v>
      </c>
      <c r="G317" s="14" t="n">
        <f aca="false">IF(AND($A317&lt;&gt;"",$A317&lt;Parameters!$B$14),CityData!F3*(1+TAXRATE),0)</f>
        <v>0</v>
      </c>
      <c r="H317" s="14" t="n">
        <f aca="false">IF($A317="",0,IFERROR(VLOOKUP((YEAR($A317)+IF(MONTH($A317)&gt;=10,1,0))&amp;"|Boston|"&amp;MONTH($A317),Rates!$A$2:$I$181,5,FALSE()),0))</f>
        <v>0</v>
      </c>
      <c r="I317" s="14" t="n">
        <f aca="false">IF(OR($A317="",$A317&gt;=Parameters!$B$14),1,IF(AND(H317&gt;0,CityData!F3&lt;=H317),1,0))</f>
        <v>1</v>
      </c>
      <c r="J317" s="14" t="n">
        <f aca="false">IF($A317="",0,IFERROR(VLOOKUP((YEAR($A317)+IF(MONTH($A317)&gt;=10,1,0))&amp;"|Chicago|"&amp;MONTH($A317),Rates!$A$2:$I$181,6,FALSE()),0))</f>
        <v>0</v>
      </c>
      <c r="K317" s="14" t="n">
        <f aca="false">IF(J317=0,0,VLOOKUP(J317,MIE_Components!$A$2:$F$6,2,FALSE()))</f>
        <v>0</v>
      </c>
      <c r="L317" s="14" t="n">
        <f aca="false">IF(J317=0,0,VLOOKUP(J317,MIE_Components!$A$2:$F$6,3,FALSE()))</f>
        <v>0</v>
      </c>
      <c r="M317" s="14" t="n">
        <f aca="false">IF(J317=0,0,VLOOKUP(J317,MIE_Components!$A$2:$F$6,4,FALSE()))</f>
        <v>0</v>
      </c>
      <c r="N317" s="14" t="n">
        <f aca="false">IF(OR($A317="",J317=0),0,MAX(5,J317*IF(OR($A317=Parameters!$B$13,$A317=Parameters!$B$14),0.75,1)-(IF(AND($A317=DATE(2026,11,29),NOV29BF="Yes"),K317,0)+IF(OR($A317=DATE(2026,11,29),$A317=DATE(2026,11,30),$A317=DATE(2026,12,1),$A317=DATE(2026,12,2)),L317,0)+IF(OR($A317=DATE(2026,11,28),$A317=DATE(2026,12,1)),M317,0))))</f>
        <v>0</v>
      </c>
      <c r="O317" s="14" t="n">
        <f aca="false">IF(AND($A317&lt;&gt;"",$A317&lt;Parameters!$B$14),CityData!F4*(1+TAXRATE),0)</f>
        <v>0</v>
      </c>
      <c r="P317" s="14" t="n">
        <f aca="false">IF($A317="",0,IFERROR(VLOOKUP((YEAR($A317)+IF(MONTH($A317)&gt;=10,1,0))&amp;"|Chicago|"&amp;MONTH($A317),Rates!$A$2:$I$181,5,FALSE()),0))</f>
        <v>0</v>
      </c>
      <c r="Q317" s="14" t="n">
        <f aca="false">IF(OR($A317="",$A317&gt;=Parameters!$B$14),1,IF(AND(P317&gt;0,CityData!F4&lt;=P317),1,0))</f>
        <v>1</v>
      </c>
      <c r="R317" s="14" t="n">
        <f aca="false">IF($A317="",0,IFERROR(VLOOKUP((YEAR($A317)+IF(MONTH($A317)&gt;=10,1,0))&amp;"|Denver|"&amp;MONTH($A317),Rates!$A$2:$I$181,6,FALSE()),0))</f>
        <v>0</v>
      </c>
      <c r="S317" s="14" t="n">
        <f aca="false">IF(R317=0,0,VLOOKUP(R317,MIE_Components!$A$2:$F$6,2,FALSE()))</f>
        <v>0</v>
      </c>
      <c r="T317" s="14" t="n">
        <f aca="false">IF(R317=0,0,VLOOKUP(R317,MIE_Components!$A$2:$F$6,3,FALSE()))</f>
        <v>0</v>
      </c>
      <c r="U317" s="14" t="n">
        <f aca="false">IF(R317=0,0,VLOOKUP(R317,MIE_Components!$A$2:$F$6,4,FALSE()))</f>
        <v>0</v>
      </c>
      <c r="V317" s="14" t="n">
        <f aca="false">IF(OR($A317="",R317=0),0,MAX(5,R317*IF(OR($A317=Parameters!$B$13,$A317=Parameters!$B$14),0.75,1)-(IF(AND($A317=DATE(2026,11,29),NOV29BF="Yes"),S317,0)+IF(OR($A317=DATE(2026,11,29),$A317=DATE(2026,11,30),$A317=DATE(2026,12,1),$A317=DATE(2026,12,2)),T317,0)+IF(OR($A317=DATE(2026,11,28),$A317=DATE(2026,12,1)),U317,0))))</f>
        <v>0</v>
      </c>
      <c r="W317" s="14" t="n">
        <f aca="false">IF(AND($A317&lt;&gt;"",$A317&lt;Parameters!$B$14),CityData!F5*(1+TAXRATE),0)</f>
        <v>0</v>
      </c>
      <c r="X317" s="14" t="n">
        <f aca="false">IF($A317="",0,IFERROR(VLOOKUP((YEAR($A317)+IF(MONTH($A317)&gt;=10,1,0))&amp;"|Denver|"&amp;MONTH($A317),Rates!$A$2:$I$181,5,FALSE()),0))</f>
        <v>0</v>
      </c>
      <c r="Y317" s="14" t="n">
        <f aca="false">IF(OR($A317="",$A317&gt;=Parameters!$B$14),1,IF(AND(X317&gt;0,CityData!F5&lt;=X317),1,0))</f>
        <v>1</v>
      </c>
      <c r="Z317" s="14" t="n">
        <f aca="false">IF($A317="",0,IFERROR(VLOOKUP((YEAR($A317)+IF(MONTH($A317)&gt;=10,1,0))&amp;"|Phoenix|"&amp;MONTH($A317),Rates!$A$2:$I$181,6,FALSE()),0))</f>
        <v>0</v>
      </c>
      <c r="AA317" s="14" t="n">
        <f aca="false">IF(Z317=0,0,VLOOKUP(Z317,MIE_Components!$A$2:$F$6,2,FALSE()))</f>
        <v>0</v>
      </c>
      <c r="AB317" s="14" t="n">
        <f aca="false">IF(Z317=0,0,VLOOKUP(Z317,MIE_Components!$A$2:$F$6,3,FALSE()))</f>
        <v>0</v>
      </c>
      <c r="AC317" s="14" t="n">
        <f aca="false">IF(Z317=0,0,VLOOKUP(Z317,MIE_Components!$A$2:$F$6,4,FALSE()))</f>
        <v>0</v>
      </c>
      <c r="AD317" s="14" t="n">
        <f aca="false">IF(OR($A317="",Z317=0),0,MAX(5,Z317*IF(OR($A317=Parameters!$B$13,$A317=Parameters!$B$14),0.75,1)-(IF(AND($A317=DATE(2026,11,29),NOV29BF="Yes"),AA317,0)+IF(OR($A317=DATE(2026,11,29),$A317=DATE(2026,11,30),$A317=DATE(2026,12,1),$A317=DATE(2026,12,2)),AB317,0)+IF(OR($A317=DATE(2026,11,28),$A317=DATE(2026,12,1)),AC317,0))))</f>
        <v>0</v>
      </c>
      <c r="AE317" s="14" t="n">
        <f aca="false">IF(AND($A317&lt;&gt;"",$A317&lt;Parameters!$B$14),CityData!F6*(1+TAXRATE),0)</f>
        <v>0</v>
      </c>
      <c r="AF317" s="14" t="n">
        <f aca="false">IF($A317="",0,IFERROR(VLOOKUP((YEAR($A317)+IF(MONTH($A317)&gt;=10,1,0))&amp;"|Phoenix|"&amp;MONTH($A317),Rates!$A$2:$I$181,5,FALSE()),0))</f>
        <v>0</v>
      </c>
      <c r="AG317" s="14" t="n">
        <f aca="false">IF(OR($A317="",$A317&gt;=Parameters!$B$14),1,IF(AND(AF317&gt;0,CityData!F6&lt;=AF317),1,0))</f>
        <v>1</v>
      </c>
      <c r="AH317" s="14" t="n">
        <f aca="false">IF($A317="",0,IFERROR(VLOOKUP((YEAR($A317)+IF(MONTH($A317)&gt;=10,1,0))&amp;"|Seattle|"&amp;MONTH($A317),Rates!$A$2:$I$181,6,FALSE()),0))</f>
        <v>0</v>
      </c>
      <c r="AI317" s="14" t="n">
        <f aca="false">IF(AH317=0,0,VLOOKUP(AH317,MIE_Components!$A$2:$F$6,2,FALSE()))</f>
        <v>0</v>
      </c>
      <c r="AJ317" s="14" t="n">
        <f aca="false">IF(AH317=0,0,VLOOKUP(AH317,MIE_Components!$A$2:$F$6,3,FALSE()))</f>
        <v>0</v>
      </c>
      <c r="AK317" s="14" t="n">
        <f aca="false">IF(AH317=0,0,VLOOKUP(AH317,MIE_Components!$A$2:$F$6,4,FALSE()))</f>
        <v>0</v>
      </c>
      <c r="AL317" s="14" t="n">
        <f aca="false">IF(OR($A317="",AH317=0),0,MAX(5,AH317*IF(OR($A317=Parameters!$B$13,$A317=Parameters!$B$14),0.75,1)-(IF(AND($A317=DATE(2026,11,29),NOV29BF="Yes"),AI317,0)+IF(OR($A317=DATE(2026,11,29),$A317=DATE(2026,11,30),$A317=DATE(2026,12,1),$A317=DATE(2026,12,2)),AJ317,0)+IF(OR($A317=DATE(2026,11,28),$A317=DATE(2026,12,1)),AK317,0))))</f>
        <v>0</v>
      </c>
      <c r="AM317" s="14" t="n">
        <f aca="false">IF(AND($A317&lt;&gt;"",$A317&lt;Parameters!$B$14),CityData!F7*(1+TAXRATE),0)</f>
        <v>0</v>
      </c>
      <c r="AN317" s="14" t="n">
        <f aca="false">IF($A317="",0,IFERROR(VLOOKUP((YEAR($A317)+IF(MONTH($A317)&gt;=10,1,0))&amp;"|Seattle|"&amp;MONTH($A317),Rates!$A$2:$I$181,5,FALSE()),0))</f>
        <v>0</v>
      </c>
      <c r="AO317" s="14" t="n">
        <f aca="false">IF(OR($A317="",$A317&gt;=Parameters!$B$14),1,IF(AND(AN317&gt;0,CityData!F7&lt;=AN317),1,0))</f>
        <v>1</v>
      </c>
    </row>
    <row r="318" customFormat="false" ht="15" hidden="false" customHeight="true" outlineLevel="0" collapsed="false">
      <c r="A318" s="23" t="str">
        <f aca="false">IF(AND(Parameters!$B$14&gt;=Parameters!$B$13,ROW()-2&lt;=Parameters!$B$14-Parameters!$B$13),Parameters!$B$13+ROW()-2,"")</f>
        <v/>
      </c>
      <c r="B318" s="14" t="n">
        <f aca="false">IF($A318="",0,IFERROR(VLOOKUP((YEAR($A318)+IF(MONTH($A318)&gt;=10,1,0))&amp;"|Boston|"&amp;MONTH($A318),Rates!$A$2:$I$181,6,FALSE()),0))</f>
        <v>0</v>
      </c>
      <c r="C318" s="14" t="n">
        <f aca="false">IF(B318=0,0,VLOOKUP(B318,MIE_Components!$A$2:$F$6,2,FALSE()))</f>
        <v>0</v>
      </c>
      <c r="D318" s="14" t="n">
        <f aca="false">IF(B318=0,0,VLOOKUP(B318,MIE_Components!$A$2:$F$6,3,FALSE()))</f>
        <v>0</v>
      </c>
      <c r="E318" s="14" t="n">
        <f aca="false">IF(B318=0,0,VLOOKUP(B318,MIE_Components!$A$2:$F$6,4,FALSE()))</f>
        <v>0</v>
      </c>
      <c r="F318" s="14" t="n">
        <f aca="false">IF(OR($A318="",B318=0),0,MAX(5,B318*IF(OR($A318=Parameters!$B$13,$A318=Parameters!$B$14),0.75,1)-(IF(AND($A318=DATE(2026,11,29),NOV29BF="Yes"),C318,0)+IF(OR($A318=DATE(2026,11,29),$A318=DATE(2026,11,30),$A318=DATE(2026,12,1),$A318=DATE(2026,12,2)),D318,0)+IF(OR($A318=DATE(2026,11,28),$A318=DATE(2026,12,1)),E318,0))))</f>
        <v>0</v>
      </c>
      <c r="G318" s="14" t="n">
        <f aca="false">IF(AND($A318&lt;&gt;"",$A318&lt;Parameters!$B$14),CityData!F3*(1+TAXRATE),0)</f>
        <v>0</v>
      </c>
      <c r="H318" s="14" t="n">
        <f aca="false">IF($A318="",0,IFERROR(VLOOKUP((YEAR($A318)+IF(MONTH($A318)&gt;=10,1,0))&amp;"|Boston|"&amp;MONTH($A318),Rates!$A$2:$I$181,5,FALSE()),0))</f>
        <v>0</v>
      </c>
      <c r="I318" s="14" t="n">
        <f aca="false">IF(OR($A318="",$A318&gt;=Parameters!$B$14),1,IF(AND(H318&gt;0,CityData!F3&lt;=H318),1,0))</f>
        <v>1</v>
      </c>
      <c r="J318" s="14" t="n">
        <f aca="false">IF($A318="",0,IFERROR(VLOOKUP((YEAR($A318)+IF(MONTH($A318)&gt;=10,1,0))&amp;"|Chicago|"&amp;MONTH($A318),Rates!$A$2:$I$181,6,FALSE()),0))</f>
        <v>0</v>
      </c>
      <c r="K318" s="14" t="n">
        <f aca="false">IF(J318=0,0,VLOOKUP(J318,MIE_Components!$A$2:$F$6,2,FALSE()))</f>
        <v>0</v>
      </c>
      <c r="L318" s="14" t="n">
        <f aca="false">IF(J318=0,0,VLOOKUP(J318,MIE_Components!$A$2:$F$6,3,FALSE()))</f>
        <v>0</v>
      </c>
      <c r="M318" s="14" t="n">
        <f aca="false">IF(J318=0,0,VLOOKUP(J318,MIE_Components!$A$2:$F$6,4,FALSE()))</f>
        <v>0</v>
      </c>
      <c r="N318" s="14" t="n">
        <f aca="false">IF(OR($A318="",J318=0),0,MAX(5,J318*IF(OR($A318=Parameters!$B$13,$A318=Parameters!$B$14),0.75,1)-(IF(AND($A318=DATE(2026,11,29),NOV29BF="Yes"),K318,0)+IF(OR($A318=DATE(2026,11,29),$A318=DATE(2026,11,30),$A318=DATE(2026,12,1),$A318=DATE(2026,12,2)),L318,0)+IF(OR($A318=DATE(2026,11,28),$A318=DATE(2026,12,1)),M318,0))))</f>
        <v>0</v>
      </c>
      <c r="O318" s="14" t="n">
        <f aca="false">IF(AND($A318&lt;&gt;"",$A318&lt;Parameters!$B$14),CityData!F4*(1+TAXRATE),0)</f>
        <v>0</v>
      </c>
      <c r="P318" s="14" t="n">
        <f aca="false">IF($A318="",0,IFERROR(VLOOKUP((YEAR($A318)+IF(MONTH($A318)&gt;=10,1,0))&amp;"|Chicago|"&amp;MONTH($A318),Rates!$A$2:$I$181,5,FALSE()),0))</f>
        <v>0</v>
      </c>
      <c r="Q318" s="14" t="n">
        <f aca="false">IF(OR($A318="",$A318&gt;=Parameters!$B$14),1,IF(AND(P318&gt;0,CityData!F4&lt;=P318),1,0))</f>
        <v>1</v>
      </c>
      <c r="R318" s="14" t="n">
        <f aca="false">IF($A318="",0,IFERROR(VLOOKUP((YEAR($A318)+IF(MONTH($A318)&gt;=10,1,0))&amp;"|Denver|"&amp;MONTH($A318),Rates!$A$2:$I$181,6,FALSE()),0))</f>
        <v>0</v>
      </c>
      <c r="S318" s="14" t="n">
        <f aca="false">IF(R318=0,0,VLOOKUP(R318,MIE_Components!$A$2:$F$6,2,FALSE()))</f>
        <v>0</v>
      </c>
      <c r="T318" s="14" t="n">
        <f aca="false">IF(R318=0,0,VLOOKUP(R318,MIE_Components!$A$2:$F$6,3,FALSE()))</f>
        <v>0</v>
      </c>
      <c r="U318" s="14" t="n">
        <f aca="false">IF(R318=0,0,VLOOKUP(R318,MIE_Components!$A$2:$F$6,4,FALSE()))</f>
        <v>0</v>
      </c>
      <c r="V318" s="14" t="n">
        <f aca="false">IF(OR($A318="",R318=0),0,MAX(5,R318*IF(OR($A318=Parameters!$B$13,$A318=Parameters!$B$14),0.75,1)-(IF(AND($A318=DATE(2026,11,29),NOV29BF="Yes"),S318,0)+IF(OR($A318=DATE(2026,11,29),$A318=DATE(2026,11,30),$A318=DATE(2026,12,1),$A318=DATE(2026,12,2)),T318,0)+IF(OR($A318=DATE(2026,11,28),$A318=DATE(2026,12,1)),U318,0))))</f>
        <v>0</v>
      </c>
      <c r="W318" s="14" t="n">
        <f aca="false">IF(AND($A318&lt;&gt;"",$A318&lt;Parameters!$B$14),CityData!F5*(1+TAXRATE),0)</f>
        <v>0</v>
      </c>
      <c r="X318" s="14" t="n">
        <f aca="false">IF($A318="",0,IFERROR(VLOOKUP((YEAR($A318)+IF(MONTH($A318)&gt;=10,1,0))&amp;"|Denver|"&amp;MONTH($A318),Rates!$A$2:$I$181,5,FALSE()),0))</f>
        <v>0</v>
      </c>
      <c r="Y318" s="14" t="n">
        <f aca="false">IF(OR($A318="",$A318&gt;=Parameters!$B$14),1,IF(AND(X318&gt;0,CityData!F5&lt;=X318),1,0))</f>
        <v>1</v>
      </c>
      <c r="Z318" s="14" t="n">
        <f aca="false">IF($A318="",0,IFERROR(VLOOKUP((YEAR($A318)+IF(MONTH($A318)&gt;=10,1,0))&amp;"|Phoenix|"&amp;MONTH($A318),Rates!$A$2:$I$181,6,FALSE()),0))</f>
        <v>0</v>
      </c>
      <c r="AA318" s="14" t="n">
        <f aca="false">IF(Z318=0,0,VLOOKUP(Z318,MIE_Components!$A$2:$F$6,2,FALSE()))</f>
        <v>0</v>
      </c>
      <c r="AB318" s="14" t="n">
        <f aca="false">IF(Z318=0,0,VLOOKUP(Z318,MIE_Components!$A$2:$F$6,3,FALSE()))</f>
        <v>0</v>
      </c>
      <c r="AC318" s="14" t="n">
        <f aca="false">IF(Z318=0,0,VLOOKUP(Z318,MIE_Components!$A$2:$F$6,4,FALSE()))</f>
        <v>0</v>
      </c>
      <c r="AD318" s="14" t="n">
        <f aca="false">IF(OR($A318="",Z318=0),0,MAX(5,Z318*IF(OR($A318=Parameters!$B$13,$A318=Parameters!$B$14),0.75,1)-(IF(AND($A318=DATE(2026,11,29),NOV29BF="Yes"),AA318,0)+IF(OR($A318=DATE(2026,11,29),$A318=DATE(2026,11,30),$A318=DATE(2026,12,1),$A318=DATE(2026,12,2)),AB318,0)+IF(OR($A318=DATE(2026,11,28),$A318=DATE(2026,12,1)),AC318,0))))</f>
        <v>0</v>
      </c>
      <c r="AE318" s="14" t="n">
        <f aca="false">IF(AND($A318&lt;&gt;"",$A318&lt;Parameters!$B$14),CityData!F6*(1+TAXRATE),0)</f>
        <v>0</v>
      </c>
      <c r="AF318" s="14" t="n">
        <f aca="false">IF($A318="",0,IFERROR(VLOOKUP((YEAR($A318)+IF(MONTH($A318)&gt;=10,1,0))&amp;"|Phoenix|"&amp;MONTH($A318),Rates!$A$2:$I$181,5,FALSE()),0))</f>
        <v>0</v>
      </c>
      <c r="AG318" s="14" t="n">
        <f aca="false">IF(OR($A318="",$A318&gt;=Parameters!$B$14),1,IF(AND(AF318&gt;0,CityData!F6&lt;=AF318),1,0))</f>
        <v>1</v>
      </c>
      <c r="AH318" s="14" t="n">
        <f aca="false">IF($A318="",0,IFERROR(VLOOKUP((YEAR($A318)+IF(MONTH($A318)&gt;=10,1,0))&amp;"|Seattle|"&amp;MONTH($A318),Rates!$A$2:$I$181,6,FALSE()),0))</f>
        <v>0</v>
      </c>
      <c r="AI318" s="14" t="n">
        <f aca="false">IF(AH318=0,0,VLOOKUP(AH318,MIE_Components!$A$2:$F$6,2,FALSE()))</f>
        <v>0</v>
      </c>
      <c r="AJ318" s="14" t="n">
        <f aca="false">IF(AH318=0,0,VLOOKUP(AH318,MIE_Components!$A$2:$F$6,3,FALSE()))</f>
        <v>0</v>
      </c>
      <c r="AK318" s="14" t="n">
        <f aca="false">IF(AH318=0,0,VLOOKUP(AH318,MIE_Components!$A$2:$F$6,4,FALSE()))</f>
        <v>0</v>
      </c>
      <c r="AL318" s="14" t="n">
        <f aca="false">IF(OR($A318="",AH318=0),0,MAX(5,AH318*IF(OR($A318=Parameters!$B$13,$A318=Parameters!$B$14),0.75,1)-(IF(AND($A318=DATE(2026,11,29),NOV29BF="Yes"),AI318,0)+IF(OR($A318=DATE(2026,11,29),$A318=DATE(2026,11,30),$A318=DATE(2026,12,1),$A318=DATE(2026,12,2)),AJ318,0)+IF(OR($A318=DATE(2026,11,28),$A318=DATE(2026,12,1)),AK318,0))))</f>
        <v>0</v>
      </c>
      <c r="AM318" s="14" t="n">
        <f aca="false">IF(AND($A318&lt;&gt;"",$A318&lt;Parameters!$B$14),CityData!F7*(1+TAXRATE),0)</f>
        <v>0</v>
      </c>
      <c r="AN318" s="14" t="n">
        <f aca="false">IF($A318="",0,IFERROR(VLOOKUP((YEAR($A318)+IF(MONTH($A318)&gt;=10,1,0))&amp;"|Seattle|"&amp;MONTH($A318),Rates!$A$2:$I$181,5,FALSE()),0))</f>
        <v>0</v>
      </c>
      <c r="AO318" s="14" t="n">
        <f aca="false">IF(OR($A318="",$A318&gt;=Parameters!$B$14),1,IF(AND(AN318&gt;0,CityData!F7&lt;=AN318),1,0))</f>
        <v>1</v>
      </c>
    </row>
    <row r="319" customFormat="false" ht="15" hidden="false" customHeight="true" outlineLevel="0" collapsed="false">
      <c r="A319" s="23" t="str">
        <f aca="false">IF(AND(Parameters!$B$14&gt;=Parameters!$B$13,ROW()-2&lt;=Parameters!$B$14-Parameters!$B$13),Parameters!$B$13+ROW()-2,"")</f>
        <v/>
      </c>
      <c r="B319" s="14" t="n">
        <f aca="false">IF($A319="",0,IFERROR(VLOOKUP((YEAR($A319)+IF(MONTH($A319)&gt;=10,1,0))&amp;"|Boston|"&amp;MONTH($A319),Rates!$A$2:$I$181,6,FALSE()),0))</f>
        <v>0</v>
      </c>
      <c r="C319" s="14" t="n">
        <f aca="false">IF(B319=0,0,VLOOKUP(B319,MIE_Components!$A$2:$F$6,2,FALSE()))</f>
        <v>0</v>
      </c>
      <c r="D319" s="14" t="n">
        <f aca="false">IF(B319=0,0,VLOOKUP(B319,MIE_Components!$A$2:$F$6,3,FALSE()))</f>
        <v>0</v>
      </c>
      <c r="E319" s="14" t="n">
        <f aca="false">IF(B319=0,0,VLOOKUP(B319,MIE_Components!$A$2:$F$6,4,FALSE()))</f>
        <v>0</v>
      </c>
      <c r="F319" s="14" t="n">
        <f aca="false">IF(OR($A319="",B319=0),0,MAX(5,B319*IF(OR($A319=Parameters!$B$13,$A319=Parameters!$B$14),0.75,1)-(IF(AND($A319=DATE(2026,11,29),NOV29BF="Yes"),C319,0)+IF(OR($A319=DATE(2026,11,29),$A319=DATE(2026,11,30),$A319=DATE(2026,12,1),$A319=DATE(2026,12,2)),D319,0)+IF(OR($A319=DATE(2026,11,28),$A319=DATE(2026,12,1)),E319,0))))</f>
        <v>0</v>
      </c>
      <c r="G319" s="14" t="n">
        <f aca="false">IF(AND($A319&lt;&gt;"",$A319&lt;Parameters!$B$14),CityData!F3*(1+TAXRATE),0)</f>
        <v>0</v>
      </c>
      <c r="H319" s="14" t="n">
        <f aca="false">IF($A319="",0,IFERROR(VLOOKUP((YEAR($A319)+IF(MONTH($A319)&gt;=10,1,0))&amp;"|Boston|"&amp;MONTH($A319),Rates!$A$2:$I$181,5,FALSE()),0))</f>
        <v>0</v>
      </c>
      <c r="I319" s="14" t="n">
        <f aca="false">IF(OR($A319="",$A319&gt;=Parameters!$B$14),1,IF(AND(H319&gt;0,CityData!F3&lt;=H319),1,0))</f>
        <v>1</v>
      </c>
      <c r="J319" s="14" t="n">
        <f aca="false">IF($A319="",0,IFERROR(VLOOKUP((YEAR($A319)+IF(MONTH($A319)&gt;=10,1,0))&amp;"|Chicago|"&amp;MONTH($A319),Rates!$A$2:$I$181,6,FALSE()),0))</f>
        <v>0</v>
      </c>
      <c r="K319" s="14" t="n">
        <f aca="false">IF(J319=0,0,VLOOKUP(J319,MIE_Components!$A$2:$F$6,2,FALSE()))</f>
        <v>0</v>
      </c>
      <c r="L319" s="14" t="n">
        <f aca="false">IF(J319=0,0,VLOOKUP(J319,MIE_Components!$A$2:$F$6,3,FALSE()))</f>
        <v>0</v>
      </c>
      <c r="M319" s="14" t="n">
        <f aca="false">IF(J319=0,0,VLOOKUP(J319,MIE_Components!$A$2:$F$6,4,FALSE()))</f>
        <v>0</v>
      </c>
      <c r="N319" s="14" t="n">
        <f aca="false">IF(OR($A319="",J319=0),0,MAX(5,J319*IF(OR($A319=Parameters!$B$13,$A319=Parameters!$B$14),0.75,1)-(IF(AND($A319=DATE(2026,11,29),NOV29BF="Yes"),K319,0)+IF(OR($A319=DATE(2026,11,29),$A319=DATE(2026,11,30),$A319=DATE(2026,12,1),$A319=DATE(2026,12,2)),L319,0)+IF(OR($A319=DATE(2026,11,28),$A319=DATE(2026,12,1)),M319,0))))</f>
        <v>0</v>
      </c>
      <c r="O319" s="14" t="n">
        <f aca="false">IF(AND($A319&lt;&gt;"",$A319&lt;Parameters!$B$14),CityData!F4*(1+TAXRATE),0)</f>
        <v>0</v>
      </c>
      <c r="P319" s="14" t="n">
        <f aca="false">IF($A319="",0,IFERROR(VLOOKUP((YEAR($A319)+IF(MONTH($A319)&gt;=10,1,0))&amp;"|Chicago|"&amp;MONTH($A319),Rates!$A$2:$I$181,5,FALSE()),0))</f>
        <v>0</v>
      </c>
      <c r="Q319" s="14" t="n">
        <f aca="false">IF(OR($A319="",$A319&gt;=Parameters!$B$14),1,IF(AND(P319&gt;0,CityData!F4&lt;=P319),1,0))</f>
        <v>1</v>
      </c>
      <c r="R319" s="14" t="n">
        <f aca="false">IF($A319="",0,IFERROR(VLOOKUP((YEAR($A319)+IF(MONTH($A319)&gt;=10,1,0))&amp;"|Denver|"&amp;MONTH($A319),Rates!$A$2:$I$181,6,FALSE()),0))</f>
        <v>0</v>
      </c>
      <c r="S319" s="14" t="n">
        <f aca="false">IF(R319=0,0,VLOOKUP(R319,MIE_Components!$A$2:$F$6,2,FALSE()))</f>
        <v>0</v>
      </c>
      <c r="T319" s="14" t="n">
        <f aca="false">IF(R319=0,0,VLOOKUP(R319,MIE_Components!$A$2:$F$6,3,FALSE()))</f>
        <v>0</v>
      </c>
      <c r="U319" s="14" t="n">
        <f aca="false">IF(R319=0,0,VLOOKUP(R319,MIE_Components!$A$2:$F$6,4,FALSE()))</f>
        <v>0</v>
      </c>
      <c r="V319" s="14" t="n">
        <f aca="false">IF(OR($A319="",R319=0),0,MAX(5,R319*IF(OR($A319=Parameters!$B$13,$A319=Parameters!$B$14),0.75,1)-(IF(AND($A319=DATE(2026,11,29),NOV29BF="Yes"),S319,0)+IF(OR($A319=DATE(2026,11,29),$A319=DATE(2026,11,30),$A319=DATE(2026,12,1),$A319=DATE(2026,12,2)),T319,0)+IF(OR($A319=DATE(2026,11,28),$A319=DATE(2026,12,1)),U319,0))))</f>
        <v>0</v>
      </c>
      <c r="W319" s="14" t="n">
        <f aca="false">IF(AND($A319&lt;&gt;"",$A319&lt;Parameters!$B$14),CityData!F5*(1+TAXRATE),0)</f>
        <v>0</v>
      </c>
      <c r="X319" s="14" t="n">
        <f aca="false">IF($A319="",0,IFERROR(VLOOKUP((YEAR($A319)+IF(MONTH($A319)&gt;=10,1,0))&amp;"|Denver|"&amp;MONTH($A319),Rates!$A$2:$I$181,5,FALSE()),0))</f>
        <v>0</v>
      </c>
      <c r="Y319" s="14" t="n">
        <f aca="false">IF(OR($A319="",$A319&gt;=Parameters!$B$14),1,IF(AND(X319&gt;0,CityData!F5&lt;=X319),1,0))</f>
        <v>1</v>
      </c>
      <c r="Z319" s="14" t="n">
        <f aca="false">IF($A319="",0,IFERROR(VLOOKUP((YEAR($A319)+IF(MONTH($A319)&gt;=10,1,0))&amp;"|Phoenix|"&amp;MONTH($A319),Rates!$A$2:$I$181,6,FALSE()),0))</f>
        <v>0</v>
      </c>
      <c r="AA319" s="14" t="n">
        <f aca="false">IF(Z319=0,0,VLOOKUP(Z319,MIE_Components!$A$2:$F$6,2,FALSE()))</f>
        <v>0</v>
      </c>
      <c r="AB319" s="14" t="n">
        <f aca="false">IF(Z319=0,0,VLOOKUP(Z319,MIE_Components!$A$2:$F$6,3,FALSE()))</f>
        <v>0</v>
      </c>
      <c r="AC319" s="14" t="n">
        <f aca="false">IF(Z319=0,0,VLOOKUP(Z319,MIE_Components!$A$2:$F$6,4,FALSE()))</f>
        <v>0</v>
      </c>
      <c r="AD319" s="14" t="n">
        <f aca="false">IF(OR($A319="",Z319=0),0,MAX(5,Z319*IF(OR($A319=Parameters!$B$13,$A319=Parameters!$B$14),0.75,1)-(IF(AND($A319=DATE(2026,11,29),NOV29BF="Yes"),AA319,0)+IF(OR($A319=DATE(2026,11,29),$A319=DATE(2026,11,30),$A319=DATE(2026,12,1),$A319=DATE(2026,12,2)),AB319,0)+IF(OR($A319=DATE(2026,11,28),$A319=DATE(2026,12,1)),AC319,0))))</f>
        <v>0</v>
      </c>
      <c r="AE319" s="14" t="n">
        <f aca="false">IF(AND($A319&lt;&gt;"",$A319&lt;Parameters!$B$14),CityData!F6*(1+TAXRATE),0)</f>
        <v>0</v>
      </c>
      <c r="AF319" s="14" t="n">
        <f aca="false">IF($A319="",0,IFERROR(VLOOKUP((YEAR($A319)+IF(MONTH($A319)&gt;=10,1,0))&amp;"|Phoenix|"&amp;MONTH($A319),Rates!$A$2:$I$181,5,FALSE()),0))</f>
        <v>0</v>
      </c>
      <c r="AG319" s="14" t="n">
        <f aca="false">IF(OR($A319="",$A319&gt;=Parameters!$B$14),1,IF(AND(AF319&gt;0,CityData!F6&lt;=AF319),1,0))</f>
        <v>1</v>
      </c>
      <c r="AH319" s="14" t="n">
        <f aca="false">IF($A319="",0,IFERROR(VLOOKUP((YEAR($A319)+IF(MONTH($A319)&gt;=10,1,0))&amp;"|Seattle|"&amp;MONTH($A319),Rates!$A$2:$I$181,6,FALSE()),0))</f>
        <v>0</v>
      </c>
      <c r="AI319" s="14" t="n">
        <f aca="false">IF(AH319=0,0,VLOOKUP(AH319,MIE_Components!$A$2:$F$6,2,FALSE()))</f>
        <v>0</v>
      </c>
      <c r="AJ319" s="14" t="n">
        <f aca="false">IF(AH319=0,0,VLOOKUP(AH319,MIE_Components!$A$2:$F$6,3,FALSE()))</f>
        <v>0</v>
      </c>
      <c r="AK319" s="14" t="n">
        <f aca="false">IF(AH319=0,0,VLOOKUP(AH319,MIE_Components!$A$2:$F$6,4,FALSE()))</f>
        <v>0</v>
      </c>
      <c r="AL319" s="14" t="n">
        <f aca="false">IF(OR($A319="",AH319=0),0,MAX(5,AH319*IF(OR($A319=Parameters!$B$13,$A319=Parameters!$B$14),0.75,1)-(IF(AND($A319=DATE(2026,11,29),NOV29BF="Yes"),AI319,0)+IF(OR($A319=DATE(2026,11,29),$A319=DATE(2026,11,30),$A319=DATE(2026,12,1),$A319=DATE(2026,12,2)),AJ319,0)+IF(OR($A319=DATE(2026,11,28),$A319=DATE(2026,12,1)),AK319,0))))</f>
        <v>0</v>
      </c>
      <c r="AM319" s="14" t="n">
        <f aca="false">IF(AND($A319&lt;&gt;"",$A319&lt;Parameters!$B$14),CityData!F7*(1+TAXRATE),0)</f>
        <v>0</v>
      </c>
      <c r="AN319" s="14" t="n">
        <f aca="false">IF($A319="",0,IFERROR(VLOOKUP((YEAR($A319)+IF(MONTH($A319)&gt;=10,1,0))&amp;"|Seattle|"&amp;MONTH($A319),Rates!$A$2:$I$181,5,FALSE()),0))</f>
        <v>0</v>
      </c>
      <c r="AO319" s="14" t="n">
        <f aca="false">IF(OR($A319="",$A319&gt;=Parameters!$B$14),1,IF(AND(AN319&gt;0,CityData!F7&lt;=AN319),1,0))</f>
        <v>1</v>
      </c>
    </row>
    <row r="320" customFormat="false" ht="15" hidden="false" customHeight="true" outlineLevel="0" collapsed="false">
      <c r="A320" s="23" t="str">
        <f aca="false">IF(AND(Parameters!$B$14&gt;=Parameters!$B$13,ROW()-2&lt;=Parameters!$B$14-Parameters!$B$13),Parameters!$B$13+ROW()-2,"")</f>
        <v/>
      </c>
      <c r="B320" s="14" t="n">
        <f aca="false">IF($A320="",0,IFERROR(VLOOKUP((YEAR($A320)+IF(MONTH($A320)&gt;=10,1,0))&amp;"|Boston|"&amp;MONTH($A320),Rates!$A$2:$I$181,6,FALSE()),0))</f>
        <v>0</v>
      </c>
      <c r="C320" s="14" t="n">
        <f aca="false">IF(B320=0,0,VLOOKUP(B320,MIE_Components!$A$2:$F$6,2,FALSE()))</f>
        <v>0</v>
      </c>
      <c r="D320" s="14" t="n">
        <f aca="false">IF(B320=0,0,VLOOKUP(B320,MIE_Components!$A$2:$F$6,3,FALSE()))</f>
        <v>0</v>
      </c>
      <c r="E320" s="14" t="n">
        <f aca="false">IF(B320=0,0,VLOOKUP(B320,MIE_Components!$A$2:$F$6,4,FALSE()))</f>
        <v>0</v>
      </c>
      <c r="F320" s="14" t="n">
        <f aca="false">IF(OR($A320="",B320=0),0,MAX(5,B320*IF(OR($A320=Parameters!$B$13,$A320=Parameters!$B$14),0.75,1)-(IF(AND($A320=DATE(2026,11,29),NOV29BF="Yes"),C320,0)+IF(OR($A320=DATE(2026,11,29),$A320=DATE(2026,11,30),$A320=DATE(2026,12,1),$A320=DATE(2026,12,2)),D320,0)+IF(OR($A320=DATE(2026,11,28),$A320=DATE(2026,12,1)),E320,0))))</f>
        <v>0</v>
      </c>
      <c r="G320" s="14" t="n">
        <f aca="false">IF(AND($A320&lt;&gt;"",$A320&lt;Parameters!$B$14),CityData!F3*(1+TAXRATE),0)</f>
        <v>0</v>
      </c>
      <c r="H320" s="14" t="n">
        <f aca="false">IF($A320="",0,IFERROR(VLOOKUP((YEAR($A320)+IF(MONTH($A320)&gt;=10,1,0))&amp;"|Boston|"&amp;MONTH($A320),Rates!$A$2:$I$181,5,FALSE()),0))</f>
        <v>0</v>
      </c>
      <c r="I320" s="14" t="n">
        <f aca="false">IF(OR($A320="",$A320&gt;=Parameters!$B$14),1,IF(AND(H320&gt;0,CityData!F3&lt;=H320),1,0))</f>
        <v>1</v>
      </c>
      <c r="J320" s="14" t="n">
        <f aca="false">IF($A320="",0,IFERROR(VLOOKUP((YEAR($A320)+IF(MONTH($A320)&gt;=10,1,0))&amp;"|Chicago|"&amp;MONTH($A320),Rates!$A$2:$I$181,6,FALSE()),0))</f>
        <v>0</v>
      </c>
      <c r="K320" s="14" t="n">
        <f aca="false">IF(J320=0,0,VLOOKUP(J320,MIE_Components!$A$2:$F$6,2,FALSE()))</f>
        <v>0</v>
      </c>
      <c r="L320" s="14" t="n">
        <f aca="false">IF(J320=0,0,VLOOKUP(J320,MIE_Components!$A$2:$F$6,3,FALSE()))</f>
        <v>0</v>
      </c>
      <c r="M320" s="14" t="n">
        <f aca="false">IF(J320=0,0,VLOOKUP(J320,MIE_Components!$A$2:$F$6,4,FALSE()))</f>
        <v>0</v>
      </c>
      <c r="N320" s="14" t="n">
        <f aca="false">IF(OR($A320="",J320=0),0,MAX(5,J320*IF(OR($A320=Parameters!$B$13,$A320=Parameters!$B$14),0.75,1)-(IF(AND($A320=DATE(2026,11,29),NOV29BF="Yes"),K320,0)+IF(OR($A320=DATE(2026,11,29),$A320=DATE(2026,11,30),$A320=DATE(2026,12,1),$A320=DATE(2026,12,2)),L320,0)+IF(OR($A320=DATE(2026,11,28),$A320=DATE(2026,12,1)),M320,0))))</f>
        <v>0</v>
      </c>
      <c r="O320" s="14" t="n">
        <f aca="false">IF(AND($A320&lt;&gt;"",$A320&lt;Parameters!$B$14),CityData!F4*(1+TAXRATE),0)</f>
        <v>0</v>
      </c>
      <c r="P320" s="14" t="n">
        <f aca="false">IF($A320="",0,IFERROR(VLOOKUP((YEAR($A320)+IF(MONTH($A320)&gt;=10,1,0))&amp;"|Chicago|"&amp;MONTH($A320),Rates!$A$2:$I$181,5,FALSE()),0))</f>
        <v>0</v>
      </c>
      <c r="Q320" s="14" t="n">
        <f aca="false">IF(OR($A320="",$A320&gt;=Parameters!$B$14),1,IF(AND(P320&gt;0,CityData!F4&lt;=P320),1,0))</f>
        <v>1</v>
      </c>
      <c r="R320" s="14" t="n">
        <f aca="false">IF($A320="",0,IFERROR(VLOOKUP((YEAR($A320)+IF(MONTH($A320)&gt;=10,1,0))&amp;"|Denver|"&amp;MONTH($A320),Rates!$A$2:$I$181,6,FALSE()),0))</f>
        <v>0</v>
      </c>
      <c r="S320" s="14" t="n">
        <f aca="false">IF(R320=0,0,VLOOKUP(R320,MIE_Components!$A$2:$F$6,2,FALSE()))</f>
        <v>0</v>
      </c>
      <c r="T320" s="14" t="n">
        <f aca="false">IF(R320=0,0,VLOOKUP(R320,MIE_Components!$A$2:$F$6,3,FALSE()))</f>
        <v>0</v>
      </c>
      <c r="U320" s="14" t="n">
        <f aca="false">IF(R320=0,0,VLOOKUP(R320,MIE_Components!$A$2:$F$6,4,FALSE()))</f>
        <v>0</v>
      </c>
      <c r="V320" s="14" t="n">
        <f aca="false">IF(OR($A320="",R320=0),0,MAX(5,R320*IF(OR($A320=Parameters!$B$13,$A320=Parameters!$B$14),0.75,1)-(IF(AND($A320=DATE(2026,11,29),NOV29BF="Yes"),S320,0)+IF(OR($A320=DATE(2026,11,29),$A320=DATE(2026,11,30),$A320=DATE(2026,12,1),$A320=DATE(2026,12,2)),T320,0)+IF(OR($A320=DATE(2026,11,28),$A320=DATE(2026,12,1)),U320,0))))</f>
        <v>0</v>
      </c>
      <c r="W320" s="14" t="n">
        <f aca="false">IF(AND($A320&lt;&gt;"",$A320&lt;Parameters!$B$14),CityData!F5*(1+TAXRATE),0)</f>
        <v>0</v>
      </c>
      <c r="X320" s="14" t="n">
        <f aca="false">IF($A320="",0,IFERROR(VLOOKUP((YEAR($A320)+IF(MONTH($A320)&gt;=10,1,0))&amp;"|Denver|"&amp;MONTH($A320),Rates!$A$2:$I$181,5,FALSE()),0))</f>
        <v>0</v>
      </c>
      <c r="Y320" s="14" t="n">
        <f aca="false">IF(OR($A320="",$A320&gt;=Parameters!$B$14),1,IF(AND(X320&gt;0,CityData!F5&lt;=X320),1,0))</f>
        <v>1</v>
      </c>
      <c r="Z320" s="14" t="n">
        <f aca="false">IF($A320="",0,IFERROR(VLOOKUP((YEAR($A320)+IF(MONTH($A320)&gt;=10,1,0))&amp;"|Phoenix|"&amp;MONTH($A320),Rates!$A$2:$I$181,6,FALSE()),0))</f>
        <v>0</v>
      </c>
      <c r="AA320" s="14" t="n">
        <f aca="false">IF(Z320=0,0,VLOOKUP(Z320,MIE_Components!$A$2:$F$6,2,FALSE()))</f>
        <v>0</v>
      </c>
      <c r="AB320" s="14" t="n">
        <f aca="false">IF(Z320=0,0,VLOOKUP(Z320,MIE_Components!$A$2:$F$6,3,FALSE()))</f>
        <v>0</v>
      </c>
      <c r="AC320" s="14" t="n">
        <f aca="false">IF(Z320=0,0,VLOOKUP(Z320,MIE_Components!$A$2:$F$6,4,FALSE()))</f>
        <v>0</v>
      </c>
      <c r="AD320" s="14" t="n">
        <f aca="false">IF(OR($A320="",Z320=0),0,MAX(5,Z320*IF(OR($A320=Parameters!$B$13,$A320=Parameters!$B$14),0.75,1)-(IF(AND($A320=DATE(2026,11,29),NOV29BF="Yes"),AA320,0)+IF(OR($A320=DATE(2026,11,29),$A320=DATE(2026,11,30),$A320=DATE(2026,12,1),$A320=DATE(2026,12,2)),AB320,0)+IF(OR($A320=DATE(2026,11,28),$A320=DATE(2026,12,1)),AC320,0))))</f>
        <v>0</v>
      </c>
      <c r="AE320" s="14" t="n">
        <f aca="false">IF(AND($A320&lt;&gt;"",$A320&lt;Parameters!$B$14),CityData!F6*(1+TAXRATE),0)</f>
        <v>0</v>
      </c>
      <c r="AF320" s="14" t="n">
        <f aca="false">IF($A320="",0,IFERROR(VLOOKUP((YEAR($A320)+IF(MONTH($A320)&gt;=10,1,0))&amp;"|Phoenix|"&amp;MONTH($A320),Rates!$A$2:$I$181,5,FALSE()),0))</f>
        <v>0</v>
      </c>
      <c r="AG320" s="14" t="n">
        <f aca="false">IF(OR($A320="",$A320&gt;=Parameters!$B$14),1,IF(AND(AF320&gt;0,CityData!F6&lt;=AF320),1,0))</f>
        <v>1</v>
      </c>
      <c r="AH320" s="14" t="n">
        <f aca="false">IF($A320="",0,IFERROR(VLOOKUP((YEAR($A320)+IF(MONTH($A320)&gt;=10,1,0))&amp;"|Seattle|"&amp;MONTH($A320),Rates!$A$2:$I$181,6,FALSE()),0))</f>
        <v>0</v>
      </c>
      <c r="AI320" s="14" t="n">
        <f aca="false">IF(AH320=0,0,VLOOKUP(AH320,MIE_Components!$A$2:$F$6,2,FALSE()))</f>
        <v>0</v>
      </c>
      <c r="AJ320" s="14" t="n">
        <f aca="false">IF(AH320=0,0,VLOOKUP(AH320,MIE_Components!$A$2:$F$6,3,FALSE()))</f>
        <v>0</v>
      </c>
      <c r="AK320" s="14" t="n">
        <f aca="false">IF(AH320=0,0,VLOOKUP(AH320,MIE_Components!$A$2:$F$6,4,FALSE()))</f>
        <v>0</v>
      </c>
      <c r="AL320" s="14" t="n">
        <f aca="false">IF(OR($A320="",AH320=0),0,MAX(5,AH320*IF(OR($A320=Parameters!$B$13,$A320=Parameters!$B$14),0.75,1)-(IF(AND($A320=DATE(2026,11,29),NOV29BF="Yes"),AI320,0)+IF(OR($A320=DATE(2026,11,29),$A320=DATE(2026,11,30),$A320=DATE(2026,12,1),$A320=DATE(2026,12,2)),AJ320,0)+IF(OR($A320=DATE(2026,11,28),$A320=DATE(2026,12,1)),AK320,0))))</f>
        <v>0</v>
      </c>
      <c r="AM320" s="14" t="n">
        <f aca="false">IF(AND($A320&lt;&gt;"",$A320&lt;Parameters!$B$14),CityData!F7*(1+TAXRATE),0)</f>
        <v>0</v>
      </c>
      <c r="AN320" s="14" t="n">
        <f aca="false">IF($A320="",0,IFERROR(VLOOKUP((YEAR($A320)+IF(MONTH($A320)&gt;=10,1,0))&amp;"|Seattle|"&amp;MONTH($A320),Rates!$A$2:$I$181,5,FALSE()),0))</f>
        <v>0</v>
      </c>
      <c r="AO320" s="14" t="n">
        <f aca="false">IF(OR($A320="",$A320&gt;=Parameters!$B$14),1,IF(AND(AN320&gt;0,CityData!F7&lt;=AN320),1,0))</f>
        <v>1</v>
      </c>
    </row>
    <row r="321" customFormat="false" ht="15" hidden="false" customHeight="true" outlineLevel="0" collapsed="false">
      <c r="A321" s="23" t="str">
        <f aca="false">IF(AND(Parameters!$B$14&gt;=Parameters!$B$13,ROW()-2&lt;=Parameters!$B$14-Parameters!$B$13),Parameters!$B$13+ROW()-2,"")</f>
        <v/>
      </c>
      <c r="B321" s="14" t="n">
        <f aca="false">IF($A321="",0,IFERROR(VLOOKUP((YEAR($A321)+IF(MONTH($A321)&gt;=10,1,0))&amp;"|Boston|"&amp;MONTH($A321),Rates!$A$2:$I$181,6,FALSE()),0))</f>
        <v>0</v>
      </c>
      <c r="C321" s="14" t="n">
        <f aca="false">IF(B321=0,0,VLOOKUP(B321,MIE_Components!$A$2:$F$6,2,FALSE()))</f>
        <v>0</v>
      </c>
      <c r="D321" s="14" t="n">
        <f aca="false">IF(B321=0,0,VLOOKUP(B321,MIE_Components!$A$2:$F$6,3,FALSE()))</f>
        <v>0</v>
      </c>
      <c r="E321" s="14" t="n">
        <f aca="false">IF(B321=0,0,VLOOKUP(B321,MIE_Components!$A$2:$F$6,4,FALSE()))</f>
        <v>0</v>
      </c>
      <c r="F321" s="14" t="n">
        <f aca="false">IF(OR($A321="",B321=0),0,MAX(5,B321*IF(OR($A321=Parameters!$B$13,$A321=Parameters!$B$14),0.75,1)-(IF(AND($A321=DATE(2026,11,29),NOV29BF="Yes"),C321,0)+IF(OR($A321=DATE(2026,11,29),$A321=DATE(2026,11,30),$A321=DATE(2026,12,1),$A321=DATE(2026,12,2)),D321,0)+IF(OR($A321=DATE(2026,11,28),$A321=DATE(2026,12,1)),E321,0))))</f>
        <v>0</v>
      </c>
      <c r="G321" s="14" t="n">
        <f aca="false">IF(AND($A321&lt;&gt;"",$A321&lt;Parameters!$B$14),CityData!F3*(1+TAXRATE),0)</f>
        <v>0</v>
      </c>
      <c r="H321" s="14" t="n">
        <f aca="false">IF($A321="",0,IFERROR(VLOOKUP((YEAR($A321)+IF(MONTH($A321)&gt;=10,1,0))&amp;"|Boston|"&amp;MONTH($A321),Rates!$A$2:$I$181,5,FALSE()),0))</f>
        <v>0</v>
      </c>
      <c r="I321" s="14" t="n">
        <f aca="false">IF(OR($A321="",$A321&gt;=Parameters!$B$14),1,IF(AND(H321&gt;0,CityData!F3&lt;=H321),1,0))</f>
        <v>1</v>
      </c>
      <c r="J321" s="14" t="n">
        <f aca="false">IF($A321="",0,IFERROR(VLOOKUP((YEAR($A321)+IF(MONTH($A321)&gt;=10,1,0))&amp;"|Chicago|"&amp;MONTH($A321),Rates!$A$2:$I$181,6,FALSE()),0))</f>
        <v>0</v>
      </c>
      <c r="K321" s="14" t="n">
        <f aca="false">IF(J321=0,0,VLOOKUP(J321,MIE_Components!$A$2:$F$6,2,FALSE()))</f>
        <v>0</v>
      </c>
      <c r="L321" s="14" t="n">
        <f aca="false">IF(J321=0,0,VLOOKUP(J321,MIE_Components!$A$2:$F$6,3,FALSE()))</f>
        <v>0</v>
      </c>
      <c r="M321" s="14" t="n">
        <f aca="false">IF(J321=0,0,VLOOKUP(J321,MIE_Components!$A$2:$F$6,4,FALSE()))</f>
        <v>0</v>
      </c>
      <c r="N321" s="14" t="n">
        <f aca="false">IF(OR($A321="",J321=0),0,MAX(5,J321*IF(OR($A321=Parameters!$B$13,$A321=Parameters!$B$14),0.75,1)-(IF(AND($A321=DATE(2026,11,29),NOV29BF="Yes"),K321,0)+IF(OR($A321=DATE(2026,11,29),$A321=DATE(2026,11,30),$A321=DATE(2026,12,1),$A321=DATE(2026,12,2)),L321,0)+IF(OR($A321=DATE(2026,11,28),$A321=DATE(2026,12,1)),M321,0))))</f>
        <v>0</v>
      </c>
      <c r="O321" s="14" t="n">
        <f aca="false">IF(AND($A321&lt;&gt;"",$A321&lt;Parameters!$B$14),CityData!F4*(1+TAXRATE),0)</f>
        <v>0</v>
      </c>
      <c r="P321" s="14" t="n">
        <f aca="false">IF($A321="",0,IFERROR(VLOOKUP((YEAR($A321)+IF(MONTH($A321)&gt;=10,1,0))&amp;"|Chicago|"&amp;MONTH($A321),Rates!$A$2:$I$181,5,FALSE()),0))</f>
        <v>0</v>
      </c>
      <c r="Q321" s="14" t="n">
        <f aca="false">IF(OR($A321="",$A321&gt;=Parameters!$B$14),1,IF(AND(P321&gt;0,CityData!F4&lt;=P321),1,0))</f>
        <v>1</v>
      </c>
      <c r="R321" s="14" t="n">
        <f aca="false">IF($A321="",0,IFERROR(VLOOKUP((YEAR($A321)+IF(MONTH($A321)&gt;=10,1,0))&amp;"|Denver|"&amp;MONTH($A321),Rates!$A$2:$I$181,6,FALSE()),0))</f>
        <v>0</v>
      </c>
      <c r="S321" s="14" t="n">
        <f aca="false">IF(R321=0,0,VLOOKUP(R321,MIE_Components!$A$2:$F$6,2,FALSE()))</f>
        <v>0</v>
      </c>
      <c r="T321" s="14" t="n">
        <f aca="false">IF(R321=0,0,VLOOKUP(R321,MIE_Components!$A$2:$F$6,3,FALSE()))</f>
        <v>0</v>
      </c>
      <c r="U321" s="14" t="n">
        <f aca="false">IF(R321=0,0,VLOOKUP(R321,MIE_Components!$A$2:$F$6,4,FALSE()))</f>
        <v>0</v>
      </c>
      <c r="V321" s="14" t="n">
        <f aca="false">IF(OR($A321="",R321=0),0,MAX(5,R321*IF(OR($A321=Parameters!$B$13,$A321=Parameters!$B$14),0.75,1)-(IF(AND($A321=DATE(2026,11,29),NOV29BF="Yes"),S321,0)+IF(OR($A321=DATE(2026,11,29),$A321=DATE(2026,11,30),$A321=DATE(2026,12,1),$A321=DATE(2026,12,2)),T321,0)+IF(OR($A321=DATE(2026,11,28),$A321=DATE(2026,12,1)),U321,0))))</f>
        <v>0</v>
      </c>
      <c r="W321" s="14" t="n">
        <f aca="false">IF(AND($A321&lt;&gt;"",$A321&lt;Parameters!$B$14),CityData!F5*(1+TAXRATE),0)</f>
        <v>0</v>
      </c>
      <c r="X321" s="14" t="n">
        <f aca="false">IF($A321="",0,IFERROR(VLOOKUP((YEAR($A321)+IF(MONTH($A321)&gt;=10,1,0))&amp;"|Denver|"&amp;MONTH($A321),Rates!$A$2:$I$181,5,FALSE()),0))</f>
        <v>0</v>
      </c>
      <c r="Y321" s="14" t="n">
        <f aca="false">IF(OR($A321="",$A321&gt;=Parameters!$B$14),1,IF(AND(X321&gt;0,CityData!F5&lt;=X321),1,0))</f>
        <v>1</v>
      </c>
      <c r="Z321" s="14" t="n">
        <f aca="false">IF($A321="",0,IFERROR(VLOOKUP((YEAR($A321)+IF(MONTH($A321)&gt;=10,1,0))&amp;"|Phoenix|"&amp;MONTH($A321),Rates!$A$2:$I$181,6,FALSE()),0))</f>
        <v>0</v>
      </c>
      <c r="AA321" s="14" t="n">
        <f aca="false">IF(Z321=0,0,VLOOKUP(Z321,MIE_Components!$A$2:$F$6,2,FALSE()))</f>
        <v>0</v>
      </c>
      <c r="AB321" s="14" t="n">
        <f aca="false">IF(Z321=0,0,VLOOKUP(Z321,MIE_Components!$A$2:$F$6,3,FALSE()))</f>
        <v>0</v>
      </c>
      <c r="AC321" s="14" t="n">
        <f aca="false">IF(Z321=0,0,VLOOKUP(Z321,MIE_Components!$A$2:$F$6,4,FALSE()))</f>
        <v>0</v>
      </c>
      <c r="AD321" s="14" t="n">
        <f aca="false">IF(OR($A321="",Z321=0),0,MAX(5,Z321*IF(OR($A321=Parameters!$B$13,$A321=Parameters!$B$14),0.75,1)-(IF(AND($A321=DATE(2026,11,29),NOV29BF="Yes"),AA321,0)+IF(OR($A321=DATE(2026,11,29),$A321=DATE(2026,11,30),$A321=DATE(2026,12,1),$A321=DATE(2026,12,2)),AB321,0)+IF(OR($A321=DATE(2026,11,28),$A321=DATE(2026,12,1)),AC321,0))))</f>
        <v>0</v>
      </c>
      <c r="AE321" s="14" t="n">
        <f aca="false">IF(AND($A321&lt;&gt;"",$A321&lt;Parameters!$B$14),CityData!F6*(1+TAXRATE),0)</f>
        <v>0</v>
      </c>
      <c r="AF321" s="14" t="n">
        <f aca="false">IF($A321="",0,IFERROR(VLOOKUP((YEAR($A321)+IF(MONTH($A321)&gt;=10,1,0))&amp;"|Phoenix|"&amp;MONTH($A321),Rates!$A$2:$I$181,5,FALSE()),0))</f>
        <v>0</v>
      </c>
      <c r="AG321" s="14" t="n">
        <f aca="false">IF(OR($A321="",$A321&gt;=Parameters!$B$14),1,IF(AND(AF321&gt;0,CityData!F6&lt;=AF321),1,0))</f>
        <v>1</v>
      </c>
      <c r="AH321" s="14" t="n">
        <f aca="false">IF($A321="",0,IFERROR(VLOOKUP((YEAR($A321)+IF(MONTH($A321)&gt;=10,1,0))&amp;"|Seattle|"&amp;MONTH($A321),Rates!$A$2:$I$181,6,FALSE()),0))</f>
        <v>0</v>
      </c>
      <c r="AI321" s="14" t="n">
        <f aca="false">IF(AH321=0,0,VLOOKUP(AH321,MIE_Components!$A$2:$F$6,2,FALSE()))</f>
        <v>0</v>
      </c>
      <c r="AJ321" s="14" t="n">
        <f aca="false">IF(AH321=0,0,VLOOKUP(AH321,MIE_Components!$A$2:$F$6,3,FALSE()))</f>
        <v>0</v>
      </c>
      <c r="AK321" s="14" t="n">
        <f aca="false">IF(AH321=0,0,VLOOKUP(AH321,MIE_Components!$A$2:$F$6,4,FALSE()))</f>
        <v>0</v>
      </c>
      <c r="AL321" s="14" t="n">
        <f aca="false">IF(OR($A321="",AH321=0),0,MAX(5,AH321*IF(OR($A321=Parameters!$B$13,$A321=Parameters!$B$14),0.75,1)-(IF(AND($A321=DATE(2026,11,29),NOV29BF="Yes"),AI321,0)+IF(OR($A321=DATE(2026,11,29),$A321=DATE(2026,11,30),$A321=DATE(2026,12,1),$A321=DATE(2026,12,2)),AJ321,0)+IF(OR($A321=DATE(2026,11,28),$A321=DATE(2026,12,1)),AK321,0))))</f>
        <v>0</v>
      </c>
      <c r="AM321" s="14" t="n">
        <f aca="false">IF(AND($A321&lt;&gt;"",$A321&lt;Parameters!$B$14),CityData!F7*(1+TAXRATE),0)</f>
        <v>0</v>
      </c>
      <c r="AN321" s="14" t="n">
        <f aca="false">IF($A321="",0,IFERROR(VLOOKUP((YEAR($A321)+IF(MONTH($A321)&gt;=10,1,0))&amp;"|Seattle|"&amp;MONTH($A321),Rates!$A$2:$I$181,5,FALSE()),0))</f>
        <v>0</v>
      </c>
      <c r="AO321" s="14" t="n">
        <f aca="false">IF(OR($A321="",$A321&gt;=Parameters!$B$14),1,IF(AND(AN321&gt;0,CityData!F7&lt;=AN321),1,0))</f>
        <v>1</v>
      </c>
    </row>
    <row r="322" customFormat="false" ht="15" hidden="false" customHeight="true" outlineLevel="0" collapsed="false">
      <c r="A322" s="23" t="str">
        <f aca="false">IF(AND(Parameters!$B$14&gt;=Parameters!$B$13,ROW()-2&lt;=Parameters!$B$14-Parameters!$B$13),Parameters!$B$13+ROW()-2,"")</f>
        <v/>
      </c>
      <c r="B322" s="14" t="n">
        <f aca="false">IF($A322="",0,IFERROR(VLOOKUP((YEAR($A322)+IF(MONTH($A322)&gt;=10,1,0))&amp;"|Boston|"&amp;MONTH($A322),Rates!$A$2:$I$181,6,FALSE()),0))</f>
        <v>0</v>
      </c>
      <c r="C322" s="14" t="n">
        <f aca="false">IF(B322=0,0,VLOOKUP(B322,MIE_Components!$A$2:$F$6,2,FALSE()))</f>
        <v>0</v>
      </c>
      <c r="D322" s="14" t="n">
        <f aca="false">IF(B322=0,0,VLOOKUP(B322,MIE_Components!$A$2:$F$6,3,FALSE()))</f>
        <v>0</v>
      </c>
      <c r="E322" s="14" t="n">
        <f aca="false">IF(B322=0,0,VLOOKUP(B322,MIE_Components!$A$2:$F$6,4,FALSE()))</f>
        <v>0</v>
      </c>
      <c r="F322" s="14" t="n">
        <f aca="false">IF(OR($A322="",B322=0),0,MAX(5,B322*IF(OR($A322=Parameters!$B$13,$A322=Parameters!$B$14),0.75,1)-(IF(AND($A322=DATE(2026,11,29),NOV29BF="Yes"),C322,0)+IF(OR($A322=DATE(2026,11,29),$A322=DATE(2026,11,30),$A322=DATE(2026,12,1),$A322=DATE(2026,12,2)),D322,0)+IF(OR($A322=DATE(2026,11,28),$A322=DATE(2026,12,1)),E322,0))))</f>
        <v>0</v>
      </c>
      <c r="G322" s="14" t="n">
        <f aca="false">IF(AND($A322&lt;&gt;"",$A322&lt;Parameters!$B$14),CityData!F3*(1+TAXRATE),0)</f>
        <v>0</v>
      </c>
      <c r="H322" s="14" t="n">
        <f aca="false">IF($A322="",0,IFERROR(VLOOKUP((YEAR($A322)+IF(MONTH($A322)&gt;=10,1,0))&amp;"|Boston|"&amp;MONTH($A322),Rates!$A$2:$I$181,5,FALSE()),0))</f>
        <v>0</v>
      </c>
      <c r="I322" s="14" t="n">
        <f aca="false">IF(OR($A322="",$A322&gt;=Parameters!$B$14),1,IF(AND(H322&gt;0,CityData!F3&lt;=H322),1,0))</f>
        <v>1</v>
      </c>
      <c r="J322" s="14" t="n">
        <f aca="false">IF($A322="",0,IFERROR(VLOOKUP((YEAR($A322)+IF(MONTH($A322)&gt;=10,1,0))&amp;"|Chicago|"&amp;MONTH($A322),Rates!$A$2:$I$181,6,FALSE()),0))</f>
        <v>0</v>
      </c>
      <c r="K322" s="14" t="n">
        <f aca="false">IF(J322=0,0,VLOOKUP(J322,MIE_Components!$A$2:$F$6,2,FALSE()))</f>
        <v>0</v>
      </c>
      <c r="L322" s="14" t="n">
        <f aca="false">IF(J322=0,0,VLOOKUP(J322,MIE_Components!$A$2:$F$6,3,FALSE()))</f>
        <v>0</v>
      </c>
      <c r="M322" s="14" t="n">
        <f aca="false">IF(J322=0,0,VLOOKUP(J322,MIE_Components!$A$2:$F$6,4,FALSE()))</f>
        <v>0</v>
      </c>
      <c r="N322" s="14" t="n">
        <f aca="false">IF(OR($A322="",J322=0),0,MAX(5,J322*IF(OR($A322=Parameters!$B$13,$A322=Parameters!$B$14),0.75,1)-(IF(AND($A322=DATE(2026,11,29),NOV29BF="Yes"),K322,0)+IF(OR($A322=DATE(2026,11,29),$A322=DATE(2026,11,30),$A322=DATE(2026,12,1),$A322=DATE(2026,12,2)),L322,0)+IF(OR($A322=DATE(2026,11,28),$A322=DATE(2026,12,1)),M322,0))))</f>
        <v>0</v>
      </c>
      <c r="O322" s="14" t="n">
        <f aca="false">IF(AND($A322&lt;&gt;"",$A322&lt;Parameters!$B$14),CityData!F4*(1+TAXRATE),0)</f>
        <v>0</v>
      </c>
      <c r="P322" s="14" t="n">
        <f aca="false">IF($A322="",0,IFERROR(VLOOKUP((YEAR($A322)+IF(MONTH($A322)&gt;=10,1,0))&amp;"|Chicago|"&amp;MONTH($A322),Rates!$A$2:$I$181,5,FALSE()),0))</f>
        <v>0</v>
      </c>
      <c r="Q322" s="14" t="n">
        <f aca="false">IF(OR($A322="",$A322&gt;=Parameters!$B$14),1,IF(AND(P322&gt;0,CityData!F4&lt;=P322),1,0))</f>
        <v>1</v>
      </c>
      <c r="R322" s="14" t="n">
        <f aca="false">IF($A322="",0,IFERROR(VLOOKUP((YEAR($A322)+IF(MONTH($A322)&gt;=10,1,0))&amp;"|Denver|"&amp;MONTH($A322),Rates!$A$2:$I$181,6,FALSE()),0))</f>
        <v>0</v>
      </c>
      <c r="S322" s="14" t="n">
        <f aca="false">IF(R322=0,0,VLOOKUP(R322,MIE_Components!$A$2:$F$6,2,FALSE()))</f>
        <v>0</v>
      </c>
      <c r="T322" s="14" t="n">
        <f aca="false">IF(R322=0,0,VLOOKUP(R322,MIE_Components!$A$2:$F$6,3,FALSE()))</f>
        <v>0</v>
      </c>
      <c r="U322" s="14" t="n">
        <f aca="false">IF(R322=0,0,VLOOKUP(R322,MIE_Components!$A$2:$F$6,4,FALSE()))</f>
        <v>0</v>
      </c>
      <c r="V322" s="14" t="n">
        <f aca="false">IF(OR($A322="",R322=0),0,MAX(5,R322*IF(OR($A322=Parameters!$B$13,$A322=Parameters!$B$14),0.75,1)-(IF(AND($A322=DATE(2026,11,29),NOV29BF="Yes"),S322,0)+IF(OR($A322=DATE(2026,11,29),$A322=DATE(2026,11,30),$A322=DATE(2026,12,1),$A322=DATE(2026,12,2)),T322,0)+IF(OR($A322=DATE(2026,11,28),$A322=DATE(2026,12,1)),U322,0))))</f>
        <v>0</v>
      </c>
      <c r="W322" s="14" t="n">
        <f aca="false">IF(AND($A322&lt;&gt;"",$A322&lt;Parameters!$B$14),CityData!F5*(1+TAXRATE),0)</f>
        <v>0</v>
      </c>
      <c r="X322" s="14" t="n">
        <f aca="false">IF($A322="",0,IFERROR(VLOOKUP((YEAR($A322)+IF(MONTH($A322)&gt;=10,1,0))&amp;"|Denver|"&amp;MONTH($A322),Rates!$A$2:$I$181,5,FALSE()),0))</f>
        <v>0</v>
      </c>
      <c r="Y322" s="14" t="n">
        <f aca="false">IF(OR($A322="",$A322&gt;=Parameters!$B$14),1,IF(AND(X322&gt;0,CityData!F5&lt;=X322),1,0))</f>
        <v>1</v>
      </c>
      <c r="Z322" s="14" t="n">
        <f aca="false">IF($A322="",0,IFERROR(VLOOKUP((YEAR($A322)+IF(MONTH($A322)&gt;=10,1,0))&amp;"|Phoenix|"&amp;MONTH($A322),Rates!$A$2:$I$181,6,FALSE()),0))</f>
        <v>0</v>
      </c>
      <c r="AA322" s="14" t="n">
        <f aca="false">IF(Z322=0,0,VLOOKUP(Z322,MIE_Components!$A$2:$F$6,2,FALSE()))</f>
        <v>0</v>
      </c>
      <c r="AB322" s="14" t="n">
        <f aca="false">IF(Z322=0,0,VLOOKUP(Z322,MIE_Components!$A$2:$F$6,3,FALSE()))</f>
        <v>0</v>
      </c>
      <c r="AC322" s="14" t="n">
        <f aca="false">IF(Z322=0,0,VLOOKUP(Z322,MIE_Components!$A$2:$F$6,4,FALSE()))</f>
        <v>0</v>
      </c>
      <c r="AD322" s="14" t="n">
        <f aca="false">IF(OR($A322="",Z322=0),0,MAX(5,Z322*IF(OR($A322=Parameters!$B$13,$A322=Parameters!$B$14),0.75,1)-(IF(AND($A322=DATE(2026,11,29),NOV29BF="Yes"),AA322,0)+IF(OR($A322=DATE(2026,11,29),$A322=DATE(2026,11,30),$A322=DATE(2026,12,1),$A322=DATE(2026,12,2)),AB322,0)+IF(OR($A322=DATE(2026,11,28),$A322=DATE(2026,12,1)),AC322,0))))</f>
        <v>0</v>
      </c>
      <c r="AE322" s="14" t="n">
        <f aca="false">IF(AND($A322&lt;&gt;"",$A322&lt;Parameters!$B$14),CityData!F6*(1+TAXRATE),0)</f>
        <v>0</v>
      </c>
      <c r="AF322" s="14" t="n">
        <f aca="false">IF($A322="",0,IFERROR(VLOOKUP((YEAR($A322)+IF(MONTH($A322)&gt;=10,1,0))&amp;"|Phoenix|"&amp;MONTH($A322),Rates!$A$2:$I$181,5,FALSE()),0))</f>
        <v>0</v>
      </c>
      <c r="AG322" s="14" t="n">
        <f aca="false">IF(OR($A322="",$A322&gt;=Parameters!$B$14),1,IF(AND(AF322&gt;0,CityData!F6&lt;=AF322),1,0))</f>
        <v>1</v>
      </c>
      <c r="AH322" s="14" t="n">
        <f aca="false">IF($A322="",0,IFERROR(VLOOKUP((YEAR($A322)+IF(MONTH($A322)&gt;=10,1,0))&amp;"|Seattle|"&amp;MONTH($A322),Rates!$A$2:$I$181,6,FALSE()),0))</f>
        <v>0</v>
      </c>
      <c r="AI322" s="14" t="n">
        <f aca="false">IF(AH322=0,0,VLOOKUP(AH322,MIE_Components!$A$2:$F$6,2,FALSE()))</f>
        <v>0</v>
      </c>
      <c r="AJ322" s="14" t="n">
        <f aca="false">IF(AH322=0,0,VLOOKUP(AH322,MIE_Components!$A$2:$F$6,3,FALSE()))</f>
        <v>0</v>
      </c>
      <c r="AK322" s="14" t="n">
        <f aca="false">IF(AH322=0,0,VLOOKUP(AH322,MIE_Components!$A$2:$F$6,4,FALSE()))</f>
        <v>0</v>
      </c>
      <c r="AL322" s="14" t="n">
        <f aca="false">IF(OR($A322="",AH322=0),0,MAX(5,AH322*IF(OR($A322=Parameters!$B$13,$A322=Parameters!$B$14),0.75,1)-(IF(AND($A322=DATE(2026,11,29),NOV29BF="Yes"),AI322,0)+IF(OR($A322=DATE(2026,11,29),$A322=DATE(2026,11,30),$A322=DATE(2026,12,1),$A322=DATE(2026,12,2)),AJ322,0)+IF(OR($A322=DATE(2026,11,28),$A322=DATE(2026,12,1)),AK322,0))))</f>
        <v>0</v>
      </c>
      <c r="AM322" s="14" t="n">
        <f aca="false">IF(AND($A322&lt;&gt;"",$A322&lt;Parameters!$B$14),CityData!F7*(1+TAXRATE),0)</f>
        <v>0</v>
      </c>
      <c r="AN322" s="14" t="n">
        <f aca="false">IF($A322="",0,IFERROR(VLOOKUP((YEAR($A322)+IF(MONTH($A322)&gt;=10,1,0))&amp;"|Seattle|"&amp;MONTH($A322),Rates!$A$2:$I$181,5,FALSE()),0))</f>
        <v>0</v>
      </c>
      <c r="AO322" s="14" t="n">
        <f aca="false">IF(OR($A322="",$A322&gt;=Parameters!$B$14),1,IF(AND(AN322&gt;0,CityData!F7&lt;=AN322),1,0))</f>
        <v>1</v>
      </c>
    </row>
    <row r="323" customFormat="false" ht="15" hidden="false" customHeight="true" outlineLevel="0" collapsed="false">
      <c r="A323" s="23" t="str">
        <f aca="false">IF(AND(Parameters!$B$14&gt;=Parameters!$B$13,ROW()-2&lt;=Parameters!$B$14-Parameters!$B$13),Parameters!$B$13+ROW()-2,"")</f>
        <v/>
      </c>
      <c r="B323" s="14" t="n">
        <f aca="false">IF($A323="",0,IFERROR(VLOOKUP((YEAR($A323)+IF(MONTH($A323)&gt;=10,1,0))&amp;"|Boston|"&amp;MONTH($A323),Rates!$A$2:$I$181,6,FALSE()),0))</f>
        <v>0</v>
      </c>
      <c r="C323" s="14" t="n">
        <f aca="false">IF(B323=0,0,VLOOKUP(B323,MIE_Components!$A$2:$F$6,2,FALSE()))</f>
        <v>0</v>
      </c>
      <c r="D323" s="14" t="n">
        <f aca="false">IF(B323=0,0,VLOOKUP(B323,MIE_Components!$A$2:$F$6,3,FALSE()))</f>
        <v>0</v>
      </c>
      <c r="E323" s="14" t="n">
        <f aca="false">IF(B323=0,0,VLOOKUP(B323,MIE_Components!$A$2:$F$6,4,FALSE()))</f>
        <v>0</v>
      </c>
      <c r="F323" s="14" t="n">
        <f aca="false">IF(OR($A323="",B323=0),0,MAX(5,B323*IF(OR($A323=Parameters!$B$13,$A323=Parameters!$B$14),0.75,1)-(IF(AND($A323=DATE(2026,11,29),NOV29BF="Yes"),C323,0)+IF(OR($A323=DATE(2026,11,29),$A323=DATE(2026,11,30),$A323=DATE(2026,12,1),$A323=DATE(2026,12,2)),D323,0)+IF(OR($A323=DATE(2026,11,28),$A323=DATE(2026,12,1)),E323,0))))</f>
        <v>0</v>
      </c>
      <c r="G323" s="14" t="n">
        <f aca="false">IF(AND($A323&lt;&gt;"",$A323&lt;Parameters!$B$14),CityData!F3*(1+TAXRATE),0)</f>
        <v>0</v>
      </c>
      <c r="H323" s="14" t="n">
        <f aca="false">IF($A323="",0,IFERROR(VLOOKUP((YEAR($A323)+IF(MONTH($A323)&gt;=10,1,0))&amp;"|Boston|"&amp;MONTH($A323),Rates!$A$2:$I$181,5,FALSE()),0))</f>
        <v>0</v>
      </c>
      <c r="I323" s="14" t="n">
        <f aca="false">IF(OR($A323="",$A323&gt;=Parameters!$B$14),1,IF(AND(H323&gt;0,CityData!F3&lt;=H323),1,0))</f>
        <v>1</v>
      </c>
      <c r="J323" s="14" t="n">
        <f aca="false">IF($A323="",0,IFERROR(VLOOKUP((YEAR($A323)+IF(MONTH($A323)&gt;=10,1,0))&amp;"|Chicago|"&amp;MONTH($A323),Rates!$A$2:$I$181,6,FALSE()),0))</f>
        <v>0</v>
      </c>
      <c r="K323" s="14" t="n">
        <f aca="false">IF(J323=0,0,VLOOKUP(J323,MIE_Components!$A$2:$F$6,2,FALSE()))</f>
        <v>0</v>
      </c>
      <c r="L323" s="14" t="n">
        <f aca="false">IF(J323=0,0,VLOOKUP(J323,MIE_Components!$A$2:$F$6,3,FALSE()))</f>
        <v>0</v>
      </c>
      <c r="M323" s="14" t="n">
        <f aca="false">IF(J323=0,0,VLOOKUP(J323,MIE_Components!$A$2:$F$6,4,FALSE()))</f>
        <v>0</v>
      </c>
      <c r="N323" s="14" t="n">
        <f aca="false">IF(OR($A323="",J323=0),0,MAX(5,J323*IF(OR($A323=Parameters!$B$13,$A323=Parameters!$B$14),0.75,1)-(IF(AND($A323=DATE(2026,11,29),NOV29BF="Yes"),K323,0)+IF(OR($A323=DATE(2026,11,29),$A323=DATE(2026,11,30),$A323=DATE(2026,12,1),$A323=DATE(2026,12,2)),L323,0)+IF(OR($A323=DATE(2026,11,28),$A323=DATE(2026,12,1)),M323,0))))</f>
        <v>0</v>
      </c>
      <c r="O323" s="14" t="n">
        <f aca="false">IF(AND($A323&lt;&gt;"",$A323&lt;Parameters!$B$14),CityData!F4*(1+TAXRATE),0)</f>
        <v>0</v>
      </c>
      <c r="P323" s="14" t="n">
        <f aca="false">IF($A323="",0,IFERROR(VLOOKUP((YEAR($A323)+IF(MONTH($A323)&gt;=10,1,0))&amp;"|Chicago|"&amp;MONTH($A323),Rates!$A$2:$I$181,5,FALSE()),0))</f>
        <v>0</v>
      </c>
      <c r="Q323" s="14" t="n">
        <f aca="false">IF(OR($A323="",$A323&gt;=Parameters!$B$14),1,IF(AND(P323&gt;0,CityData!F4&lt;=P323),1,0))</f>
        <v>1</v>
      </c>
      <c r="R323" s="14" t="n">
        <f aca="false">IF($A323="",0,IFERROR(VLOOKUP((YEAR($A323)+IF(MONTH($A323)&gt;=10,1,0))&amp;"|Denver|"&amp;MONTH($A323),Rates!$A$2:$I$181,6,FALSE()),0))</f>
        <v>0</v>
      </c>
      <c r="S323" s="14" t="n">
        <f aca="false">IF(R323=0,0,VLOOKUP(R323,MIE_Components!$A$2:$F$6,2,FALSE()))</f>
        <v>0</v>
      </c>
      <c r="T323" s="14" t="n">
        <f aca="false">IF(R323=0,0,VLOOKUP(R323,MIE_Components!$A$2:$F$6,3,FALSE()))</f>
        <v>0</v>
      </c>
      <c r="U323" s="14" t="n">
        <f aca="false">IF(R323=0,0,VLOOKUP(R323,MIE_Components!$A$2:$F$6,4,FALSE()))</f>
        <v>0</v>
      </c>
      <c r="V323" s="14" t="n">
        <f aca="false">IF(OR($A323="",R323=0),0,MAX(5,R323*IF(OR($A323=Parameters!$B$13,$A323=Parameters!$B$14),0.75,1)-(IF(AND($A323=DATE(2026,11,29),NOV29BF="Yes"),S323,0)+IF(OR($A323=DATE(2026,11,29),$A323=DATE(2026,11,30),$A323=DATE(2026,12,1),$A323=DATE(2026,12,2)),T323,0)+IF(OR($A323=DATE(2026,11,28),$A323=DATE(2026,12,1)),U323,0))))</f>
        <v>0</v>
      </c>
      <c r="W323" s="14" t="n">
        <f aca="false">IF(AND($A323&lt;&gt;"",$A323&lt;Parameters!$B$14),CityData!F5*(1+TAXRATE),0)</f>
        <v>0</v>
      </c>
      <c r="X323" s="14" t="n">
        <f aca="false">IF($A323="",0,IFERROR(VLOOKUP((YEAR($A323)+IF(MONTH($A323)&gt;=10,1,0))&amp;"|Denver|"&amp;MONTH($A323),Rates!$A$2:$I$181,5,FALSE()),0))</f>
        <v>0</v>
      </c>
      <c r="Y323" s="14" t="n">
        <f aca="false">IF(OR($A323="",$A323&gt;=Parameters!$B$14),1,IF(AND(X323&gt;0,CityData!F5&lt;=X323),1,0))</f>
        <v>1</v>
      </c>
      <c r="Z323" s="14" t="n">
        <f aca="false">IF($A323="",0,IFERROR(VLOOKUP((YEAR($A323)+IF(MONTH($A323)&gt;=10,1,0))&amp;"|Phoenix|"&amp;MONTH($A323),Rates!$A$2:$I$181,6,FALSE()),0))</f>
        <v>0</v>
      </c>
      <c r="AA323" s="14" t="n">
        <f aca="false">IF(Z323=0,0,VLOOKUP(Z323,MIE_Components!$A$2:$F$6,2,FALSE()))</f>
        <v>0</v>
      </c>
      <c r="AB323" s="14" t="n">
        <f aca="false">IF(Z323=0,0,VLOOKUP(Z323,MIE_Components!$A$2:$F$6,3,FALSE()))</f>
        <v>0</v>
      </c>
      <c r="AC323" s="14" t="n">
        <f aca="false">IF(Z323=0,0,VLOOKUP(Z323,MIE_Components!$A$2:$F$6,4,FALSE()))</f>
        <v>0</v>
      </c>
      <c r="AD323" s="14" t="n">
        <f aca="false">IF(OR($A323="",Z323=0),0,MAX(5,Z323*IF(OR($A323=Parameters!$B$13,$A323=Parameters!$B$14),0.75,1)-(IF(AND($A323=DATE(2026,11,29),NOV29BF="Yes"),AA323,0)+IF(OR($A323=DATE(2026,11,29),$A323=DATE(2026,11,30),$A323=DATE(2026,12,1),$A323=DATE(2026,12,2)),AB323,0)+IF(OR($A323=DATE(2026,11,28),$A323=DATE(2026,12,1)),AC323,0))))</f>
        <v>0</v>
      </c>
      <c r="AE323" s="14" t="n">
        <f aca="false">IF(AND($A323&lt;&gt;"",$A323&lt;Parameters!$B$14),CityData!F6*(1+TAXRATE),0)</f>
        <v>0</v>
      </c>
      <c r="AF323" s="14" t="n">
        <f aca="false">IF($A323="",0,IFERROR(VLOOKUP((YEAR($A323)+IF(MONTH($A323)&gt;=10,1,0))&amp;"|Phoenix|"&amp;MONTH($A323),Rates!$A$2:$I$181,5,FALSE()),0))</f>
        <v>0</v>
      </c>
      <c r="AG323" s="14" t="n">
        <f aca="false">IF(OR($A323="",$A323&gt;=Parameters!$B$14),1,IF(AND(AF323&gt;0,CityData!F6&lt;=AF323),1,0))</f>
        <v>1</v>
      </c>
      <c r="AH323" s="14" t="n">
        <f aca="false">IF($A323="",0,IFERROR(VLOOKUP((YEAR($A323)+IF(MONTH($A323)&gt;=10,1,0))&amp;"|Seattle|"&amp;MONTH($A323),Rates!$A$2:$I$181,6,FALSE()),0))</f>
        <v>0</v>
      </c>
      <c r="AI323" s="14" t="n">
        <f aca="false">IF(AH323=0,0,VLOOKUP(AH323,MIE_Components!$A$2:$F$6,2,FALSE()))</f>
        <v>0</v>
      </c>
      <c r="AJ323" s="14" t="n">
        <f aca="false">IF(AH323=0,0,VLOOKUP(AH323,MIE_Components!$A$2:$F$6,3,FALSE()))</f>
        <v>0</v>
      </c>
      <c r="AK323" s="14" t="n">
        <f aca="false">IF(AH323=0,0,VLOOKUP(AH323,MIE_Components!$A$2:$F$6,4,FALSE()))</f>
        <v>0</v>
      </c>
      <c r="AL323" s="14" t="n">
        <f aca="false">IF(OR($A323="",AH323=0),0,MAX(5,AH323*IF(OR($A323=Parameters!$B$13,$A323=Parameters!$B$14),0.75,1)-(IF(AND($A323=DATE(2026,11,29),NOV29BF="Yes"),AI323,0)+IF(OR($A323=DATE(2026,11,29),$A323=DATE(2026,11,30),$A323=DATE(2026,12,1),$A323=DATE(2026,12,2)),AJ323,0)+IF(OR($A323=DATE(2026,11,28),$A323=DATE(2026,12,1)),AK323,0))))</f>
        <v>0</v>
      </c>
      <c r="AM323" s="14" t="n">
        <f aca="false">IF(AND($A323&lt;&gt;"",$A323&lt;Parameters!$B$14),CityData!F7*(1+TAXRATE),0)</f>
        <v>0</v>
      </c>
      <c r="AN323" s="14" t="n">
        <f aca="false">IF($A323="",0,IFERROR(VLOOKUP((YEAR($A323)+IF(MONTH($A323)&gt;=10,1,0))&amp;"|Seattle|"&amp;MONTH($A323),Rates!$A$2:$I$181,5,FALSE()),0))</f>
        <v>0</v>
      </c>
      <c r="AO323" s="14" t="n">
        <f aca="false">IF(OR($A323="",$A323&gt;=Parameters!$B$14),1,IF(AND(AN323&gt;0,CityData!F7&lt;=AN323),1,0))</f>
        <v>1</v>
      </c>
    </row>
    <row r="324" customFormat="false" ht="15" hidden="false" customHeight="true" outlineLevel="0" collapsed="false">
      <c r="A324" s="23" t="str">
        <f aca="false">IF(AND(Parameters!$B$14&gt;=Parameters!$B$13,ROW()-2&lt;=Parameters!$B$14-Parameters!$B$13),Parameters!$B$13+ROW()-2,"")</f>
        <v/>
      </c>
      <c r="B324" s="14" t="n">
        <f aca="false">IF($A324="",0,IFERROR(VLOOKUP((YEAR($A324)+IF(MONTH($A324)&gt;=10,1,0))&amp;"|Boston|"&amp;MONTH($A324),Rates!$A$2:$I$181,6,FALSE()),0))</f>
        <v>0</v>
      </c>
      <c r="C324" s="14" t="n">
        <f aca="false">IF(B324=0,0,VLOOKUP(B324,MIE_Components!$A$2:$F$6,2,FALSE()))</f>
        <v>0</v>
      </c>
      <c r="D324" s="14" t="n">
        <f aca="false">IF(B324=0,0,VLOOKUP(B324,MIE_Components!$A$2:$F$6,3,FALSE()))</f>
        <v>0</v>
      </c>
      <c r="E324" s="14" t="n">
        <f aca="false">IF(B324=0,0,VLOOKUP(B324,MIE_Components!$A$2:$F$6,4,FALSE()))</f>
        <v>0</v>
      </c>
      <c r="F324" s="14" t="n">
        <f aca="false">IF(OR($A324="",B324=0),0,MAX(5,B324*IF(OR($A324=Parameters!$B$13,$A324=Parameters!$B$14),0.75,1)-(IF(AND($A324=DATE(2026,11,29),NOV29BF="Yes"),C324,0)+IF(OR($A324=DATE(2026,11,29),$A324=DATE(2026,11,30),$A324=DATE(2026,12,1),$A324=DATE(2026,12,2)),D324,0)+IF(OR($A324=DATE(2026,11,28),$A324=DATE(2026,12,1)),E324,0))))</f>
        <v>0</v>
      </c>
      <c r="G324" s="14" t="n">
        <f aca="false">IF(AND($A324&lt;&gt;"",$A324&lt;Parameters!$B$14),CityData!F3*(1+TAXRATE),0)</f>
        <v>0</v>
      </c>
      <c r="H324" s="14" t="n">
        <f aca="false">IF($A324="",0,IFERROR(VLOOKUP((YEAR($A324)+IF(MONTH($A324)&gt;=10,1,0))&amp;"|Boston|"&amp;MONTH($A324),Rates!$A$2:$I$181,5,FALSE()),0))</f>
        <v>0</v>
      </c>
      <c r="I324" s="14" t="n">
        <f aca="false">IF(OR($A324="",$A324&gt;=Parameters!$B$14),1,IF(AND(H324&gt;0,CityData!F3&lt;=H324),1,0))</f>
        <v>1</v>
      </c>
      <c r="J324" s="14" t="n">
        <f aca="false">IF($A324="",0,IFERROR(VLOOKUP((YEAR($A324)+IF(MONTH($A324)&gt;=10,1,0))&amp;"|Chicago|"&amp;MONTH($A324),Rates!$A$2:$I$181,6,FALSE()),0))</f>
        <v>0</v>
      </c>
      <c r="K324" s="14" t="n">
        <f aca="false">IF(J324=0,0,VLOOKUP(J324,MIE_Components!$A$2:$F$6,2,FALSE()))</f>
        <v>0</v>
      </c>
      <c r="L324" s="14" t="n">
        <f aca="false">IF(J324=0,0,VLOOKUP(J324,MIE_Components!$A$2:$F$6,3,FALSE()))</f>
        <v>0</v>
      </c>
      <c r="M324" s="14" t="n">
        <f aca="false">IF(J324=0,0,VLOOKUP(J324,MIE_Components!$A$2:$F$6,4,FALSE()))</f>
        <v>0</v>
      </c>
      <c r="N324" s="14" t="n">
        <f aca="false">IF(OR($A324="",J324=0),0,MAX(5,J324*IF(OR($A324=Parameters!$B$13,$A324=Parameters!$B$14),0.75,1)-(IF(AND($A324=DATE(2026,11,29),NOV29BF="Yes"),K324,0)+IF(OR($A324=DATE(2026,11,29),$A324=DATE(2026,11,30),$A324=DATE(2026,12,1),$A324=DATE(2026,12,2)),L324,0)+IF(OR($A324=DATE(2026,11,28),$A324=DATE(2026,12,1)),M324,0))))</f>
        <v>0</v>
      </c>
      <c r="O324" s="14" t="n">
        <f aca="false">IF(AND($A324&lt;&gt;"",$A324&lt;Parameters!$B$14),CityData!F4*(1+TAXRATE),0)</f>
        <v>0</v>
      </c>
      <c r="P324" s="14" t="n">
        <f aca="false">IF($A324="",0,IFERROR(VLOOKUP((YEAR($A324)+IF(MONTH($A324)&gt;=10,1,0))&amp;"|Chicago|"&amp;MONTH($A324),Rates!$A$2:$I$181,5,FALSE()),0))</f>
        <v>0</v>
      </c>
      <c r="Q324" s="14" t="n">
        <f aca="false">IF(OR($A324="",$A324&gt;=Parameters!$B$14),1,IF(AND(P324&gt;0,CityData!F4&lt;=P324),1,0))</f>
        <v>1</v>
      </c>
      <c r="R324" s="14" t="n">
        <f aca="false">IF($A324="",0,IFERROR(VLOOKUP((YEAR($A324)+IF(MONTH($A324)&gt;=10,1,0))&amp;"|Denver|"&amp;MONTH($A324),Rates!$A$2:$I$181,6,FALSE()),0))</f>
        <v>0</v>
      </c>
      <c r="S324" s="14" t="n">
        <f aca="false">IF(R324=0,0,VLOOKUP(R324,MIE_Components!$A$2:$F$6,2,FALSE()))</f>
        <v>0</v>
      </c>
      <c r="T324" s="14" t="n">
        <f aca="false">IF(R324=0,0,VLOOKUP(R324,MIE_Components!$A$2:$F$6,3,FALSE()))</f>
        <v>0</v>
      </c>
      <c r="U324" s="14" t="n">
        <f aca="false">IF(R324=0,0,VLOOKUP(R324,MIE_Components!$A$2:$F$6,4,FALSE()))</f>
        <v>0</v>
      </c>
      <c r="V324" s="14" t="n">
        <f aca="false">IF(OR($A324="",R324=0),0,MAX(5,R324*IF(OR($A324=Parameters!$B$13,$A324=Parameters!$B$14),0.75,1)-(IF(AND($A324=DATE(2026,11,29),NOV29BF="Yes"),S324,0)+IF(OR($A324=DATE(2026,11,29),$A324=DATE(2026,11,30),$A324=DATE(2026,12,1),$A324=DATE(2026,12,2)),T324,0)+IF(OR($A324=DATE(2026,11,28),$A324=DATE(2026,12,1)),U324,0))))</f>
        <v>0</v>
      </c>
      <c r="W324" s="14" t="n">
        <f aca="false">IF(AND($A324&lt;&gt;"",$A324&lt;Parameters!$B$14),CityData!F5*(1+TAXRATE),0)</f>
        <v>0</v>
      </c>
      <c r="X324" s="14" t="n">
        <f aca="false">IF($A324="",0,IFERROR(VLOOKUP((YEAR($A324)+IF(MONTH($A324)&gt;=10,1,0))&amp;"|Denver|"&amp;MONTH($A324),Rates!$A$2:$I$181,5,FALSE()),0))</f>
        <v>0</v>
      </c>
      <c r="Y324" s="14" t="n">
        <f aca="false">IF(OR($A324="",$A324&gt;=Parameters!$B$14),1,IF(AND(X324&gt;0,CityData!F5&lt;=X324),1,0))</f>
        <v>1</v>
      </c>
      <c r="Z324" s="14" t="n">
        <f aca="false">IF($A324="",0,IFERROR(VLOOKUP((YEAR($A324)+IF(MONTH($A324)&gt;=10,1,0))&amp;"|Phoenix|"&amp;MONTH($A324),Rates!$A$2:$I$181,6,FALSE()),0))</f>
        <v>0</v>
      </c>
      <c r="AA324" s="14" t="n">
        <f aca="false">IF(Z324=0,0,VLOOKUP(Z324,MIE_Components!$A$2:$F$6,2,FALSE()))</f>
        <v>0</v>
      </c>
      <c r="AB324" s="14" t="n">
        <f aca="false">IF(Z324=0,0,VLOOKUP(Z324,MIE_Components!$A$2:$F$6,3,FALSE()))</f>
        <v>0</v>
      </c>
      <c r="AC324" s="14" t="n">
        <f aca="false">IF(Z324=0,0,VLOOKUP(Z324,MIE_Components!$A$2:$F$6,4,FALSE()))</f>
        <v>0</v>
      </c>
      <c r="AD324" s="14" t="n">
        <f aca="false">IF(OR($A324="",Z324=0),0,MAX(5,Z324*IF(OR($A324=Parameters!$B$13,$A324=Parameters!$B$14),0.75,1)-(IF(AND($A324=DATE(2026,11,29),NOV29BF="Yes"),AA324,0)+IF(OR($A324=DATE(2026,11,29),$A324=DATE(2026,11,30),$A324=DATE(2026,12,1),$A324=DATE(2026,12,2)),AB324,0)+IF(OR($A324=DATE(2026,11,28),$A324=DATE(2026,12,1)),AC324,0))))</f>
        <v>0</v>
      </c>
      <c r="AE324" s="14" t="n">
        <f aca="false">IF(AND($A324&lt;&gt;"",$A324&lt;Parameters!$B$14),CityData!F6*(1+TAXRATE),0)</f>
        <v>0</v>
      </c>
      <c r="AF324" s="14" t="n">
        <f aca="false">IF($A324="",0,IFERROR(VLOOKUP((YEAR($A324)+IF(MONTH($A324)&gt;=10,1,0))&amp;"|Phoenix|"&amp;MONTH($A324),Rates!$A$2:$I$181,5,FALSE()),0))</f>
        <v>0</v>
      </c>
      <c r="AG324" s="14" t="n">
        <f aca="false">IF(OR($A324="",$A324&gt;=Parameters!$B$14),1,IF(AND(AF324&gt;0,CityData!F6&lt;=AF324),1,0))</f>
        <v>1</v>
      </c>
      <c r="AH324" s="14" t="n">
        <f aca="false">IF($A324="",0,IFERROR(VLOOKUP((YEAR($A324)+IF(MONTH($A324)&gt;=10,1,0))&amp;"|Seattle|"&amp;MONTH($A324),Rates!$A$2:$I$181,6,FALSE()),0))</f>
        <v>0</v>
      </c>
      <c r="AI324" s="14" t="n">
        <f aca="false">IF(AH324=0,0,VLOOKUP(AH324,MIE_Components!$A$2:$F$6,2,FALSE()))</f>
        <v>0</v>
      </c>
      <c r="AJ324" s="14" t="n">
        <f aca="false">IF(AH324=0,0,VLOOKUP(AH324,MIE_Components!$A$2:$F$6,3,FALSE()))</f>
        <v>0</v>
      </c>
      <c r="AK324" s="14" t="n">
        <f aca="false">IF(AH324=0,0,VLOOKUP(AH324,MIE_Components!$A$2:$F$6,4,FALSE()))</f>
        <v>0</v>
      </c>
      <c r="AL324" s="14" t="n">
        <f aca="false">IF(OR($A324="",AH324=0),0,MAX(5,AH324*IF(OR($A324=Parameters!$B$13,$A324=Parameters!$B$14),0.75,1)-(IF(AND($A324=DATE(2026,11,29),NOV29BF="Yes"),AI324,0)+IF(OR($A324=DATE(2026,11,29),$A324=DATE(2026,11,30),$A324=DATE(2026,12,1),$A324=DATE(2026,12,2)),AJ324,0)+IF(OR($A324=DATE(2026,11,28),$A324=DATE(2026,12,1)),AK324,0))))</f>
        <v>0</v>
      </c>
      <c r="AM324" s="14" t="n">
        <f aca="false">IF(AND($A324&lt;&gt;"",$A324&lt;Parameters!$B$14),CityData!F7*(1+TAXRATE),0)</f>
        <v>0</v>
      </c>
      <c r="AN324" s="14" t="n">
        <f aca="false">IF($A324="",0,IFERROR(VLOOKUP((YEAR($A324)+IF(MONTH($A324)&gt;=10,1,0))&amp;"|Seattle|"&amp;MONTH($A324),Rates!$A$2:$I$181,5,FALSE()),0))</f>
        <v>0</v>
      </c>
      <c r="AO324" s="14" t="n">
        <f aca="false">IF(OR($A324="",$A324&gt;=Parameters!$B$14),1,IF(AND(AN324&gt;0,CityData!F7&lt;=AN324),1,0))</f>
        <v>1</v>
      </c>
    </row>
    <row r="325" customFormat="false" ht="15" hidden="false" customHeight="true" outlineLevel="0" collapsed="false">
      <c r="A325" s="23" t="str">
        <f aca="false">IF(AND(Parameters!$B$14&gt;=Parameters!$B$13,ROW()-2&lt;=Parameters!$B$14-Parameters!$B$13),Parameters!$B$13+ROW()-2,"")</f>
        <v/>
      </c>
      <c r="B325" s="14" t="n">
        <f aca="false">IF($A325="",0,IFERROR(VLOOKUP((YEAR($A325)+IF(MONTH($A325)&gt;=10,1,0))&amp;"|Boston|"&amp;MONTH($A325),Rates!$A$2:$I$181,6,FALSE()),0))</f>
        <v>0</v>
      </c>
      <c r="C325" s="14" t="n">
        <f aca="false">IF(B325=0,0,VLOOKUP(B325,MIE_Components!$A$2:$F$6,2,FALSE()))</f>
        <v>0</v>
      </c>
      <c r="D325" s="14" t="n">
        <f aca="false">IF(B325=0,0,VLOOKUP(B325,MIE_Components!$A$2:$F$6,3,FALSE()))</f>
        <v>0</v>
      </c>
      <c r="E325" s="14" t="n">
        <f aca="false">IF(B325=0,0,VLOOKUP(B325,MIE_Components!$A$2:$F$6,4,FALSE()))</f>
        <v>0</v>
      </c>
      <c r="F325" s="14" t="n">
        <f aca="false">IF(OR($A325="",B325=0),0,MAX(5,B325*IF(OR($A325=Parameters!$B$13,$A325=Parameters!$B$14),0.75,1)-(IF(AND($A325=DATE(2026,11,29),NOV29BF="Yes"),C325,0)+IF(OR($A325=DATE(2026,11,29),$A325=DATE(2026,11,30),$A325=DATE(2026,12,1),$A325=DATE(2026,12,2)),D325,0)+IF(OR($A325=DATE(2026,11,28),$A325=DATE(2026,12,1)),E325,0))))</f>
        <v>0</v>
      </c>
      <c r="G325" s="14" t="n">
        <f aca="false">IF(AND($A325&lt;&gt;"",$A325&lt;Parameters!$B$14),CityData!F3*(1+TAXRATE),0)</f>
        <v>0</v>
      </c>
      <c r="H325" s="14" t="n">
        <f aca="false">IF($A325="",0,IFERROR(VLOOKUP((YEAR($A325)+IF(MONTH($A325)&gt;=10,1,0))&amp;"|Boston|"&amp;MONTH($A325),Rates!$A$2:$I$181,5,FALSE()),0))</f>
        <v>0</v>
      </c>
      <c r="I325" s="14" t="n">
        <f aca="false">IF(OR($A325="",$A325&gt;=Parameters!$B$14),1,IF(AND(H325&gt;0,CityData!F3&lt;=H325),1,0))</f>
        <v>1</v>
      </c>
      <c r="J325" s="14" t="n">
        <f aca="false">IF($A325="",0,IFERROR(VLOOKUP((YEAR($A325)+IF(MONTH($A325)&gt;=10,1,0))&amp;"|Chicago|"&amp;MONTH($A325),Rates!$A$2:$I$181,6,FALSE()),0))</f>
        <v>0</v>
      </c>
      <c r="K325" s="14" t="n">
        <f aca="false">IF(J325=0,0,VLOOKUP(J325,MIE_Components!$A$2:$F$6,2,FALSE()))</f>
        <v>0</v>
      </c>
      <c r="L325" s="14" t="n">
        <f aca="false">IF(J325=0,0,VLOOKUP(J325,MIE_Components!$A$2:$F$6,3,FALSE()))</f>
        <v>0</v>
      </c>
      <c r="M325" s="14" t="n">
        <f aca="false">IF(J325=0,0,VLOOKUP(J325,MIE_Components!$A$2:$F$6,4,FALSE()))</f>
        <v>0</v>
      </c>
      <c r="N325" s="14" t="n">
        <f aca="false">IF(OR($A325="",J325=0),0,MAX(5,J325*IF(OR($A325=Parameters!$B$13,$A325=Parameters!$B$14),0.75,1)-(IF(AND($A325=DATE(2026,11,29),NOV29BF="Yes"),K325,0)+IF(OR($A325=DATE(2026,11,29),$A325=DATE(2026,11,30),$A325=DATE(2026,12,1),$A325=DATE(2026,12,2)),L325,0)+IF(OR($A325=DATE(2026,11,28),$A325=DATE(2026,12,1)),M325,0))))</f>
        <v>0</v>
      </c>
      <c r="O325" s="14" t="n">
        <f aca="false">IF(AND($A325&lt;&gt;"",$A325&lt;Parameters!$B$14),CityData!F4*(1+TAXRATE),0)</f>
        <v>0</v>
      </c>
      <c r="P325" s="14" t="n">
        <f aca="false">IF($A325="",0,IFERROR(VLOOKUP((YEAR($A325)+IF(MONTH($A325)&gt;=10,1,0))&amp;"|Chicago|"&amp;MONTH($A325),Rates!$A$2:$I$181,5,FALSE()),0))</f>
        <v>0</v>
      </c>
      <c r="Q325" s="14" t="n">
        <f aca="false">IF(OR($A325="",$A325&gt;=Parameters!$B$14),1,IF(AND(P325&gt;0,CityData!F4&lt;=P325),1,0))</f>
        <v>1</v>
      </c>
      <c r="R325" s="14" t="n">
        <f aca="false">IF($A325="",0,IFERROR(VLOOKUP((YEAR($A325)+IF(MONTH($A325)&gt;=10,1,0))&amp;"|Denver|"&amp;MONTH($A325),Rates!$A$2:$I$181,6,FALSE()),0))</f>
        <v>0</v>
      </c>
      <c r="S325" s="14" t="n">
        <f aca="false">IF(R325=0,0,VLOOKUP(R325,MIE_Components!$A$2:$F$6,2,FALSE()))</f>
        <v>0</v>
      </c>
      <c r="T325" s="14" t="n">
        <f aca="false">IF(R325=0,0,VLOOKUP(R325,MIE_Components!$A$2:$F$6,3,FALSE()))</f>
        <v>0</v>
      </c>
      <c r="U325" s="14" t="n">
        <f aca="false">IF(R325=0,0,VLOOKUP(R325,MIE_Components!$A$2:$F$6,4,FALSE()))</f>
        <v>0</v>
      </c>
      <c r="V325" s="14" t="n">
        <f aca="false">IF(OR($A325="",R325=0),0,MAX(5,R325*IF(OR($A325=Parameters!$B$13,$A325=Parameters!$B$14),0.75,1)-(IF(AND($A325=DATE(2026,11,29),NOV29BF="Yes"),S325,0)+IF(OR($A325=DATE(2026,11,29),$A325=DATE(2026,11,30),$A325=DATE(2026,12,1),$A325=DATE(2026,12,2)),T325,0)+IF(OR($A325=DATE(2026,11,28),$A325=DATE(2026,12,1)),U325,0))))</f>
        <v>0</v>
      </c>
      <c r="W325" s="14" t="n">
        <f aca="false">IF(AND($A325&lt;&gt;"",$A325&lt;Parameters!$B$14),CityData!F5*(1+TAXRATE),0)</f>
        <v>0</v>
      </c>
      <c r="X325" s="14" t="n">
        <f aca="false">IF($A325="",0,IFERROR(VLOOKUP((YEAR($A325)+IF(MONTH($A325)&gt;=10,1,0))&amp;"|Denver|"&amp;MONTH($A325),Rates!$A$2:$I$181,5,FALSE()),0))</f>
        <v>0</v>
      </c>
      <c r="Y325" s="14" t="n">
        <f aca="false">IF(OR($A325="",$A325&gt;=Parameters!$B$14),1,IF(AND(X325&gt;0,CityData!F5&lt;=X325),1,0))</f>
        <v>1</v>
      </c>
      <c r="Z325" s="14" t="n">
        <f aca="false">IF($A325="",0,IFERROR(VLOOKUP((YEAR($A325)+IF(MONTH($A325)&gt;=10,1,0))&amp;"|Phoenix|"&amp;MONTH($A325),Rates!$A$2:$I$181,6,FALSE()),0))</f>
        <v>0</v>
      </c>
      <c r="AA325" s="14" t="n">
        <f aca="false">IF(Z325=0,0,VLOOKUP(Z325,MIE_Components!$A$2:$F$6,2,FALSE()))</f>
        <v>0</v>
      </c>
      <c r="AB325" s="14" t="n">
        <f aca="false">IF(Z325=0,0,VLOOKUP(Z325,MIE_Components!$A$2:$F$6,3,FALSE()))</f>
        <v>0</v>
      </c>
      <c r="AC325" s="14" t="n">
        <f aca="false">IF(Z325=0,0,VLOOKUP(Z325,MIE_Components!$A$2:$F$6,4,FALSE()))</f>
        <v>0</v>
      </c>
      <c r="AD325" s="14" t="n">
        <f aca="false">IF(OR($A325="",Z325=0),0,MAX(5,Z325*IF(OR($A325=Parameters!$B$13,$A325=Parameters!$B$14),0.75,1)-(IF(AND($A325=DATE(2026,11,29),NOV29BF="Yes"),AA325,0)+IF(OR($A325=DATE(2026,11,29),$A325=DATE(2026,11,30),$A325=DATE(2026,12,1),$A325=DATE(2026,12,2)),AB325,0)+IF(OR($A325=DATE(2026,11,28),$A325=DATE(2026,12,1)),AC325,0))))</f>
        <v>0</v>
      </c>
      <c r="AE325" s="14" t="n">
        <f aca="false">IF(AND($A325&lt;&gt;"",$A325&lt;Parameters!$B$14),CityData!F6*(1+TAXRATE),0)</f>
        <v>0</v>
      </c>
      <c r="AF325" s="14" t="n">
        <f aca="false">IF($A325="",0,IFERROR(VLOOKUP((YEAR($A325)+IF(MONTH($A325)&gt;=10,1,0))&amp;"|Phoenix|"&amp;MONTH($A325),Rates!$A$2:$I$181,5,FALSE()),0))</f>
        <v>0</v>
      </c>
      <c r="AG325" s="14" t="n">
        <f aca="false">IF(OR($A325="",$A325&gt;=Parameters!$B$14),1,IF(AND(AF325&gt;0,CityData!F6&lt;=AF325),1,0))</f>
        <v>1</v>
      </c>
      <c r="AH325" s="14" t="n">
        <f aca="false">IF($A325="",0,IFERROR(VLOOKUP((YEAR($A325)+IF(MONTH($A325)&gt;=10,1,0))&amp;"|Seattle|"&amp;MONTH($A325),Rates!$A$2:$I$181,6,FALSE()),0))</f>
        <v>0</v>
      </c>
      <c r="AI325" s="14" t="n">
        <f aca="false">IF(AH325=0,0,VLOOKUP(AH325,MIE_Components!$A$2:$F$6,2,FALSE()))</f>
        <v>0</v>
      </c>
      <c r="AJ325" s="14" t="n">
        <f aca="false">IF(AH325=0,0,VLOOKUP(AH325,MIE_Components!$A$2:$F$6,3,FALSE()))</f>
        <v>0</v>
      </c>
      <c r="AK325" s="14" t="n">
        <f aca="false">IF(AH325=0,0,VLOOKUP(AH325,MIE_Components!$A$2:$F$6,4,FALSE()))</f>
        <v>0</v>
      </c>
      <c r="AL325" s="14" t="n">
        <f aca="false">IF(OR($A325="",AH325=0),0,MAX(5,AH325*IF(OR($A325=Parameters!$B$13,$A325=Parameters!$B$14),0.75,1)-(IF(AND($A325=DATE(2026,11,29),NOV29BF="Yes"),AI325,0)+IF(OR($A325=DATE(2026,11,29),$A325=DATE(2026,11,30),$A325=DATE(2026,12,1),$A325=DATE(2026,12,2)),AJ325,0)+IF(OR($A325=DATE(2026,11,28),$A325=DATE(2026,12,1)),AK325,0))))</f>
        <v>0</v>
      </c>
      <c r="AM325" s="14" t="n">
        <f aca="false">IF(AND($A325&lt;&gt;"",$A325&lt;Parameters!$B$14),CityData!F7*(1+TAXRATE),0)</f>
        <v>0</v>
      </c>
      <c r="AN325" s="14" t="n">
        <f aca="false">IF($A325="",0,IFERROR(VLOOKUP((YEAR($A325)+IF(MONTH($A325)&gt;=10,1,0))&amp;"|Seattle|"&amp;MONTH($A325),Rates!$A$2:$I$181,5,FALSE()),0))</f>
        <v>0</v>
      </c>
      <c r="AO325" s="14" t="n">
        <f aca="false">IF(OR($A325="",$A325&gt;=Parameters!$B$14),1,IF(AND(AN325&gt;0,CityData!F7&lt;=AN325),1,0))</f>
        <v>1</v>
      </c>
    </row>
    <row r="326" customFormat="false" ht="15" hidden="false" customHeight="true" outlineLevel="0" collapsed="false">
      <c r="A326" s="23" t="str">
        <f aca="false">IF(AND(Parameters!$B$14&gt;=Parameters!$B$13,ROW()-2&lt;=Parameters!$B$14-Parameters!$B$13),Parameters!$B$13+ROW()-2,"")</f>
        <v/>
      </c>
      <c r="B326" s="14" t="n">
        <f aca="false">IF($A326="",0,IFERROR(VLOOKUP((YEAR($A326)+IF(MONTH($A326)&gt;=10,1,0))&amp;"|Boston|"&amp;MONTH($A326),Rates!$A$2:$I$181,6,FALSE()),0))</f>
        <v>0</v>
      </c>
      <c r="C326" s="14" t="n">
        <f aca="false">IF(B326=0,0,VLOOKUP(B326,MIE_Components!$A$2:$F$6,2,FALSE()))</f>
        <v>0</v>
      </c>
      <c r="D326" s="14" t="n">
        <f aca="false">IF(B326=0,0,VLOOKUP(B326,MIE_Components!$A$2:$F$6,3,FALSE()))</f>
        <v>0</v>
      </c>
      <c r="E326" s="14" t="n">
        <f aca="false">IF(B326=0,0,VLOOKUP(B326,MIE_Components!$A$2:$F$6,4,FALSE()))</f>
        <v>0</v>
      </c>
      <c r="F326" s="14" t="n">
        <f aca="false">IF(OR($A326="",B326=0),0,MAX(5,B326*IF(OR($A326=Parameters!$B$13,$A326=Parameters!$B$14),0.75,1)-(IF(AND($A326=DATE(2026,11,29),NOV29BF="Yes"),C326,0)+IF(OR($A326=DATE(2026,11,29),$A326=DATE(2026,11,30),$A326=DATE(2026,12,1),$A326=DATE(2026,12,2)),D326,0)+IF(OR($A326=DATE(2026,11,28),$A326=DATE(2026,12,1)),E326,0))))</f>
        <v>0</v>
      </c>
      <c r="G326" s="14" t="n">
        <f aca="false">IF(AND($A326&lt;&gt;"",$A326&lt;Parameters!$B$14),CityData!F3*(1+TAXRATE),0)</f>
        <v>0</v>
      </c>
      <c r="H326" s="14" t="n">
        <f aca="false">IF($A326="",0,IFERROR(VLOOKUP((YEAR($A326)+IF(MONTH($A326)&gt;=10,1,0))&amp;"|Boston|"&amp;MONTH($A326),Rates!$A$2:$I$181,5,FALSE()),0))</f>
        <v>0</v>
      </c>
      <c r="I326" s="14" t="n">
        <f aca="false">IF(OR($A326="",$A326&gt;=Parameters!$B$14),1,IF(AND(H326&gt;0,CityData!F3&lt;=H326),1,0))</f>
        <v>1</v>
      </c>
      <c r="J326" s="14" t="n">
        <f aca="false">IF($A326="",0,IFERROR(VLOOKUP((YEAR($A326)+IF(MONTH($A326)&gt;=10,1,0))&amp;"|Chicago|"&amp;MONTH($A326),Rates!$A$2:$I$181,6,FALSE()),0))</f>
        <v>0</v>
      </c>
      <c r="K326" s="14" t="n">
        <f aca="false">IF(J326=0,0,VLOOKUP(J326,MIE_Components!$A$2:$F$6,2,FALSE()))</f>
        <v>0</v>
      </c>
      <c r="L326" s="14" t="n">
        <f aca="false">IF(J326=0,0,VLOOKUP(J326,MIE_Components!$A$2:$F$6,3,FALSE()))</f>
        <v>0</v>
      </c>
      <c r="M326" s="14" t="n">
        <f aca="false">IF(J326=0,0,VLOOKUP(J326,MIE_Components!$A$2:$F$6,4,FALSE()))</f>
        <v>0</v>
      </c>
      <c r="N326" s="14" t="n">
        <f aca="false">IF(OR($A326="",J326=0),0,MAX(5,J326*IF(OR($A326=Parameters!$B$13,$A326=Parameters!$B$14),0.75,1)-(IF(AND($A326=DATE(2026,11,29),NOV29BF="Yes"),K326,0)+IF(OR($A326=DATE(2026,11,29),$A326=DATE(2026,11,30),$A326=DATE(2026,12,1),$A326=DATE(2026,12,2)),L326,0)+IF(OR($A326=DATE(2026,11,28),$A326=DATE(2026,12,1)),M326,0))))</f>
        <v>0</v>
      </c>
      <c r="O326" s="14" t="n">
        <f aca="false">IF(AND($A326&lt;&gt;"",$A326&lt;Parameters!$B$14),CityData!F4*(1+TAXRATE),0)</f>
        <v>0</v>
      </c>
      <c r="P326" s="14" t="n">
        <f aca="false">IF($A326="",0,IFERROR(VLOOKUP((YEAR($A326)+IF(MONTH($A326)&gt;=10,1,0))&amp;"|Chicago|"&amp;MONTH($A326),Rates!$A$2:$I$181,5,FALSE()),0))</f>
        <v>0</v>
      </c>
      <c r="Q326" s="14" t="n">
        <f aca="false">IF(OR($A326="",$A326&gt;=Parameters!$B$14),1,IF(AND(P326&gt;0,CityData!F4&lt;=P326),1,0))</f>
        <v>1</v>
      </c>
      <c r="R326" s="14" t="n">
        <f aca="false">IF($A326="",0,IFERROR(VLOOKUP((YEAR($A326)+IF(MONTH($A326)&gt;=10,1,0))&amp;"|Denver|"&amp;MONTH($A326),Rates!$A$2:$I$181,6,FALSE()),0))</f>
        <v>0</v>
      </c>
      <c r="S326" s="14" t="n">
        <f aca="false">IF(R326=0,0,VLOOKUP(R326,MIE_Components!$A$2:$F$6,2,FALSE()))</f>
        <v>0</v>
      </c>
      <c r="T326" s="14" t="n">
        <f aca="false">IF(R326=0,0,VLOOKUP(R326,MIE_Components!$A$2:$F$6,3,FALSE()))</f>
        <v>0</v>
      </c>
      <c r="U326" s="14" t="n">
        <f aca="false">IF(R326=0,0,VLOOKUP(R326,MIE_Components!$A$2:$F$6,4,FALSE()))</f>
        <v>0</v>
      </c>
      <c r="V326" s="14" t="n">
        <f aca="false">IF(OR($A326="",R326=0),0,MAX(5,R326*IF(OR($A326=Parameters!$B$13,$A326=Parameters!$B$14),0.75,1)-(IF(AND($A326=DATE(2026,11,29),NOV29BF="Yes"),S326,0)+IF(OR($A326=DATE(2026,11,29),$A326=DATE(2026,11,30),$A326=DATE(2026,12,1),$A326=DATE(2026,12,2)),T326,0)+IF(OR($A326=DATE(2026,11,28),$A326=DATE(2026,12,1)),U326,0))))</f>
        <v>0</v>
      </c>
      <c r="W326" s="14" t="n">
        <f aca="false">IF(AND($A326&lt;&gt;"",$A326&lt;Parameters!$B$14),CityData!F5*(1+TAXRATE),0)</f>
        <v>0</v>
      </c>
      <c r="X326" s="14" t="n">
        <f aca="false">IF($A326="",0,IFERROR(VLOOKUP((YEAR($A326)+IF(MONTH($A326)&gt;=10,1,0))&amp;"|Denver|"&amp;MONTH($A326),Rates!$A$2:$I$181,5,FALSE()),0))</f>
        <v>0</v>
      </c>
      <c r="Y326" s="14" t="n">
        <f aca="false">IF(OR($A326="",$A326&gt;=Parameters!$B$14),1,IF(AND(X326&gt;0,CityData!F5&lt;=X326),1,0))</f>
        <v>1</v>
      </c>
      <c r="Z326" s="14" t="n">
        <f aca="false">IF($A326="",0,IFERROR(VLOOKUP((YEAR($A326)+IF(MONTH($A326)&gt;=10,1,0))&amp;"|Phoenix|"&amp;MONTH($A326),Rates!$A$2:$I$181,6,FALSE()),0))</f>
        <v>0</v>
      </c>
      <c r="AA326" s="14" t="n">
        <f aca="false">IF(Z326=0,0,VLOOKUP(Z326,MIE_Components!$A$2:$F$6,2,FALSE()))</f>
        <v>0</v>
      </c>
      <c r="AB326" s="14" t="n">
        <f aca="false">IF(Z326=0,0,VLOOKUP(Z326,MIE_Components!$A$2:$F$6,3,FALSE()))</f>
        <v>0</v>
      </c>
      <c r="AC326" s="14" t="n">
        <f aca="false">IF(Z326=0,0,VLOOKUP(Z326,MIE_Components!$A$2:$F$6,4,FALSE()))</f>
        <v>0</v>
      </c>
      <c r="AD326" s="14" t="n">
        <f aca="false">IF(OR($A326="",Z326=0),0,MAX(5,Z326*IF(OR($A326=Parameters!$B$13,$A326=Parameters!$B$14),0.75,1)-(IF(AND($A326=DATE(2026,11,29),NOV29BF="Yes"),AA326,0)+IF(OR($A326=DATE(2026,11,29),$A326=DATE(2026,11,30),$A326=DATE(2026,12,1),$A326=DATE(2026,12,2)),AB326,0)+IF(OR($A326=DATE(2026,11,28),$A326=DATE(2026,12,1)),AC326,0))))</f>
        <v>0</v>
      </c>
      <c r="AE326" s="14" t="n">
        <f aca="false">IF(AND($A326&lt;&gt;"",$A326&lt;Parameters!$B$14),CityData!F6*(1+TAXRATE),0)</f>
        <v>0</v>
      </c>
      <c r="AF326" s="14" t="n">
        <f aca="false">IF($A326="",0,IFERROR(VLOOKUP((YEAR($A326)+IF(MONTH($A326)&gt;=10,1,0))&amp;"|Phoenix|"&amp;MONTH($A326),Rates!$A$2:$I$181,5,FALSE()),0))</f>
        <v>0</v>
      </c>
      <c r="AG326" s="14" t="n">
        <f aca="false">IF(OR($A326="",$A326&gt;=Parameters!$B$14),1,IF(AND(AF326&gt;0,CityData!F6&lt;=AF326),1,0))</f>
        <v>1</v>
      </c>
      <c r="AH326" s="14" t="n">
        <f aca="false">IF($A326="",0,IFERROR(VLOOKUP((YEAR($A326)+IF(MONTH($A326)&gt;=10,1,0))&amp;"|Seattle|"&amp;MONTH($A326),Rates!$A$2:$I$181,6,FALSE()),0))</f>
        <v>0</v>
      </c>
      <c r="AI326" s="14" t="n">
        <f aca="false">IF(AH326=0,0,VLOOKUP(AH326,MIE_Components!$A$2:$F$6,2,FALSE()))</f>
        <v>0</v>
      </c>
      <c r="AJ326" s="14" t="n">
        <f aca="false">IF(AH326=0,0,VLOOKUP(AH326,MIE_Components!$A$2:$F$6,3,FALSE()))</f>
        <v>0</v>
      </c>
      <c r="AK326" s="14" t="n">
        <f aca="false">IF(AH326=0,0,VLOOKUP(AH326,MIE_Components!$A$2:$F$6,4,FALSE()))</f>
        <v>0</v>
      </c>
      <c r="AL326" s="14" t="n">
        <f aca="false">IF(OR($A326="",AH326=0),0,MAX(5,AH326*IF(OR($A326=Parameters!$B$13,$A326=Parameters!$B$14),0.75,1)-(IF(AND($A326=DATE(2026,11,29),NOV29BF="Yes"),AI326,0)+IF(OR($A326=DATE(2026,11,29),$A326=DATE(2026,11,30),$A326=DATE(2026,12,1),$A326=DATE(2026,12,2)),AJ326,0)+IF(OR($A326=DATE(2026,11,28),$A326=DATE(2026,12,1)),AK326,0))))</f>
        <v>0</v>
      </c>
      <c r="AM326" s="14" t="n">
        <f aca="false">IF(AND($A326&lt;&gt;"",$A326&lt;Parameters!$B$14),CityData!F7*(1+TAXRATE),0)</f>
        <v>0</v>
      </c>
      <c r="AN326" s="14" t="n">
        <f aca="false">IF($A326="",0,IFERROR(VLOOKUP((YEAR($A326)+IF(MONTH($A326)&gt;=10,1,0))&amp;"|Seattle|"&amp;MONTH($A326),Rates!$A$2:$I$181,5,FALSE()),0))</f>
        <v>0</v>
      </c>
      <c r="AO326" s="14" t="n">
        <f aca="false">IF(OR($A326="",$A326&gt;=Parameters!$B$14),1,IF(AND(AN326&gt;0,CityData!F7&lt;=AN326),1,0))</f>
        <v>1</v>
      </c>
    </row>
    <row r="327" customFormat="false" ht="15" hidden="false" customHeight="true" outlineLevel="0" collapsed="false">
      <c r="A327" s="23" t="str">
        <f aca="false">IF(AND(Parameters!$B$14&gt;=Parameters!$B$13,ROW()-2&lt;=Parameters!$B$14-Parameters!$B$13),Parameters!$B$13+ROW()-2,"")</f>
        <v/>
      </c>
      <c r="B327" s="14" t="n">
        <f aca="false">IF($A327="",0,IFERROR(VLOOKUP((YEAR($A327)+IF(MONTH($A327)&gt;=10,1,0))&amp;"|Boston|"&amp;MONTH($A327),Rates!$A$2:$I$181,6,FALSE()),0))</f>
        <v>0</v>
      </c>
      <c r="C327" s="14" t="n">
        <f aca="false">IF(B327=0,0,VLOOKUP(B327,MIE_Components!$A$2:$F$6,2,FALSE()))</f>
        <v>0</v>
      </c>
      <c r="D327" s="14" t="n">
        <f aca="false">IF(B327=0,0,VLOOKUP(B327,MIE_Components!$A$2:$F$6,3,FALSE()))</f>
        <v>0</v>
      </c>
      <c r="E327" s="14" t="n">
        <f aca="false">IF(B327=0,0,VLOOKUP(B327,MIE_Components!$A$2:$F$6,4,FALSE()))</f>
        <v>0</v>
      </c>
      <c r="F327" s="14" t="n">
        <f aca="false">IF(OR($A327="",B327=0),0,MAX(5,B327*IF(OR($A327=Parameters!$B$13,$A327=Parameters!$B$14),0.75,1)-(IF(AND($A327=DATE(2026,11,29),NOV29BF="Yes"),C327,0)+IF(OR($A327=DATE(2026,11,29),$A327=DATE(2026,11,30),$A327=DATE(2026,12,1),$A327=DATE(2026,12,2)),D327,0)+IF(OR($A327=DATE(2026,11,28),$A327=DATE(2026,12,1)),E327,0))))</f>
        <v>0</v>
      </c>
      <c r="G327" s="14" t="n">
        <f aca="false">IF(AND($A327&lt;&gt;"",$A327&lt;Parameters!$B$14),CityData!F3*(1+TAXRATE),0)</f>
        <v>0</v>
      </c>
      <c r="H327" s="14" t="n">
        <f aca="false">IF($A327="",0,IFERROR(VLOOKUP((YEAR($A327)+IF(MONTH($A327)&gt;=10,1,0))&amp;"|Boston|"&amp;MONTH($A327),Rates!$A$2:$I$181,5,FALSE()),0))</f>
        <v>0</v>
      </c>
      <c r="I327" s="14" t="n">
        <f aca="false">IF(OR($A327="",$A327&gt;=Parameters!$B$14),1,IF(AND(H327&gt;0,CityData!F3&lt;=H327),1,0))</f>
        <v>1</v>
      </c>
      <c r="J327" s="14" t="n">
        <f aca="false">IF($A327="",0,IFERROR(VLOOKUP((YEAR($A327)+IF(MONTH($A327)&gt;=10,1,0))&amp;"|Chicago|"&amp;MONTH($A327),Rates!$A$2:$I$181,6,FALSE()),0))</f>
        <v>0</v>
      </c>
      <c r="K327" s="14" t="n">
        <f aca="false">IF(J327=0,0,VLOOKUP(J327,MIE_Components!$A$2:$F$6,2,FALSE()))</f>
        <v>0</v>
      </c>
      <c r="L327" s="14" t="n">
        <f aca="false">IF(J327=0,0,VLOOKUP(J327,MIE_Components!$A$2:$F$6,3,FALSE()))</f>
        <v>0</v>
      </c>
      <c r="M327" s="14" t="n">
        <f aca="false">IF(J327=0,0,VLOOKUP(J327,MIE_Components!$A$2:$F$6,4,FALSE()))</f>
        <v>0</v>
      </c>
      <c r="N327" s="14" t="n">
        <f aca="false">IF(OR($A327="",J327=0),0,MAX(5,J327*IF(OR($A327=Parameters!$B$13,$A327=Parameters!$B$14),0.75,1)-(IF(AND($A327=DATE(2026,11,29),NOV29BF="Yes"),K327,0)+IF(OR($A327=DATE(2026,11,29),$A327=DATE(2026,11,30),$A327=DATE(2026,12,1),$A327=DATE(2026,12,2)),L327,0)+IF(OR($A327=DATE(2026,11,28),$A327=DATE(2026,12,1)),M327,0))))</f>
        <v>0</v>
      </c>
      <c r="O327" s="14" t="n">
        <f aca="false">IF(AND($A327&lt;&gt;"",$A327&lt;Parameters!$B$14),CityData!F4*(1+TAXRATE),0)</f>
        <v>0</v>
      </c>
      <c r="P327" s="14" t="n">
        <f aca="false">IF($A327="",0,IFERROR(VLOOKUP((YEAR($A327)+IF(MONTH($A327)&gt;=10,1,0))&amp;"|Chicago|"&amp;MONTH($A327),Rates!$A$2:$I$181,5,FALSE()),0))</f>
        <v>0</v>
      </c>
      <c r="Q327" s="14" t="n">
        <f aca="false">IF(OR($A327="",$A327&gt;=Parameters!$B$14),1,IF(AND(P327&gt;0,CityData!F4&lt;=P327),1,0))</f>
        <v>1</v>
      </c>
      <c r="R327" s="14" t="n">
        <f aca="false">IF($A327="",0,IFERROR(VLOOKUP((YEAR($A327)+IF(MONTH($A327)&gt;=10,1,0))&amp;"|Denver|"&amp;MONTH($A327),Rates!$A$2:$I$181,6,FALSE()),0))</f>
        <v>0</v>
      </c>
      <c r="S327" s="14" t="n">
        <f aca="false">IF(R327=0,0,VLOOKUP(R327,MIE_Components!$A$2:$F$6,2,FALSE()))</f>
        <v>0</v>
      </c>
      <c r="T327" s="14" t="n">
        <f aca="false">IF(R327=0,0,VLOOKUP(R327,MIE_Components!$A$2:$F$6,3,FALSE()))</f>
        <v>0</v>
      </c>
      <c r="U327" s="14" t="n">
        <f aca="false">IF(R327=0,0,VLOOKUP(R327,MIE_Components!$A$2:$F$6,4,FALSE()))</f>
        <v>0</v>
      </c>
      <c r="V327" s="14" t="n">
        <f aca="false">IF(OR($A327="",R327=0),0,MAX(5,R327*IF(OR($A327=Parameters!$B$13,$A327=Parameters!$B$14),0.75,1)-(IF(AND($A327=DATE(2026,11,29),NOV29BF="Yes"),S327,0)+IF(OR($A327=DATE(2026,11,29),$A327=DATE(2026,11,30),$A327=DATE(2026,12,1),$A327=DATE(2026,12,2)),T327,0)+IF(OR($A327=DATE(2026,11,28),$A327=DATE(2026,12,1)),U327,0))))</f>
        <v>0</v>
      </c>
      <c r="W327" s="14" t="n">
        <f aca="false">IF(AND($A327&lt;&gt;"",$A327&lt;Parameters!$B$14),CityData!F5*(1+TAXRATE),0)</f>
        <v>0</v>
      </c>
      <c r="X327" s="14" t="n">
        <f aca="false">IF($A327="",0,IFERROR(VLOOKUP((YEAR($A327)+IF(MONTH($A327)&gt;=10,1,0))&amp;"|Denver|"&amp;MONTH($A327),Rates!$A$2:$I$181,5,FALSE()),0))</f>
        <v>0</v>
      </c>
      <c r="Y327" s="14" t="n">
        <f aca="false">IF(OR($A327="",$A327&gt;=Parameters!$B$14),1,IF(AND(X327&gt;0,CityData!F5&lt;=X327),1,0))</f>
        <v>1</v>
      </c>
      <c r="Z327" s="14" t="n">
        <f aca="false">IF($A327="",0,IFERROR(VLOOKUP((YEAR($A327)+IF(MONTH($A327)&gt;=10,1,0))&amp;"|Phoenix|"&amp;MONTH($A327),Rates!$A$2:$I$181,6,FALSE()),0))</f>
        <v>0</v>
      </c>
      <c r="AA327" s="14" t="n">
        <f aca="false">IF(Z327=0,0,VLOOKUP(Z327,MIE_Components!$A$2:$F$6,2,FALSE()))</f>
        <v>0</v>
      </c>
      <c r="AB327" s="14" t="n">
        <f aca="false">IF(Z327=0,0,VLOOKUP(Z327,MIE_Components!$A$2:$F$6,3,FALSE()))</f>
        <v>0</v>
      </c>
      <c r="AC327" s="14" t="n">
        <f aca="false">IF(Z327=0,0,VLOOKUP(Z327,MIE_Components!$A$2:$F$6,4,FALSE()))</f>
        <v>0</v>
      </c>
      <c r="AD327" s="14" t="n">
        <f aca="false">IF(OR($A327="",Z327=0),0,MAX(5,Z327*IF(OR($A327=Parameters!$B$13,$A327=Parameters!$B$14),0.75,1)-(IF(AND($A327=DATE(2026,11,29),NOV29BF="Yes"),AA327,0)+IF(OR($A327=DATE(2026,11,29),$A327=DATE(2026,11,30),$A327=DATE(2026,12,1),$A327=DATE(2026,12,2)),AB327,0)+IF(OR($A327=DATE(2026,11,28),$A327=DATE(2026,12,1)),AC327,0))))</f>
        <v>0</v>
      </c>
      <c r="AE327" s="14" t="n">
        <f aca="false">IF(AND($A327&lt;&gt;"",$A327&lt;Parameters!$B$14),CityData!F6*(1+TAXRATE),0)</f>
        <v>0</v>
      </c>
      <c r="AF327" s="14" t="n">
        <f aca="false">IF($A327="",0,IFERROR(VLOOKUP((YEAR($A327)+IF(MONTH($A327)&gt;=10,1,0))&amp;"|Phoenix|"&amp;MONTH($A327),Rates!$A$2:$I$181,5,FALSE()),0))</f>
        <v>0</v>
      </c>
      <c r="AG327" s="14" t="n">
        <f aca="false">IF(OR($A327="",$A327&gt;=Parameters!$B$14),1,IF(AND(AF327&gt;0,CityData!F6&lt;=AF327),1,0))</f>
        <v>1</v>
      </c>
      <c r="AH327" s="14" t="n">
        <f aca="false">IF($A327="",0,IFERROR(VLOOKUP((YEAR($A327)+IF(MONTH($A327)&gt;=10,1,0))&amp;"|Seattle|"&amp;MONTH($A327),Rates!$A$2:$I$181,6,FALSE()),0))</f>
        <v>0</v>
      </c>
      <c r="AI327" s="14" t="n">
        <f aca="false">IF(AH327=0,0,VLOOKUP(AH327,MIE_Components!$A$2:$F$6,2,FALSE()))</f>
        <v>0</v>
      </c>
      <c r="AJ327" s="14" t="n">
        <f aca="false">IF(AH327=0,0,VLOOKUP(AH327,MIE_Components!$A$2:$F$6,3,FALSE()))</f>
        <v>0</v>
      </c>
      <c r="AK327" s="14" t="n">
        <f aca="false">IF(AH327=0,0,VLOOKUP(AH327,MIE_Components!$A$2:$F$6,4,FALSE()))</f>
        <v>0</v>
      </c>
      <c r="AL327" s="14" t="n">
        <f aca="false">IF(OR($A327="",AH327=0),0,MAX(5,AH327*IF(OR($A327=Parameters!$B$13,$A327=Parameters!$B$14),0.75,1)-(IF(AND($A327=DATE(2026,11,29),NOV29BF="Yes"),AI327,0)+IF(OR($A327=DATE(2026,11,29),$A327=DATE(2026,11,30),$A327=DATE(2026,12,1),$A327=DATE(2026,12,2)),AJ327,0)+IF(OR($A327=DATE(2026,11,28),$A327=DATE(2026,12,1)),AK327,0))))</f>
        <v>0</v>
      </c>
      <c r="AM327" s="14" t="n">
        <f aca="false">IF(AND($A327&lt;&gt;"",$A327&lt;Parameters!$B$14),CityData!F7*(1+TAXRATE),0)</f>
        <v>0</v>
      </c>
      <c r="AN327" s="14" t="n">
        <f aca="false">IF($A327="",0,IFERROR(VLOOKUP((YEAR($A327)+IF(MONTH($A327)&gt;=10,1,0))&amp;"|Seattle|"&amp;MONTH($A327),Rates!$A$2:$I$181,5,FALSE()),0))</f>
        <v>0</v>
      </c>
      <c r="AO327" s="14" t="n">
        <f aca="false">IF(OR($A327="",$A327&gt;=Parameters!$B$14),1,IF(AND(AN327&gt;0,CityData!F7&lt;=AN327),1,0))</f>
        <v>1</v>
      </c>
    </row>
    <row r="328" customFormat="false" ht="15" hidden="false" customHeight="true" outlineLevel="0" collapsed="false">
      <c r="A328" s="23" t="str">
        <f aca="false">IF(AND(Parameters!$B$14&gt;=Parameters!$B$13,ROW()-2&lt;=Parameters!$B$14-Parameters!$B$13),Parameters!$B$13+ROW()-2,"")</f>
        <v/>
      </c>
      <c r="B328" s="14" t="n">
        <f aca="false">IF($A328="",0,IFERROR(VLOOKUP((YEAR($A328)+IF(MONTH($A328)&gt;=10,1,0))&amp;"|Boston|"&amp;MONTH($A328),Rates!$A$2:$I$181,6,FALSE()),0))</f>
        <v>0</v>
      </c>
      <c r="C328" s="14" t="n">
        <f aca="false">IF(B328=0,0,VLOOKUP(B328,MIE_Components!$A$2:$F$6,2,FALSE()))</f>
        <v>0</v>
      </c>
      <c r="D328" s="14" t="n">
        <f aca="false">IF(B328=0,0,VLOOKUP(B328,MIE_Components!$A$2:$F$6,3,FALSE()))</f>
        <v>0</v>
      </c>
      <c r="E328" s="14" t="n">
        <f aca="false">IF(B328=0,0,VLOOKUP(B328,MIE_Components!$A$2:$F$6,4,FALSE()))</f>
        <v>0</v>
      </c>
      <c r="F328" s="14" t="n">
        <f aca="false">IF(OR($A328="",B328=0),0,MAX(5,B328*IF(OR($A328=Parameters!$B$13,$A328=Parameters!$B$14),0.75,1)-(IF(AND($A328=DATE(2026,11,29),NOV29BF="Yes"),C328,0)+IF(OR($A328=DATE(2026,11,29),$A328=DATE(2026,11,30),$A328=DATE(2026,12,1),$A328=DATE(2026,12,2)),D328,0)+IF(OR($A328=DATE(2026,11,28),$A328=DATE(2026,12,1)),E328,0))))</f>
        <v>0</v>
      </c>
      <c r="G328" s="14" t="n">
        <f aca="false">IF(AND($A328&lt;&gt;"",$A328&lt;Parameters!$B$14),CityData!F3*(1+TAXRATE),0)</f>
        <v>0</v>
      </c>
      <c r="H328" s="14" t="n">
        <f aca="false">IF($A328="",0,IFERROR(VLOOKUP((YEAR($A328)+IF(MONTH($A328)&gt;=10,1,0))&amp;"|Boston|"&amp;MONTH($A328),Rates!$A$2:$I$181,5,FALSE()),0))</f>
        <v>0</v>
      </c>
      <c r="I328" s="14" t="n">
        <f aca="false">IF(OR($A328="",$A328&gt;=Parameters!$B$14),1,IF(AND(H328&gt;0,CityData!F3&lt;=H328),1,0))</f>
        <v>1</v>
      </c>
      <c r="J328" s="14" t="n">
        <f aca="false">IF($A328="",0,IFERROR(VLOOKUP((YEAR($A328)+IF(MONTH($A328)&gt;=10,1,0))&amp;"|Chicago|"&amp;MONTH($A328),Rates!$A$2:$I$181,6,FALSE()),0))</f>
        <v>0</v>
      </c>
      <c r="K328" s="14" t="n">
        <f aca="false">IF(J328=0,0,VLOOKUP(J328,MIE_Components!$A$2:$F$6,2,FALSE()))</f>
        <v>0</v>
      </c>
      <c r="L328" s="14" t="n">
        <f aca="false">IF(J328=0,0,VLOOKUP(J328,MIE_Components!$A$2:$F$6,3,FALSE()))</f>
        <v>0</v>
      </c>
      <c r="M328" s="14" t="n">
        <f aca="false">IF(J328=0,0,VLOOKUP(J328,MIE_Components!$A$2:$F$6,4,FALSE()))</f>
        <v>0</v>
      </c>
      <c r="N328" s="14" t="n">
        <f aca="false">IF(OR($A328="",J328=0),0,MAX(5,J328*IF(OR($A328=Parameters!$B$13,$A328=Parameters!$B$14),0.75,1)-(IF(AND($A328=DATE(2026,11,29),NOV29BF="Yes"),K328,0)+IF(OR($A328=DATE(2026,11,29),$A328=DATE(2026,11,30),$A328=DATE(2026,12,1),$A328=DATE(2026,12,2)),L328,0)+IF(OR($A328=DATE(2026,11,28),$A328=DATE(2026,12,1)),M328,0))))</f>
        <v>0</v>
      </c>
      <c r="O328" s="14" t="n">
        <f aca="false">IF(AND($A328&lt;&gt;"",$A328&lt;Parameters!$B$14),CityData!F4*(1+TAXRATE),0)</f>
        <v>0</v>
      </c>
      <c r="P328" s="14" t="n">
        <f aca="false">IF($A328="",0,IFERROR(VLOOKUP((YEAR($A328)+IF(MONTH($A328)&gt;=10,1,0))&amp;"|Chicago|"&amp;MONTH($A328),Rates!$A$2:$I$181,5,FALSE()),0))</f>
        <v>0</v>
      </c>
      <c r="Q328" s="14" t="n">
        <f aca="false">IF(OR($A328="",$A328&gt;=Parameters!$B$14),1,IF(AND(P328&gt;0,CityData!F4&lt;=P328),1,0))</f>
        <v>1</v>
      </c>
      <c r="R328" s="14" t="n">
        <f aca="false">IF($A328="",0,IFERROR(VLOOKUP((YEAR($A328)+IF(MONTH($A328)&gt;=10,1,0))&amp;"|Denver|"&amp;MONTH($A328),Rates!$A$2:$I$181,6,FALSE()),0))</f>
        <v>0</v>
      </c>
      <c r="S328" s="14" t="n">
        <f aca="false">IF(R328=0,0,VLOOKUP(R328,MIE_Components!$A$2:$F$6,2,FALSE()))</f>
        <v>0</v>
      </c>
      <c r="T328" s="14" t="n">
        <f aca="false">IF(R328=0,0,VLOOKUP(R328,MIE_Components!$A$2:$F$6,3,FALSE()))</f>
        <v>0</v>
      </c>
      <c r="U328" s="14" t="n">
        <f aca="false">IF(R328=0,0,VLOOKUP(R328,MIE_Components!$A$2:$F$6,4,FALSE()))</f>
        <v>0</v>
      </c>
      <c r="V328" s="14" t="n">
        <f aca="false">IF(OR($A328="",R328=0),0,MAX(5,R328*IF(OR($A328=Parameters!$B$13,$A328=Parameters!$B$14),0.75,1)-(IF(AND($A328=DATE(2026,11,29),NOV29BF="Yes"),S328,0)+IF(OR($A328=DATE(2026,11,29),$A328=DATE(2026,11,30),$A328=DATE(2026,12,1),$A328=DATE(2026,12,2)),T328,0)+IF(OR($A328=DATE(2026,11,28),$A328=DATE(2026,12,1)),U328,0))))</f>
        <v>0</v>
      </c>
      <c r="W328" s="14" t="n">
        <f aca="false">IF(AND($A328&lt;&gt;"",$A328&lt;Parameters!$B$14),CityData!F5*(1+TAXRATE),0)</f>
        <v>0</v>
      </c>
      <c r="X328" s="14" t="n">
        <f aca="false">IF($A328="",0,IFERROR(VLOOKUP((YEAR($A328)+IF(MONTH($A328)&gt;=10,1,0))&amp;"|Denver|"&amp;MONTH($A328),Rates!$A$2:$I$181,5,FALSE()),0))</f>
        <v>0</v>
      </c>
      <c r="Y328" s="14" t="n">
        <f aca="false">IF(OR($A328="",$A328&gt;=Parameters!$B$14),1,IF(AND(X328&gt;0,CityData!F5&lt;=X328),1,0))</f>
        <v>1</v>
      </c>
      <c r="Z328" s="14" t="n">
        <f aca="false">IF($A328="",0,IFERROR(VLOOKUP((YEAR($A328)+IF(MONTH($A328)&gt;=10,1,0))&amp;"|Phoenix|"&amp;MONTH($A328),Rates!$A$2:$I$181,6,FALSE()),0))</f>
        <v>0</v>
      </c>
      <c r="AA328" s="14" t="n">
        <f aca="false">IF(Z328=0,0,VLOOKUP(Z328,MIE_Components!$A$2:$F$6,2,FALSE()))</f>
        <v>0</v>
      </c>
      <c r="AB328" s="14" t="n">
        <f aca="false">IF(Z328=0,0,VLOOKUP(Z328,MIE_Components!$A$2:$F$6,3,FALSE()))</f>
        <v>0</v>
      </c>
      <c r="AC328" s="14" t="n">
        <f aca="false">IF(Z328=0,0,VLOOKUP(Z328,MIE_Components!$A$2:$F$6,4,FALSE()))</f>
        <v>0</v>
      </c>
      <c r="AD328" s="14" t="n">
        <f aca="false">IF(OR($A328="",Z328=0),0,MAX(5,Z328*IF(OR($A328=Parameters!$B$13,$A328=Parameters!$B$14),0.75,1)-(IF(AND($A328=DATE(2026,11,29),NOV29BF="Yes"),AA328,0)+IF(OR($A328=DATE(2026,11,29),$A328=DATE(2026,11,30),$A328=DATE(2026,12,1),$A328=DATE(2026,12,2)),AB328,0)+IF(OR($A328=DATE(2026,11,28),$A328=DATE(2026,12,1)),AC328,0))))</f>
        <v>0</v>
      </c>
      <c r="AE328" s="14" t="n">
        <f aca="false">IF(AND($A328&lt;&gt;"",$A328&lt;Parameters!$B$14),CityData!F6*(1+TAXRATE),0)</f>
        <v>0</v>
      </c>
      <c r="AF328" s="14" t="n">
        <f aca="false">IF($A328="",0,IFERROR(VLOOKUP((YEAR($A328)+IF(MONTH($A328)&gt;=10,1,0))&amp;"|Phoenix|"&amp;MONTH($A328),Rates!$A$2:$I$181,5,FALSE()),0))</f>
        <v>0</v>
      </c>
      <c r="AG328" s="14" t="n">
        <f aca="false">IF(OR($A328="",$A328&gt;=Parameters!$B$14),1,IF(AND(AF328&gt;0,CityData!F6&lt;=AF328),1,0))</f>
        <v>1</v>
      </c>
      <c r="AH328" s="14" t="n">
        <f aca="false">IF($A328="",0,IFERROR(VLOOKUP((YEAR($A328)+IF(MONTH($A328)&gt;=10,1,0))&amp;"|Seattle|"&amp;MONTH($A328),Rates!$A$2:$I$181,6,FALSE()),0))</f>
        <v>0</v>
      </c>
      <c r="AI328" s="14" t="n">
        <f aca="false">IF(AH328=0,0,VLOOKUP(AH328,MIE_Components!$A$2:$F$6,2,FALSE()))</f>
        <v>0</v>
      </c>
      <c r="AJ328" s="14" t="n">
        <f aca="false">IF(AH328=0,0,VLOOKUP(AH328,MIE_Components!$A$2:$F$6,3,FALSE()))</f>
        <v>0</v>
      </c>
      <c r="AK328" s="14" t="n">
        <f aca="false">IF(AH328=0,0,VLOOKUP(AH328,MIE_Components!$A$2:$F$6,4,FALSE()))</f>
        <v>0</v>
      </c>
      <c r="AL328" s="14" t="n">
        <f aca="false">IF(OR($A328="",AH328=0),0,MAX(5,AH328*IF(OR($A328=Parameters!$B$13,$A328=Parameters!$B$14),0.75,1)-(IF(AND($A328=DATE(2026,11,29),NOV29BF="Yes"),AI328,0)+IF(OR($A328=DATE(2026,11,29),$A328=DATE(2026,11,30),$A328=DATE(2026,12,1),$A328=DATE(2026,12,2)),AJ328,0)+IF(OR($A328=DATE(2026,11,28),$A328=DATE(2026,12,1)),AK328,0))))</f>
        <v>0</v>
      </c>
      <c r="AM328" s="14" t="n">
        <f aca="false">IF(AND($A328&lt;&gt;"",$A328&lt;Parameters!$B$14),CityData!F7*(1+TAXRATE),0)</f>
        <v>0</v>
      </c>
      <c r="AN328" s="14" t="n">
        <f aca="false">IF($A328="",0,IFERROR(VLOOKUP((YEAR($A328)+IF(MONTH($A328)&gt;=10,1,0))&amp;"|Seattle|"&amp;MONTH($A328),Rates!$A$2:$I$181,5,FALSE()),0))</f>
        <v>0</v>
      </c>
      <c r="AO328" s="14" t="n">
        <f aca="false">IF(OR($A328="",$A328&gt;=Parameters!$B$14),1,IF(AND(AN328&gt;0,CityData!F7&lt;=AN328),1,0))</f>
        <v>1</v>
      </c>
    </row>
    <row r="329" customFormat="false" ht="15" hidden="false" customHeight="true" outlineLevel="0" collapsed="false">
      <c r="A329" s="23" t="str">
        <f aca="false">IF(AND(Parameters!$B$14&gt;=Parameters!$B$13,ROW()-2&lt;=Parameters!$B$14-Parameters!$B$13),Parameters!$B$13+ROW()-2,"")</f>
        <v/>
      </c>
      <c r="B329" s="14" t="n">
        <f aca="false">IF($A329="",0,IFERROR(VLOOKUP((YEAR($A329)+IF(MONTH($A329)&gt;=10,1,0))&amp;"|Boston|"&amp;MONTH($A329),Rates!$A$2:$I$181,6,FALSE()),0))</f>
        <v>0</v>
      </c>
      <c r="C329" s="14" t="n">
        <f aca="false">IF(B329=0,0,VLOOKUP(B329,MIE_Components!$A$2:$F$6,2,FALSE()))</f>
        <v>0</v>
      </c>
      <c r="D329" s="14" t="n">
        <f aca="false">IF(B329=0,0,VLOOKUP(B329,MIE_Components!$A$2:$F$6,3,FALSE()))</f>
        <v>0</v>
      </c>
      <c r="E329" s="14" t="n">
        <f aca="false">IF(B329=0,0,VLOOKUP(B329,MIE_Components!$A$2:$F$6,4,FALSE()))</f>
        <v>0</v>
      </c>
      <c r="F329" s="14" t="n">
        <f aca="false">IF(OR($A329="",B329=0),0,MAX(5,B329*IF(OR($A329=Parameters!$B$13,$A329=Parameters!$B$14),0.75,1)-(IF(AND($A329=DATE(2026,11,29),NOV29BF="Yes"),C329,0)+IF(OR($A329=DATE(2026,11,29),$A329=DATE(2026,11,30),$A329=DATE(2026,12,1),$A329=DATE(2026,12,2)),D329,0)+IF(OR($A329=DATE(2026,11,28),$A329=DATE(2026,12,1)),E329,0))))</f>
        <v>0</v>
      </c>
      <c r="G329" s="14" t="n">
        <f aca="false">IF(AND($A329&lt;&gt;"",$A329&lt;Parameters!$B$14),CityData!F3*(1+TAXRATE),0)</f>
        <v>0</v>
      </c>
      <c r="H329" s="14" t="n">
        <f aca="false">IF($A329="",0,IFERROR(VLOOKUP((YEAR($A329)+IF(MONTH($A329)&gt;=10,1,0))&amp;"|Boston|"&amp;MONTH($A329),Rates!$A$2:$I$181,5,FALSE()),0))</f>
        <v>0</v>
      </c>
      <c r="I329" s="14" t="n">
        <f aca="false">IF(OR($A329="",$A329&gt;=Parameters!$B$14),1,IF(AND(H329&gt;0,CityData!F3&lt;=H329),1,0))</f>
        <v>1</v>
      </c>
      <c r="J329" s="14" t="n">
        <f aca="false">IF($A329="",0,IFERROR(VLOOKUP((YEAR($A329)+IF(MONTH($A329)&gt;=10,1,0))&amp;"|Chicago|"&amp;MONTH($A329),Rates!$A$2:$I$181,6,FALSE()),0))</f>
        <v>0</v>
      </c>
      <c r="K329" s="14" t="n">
        <f aca="false">IF(J329=0,0,VLOOKUP(J329,MIE_Components!$A$2:$F$6,2,FALSE()))</f>
        <v>0</v>
      </c>
      <c r="L329" s="14" t="n">
        <f aca="false">IF(J329=0,0,VLOOKUP(J329,MIE_Components!$A$2:$F$6,3,FALSE()))</f>
        <v>0</v>
      </c>
      <c r="M329" s="14" t="n">
        <f aca="false">IF(J329=0,0,VLOOKUP(J329,MIE_Components!$A$2:$F$6,4,FALSE()))</f>
        <v>0</v>
      </c>
      <c r="N329" s="14" t="n">
        <f aca="false">IF(OR($A329="",J329=0),0,MAX(5,J329*IF(OR($A329=Parameters!$B$13,$A329=Parameters!$B$14),0.75,1)-(IF(AND($A329=DATE(2026,11,29),NOV29BF="Yes"),K329,0)+IF(OR($A329=DATE(2026,11,29),$A329=DATE(2026,11,30),$A329=DATE(2026,12,1),$A329=DATE(2026,12,2)),L329,0)+IF(OR($A329=DATE(2026,11,28),$A329=DATE(2026,12,1)),M329,0))))</f>
        <v>0</v>
      </c>
      <c r="O329" s="14" t="n">
        <f aca="false">IF(AND($A329&lt;&gt;"",$A329&lt;Parameters!$B$14),CityData!F4*(1+TAXRATE),0)</f>
        <v>0</v>
      </c>
      <c r="P329" s="14" t="n">
        <f aca="false">IF($A329="",0,IFERROR(VLOOKUP((YEAR($A329)+IF(MONTH($A329)&gt;=10,1,0))&amp;"|Chicago|"&amp;MONTH($A329),Rates!$A$2:$I$181,5,FALSE()),0))</f>
        <v>0</v>
      </c>
      <c r="Q329" s="14" t="n">
        <f aca="false">IF(OR($A329="",$A329&gt;=Parameters!$B$14),1,IF(AND(P329&gt;0,CityData!F4&lt;=P329),1,0))</f>
        <v>1</v>
      </c>
      <c r="R329" s="14" t="n">
        <f aca="false">IF($A329="",0,IFERROR(VLOOKUP((YEAR($A329)+IF(MONTH($A329)&gt;=10,1,0))&amp;"|Denver|"&amp;MONTH($A329),Rates!$A$2:$I$181,6,FALSE()),0))</f>
        <v>0</v>
      </c>
      <c r="S329" s="14" t="n">
        <f aca="false">IF(R329=0,0,VLOOKUP(R329,MIE_Components!$A$2:$F$6,2,FALSE()))</f>
        <v>0</v>
      </c>
      <c r="T329" s="14" t="n">
        <f aca="false">IF(R329=0,0,VLOOKUP(R329,MIE_Components!$A$2:$F$6,3,FALSE()))</f>
        <v>0</v>
      </c>
      <c r="U329" s="14" t="n">
        <f aca="false">IF(R329=0,0,VLOOKUP(R329,MIE_Components!$A$2:$F$6,4,FALSE()))</f>
        <v>0</v>
      </c>
      <c r="V329" s="14" t="n">
        <f aca="false">IF(OR($A329="",R329=0),0,MAX(5,R329*IF(OR($A329=Parameters!$B$13,$A329=Parameters!$B$14),0.75,1)-(IF(AND($A329=DATE(2026,11,29),NOV29BF="Yes"),S329,0)+IF(OR($A329=DATE(2026,11,29),$A329=DATE(2026,11,30),$A329=DATE(2026,12,1),$A329=DATE(2026,12,2)),T329,0)+IF(OR($A329=DATE(2026,11,28),$A329=DATE(2026,12,1)),U329,0))))</f>
        <v>0</v>
      </c>
      <c r="W329" s="14" t="n">
        <f aca="false">IF(AND($A329&lt;&gt;"",$A329&lt;Parameters!$B$14),CityData!F5*(1+TAXRATE),0)</f>
        <v>0</v>
      </c>
      <c r="X329" s="14" t="n">
        <f aca="false">IF($A329="",0,IFERROR(VLOOKUP((YEAR($A329)+IF(MONTH($A329)&gt;=10,1,0))&amp;"|Denver|"&amp;MONTH($A329),Rates!$A$2:$I$181,5,FALSE()),0))</f>
        <v>0</v>
      </c>
      <c r="Y329" s="14" t="n">
        <f aca="false">IF(OR($A329="",$A329&gt;=Parameters!$B$14),1,IF(AND(X329&gt;0,CityData!F5&lt;=X329),1,0))</f>
        <v>1</v>
      </c>
      <c r="Z329" s="14" t="n">
        <f aca="false">IF($A329="",0,IFERROR(VLOOKUP((YEAR($A329)+IF(MONTH($A329)&gt;=10,1,0))&amp;"|Phoenix|"&amp;MONTH($A329),Rates!$A$2:$I$181,6,FALSE()),0))</f>
        <v>0</v>
      </c>
      <c r="AA329" s="14" t="n">
        <f aca="false">IF(Z329=0,0,VLOOKUP(Z329,MIE_Components!$A$2:$F$6,2,FALSE()))</f>
        <v>0</v>
      </c>
      <c r="AB329" s="14" t="n">
        <f aca="false">IF(Z329=0,0,VLOOKUP(Z329,MIE_Components!$A$2:$F$6,3,FALSE()))</f>
        <v>0</v>
      </c>
      <c r="AC329" s="14" t="n">
        <f aca="false">IF(Z329=0,0,VLOOKUP(Z329,MIE_Components!$A$2:$F$6,4,FALSE()))</f>
        <v>0</v>
      </c>
      <c r="AD329" s="14" t="n">
        <f aca="false">IF(OR($A329="",Z329=0),0,MAX(5,Z329*IF(OR($A329=Parameters!$B$13,$A329=Parameters!$B$14),0.75,1)-(IF(AND($A329=DATE(2026,11,29),NOV29BF="Yes"),AA329,0)+IF(OR($A329=DATE(2026,11,29),$A329=DATE(2026,11,30),$A329=DATE(2026,12,1),$A329=DATE(2026,12,2)),AB329,0)+IF(OR($A329=DATE(2026,11,28),$A329=DATE(2026,12,1)),AC329,0))))</f>
        <v>0</v>
      </c>
      <c r="AE329" s="14" t="n">
        <f aca="false">IF(AND($A329&lt;&gt;"",$A329&lt;Parameters!$B$14),CityData!F6*(1+TAXRATE),0)</f>
        <v>0</v>
      </c>
      <c r="AF329" s="14" t="n">
        <f aca="false">IF($A329="",0,IFERROR(VLOOKUP((YEAR($A329)+IF(MONTH($A329)&gt;=10,1,0))&amp;"|Phoenix|"&amp;MONTH($A329),Rates!$A$2:$I$181,5,FALSE()),0))</f>
        <v>0</v>
      </c>
      <c r="AG329" s="14" t="n">
        <f aca="false">IF(OR($A329="",$A329&gt;=Parameters!$B$14),1,IF(AND(AF329&gt;0,CityData!F6&lt;=AF329),1,0))</f>
        <v>1</v>
      </c>
      <c r="AH329" s="14" t="n">
        <f aca="false">IF($A329="",0,IFERROR(VLOOKUP((YEAR($A329)+IF(MONTH($A329)&gt;=10,1,0))&amp;"|Seattle|"&amp;MONTH($A329),Rates!$A$2:$I$181,6,FALSE()),0))</f>
        <v>0</v>
      </c>
      <c r="AI329" s="14" t="n">
        <f aca="false">IF(AH329=0,0,VLOOKUP(AH329,MIE_Components!$A$2:$F$6,2,FALSE()))</f>
        <v>0</v>
      </c>
      <c r="AJ329" s="14" t="n">
        <f aca="false">IF(AH329=0,0,VLOOKUP(AH329,MIE_Components!$A$2:$F$6,3,FALSE()))</f>
        <v>0</v>
      </c>
      <c r="AK329" s="14" t="n">
        <f aca="false">IF(AH329=0,0,VLOOKUP(AH329,MIE_Components!$A$2:$F$6,4,FALSE()))</f>
        <v>0</v>
      </c>
      <c r="AL329" s="14" t="n">
        <f aca="false">IF(OR($A329="",AH329=0),0,MAX(5,AH329*IF(OR($A329=Parameters!$B$13,$A329=Parameters!$B$14),0.75,1)-(IF(AND($A329=DATE(2026,11,29),NOV29BF="Yes"),AI329,0)+IF(OR($A329=DATE(2026,11,29),$A329=DATE(2026,11,30),$A329=DATE(2026,12,1),$A329=DATE(2026,12,2)),AJ329,0)+IF(OR($A329=DATE(2026,11,28),$A329=DATE(2026,12,1)),AK329,0))))</f>
        <v>0</v>
      </c>
      <c r="AM329" s="14" t="n">
        <f aca="false">IF(AND($A329&lt;&gt;"",$A329&lt;Parameters!$B$14),CityData!F7*(1+TAXRATE),0)</f>
        <v>0</v>
      </c>
      <c r="AN329" s="14" t="n">
        <f aca="false">IF($A329="",0,IFERROR(VLOOKUP((YEAR($A329)+IF(MONTH($A329)&gt;=10,1,0))&amp;"|Seattle|"&amp;MONTH($A329),Rates!$A$2:$I$181,5,FALSE()),0))</f>
        <v>0</v>
      </c>
      <c r="AO329" s="14" t="n">
        <f aca="false">IF(OR($A329="",$A329&gt;=Parameters!$B$14),1,IF(AND(AN329&gt;0,CityData!F7&lt;=AN329),1,0))</f>
        <v>1</v>
      </c>
    </row>
    <row r="330" customFormat="false" ht="15" hidden="false" customHeight="true" outlineLevel="0" collapsed="false">
      <c r="A330" s="23" t="str">
        <f aca="false">IF(AND(Parameters!$B$14&gt;=Parameters!$B$13,ROW()-2&lt;=Parameters!$B$14-Parameters!$B$13),Parameters!$B$13+ROW()-2,"")</f>
        <v/>
      </c>
      <c r="B330" s="14" t="n">
        <f aca="false">IF($A330="",0,IFERROR(VLOOKUP((YEAR($A330)+IF(MONTH($A330)&gt;=10,1,0))&amp;"|Boston|"&amp;MONTH($A330),Rates!$A$2:$I$181,6,FALSE()),0))</f>
        <v>0</v>
      </c>
      <c r="C330" s="14" t="n">
        <f aca="false">IF(B330=0,0,VLOOKUP(B330,MIE_Components!$A$2:$F$6,2,FALSE()))</f>
        <v>0</v>
      </c>
      <c r="D330" s="14" t="n">
        <f aca="false">IF(B330=0,0,VLOOKUP(B330,MIE_Components!$A$2:$F$6,3,FALSE()))</f>
        <v>0</v>
      </c>
      <c r="E330" s="14" t="n">
        <f aca="false">IF(B330=0,0,VLOOKUP(B330,MIE_Components!$A$2:$F$6,4,FALSE()))</f>
        <v>0</v>
      </c>
      <c r="F330" s="14" t="n">
        <f aca="false">IF(OR($A330="",B330=0),0,MAX(5,B330*IF(OR($A330=Parameters!$B$13,$A330=Parameters!$B$14),0.75,1)-(IF(AND($A330=DATE(2026,11,29),NOV29BF="Yes"),C330,0)+IF(OR($A330=DATE(2026,11,29),$A330=DATE(2026,11,30),$A330=DATE(2026,12,1),$A330=DATE(2026,12,2)),D330,0)+IF(OR($A330=DATE(2026,11,28),$A330=DATE(2026,12,1)),E330,0))))</f>
        <v>0</v>
      </c>
      <c r="G330" s="14" t="n">
        <f aca="false">IF(AND($A330&lt;&gt;"",$A330&lt;Parameters!$B$14),CityData!F3*(1+TAXRATE),0)</f>
        <v>0</v>
      </c>
      <c r="H330" s="14" t="n">
        <f aca="false">IF($A330="",0,IFERROR(VLOOKUP((YEAR($A330)+IF(MONTH($A330)&gt;=10,1,0))&amp;"|Boston|"&amp;MONTH($A330),Rates!$A$2:$I$181,5,FALSE()),0))</f>
        <v>0</v>
      </c>
      <c r="I330" s="14" t="n">
        <f aca="false">IF(OR($A330="",$A330&gt;=Parameters!$B$14),1,IF(AND(H330&gt;0,CityData!F3&lt;=H330),1,0))</f>
        <v>1</v>
      </c>
      <c r="J330" s="14" t="n">
        <f aca="false">IF($A330="",0,IFERROR(VLOOKUP((YEAR($A330)+IF(MONTH($A330)&gt;=10,1,0))&amp;"|Chicago|"&amp;MONTH($A330),Rates!$A$2:$I$181,6,FALSE()),0))</f>
        <v>0</v>
      </c>
      <c r="K330" s="14" t="n">
        <f aca="false">IF(J330=0,0,VLOOKUP(J330,MIE_Components!$A$2:$F$6,2,FALSE()))</f>
        <v>0</v>
      </c>
      <c r="L330" s="14" t="n">
        <f aca="false">IF(J330=0,0,VLOOKUP(J330,MIE_Components!$A$2:$F$6,3,FALSE()))</f>
        <v>0</v>
      </c>
      <c r="M330" s="14" t="n">
        <f aca="false">IF(J330=0,0,VLOOKUP(J330,MIE_Components!$A$2:$F$6,4,FALSE()))</f>
        <v>0</v>
      </c>
      <c r="N330" s="14" t="n">
        <f aca="false">IF(OR($A330="",J330=0),0,MAX(5,J330*IF(OR($A330=Parameters!$B$13,$A330=Parameters!$B$14),0.75,1)-(IF(AND($A330=DATE(2026,11,29),NOV29BF="Yes"),K330,0)+IF(OR($A330=DATE(2026,11,29),$A330=DATE(2026,11,30),$A330=DATE(2026,12,1),$A330=DATE(2026,12,2)),L330,0)+IF(OR($A330=DATE(2026,11,28),$A330=DATE(2026,12,1)),M330,0))))</f>
        <v>0</v>
      </c>
      <c r="O330" s="14" t="n">
        <f aca="false">IF(AND($A330&lt;&gt;"",$A330&lt;Parameters!$B$14),CityData!F4*(1+TAXRATE),0)</f>
        <v>0</v>
      </c>
      <c r="P330" s="14" t="n">
        <f aca="false">IF($A330="",0,IFERROR(VLOOKUP((YEAR($A330)+IF(MONTH($A330)&gt;=10,1,0))&amp;"|Chicago|"&amp;MONTH($A330),Rates!$A$2:$I$181,5,FALSE()),0))</f>
        <v>0</v>
      </c>
      <c r="Q330" s="14" t="n">
        <f aca="false">IF(OR($A330="",$A330&gt;=Parameters!$B$14),1,IF(AND(P330&gt;0,CityData!F4&lt;=P330),1,0))</f>
        <v>1</v>
      </c>
      <c r="R330" s="14" t="n">
        <f aca="false">IF($A330="",0,IFERROR(VLOOKUP((YEAR($A330)+IF(MONTH($A330)&gt;=10,1,0))&amp;"|Denver|"&amp;MONTH($A330),Rates!$A$2:$I$181,6,FALSE()),0))</f>
        <v>0</v>
      </c>
      <c r="S330" s="14" t="n">
        <f aca="false">IF(R330=0,0,VLOOKUP(R330,MIE_Components!$A$2:$F$6,2,FALSE()))</f>
        <v>0</v>
      </c>
      <c r="T330" s="14" t="n">
        <f aca="false">IF(R330=0,0,VLOOKUP(R330,MIE_Components!$A$2:$F$6,3,FALSE()))</f>
        <v>0</v>
      </c>
      <c r="U330" s="14" t="n">
        <f aca="false">IF(R330=0,0,VLOOKUP(R330,MIE_Components!$A$2:$F$6,4,FALSE()))</f>
        <v>0</v>
      </c>
      <c r="V330" s="14" t="n">
        <f aca="false">IF(OR($A330="",R330=0),0,MAX(5,R330*IF(OR($A330=Parameters!$B$13,$A330=Parameters!$B$14),0.75,1)-(IF(AND($A330=DATE(2026,11,29),NOV29BF="Yes"),S330,0)+IF(OR($A330=DATE(2026,11,29),$A330=DATE(2026,11,30),$A330=DATE(2026,12,1),$A330=DATE(2026,12,2)),T330,0)+IF(OR($A330=DATE(2026,11,28),$A330=DATE(2026,12,1)),U330,0))))</f>
        <v>0</v>
      </c>
      <c r="W330" s="14" t="n">
        <f aca="false">IF(AND($A330&lt;&gt;"",$A330&lt;Parameters!$B$14),CityData!F5*(1+TAXRATE),0)</f>
        <v>0</v>
      </c>
      <c r="X330" s="14" t="n">
        <f aca="false">IF($A330="",0,IFERROR(VLOOKUP((YEAR($A330)+IF(MONTH($A330)&gt;=10,1,0))&amp;"|Denver|"&amp;MONTH($A330),Rates!$A$2:$I$181,5,FALSE()),0))</f>
        <v>0</v>
      </c>
      <c r="Y330" s="14" t="n">
        <f aca="false">IF(OR($A330="",$A330&gt;=Parameters!$B$14),1,IF(AND(X330&gt;0,CityData!F5&lt;=X330),1,0))</f>
        <v>1</v>
      </c>
      <c r="Z330" s="14" t="n">
        <f aca="false">IF($A330="",0,IFERROR(VLOOKUP((YEAR($A330)+IF(MONTH($A330)&gt;=10,1,0))&amp;"|Phoenix|"&amp;MONTH($A330),Rates!$A$2:$I$181,6,FALSE()),0))</f>
        <v>0</v>
      </c>
      <c r="AA330" s="14" t="n">
        <f aca="false">IF(Z330=0,0,VLOOKUP(Z330,MIE_Components!$A$2:$F$6,2,FALSE()))</f>
        <v>0</v>
      </c>
      <c r="AB330" s="14" t="n">
        <f aca="false">IF(Z330=0,0,VLOOKUP(Z330,MIE_Components!$A$2:$F$6,3,FALSE()))</f>
        <v>0</v>
      </c>
      <c r="AC330" s="14" t="n">
        <f aca="false">IF(Z330=0,0,VLOOKUP(Z330,MIE_Components!$A$2:$F$6,4,FALSE()))</f>
        <v>0</v>
      </c>
      <c r="AD330" s="14" t="n">
        <f aca="false">IF(OR($A330="",Z330=0),0,MAX(5,Z330*IF(OR($A330=Parameters!$B$13,$A330=Parameters!$B$14),0.75,1)-(IF(AND($A330=DATE(2026,11,29),NOV29BF="Yes"),AA330,0)+IF(OR($A330=DATE(2026,11,29),$A330=DATE(2026,11,30),$A330=DATE(2026,12,1),$A330=DATE(2026,12,2)),AB330,0)+IF(OR($A330=DATE(2026,11,28),$A330=DATE(2026,12,1)),AC330,0))))</f>
        <v>0</v>
      </c>
      <c r="AE330" s="14" t="n">
        <f aca="false">IF(AND($A330&lt;&gt;"",$A330&lt;Parameters!$B$14),CityData!F6*(1+TAXRATE),0)</f>
        <v>0</v>
      </c>
      <c r="AF330" s="14" t="n">
        <f aca="false">IF($A330="",0,IFERROR(VLOOKUP((YEAR($A330)+IF(MONTH($A330)&gt;=10,1,0))&amp;"|Phoenix|"&amp;MONTH($A330),Rates!$A$2:$I$181,5,FALSE()),0))</f>
        <v>0</v>
      </c>
      <c r="AG330" s="14" t="n">
        <f aca="false">IF(OR($A330="",$A330&gt;=Parameters!$B$14),1,IF(AND(AF330&gt;0,CityData!F6&lt;=AF330),1,0))</f>
        <v>1</v>
      </c>
      <c r="AH330" s="14" t="n">
        <f aca="false">IF($A330="",0,IFERROR(VLOOKUP((YEAR($A330)+IF(MONTH($A330)&gt;=10,1,0))&amp;"|Seattle|"&amp;MONTH($A330),Rates!$A$2:$I$181,6,FALSE()),0))</f>
        <v>0</v>
      </c>
      <c r="AI330" s="14" t="n">
        <f aca="false">IF(AH330=0,0,VLOOKUP(AH330,MIE_Components!$A$2:$F$6,2,FALSE()))</f>
        <v>0</v>
      </c>
      <c r="AJ330" s="14" t="n">
        <f aca="false">IF(AH330=0,0,VLOOKUP(AH330,MIE_Components!$A$2:$F$6,3,FALSE()))</f>
        <v>0</v>
      </c>
      <c r="AK330" s="14" t="n">
        <f aca="false">IF(AH330=0,0,VLOOKUP(AH330,MIE_Components!$A$2:$F$6,4,FALSE()))</f>
        <v>0</v>
      </c>
      <c r="AL330" s="14" t="n">
        <f aca="false">IF(OR($A330="",AH330=0),0,MAX(5,AH330*IF(OR($A330=Parameters!$B$13,$A330=Parameters!$B$14),0.75,1)-(IF(AND($A330=DATE(2026,11,29),NOV29BF="Yes"),AI330,0)+IF(OR($A330=DATE(2026,11,29),$A330=DATE(2026,11,30),$A330=DATE(2026,12,1),$A330=DATE(2026,12,2)),AJ330,0)+IF(OR($A330=DATE(2026,11,28),$A330=DATE(2026,12,1)),AK330,0))))</f>
        <v>0</v>
      </c>
      <c r="AM330" s="14" t="n">
        <f aca="false">IF(AND($A330&lt;&gt;"",$A330&lt;Parameters!$B$14),CityData!F7*(1+TAXRATE),0)</f>
        <v>0</v>
      </c>
      <c r="AN330" s="14" t="n">
        <f aca="false">IF($A330="",0,IFERROR(VLOOKUP((YEAR($A330)+IF(MONTH($A330)&gt;=10,1,0))&amp;"|Seattle|"&amp;MONTH($A330),Rates!$A$2:$I$181,5,FALSE()),0))</f>
        <v>0</v>
      </c>
      <c r="AO330" s="14" t="n">
        <f aca="false">IF(OR($A330="",$A330&gt;=Parameters!$B$14),1,IF(AND(AN330&gt;0,CityData!F7&lt;=AN330),1,0))</f>
        <v>1</v>
      </c>
    </row>
    <row r="331" customFormat="false" ht="15" hidden="false" customHeight="true" outlineLevel="0" collapsed="false">
      <c r="A331" s="23" t="str">
        <f aca="false">IF(AND(Parameters!$B$14&gt;=Parameters!$B$13,ROW()-2&lt;=Parameters!$B$14-Parameters!$B$13),Parameters!$B$13+ROW()-2,"")</f>
        <v/>
      </c>
      <c r="B331" s="14" t="n">
        <f aca="false">IF($A331="",0,IFERROR(VLOOKUP((YEAR($A331)+IF(MONTH($A331)&gt;=10,1,0))&amp;"|Boston|"&amp;MONTH($A331),Rates!$A$2:$I$181,6,FALSE()),0))</f>
        <v>0</v>
      </c>
      <c r="C331" s="14" t="n">
        <f aca="false">IF(B331=0,0,VLOOKUP(B331,MIE_Components!$A$2:$F$6,2,FALSE()))</f>
        <v>0</v>
      </c>
      <c r="D331" s="14" t="n">
        <f aca="false">IF(B331=0,0,VLOOKUP(B331,MIE_Components!$A$2:$F$6,3,FALSE()))</f>
        <v>0</v>
      </c>
      <c r="E331" s="14" t="n">
        <f aca="false">IF(B331=0,0,VLOOKUP(B331,MIE_Components!$A$2:$F$6,4,FALSE()))</f>
        <v>0</v>
      </c>
      <c r="F331" s="14" t="n">
        <f aca="false">IF(OR($A331="",B331=0),0,MAX(5,B331*IF(OR($A331=Parameters!$B$13,$A331=Parameters!$B$14),0.75,1)-(IF(AND($A331=DATE(2026,11,29),NOV29BF="Yes"),C331,0)+IF(OR($A331=DATE(2026,11,29),$A331=DATE(2026,11,30),$A331=DATE(2026,12,1),$A331=DATE(2026,12,2)),D331,0)+IF(OR($A331=DATE(2026,11,28),$A331=DATE(2026,12,1)),E331,0))))</f>
        <v>0</v>
      </c>
      <c r="G331" s="14" t="n">
        <f aca="false">IF(AND($A331&lt;&gt;"",$A331&lt;Parameters!$B$14),CityData!F3*(1+TAXRATE),0)</f>
        <v>0</v>
      </c>
      <c r="H331" s="14" t="n">
        <f aca="false">IF($A331="",0,IFERROR(VLOOKUP((YEAR($A331)+IF(MONTH($A331)&gt;=10,1,0))&amp;"|Boston|"&amp;MONTH($A331),Rates!$A$2:$I$181,5,FALSE()),0))</f>
        <v>0</v>
      </c>
      <c r="I331" s="14" t="n">
        <f aca="false">IF(OR($A331="",$A331&gt;=Parameters!$B$14),1,IF(AND(H331&gt;0,CityData!F3&lt;=H331),1,0))</f>
        <v>1</v>
      </c>
      <c r="J331" s="14" t="n">
        <f aca="false">IF($A331="",0,IFERROR(VLOOKUP((YEAR($A331)+IF(MONTH($A331)&gt;=10,1,0))&amp;"|Chicago|"&amp;MONTH($A331),Rates!$A$2:$I$181,6,FALSE()),0))</f>
        <v>0</v>
      </c>
      <c r="K331" s="14" t="n">
        <f aca="false">IF(J331=0,0,VLOOKUP(J331,MIE_Components!$A$2:$F$6,2,FALSE()))</f>
        <v>0</v>
      </c>
      <c r="L331" s="14" t="n">
        <f aca="false">IF(J331=0,0,VLOOKUP(J331,MIE_Components!$A$2:$F$6,3,FALSE()))</f>
        <v>0</v>
      </c>
      <c r="M331" s="14" t="n">
        <f aca="false">IF(J331=0,0,VLOOKUP(J331,MIE_Components!$A$2:$F$6,4,FALSE()))</f>
        <v>0</v>
      </c>
      <c r="N331" s="14" t="n">
        <f aca="false">IF(OR($A331="",J331=0),0,MAX(5,J331*IF(OR($A331=Parameters!$B$13,$A331=Parameters!$B$14),0.75,1)-(IF(AND($A331=DATE(2026,11,29),NOV29BF="Yes"),K331,0)+IF(OR($A331=DATE(2026,11,29),$A331=DATE(2026,11,30),$A331=DATE(2026,12,1),$A331=DATE(2026,12,2)),L331,0)+IF(OR($A331=DATE(2026,11,28),$A331=DATE(2026,12,1)),M331,0))))</f>
        <v>0</v>
      </c>
      <c r="O331" s="14" t="n">
        <f aca="false">IF(AND($A331&lt;&gt;"",$A331&lt;Parameters!$B$14),CityData!F4*(1+TAXRATE),0)</f>
        <v>0</v>
      </c>
      <c r="P331" s="14" t="n">
        <f aca="false">IF($A331="",0,IFERROR(VLOOKUP((YEAR($A331)+IF(MONTH($A331)&gt;=10,1,0))&amp;"|Chicago|"&amp;MONTH($A331),Rates!$A$2:$I$181,5,FALSE()),0))</f>
        <v>0</v>
      </c>
      <c r="Q331" s="14" t="n">
        <f aca="false">IF(OR($A331="",$A331&gt;=Parameters!$B$14),1,IF(AND(P331&gt;0,CityData!F4&lt;=P331),1,0))</f>
        <v>1</v>
      </c>
      <c r="R331" s="14" t="n">
        <f aca="false">IF($A331="",0,IFERROR(VLOOKUP((YEAR($A331)+IF(MONTH($A331)&gt;=10,1,0))&amp;"|Denver|"&amp;MONTH($A331),Rates!$A$2:$I$181,6,FALSE()),0))</f>
        <v>0</v>
      </c>
      <c r="S331" s="14" t="n">
        <f aca="false">IF(R331=0,0,VLOOKUP(R331,MIE_Components!$A$2:$F$6,2,FALSE()))</f>
        <v>0</v>
      </c>
      <c r="T331" s="14" t="n">
        <f aca="false">IF(R331=0,0,VLOOKUP(R331,MIE_Components!$A$2:$F$6,3,FALSE()))</f>
        <v>0</v>
      </c>
      <c r="U331" s="14" t="n">
        <f aca="false">IF(R331=0,0,VLOOKUP(R331,MIE_Components!$A$2:$F$6,4,FALSE()))</f>
        <v>0</v>
      </c>
      <c r="V331" s="14" t="n">
        <f aca="false">IF(OR($A331="",R331=0),0,MAX(5,R331*IF(OR($A331=Parameters!$B$13,$A331=Parameters!$B$14),0.75,1)-(IF(AND($A331=DATE(2026,11,29),NOV29BF="Yes"),S331,0)+IF(OR($A331=DATE(2026,11,29),$A331=DATE(2026,11,30),$A331=DATE(2026,12,1),$A331=DATE(2026,12,2)),T331,0)+IF(OR($A331=DATE(2026,11,28),$A331=DATE(2026,12,1)),U331,0))))</f>
        <v>0</v>
      </c>
      <c r="W331" s="14" t="n">
        <f aca="false">IF(AND($A331&lt;&gt;"",$A331&lt;Parameters!$B$14),CityData!F5*(1+TAXRATE),0)</f>
        <v>0</v>
      </c>
      <c r="X331" s="14" t="n">
        <f aca="false">IF($A331="",0,IFERROR(VLOOKUP((YEAR($A331)+IF(MONTH($A331)&gt;=10,1,0))&amp;"|Denver|"&amp;MONTH($A331),Rates!$A$2:$I$181,5,FALSE()),0))</f>
        <v>0</v>
      </c>
      <c r="Y331" s="14" t="n">
        <f aca="false">IF(OR($A331="",$A331&gt;=Parameters!$B$14),1,IF(AND(X331&gt;0,CityData!F5&lt;=X331),1,0))</f>
        <v>1</v>
      </c>
      <c r="Z331" s="14" t="n">
        <f aca="false">IF($A331="",0,IFERROR(VLOOKUP((YEAR($A331)+IF(MONTH($A331)&gt;=10,1,0))&amp;"|Phoenix|"&amp;MONTH($A331),Rates!$A$2:$I$181,6,FALSE()),0))</f>
        <v>0</v>
      </c>
      <c r="AA331" s="14" t="n">
        <f aca="false">IF(Z331=0,0,VLOOKUP(Z331,MIE_Components!$A$2:$F$6,2,FALSE()))</f>
        <v>0</v>
      </c>
      <c r="AB331" s="14" t="n">
        <f aca="false">IF(Z331=0,0,VLOOKUP(Z331,MIE_Components!$A$2:$F$6,3,FALSE()))</f>
        <v>0</v>
      </c>
      <c r="AC331" s="14" t="n">
        <f aca="false">IF(Z331=0,0,VLOOKUP(Z331,MIE_Components!$A$2:$F$6,4,FALSE()))</f>
        <v>0</v>
      </c>
      <c r="AD331" s="14" t="n">
        <f aca="false">IF(OR($A331="",Z331=0),0,MAX(5,Z331*IF(OR($A331=Parameters!$B$13,$A331=Parameters!$B$14),0.75,1)-(IF(AND($A331=DATE(2026,11,29),NOV29BF="Yes"),AA331,0)+IF(OR($A331=DATE(2026,11,29),$A331=DATE(2026,11,30),$A331=DATE(2026,12,1),$A331=DATE(2026,12,2)),AB331,0)+IF(OR($A331=DATE(2026,11,28),$A331=DATE(2026,12,1)),AC331,0))))</f>
        <v>0</v>
      </c>
      <c r="AE331" s="14" t="n">
        <f aca="false">IF(AND($A331&lt;&gt;"",$A331&lt;Parameters!$B$14),CityData!F6*(1+TAXRATE),0)</f>
        <v>0</v>
      </c>
      <c r="AF331" s="14" t="n">
        <f aca="false">IF($A331="",0,IFERROR(VLOOKUP((YEAR($A331)+IF(MONTH($A331)&gt;=10,1,0))&amp;"|Phoenix|"&amp;MONTH($A331),Rates!$A$2:$I$181,5,FALSE()),0))</f>
        <v>0</v>
      </c>
      <c r="AG331" s="14" t="n">
        <f aca="false">IF(OR($A331="",$A331&gt;=Parameters!$B$14),1,IF(AND(AF331&gt;0,CityData!F6&lt;=AF331),1,0))</f>
        <v>1</v>
      </c>
      <c r="AH331" s="14" t="n">
        <f aca="false">IF($A331="",0,IFERROR(VLOOKUP((YEAR($A331)+IF(MONTH($A331)&gt;=10,1,0))&amp;"|Seattle|"&amp;MONTH($A331),Rates!$A$2:$I$181,6,FALSE()),0))</f>
        <v>0</v>
      </c>
      <c r="AI331" s="14" t="n">
        <f aca="false">IF(AH331=0,0,VLOOKUP(AH331,MIE_Components!$A$2:$F$6,2,FALSE()))</f>
        <v>0</v>
      </c>
      <c r="AJ331" s="14" t="n">
        <f aca="false">IF(AH331=0,0,VLOOKUP(AH331,MIE_Components!$A$2:$F$6,3,FALSE()))</f>
        <v>0</v>
      </c>
      <c r="AK331" s="14" t="n">
        <f aca="false">IF(AH331=0,0,VLOOKUP(AH331,MIE_Components!$A$2:$F$6,4,FALSE()))</f>
        <v>0</v>
      </c>
      <c r="AL331" s="14" t="n">
        <f aca="false">IF(OR($A331="",AH331=0),0,MAX(5,AH331*IF(OR($A331=Parameters!$B$13,$A331=Parameters!$B$14),0.75,1)-(IF(AND($A331=DATE(2026,11,29),NOV29BF="Yes"),AI331,0)+IF(OR($A331=DATE(2026,11,29),$A331=DATE(2026,11,30),$A331=DATE(2026,12,1),$A331=DATE(2026,12,2)),AJ331,0)+IF(OR($A331=DATE(2026,11,28),$A331=DATE(2026,12,1)),AK331,0))))</f>
        <v>0</v>
      </c>
      <c r="AM331" s="14" t="n">
        <f aca="false">IF(AND($A331&lt;&gt;"",$A331&lt;Parameters!$B$14),CityData!F7*(1+TAXRATE),0)</f>
        <v>0</v>
      </c>
      <c r="AN331" s="14" t="n">
        <f aca="false">IF($A331="",0,IFERROR(VLOOKUP((YEAR($A331)+IF(MONTH($A331)&gt;=10,1,0))&amp;"|Seattle|"&amp;MONTH($A331),Rates!$A$2:$I$181,5,FALSE()),0))</f>
        <v>0</v>
      </c>
      <c r="AO331" s="14" t="n">
        <f aca="false">IF(OR($A331="",$A331&gt;=Parameters!$B$14),1,IF(AND(AN331&gt;0,CityData!F7&lt;=AN331),1,0))</f>
        <v>1</v>
      </c>
    </row>
    <row r="332" customFormat="false" ht="15" hidden="false" customHeight="true" outlineLevel="0" collapsed="false">
      <c r="A332" s="23" t="str">
        <f aca="false">IF(AND(Parameters!$B$14&gt;=Parameters!$B$13,ROW()-2&lt;=Parameters!$B$14-Parameters!$B$13),Parameters!$B$13+ROW()-2,"")</f>
        <v/>
      </c>
      <c r="B332" s="14" t="n">
        <f aca="false">IF($A332="",0,IFERROR(VLOOKUP((YEAR($A332)+IF(MONTH($A332)&gt;=10,1,0))&amp;"|Boston|"&amp;MONTH($A332),Rates!$A$2:$I$181,6,FALSE()),0))</f>
        <v>0</v>
      </c>
      <c r="C332" s="14" t="n">
        <f aca="false">IF(B332=0,0,VLOOKUP(B332,MIE_Components!$A$2:$F$6,2,FALSE()))</f>
        <v>0</v>
      </c>
      <c r="D332" s="14" t="n">
        <f aca="false">IF(B332=0,0,VLOOKUP(B332,MIE_Components!$A$2:$F$6,3,FALSE()))</f>
        <v>0</v>
      </c>
      <c r="E332" s="14" t="n">
        <f aca="false">IF(B332=0,0,VLOOKUP(B332,MIE_Components!$A$2:$F$6,4,FALSE()))</f>
        <v>0</v>
      </c>
      <c r="F332" s="14" t="n">
        <f aca="false">IF(OR($A332="",B332=0),0,MAX(5,B332*IF(OR($A332=Parameters!$B$13,$A332=Parameters!$B$14),0.75,1)-(IF(AND($A332=DATE(2026,11,29),NOV29BF="Yes"),C332,0)+IF(OR($A332=DATE(2026,11,29),$A332=DATE(2026,11,30),$A332=DATE(2026,12,1),$A332=DATE(2026,12,2)),D332,0)+IF(OR($A332=DATE(2026,11,28),$A332=DATE(2026,12,1)),E332,0))))</f>
        <v>0</v>
      </c>
      <c r="G332" s="14" t="n">
        <f aca="false">IF(AND($A332&lt;&gt;"",$A332&lt;Parameters!$B$14),CityData!F3*(1+TAXRATE),0)</f>
        <v>0</v>
      </c>
      <c r="H332" s="14" t="n">
        <f aca="false">IF($A332="",0,IFERROR(VLOOKUP((YEAR($A332)+IF(MONTH($A332)&gt;=10,1,0))&amp;"|Boston|"&amp;MONTH($A332),Rates!$A$2:$I$181,5,FALSE()),0))</f>
        <v>0</v>
      </c>
      <c r="I332" s="14" t="n">
        <f aca="false">IF(OR($A332="",$A332&gt;=Parameters!$B$14),1,IF(AND(H332&gt;0,CityData!F3&lt;=H332),1,0))</f>
        <v>1</v>
      </c>
      <c r="J332" s="14" t="n">
        <f aca="false">IF($A332="",0,IFERROR(VLOOKUP((YEAR($A332)+IF(MONTH($A332)&gt;=10,1,0))&amp;"|Chicago|"&amp;MONTH($A332),Rates!$A$2:$I$181,6,FALSE()),0))</f>
        <v>0</v>
      </c>
      <c r="K332" s="14" t="n">
        <f aca="false">IF(J332=0,0,VLOOKUP(J332,MIE_Components!$A$2:$F$6,2,FALSE()))</f>
        <v>0</v>
      </c>
      <c r="L332" s="14" t="n">
        <f aca="false">IF(J332=0,0,VLOOKUP(J332,MIE_Components!$A$2:$F$6,3,FALSE()))</f>
        <v>0</v>
      </c>
      <c r="M332" s="14" t="n">
        <f aca="false">IF(J332=0,0,VLOOKUP(J332,MIE_Components!$A$2:$F$6,4,FALSE()))</f>
        <v>0</v>
      </c>
      <c r="N332" s="14" t="n">
        <f aca="false">IF(OR($A332="",J332=0),0,MAX(5,J332*IF(OR($A332=Parameters!$B$13,$A332=Parameters!$B$14),0.75,1)-(IF(AND($A332=DATE(2026,11,29),NOV29BF="Yes"),K332,0)+IF(OR($A332=DATE(2026,11,29),$A332=DATE(2026,11,30),$A332=DATE(2026,12,1),$A332=DATE(2026,12,2)),L332,0)+IF(OR($A332=DATE(2026,11,28),$A332=DATE(2026,12,1)),M332,0))))</f>
        <v>0</v>
      </c>
      <c r="O332" s="14" t="n">
        <f aca="false">IF(AND($A332&lt;&gt;"",$A332&lt;Parameters!$B$14),CityData!F4*(1+TAXRATE),0)</f>
        <v>0</v>
      </c>
      <c r="P332" s="14" t="n">
        <f aca="false">IF($A332="",0,IFERROR(VLOOKUP((YEAR($A332)+IF(MONTH($A332)&gt;=10,1,0))&amp;"|Chicago|"&amp;MONTH($A332),Rates!$A$2:$I$181,5,FALSE()),0))</f>
        <v>0</v>
      </c>
      <c r="Q332" s="14" t="n">
        <f aca="false">IF(OR($A332="",$A332&gt;=Parameters!$B$14),1,IF(AND(P332&gt;0,CityData!F4&lt;=P332),1,0))</f>
        <v>1</v>
      </c>
      <c r="R332" s="14" t="n">
        <f aca="false">IF($A332="",0,IFERROR(VLOOKUP((YEAR($A332)+IF(MONTH($A332)&gt;=10,1,0))&amp;"|Denver|"&amp;MONTH($A332),Rates!$A$2:$I$181,6,FALSE()),0))</f>
        <v>0</v>
      </c>
      <c r="S332" s="14" t="n">
        <f aca="false">IF(R332=0,0,VLOOKUP(R332,MIE_Components!$A$2:$F$6,2,FALSE()))</f>
        <v>0</v>
      </c>
      <c r="T332" s="14" t="n">
        <f aca="false">IF(R332=0,0,VLOOKUP(R332,MIE_Components!$A$2:$F$6,3,FALSE()))</f>
        <v>0</v>
      </c>
      <c r="U332" s="14" t="n">
        <f aca="false">IF(R332=0,0,VLOOKUP(R332,MIE_Components!$A$2:$F$6,4,FALSE()))</f>
        <v>0</v>
      </c>
      <c r="V332" s="14" t="n">
        <f aca="false">IF(OR($A332="",R332=0),0,MAX(5,R332*IF(OR($A332=Parameters!$B$13,$A332=Parameters!$B$14),0.75,1)-(IF(AND($A332=DATE(2026,11,29),NOV29BF="Yes"),S332,0)+IF(OR($A332=DATE(2026,11,29),$A332=DATE(2026,11,30),$A332=DATE(2026,12,1),$A332=DATE(2026,12,2)),T332,0)+IF(OR($A332=DATE(2026,11,28),$A332=DATE(2026,12,1)),U332,0))))</f>
        <v>0</v>
      </c>
      <c r="W332" s="14" t="n">
        <f aca="false">IF(AND($A332&lt;&gt;"",$A332&lt;Parameters!$B$14),CityData!F5*(1+TAXRATE),0)</f>
        <v>0</v>
      </c>
      <c r="X332" s="14" t="n">
        <f aca="false">IF($A332="",0,IFERROR(VLOOKUP((YEAR($A332)+IF(MONTH($A332)&gt;=10,1,0))&amp;"|Denver|"&amp;MONTH($A332),Rates!$A$2:$I$181,5,FALSE()),0))</f>
        <v>0</v>
      </c>
      <c r="Y332" s="14" t="n">
        <f aca="false">IF(OR($A332="",$A332&gt;=Parameters!$B$14),1,IF(AND(X332&gt;0,CityData!F5&lt;=X332),1,0))</f>
        <v>1</v>
      </c>
      <c r="Z332" s="14" t="n">
        <f aca="false">IF($A332="",0,IFERROR(VLOOKUP((YEAR($A332)+IF(MONTH($A332)&gt;=10,1,0))&amp;"|Phoenix|"&amp;MONTH($A332),Rates!$A$2:$I$181,6,FALSE()),0))</f>
        <v>0</v>
      </c>
      <c r="AA332" s="14" t="n">
        <f aca="false">IF(Z332=0,0,VLOOKUP(Z332,MIE_Components!$A$2:$F$6,2,FALSE()))</f>
        <v>0</v>
      </c>
      <c r="AB332" s="14" t="n">
        <f aca="false">IF(Z332=0,0,VLOOKUP(Z332,MIE_Components!$A$2:$F$6,3,FALSE()))</f>
        <v>0</v>
      </c>
      <c r="AC332" s="14" t="n">
        <f aca="false">IF(Z332=0,0,VLOOKUP(Z332,MIE_Components!$A$2:$F$6,4,FALSE()))</f>
        <v>0</v>
      </c>
      <c r="AD332" s="14" t="n">
        <f aca="false">IF(OR($A332="",Z332=0),0,MAX(5,Z332*IF(OR($A332=Parameters!$B$13,$A332=Parameters!$B$14),0.75,1)-(IF(AND($A332=DATE(2026,11,29),NOV29BF="Yes"),AA332,0)+IF(OR($A332=DATE(2026,11,29),$A332=DATE(2026,11,30),$A332=DATE(2026,12,1),$A332=DATE(2026,12,2)),AB332,0)+IF(OR($A332=DATE(2026,11,28),$A332=DATE(2026,12,1)),AC332,0))))</f>
        <v>0</v>
      </c>
      <c r="AE332" s="14" t="n">
        <f aca="false">IF(AND($A332&lt;&gt;"",$A332&lt;Parameters!$B$14),CityData!F6*(1+TAXRATE),0)</f>
        <v>0</v>
      </c>
      <c r="AF332" s="14" t="n">
        <f aca="false">IF($A332="",0,IFERROR(VLOOKUP((YEAR($A332)+IF(MONTH($A332)&gt;=10,1,0))&amp;"|Phoenix|"&amp;MONTH($A332),Rates!$A$2:$I$181,5,FALSE()),0))</f>
        <v>0</v>
      </c>
      <c r="AG332" s="14" t="n">
        <f aca="false">IF(OR($A332="",$A332&gt;=Parameters!$B$14),1,IF(AND(AF332&gt;0,CityData!F6&lt;=AF332),1,0))</f>
        <v>1</v>
      </c>
      <c r="AH332" s="14" t="n">
        <f aca="false">IF($A332="",0,IFERROR(VLOOKUP((YEAR($A332)+IF(MONTH($A332)&gt;=10,1,0))&amp;"|Seattle|"&amp;MONTH($A332),Rates!$A$2:$I$181,6,FALSE()),0))</f>
        <v>0</v>
      </c>
      <c r="AI332" s="14" t="n">
        <f aca="false">IF(AH332=0,0,VLOOKUP(AH332,MIE_Components!$A$2:$F$6,2,FALSE()))</f>
        <v>0</v>
      </c>
      <c r="AJ332" s="14" t="n">
        <f aca="false">IF(AH332=0,0,VLOOKUP(AH332,MIE_Components!$A$2:$F$6,3,FALSE()))</f>
        <v>0</v>
      </c>
      <c r="AK332" s="14" t="n">
        <f aca="false">IF(AH332=0,0,VLOOKUP(AH332,MIE_Components!$A$2:$F$6,4,FALSE()))</f>
        <v>0</v>
      </c>
      <c r="AL332" s="14" t="n">
        <f aca="false">IF(OR($A332="",AH332=0),0,MAX(5,AH332*IF(OR($A332=Parameters!$B$13,$A332=Parameters!$B$14),0.75,1)-(IF(AND($A332=DATE(2026,11,29),NOV29BF="Yes"),AI332,0)+IF(OR($A332=DATE(2026,11,29),$A332=DATE(2026,11,30),$A332=DATE(2026,12,1),$A332=DATE(2026,12,2)),AJ332,0)+IF(OR($A332=DATE(2026,11,28),$A332=DATE(2026,12,1)),AK332,0))))</f>
        <v>0</v>
      </c>
      <c r="AM332" s="14" t="n">
        <f aca="false">IF(AND($A332&lt;&gt;"",$A332&lt;Parameters!$B$14),CityData!F7*(1+TAXRATE),0)</f>
        <v>0</v>
      </c>
      <c r="AN332" s="14" t="n">
        <f aca="false">IF($A332="",0,IFERROR(VLOOKUP((YEAR($A332)+IF(MONTH($A332)&gt;=10,1,0))&amp;"|Seattle|"&amp;MONTH($A332),Rates!$A$2:$I$181,5,FALSE()),0))</f>
        <v>0</v>
      </c>
      <c r="AO332" s="14" t="n">
        <f aca="false">IF(OR($A332="",$A332&gt;=Parameters!$B$14),1,IF(AND(AN332&gt;0,CityData!F7&lt;=AN332),1,0))</f>
        <v>1</v>
      </c>
    </row>
    <row r="333" customFormat="false" ht="15" hidden="false" customHeight="true" outlineLevel="0" collapsed="false">
      <c r="A333" s="23" t="str">
        <f aca="false">IF(AND(Parameters!$B$14&gt;=Parameters!$B$13,ROW()-2&lt;=Parameters!$B$14-Parameters!$B$13),Parameters!$B$13+ROW()-2,"")</f>
        <v/>
      </c>
      <c r="B333" s="14" t="n">
        <f aca="false">IF($A333="",0,IFERROR(VLOOKUP((YEAR($A333)+IF(MONTH($A333)&gt;=10,1,0))&amp;"|Boston|"&amp;MONTH($A333),Rates!$A$2:$I$181,6,FALSE()),0))</f>
        <v>0</v>
      </c>
      <c r="C333" s="14" t="n">
        <f aca="false">IF(B333=0,0,VLOOKUP(B333,MIE_Components!$A$2:$F$6,2,FALSE()))</f>
        <v>0</v>
      </c>
      <c r="D333" s="14" t="n">
        <f aca="false">IF(B333=0,0,VLOOKUP(B333,MIE_Components!$A$2:$F$6,3,FALSE()))</f>
        <v>0</v>
      </c>
      <c r="E333" s="14" t="n">
        <f aca="false">IF(B333=0,0,VLOOKUP(B333,MIE_Components!$A$2:$F$6,4,FALSE()))</f>
        <v>0</v>
      </c>
      <c r="F333" s="14" t="n">
        <f aca="false">IF(OR($A333="",B333=0),0,MAX(5,B333*IF(OR($A333=Parameters!$B$13,$A333=Parameters!$B$14),0.75,1)-(IF(AND($A333=DATE(2026,11,29),NOV29BF="Yes"),C333,0)+IF(OR($A333=DATE(2026,11,29),$A333=DATE(2026,11,30),$A333=DATE(2026,12,1),$A333=DATE(2026,12,2)),D333,0)+IF(OR($A333=DATE(2026,11,28),$A333=DATE(2026,12,1)),E333,0))))</f>
        <v>0</v>
      </c>
      <c r="G333" s="14" t="n">
        <f aca="false">IF(AND($A333&lt;&gt;"",$A333&lt;Parameters!$B$14),CityData!F3*(1+TAXRATE),0)</f>
        <v>0</v>
      </c>
      <c r="H333" s="14" t="n">
        <f aca="false">IF($A333="",0,IFERROR(VLOOKUP((YEAR($A333)+IF(MONTH($A333)&gt;=10,1,0))&amp;"|Boston|"&amp;MONTH($A333),Rates!$A$2:$I$181,5,FALSE()),0))</f>
        <v>0</v>
      </c>
      <c r="I333" s="14" t="n">
        <f aca="false">IF(OR($A333="",$A333&gt;=Parameters!$B$14),1,IF(AND(H333&gt;0,CityData!F3&lt;=H333),1,0))</f>
        <v>1</v>
      </c>
      <c r="J333" s="14" t="n">
        <f aca="false">IF($A333="",0,IFERROR(VLOOKUP((YEAR($A333)+IF(MONTH($A333)&gt;=10,1,0))&amp;"|Chicago|"&amp;MONTH($A333),Rates!$A$2:$I$181,6,FALSE()),0))</f>
        <v>0</v>
      </c>
      <c r="K333" s="14" t="n">
        <f aca="false">IF(J333=0,0,VLOOKUP(J333,MIE_Components!$A$2:$F$6,2,FALSE()))</f>
        <v>0</v>
      </c>
      <c r="L333" s="14" t="n">
        <f aca="false">IF(J333=0,0,VLOOKUP(J333,MIE_Components!$A$2:$F$6,3,FALSE()))</f>
        <v>0</v>
      </c>
      <c r="M333" s="14" t="n">
        <f aca="false">IF(J333=0,0,VLOOKUP(J333,MIE_Components!$A$2:$F$6,4,FALSE()))</f>
        <v>0</v>
      </c>
      <c r="N333" s="14" t="n">
        <f aca="false">IF(OR($A333="",J333=0),0,MAX(5,J333*IF(OR($A333=Parameters!$B$13,$A333=Parameters!$B$14),0.75,1)-(IF(AND($A333=DATE(2026,11,29),NOV29BF="Yes"),K333,0)+IF(OR($A333=DATE(2026,11,29),$A333=DATE(2026,11,30),$A333=DATE(2026,12,1),$A333=DATE(2026,12,2)),L333,0)+IF(OR($A333=DATE(2026,11,28),$A333=DATE(2026,12,1)),M333,0))))</f>
        <v>0</v>
      </c>
      <c r="O333" s="14" t="n">
        <f aca="false">IF(AND($A333&lt;&gt;"",$A333&lt;Parameters!$B$14),CityData!F4*(1+TAXRATE),0)</f>
        <v>0</v>
      </c>
      <c r="P333" s="14" t="n">
        <f aca="false">IF($A333="",0,IFERROR(VLOOKUP((YEAR($A333)+IF(MONTH($A333)&gt;=10,1,0))&amp;"|Chicago|"&amp;MONTH($A333),Rates!$A$2:$I$181,5,FALSE()),0))</f>
        <v>0</v>
      </c>
      <c r="Q333" s="14" t="n">
        <f aca="false">IF(OR($A333="",$A333&gt;=Parameters!$B$14),1,IF(AND(P333&gt;0,CityData!F4&lt;=P333),1,0))</f>
        <v>1</v>
      </c>
      <c r="R333" s="14" t="n">
        <f aca="false">IF($A333="",0,IFERROR(VLOOKUP((YEAR($A333)+IF(MONTH($A333)&gt;=10,1,0))&amp;"|Denver|"&amp;MONTH($A333),Rates!$A$2:$I$181,6,FALSE()),0))</f>
        <v>0</v>
      </c>
      <c r="S333" s="14" t="n">
        <f aca="false">IF(R333=0,0,VLOOKUP(R333,MIE_Components!$A$2:$F$6,2,FALSE()))</f>
        <v>0</v>
      </c>
      <c r="T333" s="14" t="n">
        <f aca="false">IF(R333=0,0,VLOOKUP(R333,MIE_Components!$A$2:$F$6,3,FALSE()))</f>
        <v>0</v>
      </c>
      <c r="U333" s="14" t="n">
        <f aca="false">IF(R333=0,0,VLOOKUP(R333,MIE_Components!$A$2:$F$6,4,FALSE()))</f>
        <v>0</v>
      </c>
      <c r="V333" s="14" t="n">
        <f aca="false">IF(OR($A333="",R333=0),0,MAX(5,R333*IF(OR($A333=Parameters!$B$13,$A333=Parameters!$B$14),0.75,1)-(IF(AND($A333=DATE(2026,11,29),NOV29BF="Yes"),S333,0)+IF(OR($A333=DATE(2026,11,29),$A333=DATE(2026,11,30),$A333=DATE(2026,12,1),$A333=DATE(2026,12,2)),T333,0)+IF(OR($A333=DATE(2026,11,28),$A333=DATE(2026,12,1)),U333,0))))</f>
        <v>0</v>
      </c>
      <c r="W333" s="14" t="n">
        <f aca="false">IF(AND($A333&lt;&gt;"",$A333&lt;Parameters!$B$14),CityData!F5*(1+TAXRATE),0)</f>
        <v>0</v>
      </c>
      <c r="X333" s="14" t="n">
        <f aca="false">IF($A333="",0,IFERROR(VLOOKUP((YEAR($A333)+IF(MONTH($A333)&gt;=10,1,0))&amp;"|Denver|"&amp;MONTH($A333),Rates!$A$2:$I$181,5,FALSE()),0))</f>
        <v>0</v>
      </c>
      <c r="Y333" s="14" t="n">
        <f aca="false">IF(OR($A333="",$A333&gt;=Parameters!$B$14),1,IF(AND(X333&gt;0,CityData!F5&lt;=X333),1,0))</f>
        <v>1</v>
      </c>
      <c r="Z333" s="14" t="n">
        <f aca="false">IF($A333="",0,IFERROR(VLOOKUP((YEAR($A333)+IF(MONTH($A333)&gt;=10,1,0))&amp;"|Phoenix|"&amp;MONTH($A333),Rates!$A$2:$I$181,6,FALSE()),0))</f>
        <v>0</v>
      </c>
      <c r="AA333" s="14" t="n">
        <f aca="false">IF(Z333=0,0,VLOOKUP(Z333,MIE_Components!$A$2:$F$6,2,FALSE()))</f>
        <v>0</v>
      </c>
      <c r="AB333" s="14" t="n">
        <f aca="false">IF(Z333=0,0,VLOOKUP(Z333,MIE_Components!$A$2:$F$6,3,FALSE()))</f>
        <v>0</v>
      </c>
      <c r="AC333" s="14" t="n">
        <f aca="false">IF(Z333=0,0,VLOOKUP(Z333,MIE_Components!$A$2:$F$6,4,FALSE()))</f>
        <v>0</v>
      </c>
      <c r="AD333" s="14" t="n">
        <f aca="false">IF(OR($A333="",Z333=0),0,MAX(5,Z333*IF(OR($A333=Parameters!$B$13,$A333=Parameters!$B$14),0.75,1)-(IF(AND($A333=DATE(2026,11,29),NOV29BF="Yes"),AA333,0)+IF(OR($A333=DATE(2026,11,29),$A333=DATE(2026,11,30),$A333=DATE(2026,12,1),$A333=DATE(2026,12,2)),AB333,0)+IF(OR($A333=DATE(2026,11,28),$A333=DATE(2026,12,1)),AC333,0))))</f>
        <v>0</v>
      </c>
      <c r="AE333" s="14" t="n">
        <f aca="false">IF(AND($A333&lt;&gt;"",$A333&lt;Parameters!$B$14),CityData!F6*(1+TAXRATE),0)</f>
        <v>0</v>
      </c>
      <c r="AF333" s="14" t="n">
        <f aca="false">IF($A333="",0,IFERROR(VLOOKUP((YEAR($A333)+IF(MONTH($A333)&gt;=10,1,0))&amp;"|Phoenix|"&amp;MONTH($A333),Rates!$A$2:$I$181,5,FALSE()),0))</f>
        <v>0</v>
      </c>
      <c r="AG333" s="14" t="n">
        <f aca="false">IF(OR($A333="",$A333&gt;=Parameters!$B$14),1,IF(AND(AF333&gt;0,CityData!F6&lt;=AF333),1,0))</f>
        <v>1</v>
      </c>
      <c r="AH333" s="14" t="n">
        <f aca="false">IF($A333="",0,IFERROR(VLOOKUP((YEAR($A333)+IF(MONTH($A333)&gt;=10,1,0))&amp;"|Seattle|"&amp;MONTH($A333),Rates!$A$2:$I$181,6,FALSE()),0))</f>
        <v>0</v>
      </c>
      <c r="AI333" s="14" t="n">
        <f aca="false">IF(AH333=0,0,VLOOKUP(AH333,MIE_Components!$A$2:$F$6,2,FALSE()))</f>
        <v>0</v>
      </c>
      <c r="AJ333" s="14" t="n">
        <f aca="false">IF(AH333=0,0,VLOOKUP(AH333,MIE_Components!$A$2:$F$6,3,FALSE()))</f>
        <v>0</v>
      </c>
      <c r="AK333" s="14" t="n">
        <f aca="false">IF(AH333=0,0,VLOOKUP(AH333,MIE_Components!$A$2:$F$6,4,FALSE()))</f>
        <v>0</v>
      </c>
      <c r="AL333" s="14" t="n">
        <f aca="false">IF(OR($A333="",AH333=0),0,MAX(5,AH333*IF(OR($A333=Parameters!$B$13,$A333=Parameters!$B$14),0.75,1)-(IF(AND($A333=DATE(2026,11,29),NOV29BF="Yes"),AI333,0)+IF(OR($A333=DATE(2026,11,29),$A333=DATE(2026,11,30),$A333=DATE(2026,12,1),$A333=DATE(2026,12,2)),AJ333,0)+IF(OR($A333=DATE(2026,11,28),$A333=DATE(2026,12,1)),AK333,0))))</f>
        <v>0</v>
      </c>
      <c r="AM333" s="14" t="n">
        <f aca="false">IF(AND($A333&lt;&gt;"",$A333&lt;Parameters!$B$14),CityData!F7*(1+TAXRATE),0)</f>
        <v>0</v>
      </c>
      <c r="AN333" s="14" t="n">
        <f aca="false">IF($A333="",0,IFERROR(VLOOKUP((YEAR($A333)+IF(MONTH($A333)&gt;=10,1,0))&amp;"|Seattle|"&amp;MONTH($A333),Rates!$A$2:$I$181,5,FALSE()),0))</f>
        <v>0</v>
      </c>
      <c r="AO333" s="14" t="n">
        <f aca="false">IF(OR($A333="",$A333&gt;=Parameters!$B$14),1,IF(AND(AN333&gt;0,CityData!F7&lt;=AN333),1,0))</f>
        <v>1</v>
      </c>
    </row>
    <row r="334" customFormat="false" ht="15" hidden="false" customHeight="true" outlineLevel="0" collapsed="false">
      <c r="A334" s="23" t="str">
        <f aca="false">IF(AND(Parameters!$B$14&gt;=Parameters!$B$13,ROW()-2&lt;=Parameters!$B$14-Parameters!$B$13),Parameters!$B$13+ROW()-2,"")</f>
        <v/>
      </c>
      <c r="B334" s="14" t="n">
        <f aca="false">IF($A334="",0,IFERROR(VLOOKUP((YEAR($A334)+IF(MONTH($A334)&gt;=10,1,0))&amp;"|Boston|"&amp;MONTH($A334),Rates!$A$2:$I$181,6,FALSE()),0))</f>
        <v>0</v>
      </c>
      <c r="C334" s="14" t="n">
        <f aca="false">IF(B334=0,0,VLOOKUP(B334,MIE_Components!$A$2:$F$6,2,FALSE()))</f>
        <v>0</v>
      </c>
      <c r="D334" s="14" t="n">
        <f aca="false">IF(B334=0,0,VLOOKUP(B334,MIE_Components!$A$2:$F$6,3,FALSE()))</f>
        <v>0</v>
      </c>
      <c r="E334" s="14" t="n">
        <f aca="false">IF(B334=0,0,VLOOKUP(B334,MIE_Components!$A$2:$F$6,4,FALSE()))</f>
        <v>0</v>
      </c>
      <c r="F334" s="14" t="n">
        <f aca="false">IF(OR($A334="",B334=0),0,MAX(5,B334*IF(OR($A334=Parameters!$B$13,$A334=Parameters!$B$14),0.75,1)-(IF(AND($A334=DATE(2026,11,29),NOV29BF="Yes"),C334,0)+IF(OR($A334=DATE(2026,11,29),$A334=DATE(2026,11,30),$A334=DATE(2026,12,1),$A334=DATE(2026,12,2)),D334,0)+IF(OR($A334=DATE(2026,11,28),$A334=DATE(2026,12,1)),E334,0))))</f>
        <v>0</v>
      </c>
      <c r="G334" s="14" t="n">
        <f aca="false">IF(AND($A334&lt;&gt;"",$A334&lt;Parameters!$B$14),CityData!F3*(1+TAXRATE),0)</f>
        <v>0</v>
      </c>
      <c r="H334" s="14" t="n">
        <f aca="false">IF($A334="",0,IFERROR(VLOOKUP((YEAR($A334)+IF(MONTH($A334)&gt;=10,1,0))&amp;"|Boston|"&amp;MONTH($A334),Rates!$A$2:$I$181,5,FALSE()),0))</f>
        <v>0</v>
      </c>
      <c r="I334" s="14" t="n">
        <f aca="false">IF(OR($A334="",$A334&gt;=Parameters!$B$14),1,IF(AND(H334&gt;0,CityData!F3&lt;=H334),1,0))</f>
        <v>1</v>
      </c>
      <c r="J334" s="14" t="n">
        <f aca="false">IF($A334="",0,IFERROR(VLOOKUP((YEAR($A334)+IF(MONTH($A334)&gt;=10,1,0))&amp;"|Chicago|"&amp;MONTH($A334),Rates!$A$2:$I$181,6,FALSE()),0))</f>
        <v>0</v>
      </c>
      <c r="K334" s="14" t="n">
        <f aca="false">IF(J334=0,0,VLOOKUP(J334,MIE_Components!$A$2:$F$6,2,FALSE()))</f>
        <v>0</v>
      </c>
      <c r="L334" s="14" t="n">
        <f aca="false">IF(J334=0,0,VLOOKUP(J334,MIE_Components!$A$2:$F$6,3,FALSE()))</f>
        <v>0</v>
      </c>
      <c r="M334" s="14" t="n">
        <f aca="false">IF(J334=0,0,VLOOKUP(J334,MIE_Components!$A$2:$F$6,4,FALSE()))</f>
        <v>0</v>
      </c>
      <c r="N334" s="14" t="n">
        <f aca="false">IF(OR($A334="",J334=0),0,MAX(5,J334*IF(OR($A334=Parameters!$B$13,$A334=Parameters!$B$14),0.75,1)-(IF(AND($A334=DATE(2026,11,29),NOV29BF="Yes"),K334,0)+IF(OR($A334=DATE(2026,11,29),$A334=DATE(2026,11,30),$A334=DATE(2026,12,1),$A334=DATE(2026,12,2)),L334,0)+IF(OR($A334=DATE(2026,11,28),$A334=DATE(2026,12,1)),M334,0))))</f>
        <v>0</v>
      </c>
      <c r="O334" s="14" t="n">
        <f aca="false">IF(AND($A334&lt;&gt;"",$A334&lt;Parameters!$B$14),CityData!F4*(1+TAXRATE),0)</f>
        <v>0</v>
      </c>
      <c r="P334" s="14" t="n">
        <f aca="false">IF($A334="",0,IFERROR(VLOOKUP((YEAR($A334)+IF(MONTH($A334)&gt;=10,1,0))&amp;"|Chicago|"&amp;MONTH($A334),Rates!$A$2:$I$181,5,FALSE()),0))</f>
        <v>0</v>
      </c>
      <c r="Q334" s="14" t="n">
        <f aca="false">IF(OR($A334="",$A334&gt;=Parameters!$B$14),1,IF(AND(P334&gt;0,CityData!F4&lt;=P334),1,0))</f>
        <v>1</v>
      </c>
      <c r="R334" s="14" t="n">
        <f aca="false">IF($A334="",0,IFERROR(VLOOKUP((YEAR($A334)+IF(MONTH($A334)&gt;=10,1,0))&amp;"|Denver|"&amp;MONTH($A334),Rates!$A$2:$I$181,6,FALSE()),0))</f>
        <v>0</v>
      </c>
      <c r="S334" s="14" t="n">
        <f aca="false">IF(R334=0,0,VLOOKUP(R334,MIE_Components!$A$2:$F$6,2,FALSE()))</f>
        <v>0</v>
      </c>
      <c r="T334" s="14" t="n">
        <f aca="false">IF(R334=0,0,VLOOKUP(R334,MIE_Components!$A$2:$F$6,3,FALSE()))</f>
        <v>0</v>
      </c>
      <c r="U334" s="14" t="n">
        <f aca="false">IF(R334=0,0,VLOOKUP(R334,MIE_Components!$A$2:$F$6,4,FALSE()))</f>
        <v>0</v>
      </c>
      <c r="V334" s="14" t="n">
        <f aca="false">IF(OR($A334="",R334=0),0,MAX(5,R334*IF(OR($A334=Parameters!$B$13,$A334=Parameters!$B$14),0.75,1)-(IF(AND($A334=DATE(2026,11,29),NOV29BF="Yes"),S334,0)+IF(OR($A334=DATE(2026,11,29),$A334=DATE(2026,11,30),$A334=DATE(2026,12,1),$A334=DATE(2026,12,2)),T334,0)+IF(OR($A334=DATE(2026,11,28),$A334=DATE(2026,12,1)),U334,0))))</f>
        <v>0</v>
      </c>
      <c r="W334" s="14" t="n">
        <f aca="false">IF(AND($A334&lt;&gt;"",$A334&lt;Parameters!$B$14),CityData!F5*(1+TAXRATE),0)</f>
        <v>0</v>
      </c>
      <c r="X334" s="14" t="n">
        <f aca="false">IF($A334="",0,IFERROR(VLOOKUP((YEAR($A334)+IF(MONTH($A334)&gt;=10,1,0))&amp;"|Denver|"&amp;MONTH($A334),Rates!$A$2:$I$181,5,FALSE()),0))</f>
        <v>0</v>
      </c>
      <c r="Y334" s="14" t="n">
        <f aca="false">IF(OR($A334="",$A334&gt;=Parameters!$B$14),1,IF(AND(X334&gt;0,CityData!F5&lt;=X334),1,0))</f>
        <v>1</v>
      </c>
      <c r="Z334" s="14" t="n">
        <f aca="false">IF($A334="",0,IFERROR(VLOOKUP((YEAR($A334)+IF(MONTH($A334)&gt;=10,1,0))&amp;"|Phoenix|"&amp;MONTH($A334),Rates!$A$2:$I$181,6,FALSE()),0))</f>
        <v>0</v>
      </c>
      <c r="AA334" s="14" t="n">
        <f aca="false">IF(Z334=0,0,VLOOKUP(Z334,MIE_Components!$A$2:$F$6,2,FALSE()))</f>
        <v>0</v>
      </c>
      <c r="AB334" s="14" t="n">
        <f aca="false">IF(Z334=0,0,VLOOKUP(Z334,MIE_Components!$A$2:$F$6,3,FALSE()))</f>
        <v>0</v>
      </c>
      <c r="AC334" s="14" t="n">
        <f aca="false">IF(Z334=0,0,VLOOKUP(Z334,MIE_Components!$A$2:$F$6,4,FALSE()))</f>
        <v>0</v>
      </c>
      <c r="AD334" s="14" t="n">
        <f aca="false">IF(OR($A334="",Z334=0),0,MAX(5,Z334*IF(OR($A334=Parameters!$B$13,$A334=Parameters!$B$14),0.75,1)-(IF(AND($A334=DATE(2026,11,29),NOV29BF="Yes"),AA334,0)+IF(OR($A334=DATE(2026,11,29),$A334=DATE(2026,11,30),$A334=DATE(2026,12,1),$A334=DATE(2026,12,2)),AB334,0)+IF(OR($A334=DATE(2026,11,28),$A334=DATE(2026,12,1)),AC334,0))))</f>
        <v>0</v>
      </c>
      <c r="AE334" s="14" t="n">
        <f aca="false">IF(AND($A334&lt;&gt;"",$A334&lt;Parameters!$B$14),CityData!F6*(1+TAXRATE),0)</f>
        <v>0</v>
      </c>
      <c r="AF334" s="14" t="n">
        <f aca="false">IF($A334="",0,IFERROR(VLOOKUP((YEAR($A334)+IF(MONTH($A334)&gt;=10,1,0))&amp;"|Phoenix|"&amp;MONTH($A334),Rates!$A$2:$I$181,5,FALSE()),0))</f>
        <v>0</v>
      </c>
      <c r="AG334" s="14" t="n">
        <f aca="false">IF(OR($A334="",$A334&gt;=Parameters!$B$14),1,IF(AND(AF334&gt;0,CityData!F6&lt;=AF334),1,0))</f>
        <v>1</v>
      </c>
      <c r="AH334" s="14" t="n">
        <f aca="false">IF($A334="",0,IFERROR(VLOOKUP((YEAR($A334)+IF(MONTH($A334)&gt;=10,1,0))&amp;"|Seattle|"&amp;MONTH($A334),Rates!$A$2:$I$181,6,FALSE()),0))</f>
        <v>0</v>
      </c>
      <c r="AI334" s="14" t="n">
        <f aca="false">IF(AH334=0,0,VLOOKUP(AH334,MIE_Components!$A$2:$F$6,2,FALSE()))</f>
        <v>0</v>
      </c>
      <c r="AJ334" s="14" t="n">
        <f aca="false">IF(AH334=0,0,VLOOKUP(AH334,MIE_Components!$A$2:$F$6,3,FALSE()))</f>
        <v>0</v>
      </c>
      <c r="AK334" s="14" t="n">
        <f aca="false">IF(AH334=0,0,VLOOKUP(AH334,MIE_Components!$A$2:$F$6,4,FALSE()))</f>
        <v>0</v>
      </c>
      <c r="AL334" s="14" t="n">
        <f aca="false">IF(OR($A334="",AH334=0),0,MAX(5,AH334*IF(OR($A334=Parameters!$B$13,$A334=Parameters!$B$14),0.75,1)-(IF(AND($A334=DATE(2026,11,29),NOV29BF="Yes"),AI334,0)+IF(OR($A334=DATE(2026,11,29),$A334=DATE(2026,11,30),$A334=DATE(2026,12,1),$A334=DATE(2026,12,2)),AJ334,0)+IF(OR($A334=DATE(2026,11,28),$A334=DATE(2026,12,1)),AK334,0))))</f>
        <v>0</v>
      </c>
      <c r="AM334" s="14" t="n">
        <f aca="false">IF(AND($A334&lt;&gt;"",$A334&lt;Parameters!$B$14),CityData!F7*(1+TAXRATE),0)</f>
        <v>0</v>
      </c>
      <c r="AN334" s="14" t="n">
        <f aca="false">IF($A334="",0,IFERROR(VLOOKUP((YEAR($A334)+IF(MONTH($A334)&gt;=10,1,0))&amp;"|Seattle|"&amp;MONTH($A334),Rates!$A$2:$I$181,5,FALSE()),0))</f>
        <v>0</v>
      </c>
      <c r="AO334" s="14" t="n">
        <f aca="false">IF(OR($A334="",$A334&gt;=Parameters!$B$14),1,IF(AND(AN334&gt;0,CityData!F7&lt;=AN334),1,0))</f>
        <v>1</v>
      </c>
    </row>
    <row r="335" customFormat="false" ht="15" hidden="false" customHeight="true" outlineLevel="0" collapsed="false">
      <c r="A335" s="23" t="str">
        <f aca="false">IF(AND(Parameters!$B$14&gt;=Parameters!$B$13,ROW()-2&lt;=Parameters!$B$14-Parameters!$B$13),Parameters!$B$13+ROW()-2,"")</f>
        <v/>
      </c>
      <c r="B335" s="14" t="n">
        <f aca="false">IF($A335="",0,IFERROR(VLOOKUP((YEAR($A335)+IF(MONTH($A335)&gt;=10,1,0))&amp;"|Boston|"&amp;MONTH($A335),Rates!$A$2:$I$181,6,FALSE()),0))</f>
        <v>0</v>
      </c>
      <c r="C335" s="14" t="n">
        <f aca="false">IF(B335=0,0,VLOOKUP(B335,MIE_Components!$A$2:$F$6,2,FALSE()))</f>
        <v>0</v>
      </c>
      <c r="D335" s="14" t="n">
        <f aca="false">IF(B335=0,0,VLOOKUP(B335,MIE_Components!$A$2:$F$6,3,FALSE()))</f>
        <v>0</v>
      </c>
      <c r="E335" s="14" t="n">
        <f aca="false">IF(B335=0,0,VLOOKUP(B335,MIE_Components!$A$2:$F$6,4,FALSE()))</f>
        <v>0</v>
      </c>
      <c r="F335" s="14" t="n">
        <f aca="false">IF(OR($A335="",B335=0),0,MAX(5,B335*IF(OR($A335=Parameters!$B$13,$A335=Parameters!$B$14),0.75,1)-(IF(AND($A335=DATE(2026,11,29),NOV29BF="Yes"),C335,0)+IF(OR($A335=DATE(2026,11,29),$A335=DATE(2026,11,30),$A335=DATE(2026,12,1),$A335=DATE(2026,12,2)),D335,0)+IF(OR($A335=DATE(2026,11,28),$A335=DATE(2026,12,1)),E335,0))))</f>
        <v>0</v>
      </c>
      <c r="G335" s="14" t="n">
        <f aca="false">IF(AND($A335&lt;&gt;"",$A335&lt;Parameters!$B$14),CityData!F3*(1+TAXRATE),0)</f>
        <v>0</v>
      </c>
      <c r="H335" s="14" t="n">
        <f aca="false">IF($A335="",0,IFERROR(VLOOKUP((YEAR($A335)+IF(MONTH($A335)&gt;=10,1,0))&amp;"|Boston|"&amp;MONTH($A335),Rates!$A$2:$I$181,5,FALSE()),0))</f>
        <v>0</v>
      </c>
      <c r="I335" s="14" t="n">
        <f aca="false">IF(OR($A335="",$A335&gt;=Parameters!$B$14),1,IF(AND(H335&gt;0,CityData!F3&lt;=H335),1,0))</f>
        <v>1</v>
      </c>
      <c r="J335" s="14" t="n">
        <f aca="false">IF($A335="",0,IFERROR(VLOOKUP((YEAR($A335)+IF(MONTH($A335)&gt;=10,1,0))&amp;"|Chicago|"&amp;MONTH($A335),Rates!$A$2:$I$181,6,FALSE()),0))</f>
        <v>0</v>
      </c>
      <c r="K335" s="14" t="n">
        <f aca="false">IF(J335=0,0,VLOOKUP(J335,MIE_Components!$A$2:$F$6,2,FALSE()))</f>
        <v>0</v>
      </c>
      <c r="L335" s="14" t="n">
        <f aca="false">IF(J335=0,0,VLOOKUP(J335,MIE_Components!$A$2:$F$6,3,FALSE()))</f>
        <v>0</v>
      </c>
      <c r="M335" s="14" t="n">
        <f aca="false">IF(J335=0,0,VLOOKUP(J335,MIE_Components!$A$2:$F$6,4,FALSE()))</f>
        <v>0</v>
      </c>
      <c r="N335" s="14" t="n">
        <f aca="false">IF(OR($A335="",J335=0),0,MAX(5,J335*IF(OR($A335=Parameters!$B$13,$A335=Parameters!$B$14),0.75,1)-(IF(AND($A335=DATE(2026,11,29),NOV29BF="Yes"),K335,0)+IF(OR($A335=DATE(2026,11,29),$A335=DATE(2026,11,30),$A335=DATE(2026,12,1),$A335=DATE(2026,12,2)),L335,0)+IF(OR($A335=DATE(2026,11,28),$A335=DATE(2026,12,1)),M335,0))))</f>
        <v>0</v>
      </c>
      <c r="O335" s="14" t="n">
        <f aca="false">IF(AND($A335&lt;&gt;"",$A335&lt;Parameters!$B$14),CityData!F4*(1+TAXRATE),0)</f>
        <v>0</v>
      </c>
      <c r="P335" s="14" t="n">
        <f aca="false">IF($A335="",0,IFERROR(VLOOKUP((YEAR($A335)+IF(MONTH($A335)&gt;=10,1,0))&amp;"|Chicago|"&amp;MONTH($A335),Rates!$A$2:$I$181,5,FALSE()),0))</f>
        <v>0</v>
      </c>
      <c r="Q335" s="14" t="n">
        <f aca="false">IF(OR($A335="",$A335&gt;=Parameters!$B$14),1,IF(AND(P335&gt;0,CityData!F4&lt;=P335),1,0))</f>
        <v>1</v>
      </c>
      <c r="R335" s="14" t="n">
        <f aca="false">IF($A335="",0,IFERROR(VLOOKUP((YEAR($A335)+IF(MONTH($A335)&gt;=10,1,0))&amp;"|Denver|"&amp;MONTH($A335),Rates!$A$2:$I$181,6,FALSE()),0))</f>
        <v>0</v>
      </c>
      <c r="S335" s="14" t="n">
        <f aca="false">IF(R335=0,0,VLOOKUP(R335,MIE_Components!$A$2:$F$6,2,FALSE()))</f>
        <v>0</v>
      </c>
      <c r="T335" s="14" t="n">
        <f aca="false">IF(R335=0,0,VLOOKUP(R335,MIE_Components!$A$2:$F$6,3,FALSE()))</f>
        <v>0</v>
      </c>
      <c r="U335" s="14" t="n">
        <f aca="false">IF(R335=0,0,VLOOKUP(R335,MIE_Components!$A$2:$F$6,4,FALSE()))</f>
        <v>0</v>
      </c>
      <c r="V335" s="14" t="n">
        <f aca="false">IF(OR($A335="",R335=0),0,MAX(5,R335*IF(OR($A335=Parameters!$B$13,$A335=Parameters!$B$14),0.75,1)-(IF(AND($A335=DATE(2026,11,29),NOV29BF="Yes"),S335,0)+IF(OR($A335=DATE(2026,11,29),$A335=DATE(2026,11,30),$A335=DATE(2026,12,1),$A335=DATE(2026,12,2)),T335,0)+IF(OR($A335=DATE(2026,11,28),$A335=DATE(2026,12,1)),U335,0))))</f>
        <v>0</v>
      </c>
      <c r="W335" s="14" t="n">
        <f aca="false">IF(AND($A335&lt;&gt;"",$A335&lt;Parameters!$B$14),CityData!F5*(1+TAXRATE),0)</f>
        <v>0</v>
      </c>
      <c r="X335" s="14" t="n">
        <f aca="false">IF($A335="",0,IFERROR(VLOOKUP((YEAR($A335)+IF(MONTH($A335)&gt;=10,1,0))&amp;"|Denver|"&amp;MONTH($A335),Rates!$A$2:$I$181,5,FALSE()),0))</f>
        <v>0</v>
      </c>
      <c r="Y335" s="14" t="n">
        <f aca="false">IF(OR($A335="",$A335&gt;=Parameters!$B$14),1,IF(AND(X335&gt;0,CityData!F5&lt;=X335),1,0))</f>
        <v>1</v>
      </c>
      <c r="Z335" s="14" t="n">
        <f aca="false">IF($A335="",0,IFERROR(VLOOKUP((YEAR($A335)+IF(MONTH($A335)&gt;=10,1,0))&amp;"|Phoenix|"&amp;MONTH($A335),Rates!$A$2:$I$181,6,FALSE()),0))</f>
        <v>0</v>
      </c>
      <c r="AA335" s="14" t="n">
        <f aca="false">IF(Z335=0,0,VLOOKUP(Z335,MIE_Components!$A$2:$F$6,2,FALSE()))</f>
        <v>0</v>
      </c>
      <c r="AB335" s="14" t="n">
        <f aca="false">IF(Z335=0,0,VLOOKUP(Z335,MIE_Components!$A$2:$F$6,3,FALSE()))</f>
        <v>0</v>
      </c>
      <c r="AC335" s="14" t="n">
        <f aca="false">IF(Z335=0,0,VLOOKUP(Z335,MIE_Components!$A$2:$F$6,4,FALSE()))</f>
        <v>0</v>
      </c>
      <c r="AD335" s="14" t="n">
        <f aca="false">IF(OR($A335="",Z335=0),0,MAX(5,Z335*IF(OR($A335=Parameters!$B$13,$A335=Parameters!$B$14),0.75,1)-(IF(AND($A335=DATE(2026,11,29),NOV29BF="Yes"),AA335,0)+IF(OR($A335=DATE(2026,11,29),$A335=DATE(2026,11,30),$A335=DATE(2026,12,1),$A335=DATE(2026,12,2)),AB335,0)+IF(OR($A335=DATE(2026,11,28),$A335=DATE(2026,12,1)),AC335,0))))</f>
        <v>0</v>
      </c>
      <c r="AE335" s="14" t="n">
        <f aca="false">IF(AND($A335&lt;&gt;"",$A335&lt;Parameters!$B$14),CityData!F6*(1+TAXRATE),0)</f>
        <v>0</v>
      </c>
      <c r="AF335" s="14" t="n">
        <f aca="false">IF($A335="",0,IFERROR(VLOOKUP((YEAR($A335)+IF(MONTH($A335)&gt;=10,1,0))&amp;"|Phoenix|"&amp;MONTH($A335),Rates!$A$2:$I$181,5,FALSE()),0))</f>
        <v>0</v>
      </c>
      <c r="AG335" s="14" t="n">
        <f aca="false">IF(OR($A335="",$A335&gt;=Parameters!$B$14),1,IF(AND(AF335&gt;0,CityData!F6&lt;=AF335),1,0))</f>
        <v>1</v>
      </c>
      <c r="AH335" s="14" t="n">
        <f aca="false">IF($A335="",0,IFERROR(VLOOKUP((YEAR($A335)+IF(MONTH($A335)&gt;=10,1,0))&amp;"|Seattle|"&amp;MONTH($A335),Rates!$A$2:$I$181,6,FALSE()),0))</f>
        <v>0</v>
      </c>
      <c r="AI335" s="14" t="n">
        <f aca="false">IF(AH335=0,0,VLOOKUP(AH335,MIE_Components!$A$2:$F$6,2,FALSE()))</f>
        <v>0</v>
      </c>
      <c r="AJ335" s="14" t="n">
        <f aca="false">IF(AH335=0,0,VLOOKUP(AH335,MIE_Components!$A$2:$F$6,3,FALSE()))</f>
        <v>0</v>
      </c>
      <c r="AK335" s="14" t="n">
        <f aca="false">IF(AH335=0,0,VLOOKUP(AH335,MIE_Components!$A$2:$F$6,4,FALSE()))</f>
        <v>0</v>
      </c>
      <c r="AL335" s="14" t="n">
        <f aca="false">IF(OR($A335="",AH335=0),0,MAX(5,AH335*IF(OR($A335=Parameters!$B$13,$A335=Parameters!$B$14),0.75,1)-(IF(AND($A335=DATE(2026,11,29),NOV29BF="Yes"),AI335,0)+IF(OR($A335=DATE(2026,11,29),$A335=DATE(2026,11,30),$A335=DATE(2026,12,1),$A335=DATE(2026,12,2)),AJ335,0)+IF(OR($A335=DATE(2026,11,28),$A335=DATE(2026,12,1)),AK335,0))))</f>
        <v>0</v>
      </c>
      <c r="AM335" s="14" t="n">
        <f aca="false">IF(AND($A335&lt;&gt;"",$A335&lt;Parameters!$B$14),CityData!F7*(1+TAXRATE),0)</f>
        <v>0</v>
      </c>
      <c r="AN335" s="14" t="n">
        <f aca="false">IF($A335="",0,IFERROR(VLOOKUP((YEAR($A335)+IF(MONTH($A335)&gt;=10,1,0))&amp;"|Seattle|"&amp;MONTH($A335),Rates!$A$2:$I$181,5,FALSE()),0))</f>
        <v>0</v>
      </c>
      <c r="AO335" s="14" t="n">
        <f aca="false">IF(OR($A335="",$A335&gt;=Parameters!$B$14),1,IF(AND(AN335&gt;0,CityData!F7&lt;=AN335),1,0))</f>
        <v>1</v>
      </c>
    </row>
    <row r="336" customFormat="false" ht="15" hidden="false" customHeight="true" outlineLevel="0" collapsed="false">
      <c r="A336" s="23" t="str">
        <f aca="false">IF(AND(Parameters!$B$14&gt;=Parameters!$B$13,ROW()-2&lt;=Parameters!$B$14-Parameters!$B$13),Parameters!$B$13+ROW()-2,"")</f>
        <v/>
      </c>
      <c r="B336" s="14" t="n">
        <f aca="false">IF($A336="",0,IFERROR(VLOOKUP((YEAR($A336)+IF(MONTH($A336)&gt;=10,1,0))&amp;"|Boston|"&amp;MONTH($A336),Rates!$A$2:$I$181,6,FALSE()),0))</f>
        <v>0</v>
      </c>
      <c r="C336" s="14" t="n">
        <f aca="false">IF(B336=0,0,VLOOKUP(B336,MIE_Components!$A$2:$F$6,2,FALSE()))</f>
        <v>0</v>
      </c>
      <c r="D336" s="14" t="n">
        <f aca="false">IF(B336=0,0,VLOOKUP(B336,MIE_Components!$A$2:$F$6,3,FALSE()))</f>
        <v>0</v>
      </c>
      <c r="E336" s="14" t="n">
        <f aca="false">IF(B336=0,0,VLOOKUP(B336,MIE_Components!$A$2:$F$6,4,FALSE()))</f>
        <v>0</v>
      </c>
      <c r="F336" s="14" t="n">
        <f aca="false">IF(OR($A336="",B336=0),0,MAX(5,B336*IF(OR($A336=Parameters!$B$13,$A336=Parameters!$B$14),0.75,1)-(IF(AND($A336=DATE(2026,11,29),NOV29BF="Yes"),C336,0)+IF(OR($A336=DATE(2026,11,29),$A336=DATE(2026,11,30),$A336=DATE(2026,12,1),$A336=DATE(2026,12,2)),D336,0)+IF(OR($A336=DATE(2026,11,28),$A336=DATE(2026,12,1)),E336,0))))</f>
        <v>0</v>
      </c>
      <c r="G336" s="14" t="n">
        <f aca="false">IF(AND($A336&lt;&gt;"",$A336&lt;Parameters!$B$14),CityData!F3*(1+TAXRATE),0)</f>
        <v>0</v>
      </c>
      <c r="H336" s="14" t="n">
        <f aca="false">IF($A336="",0,IFERROR(VLOOKUP((YEAR($A336)+IF(MONTH($A336)&gt;=10,1,0))&amp;"|Boston|"&amp;MONTH($A336),Rates!$A$2:$I$181,5,FALSE()),0))</f>
        <v>0</v>
      </c>
      <c r="I336" s="14" t="n">
        <f aca="false">IF(OR($A336="",$A336&gt;=Parameters!$B$14),1,IF(AND(H336&gt;0,CityData!F3&lt;=H336),1,0))</f>
        <v>1</v>
      </c>
      <c r="J336" s="14" t="n">
        <f aca="false">IF($A336="",0,IFERROR(VLOOKUP((YEAR($A336)+IF(MONTH($A336)&gt;=10,1,0))&amp;"|Chicago|"&amp;MONTH($A336),Rates!$A$2:$I$181,6,FALSE()),0))</f>
        <v>0</v>
      </c>
      <c r="K336" s="14" t="n">
        <f aca="false">IF(J336=0,0,VLOOKUP(J336,MIE_Components!$A$2:$F$6,2,FALSE()))</f>
        <v>0</v>
      </c>
      <c r="L336" s="14" t="n">
        <f aca="false">IF(J336=0,0,VLOOKUP(J336,MIE_Components!$A$2:$F$6,3,FALSE()))</f>
        <v>0</v>
      </c>
      <c r="M336" s="14" t="n">
        <f aca="false">IF(J336=0,0,VLOOKUP(J336,MIE_Components!$A$2:$F$6,4,FALSE()))</f>
        <v>0</v>
      </c>
      <c r="N336" s="14" t="n">
        <f aca="false">IF(OR($A336="",J336=0),0,MAX(5,J336*IF(OR($A336=Parameters!$B$13,$A336=Parameters!$B$14),0.75,1)-(IF(AND($A336=DATE(2026,11,29),NOV29BF="Yes"),K336,0)+IF(OR($A336=DATE(2026,11,29),$A336=DATE(2026,11,30),$A336=DATE(2026,12,1),$A336=DATE(2026,12,2)),L336,0)+IF(OR($A336=DATE(2026,11,28),$A336=DATE(2026,12,1)),M336,0))))</f>
        <v>0</v>
      </c>
      <c r="O336" s="14" t="n">
        <f aca="false">IF(AND($A336&lt;&gt;"",$A336&lt;Parameters!$B$14),CityData!F4*(1+TAXRATE),0)</f>
        <v>0</v>
      </c>
      <c r="P336" s="14" t="n">
        <f aca="false">IF($A336="",0,IFERROR(VLOOKUP((YEAR($A336)+IF(MONTH($A336)&gt;=10,1,0))&amp;"|Chicago|"&amp;MONTH($A336),Rates!$A$2:$I$181,5,FALSE()),0))</f>
        <v>0</v>
      </c>
      <c r="Q336" s="14" t="n">
        <f aca="false">IF(OR($A336="",$A336&gt;=Parameters!$B$14),1,IF(AND(P336&gt;0,CityData!F4&lt;=P336),1,0))</f>
        <v>1</v>
      </c>
      <c r="R336" s="14" t="n">
        <f aca="false">IF($A336="",0,IFERROR(VLOOKUP((YEAR($A336)+IF(MONTH($A336)&gt;=10,1,0))&amp;"|Denver|"&amp;MONTH($A336),Rates!$A$2:$I$181,6,FALSE()),0))</f>
        <v>0</v>
      </c>
      <c r="S336" s="14" t="n">
        <f aca="false">IF(R336=0,0,VLOOKUP(R336,MIE_Components!$A$2:$F$6,2,FALSE()))</f>
        <v>0</v>
      </c>
      <c r="T336" s="14" t="n">
        <f aca="false">IF(R336=0,0,VLOOKUP(R336,MIE_Components!$A$2:$F$6,3,FALSE()))</f>
        <v>0</v>
      </c>
      <c r="U336" s="14" t="n">
        <f aca="false">IF(R336=0,0,VLOOKUP(R336,MIE_Components!$A$2:$F$6,4,FALSE()))</f>
        <v>0</v>
      </c>
      <c r="V336" s="14" t="n">
        <f aca="false">IF(OR($A336="",R336=0),0,MAX(5,R336*IF(OR($A336=Parameters!$B$13,$A336=Parameters!$B$14),0.75,1)-(IF(AND($A336=DATE(2026,11,29),NOV29BF="Yes"),S336,0)+IF(OR($A336=DATE(2026,11,29),$A336=DATE(2026,11,30),$A336=DATE(2026,12,1),$A336=DATE(2026,12,2)),T336,0)+IF(OR($A336=DATE(2026,11,28),$A336=DATE(2026,12,1)),U336,0))))</f>
        <v>0</v>
      </c>
      <c r="W336" s="14" t="n">
        <f aca="false">IF(AND($A336&lt;&gt;"",$A336&lt;Parameters!$B$14),CityData!F5*(1+TAXRATE),0)</f>
        <v>0</v>
      </c>
      <c r="X336" s="14" t="n">
        <f aca="false">IF($A336="",0,IFERROR(VLOOKUP((YEAR($A336)+IF(MONTH($A336)&gt;=10,1,0))&amp;"|Denver|"&amp;MONTH($A336),Rates!$A$2:$I$181,5,FALSE()),0))</f>
        <v>0</v>
      </c>
      <c r="Y336" s="14" t="n">
        <f aca="false">IF(OR($A336="",$A336&gt;=Parameters!$B$14),1,IF(AND(X336&gt;0,CityData!F5&lt;=X336),1,0))</f>
        <v>1</v>
      </c>
      <c r="Z336" s="14" t="n">
        <f aca="false">IF($A336="",0,IFERROR(VLOOKUP((YEAR($A336)+IF(MONTH($A336)&gt;=10,1,0))&amp;"|Phoenix|"&amp;MONTH($A336),Rates!$A$2:$I$181,6,FALSE()),0))</f>
        <v>0</v>
      </c>
      <c r="AA336" s="14" t="n">
        <f aca="false">IF(Z336=0,0,VLOOKUP(Z336,MIE_Components!$A$2:$F$6,2,FALSE()))</f>
        <v>0</v>
      </c>
      <c r="AB336" s="14" t="n">
        <f aca="false">IF(Z336=0,0,VLOOKUP(Z336,MIE_Components!$A$2:$F$6,3,FALSE()))</f>
        <v>0</v>
      </c>
      <c r="AC336" s="14" t="n">
        <f aca="false">IF(Z336=0,0,VLOOKUP(Z336,MIE_Components!$A$2:$F$6,4,FALSE()))</f>
        <v>0</v>
      </c>
      <c r="AD336" s="14" t="n">
        <f aca="false">IF(OR($A336="",Z336=0),0,MAX(5,Z336*IF(OR($A336=Parameters!$B$13,$A336=Parameters!$B$14),0.75,1)-(IF(AND($A336=DATE(2026,11,29),NOV29BF="Yes"),AA336,0)+IF(OR($A336=DATE(2026,11,29),$A336=DATE(2026,11,30),$A336=DATE(2026,12,1),$A336=DATE(2026,12,2)),AB336,0)+IF(OR($A336=DATE(2026,11,28),$A336=DATE(2026,12,1)),AC336,0))))</f>
        <v>0</v>
      </c>
      <c r="AE336" s="14" t="n">
        <f aca="false">IF(AND($A336&lt;&gt;"",$A336&lt;Parameters!$B$14),CityData!F6*(1+TAXRATE),0)</f>
        <v>0</v>
      </c>
      <c r="AF336" s="14" t="n">
        <f aca="false">IF($A336="",0,IFERROR(VLOOKUP((YEAR($A336)+IF(MONTH($A336)&gt;=10,1,0))&amp;"|Phoenix|"&amp;MONTH($A336),Rates!$A$2:$I$181,5,FALSE()),0))</f>
        <v>0</v>
      </c>
      <c r="AG336" s="14" t="n">
        <f aca="false">IF(OR($A336="",$A336&gt;=Parameters!$B$14),1,IF(AND(AF336&gt;0,CityData!F6&lt;=AF336),1,0))</f>
        <v>1</v>
      </c>
      <c r="AH336" s="14" t="n">
        <f aca="false">IF($A336="",0,IFERROR(VLOOKUP((YEAR($A336)+IF(MONTH($A336)&gt;=10,1,0))&amp;"|Seattle|"&amp;MONTH($A336),Rates!$A$2:$I$181,6,FALSE()),0))</f>
        <v>0</v>
      </c>
      <c r="AI336" s="14" t="n">
        <f aca="false">IF(AH336=0,0,VLOOKUP(AH336,MIE_Components!$A$2:$F$6,2,FALSE()))</f>
        <v>0</v>
      </c>
      <c r="AJ336" s="14" t="n">
        <f aca="false">IF(AH336=0,0,VLOOKUP(AH336,MIE_Components!$A$2:$F$6,3,FALSE()))</f>
        <v>0</v>
      </c>
      <c r="AK336" s="14" t="n">
        <f aca="false">IF(AH336=0,0,VLOOKUP(AH336,MIE_Components!$A$2:$F$6,4,FALSE()))</f>
        <v>0</v>
      </c>
      <c r="AL336" s="14" t="n">
        <f aca="false">IF(OR($A336="",AH336=0),0,MAX(5,AH336*IF(OR($A336=Parameters!$B$13,$A336=Parameters!$B$14),0.75,1)-(IF(AND($A336=DATE(2026,11,29),NOV29BF="Yes"),AI336,0)+IF(OR($A336=DATE(2026,11,29),$A336=DATE(2026,11,30),$A336=DATE(2026,12,1),$A336=DATE(2026,12,2)),AJ336,0)+IF(OR($A336=DATE(2026,11,28),$A336=DATE(2026,12,1)),AK336,0))))</f>
        <v>0</v>
      </c>
      <c r="AM336" s="14" t="n">
        <f aca="false">IF(AND($A336&lt;&gt;"",$A336&lt;Parameters!$B$14),CityData!F7*(1+TAXRATE),0)</f>
        <v>0</v>
      </c>
      <c r="AN336" s="14" t="n">
        <f aca="false">IF($A336="",0,IFERROR(VLOOKUP((YEAR($A336)+IF(MONTH($A336)&gt;=10,1,0))&amp;"|Seattle|"&amp;MONTH($A336),Rates!$A$2:$I$181,5,FALSE()),0))</f>
        <v>0</v>
      </c>
      <c r="AO336" s="14" t="n">
        <f aca="false">IF(OR($A336="",$A336&gt;=Parameters!$B$14),1,IF(AND(AN336&gt;0,CityData!F7&lt;=AN336),1,0))</f>
        <v>1</v>
      </c>
    </row>
    <row r="337" customFormat="false" ht="15" hidden="false" customHeight="true" outlineLevel="0" collapsed="false">
      <c r="A337" s="23" t="str">
        <f aca="false">IF(AND(Parameters!$B$14&gt;=Parameters!$B$13,ROW()-2&lt;=Parameters!$B$14-Parameters!$B$13),Parameters!$B$13+ROW()-2,"")</f>
        <v/>
      </c>
      <c r="B337" s="14" t="n">
        <f aca="false">IF($A337="",0,IFERROR(VLOOKUP((YEAR($A337)+IF(MONTH($A337)&gt;=10,1,0))&amp;"|Boston|"&amp;MONTH($A337),Rates!$A$2:$I$181,6,FALSE()),0))</f>
        <v>0</v>
      </c>
      <c r="C337" s="14" t="n">
        <f aca="false">IF(B337=0,0,VLOOKUP(B337,MIE_Components!$A$2:$F$6,2,FALSE()))</f>
        <v>0</v>
      </c>
      <c r="D337" s="14" t="n">
        <f aca="false">IF(B337=0,0,VLOOKUP(B337,MIE_Components!$A$2:$F$6,3,FALSE()))</f>
        <v>0</v>
      </c>
      <c r="E337" s="14" t="n">
        <f aca="false">IF(B337=0,0,VLOOKUP(B337,MIE_Components!$A$2:$F$6,4,FALSE()))</f>
        <v>0</v>
      </c>
      <c r="F337" s="14" t="n">
        <f aca="false">IF(OR($A337="",B337=0),0,MAX(5,B337*IF(OR($A337=Parameters!$B$13,$A337=Parameters!$B$14),0.75,1)-(IF(AND($A337=DATE(2026,11,29),NOV29BF="Yes"),C337,0)+IF(OR($A337=DATE(2026,11,29),$A337=DATE(2026,11,30),$A337=DATE(2026,12,1),$A337=DATE(2026,12,2)),D337,0)+IF(OR($A337=DATE(2026,11,28),$A337=DATE(2026,12,1)),E337,0))))</f>
        <v>0</v>
      </c>
      <c r="G337" s="14" t="n">
        <f aca="false">IF(AND($A337&lt;&gt;"",$A337&lt;Parameters!$B$14),CityData!F3*(1+TAXRATE),0)</f>
        <v>0</v>
      </c>
      <c r="H337" s="14" t="n">
        <f aca="false">IF($A337="",0,IFERROR(VLOOKUP((YEAR($A337)+IF(MONTH($A337)&gt;=10,1,0))&amp;"|Boston|"&amp;MONTH($A337),Rates!$A$2:$I$181,5,FALSE()),0))</f>
        <v>0</v>
      </c>
      <c r="I337" s="14" t="n">
        <f aca="false">IF(OR($A337="",$A337&gt;=Parameters!$B$14),1,IF(AND(H337&gt;0,CityData!F3&lt;=H337),1,0))</f>
        <v>1</v>
      </c>
      <c r="J337" s="14" t="n">
        <f aca="false">IF($A337="",0,IFERROR(VLOOKUP((YEAR($A337)+IF(MONTH($A337)&gt;=10,1,0))&amp;"|Chicago|"&amp;MONTH($A337),Rates!$A$2:$I$181,6,FALSE()),0))</f>
        <v>0</v>
      </c>
      <c r="K337" s="14" t="n">
        <f aca="false">IF(J337=0,0,VLOOKUP(J337,MIE_Components!$A$2:$F$6,2,FALSE()))</f>
        <v>0</v>
      </c>
      <c r="L337" s="14" t="n">
        <f aca="false">IF(J337=0,0,VLOOKUP(J337,MIE_Components!$A$2:$F$6,3,FALSE()))</f>
        <v>0</v>
      </c>
      <c r="M337" s="14" t="n">
        <f aca="false">IF(J337=0,0,VLOOKUP(J337,MIE_Components!$A$2:$F$6,4,FALSE()))</f>
        <v>0</v>
      </c>
      <c r="N337" s="14" t="n">
        <f aca="false">IF(OR($A337="",J337=0),0,MAX(5,J337*IF(OR($A337=Parameters!$B$13,$A337=Parameters!$B$14),0.75,1)-(IF(AND($A337=DATE(2026,11,29),NOV29BF="Yes"),K337,0)+IF(OR($A337=DATE(2026,11,29),$A337=DATE(2026,11,30),$A337=DATE(2026,12,1),$A337=DATE(2026,12,2)),L337,0)+IF(OR($A337=DATE(2026,11,28),$A337=DATE(2026,12,1)),M337,0))))</f>
        <v>0</v>
      </c>
      <c r="O337" s="14" t="n">
        <f aca="false">IF(AND($A337&lt;&gt;"",$A337&lt;Parameters!$B$14),CityData!F4*(1+TAXRATE),0)</f>
        <v>0</v>
      </c>
      <c r="P337" s="14" t="n">
        <f aca="false">IF($A337="",0,IFERROR(VLOOKUP((YEAR($A337)+IF(MONTH($A337)&gt;=10,1,0))&amp;"|Chicago|"&amp;MONTH($A337),Rates!$A$2:$I$181,5,FALSE()),0))</f>
        <v>0</v>
      </c>
      <c r="Q337" s="14" t="n">
        <f aca="false">IF(OR($A337="",$A337&gt;=Parameters!$B$14),1,IF(AND(P337&gt;0,CityData!F4&lt;=P337),1,0))</f>
        <v>1</v>
      </c>
      <c r="R337" s="14" t="n">
        <f aca="false">IF($A337="",0,IFERROR(VLOOKUP((YEAR($A337)+IF(MONTH($A337)&gt;=10,1,0))&amp;"|Denver|"&amp;MONTH($A337),Rates!$A$2:$I$181,6,FALSE()),0))</f>
        <v>0</v>
      </c>
      <c r="S337" s="14" t="n">
        <f aca="false">IF(R337=0,0,VLOOKUP(R337,MIE_Components!$A$2:$F$6,2,FALSE()))</f>
        <v>0</v>
      </c>
      <c r="T337" s="14" t="n">
        <f aca="false">IF(R337=0,0,VLOOKUP(R337,MIE_Components!$A$2:$F$6,3,FALSE()))</f>
        <v>0</v>
      </c>
      <c r="U337" s="14" t="n">
        <f aca="false">IF(R337=0,0,VLOOKUP(R337,MIE_Components!$A$2:$F$6,4,FALSE()))</f>
        <v>0</v>
      </c>
      <c r="V337" s="14" t="n">
        <f aca="false">IF(OR($A337="",R337=0),0,MAX(5,R337*IF(OR($A337=Parameters!$B$13,$A337=Parameters!$B$14),0.75,1)-(IF(AND($A337=DATE(2026,11,29),NOV29BF="Yes"),S337,0)+IF(OR($A337=DATE(2026,11,29),$A337=DATE(2026,11,30),$A337=DATE(2026,12,1),$A337=DATE(2026,12,2)),T337,0)+IF(OR($A337=DATE(2026,11,28),$A337=DATE(2026,12,1)),U337,0))))</f>
        <v>0</v>
      </c>
      <c r="W337" s="14" t="n">
        <f aca="false">IF(AND($A337&lt;&gt;"",$A337&lt;Parameters!$B$14),CityData!F5*(1+TAXRATE),0)</f>
        <v>0</v>
      </c>
      <c r="X337" s="14" t="n">
        <f aca="false">IF($A337="",0,IFERROR(VLOOKUP((YEAR($A337)+IF(MONTH($A337)&gt;=10,1,0))&amp;"|Denver|"&amp;MONTH($A337),Rates!$A$2:$I$181,5,FALSE()),0))</f>
        <v>0</v>
      </c>
      <c r="Y337" s="14" t="n">
        <f aca="false">IF(OR($A337="",$A337&gt;=Parameters!$B$14),1,IF(AND(X337&gt;0,CityData!F5&lt;=X337),1,0))</f>
        <v>1</v>
      </c>
      <c r="Z337" s="14" t="n">
        <f aca="false">IF($A337="",0,IFERROR(VLOOKUP((YEAR($A337)+IF(MONTH($A337)&gt;=10,1,0))&amp;"|Phoenix|"&amp;MONTH($A337),Rates!$A$2:$I$181,6,FALSE()),0))</f>
        <v>0</v>
      </c>
      <c r="AA337" s="14" t="n">
        <f aca="false">IF(Z337=0,0,VLOOKUP(Z337,MIE_Components!$A$2:$F$6,2,FALSE()))</f>
        <v>0</v>
      </c>
      <c r="AB337" s="14" t="n">
        <f aca="false">IF(Z337=0,0,VLOOKUP(Z337,MIE_Components!$A$2:$F$6,3,FALSE()))</f>
        <v>0</v>
      </c>
      <c r="AC337" s="14" t="n">
        <f aca="false">IF(Z337=0,0,VLOOKUP(Z337,MIE_Components!$A$2:$F$6,4,FALSE()))</f>
        <v>0</v>
      </c>
      <c r="AD337" s="14" t="n">
        <f aca="false">IF(OR($A337="",Z337=0),0,MAX(5,Z337*IF(OR($A337=Parameters!$B$13,$A337=Parameters!$B$14),0.75,1)-(IF(AND($A337=DATE(2026,11,29),NOV29BF="Yes"),AA337,0)+IF(OR($A337=DATE(2026,11,29),$A337=DATE(2026,11,30),$A337=DATE(2026,12,1),$A337=DATE(2026,12,2)),AB337,0)+IF(OR($A337=DATE(2026,11,28),$A337=DATE(2026,12,1)),AC337,0))))</f>
        <v>0</v>
      </c>
      <c r="AE337" s="14" t="n">
        <f aca="false">IF(AND($A337&lt;&gt;"",$A337&lt;Parameters!$B$14),CityData!F6*(1+TAXRATE),0)</f>
        <v>0</v>
      </c>
      <c r="AF337" s="14" t="n">
        <f aca="false">IF($A337="",0,IFERROR(VLOOKUP((YEAR($A337)+IF(MONTH($A337)&gt;=10,1,0))&amp;"|Phoenix|"&amp;MONTH($A337),Rates!$A$2:$I$181,5,FALSE()),0))</f>
        <v>0</v>
      </c>
      <c r="AG337" s="14" t="n">
        <f aca="false">IF(OR($A337="",$A337&gt;=Parameters!$B$14),1,IF(AND(AF337&gt;0,CityData!F6&lt;=AF337),1,0))</f>
        <v>1</v>
      </c>
      <c r="AH337" s="14" t="n">
        <f aca="false">IF($A337="",0,IFERROR(VLOOKUP((YEAR($A337)+IF(MONTH($A337)&gt;=10,1,0))&amp;"|Seattle|"&amp;MONTH($A337),Rates!$A$2:$I$181,6,FALSE()),0))</f>
        <v>0</v>
      </c>
      <c r="AI337" s="14" t="n">
        <f aca="false">IF(AH337=0,0,VLOOKUP(AH337,MIE_Components!$A$2:$F$6,2,FALSE()))</f>
        <v>0</v>
      </c>
      <c r="AJ337" s="14" t="n">
        <f aca="false">IF(AH337=0,0,VLOOKUP(AH337,MIE_Components!$A$2:$F$6,3,FALSE()))</f>
        <v>0</v>
      </c>
      <c r="AK337" s="14" t="n">
        <f aca="false">IF(AH337=0,0,VLOOKUP(AH337,MIE_Components!$A$2:$F$6,4,FALSE()))</f>
        <v>0</v>
      </c>
      <c r="AL337" s="14" t="n">
        <f aca="false">IF(OR($A337="",AH337=0),0,MAX(5,AH337*IF(OR($A337=Parameters!$B$13,$A337=Parameters!$B$14),0.75,1)-(IF(AND($A337=DATE(2026,11,29),NOV29BF="Yes"),AI337,0)+IF(OR($A337=DATE(2026,11,29),$A337=DATE(2026,11,30),$A337=DATE(2026,12,1),$A337=DATE(2026,12,2)),AJ337,0)+IF(OR($A337=DATE(2026,11,28),$A337=DATE(2026,12,1)),AK337,0))))</f>
        <v>0</v>
      </c>
      <c r="AM337" s="14" t="n">
        <f aca="false">IF(AND($A337&lt;&gt;"",$A337&lt;Parameters!$B$14),CityData!F7*(1+TAXRATE),0)</f>
        <v>0</v>
      </c>
      <c r="AN337" s="14" t="n">
        <f aca="false">IF($A337="",0,IFERROR(VLOOKUP((YEAR($A337)+IF(MONTH($A337)&gt;=10,1,0))&amp;"|Seattle|"&amp;MONTH($A337),Rates!$A$2:$I$181,5,FALSE()),0))</f>
        <v>0</v>
      </c>
      <c r="AO337" s="14" t="n">
        <f aca="false">IF(OR($A337="",$A337&gt;=Parameters!$B$14),1,IF(AND(AN337&gt;0,CityData!F7&lt;=AN337),1,0))</f>
        <v>1</v>
      </c>
    </row>
    <row r="338" customFormat="false" ht="15" hidden="false" customHeight="true" outlineLevel="0" collapsed="false">
      <c r="A338" s="23" t="str">
        <f aca="false">IF(AND(Parameters!$B$14&gt;=Parameters!$B$13,ROW()-2&lt;=Parameters!$B$14-Parameters!$B$13),Parameters!$B$13+ROW()-2,"")</f>
        <v/>
      </c>
      <c r="B338" s="14" t="n">
        <f aca="false">IF($A338="",0,IFERROR(VLOOKUP((YEAR($A338)+IF(MONTH($A338)&gt;=10,1,0))&amp;"|Boston|"&amp;MONTH($A338),Rates!$A$2:$I$181,6,FALSE()),0))</f>
        <v>0</v>
      </c>
      <c r="C338" s="14" t="n">
        <f aca="false">IF(B338=0,0,VLOOKUP(B338,MIE_Components!$A$2:$F$6,2,FALSE()))</f>
        <v>0</v>
      </c>
      <c r="D338" s="14" t="n">
        <f aca="false">IF(B338=0,0,VLOOKUP(B338,MIE_Components!$A$2:$F$6,3,FALSE()))</f>
        <v>0</v>
      </c>
      <c r="E338" s="14" t="n">
        <f aca="false">IF(B338=0,0,VLOOKUP(B338,MIE_Components!$A$2:$F$6,4,FALSE()))</f>
        <v>0</v>
      </c>
      <c r="F338" s="14" t="n">
        <f aca="false">IF(OR($A338="",B338=0),0,MAX(5,B338*IF(OR($A338=Parameters!$B$13,$A338=Parameters!$B$14),0.75,1)-(IF(AND($A338=DATE(2026,11,29),NOV29BF="Yes"),C338,0)+IF(OR($A338=DATE(2026,11,29),$A338=DATE(2026,11,30),$A338=DATE(2026,12,1),$A338=DATE(2026,12,2)),D338,0)+IF(OR($A338=DATE(2026,11,28),$A338=DATE(2026,12,1)),E338,0))))</f>
        <v>0</v>
      </c>
      <c r="G338" s="14" t="n">
        <f aca="false">IF(AND($A338&lt;&gt;"",$A338&lt;Parameters!$B$14),CityData!F3*(1+TAXRATE),0)</f>
        <v>0</v>
      </c>
      <c r="H338" s="14" t="n">
        <f aca="false">IF($A338="",0,IFERROR(VLOOKUP((YEAR($A338)+IF(MONTH($A338)&gt;=10,1,0))&amp;"|Boston|"&amp;MONTH($A338),Rates!$A$2:$I$181,5,FALSE()),0))</f>
        <v>0</v>
      </c>
      <c r="I338" s="14" t="n">
        <f aca="false">IF(OR($A338="",$A338&gt;=Parameters!$B$14),1,IF(AND(H338&gt;0,CityData!F3&lt;=H338),1,0))</f>
        <v>1</v>
      </c>
      <c r="J338" s="14" t="n">
        <f aca="false">IF($A338="",0,IFERROR(VLOOKUP((YEAR($A338)+IF(MONTH($A338)&gt;=10,1,0))&amp;"|Chicago|"&amp;MONTH($A338),Rates!$A$2:$I$181,6,FALSE()),0))</f>
        <v>0</v>
      </c>
      <c r="K338" s="14" t="n">
        <f aca="false">IF(J338=0,0,VLOOKUP(J338,MIE_Components!$A$2:$F$6,2,FALSE()))</f>
        <v>0</v>
      </c>
      <c r="L338" s="14" t="n">
        <f aca="false">IF(J338=0,0,VLOOKUP(J338,MIE_Components!$A$2:$F$6,3,FALSE()))</f>
        <v>0</v>
      </c>
      <c r="M338" s="14" t="n">
        <f aca="false">IF(J338=0,0,VLOOKUP(J338,MIE_Components!$A$2:$F$6,4,FALSE()))</f>
        <v>0</v>
      </c>
      <c r="N338" s="14" t="n">
        <f aca="false">IF(OR($A338="",J338=0),0,MAX(5,J338*IF(OR($A338=Parameters!$B$13,$A338=Parameters!$B$14),0.75,1)-(IF(AND($A338=DATE(2026,11,29),NOV29BF="Yes"),K338,0)+IF(OR($A338=DATE(2026,11,29),$A338=DATE(2026,11,30),$A338=DATE(2026,12,1),$A338=DATE(2026,12,2)),L338,0)+IF(OR($A338=DATE(2026,11,28),$A338=DATE(2026,12,1)),M338,0))))</f>
        <v>0</v>
      </c>
      <c r="O338" s="14" t="n">
        <f aca="false">IF(AND($A338&lt;&gt;"",$A338&lt;Parameters!$B$14),CityData!F4*(1+TAXRATE),0)</f>
        <v>0</v>
      </c>
      <c r="P338" s="14" t="n">
        <f aca="false">IF($A338="",0,IFERROR(VLOOKUP((YEAR($A338)+IF(MONTH($A338)&gt;=10,1,0))&amp;"|Chicago|"&amp;MONTH($A338),Rates!$A$2:$I$181,5,FALSE()),0))</f>
        <v>0</v>
      </c>
      <c r="Q338" s="14" t="n">
        <f aca="false">IF(OR($A338="",$A338&gt;=Parameters!$B$14),1,IF(AND(P338&gt;0,CityData!F4&lt;=P338),1,0))</f>
        <v>1</v>
      </c>
      <c r="R338" s="14" t="n">
        <f aca="false">IF($A338="",0,IFERROR(VLOOKUP((YEAR($A338)+IF(MONTH($A338)&gt;=10,1,0))&amp;"|Denver|"&amp;MONTH($A338),Rates!$A$2:$I$181,6,FALSE()),0))</f>
        <v>0</v>
      </c>
      <c r="S338" s="14" t="n">
        <f aca="false">IF(R338=0,0,VLOOKUP(R338,MIE_Components!$A$2:$F$6,2,FALSE()))</f>
        <v>0</v>
      </c>
      <c r="T338" s="14" t="n">
        <f aca="false">IF(R338=0,0,VLOOKUP(R338,MIE_Components!$A$2:$F$6,3,FALSE()))</f>
        <v>0</v>
      </c>
      <c r="U338" s="14" t="n">
        <f aca="false">IF(R338=0,0,VLOOKUP(R338,MIE_Components!$A$2:$F$6,4,FALSE()))</f>
        <v>0</v>
      </c>
      <c r="V338" s="14" t="n">
        <f aca="false">IF(OR($A338="",R338=0),0,MAX(5,R338*IF(OR($A338=Parameters!$B$13,$A338=Parameters!$B$14),0.75,1)-(IF(AND($A338=DATE(2026,11,29),NOV29BF="Yes"),S338,0)+IF(OR($A338=DATE(2026,11,29),$A338=DATE(2026,11,30),$A338=DATE(2026,12,1),$A338=DATE(2026,12,2)),T338,0)+IF(OR($A338=DATE(2026,11,28),$A338=DATE(2026,12,1)),U338,0))))</f>
        <v>0</v>
      </c>
      <c r="W338" s="14" t="n">
        <f aca="false">IF(AND($A338&lt;&gt;"",$A338&lt;Parameters!$B$14),CityData!F5*(1+TAXRATE),0)</f>
        <v>0</v>
      </c>
      <c r="X338" s="14" t="n">
        <f aca="false">IF($A338="",0,IFERROR(VLOOKUP((YEAR($A338)+IF(MONTH($A338)&gt;=10,1,0))&amp;"|Denver|"&amp;MONTH($A338),Rates!$A$2:$I$181,5,FALSE()),0))</f>
        <v>0</v>
      </c>
      <c r="Y338" s="14" t="n">
        <f aca="false">IF(OR($A338="",$A338&gt;=Parameters!$B$14),1,IF(AND(X338&gt;0,CityData!F5&lt;=X338),1,0))</f>
        <v>1</v>
      </c>
      <c r="Z338" s="14" t="n">
        <f aca="false">IF($A338="",0,IFERROR(VLOOKUP((YEAR($A338)+IF(MONTH($A338)&gt;=10,1,0))&amp;"|Phoenix|"&amp;MONTH($A338),Rates!$A$2:$I$181,6,FALSE()),0))</f>
        <v>0</v>
      </c>
      <c r="AA338" s="14" t="n">
        <f aca="false">IF(Z338=0,0,VLOOKUP(Z338,MIE_Components!$A$2:$F$6,2,FALSE()))</f>
        <v>0</v>
      </c>
      <c r="AB338" s="14" t="n">
        <f aca="false">IF(Z338=0,0,VLOOKUP(Z338,MIE_Components!$A$2:$F$6,3,FALSE()))</f>
        <v>0</v>
      </c>
      <c r="AC338" s="14" t="n">
        <f aca="false">IF(Z338=0,0,VLOOKUP(Z338,MIE_Components!$A$2:$F$6,4,FALSE()))</f>
        <v>0</v>
      </c>
      <c r="AD338" s="14" t="n">
        <f aca="false">IF(OR($A338="",Z338=0),0,MAX(5,Z338*IF(OR($A338=Parameters!$B$13,$A338=Parameters!$B$14),0.75,1)-(IF(AND($A338=DATE(2026,11,29),NOV29BF="Yes"),AA338,0)+IF(OR($A338=DATE(2026,11,29),$A338=DATE(2026,11,30),$A338=DATE(2026,12,1),$A338=DATE(2026,12,2)),AB338,0)+IF(OR($A338=DATE(2026,11,28),$A338=DATE(2026,12,1)),AC338,0))))</f>
        <v>0</v>
      </c>
      <c r="AE338" s="14" t="n">
        <f aca="false">IF(AND($A338&lt;&gt;"",$A338&lt;Parameters!$B$14),CityData!F6*(1+TAXRATE),0)</f>
        <v>0</v>
      </c>
      <c r="AF338" s="14" t="n">
        <f aca="false">IF($A338="",0,IFERROR(VLOOKUP((YEAR($A338)+IF(MONTH($A338)&gt;=10,1,0))&amp;"|Phoenix|"&amp;MONTH($A338),Rates!$A$2:$I$181,5,FALSE()),0))</f>
        <v>0</v>
      </c>
      <c r="AG338" s="14" t="n">
        <f aca="false">IF(OR($A338="",$A338&gt;=Parameters!$B$14),1,IF(AND(AF338&gt;0,CityData!F6&lt;=AF338),1,0))</f>
        <v>1</v>
      </c>
      <c r="AH338" s="14" t="n">
        <f aca="false">IF($A338="",0,IFERROR(VLOOKUP((YEAR($A338)+IF(MONTH($A338)&gt;=10,1,0))&amp;"|Seattle|"&amp;MONTH($A338),Rates!$A$2:$I$181,6,FALSE()),0))</f>
        <v>0</v>
      </c>
      <c r="AI338" s="14" t="n">
        <f aca="false">IF(AH338=0,0,VLOOKUP(AH338,MIE_Components!$A$2:$F$6,2,FALSE()))</f>
        <v>0</v>
      </c>
      <c r="AJ338" s="14" t="n">
        <f aca="false">IF(AH338=0,0,VLOOKUP(AH338,MIE_Components!$A$2:$F$6,3,FALSE()))</f>
        <v>0</v>
      </c>
      <c r="AK338" s="14" t="n">
        <f aca="false">IF(AH338=0,0,VLOOKUP(AH338,MIE_Components!$A$2:$F$6,4,FALSE()))</f>
        <v>0</v>
      </c>
      <c r="AL338" s="14" t="n">
        <f aca="false">IF(OR($A338="",AH338=0),0,MAX(5,AH338*IF(OR($A338=Parameters!$B$13,$A338=Parameters!$B$14),0.75,1)-(IF(AND($A338=DATE(2026,11,29),NOV29BF="Yes"),AI338,0)+IF(OR($A338=DATE(2026,11,29),$A338=DATE(2026,11,30),$A338=DATE(2026,12,1),$A338=DATE(2026,12,2)),AJ338,0)+IF(OR($A338=DATE(2026,11,28),$A338=DATE(2026,12,1)),AK338,0))))</f>
        <v>0</v>
      </c>
      <c r="AM338" s="14" t="n">
        <f aca="false">IF(AND($A338&lt;&gt;"",$A338&lt;Parameters!$B$14),CityData!F7*(1+TAXRATE),0)</f>
        <v>0</v>
      </c>
      <c r="AN338" s="14" t="n">
        <f aca="false">IF($A338="",0,IFERROR(VLOOKUP((YEAR($A338)+IF(MONTH($A338)&gt;=10,1,0))&amp;"|Seattle|"&amp;MONTH($A338),Rates!$A$2:$I$181,5,FALSE()),0))</f>
        <v>0</v>
      </c>
      <c r="AO338" s="14" t="n">
        <f aca="false">IF(OR($A338="",$A338&gt;=Parameters!$B$14),1,IF(AND(AN338&gt;0,CityData!F7&lt;=AN338),1,0))</f>
        <v>1</v>
      </c>
    </row>
    <row r="339" customFormat="false" ht="15" hidden="false" customHeight="true" outlineLevel="0" collapsed="false">
      <c r="A339" s="23" t="str">
        <f aca="false">IF(AND(Parameters!$B$14&gt;=Parameters!$B$13,ROW()-2&lt;=Parameters!$B$14-Parameters!$B$13),Parameters!$B$13+ROW()-2,"")</f>
        <v/>
      </c>
      <c r="B339" s="14" t="n">
        <f aca="false">IF($A339="",0,IFERROR(VLOOKUP((YEAR($A339)+IF(MONTH($A339)&gt;=10,1,0))&amp;"|Boston|"&amp;MONTH($A339),Rates!$A$2:$I$181,6,FALSE()),0))</f>
        <v>0</v>
      </c>
      <c r="C339" s="14" t="n">
        <f aca="false">IF(B339=0,0,VLOOKUP(B339,MIE_Components!$A$2:$F$6,2,FALSE()))</f>
        <v>0</v>
      </c>
      <c r="D339" s="14" t="n">
        <f aca="false">IF(B339=0,0,VLOOKUP(B339,MIE_Components!$A$2:$F$6,3,FALSE()))</f>
        <v>0</v>
      </c>
      <c r="E339" s="14" t="n">
        <f aca="false">IF(B339=0,0,VLOOKUP(B339,MIE_Components!$A$2:$F$6,4,FALSE()))</f>
        <v>0</v>
      </c>
      <c r="F339" s="14" t="n">
        <f aca="false">IF(OR($A339="",B339=0),0,MAX(5,B339*IF(OR($A339=Parameters!$B$13,$A339=Parameters!$B$14),0.75,1)-(IF(AND($A339=DATE(2026,11,29),NOV29BF="Yes"),C339,0)+IF(OR($A339=DATE(2026,11,29),$A339=DATE(2026,11,30),$A339=DATE(2026,12,1),$A339=DATE(2026,12,2)),D339,0)+IF(OR($A339=DATE(2026,11,28),$A339=DATE(2026,12,1)),E339,0))))</f>
        <v>0</v>
      </c>
      <c r="G339" s="14" t="n">
        <f aca="false">IF(AND($A339&lt;&gt;"",$A339&lt;Parameters!$B$14),CityData!F3*(1+TAXRATE),0)</f>
        <v>0</v>
      </c>
      <c r="H339" s="14" t="n">
        <f aca="false">IF($A339="",0,IFERROR(VLOOKUP((YEAR($A339)+IF(MONTH($A339)&gt;=10,1,0))&amp;"|Boston|"&amp;MONTH($A339),Rates!$A$2:$I$181,5,FALSE()),0))</f>
        <v>0</v>
      </c>
      <c r="I339" s="14" t="n">
        <f aca="false">IF(OR($A339="",$A339&gt;=Parameters!$B$14),1,IF(AND(H339&gt;0,CityData!F3&lt;=H339),1,0))</f>
        <v>1</v>
      </c>
      <c r="J339" s="14" t="n">
        <f aca="false">IF($A339="",0,IFERROR(VLOOKUP((YEAR($A339)+IF(MONTH($A339)&gt;=10,1,0))&amp;"|Chicago|"&amp;MONTH($A339),Rates!$A$2:$I$181,6,FALSE()),0))</f>
        <v>0</v>
      </c>
      <c r="K339" s="14" t="n">
        <f aca="false">IF(J339=0,0,VLOOKUP(J339,MIE_Components!$A$2:$F$6,2,FALSE()))</f>
        <v>0</v>
      </c>
      <c r="L339" s="14" t="n">
        <f aca="false">IF(J339=0,0,VLOOKUP(J339,MIE_Components!$A$2:$F$6,3,FALSE()))</f>
        <v>0</v>
      </c>
      <c r="M339" s="14" t="n">
        <f aca="false">IF(J339=0,0,VLOOKUP(J339,MIE_Components!$A$2:$F$6,4,FALSE()))</f>
        <v>0</v>
      </c>
      <c r="N339" s="14" t="n">
        <f aca="false">IF(OR($A339="",J339=0),0,MAX(5,J339*IF(OR($A339=Parameters!$B$13,$A339=Parameters!$B$14),0.75,1)-(IF(AND($A339=DATE(2026,11,29),NOV29BF="Yes"),K339,0)+IF(OR($A339=DATE(2026,11,29),$A339=DATE(2026,11,30),$A339=DATE(2026,12,1),$A339=DATE(2026,12,2)),L339,0)+IF(OR($A339=DATE(2026,11,28),$A339=DATE(2026,12,1)),M339,0))))</f>
        <v>0</v>
      </c>
      <c r="O339" s="14" t="n">
        <f aca="false">IF(AND($A339&lt;&gt;"",$A339&lt;Parameters!$B$14),CityData!F4*(1+TAXRATE),0)</f>
        <v>0</v>
      </c>
      <c r="P339" s="14" t="n">
        <f aca="false">IF($A339="",0,IFERROR(VLOOKUP((YEAR($A339)+IF(MONTH($A339)&gt;=10,1,0))&amp;"|Chicago|"&amp;MONTH($A339),Rates!$A$2:$I$181,5,FALSE()),0))</f>
        <v>0</v>
      </c>
      <c r="Q339" s="14" t="n">
        <f aca="false">IF(OR($A339="",$A339&gt;=Parameters!$B$14),1,IF(AND(P339&gt;0,CityData!F4&lt;=P339),1,0))</f>
        <v>1</v>
      </c>
      <c r="R339" s="14" t="n">
        <f aca="false">IF($A339="",0,IFERROR(VLOOKUP((YEAR($A339)+IF(MONTH($A339)&gt;=10,1,0))&amp;"|Denver|"&amp;MONTH($A339),Rates!$A$2:$I$181,6,FALSE()),0))</f>
        <v>0</v>
      </c>
      <c r="S339" s="14" t="n">
        <f aca="false">IF(R339=0,0,VLOOKUP(R339,MIE_Components!$A$2:$F$6,2,FALSE()))</f>
        <v>0</v>
      </c>
      <c r="T339" s="14" t="n">
        <f aca="false">IF(R339=0,0,VLOOKUP(R339,MIE_Components!$A$2:$F$6,3,FALSE()))</f>
        <v>0</v>
      </c>
      <c r="U339" s="14" t="n">
        <f aca="false">IF(R339=0,0,VLOOKUP(R339,MIE_Components!$A$2:$F$6,4,FALSE()))</f>
        <v>0</v>
      </c>
      <c r="V339" s="14" t="n">
        <f aca="false">IF(OR($A339="",R339=0),0,MAX(5,R339*IF(OR($A339=Parameters!$B$13,$A339=Parameters!$B$14),0.75,1)-(IF(AND($A339=DATE(2026,11,29),NOV29BF="Yes"),S339,0)+IF(OR($A339=DATE(2026,11,29),$A339=DATE(2026,11,30),$A339=DATE(2026,12,1),$A339=DATE(2026,12,2)),T339,0)+IF(OR($A339=DATE(2026,11,28),$A339=DATE(2026,12,1)),U339,0))))</f>
        <v>0</v>
      </c>
      <c r="W339" s="14" t="n">
        <f aca="false">IF(AND($A339&lt;&gt;"",$A339&lt;Parameters!$B$14),CityData!F5*(1+TAXRATE),0)</f>
        <v>0</v>
      </c>
      <c r="X339" s="14" t="n">
        <f aca="false">IF($A339="",0,IFERROR(VLOOKUP((YEAR($A339)+IF(MONTH($A339)&gt;=10,1,0))&amp;"|Denver|"&amp;MONTH($A339),Rates!$A$2:$I$181,5,FALSE()),0))</f>
        <v>0</v>
      </c>
      <c r="Y339" s="14" t="n">
        <f aca="false">IF(OR($A339="",$A339&gt;=Parameters!$B$14),1,IF(AND(X339&gt;0,CityData!F5&lt;=X339),1,0))</f>
        <v>1</v>
      </c>
      <c r="Z339" s="14" t="n">
        <f aca="false">IF($A339="",0,IFERROR(VLOOKUP((YEAR($A339)+IF(MONTH($A339)&gt;=10,1,0))&amp;"|Phoenix|"&amp;MONTH($A339),Rates!$A$2:$I$181,6,FALSE()),0))</f>
        <v>0</v>
      </c>
      <c r="AA339" s="14" t="n">
        <f aca="false">IF(Z339=0,0,VLOOKUP(Z339,MIE_Components!$A$2:$F$6,2,FALSE()))</f>
        <v>0</v>
      </c>
      <c r="AB339" s="14" t="n">
        <f aca="false">IF(Z339=0,0,VLOOKUP(Z339,MIE_Components!$A$2:$F$6,3,FALSE()))</f>
        <v>0</v>
      </c>
      <c r="AC339" s="14" t="n">
        <f aca="false">IF(Z339=0,0,VLOOKUP(Z339,MIE_Components!$A$2:$F$6,4,FALSE()))</f>
        <v>0</v>
      </c>
      <c r="AD339" s="14" t="n">
        <f aca="false">IF(OR($A339="",Z339=0),0,MAX(5,Z339*IF(OR($A339=Parameters!$B$13,$A339=Parameters!$B$14),0.75,1)-(IF(AND($A339=DATE(2026,11,29),NOV29BF="Yes"),AA339,0)+IF(OR($A339=DATE(2026,11,29),$A339=DATE(2026,11,30),$A339=DATE(2026,12,1),$A339=DATE(2026,12,2)),AB339,0)+IF(OR($A339=DATE(2026,11,28),$A339=DATE(2026,12,1)),AC339,0))))</f>
        <v>0</v>
      </c>
      <c r="AE339" s="14" t="n">
        <f aca="false">IF(AND($A339&lt;&gt;"",$A339&lt;Parameters!$B$14),CityData!F6*(1+TAXRATE),0)</f>
        <v>0</v>
      </c>
      <c r="AF339" s="14" t="n">
        <f aca="false">IF($A339="",0,IFERROR(VLOOKUP((YEAR($A339)+IF(MONTH($A339)&gt;=10,1,0))&amp;"|Phoenix|"&amp;MONTH($A339),Rates!$A$2:$I$181,5,FALSE()),0))</f>
        <v>0</v>
      </c>
      <c r="AG339" s="14" t="n">
        <f aca="false">IF(OR($A339="",$A339&gt;=Parameters!$B$14),1,IF(AND(AF339&gt;0,CityData!F6&lt;=AF339),1,0))</f>
        <v>1</v>
      </c>
      <c r="AH339" s="14" t="n">
        <f aca="false">IF($A339="",0,IFERROR(VLOOKUP((YEAR($A339)+IF(MONTH($A339)&gt;=10,1,0))&amp;"|Seattle|"&amp;MONTH($A339),Rates!$A$2:$I$181,6,FALSE()),0))</f>
        <v>0</v>
      </c>
      <c r="AI339" s="14" t="n">
        <f aca="false">IF(AH339=0,0,VLOOKUP(AH339,MIE_Components!$A$2:$F$6,2,FALSE()))</f>
        <v>0</v>
      </c>
      <c r="AJ339" s="14" t="n">
        <f aca="false">IF(AH339=0,0,VLOOKUP(AH339,MIE_Components!$A$2:$F$6,3,FALSE()))</f>
        <v>0</v>
      </c>
      <c r="AK339" s="14" t="n">
        <f aca="false">IF(AH339=0,0,VLOOKUP(AH339,MIE_Components!$A$2:$F$6,4,FALSE()))</f>
        <v>0</v>
      </c>
      <c r="AL339" s="14" t="n">
        <f aca="false">IF(OR($A339="",AH339=0),0,MAX(5,AH339*IF(OR($A339=Parameters!$B$13,$A339=Parameters!$B$14),0.75,1)-(IF(AND($A339=DATE(2026,11,29),NOV29BF="Yes"),AI339,0)+IF(OR($A339=DATE(2026,11,29),$A339=DATE(2026,11,30),$A339=DATE(2026,12,1),$A339=DATE(2026,12,2)),AJ339,0)+IF(OR($A339=DATE(2026,11,28),$A339=DATE(2026,12,1)),AK339,0))))</f>
        <v>0</v>
      </c>
      <c r="AM339" s="14" t="n">
        <f aca="false">IF(AND($A339&lt;&gt;"",$A339&lt;Parameters!$B$14),CityData!F7*(1+TAXRATE),0)</f>
        <v>0</v>
      </c>
      <c r="AN339" s="14" t="n">
        <f aca="false">IF($A339="",0,IFERROR(VLOOKUP((YEAR($A339)+IF(MONTH($A339)&gt;=10,1,0))&amp;"|Seattle|"&amp;MONTH($A339),Rates!$A$2:$I$181,5,FALSE()),0))</f>
        <v>0</v>
      </c>
      <c r="AO339" s="14" t="n">
        <f aca="false">IF(OR($A339="",$A339&gt;=Parameters!$B$14),1,IF(AND(AN339&gt;0,CityData!F7&lt;=AN339),1,0))</f>
        <v>1</v>
      </c>
    </row>
    <row r="340" customFormat="false" ht="15" hidden="false" customHeight="true" outlineLevel="0" collapsed="false">
      <c r="A340" s="23" t="str">
        <f aca="false">IF(AND(Parameters!$B$14&gt;=Parameters!$B$13,ROW()-2&lt;=Parameters!$B$14-Parameters!$B$13),Parameters!$B$13+ROW()-2,"")</f>
        <v/>
      </c>
      <c r="B340" s="14" t="n">
        <f aca="false">IF($A340="",0,IFERROR(VLOOKUP((YEAR($A340)+IF(MONTH($A340)&gt;=10,1,0))&amp;"|Boston|"&amp;MONTH($A340),Rates!$A$2:$I$181,6,FALSE()),0))</f>
        <v>0</v>
      </c>
      <c r="C340" s="14" t="n">
        <f aca="false">IF(B340=0,0,VLOOKUP(B340,MIE_Components!$A$2:$F$6,2,FALSE()))</f>
        <v>0</v>
      </c>
      <c r="D340" s="14" t="n">
        <f aca="false">IF(B340=0,0,VLOOKUP(B340,MIE_Components!$A$2:$F$6,3,FALSE()))</f>
        <v>0</v>
      </c>
      <c r="E340" s="14" t="n">
        <f aca="false">IF(B340=0,0,VLOOKUP(B340,MIE_Components!$A$2:$F$6,4,FALSE()))</f>
        <v>0</v>
      </c>
      <c r="F340" s="14" t="n">
        <f aca="false">IF(OR($A340="",B340=0),0,MAX(5,B340*IF(OR($A340=Parameters!$B$13,$A340=Parameters!$B$14),0.75,1)-(IF(AND($A340=DATE(2026,11,29),NOV29BF="Yes"),C340,0)+IF(OR($A340=DATE(2026,11,29),$A340=DATE(2026,11,30),$A340=DATE(2026,12,1),$A340=DATE(2026,12,2)),D340,0)+IF(OR($A340=DATE(2026,11,28),$A340=DATE(2026,12,1)),E340,0))))</f>
        <v>0</v>
      </c>
      <c r="G340" s="14" t="n">
        <f aca="false">IF(AND($A340&lt;&gt;"",$A340&lt;Parameters!$B$14),CityData!F3*(1+TAXRATE),0)</f>
        <v>0</v>
      </c>
      <c r="H340" s="14" t="n">
        <f aca="false">IF($A340="",0,IFERROR(VLOOKUP((YEAR($A340)+IF(MONTH($A340)&gt;=10,1,0))&amp;"|Boston|"&amp;MONTH($A340),Rates!$A$2:$I$181,5,FALSE()),0))</f>
        <v>0</v>
      </c>
      <c r="I340" s="14" t="n">
        <f aca="false">IF(OR($A340="",$A340&gt;=Parameters!$B$14),1,IF(AND(H340&gt;0,CityData!F3&lt;=H340),1,0))</f>
        <v>1</v>
      </c>
      <c r="J340" s="14" t="n">
        <f aca="false">IF($A340="",0,IFERROR(VLOOKUP((YEAR($A340)+IF(MONTH($A340)&gt;=10,1,0))&amp;"|Chicago|"&amp;MONTH($A340),Rates!$A$2:$I$181,6,FALSE()),0))</f>
        <v>0</v>
      </c>
      <c r="K340" s="14" t="n">
        <f aca="false">IF(J340=0,0,VLOOKUP(J340,MIE_Components!$A$2:$F$6,2,FALSE()))</f>
        <v>0</v>
      </c>
      <c r="L340" s="14" t="n">
        <f aca="false">IF(J340=0,0,VLOOKUP(J340,MIE_Components!$A$2:$F$6,3,FALSE()))</f>
        <v>0</v>
      </c>
      <c r="M340" s="14" t="n">
        <f aca="false">IF(J340=0,0,VLOOKUP(J340,MIE_Components!$A$2:$F$6,4,FALSE()))</f>
        <v>0</v>
      </c>
      <c r="N340" s="14" t="n">
        <f aca="false">IF(OR($A340="",J340=0),0,MAX(5,J340*IF(OR($A340=Parameters!$B$13,$A340=Parameters!$B$14),0.75,1)-(IF(AND($A340=DATE(2026,11,29),NOV29BF="Yes"),K340,0)+IF(OR($A340=DATE(2026,11,29),$A340=DATE(2026,11,30),$A340=DATE(2026,12,1),$A340=DATE(2026,12,2)),L340,0)+IF(OR($A340=DATE(2026,11,28),$A340=DATE(2026,12,1)),M340,0))))</f>
        <v>0</v>
      </c>
      <c r="O340" s="14" t="n">
        <f aca="false">IF(AND($A340&lt;&gt;"",$A340&lt;Parameters!$B$14),CityData!F4*(1+TAXRATE),0)</f>
        <v>0</v>
      </c>
      <c r="P340" s="14" t="n">
        <f aca="false">IF($A340="",0,IFERROR(VLOOKUP((YEAR($A340)+IF(MONTH($A340)&gt;=10,1,0))&amp;"|Chicago|"&amp;MONTH($A340),Rates!$A$2:$I$181,5,FALSE()),0))</f>
        <v>0</v>
      </c>
      <c r="Q340" s="14" t="n">
        <f aca="false">IF(OR($A340="",$A340&gt;=Parameters!$B$14),1,IF(AND(P340&gt;0,CityData!F4&lt;=P340),1,0))</f>
        <v>1</v>
      </c>
      <c r="R340" s="14" t="n">
        <f aca="false">IF($A340="",0,IFERROR(VLOOKUP((YEAR($A340)+IF(MONTH($A340)&gt;=10,1,0))&amp;"|Denver|"&amp;MONTH($A340),Rates!$A$2:$I$181,6,FALSE()),0))</f>
        <v>0</v>
      </c>
      <c r="S340" s="14" t="n">
        <f aca="false">IF(R340=0,0,VLOOKUP(R340,MIE_Components!$A$2:$F$6,2,FALSE()))</f>
        <v>0</v>
      </c>
      <c r="T340" s="14" t="n">
        <f aca="false">IF(R340=0,0,VLOOKUP(R340,MIE_Components!$A$2:$F$6,3,FALSE()))</f>
        <v>0</v>
      </c>
      <c r="U340" s="14" t="n">
        <f aca="false">IF(R340=0,0,VLOOKUP(R340,MIE_Components!$A$2:$F$6,4,FALSE()))</f>
        <v>0</v>
      </c>
      <c r="V340" s="14" t="n">
        <f aca="false">IF(OR($A340="",R340=0),0,MAX(5,R340*IF(OR($A340=Parameters!$B$13,$A340=Parameters!$B$14),0.75,1)-(IF(AND($A340=DATE(2026,11,29),NOV29BF="Yes"),S340,0)+IF(OR($A340=DATE(2026,11,29),$A340=DATE(2026,11,30),$A340=DATE(2026,12,1),$A340=DATE(2026,12,2)),T340,0)+IF(OR($A340=DATE(2026,11,28),$A340=DATE(2026,12,1)),U340,0))))</f>
        <v>0</v>
      </c>
      <c r="W340" s="14" t="n">
        <f aca="false">IF(AND($A340&lt;&gt;"",$A340&lt;Parameters!$B$14),CityData!F5*(1+TAXRATE),0)</f>
        <v>0</v>
      </c>
      <c r="X340" s="14" t="n">
        <f aca="false">IF($A340="",0,IFERROR(VLOOKUP((YEAR($A340)+IF(MONTH($A340)&gt;=10,1,0))&amp;"|Denver|"&amp;MONTH($A340),Rates!$A$2:$I$181,5,FALSE()),0))</f>
        <v>0</v>
      </c>
      <c r="Y340" s="14" t="n">
        <f aca="false">IF(OR($A340="",$A340&gt;=Parameters!$B$14),1,IF(AND(X340&gt;0,CityData!F5&lt;=X340),1,0))</f>
        <v>1</v>
      </c>
      <c r="Z340" s="14" t="n">
        <f aca="false">IF($A340="",0,IFERROR(VLOOKUP((YEAR($A340)+IF(MONTH($A340)&gt;=10,1,0))&amp;"|Phoenix|"&amp;MONTH($A340),Rates!$A$2:$I$181,6,FALSE()),0))</f>
        <v>0</v>
      </c>
      <c r="AA340" s="14" t="n">
        <f aca="false">IF(Z340=0,0,VLOOKUP(Z340,MIE_Components!$A$2:$F$6,2,FALSE()))</f>
        <v>0</v>
      </c>
      <c r="AB340" s="14" t="n">
        <f aca="false">IF(Z340=0,0,VLOOKUP(Z340,MIE_Components!$A$2:$F$6,3,FALSE()))</f>
        <v>0</v>
      </c>
      <c r="AC340" s="14" t="n">
        <f aca="false">IF(Z340=0,0,VLOOKUP(Z340,MIE_Components!$A$2:$F$6,4,FALSE()))</f>
        <v>0</v>
      </c>
      <c r="AD340" s="14" t="n">
        <f aca="false">IF(OR($A340="",Z340=0),0,MAX(5,Z340*IF(OR($A340=Parameters!$B$13,$A340=Parameters!$B$14),0.75,1)-(IF(AND($A340=DATE(2026,11,29),NOV29BF="Yes"),AA340,0)+IF(OR($A340=DATE(2026,11,29),$A340=DATE(2026,11,30),$A340=DATE(2026,12,1),$A340=DATE(2026,12,2)),AB340,0)+IF(OR($A340=DATE(2026,11,28),$A340=DATE(2026,12,1)),AC340,0))))</f>
        <v>0</v>
      </c>
      <c r="AE340" s="14" t="n">
        <f aca="false">IF(AND($A340&lt;&gt;"",$A340&lt;Parameters!$B$14),CityData!F6*(1+TAXRATE),0)</f>
        <v>0</v>
      </c>
      <c r="AF340" s="14" t="n">
        <f aca="false">IF($A340="",0,IFERROR(VLOOKUP((YEAR($A340)+IF(MONTH($A340)&gt;=10,1,0))&amp;"|Phoenix|"&amp;MONTH($A340),Rates!$A$2:$I$181,5,FALSE()),0))</f>
        <v>0</v>
      </c>
      <c r="AG340" s="14" t="n">
        <f aca="false">IF(OR($A340="",$A340&gt;=Parameters!$B$14),1,IF(AND(AF340&gt;0,CityData!F6&lt;=AF340),1,0))</f>
        <v>1</v>
      </c>
      <c r="AH340" s="14" t="n">
        <f aca="false">IF($A340="",0,IFERROR(VLOOKUP((YEAR($A340)+IF(MONTH($A340)&gt;=10,1,0))&amp;"|Seattle|"&amp;MONTH($A340),Rates!$A$2:$I$181,6,FALSE()),0))</f>
        <v>0</v>
      </c>
      <c r="AI340" s="14" t="n">
        <f aca="false">IF(AH340=0,0,VLOOKUP(AH340,MIE_Components!$A$2:$F$6,2,FALSE()))</f>
        <v>0</v>
      </c>
      <c r="AJ340" s="14" t="n">
        <f aca="false">IF(AH340=0,0,VLOOKUP(AH340,MIE_Components!$A$2:$F$6,3,FALSE()))</f>
        <v>0</v>
      </c>
      <c r="AK340" s="14" t="n">
        <f aca="false">IF(AH340=0,0,VLOOKUP(AH340,MIE_Components!$A$2:$F$6,4,FALSE()))</f>
        <v>0</v>
      </c>
      <c r="AL340" s="14" t="n">
        <f aca="false">IF(OR($A340="",AH340=0),0,MAX(5,AH340*IF(OR($A340=Parameters!$B$13,$A340=Parameters!$B$14),0.75,1)-(IF(AND($A340=DATE(2026,11,29),NOV29BF="Yes"),AI340,0)+IF(OR($A340=DATE(2026,11,29),$A340=DATE(2026,11,30),$A340=DATE(2026,12,1),$A340=DATE(2026,12,2)),AJ340,0)+IF(OR($A340=DATE(2026,11,28),$A340=DATE(2026,12,1)),AK340,0))))</f>
        <v>0</v>
      </c>
      <c r="AM340" s="14" t="n">
        <f aca="false">IF(AND($A340&lt;&gt;"",$A340&lt;Parameters!$B$14),CityData!F7*(1+TAXRATE),0)</f>
        <v>0</v>
      </c>
      <c r="AN340" s="14" t="n">
        <f aca="false">IF($A340="",0,IFERROR(VLOOKUP((YEAR($A340)+IF(MONTH($A340)&gt;=10,1,0))&amp;"|Seattle|"&amp;MONTH($A340),Rates!$A$2:$I$181,5,FALSE()),0))</f>
        <v>0</v>
      </c>
      <c r="AO340" s="14" t="n">
        <f aca="false">IF(OR($A340="",$A340&gt;=Parameters!$B$14),1,IF(AND(AN340&gt;0,CityData!F7&lt;=AN340),1,0))</f>
        <v>1</v>
      </c>
    </row>
    <row r="341" customFormat="false" ht="15" hidden="false" customHeight="true" outlineLevel="0" collapsed="false">
      <c r="A341" s="23" t="str">
        <f aca="false">IF(AND(Parameters!$B$14&gt;=Parameters!$B$13,ROW()-2&lt;=Parameters!$B$14-Parameters!$B$13),Parameters!$B$13+ROW()-2,"")</f>
        <v/>
      </c>
      <c r="B341" s="14" t="n">
        <f aca="false">IF($A341="",0,IFERROR(VLOOKUP((YEAR($A341)+IF(MONTH($A341)&gt;=10,1,0))&amp;"|Boston|"&amp;MONTH($A341),Rates!$A$2:$I$181,6,FALSE()),0))</f>
        <v>0</v>
      </c>
      <c r="C341" s="14" t="n">
        <f aca="false">IF(B341=0,0,VLOOKUP(B341,MIE_Components!$A$2:$F$6,2,FALSE()))</f>
        <v>0</v>
      </c>
      <c r="D341" s="14" t="n">
        <f aca="false">IF(B341=0,0,VLOOKUP(B341,MIE_Components!$A$2:$F$6,3,FALSE()))</f>
        <v>0</v>
      </c>
      <c r="E341" s="14" t="n">
        <f aca="false">IF(B341=0,0,VLOOKUP(B341,MIE_Components!$A$2:$F$6,4,FALSE()))</f>
        <v>0</v>
      </c>
      <c r="F341" s="14" t="n">
        <f aca="false">IF(OR($A341="",B341=0),0,MAX(5,B341*IF(OR($A341=Parameters!$B$13,$A341=Parameters!$B$14),0.75,1)-(IF(AND($A341=DATE(2026,11,29),NOV29BF="Yes"),C341,0)+IF(OR($A341=DATE(2026,11,29),$A341=DATE(2026,11,30),$A341=DATE(2026,12,1),$A341=DATE(2026,12,2)),D341,0)+IF(OR($A341=DATE(2026,11,28),$A341=DATE(2026,12,1)),E341,0))))</f>
        <v>0</v>
      </c>
      <c r="G341" s="14" t="n">
        <f aca="false">IF(AND($A341&lt;&gt;"",$A341&lt;Parameters!$B$14),CityData!F3*(1+TAXRATE),0)</f>
        <v>0</v>
      </c>
      <c r="H341" s="14" t="n">
        <f aca="false">IF($A341="",0,IFERROR(VLOOKUP((YEAR($A341)+IF(MONTH($A341)&gt;=10,1,0))&amp;"|Boston|"&amp;MONTH($A341),Rates!$A$2:$I$181,5,FALSE()),0))</f>
        <v>0</v>
      </c>
      <c r="I341" s="14" t="n">
        <f aca="false">IF(OR($A341="",$A341&gt;=Parameters!$B$14),1,IF(AND(H341&gt;0,CityData!F3&lt;=H341),1,0))</f>
        <v>1</v>
      </c>
      <c r="J341" s="14" t="n">
        <f aca="false">IF($A341="",0,IFERROR(VLOOKUP((YEAR($A341)+IF(MONTH($A341)&gt;=10,1,0))&amp;"|Chicago|"&amp;MONTH($A341),Rates!$A$2:$I$181,6,FALSE()),0))</f>
        <v>0</v>
      </c>
      <c r="K341" s="14" t="n">
        <f aca="false">IF(J341=0,0,VLOOKUP(J341,MIE_Components!$A$2:$F$6,2,FALSE()))</f>
        <v>0</v>
      </c>
      <c r="L341" s="14" t="n">
        <f aca="false">IF(J341=0,0,VLOOKUP(J341,MIE_Components!$A$2:$F$6,3,FALSE()))</f>
        <v>0</v>
      </c>
      <c r="M341" s="14" t="n">
        <f aca="false">IF(J341=0,0,VLOOKUP(J341,MIE_Components!$A$2:$F$6,4,FALSE()))</f>
        <v>0</v>
      </c>
      <c r="N341" s="14" t="n">
        <f aca="false">IF(OR($A341="",J341=0),0,MAX(5,J341*IF(OR($A341=Parameters!$B$13,$A341=Parameters!$B$14),0.75,1)-(IF(AND($A341=DATE(2026,11,29),NOV29BF="Yes"),K341,0)+IF(OR($A341=DATE(2026,11,29),$A341=DATE(2026,11,30),$A341=DATE(2026,12,1),$A341=DATE(2026,12,2)),L341,0)+IF(OR($A341=DATE(2026,11,28),$A341=DATE(2026,12,1)),M341,0))))</f>
        <v>0</v>
      </c>
      <c r="O341" s="14" t="n">
        <f aca="false">IF(AND($A341&lt;&gt;"",$A341&lt;Parameters!$B$14),CityData!F4*(1+TAXRATE),0)</f>
        <v>0</v>
      </c>
      <c r="P341" s="14" t="n">
        <f aca="false">IF($A341="",0,IFERROR(VLOOKUP((YEAR($A341)+IF(MONTH($A341)&gt;=10,1,0))&amp;"|Chicago|"&amp;MONTH($A341),Rates!$A$2:$I$181,5,FALSE()),0))</f>
        <v>0</v>
      </c>
      <c r="Q341" s="14" t="n">
        <f aca="false">IF(OR($A341="",$A341&gt;=Parameters!$B$14),1,IF(AND(P341&gt;0,CityData!F4&lt;=P341),1,0))</f>
        <v>1</v>
      </c>
      <c r="R341" s="14" t="n">
        <f aca="false">IF($A341="",0,IFERROR(VLOOKUP((YEAR($A341)+IF(MONTH($A341)&gt;=10,1,0))&amp;"|Denver|"&amp;MONTH($A341),Rates!$A$2:$I$181,6,FALSE()),0))</f>
        <v>0</v>
      </c>
      <c r="S341" s="14" t="n">
        <f aca="false">IF(R341=0,0,VLOOKUP(R341,MIE_Components!$A$2:$F$6,2,FALSE()))</f>
        <v>0</v>
      </c>
      <c r="T341" s="14" t="n">
        <f aca="false">IF(R341=0,0,VLOOKUP(R341,MIE_Components!$A$2:$F$6,3,FALSE()))</f>
        <v>0</v>
      </c>
      <c r="U341" s="14" t="n">
        <f aca="false">IF(R341=0,0,VLOOKUP(R341,MIE_Components!$A$2:$F$6,4,FALSE()))</f>
        <v>0</v>
      </c>
      <c r="V341" s="14" t="n">
        <f aca="false">IF(OR($A341="",R341=0),0,MAX(5,R341*IF(OR($A341=Parameters!$B$13,$A341=Parameters!$B$14),0.75,1)-(IF(AND($A341=DATE(2026,11,29),NOV29BF="Yes"),S341,0)+IF(OR($A341=DATE(2026,11,29),$A341=DATE(2026,11,30),$A341=DATE(2026,12,1),$A341=DATE(2026,12,2)),T341,0)+IF(OR($A341=DATE(2026,11,28),$A341=DATE(2026,12,1)),U341,0))))</f>
        <v>0</v>
      </c>
      <c r="W341" s="14" t="n">
        <f aca="false">IF(AND($A341&lt;&gt;"",$A341&lt;Parameters!$B$14),CityData!F5*(1+TAXRATE),0)</f>
        <v>0</v>
      </c>
      <c r="X341" s="14" t="n">
        <f aca="false">IF($A341="",0,IFERROR(VLOOKUP((YEAR($A341)+IF(MONTH($A341)&gt;=10,1,0))&amp;"|Denver|"&amp;MONTH($A341),Rates!$A$2:$I$181,5,FALSE()),0))</f>
        <v>0</v>
      </c>
      <c r="Y341" s="14" t="n">
        <f aca="false">IF(OR($A341="",$A341&gt;=Parameters!$B$14),1,IF(AND(X341&gt;0,CityData!F5&lt;=X341),1,0))</f>
        <v>1</v>
      </c>
      <c r="Z341" s="14" t="n">
        <f aca="false">IF($A341="",0,IFERROR(VLOOKUP((YEAR($A341)+IF(MONTH($A341)&gt;=10,1,0))&amp;"|Phoenix|"&amp;MONTH($A341),Rates!$A$2:$I$181,6,FALSE()),0))</f>
        <v>0</v>
      </c>
      <c r="AA341" s="14" t="n">
        <f aca="false">IF(Z341=0,0,VLOOKUP(Z341,MIE_Components!$A$2:$F$6,2,FALSE()))</f>
        <v>0</v>
      </c>
      <c r="AB341" s="14" t="n">
        <f aca="false">IF(Z341=0,0,VLOOKUP(Z341,MIE_Components!$A$2:$F$6,3,FALSE()))</f>
        <v>0</v>
      </c>
      <c r="AC341" s="14" t="n">
        <f aca="false">IF(Z341=0,0,VLOOKUP(Z341,MIE_Components!$A$2:$F$6,4,FALSE()))</f>
        <v>0</v>
      </c>
      <c r="AD341" s="14" t="n">
        <f aca="false">IF(OR($A341="",Z341=0),0,MAX(5,Z341*IF(OR($A341=Parameters!$B$13,$A341=Parameters!$B$14),0.75,1)-(IF(AND($A341=DATE(2026,11,29),NOV29BF="Yes"),AA341,0)+IF(OR($A341=DATE(2026,11,29),$A341=DATE(2026,11,30),$A341=DATE(2026,12,1),$A341=DATE(2026,12,2)),AB341,0)+IF(OR($A341=DATE(2026,11,28),$A341=DATE(2026,12,1)),AC341,0))))</f>
        <v>0</v>
      </c>
      <c r="AE341" s="14" t="n">
        <f aca="false">IF(AND($A341&lt;&gt;"",$A341&lt;Parameters!$B$14),CityData!F6*(1+TAXRATE),0)</f>
        <v>0</v>
      </c>
      <c r="AF341" s="14" t="n">
        <f aca="false">IF($A341="",0,IFERROR(VLOOKUP((YEAR($A341)+IF(MONTH($A341)&gt;=10,1,0))&amp;"|Phoenix|"&amp;MONTH($A341),Rates!$A$2:$I$181,5,FALSE()),0))</f>
        <v>0</v>
      </c>
      <c r="AG341" s="14" t="n">
        <f aca="false">IF(OR($A341="",$A341&gt;=Parameters!$B$14),1,IF(AND(AF341&gt;0,CityData!F6&lt;=AF341),1,0))</f>
        <v>1</v>
      </c>
      <c r="AH341" s="14" t="n">
        <f aca="false">IF($A341="",0,IFERROR(VLOOKUP((YEAR($A341)+IF(MONTH($A341)&gt;=10,1,0))&amp;"|Seattle|"&amp;MONTH($A341),Rates!$A$2:$I$181,6,FALSE()),0))</f>
        <v>0</v>
      </c>
      <c r="AI341" s="14" t="n">
        <f aca="false">IF(AH341=0,0,VLOOKUP(AH341,MIE_Components!$A$2:$F$6,2,FALSE()))</f>
        <v>0</v>
      </c>
      <c r="AJ341" s="14" t="n">
        <f aca="false">IF(AH341=0,0,VLOOKUP(AH341,MIE_Components!$A$2:$F$6,3,FALSE()))</f>
        <v>0</v>
      </c>
      <c r="AK341" s="14" t="n">
        <f aca="false">IF(AH341=0,0,VLOOKUP(AH341,MIE_Components!$A$2:$F$6,4,FALSE()))</f>
        <v>0</v>
      </c>
      <c r="AL341" s="14" t="n">
        <f aca="false">IF(OR($A341="",AH341=0),0,MAX(5,AH341*IF(OR($A341=Parameters!$B$13,$A341=Parameters!$B$14),0.75,1)-(IF(AND($A341=DATE(2026,11,29),NOV29BF="Yes"),AI341,0)+IF(OR($A341=DATE(2026,11,29),$A341=DATE(2026,11,30),$A341=DATE(2026,12,1),$A341=DATE(2026,12,2)),AJ341,0)+IF(OR($A341=DATE(2026,11,28),$A341=DATE(2026,12,1)),AK341,0))))</f>
        <v>0</v>
      </c>
      <c r="AM341" s="14" t="n">
        <f aca="false">IF(AND($A341&lt;&gt;"",$A341&lt;Parameters!$B$14),CityData!F7*(1+TAXRATE),0)</f>
        <v>0</v>
      </c>
      <c r="AN341" s="14" t="n">
        <f aca="false">IF($A341="",0,IFERROR(VLOOKUP((YEAR($A341)+IF(MONTH($A341)&gt;=10,1,0))&amp;"|Seattle|"&amp;MONTH($A341),Rates!$A$2:$I$181,5,FALSE()),0))</f>
        <v>0</v>
      </c>
      <c r="AO341" s="14" t="n">
        <f aca="false">IF(OR($A341="",$A341&gt;=Parameters!$B$14),1,IF(AND(AN341&gt;0,CityData!F7&lt;=AN341),1,0))</f>
        <v>1</v>
      </c>
    </row>
    <row r="342" customFormat="false" ht="15" hidden="false" customHeight="true" outlineLevel="0" collapsed="false">
      <c r="A342" s="23" t="str">
        <f aca="false">IF(AND(Parameters!$B$14&gt;=Parameters!$B$13,ROW()-2&lt;=Parameters!$B$14-Parameters!$B$13),Parameters!$B$13+ROW()-2,"")</f>
        <v/>
      </c>
      <c r="B342" s="14" t="n">
        <f aca="false">IF($A342="",0,IFERROR(VLOOKUP((YEAR($A342)+IF(MONTH($A342)&gt;=10,1,0))&amp;"|Boston|"&amp;MONTH($A342),Rates!$A$2:$I$181,6,FALSE()),0))</f>
        <v>0</v>
      </c>
      <c r="C342" s="14" t="n">
        <f aca="false">IF(B342=0,0,VLOOKUP(B342,MIE_Components!$A$2:$F$6,2,FALSE()))</f>
        <v>0</v>
      </c>
      <c r="D342" s="14" t="n">
        <f aca="false">IF(B342=0,0,VLOOKUP(B342,MIE_Components!$A$2:$F$6,3,FALSE()))</f>
        <v>0</v>
      </c>
      <c r="E342" s="14" t="n">
        <f aca="false">IF(B342=0,0,VLOOKUP(B342,MIE_Components!$A$2:$F$6,4,FALSE()))</f>
        <v>0</v>
      </c>
      <c r="F342" s="14" t="n">
        <f aca="false">IF(OR($A342="",B342=0),0,MAX(5,B342*IF(OR($A342=Parameters!$B$13,$A342=Parameters!$B$14),0.75,1)-(IF(AND($A342=DATE(2026,11,29),NOV29BF="Yes"),C342,0)+IF(OR($A342=DATE(2026,11,29),$A342=DATE(2026,11,30),$A342=DATE(2026,12,1),$A342=DATE(2026,12,2)),D342,0)+IF(OR($A342=DATE(2026,11,28),$A342=DATE(2026,12,1)),E342,0))))</f>
        <v>0</v>
      </c>
      <c r="G342" s="14" t="n">
        <f aca="false">IF(AND($A342&lt;&gt;"",$A342&lt;Parameters!$B$14),CityData!F3*(1+TAXRATE),0)</f>
        <v>0</v>
      </c>
      <c r="H342" s="14" t="n">
        <f aca="false">IF($A342="",0,IFERROR(VLOOKUP((YEAR($A342)+IF(MONTH($A342)&gt;=10,1,0))&amp;"|Boston|"&amp;MONTH($A342),Rates!$A$2:$I$181,5,FALSE()),0))</f>
        <v>0</v>
      </c>
      <c r="I342" s="14" t="n">
        <f aca="false">IF(OR($A342="",$A342&gt;=Parameters!$B$14),1,IF(AND(H342&gt;0,CityData!F3&lt;=H342),1,0))</f>
        <v>1</v>
      </c>
      <c r="J342" s="14" t="n">
        <f aca="false">IF($A342="",0,IFERROR(VLOOKUP((YEAR($A342)+IF(MONTH($A342)&gt;=10,1,0))&amp;"|Chicago|"&amp;MONTH($A342),Rates!$A$2:$I$181,6,FALSE()),0))</f>
        <v>0</v>
      </c>
      <c r="K342" s="14" t="n">
        <f aca="false">IF(J342=0,0,VLOOKUP(J342,MIE_Components!$A$2:$F$6,2,FALSE()))</f>
        <v>0</v>
      </c>
      <c r="L342" s="14" t="n">
        <f aca="false">IF(J342=0,0,VLOOKUP(J342,MIE_Components!$A$2:$F$6,3,FALSE()))</f>
        <v>0</v>
      </c>
      <c r="M342" s="14" t="n">
        <f aca="false">IF(J342=0,0,VLOOKUP(J342,MIE_Components!$A$2:$F$6,4,FALSE()))</f>
        <v>0</v>
      </c>
      <c r="N342" s="14" t="n">
        <f aca="false">IF(OR($A342="",J342=0),0,MAX(5,J342*IF(OR($A342=Parameters!$B$13,$A342=Parameters!$B$14),0.75,1)-(IF(AND($A342=DATE(2026,11,29),NOV29BF="Yes"),K342,0)+IF(OR($A342=DATE(2026,11,29),$A342=DATE(2026,11,30),$A342=DATE(2026,12,1),$A342=DATE(2026,12,2)),L342,0)+IF(OR($A342=DATE(2026,11,28),$A342=DATE(2026,12,1)),M342,0))))</f>
        <v>0</v>
      </c>
      <c r="O342" s="14" t="n">
        <f aca="false">IF(AND($A342&lt;&gt;"",$A342&lt;Parameters!$B$14),CityData!F4*(1+TAXRATE),0)</f>
        <v>0</v>
      </c>
      <c r="P342" s="14" t="n">
        <f aca="false">IF($A342="",0,IFERROR(VLOOKUP((YEAR($A342)+IF(MONTH($A342)&gt;=10,1,0))&amp;"|Chicago|"&amp;MONTH($A342),Rates!$A$2:$I$181,5,FALSE()),0))</f>
        <v>0</v>
      </c>
      <c r="Q342" s="14" t="n">
        <f aca="false">IF(OR($A342="",$A342&gt;=Parameters!$B$14),1,IF(AND(P342&gt;0,CityData!F4&lt;=P342),1,0))</f>
        <v>1</v>
      </c>
      <c r="R342" s="14" t="n">
        <f aca="false">IF($A342="",0,IFERROR(VLOOKUP((YEAR($A342)+IF(MONTH($A342)&gt;=10,1,0))&amp;"|Denver|"&amp;MONTH($A342),Rates!$A$2:$I$181,6,FALSE()),0))</f>
        <v>0</v>
      </c>
      <c r="S342" s="14" t="n">
        <f aca="false">IF(R342=0,0,VLOOKUP(R342,MIE_Components!$A$2:$F$6,2,FALSE()))</f>
        <v>0</v>
      </c>
      <c r="T342" s="14" t="n">
        <f aca="false">IF(R342=0,0,VLOOKUP(R342,MIE_Components!$A$2:$F$6,3,FALSE()))</f>
        <v>0</v>
      </c>
      <c r="U342" s="14" t="n">
        <f aca="false">IF(R342=0,0,VLOOKUP(R342,MIE_Components!$A$2:$F$6,4,FALSE()))</f>
        <v>0</v>
      </c>
      <c r="V342" s="14" t="n">
        <f aca="false">IF(OR($A342="",R342=0),0,MAX(5,R342*IF(OR($A342=Parameters!$B$13,$A342=Parameters!$B$14),0.75,1)-(IF(AND($A342=DATE(2026,11,29),NOV29BF="Yes"),S342,0)+IF(OR($A342=DATE(2026,11,29),$A342=DATE(2026,11,30),$A342=DATE(2026,12,1),$A342=DATE(2026,12,2)),T342,0)+IF(OR($A342=DATE(2026,11,28),$A342=DATE(2026,12,1)),U342,0))))</f>
        <v>0</v>
      </c>
      <c r="W342" s="14" t="n">
        <f aca="false">IF(AND($A342&lt;&gt;"",$A342&lt;Parameters!$B$14),CityData!F5*(1+TAXRATE),0)</f>
        <v>0</v>
      </c>
      <c r="X342" s="14" t="n">
        <f aca="false">IF($A342="",0,IFERROR(VLOOKUP((YEAR($A342)+IF(MONTH($A342)&gt;=10,1,0))&amp;"|Denver|"&amp;MONTH($A342),Rates!$A$2:$I$181,5,FALSE()),0))</f>
        <v>0</v>
      </c>
      <c r="Y342" s="14" t="n">
        <f aca="false">IF(OR($A342="",$A342&gt;=Parameters!$B$14),1,IF(AND(X342&gt;0,CityData!F5&lt;=X342),1,0))</f>
        <v>1</v>
      </c>
      <c r="Z342" s="14" t="n">
        <f aca="false">IF($A342="",0,IFERROR(VLOOKUP((YEAR($A342)+IF(MONTH($A342)&gt;=10,1,0))&amp;"|Phoenix|"&amp;MONTH($A342),Rates!$A$2:$I$181,6,FALSE()),0))</f>
        <v>0</v>
      </c>
      <c r="AA342" s="14" t="n">
        <f aca="false">IF(Z342=0,0,VLOOKUP(Z342,MIE_Components!$A$2:$F$6,2,FALSE()))</f>
        <v>0</v>
      </c>
      <c r="AB342" s="14" t="n">
        <f aca="false">IF(Z342=0,0,VLOOKUP(Z342,MIE_Components!$A$2:$F$6,3,FALSE()))</f>
        <v>0</v>
      </c>
      <c r="AC342" s="14" t="n">
        <f aca="false">IF(Z342=0,0,VLOOKUP(Z342,MIE_Components!$A$2:$F$6,4,FALSE()))</f>
        <v>0</v>
      </c>
      <c r="AD342" s="14" t="n">
        <f aca="false">IF(OR($A342="",Z342=0),0,MAX(5,Z342*IF(OR($A342=Parameters!$B$13,$A342=Parameters!$B$14),0.75,1)-(IF(AND($A342=DATE(2026,11,29),NOV29BF="Yes"),AA342,0)+IF(OR($A342=DATE(2026,11,29),$A342=DATE(2026,11,30),$A342=DATE(2026,12,1),$A342=DATE(2026,12,2)),AB342,0)+IF(OR($A342=DATE(2026,11,28),$A342=DATE(2026,12,1)),AC342,0))))</f>
        <v>0</v>
      </c>
      <c r="AE342" s="14" t="n">
        <f aca="false">IF(AND($A342&lt;&gt;"",$A342&lt;Parameters!$B$14),CityData!F6*(1+TAXRATE),0)</f>
        <v>0</v>
      </c>
      <c r="AF342" s="14" t="n">
        <f aca="false">IF($A342="",0,IFERROR(VLOOKUP((YEAR($A342)+IF(MONTH($A342)&gt;=10,1,0))&amp;"|Phoenix|"&amp;MONTH($A342),Rates!$A$2:$I$181,5,FALSE()),0))</f>
        <v>0</v>
      </c>
      <c r="AG342" s="14" t="n">
        <f aca="false">IF(OR($A342="",$A342&gt;=Parameters!$B$14),1,IF(AND(AF342&gt;0,CityData!F6&lt;=AF342),1,0))</f>
        <v>1</v>
      </c>
      <c r="AH342" s="14" t="n">
        <f aca="false">IF($A342="",0,IFERROR(VLOOKUP((YEAR($A342)+IF(MONTH($A342)&gt;=10,1,0))&amp;"|Seattle|"&amp;MONTH($A342),Rates!$A$2:$I$181,6,FALSE()),0))</f>
        <v>0</v>
      </c>
      <c r="AI342" s="14" t="n">
        <f aca="false">IF(AH342=0,0,VLOOKUP(AH342,MIE_Components!$A$2:$F$6,2,FALSE()))</f>
        <v>0</v>
      </c>
      <c r="AJ342" s="14" t="n">
        <f aca="false">IF(AH342=0,0,VLOOKUP(AH342,MIE_Components!$A$2:$F$6,3,FALSE()))</f>
        <v>0</v>
      </c>
      <c r="AK342" s="14" t="n">
        <f aca="false">IF(AH342=0,0,VLOOKUP(AH342,MIE_Components!$A$2:$F$6,4,FALSE()))</f>
        <v>0</v>
      </c>
      <c r="AL342" s="14" t="n">
        <f aca="false">IF(OR($A342="",AH342=0),0,MAX(5,AH342*IF(OR($A342=Parameters!$B$13,$A342=Parameters!$B$14),0.75,1)-(IF(AND($A342=DATE(2026,11,29),NOV29BF="Yes"),AI342,0)+IF(OR($A342=DATE(2026,11,29),$A342=DATE(2026,11,30),$A342=DATE(2026,12,1),$A342=DATE(2026,12,2)),AJ342,0)+IF(OR($A342=DATE(2026,11,28),$A342=DATE(2026,12,1)),AK342,0))))</f>
        <v>0</v>
      </c>
      <c r="AM342" s="14" t="n">
        <f aca="false">IF(AND($A342&lt;&gt;"",$A342&lt;Parameters!$B$14),CityData!F7*(1+TAXRATE),0)</f>
        <v>0</v>
      </c>
      <c r="AN342" s="14" t="n">
        <f aca="false">IF($A342="",0,IFERROR(VLOOKUP((YEAR($A342)+IF(MONTH($A342)&gt;=10,1,0))&amp;"|Seattle|"&amp;MONTH($A342),Rates!$A$2:$I$181,5,FALSE()),0))</f>
        <v>0</v>
      </c>
      <c r="AO342" s="14" t="n">
        <f aca="false">IF(OR($A342="",$A342&gt;=Parameters!$B$14),1,IF(AND(AN342&gt;0,CityData!F7&lt;=AN342),1,0))</f>
        <v>1</v>
      </c>
    </row>
    <row r="343" customFormat="false" ht="15" hidden="false" customHeight="true" outlineLevel="0" collapsed="false">
      <c r="A343" s="23" t="str">
        <f aca="false">IF(AND(Parameters!$B$14&gt;=Parameters!$B$13,ROW()-2&lt;=Parameters!$B$14-Parameters!$B$13),Parameters!$B$13+ROW()-2,"")</f>
        <v/>
      </c>
      <c r="B343" s="14" t="n">
        <f aca="false">IF($A343="",0,IFERROR(VLOOKUP((YEAR($A343)+IF(MONTH($A343)&gt;=10,1,0))&amp;"|Boston|"&amp;MONTH($A343),Rates!$A$2:$I$181,6,FALSE()),0))</f>
        <v>0</v>
      </c>
      <c r="C343" s="14" t="n">
        <f aca="false">IF(B343=0,0,VLOOKUP(B343,MIE_Components!$A$2:$F$6,2,FALSE()))</f>
        <v>0</v>
      </c>
      <c r="D343" s="14" t="n">
        <f aca="false">IF(B343=0,0,VLOOKUP(B343,MIE_Components!$A$2:$F$6,3,FALSE()))</f>
        <v>0</v>
      </c>
      <c r="E343" s="14" t="n">
        <f aca="false">IF(B343=0,0,VLOOKUP(B343,MIE_Components!$A$2:$F$6,4,FALSE()))</f>
        <v>0</v>
      </c>
      <c r="F343" s="14" t="n">
        <f aca="false">IF(OR($A343="",B343=0),0,MAX(5,B343*IF(OR($A343=Parameters!$B$13,$A343=Parameters!$B$14),0.75,1)-(IF(AND($A343=DATE(2026,11,29),NOV29BF="Yes"),C343,0)+IF(OR($A343=DATE(2026,11,29),$A343=DATE(2026,11,30),$A343=DATE(2026,12,1),$A343=DATE(2026,12,2)),D343,0)+IF(OR($A343=DATE(2026,11,28),$A343=DATE(2026,12,1)),E343,0))))</f>
        <v>0</v>
      </c>
      <c r="G343" s="14" t="n">
        <f aca="false">IF(AND($A343&lt;&gt;"",$A343&lt;Parameters!$B$14),CityData!F3*(1+TAXRATE),0)</f>
        <v>0</v>
      </c>
      <c r="H343" s="14" t="n">
        <f aca="false">IF($A343="",0,IFERROR(VLOOKUP((YEAR($A343)+IF(MONTH($A343)&gt;=10,1,0))&amp;"|Boston|"&amp;MONTH($A343),Rates!$A$2:$I$181,5,FALSE()),0))</f>
        <v>0</v>
      </c>
      <c r="I343" s="14" t="n">
        <f aca="false">IF(OR($A343="",$A343&gt;=Parameters!$B$14),1,IF(AND(H343&gt;0,CityData!F3&lt;=H343),1,0))</f>
        <v>1</v>
      </c>
      <c r="J343" s="14" t="n">
        <f aca="false">IF($A343="",0,IFERROR(VLOOKUP((YEAR($A343)+IF(MONTH($A343)&gt;=10,1,0))&amp;"|Chicago|"&amp;MONTH($A343),Rates!$A$2:$I$181,6,FALSE()),0))</f>
        <v>0</v>
      </c>
      <c r="K343" s="14" t="n">
        <f aca="false">IF(J343=0,0,VLOOKUP(J343,MIE_Components!$A$2:$F$6,2,FALSE()))</f>
        <v>0</v>
      </c>
      <c r="L343" s="14" t="n">
        <f aca="false">IF(J343=0,0,VLOOKUP(J343,MIE_Components!$A$2:$F$6,3,FALSE()))</f>
        <v>0</v>
      </c>
      <c r="M343" s="14" t="n">
        <f aca="false">IF(J343=0,0,VLOOKUP(J343,MIE_Components!$A$2:$F$6,4,FALSE()))</f>
        <v>0</v>
      </c>
      <c r="N343" s="14" t="n">
        <f aca="false">IF(OR($A343="",J343=0),0,MAX(5,J343*IF(OR($A343=Parameters!$B$13,$A343=Parameters!$B$14),0.75,1)-(IF(AND($A343=DATE(2026,11,29),NOV29BF="Yes"),K343,0)+IF(OR($A343=DATE(2026,11,29),$A343=DATE(2026,11,30),$A343=DATE(2026,12,1),$A343=DATE(2026,12,2)),L343,0)+IF(OR($A343=DATE(2026,11,28),$A343=DATE(2026,12,1)),M343,0))))</f>
        <v>0</v>
      </c>
      <c r="O343" s="14" t="n">
        <f aca="false">IF(AND($A343&lt;&gt;"",$A343&lt;Parameters!$B$14),CityData!F4*(1+TAXRATE),0)</f>
        <v>0</v>
      </c>
      <c r="P343" s="14" t="n">
        <f aca="false">IF($A343="",0,IFERROR(VLOOKUP((YEAR($A343)+IF(MONTH($A343)&gt;=10,1,0))&amp;"|Chicago|"&amp;MONTH($A343),Rates!$A$2:$I$181,5,FALSE()),0))</f>
        <v>0</v>
      </c>
      <c r="Q343" s="14" t="n">
        <f aca="false">IF(OR($A343="",$A343&gt;=Parameters!$B$14),1,IF(AND(P343&gt;0,CityData!F4&lt;=P343),1,0))</f>
        <v>1</v>
      </c>
      <c r="R343" s="14" t="n">
        <f aca="false">IF($A343="",0,IFERROR(VLOOKUP((YEAR($A343)+IF(MONTH($A343)&gt;=10,1,0))&amp;"|Denver|"&amp;MONTH($A343),Rates!$A$2:$I$181,6,FALSE()),0))</f>
        <v>0</v>
      </c>
      <c r="S343" s="14" t="n">
        <f aca="false">IF(R343=0,0,VLOOKUP(R343,MIE_Components!$A$2:$F$6,2,FALSE()))</f>
        <v>0</v>
      </c>
      <c r="T343" s="14" t="n">
        <f aca="false">IF(R343=0,0,VLOOKUP(R343,MIE_Components!$A$2:$F$6,3,FALSE()))</f>
        <v>0</v>
      </c>
      <c r="U343" s="14" t="n">
        <f aca="false">IF(R343=0,0,VLOOKUP(R343,MIE_Components!$A$2:$F$6,4,FALSE()))</f>
        <v>0</v>
      </c>
      <c r="V343" s="14" t="n">
        <f aca="false">IF(OR($A343="",R343=0),0,MAX(5,R343*IF(OR($A343=Parameters!$B$13,$A343=Parameters!$B$14),0.75,1)-(IF(AND($A343=DATE(2026,11,29),NOV29BF="Yes"),S343,0)+IF(OR($A343=DATE(2026,11,29),$A343=DATE(2026,11,30),$A343=DATE(2026,12,1),$A343=DATE(2026,12,2)),T343,0)+IF(OR($A343=DATE(2026,11,28),$A343=DATE(2026,12,1)),U343,0))))</f>
        <v>0</v>
      </c>
      <c r="W343" s="14" t="n">
        <f aca="false">IF(AND($A343&lt;&gt;"",$A343&lt;Parameters!$B$14),CityData!F5*(1+TAXRATE),0)</f>
        <v>0</v>
      </c>
      <c r="X343" s="14" t="n">
        <f aca="false">IF($A343="",0,IFERROR(VLOOKUP((YEAR($A343)+IF(MONTH($A343)&gt;=10,1,0))&amp;"|Denver|"&amp;MONTH($A343),Rates!$A$2:$I$181,5,FALSE()),0))</f>
        <v>0</v>
      </c>
      <c r="Y343" s="14" t="n">
        <f aca="false">IF(OR($A343="",$A343&gt;=Parameters!$B$14),1,IF(AND(X343&gt;0,CityData!F5&lt;=X343),1,0))</f>
        <v>1</v>
      </c>
      <c r="Z343" s="14" t="n">
        <f aca="false">IF($A343="",0,IFERROR(VLOOKUP((YEAR($A343)+IF(MONTH($A343)&gt;=10,1,0))&amp;"|Phoenix|"&amp;MONTH($A343),Rates!$A$2:$I$181,6,FALSE()),0))</f>
        <v>0</v>
      </c>
      <c r="AA343" s="14" t="n">
        <f aca="false">IF(Z343=0,0,VLOOKUP(Z343,MIE_Components!$A$2:$F$6,2,FALSE()))</f>
        <v>0</v>
      </c>
      <c r="AB343" s="14" t="n">
        <f aca="false">IF(Z343=0,0,VLOOKUP(Z343,MIE_Components!$A$2:$F$6,3,FALSE()))</f>
        <v>0</v>
      </c>
      <c r="AC343" s="14" t="n">
        <f aca="false">IF(Z343=0,0,VLOOKUP(Z343,MIE_Components!$A$2:$F$6,4,FALSE()))</f>
        <v>0</v>
      </c>
      <c r="AD343" s="14" t="n">
        <f aca="false">IF(OR($A343="",Z343=0),0,MAX(5,Z343*IF(OR($A343=Parameters!$B$13,$A343=Parameters!$B$14),0.75,1)-(IF(AND($A343=DATE(2026,11,29),NOV29BF="Yes"),AA343,0)+IF(OR($A343=DATE(2026,11,29),$A343=DATE(2026,11,30),$A343=DATE(2026,12,1),$A343=DATE(2026,12,2)),AB343,0)+IF(OR($A343=DATE(2026,11,28),$A343=DATE(2026,12,1)),AC343,0))))</f>
        <v>0</v>
      </c>
      <c r="AE343" s="14" t="n">
        <f aca="false">IF(AND($A343&lt;&gt;"",$A343&lt;Parameters!$B$14),CityData!F6*(1+TAXRATE),0)</f>
        <v>0</v>
      </c>
      <c r="AF343" s="14" t="n">
        <f aca="false">IF($A343="",0,IFERROR(VLOOKUP((YEAR($A343)+IF(MONTH($A343)&gt;=10,1,0))&amp;"|Phoenix|"&amp;MONTH($A343),Rates!$A$2:$I$181,5,FALSE()),0))</f>
        <v>0</v>
      </c>
      <c r="AG343" s="14" t="n">
        <f aca="false">IF(OR($A343="",$A343&gt;=Parameters!$B$14),1,IF(AND(AF343&gt;0,CityData!F6&lt;=AF343),1,0))</f>
        <v>1</v>
      </c>
      <c r="AH343" s="14" t="n">
        <f aca="false">IF($A343="",0,IFERROR(VLOOKUP((YEAR($A343)+IF(MONTH($A343)&gt;=10,1,0))&amp;"|Seattle|"&amp;MONTH($A343),Rates!$A$2:$I$181,6,FALSE()),0))</f>
        <v>0</v>
      </c>
      <c r="AI343" s="14" t="n">
        <f aca="false">IF(AH343=0,0,VLOOKUP(AH343,MIE_Components!$A$2:$F$6,2,FALSE()))</f>
        <v>0</v>
      </c>
      <c r="AJ343" s="14" t="n">
        <f aca="false">IF(AH343=0,0,VLOOKUP(AH343,MIE_Components!$A$2:$F$6,3,FALSE()))</f>
        <v>0</v>
      </c>
      <c r="AK343" s="14" t="n">
        <f aca="false">IF(AH343=0,0,VLOOKUP(AH343,MIE_Components!$A$2:$F$6,4,FALSE()))</f>
        <v>0</v>
      </c>
      <c r="AL343" s="14" t="n">
        <f aca="false">IF(OR($A343="",AH343=0),0,MAX(5,AH343*IF(OR($A343=Parameters!$B$13,$A343=Parameters!$B$14),0.75,1)-(IF(AND($A343=DATE(2026,11,29),NOV29BF="Yes"),AI343,0)+IF(OR($A343=DATE(2026,11,29),$A343=DATE(2026,11,30),$A343=DATE(2026,12,1),$A343=DATE(2026,12,2)),AJ343,0)+IF(OR($A343=DATE(2026,11,28),$A343=DATE(2026,12,1)),AK343,0))))</f>
        <v>0</v>
      </c>
      <c r="AM343" s="14" t="n">
        <f aca="false">IF(AND($A343&lt;&gt;"",$A343&lt;Parameters!$B$14),CityData!F7*(1+TAXRATE),0)</f>
        <v>0</v>
      </c>
      <c r="AN343" s="14" t="n">
        <f aca="false">IF($A343="",0,IFERROR(VLOOKUP((YEAR($A343)+IF(MONTH($A343)&gt;=10,1,0))&amp;"|Seattle|"&amp;MONTH($A343),Rates!$A$2:$I$181,5,FALSE()),0))</f>
        <v>0</v>
      </c>
      <c r="AO343" s="14" t="n">
        <f aca="false">IF(OR($A343="",$A343&gt;=Parameters!$B$14),1,IF(AND(AN343&gt;0,CityData!F7&lt;=AN343),1,0))</f>
        <v>1</v>
      </c>
    </row>
    <row r="344" customFormat="false" ht="15" hidden="false" customHeight="true" outlineLevel="0" collapsed="false">
      <c r="A344" s="23" t="str">
        <f aca="false">IF(AND(Parameters!$B$14&gt;=Parameters!$B$13,ROW()-2&lt;=Parameters!$B$14-Parameters!$B$13),Parameters!$B$13+ROW()-2,"")</f>
        <v/>
      </c>
      <c r="B344" s="14" t="n">
        <f aca="false">IF($A344="",0,IFERROR(VLOOKUP((YEAR($A344)+IF(MONTH($A344)&gt;=10,1,0))&amp;"|Boston|"&amp;MONTH($A344),Rates!$A$2:$I$181,6,FALSE()),0))</f>
        <v>0</v>
      </c>
      <c r="C344" s="14" t="n">
        <f aca="false">IF(B344=0,0,VLOOKUP(B344,MIE_Components!$A$2:$F$6,2,FALSE()))</f>
        <v>0</v>
      </c>
      <c r="D344" s="14" t="n">
        <f aca="false">IF(B344=0,0,VLOOKUP(B344,MIE_Components!$A$2:$F$6,3,FALSE()))</f>
        <v>0</v>
      </c>
      <c r="E344" s="14" t="n">
        <f aca="false">IF(B344=0,0,VLOOKUP(B344,MIE_Components!$A$2:$F$6,4,FALSE()))</f>
        <v>0</v>
      </c>
      <c r="F344" s="14" t="n">
        <f aca="false">IF(OR($A344="",B344=0),0,MAX(5,B344*IF(OR($A344=Parameters!$B$13,$A344=Parameters!$B$14),0.75,1)-(IF(AND($A344=DATE(2026,11,29),NOV29BF="Yes"),C344,0)+IF(OR($A344=DATE(2026,11,29),$A344=DATE(2026,11,30),$A344=DATE(2026,12,1),$A344=DATE(2026,12,2)),D344,0)+IF(OR($A344=DATE(2026,11,28),$A344=DATE(2026,12,1)),E344,0))))</f>
        <v>0</v>
      </c>
      <c r="G344" s="14" t="n">
        <f aca="false">IF(AND($A344&lt;&gt;"",$A344&lt;Parameters!$B$14),CityData!F3*(1+TAXRATE),0)</f>
        <v>0</v>
      </c>
      <c r="H344" s="14" t="n">
        <f aca="false">IF($A344="",0,IFERROR(VLOOKUP((YEAR($A344)+IF(MONTH($A344)&gt;=10,1,0))&amp;"|Boston|"&amp;MONTH($A344),Rates!$A$2:$I$181,5,FALSE()),0))</f>
        <v>0</v>
      </c>
      <c r="I344" s="14" t="n">
        <f aca="false">IF(OR($A344="",$A344&gt;=Parameters!$B$14),1,IF(AND(H344&gt;0,CityData!F3&lt;=H344),1,0))</f>
        <v>1</v>
      </c>
      <c r="J344" s="14" t="n">
        <f aca="false">IF($A344="",0,IFERROR(VLOOKUP((YEAR($A344)+IF(MONTH($A344)&gt;=10,1,0))&amp;"|Chicago|"&amp;MONTH($A344),Rates!$A$2:$I$181,6,FALSE()),0))</f>
        <v>0</v>
      </c>
      <c r="K344" s="14" t="n">
        <f aca="false">IF(J344=0,0,VLOOKUP(J344,MIE_Components!$A$2:$F$6,2,FALSE()))</f>
        <v>0</v>
      </c>
      <c r="L344" s="14" t="n">
        <f aca="false">IF(J344=0,0,VLOOKUP(J344,MIE_Components!$A$2:$F$6,3,FALSE()))</f>
        <v>0</v>
      </c>
      <c r="M344" s="14" t="n">
        <f aca="false">IF(J344=0,0,VLOOKUP(J344,MIE_Components!$A$2:$F$6,4,FALSE()))</f>
        <v>0</v>
      </c>
      <c r="N344" s="14" t="n">
        <f aca="false">IF(OR($A344="",J344=0),0,MAX(5,J344*IF(OR($A344=Parameters!$B$13,$A344=Parameters!$B$14),0.75,1)-(IF(AND($A344=DATE(2026,11,29),NOV29BF="Yes"),K344,0)+IF(OR($A344=DATE(2026,11,29),$A344=DATE(2026,11,30),$A344=DATE(2026,12,1),$A344=DATE(2026,12,2)),L344,0)+IF(OR($A344=DATE(2026,11,28),$A344=DATE(2026,12,1)),M344,0))))</f>
        <v>0</v>
      </c>
      <c r="O344" s="14" t="n">
        <f aca="false">IF(AND($A344&lt;&gt;"",$A344&lt;Parameters!$B$14),CityData!F4*(1+TAXRATE),0)</f>
        <v>0</v>
      </c>
      <c r="P344" s="14" t="n">
        <f aca="false">IF($A344="",0,IFERROR(VLOOKUP((YEAR($A344)+IF(MONTH($A344)&gt;=10,1,0))&amp;"|Chicago|"&amp;MONTH($A344),Rates!$A$2:$I$181,5,FALSE()),0))</f>
        <v>0</v>
      </c>
      <c r="Q344" s="14" t="n">
        <f aca="false">IF(OR($A344="",$A344&gt;=Parameters!$B$14),1,IF(AND(P344&gt;0,CityData!F4&lt;=P344),1,0))</f>
        <v>1</v>
      </c>
      <c r="R344" s="14" t="n">
        <f aca="false">IF($A344="",0,IFERROR(VLOOKUP((YEAR($A344)+IF(MONTH($A344)&gt;=10,1,0))&amp;"|Denver|"&amp;MONTH($A344),Rates!$A$2:$I$181,6,FALSE()),0))</f>
        <v>0</v>
      </c>
      <c r="S344" s="14" t="n">
        <f aca="false">IF(R344=0,0,VLOOKUP(R344,MIE_Components!$A$2:$F$6,2,FALSE()))</f>
        <v>0</v>
      </c>
      <c r="T344" s="14" t="n">
        <f aca="false">IF(R344=0,0,VLOOKUP(R344,MIE_Components!$A$2:$F$6,3,FALSE()))</f>
        <v>0</v>
      </c>
      <c r="U344" s="14" t="n">
        <f aca="false">IF(R344=0,0,VLOOKUP(R344,MIE_Components!$A$2:$F$6,4,FALSE()))</f>
        <v>0</v>
      </c>
      <c r="V344" s="14" t="n">
        <f aca="false">IF(OR($A344="",R344=0),0,MAX(5,R344*IF(OR($A344=Parameters!$B$13,$A344=Parameters!$B$14),0.75,1)-(IF(AND($A344=DATE(2026,11,29),NOV29BF="Yes"),S344,0)+IF(OR($A344=DATE(2026,11,29),$A344=DATE(2026,11,30),$A344=DATE(2026,12,1),$A344=DATE(2026,12,2)),T344,0)+IF(OR($A344=DATE(2026,11,28),$A344=DATE(2026,12,1)),U344,0))))</f>
        <v>0</v>
      </c>
      <c r="W344" s="14" t="n">
        <f aca="false">IF(AND($A344&lt;&gt;"",$A344&lt;Parameters!$B$14),CityData!F5*(1+TAXRATE),0)</f>
        <v>0</v>
      </c>
      <c r="X344" s="14" t="n">
        <f aca="false">IF($A344="",0,IFERROR(VLOOKUP((YEAR($A344)+IF(MONTH($A344)&gt;=10,1,0))&amp;"|Denver|"&amp;MONTH($A344),Rates!$A$2:$I$181,5,FALSE()),0))</f>
        <v>0</v>
      </c>
      <c r="Y344" s="14" t="n">
        <f aca="false">IF(OR($A344="",$A344&gt;=Parameters!$B$14),1,IF(AND(X344&gt;0,CityData!F5&lt;=X344),1,0))</f>
        <v>1</v>
      </c>
      <c r="Z344" s="14" t="n">
        <f aca="false">IF($A344="",0,IFERROR(VLOOKUP((YEAR($A344)+IF(MONTH($A344)&gt;=10,1,0))&amp;"|Phoenix|"&amp;MONTH($A344),Rates!$A$2:$I$181,6,FALSE()),0))</f>
        <v>0</v>
      </c>
      <c r="AA344" s="14" t="n">
        <f aca="false">IF(Z344=0,0,VLOOKUP(Z344,MIE_Components!$A$2:$F$6,2,FALSE()))</f>
        <v>0</v>
      </c>
      <c r="AB344" s="14" t="n">
        <f aca="false">IF(Z344=0,0,VLOOKUP(Z344,MIE_Components!$A$2:$F$6,3,FALSE()))</f>
        <v>0</v>
      </c>
      <c r="AC344" s="14" t="n">
        <f aca="false">IF(Z344=0,0,VLOOKUP(Z344,MIE_Components!$A$2:$F$6,4,FALSE()))</f>
        <v>0</v>
      </c>
      <c r="AD344" s="14" t="n">
        <f aca="false">IF(OR($A344="",Z344=0),0,MAX(5,Z344*IF(OR($A344=Parameters!$B$13,$A344=Parameters!$B$14),0.75,1)-(IF(AND($A344=DATE(2026,11,29),NOV29BF="Yes"),AA344,0)+IF(OR($A344=DATE(2026,11,29),$A344=DATE(2026,11,30),$A344=DATE(2026,12,1),$A344=DATE(2026,12,2)),AB344,0)+IF(OR($A344=DATE(2026,11,28),$A344=DATE(2026,12,1)),AC344,0))))</f>
        <v>0</v>
      </c>
      <c r="AE344" s="14" t="n">
        <f aca="false">IF(AND($A344&lt;&gt;"",$A344&lt;Parameters!$B$14),CityData!F6*(1+TAXRATE),0)</f>
        <v>0</v>
      </c>
      <c r="AF344" s="14" t="n">
        <f aca="false">IF($A344="",0,IFERROR(VLOOKUP((YEAR($A344)+IF(MONTH($A344)&gt;=10,1,0))&amp;"|Phoenix|"&amp;MONTH($A344),Rates!$A$2:$I$181,5,FALSE()),0))</f>
        <v>0</v>
      </c>
      <c r="AG344" s="14" t="n">
        <f aca="false">IF(OR($A344="",$A344&gt;=Parameters!$B$14),1,IF(AND(AF344&gt;0,CityData!F6&lt;=AF344),1,0))</f>
        <v>1</v>
      </c>
      <c r="AH344" s="14" t="n">
        <f aca="false">IF($A344="",0,IFERROR(VLOOKUP((YEAR($A344)+IF(MONTH($A344)&gt;=10,1,0))&amp;"|Seattle|"&amp;MONTH($A344),Rates!$A$2:$I$181,6,FALSE()),0))</f>
        <v>0</v>
      </c>
      <c r="AI344" s="14" t="n">
        <f aca="false">IF(AH344=0,0,VLOOKUP(AH344,MIE_Components!$A$2:$F$6,2,FALSE()))</f>
        <v>0</v>
      </c>
      <c r="AJ344" s="14" t="n">
        <f aca="false">IF(AH344=0,0,VLOOKUP(AH344,MIE_Components!$A$2:$F$6,3,FALSE()))</f>
        <v>0</v>
      </c>
      <c r="AK344" s="14" t="n">
        <f aca="false">IF(AH344=0,0,VLOOKUP(AH344,MIE_Components!$A$2:$F$6,4,FALSE()))</f>
        <v>0</v>
      </c>
      <c r="AL344" s="14" t="n">
        <f aca="false">IF(OR($A344="",AH344=0),0,MAX(5,AH344*IF(OR($A344=Parameters!$B$13,$A344=Parameters!$B$14),0.75,1)-(IF(AND($A344=DATE(2026,11,29),NOV29BF="Yes"),AI344,0)+IF(OR($A344=DATE(2026,11,29),$A344=DATE(2026,11,30),$A344=DATE(2026,12,1),$A344=DATE(2026,12,2)),AJ344,0)+IF(OR($A344=DATE(2026,11,28),$A344=DATE(2026,12,1)),AK344,0))))</f>
        <v>0</v>
      </c>
      <c r="AM344" s="14" t="n">
        <f aca="false">IF(AND($A344&lt;&gt;"",$A344&lt;Parameters!$B$14),CityData!F7*(1+TAXRATE),0)</f>
        <v>0</v>
      </c>
      <c r="AN344" s="14" t="n">
        <f aca="false">IF($A344="",0,IFERROR(VLOOKUP((YEAR($A344)+IF(MONTH($A344)&gt;=10,1,0))&amp;"|Seattle|"&amp;MONTH($A344),Rates!$A$2:$I$181,5,FALSE()),0))</f>
        <v>0</v>
      </c>
      <c r="AO344" s="14" t="n">
        <f aca="false">IF(OR($A344="",$A344&gt;=Parameters!$B$14),1,IF(AND(AN344&gt;0,CityData!F7&lt;=AN344),1,0))</f>
        <v>1</v>
      </c>
    </row>
    <row r="345" customFormat="false" ht="15" hidden="false" customHeight="true" outlineLevel="0" collapsed="false">
      <c r="A345" s="23" t="str">
        <f aca="false">IF(AND(Parameters!$B$14&gt;=Parameters!$B$13,ROW()-2&lt;=Parameters!$B$14-Parameters!$B$13),Parameters!$B$13+ROW()-2,"")</f>
        <v/>
      </c>
      <c r="B345" s="14" t="n">
        <f aca="false">IF($A345="",0,IFERROR(VLOOKUP((YEAR($A345)+IF(MONTH($A345)&gt;=10,1,0))&amp;"|Boston|"&amp;MONTH($A345),Rates!$A$2:$I$181,6,FALSE()),0))</f>
        <v>0</v>
      </c>
      <c r="C345" s="14" t="n">
        <f aca="false">IF(B345=0,0,VLOOKUP(B345,MIE_Components!$A$2:$F$6,2,FALSE()))</f>
        <v>0</v>
      </c>
      <c r="D345" s="14" t="n">
        <f aca="false">IF(B345=0,0,VLOOKUP(B345,MIE_Components!$A$2:$F$6,3,FALSE()))</f>
        <v>0</v>
      </c>
      <c r="E345" s="14" t="n">
        <f aca="false">IF(B345=0,0,VLOOKUP(B345,MIE_Components!$A$2:$F$6,4,FALSE()))</f>
        <v>0</v>
      </c>
      <c r="F345" s="14" t="n">
        <f aca="false">IF(OR($A345="",B345=0),0,MAX(5,B345*IF(OR($A345=Parameters!$B$13,$A345=Parameters!$B$14),0.75,1)-(IF(AND($A345=DATE(2026,11,29),NOV29BF="Yes"),C345,0)+IF(OR($A345=DATE(2026,11,29),$A345=DATE(2026,11,30),$A345=DATE(2026,12,1),$A345=DATE(2026,12,2)),D345,0)+IF(OR($A345=DATE(2026,11,28),$A345=DATE(2026,12,1)),E345,0))))</f>
        <v>0</v>
      </c>
      <c r="G345" s="14" t="n">
        <f aca="false">IF(AND($A345&lt;&gt;"",$A345&lt;Parameters!$B$14),CityData!F3*(1+TAXRATE),0)</f>
        <v>0</v>
      </c>
      <c r="H345" s="14" t="n">
        <f aca="false">IF($A345="",0,IFERROR(VLOOKUP((YEAR($A345)+IF(MONTH($A345)&gt;=10,1,0))&amp;"|Boston|"&amp;MONTH($A345),Rates!$A$2:$I$181,5,FALSE()),0))</f>
        <v>0</v>
      </c>
      <c r="I345" s="14" t="n">
        <f aca="false">IF(OR($A345="",$A345&gt;=Parameters!$B$14),1,IF(AND(H345&gt;0,CityData!F3&lt;=H345),1,0))</f>
        <v>1</v>
      </c>
      <c r="J345" s="14" t="n">
        <f aca="false">IF($A345="",0,IFERROR(VLOOKUP((YEAR($A345)+IF(MONTH($A345)&gt;=10,1,0))&amp;"|Chicago|"&amp;MONTH($A345),Rates!$A$2:$I$181,6,FALSE()),0))</f>
        <v>0</v>
      </c>
      <c r="K345" s="14" t="n">
        <f aca="false">IF(J345=0,0,VLOOKUP(J345,MIE_Components!$A$2:$F$6,2,FALSE()))</f>
        <v>0</v>
      </c>
      <c r="L345" s="14" t="n">
        <f aca="false">IF(J345=0,0,VLOOKUP(J345,MIE_Components!$A$2:$F$6,3,FALSE()))</f>
        <v>0</v>
      </c>
      <c r="M345" s="14" t="n">
        <f aca="false">IF(J345=0,0,VLOOKUP(J345,MIE_Components!$A$2:$F$6,4,FALSE()))</f>
        <v>0</v>
      </c>
      <c r="N345" s="14" t="n">
        <f aca="false">IF(OR($A345="",J345=0),0,MAX(5,J345*IF(OR($A345=Parameters!$B$13,$A345=Parameters!$B$14),0.75,1)-(IF(AND($A345=DATE(2026,11,29),NOV29BF="Yes"),K345,0)+IF(OR($A345=DATE(2026,11,29),$A345=DATE(2026,11,30),$A345=DATE(2026,12,1),$A345=DATE(2026,12,2)),L345,0)+IF(OR($A345=DATE(2026,11,28),$A345=DATE(2026,12,1)),M345,0))))</f>
        <v>0</v>
      </c>
      <c r="O345" s="14" t="n">
        <f aca="false">IF(AND($A345&lt;&gt;"",$A345&lt;Parameters!$B$14),CityData!F4*(1+TAXRATE),0)</f>
        <v>0</v>
      </c>
      <c r="P345" s="14" t="n">
        <f aca="false">IF($A345="",0,IFERROR(VLOOKUP((YEAR($A345)+IF(MONTH($A345)&gt;=10,1,0))&amp;"|Chicago|"&amp;MONTH($A345),Rates!$A$2:$I$181,5,FALSE()),0))</f>
        <v>0</v>
      </c>
      <c r="Q345" s="14" t="n">
        <f aca="false">IF(OR($A345="",$A345&gt;=Parameters!$B$14),1,IF(AND(P345&gt;0,CityData!F4&lt;=P345),1,0))</f>
        <v>1</v>
      </c>
      <c r="R345" s="14" t="n">
        <f aca="false">IF($A345="",0,IFERROR(VLOOKUP((YEAR($A345)+IF(MONTH($A345)&gt;=10,1,0))&amp;"|Denver|"&amp;MONTH($A345),Rates!$A$2:$I$181,6,FALSE()),0))</f>
        <v>0</v>
      </c>
      <c r="S345" s="14" t="n">
        <f aca="false">IF(R345=0,0,VLOOKUP(R345,MIE_Components!$A$2:$F$6,2,FALSE()))</f>
        <v>0</v>
      </c>
      <c r="T345" s="14" t="n">
        <f aca="false">IF(R345=0,0,VLOOKUP(R345,MIE_Components!$A$2:$F$6,3,FALSE()))</f>
        <v>0</v>
      </c>
      <c r="U345" s="14" t="n">
        <f aca="false">IF(R345=0,0,VLOOKUP(R345,MIE_Components!$A$2:$F$6,4,FALSE()))</f>
        <v>0</v>
      </c>
      <c r="V345" s="14" t="n">
        <f aca="false">IF(OR($A345="",R345=0),0,MAX(5,R345*IF(OR($A345=Parameters!$B$13,$A345=Parameters!$B$14),0.75,1)-(IF(AND($A345=DATE(2026,11,29),NOV29BF="Yes"),S345,0)+IF(OR($A345=DATE(2026,11,29),$A345=DATE(2026,11,30),$A345=DATE(2026,12,1),$A345=DATE(2026,12,2)),T345,0)+IF(OR($A345=DATE(2026,11,28),$A345=DATE(2026,12,1)),U345,0))))</f>
        <v>0</v>
      </c>
      <c r="W345" s="14" t="n">
        <f aca="false">IF(AND($A345&lt;&gt;"",$A345&lt;Parameters!$B$14),CityData!F5*(1+TAXRATE),0)</f>
        <v>0</v>
      </c>
      <c r="X345" s="14" t="n">
        <f aca="false">IF($A345="",0,IFERROR(VLOOKUP((YEAR($A345)+IF(MONTH($A345)&gt;=10,1,0))&amp;"|Denver|"&amp;MONTH($A345),Rates!$A$2:$I$181,5,FALSE()),0))</f>
        <v>0</v>
      </c>
      <c r="Y345" s="14" t="n">
        <f aca="false">IF(OR($A345="",$A345&gt;=Parameters!$B$14),1,IF(AND(X345&gt;0,CityData!F5&lt;=X345),1,0))</f>
        <v>1</v>
      </c>
      <c r="Z345" s="14" t="n">
        <f aca="false">IF($A345="",0,IFERROR(VLOOKUP((YEAR($A345)+IF(MONTH($A345)&gt;=10,1,0))&amp;"|Phoenix|"&amp;MONTH($A345),Rates!$A$2:$I$181,6,FALSE()),0))</f>
        <v>0</v>
      </c>
      <c r="AA345" s="14" t="n">
        <f aca="false">IF(Z345=0,0,VLOOKUP(Z345,MIE_Components!$A$2:$F$6,2,FALSE()))</f>
        <v>0</v>
      </c>
      <c r="AB345" s="14" t="n">
        <f aca="false">IF(Z345=0,0,VLOOKUP(Z345,MIE_Components!$A$2:$F$6,3,FALSE()))</f>
        <v>0</v>
      </c>
      <c r="AC345" s="14" t="n">
        <f aca="false">IF(Z345=0,0,VLOOKUP(Z345,MIE_Components!$A$2:$F$6,4,FALSE()))</f>
        <v>0</v>
      </c>
      <c r="AD345" s="14" t="n">
        <f aca="false">IF(OR($A345="",Z345=0),0,MAX(5,Z345*IF(OR($A345=Parameters!$B$13,$A345=Parameters!$B$14),0.75,1)-(IF(AND($A345=DATE(2026,11,29),NOV29BF="Yes"),AA345,0)+IF(OR($A345=DATE(2026,11,29),$A345=DATE(2026,11,30),$A345=DATE(2026,12,1),$A345=DATE(2026,12,2)),AB345,0)+IF(OR($A345=DATE(2026,11,28),$A345=DATE(2026,12,1)),AC345,0))))</f>
        <v>0</v>
      </c>
      <c r="AE345" s="14" t="n">
        <f aca="false">IF(AND($A345&lt;&gt;"",$A345&lt;Parameters!$B$14),CityData!F6*(1+TAXRATE),0)</f>
        <v>0</v>
      </c>
      <c r="AF345" s="14" t="n">
        <f aca="false">IF($A345="",0,IFERROR(VLOOKUP((YEAR($A345)+IF(MONTH($A345)&gt;=10,1,0))&amp;"|Phoenix|"&amp;MONTH($A345),Rates!$A$2:$I$181,5,FALSE()),0))</f>
        <v>0</v>
      </c>
      <c r="AG345" s="14" t="n">
        <f aca="false">IF(OR($A345="",$A345&gt;=Parameters!$B$14),1,IF(AND(AF345&gt;0,CityData!F6&lt;=AF345),1,0))</f>
        <v>1</v>
      </c>
      <c r="AH345" s="14" t="n">
        <f aca="false">IF($A345="",0,IFERROR(VLOOKUP((YEAR($A345)+IF(MONTH($A345)&gt;=10,1,0))&amp;"|Seattle|"&amp;MONTH($A345),Rates!$A$2:$I$181,6,FALSE()),0))</f>
        <v>0</v>
      </c>
      <c r="AI345" s="14" t="n">
        <f aca="false">IF(AH345=0,0,VLOOKUP(AH345,MIE_Components!$A$2:$F$6,2,FALSE()))</f>
        <v>0</v>
      </c>
      <c r="AJ345" s="14" t="n">
        <f aca="false">IF(AH345=0,0,VLOOKUP(AH345,MIE_Components!$A$2:$F$6,3,FALSE()))</f>
        <v>0</v>
      </c>
      <c r="AK345" s="14" t="n">
        <f aca="false">IF(AH345=0,0,VLOOKUP(AH345,MIE_Components!$A$2:$F$6,4,FALSE()))</f>
        <v>0</v>
      </c>
      <c r="AL345" s="14" t="n">
        <f aca="false">IF(OR($A345="",AH345=0),0,MAX(5,AH345*IF(OR($A345=Parameters!$B$13,$A345=Parameters!$B$14),0.75,1)-(IF(AND($A345=DATE(2026,11,29),NOV29BF="Yes"),AI345,0)+IF(OR($A345=DATE(2026,11,29),$A345=DATE(2026,11,30),$A345=DATE(2026,12,1),$A345=DATE(2026,12,2)),AJ345,0)+IF(OR($A345=DATE(2026,11,28),$A345=DATE(2026,12,1)),AK345,0))))</f>
        <v>0</v>
      </c>
      <c r="AM345" s="14" t="n">
        <f aca="false">IF(AND($A345&lt;&gt;"",$A345&lt;Parameters!$B$14),CityData!F7*(1+TAXRATE),0)</f>
        <v>0</v>
      </c>
      <c r="AN345" s="14" t="n">
        <f aca="false">IF($A345="",0,IFERROR(VLOOKUP((YEAR($A345)+IF(MONTH($A345)&gt;=10,1,0))&amp;"|Seattle|"&amp;MONTH($A345),Rates!$A$2:$I$181,5,FALSE()),0))</f>
        <v>0</v>
      </c>
      <c r="AO345" s="14" t="n">
        <f aca="false">IF(OR($A345="",$A345&gt;=Parameters!$B$14),1,IF(AND(AN345&gt;0,CityData!F7&lt;=AN345),1,0))</f>
        <v>1</v>
      </c>
    </row>
    <row r="346" customFormat="false" ht="15" hidden="false" customHeight="true" outlineLevel="0" collapsed="false">
      <c r="A346" s="23" t="str">
        <f aca="false">IF(AND(Parameters!$B$14&gt;=Parameters!$B$13,ROW()-2&lt;=Parameters!$B$14-Parameters!$B$13),Parameters!$B$13+ROW()-2,"")</f>
        <v/>
      </c>
      <c r="B346" s="14" t="n">
        <f aca="false">IF($A346="",0,IFERROR(VLOOKUP((YEAR($A346)+IF(MONTH($A346)&gt;=10,1,0))&amp;"|Boston|"&amp;MONTH($A346),Rates!$A$2:$I$181,6,FALSE()),0))</f>
        <v>0</v>
      </c>
      <c r="C346" s="14" t="n">
        <f aca="false">IF(B346=0,0,VLOOKUP(B346,MIE_Components!$A$2:$F$6,2,FALSE()))</f>
        <v>0</v>
      </c>
      <c r="D346" s="14" t="n">
        <f aca="false">IF(B346=0,0,VLOOKUP(B346,MIE_Components!$A$2:$F$6,3,FALSE()))</f>
        <v>0</v>
      </c>
      <c r="E346" s="14" t="n">
        <f aca="false">IF(B346=0,0,VLOOKUP(B346,MIE_Components!$A$2:$F$6,4,FALSE()))</f>
        <v>0</v>
      </c>
      <c r="F346" s="14" t="n">
        <f aca="false">IF(OR($A346="",B346=0),0,MAX(5,B346*IF(OR($A346=Parameters!$B$13,$A346=Parameters!$B$14),0.75,1)-(IF(AND($A346=DATE(2026,11,29),NOV29BF="Yes"),C346,0)+IF(OR($A346=DATE(2026,11,29),$A346=DATE(2026,11,30),$A346=DATE(2026,12,1),$A346=DATE(2026,12,2)),D346,0)+IF(OR($A346=DATE(2026,11,28),$A346=DATE(2026,12,1)),E346,0))))</f>
        <v>0</v>
      </c>
      <c r="G346" s="14" t="n">
        <f aca="false">IF(AND($A346&lt;&gt;"",$A346&lt;Parameters!$B$14),CityData!F3*(1+TAXRATE),0)</f>
        <v>0</v>
      </c>
      <c r="H346" s="14" t="n">
        <f aca="false">IF($A346="",0,IFERROR(VLOOKUP((YEAR($A346)+IF(MONTH($A346)&gt;=10,1,0))&amp;"|Boston|"&amp;MONTH($A346),Rates!$A$2:$I$181,5,FALSE()),0))</f>
        <v>0</v>
      </c>
      <c r="I346" s="14" t="n">
        <f aca="false">IF(OR($A346="",$A346&gt;=Parameters!$B$14),1,IF(AND(H346&gt;0,CityData!F3&lt;=H346),1,0))</f>
        <v>1</v>
      </c>
      <c r="J346" s="14" t="n">
        <f aca="false">IF($A346="",0,IFERROR(VLOOKUP((YEAR($A346)+IF(MONTH($A346)&gt;=10,1,0))&amp;"|Chicago|"&amp;MONTH($A346),Rates!$A$2:$I$181,6,FALSE()),0))</f>
        <v>0</v>
      </c>
      <c r="K346" s="14" t="n">
        <f aca="false">IF(J346=0,0,VLOOKUP(J346,MIE_Components!$A$2:$F$6,2,FALSE()))</f>
        <v>0</v>
      </c>
      <c r="L346" s="14" t="n">
        <f aca="false">IF(J346=0,0,VLOOKUP(J346,MIE_Components!$A$2:$F$6,3,FALSE()))</f>
        <v>0</v>
      </c>
      <c r="M346" s="14" t="n">
        <f aca="false">IF(J346=0,0,VLOOKUP(J346,MIE_Components!$A$2:$F$6,4,FALSE()))</f>
        <v>0</v>
      </c>
      <c r="N346" s="14" t="n">
        <f aca="false">IF(OR($A346="",J346=0),0,MAX(5,J346*IF(OR($A346=Parameters!$B$13,$A346=Parameters!$B$14),0.75,1)-(IF(AND($A346=DATE(2026,11,29),NOV29BF="Yes"),K346,0)+IF(OR($A346=DATE(2026,11,29),$A346=DATE(2026,11,30),$A346=DATE(2026,12,1),$A346=DATE(2026,12,2)),L346,0)+IF(OR($A346=DATE(2026,11,28),$A346=DATE(2026,12,1)),M346,0))))</f>
        <v>0</v>
      </c>
      <c r="O346" s="14" t="n">
        <f aca="false">IF(AND($A346&lt;&gt;"",$A346&lt;Parameters!$B$14),CityData!F4*(1+TAXRATE),0)</f>
        <v>0</v>
      </c>
      <c r="P346" s="14" t="n">
        <f aca="false">IF($A346="",0,IFERROR(VLOOKUP((YEAR($A346)+IF(MONTH($A346)&gt;=10,1,0))&amp;"|Chicago|"&amp;MONTH($A346),Rates!$A$2:$I$181,5,FALSE()),0))</f>
        <v>0</v>
      </c>
      <c r="Q346" s="14" t="n">
        <f aca="false">IF(OR($A346="",$A346&gt;=Parameters!$B$14),1,IF(AND(P346&gt;0,CityData!F4&lt;=P346),1,0))</f>
        <v>1</v>
      </c>
      <c r="R346" s="14" t="n">
        <f aca="false">IF($A346="",0,IFERROR(VLOOKUP((YEAR($A346)+IF(MONTH($A346)&gt;=10,1,0))&amp;"|Denver|"&amp;MONTH($A346),Rates!$A$2:$I$181,6,FALSE()),0))</f>
        <v>0</v>
      </c>
      <c r="S346" s="14" t="n">
        <f aca="false">IF(R346=0,0,VLOOKUP(R346,MIE_Components!$A$2:$F$6,2,FALSE()))</f>
        <v>0</v>
      </c>
      <c r="T346" s="14" t="n">
        <f aca="false">IF(R346=0,0,VLOOKUP(R346,MIE_Components!$A$2:$F$6,3,FALSE()))</f>
        <v>0</v>
      </c>
      <c r="U346" s="14" t="n">
        <f aca="false">IF(R346=0,0,VLOOKUP(R346,MIE_Components!$A$2:$F$6,4,FALSE()))</f>
        <v>0</v>
      </c>
      <c r="V346" s="14" t="n">
        <f aca="false">IF(OR($A346="",R346=0),0,MAX(5,R346*IF(OR($A346=Parameters!$B$13,$A346=Parameters!$B$14),0.75,1)-(IF(AND($A346=DATE(2026,11,29),NOV29BF="Yes"),S346,0)+IF(OR($A346=DATE(2026,11,29),$A346=DATE(2026,11,30),$A346=DATE(2026,12,1),$A346=DATE(2026,12,2)),T346,0)+IF(OR($A346=DATE(2026,11,28),$A346=DATE(2026,12,1)),U346,0))))</f>
        <v>0</v>
      </c>
      <c r="W346" s="14" t="n">
        <f aca="false">IF(AND($A346&lt;&gt;"",$A346&lt;Parameters!$B$14),CityData!F5*(1+TAXRATE),0)</f>
        <v>0</v>
      </c>
      <c r="X346" s="14" t="n">
        <f aca="false">IF($A346="",0,IFERROR(VLOOKUP((YEAR($A346)+IF(MONTH($A346)&gt;=10,1,0))&amp;"|Denver|"&amp;MONTH($A346),Rates!$A$2:$I$181,5,FALSE()),0))</f>
        <v>0</v>
      </c>
      <c r="Y346" s="14" t="n">
        <f aca="false">IF(OR($A346="",$A346&gt;=Parameters!$B$14),1,IF(AND(X346&gt;0,CityData!F5&lt;=X346),1,0))</f>
        <v>1</v>
      </c>
      <c r="Z346" s="14" t="n">
        <f aca="false">IF($A346="",0,IFERROR(VLOOKUP((YEAR($A346)+IF(MONTH($A346)&gt;=10,1,0))&amp;"|Phoenix|"&amp;MONTH($A346),Rates!$A$2:$I$181,6,FALSE()),0))</f>
        <v>0</v>
      </c>
      <c r="AA346" s="14" t="n">
        <f aca="false">IF(Z346=0,0,VLOOKUP(Z346,MIE_Components!$A$2:$F$6,2,FALSE()))</f>
        <v>0</v>
      </c>
      <c r="AB346" s="14" t="n">
        <f aca="false">IF(Z346=0,0,VLOOKUP(Z346,MIE_Components!$A$2:$F$6,3,FALSE()))</f>
        <v>0</v>
      </c>
      <c r="AC346" s="14" t="n">
        <f aca="false">IF(Z346=0,0,VLOOKUP(Z346,MIE_Components!$A$2:$F$6,4,FALSE()))</f>
        <v>0</v>
      </c>
      <c r="AD346" s="14" t="n">
        <f aca="false">IF(OR($A346="",Z346=0),0,MAX(5,Z346*IF(OR($A346=Parameters!$B$13,$A346=Parameters!$B$14),0.75,1)-(IF(AND($A346=DATE(2026,11,29),NOV29BF="Yes"),AA346,0)+IF(OR($A346=DATE(2026,11,29),$A346=DATE(2026,11,30),$A346=DATE(2026,12,1),$A346=DATE(2026,12,2)),AB346,0)+IF(OR($A346=DATE(2026,11,28),$A346=DATE(2026,12,1)),AC346,0))))</f>
        <v>0</v>
      </c>
      <c r="AE346" s="14" t="n">
        <f aca="false">IF(AND($A346&lt;&gt;"",$A346&lt;Parameters!$B$14),CityData!F6*(1+TAXRATE),0)</f>
        <v>0</v>
      </c>
      <c r="AF346" s="14" t="n">
        <f aca="false">IF($A346="",0,IFERROR(VLOOKUP((YEAR($A346)+IF(MONTH($A346)&gt;=10,1,0))&amp;"|Phoenix|"&amp;MONTH($A346),Rates!$A$2:$I$181,5,FALSE()),0))</f>
        <v>0</v>
      </c>
      <c r="AG346" s="14" t="n">
        <f aca="false">IF(OR($A346="",$A346&gt;=Parameters!$B$14),1,IF(AND(AF346&gt;0,CityData!F6&lt;=AF346),1,0))</f>
        <v>1</v>
      </c>
      <c r="AH346" s="14" t="n">
        <f aca="false">IF($A346="",0,IFERROR(VLOOKUP((YEAR($A346)+IF(MONTH($A346)&gt;=10,1,0))&amp;"|Seattle|"&amp;MONTH($A346),Rates!$A$2:$I$181,6,FALSE()),0))</f>
        <v>0</v>
      </c>
      <c r="AI346" s="14" t="n">
        <f aca="false">IF(AH346=0,0,VLOOKUP(AH346,MIE_Components!$A$2:$F$6,2,FALSE()))</f>
        <v>0</v>
      </c>
      <c r="AJ346" s="14" t="n">
        <f aca="false">IF(AH346=0,0,VLOOKUP(AH346,MIE_Components!$A$2:$F$6,3,FALSE()))</f>
        <v>0</v>
      </c>
      <c r="AK346" s="14" t="n">
        <f aca="false">IF(AH346=0,0,VLOOKUP(AH346,MIE_Components!$A$2:$F$6,4,FALSE()))</f>
        <v>0</v>
      </c>
      <c r="AL346" s="14" t="n">
        <f aca="false">IF(OR($A346="",AH346=0),0,MAX(5,AH346*IF(OR($A346=Parameters!$B$13,$A346=Parameters!$B$14),0.75,1)-(IF(AND($A346=DATE(2026,11,29),NOV29BF="Yes"),AI346,0)+IF(OR($A346=DATE(2026,11,29),$A346=DATE(2026,11,30),$A346=DATE(2026,12,1),$A346=DATE(2026,12,2)),AJ346,0)+IF(OR($A346=DATE(2026,11,28),$A346=DATE(2026,12,1)),AK346,0))))</f>
        <v>0</v>
      </c>
      <c r="AM346" s="14" t="n">
        <f aca="false">IF(AND($A346&lt;&gt;"",$A346&lt;Parameters!$B$14),CityData!F7*(1+TAXRATE),0)</f>
        <v>0</v>
      </c>
      <c r="AN346" s="14" t="n">
        <f aca="false">IF($A346="",0,IFERROR(VLOOKUP((YEAR($A346)+IF(MONTH($A346)&gt;=10,1,0))&amp;"|Seattle|"&amp;MONTH($A346),Rates!$A$2:$I$181,5,FALSE()),0))</f>
        <v>0</v>
      </c>
      <c r="AO346" s="14" t="n">
        <f aca="false">IF(OR($A346="",$A346&gt;=Parameters!$B$14),1,IF(AND(AN346&gt;0,CityData!F7&lt;=AN346),1,0))</f>
        <v>1</v>
      </c>
    </row>
    <row r="347" customFormat="false" ht="15" hidden="false" customHeight="true" outlineLevel="0" collapsed="false">
      <c r="A347" s="23" t="str">
        <f aca="false">IF(AND(Parameters!$B$14&gt;=Parameters!$B$13,ROW()-2&lt;=Parameters!$B$14-Parameters!$B$13),Parameters!$B$13+ROW()-2,"")</f>
        <v/>
      </c>
      <c r="B347" s="14" t="n">
        <f aca="false">IF($A347="",0,IFERROR(VLOOKUP((YEAR($A347)+IF(MONTH($A347)&gt;=10,1,0))&amp;"|Boston|"&amp;MONTH($A347),Rates!$A$2:$I$181,6,FALSE()),0))</f>
        <v>0</v>
      </c>
      <c r="C347" s="14" t="n">
        <f aca="false">IF(B347=0,0,VLOOKUP(B347,MIE_Components!$A$2:$F$6,2,FALSE()))</f>
        <v>0</v>
      </c>
      <c r="D347" s="14" t="n">
        <f aca="false">IF(B347=0,0,VLOOKUP(B347,MIE_Components!$A$2:$F$6,3,FALSE()))</f>
        <v>0</v>
      </c>
      <c r="E347" s="14" t="n">
        <f aca="false">IF(B347=0,0,VLOOKUP(B347,MIE_Components!$A$2:$F$6,4,FALSE()))</f>
        <v>0</v>
      </c>
      <c r="F347" s="14" t="n">
        <f aca="false">IF(OR($A347="",B347=0),0,MAX(5,B347*IF(OR($A347=Parameters!$B$13,$A347=Parameters!$B$14),0.75,1)-(IF(AND($A347=DATE(2026,11,29),NOV29BF="Yes"),C347,0)+IF(OR($A347=DATE(2026,11,29),$A347=DATE(2026,11,30),$A347=DATE(2026,12,1),$A347=DATE(2026,12,2)),D347,0)+IF(OR($A347=DATE(2026,11,28),$A347=DATE(2026,12,1)),E347,0))))</f>
        <v>0</v>
      </c>
      <c r="G347" s="14" t="n">
        <f aca="false">IF(AND($A347&lt;&gt;"",$A347&lt;Parameters!$B$14),CityData!F3*(1+TAXRATE),0)</f>
        <v>0</v>
      </c>
      <c r="H347" s="14" t="n">
        <f aca="false">IF($A347="",0,IFERROR(VLOOKUP((YEAR($A347)+IF(MONTH($A347)&gt;=10,1,0))&amp;"|Boston|"&amp;MONTH($A347),Rates!$A$2:$I$181,5,FALSE()),0))</f>
        <v>0</v>
      </c>
      <c r="I347" s="14" t="n">
        <f aca="false">IF(OR($A347="",$A347&gt;=Parameters!$B$14),1,IF(AND(H347&gt;0,CityData!F3&lt;=H347),1,0))</f>
        <v>1</v>
      </c>
      <c r="J347" s="14" t="n">
        <f aca="false">IF($A347="",0,IFERROR(VLOOKUP((YEAR($A347)+IF(MONTH($A347)&gt;=10,1,0))&amp;"|Chicago|"&amp;MONTH($A347),Rates!$A$2:$I$181,6,FALSE()),0))</f>
        <v>0</v>
      </c>
      <c r="K347" s="14" t="n">
        <f aca="false">IF(J347=0,0,VLOOKUP(J347,MIE_Components!$A$2:$F$6,2,FALSE()))</f>
        <v>0</v>
      </c>
      <c r="L347" s="14" t="n">
        <f aca="false">IF(J347=0,0,VLOOKUP(J347,MIE_Components!$A$2:$F$6,3,FALSE()))</f>
        <v>0</v>
      </c>
      <c r="M347" s="14" t="n">
        <f aca="false">IF(J347=0,0,VLOOKUP(J347,MIE_Components!$A$2:$F$6,4,FALSE()))</f>
        <v>0</v>
      </c>
      <c r="N347" s="14" t="n">
        <f aca="false">IF(OR($A347="",J347=0),0,MAX(5,J347*IF(OR($A347=Parameters!$B$13,$A347=Parameters!$B$14),0.75,1)-(IF(AND($A347=DATE(2026,11,29),NOV29BF="Yes"),K347,0)+IF(OR($A347=DATE(2026,11,29),$A347=DATE(2026,11,30),$A347=DATE(2026,12,1),$A347=DATE(2026,12,2)),L347,0)+IF(OR($A347=DATE(2026,11,28),$A347=DATE(2026,12,1)),M347,0))))</f>
        <v>0</v>
      </c>
      <c r="O347" s="14" t="n">
        <f aca="false">IF(AND($A347&lt;&gt;"",$A347&lt;Parameters!$B$14),CityData!F4*(1+TAXRATE),0)</f>
        <v>0</v>
      </c>
      <c r="P347" s="14" t="n">
        <f aca="false">IF($A347="",0,IFERROR(VLOOKUP((YEAR($A347)+IF(MONTH($A347)&gt;=10,1,0))&amp;"|Chicago|"&amp;MONTH($A347),Rates!$A$2:$I$181,5,FALSE()),0))</f>
        <v>0</v>
      </c>
      <c r="Q347" s="14" t="n">
        <f aca="false">IF(OR($A347="",$A347&gt;=Parameters!$B$14),1,IF(AND(P347&gt;0,CityData!F4&lt;=P347),1,0))</f>
        <v>1</v>
      </c>
      <c r="R347" s="14" t="n">
        <f aca="false">IF($A347="",0,IFERROR(VLOOKUP((YEAR($A347)+IF(MONTH($A347)&gt;=10,1,0))&amp;"|Denver|"&amp;MONTH($A347),Rates!$A$2:$I$181,6,FALSE()),0))</f>
        <v>0</v>
      </c>
      <c r="S347" s="14" t="n">
        <f aca="false">IF(R347=0,0,VLOOKUP(R347,MIE_Components!$A$2:$F$6,2,FALSE()))</f>
        <v>0</v>
      </c>
      <c r="T347" s="14" t="n">
        <f aca="false">IF(R347=0,0,VLOOKUP(R347,MIE_Components!$A$2:$F$6,3,FALSE()))</f>
        <v>0</v>
      </c>
      <c r="U347" s="14" t="n">
        <f aca="false">IF(R347=0,0,VLOOKUP(R347,MIE_Components!$A$2:$F$6,4,FALSE()))</f>
        <v>0</v>
      </c>
      <c r="V347" s="14" t="n">
        <f aca="false">IF(OR($A347="",R347=0),0,MAX(5,R347*IF(OR($A347=Parameters!$B$13,$A347=Parameters!$B$14),0.75,1)-(IF(AND($A347=DATE(2026,11,29),NOV29BF="Yes"),S347,0)+IF(OR($A347=DATE(2026,11,29),$A347=DATE(2026,11,30),$A347=DATE(2026,12,1),$A347=DATE(2026,12,2)),T347,0)+IF(OR($A347=DATE(2026,11,28),$A347=DATE(2026,12,1)),U347,0))))</f>
        <v>0</v>
      </c>
      <c r="W347" s="14" t="n">
        <f aca="false">IF(AND($A347&lt;&gt;"",$A347&lt;Parameters!$B$14),CityData!F5*(1+TAXRATE),0)</f>
        <v>0</v>
      </c>
      <c r="X347" s="14" t="n">
        <f aca="false">IF($A347="",0,IFERROR(VLOOKUP((YEAR($A347)+IF(MONTH($A347)&gt;=10,1,0))&amp;"|Denver|"&amp;MONTH($A347),Rates!$A$2:$I$181,5,FALSE()),0))</f>
        <v>0</v>
      </c>
      <c r="Y347" s="14" t="n">
        <f aca="false">IF(OR($A347="",$A347&gt;=Parameters!$B$14),1,IF(AND(X347&gt;0,CityData!F5&lt;=X347),1,0))</f>
        <v>1</v>
      </c>
      <c r="Z347" s="14" t="n">
        <f aca="false">IF($A347="",0,IFERROR(VLOOKUP((YEAR($A347)+IF(MONTH($A347)&gt;=10,1,0))&amp;"|Phoenix|"&amp;MONTH($A347),Rates!$A$2:$I$181,6,FALSE()),0))</f>
        <v>0</v>
      </c>
      <c r="AA347" s="14" t="n">
        <f aca="false">IF(Z347=0,0,VLOOKUP(Z347,MIE_Components!$A$2:$F$6,2,FALSE()))</f>
        <v>0</v>
      </c>
      <c r="AB347" s="14" t="n">
        <f aca="false">IF(Z347=0,0,VLOOKUP(Z347,MIE_Components!$A$2:$F$6,3,FALSE()))</f>
        <v>0</v>
      </c>
      <c r="AC347" s="14" t="n">
        <f aca="false">IF(Z347=0,0,VLOOKUP(Z347,MIE_Components!$A$2:$F$6,4,FALSE()))</f>
        <v>0</v>
      </c>
      <c r="AD347" s="14" t="n">
        <f aca="false">IF(OR($A347="",Z347=0),0,MAX(5,Z347*IF(OR($A347=Parameters!$B$13,$A347=Parameters!$B$14),0.75,1)-(IF(AND($A347=DATE(2026,11,29),NOV29BF="Yes"),AA347,0)+IF(OR($A347=DATE(2026,11,29),$A347=DATE(2026,11,30),$A347=DATE(2026,12,1),$A347=DATE(2026,12,2)),AB347,0)+IF(OR($A347=DATE(2026,11,28),$A347=DATE(2026,12,1)),AC347,0))))</f>
        <v>0</v>
      </c>
      <c r="AE347" s="14" t="n">
        <f aca="false">IF(AND($A347&lt;&gt;"",$A347&lt;Parameters!$B$14),CityData!F6*(1+TAXRATE),0)</f>
        <v>0</v>
      </c>
      <c r="AF347" s="14" t="n">
        <f aca="false">IF($A347="",0,IFERROR(VLOOKUP((YEAR($A347)+IF(MONTH($A347)&gt;=10,1,0))&amp;"|Phoenix|"&amp;MONTH($A347),Rates!$A$2:$I$181,5,FALSE()),0))</f>
        <v>0</v>
      </c>
      <c r="AG347" s="14" t="n">
        <f aca="false">IF(OR($A347="",$A347&gt;=Parameters!$B$14),1,IF(AND(AF347&gt;0,CityData!F6&lt;=AF347),1,0))</f>
        <v>1</v>
      </c>
      <c r="AH347" s="14" t="n">
        <f aca="false">IF($A347="",0,IFERROR(VLOOKUP((YEAR($A347)+IF(MONTH($A347)&gt;=10,1,0))&amp;"|Seattle|"&amp;MONTH($A347),Rates!$A$2:$I$181,6,FALSE()),0))</f>
        <v>0</v>
      </c>
      <c r="AI347" s="14" t="n">
        <f aca="false">IF(AH347=0,0,VLOOKUP(AH347,MIE_Components!$A$2:$F$6,2,FALSE()))</f>
        <v>0</v>
      </c>
      <c r="AJ347" s="14" t="n">
        <f aca="false">IF(AH347=0,0,VLOOKUP(AH347,MIE_Components!$A$2:$F$6,3,FALSE()))</f>
        <v>0</v>
      </c>
      <c r="AK347" s="14" t="n">
        <f aca="false">IF(AH347=0,0,VLOOKUP(AH347,MIE_Components!$A$2:$F$6,4,FALSE()))</f>
        <v>0</v>
      </c>
      <c r="AL347" s="14" t="n">
        <f aca="false">IF(OR($A347="",AH347=0),0,MAX(5,AH347*IF(OR($A347=Parameters!$B$13,$A347=Parameters!$B$14),0.75,1)-(IF(AND($A347=DATE(2026,11,29),NOV29BF="Yes"),AI347,0)+IF(OR($A347=DATE(2026,11,29),$A347=DATE(2026,11,30),$A347=DATE(2026,12,1),$A347=DATE(2026,12,2)),AJ347,0)+IF(OR($A347=DATE(2026,11,28),$A347=DATE(2026,12,1)),AK347,0))))</f>
        <v>0</v>
      </c>
      <c r="AM347" s="14" t="n">
        <f aca="false">IF(AND($A347&lt;&gt;"",$A347&lt;Parameters!$B$14),CityData!F7*(1+TAXRATE),0)</f>
        <v>0</v>
      </c>
      <c r="AN347" s="14" t="n">
        <f aca="false">IF($A347="",0,IFERROR(VLOOKUP((YEAR($A347)+IF(MONTH($A347)&gt;=10,1,0))&amp;"|Seattle|"&amp;MONTH($A347),Rates!$A$2:$I$181,5,FALSE()),0))</f>
        <v>0</v>
      </c>
      <c r="AO347" s="14" t="n">
        <f aca="false">IF(OR($A347="",$A347&gt;=Parameters!$B$14),1,IF(AND(AN347&gt;0,CityData!F7&lt;=AN347),1,0))</f>
        <v>1</v>
      </c>
    </row>
    <row r="348" customFormat="false" ht="15" hidden="false" customHeight="true" outlineLevel="0" collapsed="false">
      <c r="A348" s="23" t="str">
        <f aca="false">IF(AND(Parameters!$B$14&gt;=Parameters!$B$13,ROW()-2&lt;=Parameters!$B$14-Parameters!$B$13),Parameters!$B$13+ROW()-2,"")</f>
        <v/>
      </c>
      <c r="B348" s="14" t="n">
        <f aca="false">IF($A348="",0,IFERROR(VLOOKUP((YEAR($A348)+IF(MONTH($A348)&gt;=10,1,0))&amp;"|Boston|"&amp;MONTH($A348),Rates!$A$2:$I$181,6,FALSE()),0))</f>
        <v>0</v>
      </c>
      <c r="C348" s="14" t="n">
        <f aca="false">IF(B348=0,0,VLOOKUP(B348,MIE_Components!$A$2:$F$6,2,FALSE()))</f>
        <v>0</v>
      </c>
      <c r="D348" s="14" t="n">
        <f aca="false">IF(B348=0,0,VLOOKUP(B348,MIE_Components!$A$2:$F$6,3,FALSE()))</f>
        <v>0</v>
      </c>
      <c r="E348" s="14" t="n">
        <f aca="false">IF(B348=0,0,VLOOKUP(B348,MIE_Components!$A$2:$F$6,4,FALSE()))</f>
        <v>0</v>
      </c>
      <c r="F348" s="14" t="n">
        <f aca="false">IF(OR($A348="",B348=0),0,MAX(5,B348*IF(OR($A348=Parameters!$B$13,$A348=Parameters!$B$14),0.75,1)-(IF(AND($A348=DATE(2026,11,29),NOV29BF="Yes"),C348,0)+IF(OR($A348=DATE(2026,11,29),$A348=DATE(2026,11,30),$A348=DATE(2026,12,1),$A348=DATE(2026,12,2)),D348,0)+IF(OR($A348=DATE(2026,11,28),$A348=DATE(2026,12,1)),E348,0))))</f>
        <v>0</v>
      </c>
      <c r="G348" s="14" t="n">
        <f aca="false">IF(AND($A348&lt;&gt;"",$A348&lt;Parameters!$B$14),CityData!F3*(1+TAXRATE),0)</f>
        <v>0</v>
      </c>
      <c r="H348" s="14" t="n">
        <f aca="false">IF($A348="",0,IFERROR(VLOOKUP((YEAR($A348)+IF(MONTH($A348)&gt;=10,1,0))&amp;"|Boston|"&amp;MONTH($A348),Rates!$A$2:$I$181,5,FALSE()),0))</f>
        <v>0</v>
      </c>
      <c r="I348" s="14" t="n">
        <f aca="false">IF(OR($A348="",$A348&gt;=Parameters!$B$14),1,IF(AND(H348&gt;0,CityData!F3&lt;=H348),1,0))</f>
        <v>1</v>
      </c>
      <c r="J348" s="14" t="n">
        <f aca="false">IF($A348="",0,IFERROR(VLOOKUP((YEAR($A348)+IF(MONTH($A348)&gt;=10,1,0))&amp;"|Chicago|"&amp;MONTH($A348),Rates!$A$2:$I$181,6,FALSE()),0))</f>
        <v>0</v>
      </c>
      <c r="K348" s="14" t="n">
        <f aca="false">IF(J348=0,0,VLOOKUP(J348,MIE_Components!$A$2:$F$6,2,FALSE()))</f>
        <v>0</v>
      </c>
      <c r="L348" s="14" t="n">
        <f aca="false">IF(J348=0,0,VLOOKUP(J348,MIE_Components!$A$2:$F$6,3,FALSE()))</f>
        <v>0</v>
      </c>
      <c r="M348" s="14" t="n">
        <f aca="false">IF(J348=0,0,VLOOKUP(J348,MIE_Components!$A$2:$F$6,4,FALSE()))</f>
        <v>0</v>
      </c>
      <c r="N348" s="14" t="n">
        <f aca="false">IF(OR($A348="",J348=0),0,MAX(5,J348*IF(OR($A348=Parameters!$B$13,$A348=Parameters!$B$14),0.75,1)-(IF(AND($A348=DATE(2026,11,29),NOV29BF="Yes"),K348,0)+IF(OR($A348=DATE(2026,11,29),$A348=DATE(2026,11,30),$A348=DATE(2026,12,1),$A348=DATE(2026,12,2)),L348,0)+IF(OR($A348=DATE(2026,11,28),$A348=DATE(2026,12,1)),M348,0))))</f>
        <v>0</v>
      </c>
      <c r="O348" s="14" t="n">
        <f aca="false">IF(AND($A348&lt;&gt;"",$A348&lt;Parameters!$B$14),CityData!F4*(1+TAXRATE),0)</f>
        <v>0</v>
      </c>
      <c r="P348" s="14" t="n">
        <f aca="false">IF($A348="",0,IFERROR(VLOOKUP((YEAR($A348)+IF(MONTH($A348)&gt;=10,1,0))&amp;"|Chicago|"&amp;MONTH($A348),Rates!$A$2:$I$181,5,FALSE()),0))</f>
        <v>0</v>
      </c>
      <c r="Q348" s="14" t="n">
        <f aca="false">IF(OR($A348="",$A348&gt;=Parameters!$B$14),1,IF(AND(P348&gt;0,CityData!F4&lt;=P348),1,0))</f>
        <v>1</v>
      </c>
      <c r="R348" s="14" t="n">
        <f aca="false">IF($A348="",0,IFERROR(VLOOKUP((YEAR($A348)+IF(MONTH($A348)&gt;=10,1,0))&amp;"|Denver|"&amp;MONTH($A348),Rates!$A$2:$I$181,6,FALSE()),0))</f>
        <v>0</v>
      </c>
      <c r="S348" s="14" t="n">
        <f aca="false">IF(R348=0,0,VLOOKUP(R348,MIE_Components!$A$2:$F$6,2,FALSE()))</f>
        <v>0</v>
      </c>
      <c r="T348" s="14" t="n">
        <f aca="false">IF(R348=0,0,VLOOKUP(R348,MIE_Components!$A$2:$F$6,3,FALSE()))</f>
        <v>0</v>
      </c>
      <c r="U348" s="14" t="n">
        <f aca="false">IF(R348=0,0,VLOOKUP(R348,MIE_Components!$A$2:$F$6,4,FALSE()))</f>
        <v>0</v>
      </c>
      <c r="V348" s="14" t="n">
        <f aca="false">IF(OR($A348="",R348=0),0,MAX(5,R348*IF(OR($A348=Parameters!$B$13,$A348=Parameters!$B$14),0.75,1)-(IF(AND($A348=DATE(2026,11,29),NOV29BF="Yes"),S348,0)+IF(OR($A348=DATE(2026,11,29),$A348=DATE(2026,11,30),$A348=DATE(2026,12,1),$A348=DATE(2026,12,2)),T348,0)+IF(OR($A348=DATE(2026,11,28),$A348=DATE(2026,12,1)),U348,0))))</f>
        <v>0</v>
      </c>
      <c r="W348" s="14" t="n">
        <f aca="false">IF(AND($A348&lt;&gt;"",$A348&lt;Parameters!$B$14),CityData!F5*(1+TAXRATE),0)</f>
        <v>0</v>
      </c>
      <c r="X348" s="14" t="n">
        <f aca="false">IF($A348="",0,IFERROR(VLOOKUP((YEAR($A348)+IF(MONTH($A348)&gt;=10,1,0))&amp;"|Denver|"&amp;MONTH($A348),Rates!$A$2:$I$181,5,FALSE()),0))</f>
        <v>0</v>
      </c>
      <c r="Y348" s="14" t="n">
        <f aca="false">IF(OR($A348="",$A348&gt;=Parameters!$B$14),1,IF(AND(X348&gt;0,CityData!F5&lt;=X348),1,0))</f>
        <v>1</v>
      </c>
      <c r="Z348" s="14" t="n">
        <f aca="false">IF($A348="",0,IFERROR(VLOOKUP((YEAR($A348)+IF(MONTH($A348)&gt;=10,1,0))&amp;"|Phoenix|"&amp;MONTH($A348),Rates!$A$2:$I$181,6,FALSE()),0))</f>
        <v>0</v>
      </c>
      <c r="AA348" s="14" t="n">
        <f aca="false">IF(Z348=0,0,VLOOKUP(Z348,MIE_Components!$A$2:$F$6,2,FALSE()))</f>
        <v>0</v>
      </c>
      <c r="AB348" s="14" t="n">
        <f aca="false">IF(Z348=0,0,VLOOKUP(Z348,MIE_Components!$A$2:$F$6,3,FALSE()))</f>
        <v>0</v>
      </c>
      <c r="AC348" s="14" t="n">
        <f aca="false">IF(Z348=0,0,VLOOKUP(Z348,MIE_Components!$A$2:$F$6,4,FALSE()))</f>
        <v>0</v>
      </c>
      <c r="AD348" s="14" t="n">
        <f aca="false">IF(OR($A348="",Z348=0),0,MAX(5,Z348*IF(OR($A348=Parameters!$B$13,$A348=Parameters!$B$14),0.75,1)-(IF(AND($A348=DATE(2026,11,29),NOV29BF="Yes"),AA348,0)+IF(OR($A348=DATE(2026,11,29),$A348=DATE(2026,11,30),$A348=DATE(2026,12,1),$A348=DATE(2026,12,2)),AB348,0)+IF(OR($A348=DATE(2026,11,28),$A348=DATE(2026,12,1)),AC348,0))))</f>
        <v>0</v>
      </c>
      <c r="AE348" s="14" t="n">
        <f aca="false">IF(AND($A348&lt;&gt;"",$A348&lt;Parameters!$B$14),CityData!F6*(1+TAXRATE),0)</f>
        <v>0</v>
      </c>
      <c r="AF348" s="14" t="n">
        <f aca="false">IF($A348="",0,IFERROR(VLOOKUP((YEAR($A348)+IF(MONTH($A348)&gt;=10,1,0))&amp;"|Phoenix|"&amp;MONTH($A348),Rates!$A$2:$I$181,5,FALSE()),0))</f>
        <v>0</v>
      </c>
      <c r="AG348" s="14" t="n">
        <f aca="false">IF(OR($A348="",$A348&gt;=Parameters!$B$14),1,IF(AND(AF348&gt;0,CityData!F6&lt;=AF348),1,0))</f>
        <v>1</v>
      </c>
      <c r="AH348" s="14" t="n">
        <f aca="false">IF($A348="",0,IFERROR(VLOOKUP((YEAR($A348)+IF(MONTH($A348)&gt;=10,1,0))&amp;"|Seattle|"&amp;MONTH($A348),Rates!$A$2:$I$181,6,FALSE()),0))</f>
        <v>0</v>
      </c>
      <c r="AI348" s="14" t="n">
        <f aca="false">IF(AH348=0,0,VLOOKUP(AH348,MIE_Components!$A$2:$F$6,2,FALSE()))</f>
        <v>0</v>
      </c>
      <c r="AJ348" s="14" t="n">
        <f aca="false">IF(AH348=0,0,VLOOKUP(AH348,MIE_Components!$A$2:$F$6,3,FALSE()))</f>
        <v>0</v>
      </c>
      <c r="AK348" s="14" t="n">
        <f aca="false">IF(AH348=0,0,VLOOKUP(AH348,MIE_Components!$A$2:$F$6,4,FALSE()))</f>
        <v>0</v>
      </c>
      <c r="AL348" s="14" t="n">
        <f aca="false">IF(OR($A348="",AH348=0),0,MAX(5,AH348*IF(OR($A348=Parameters!$B$13,$A348=Parameters!$B$14),0.75,1)-(IF(AND($A348=DATE(2026,11,29),NOV29BF="Yes"),AI348,0)+IF(OR($A348=DATE(2026,11,29),$A348=DATE(2026,11,30),$A348=DATE(2026,12,1),$A348=DATE(2026,12,2)),AJ348,0)+IF(OR($A348=DATE(2026,11,28),$A348=DATE(2026,12,1)),AK348,0))))</f>
        <v>0</v>
      </c>
      <c r="AM348" s="14" t="n">
        <f aca="false">IF(AND($A348&lt;&gt;"",$A348&lt;Parameters!$B$14),CityData!F7*(1+TAXRATE),0)</f>
        <v>0</v>
      </c>
      <c r="AN348" s="14" t="n">
        <f aca="false">IF($A348="",0,IFERROR(VLOOKUP((YEAR($A348)+IF(MONTH($A348)&gt;=10,1,0))&amp;"|Seattle|"&amp;MONTH($A348),Rates!$A$2:$I$181,5,FALSE()),0))</f>
        <v>0</v>
      </c>
      <c r="AO348" s="14" t="n">
        <f aca="false">IF(OR($A348="",$A348&gt;=Parameters!$B$14),1,IF(AND(AN348&gt;0,CityData!F7&lt;=AN348),1,0))</f>
        <v>1</v>
      </c>
    </row>
    <row r="349" customFormat="false" ht="15" hidden="false" customHeight="true" outlineLevel="0" collapsed="false">
      <c r="A349" s="23" t="str">
        <f aca="false">IF(AND(Parameters!$B$14&gt;=Parameters!$B$13,ROW()-2&lt;=Parameters!$B$14-Parameters!$B$13),Parameters!$B$13+ROW()-2,"")</f>
        <v/>
      </c>
      <c r="B349" s="14" t="n">
        <f aca="false">IF($A349="",0,IFERROR(VLOOKUP((YEAR($A349)+IF(MONTH($A349)&gt;=10,1,0))&amp;"|Boston|"&amp;MONTH($A349),Rates!$A$2:$I$181,6,FALSE()),0))</f>
        <v>0</v>
      </c>
      <c r="C349" s="14" t="n">
        <f aca="false">IF(B349=0,0,VLOOKUP(B349,MIE_Components!$A$2:$F$6,2,FALSE()))</f>
        <v>0</v>
      </c>
      <c r="D349" s="14" t="n">
        <f aca="false">IF(B349=0,0,VLOOKUP(B349,MIE_Components!$A$2:$F$6,3,FALSE()))</f>
        <v>0</v>
      </c>
      <c r="E349" s="14" t="n">
        <f aca="false">IF(B349=0,0,VLOOKUP(B349,MIE_Components!$A$2:$F$6,4,FALSE()))</f>
        <v>0</v>
      </c>
      <c r="F349" s="14" t="n">
        <f aca="false">IF(OR($A349="",B349=0),0,MAX(5,B349*IF(OR($A349=Parameters!$B$13,$A349=Parameters!$B$14),0.75,1)-(IF(AND($A349=DATE(2026,11,29),NOV29BF="Yes"),C349,0)+IF(OR($A349=DATE(2026,11,29),$A349=DATE(2026,11,30),$A349=DATE(2026,12,1),$A349=DATE(2026,12,2)),D349,0)+IF(OR($A349=DATE(2026,11,28),$A349=DATE(2026,12,1)),E349,0))))</f>
        <v>0</v>
      </c>
      <c r="G349" s="14" t="n">
        <f aca="false">IF(AND($A349&lt;&gt;"",$A349&lt;Parameters!$B$14),CityData!F3*(1+TAXRATE),0)</f>
        <v>0</v>
      </c>
      <c r="H349" s="14" t="n">
        <f aca="false">IF($A349="",0,IFERROR(VLOOKUP((YEAR($A349)+IF(MONTH($A349)&gt;=10,1,0))&amp;"|Boston|"&amp;MONTH($A349),Rates!$A$2:$I$181,5,FALSE()),0))</f>
        <v>0</v>
      </c>
      <c r="I349" s="14" t="n">
        <f aca="false">IF(OR($A349="",$A349&gt;=Parameters!$B$14),1,IF(AND(H349&gt;0,CityData!F3&lt;=H349),1,0))</f>
        <v>1</v>
      </c>
      <c r="J349" s="14" t="n">
        <f aca="false">IF($A349="",0,IFERROR(VLOOKUP((YEAR($A349)+IF(MONTH($A349)&gt;=10,1,0))&amp;"|Chicago|"&amp;MONTH($A349),Rates!$A$2:$I$181,6,FALSE()),0))</f>
        <v>0</v>
      </c>
      <c r="K349" s="14" t="n">
        <f aca="false">IF(J349=0,0,VLOOKUP(J349,MIE_Components!$A$2:$F$6,2,FALSE()))</f>
        <v>0</v>
      </c>
      <c r="L349" s="14" t="n">
        <f aca="false">IF(J349=0,0,VLOOKUP(J349,MIE_Components!$A$2:$F$6,3,FALSE()))</f>
        <v>0</v>
      </c>
      <c r="M349" s="14" t="n">
        <f aca="false">IF(J349=0,0,VLOOKUP(J349,MIE_Components!$A$2:$F$6,4,FALSE()))</f>
        <v>0</v>
      </c>
      <c r="N349" s="14" t="n">
        <f aca="false">IF(OR($A349="",J349=0),0,MAX(5,J349*IF(OR($A349=Parameters!$B$13,$A349=Parameters!$B$14),0.75,1)-(IF(AND($A349=DATE(2026,11,29),NOV29BF="Yes"),K349,0)+IF(OR($A349=DATE(2026,11,29),$A349=DATE(2026,11,30),$A349=DATE(2026,12,1),$A349=DATE(2026,12,2)),L349,0)+IF(OR($A349=DATE(2026,11,28),$A349=DATE(2026,12,1)),M349,0))))</f>
        <v>0</v>
      </c>
      <c r="O349" s="14" t="n">
        <f aca="false">IF(AND($A349&lt;&gt;"",$A349&lt;Parameters!$B$14),CityData!F4*(1+TAXRATE),0)</f>
        <v>0</v>
      </c>
      <c r="P349" s="14" t="n">
        <f aca="false">IF($A349="",0,IFERROR(VLOOKUP((YEAR($A349)+IF(MONTH($A349)&gt;=10,1,0))&amp;"|Chicago|"&amp;MONTH($A349),Rates!$A$2:$I$181,5,FALSE()),0))</f>
        <v>0</v>
      </c>
      <c r="Q349" s="14" t="n">
        <f aca="false">IF(OR($A349="",$A349&gt;=Parameters!$B$14),1,IF(AND(P349&gt;0,CityData!F4&lt;=P349),1,0))</f>
        <v>1</v>
      </c>
      <c r="R349" s="14" t="n">
        <f aca="false">IF($A349="",0,IFERROR(VLOOKUP((YEAR($A349)+IF(MONTH($A349)&gt;=10,1,0))&amp;"|Denver|"&amp;MONTH($A349),Rates!$A$2:$I$181,6,FALSE()),0))</f>
        <v>0</v>
      </c>
      <c r="S349" s="14" t="n">
        <f aca="false">IF(R349=0,0,VLOOKUP(R349,MIE_Components!$A$2:$F$6,2,FALSE()))</f>
        <v>0</v>
      </c>
      <c r="T349" s="14" t="n">
        <f aca="false">IF(R349=0,0,VLOOKUP(R349,MIE_Components!$A$2:$F$6,3,FALSE()))</f>
        <v>0</v>
      </c>
      <c r="U349" s="14" t="n">
        <f aca="false">IF(R349=0,0,VLOOKUP(R349,MIE_Components!$A$2:$F$6,4,FALSE()))</f>
        <v>0</v>
      </c>
      <c r="V349" s="14" t="n">
        <f aca="false">IF(OR($A349="",R349=0),0,MAX(5,R349*IF(OR($A349=Parameters!$B$13,$A349=Parameters!$B$14),0.75,1)-(IF(AND($A349=DATE(2026,11,29),NOV29BF="Yes"),S349,0)+IF(OR($A349=DATE(2026,11,29),$A349=DATE(2026,11,30),$A349=DATE(2026,12,1),$A349=DATE(2026,12,2)),T349,0)+IF(OR($A349=DATE(2026,11,28),$A349=DATE(2026,12,1)),U349,0))))</f>
        <v>0</v>
      </c>
      <c r="W349" s="14" t="n">
        <f aca="false">IF(AND($A349&lt;&gt;"",$A349&lt;Parameters!$B$14),CityData!F5*(1+TAXRATE),0)</f>
        <v>0</v>
      </c>
      <c r="X349" s="14" t="n">
        <f aca="false">IF($A349="",0,IFERROR(VLOOKUP((YEAR($A349)+IF(MONTH($A349)&gt;=10,1,0))&amp;"|Denver|"&amp;MONTH($A349),Rates!$A$2:$I$181,5,FALSE()),0))</f>
        <v>0</v>
      </c>
      <c r="Y349" s="14" t="n">
        <f aca="false">IF(OR($A349="",$A349&gt;=Parameters!$B$14),1,IF(AND(X349&gt;0,CityData!F5&lt;=X349),1,0))</f>
        <v>1</v>
      </c>
      <c r="Z349" s="14" t="n">
        <f aca="false">IF($A349="",0,IFERROR(VLOOKUP((YEAR($A349)+IF(MONTH($A349)&gt;=10,1,0))&amp;"|Phoenix|"&amp;MONTH($A349),Rates!$A$2:$I$181,6,FALSE()),0))</f>
        <v>0</v>
      </c>
      <c r="AA349" s="14" t="n">
        <f aca="false">IF(Z349=0,0,VLOOKUP(Z349,MIE_Components!$A$2:$F$6,2,FALSE()))</f>
        <v>0</v>
      </c>
      <c r="AB349" s="14" t="n">
        <f aca="false">IF(Z349=0,0,VLOOKUP(Z349,MIE_Components!$A$2:$F$6,3,FALSE()))</f>
        <v>0</v>
      </c>
      <c r="AC349" s="14" t="n">
        <f aca="false">IF(Z349=0,0,VLOOKUP(Z349,MIE_Components!$A$2:$F$6,4,FALSE()))</f>
        <v>0</v>
      </c>
      <c r="AD349" s="14" t="n">
        <f aca="false">IF(OR($A349="",Z349=0),0,MAX(5,Z349*IF(OR($A349=Parameters!$B$13,$A349=Parameters!$B$14),0.75,1)-(IF(AND($A349=DATE(2026,11,29),NOV29BF="Yes"),AA349,0)+IF(OR($A349=DATE(2026,11,29),$A349=DATE(2026,11,30),$A349=DATE(2026,12,1),$A349=DATE(2026,12,2)),AB349,0)+IF(OR($A349=DATE(2026,11,28),$A349=DATE(2026,12,1)),AC349,0))))</f>
        <v>0</v>
      </c>
      <c r="AE349" s="14" t="n">
        <f aca="false">IF(AND($A349&lt;&gt;"",$A349&lt;Parameters!$B$14),CityData!F6*(1+TAXRATE),0)</f>
        <v>0</v>
      </c>
      <c r="AF349" s="14" t="n">
        <f aca="false">IF($A349="",0,IFERROR(VLOOKUP((YEAR($A349)+IF(MONTH($A349)&gt;=10,1,0))&amp;"|Phoenix|"&amp;MONTH($A349),Rates!$A$2:$I$181,5,FALSE()),0))</f>
        <v>0</v>
      </c>
      <c r="AG349" s="14" t="n">
        <f aca="false">IF(OR($A349="",$A349&gt;=Parameters!$B$14),1,IF(AND(AF349&gt;0,CityData!F6&lt;=AF349),1,0))</f>
        <v>1</v>
      </c>
      <c r="AH349" s="14" t="n">
        <f aca="false">IF($A349="",0,IFERROR(VLOOKUP((YEAR($A349)+IF(MONTH($A349)&gt;=10,1,0))&amp;"|Seattle|"&amp;MONTH($A349),Rates!$A$2:$I$181,6,FALSE()),0))</f>
        <v>0</v>
      </c>
      <c r="AI349" s="14" t="n">
        <f aca="false">IF(AH349=0,0,VLOOKUP(AH349,MIE_Components!$A$2:$F$6,2,FALSE()))</f>
        <v>0</v>
      </c>
      <c r="AJ349" s="14" t="n">
        <f aca="false">IF(AH349=0,0,VLOOKUP(AH349,MIE_Components!$A$2:$F$6,3,FALSE()))</f>
        <v>0</v>
      </c>
      <c r="AK349" s="14" t="n">
        <f aca="false">IF(AH349=0,0,VLOOKUP(AH349,MIE_Components!$A$2:$F$6,4,FALSE()))</f>
        <v>0</v>
      </c>
      <c r="AL349" s="14" t="n">
        <f aca="false">IF(OR($A349="",AH349=0),0,MAX(5,AH349*IF(OR($A349=Parameters!$B$13,$A349=Parameters!$B$14),0.75,1)-(IF(AND($A349=DATE(2026,11,29),NOV29BF="Yes"),AI349,0)+IF(OR($A349=DATE(2026,11,29),$A349=DATE(2026,11,30),$A349=DATE(2026,12,1),$A349=DATE(2026,12,2)),AJ349,0)+IF(OR($A349=DATE(2026,11,28),$A349=DATE(2026,12,1)),AK349,0))))</f>
        <v>0</v>
      </c>
      <c r="AM349" s="14" t="n">
        <f aca="false">IF(AND($A349&lt;&gt;"",$A349&lt;Parameters!$B$14),CityData!F7*(1+TAXRATE),0)</f>
        <v>0</v>
      </c>
      <c r="AN349" s="14" t="n">
        <f aca="false">IF($A349="",0,IFERROR(VLOOKUP((YEAR($A349)+IF(MONTH($A349)&gt;=10,1,0))&amp;"|Seattle|"&amp;MONTH($A349),Rates!$A$2:$I$181,5,FALSE()),0))</f>
        <v>0</v>
      </c>
      <c r="AO349" s="14" t="n">
        <f aca="false">IF(OR($A349="",$A349&gt;=Parameters!$B$14),1,IF(AND(AN349&gt;0,CityData!F7&lt;=AN349),1,0))</f>
        <v>1</v>
      </c>
    </row>
    <row r="350" customFormat="false" ht="15" hidden="false" customHeight="true" outlineLevel="0" collapsed="false">
      <c r="A350" s="23" t="str">
        <f aca="false">IF(AND(Parameters!$B$14&gt;=Parameters!$B$13,ROW()-2&lt;=Parameters!$B$14-Parameters!$B$13),Parameters!$B$13+ROW()-2,"")</f>
        <v/>
      </c>
      <c r="B350" s="14" t="n">
        <f aca="false">IF($A350="",0,IFERROR(VLOOKUP((YEAR($A350)+IF(MONTH($A350)&gt;=10,1,0))&amp;"|Boston|"&amp;MONTH($A350),Rates!$A$2:$I$181,6,FALSE()),0))</f>
        <v>0</v>
      </c>
      <c r="C350" s="14" t="n">
        <f aca="false">IF(B350=0,0,VLOOKUP(B350,MIE_Components!$A$2:$F$6,2,FALSE()))</f>
        <v>0</v>
      </c>
      <c r="D350" s="14" t="n">
        <f aca="false">IF(B350=0,0,VLOOKUP(B350,MIE_Components!$A$2:$F$6,3,FALSE()))</f>
        <v>0</v>
      </c>
      <c r="E350" s="14" t="n">
        <f aca="false">IF(B350=0,0,VLOOKUP(B350,MIE_Components!$A$2:$F$6,4,FALSE()))</f>
        <v>0</v>
      </c>
      <c r="F350" s="14" t="n">
        <f aca="false">IF(OR($A350="",B350=0),0,MAX(5,B350*IF(OR($A350=Parameters!$B$13,$A350=Parameters!$B$14),0.75,1)-(IF(AND($A350=DATE(2026,11,29),NOV29BF="Yes"),C350,0)+IF(OR($A350=DATE(2026,11,29),$A350=DATE(2026,11,30),$A350=DATE(2026,12,1),$A350=DATE(2026,12,2)),D350,0)+IF(OR($A350=DATE(2026,11,28),$A350=DATE(2026,12,1)),E350,0))))</f>
        <v>0</v>
      </c>
      <c r="G350" s="14" t="n">
        <f aca="false">IF(AND($A350&lt;&gt;"",$A350&lt;Parameters!$B$14),CityData!F3*(1+TAXRATE),0)</f>
        <v>0</v>
      </c>
      <c r="H350" s="14" t="n">
        <f aca="false">IF($A350="",0,IFERROR(VLOOKUP((YEAR($A350)+IF(MONTH($A350)&gt;=10,1,0))&amp;"|Boston|"&amp;MONTH($A350),Rates!$A$2:$I$181,5,FALSE()),0))</f>
        <v>0</v>
      </c>
      <c r="I350" s="14" t="n">
        <f aca="false">IF(OR($A350="",$A350&gt;=Parameters!$B$14),1,IF(AND(H350&gt;0,CityData!F3&lt;=H350),1,0))</f>
        <v>1</v>
      </c>
      <c r="J350" s="14" t="n">
        <f aca="false">IF($A350="",0,IFERROR(VLOOKUP((YEAR($A350)+IF(MONTH($A350)&gt;=10,1,0))&amp;"|Chicago|"&amp;MONTH($A350),Rates!$A$2:$I$181,6,FALSE()),0))</f>
        <v>0</v>
      </c>
      <c r="K350" s="14" t="n">
        <f aca="false">IF(J350=0,0,VLOOKUP(J350,MIE_Components!$A$2:$F$6,2,FALSE()))</f>
        <v>0</v>
      </c>
      <c r="L350" s="14" t="n">
        <f aca="false">IF(J350=0,0,VLOOKUP(J350,MIE_Components!$A$2:$F$6,3,FALSE()))</f>
        <v>0</v>
      </c>
      <c r="M350" s="14" t="n">
        <f aca="false">IF(J350=0,0,VLOOKUP(J350,MIE_Components!$A$2:$F$6,4,FALSE()))</f>
        <v>0</v>
      </c>
      <c r="N350" s="14" t="n">
        <f aca="false">IF(OR($A350="",J350=0),0,MAX(5,J350*IF(OR($A350=Parameters!$B$13,$A350=Parameters!$B$14),0.75,1)-(IF(AND($A350=DATE(2026,11,29),NOV29BF="Yes"),K350,0)+IF(OR($A350=DATE(2026,11,29),$A350=DATE(2026,11,30),$A350=DATE(2026,12,1),$A350=DATE(2026,12,2)),L350,0)+IF(OR($A350=DATE(2026,11,28),$A350=DATE(2026,12,1)),M350,0))))</f>
        <v>0</v>
      </c>
      <c r="O350" s="14" t="n">
        <f aca="false">IF(AND($A350&lt;&gt;"",$A350&lt;Parameters!$B$14),CityData!F4*(1+TAXRATE),0)</f>
        <v>0</v>
      </c>
      <c r="P350" s="14" t="n">
        <f aca="false">IF($A350="",0,IFERROR(VLOOKUP((YEAR($A350)+IF(MONTH($A350)&gt;=10,1,0))&amp;"|Chicago|"&amp;MONTH($A350),Rates!$A$2:$I$181,5,FALSE()),0))</f>
        <v>0</v>
      </c>
      <c r="Q350" s="14" t="n">
        <f aca="false">IF(OR($A350="",$A350&gt;=Parameters!$B$14),1,IF(AND(P350&gt;0,CityData!F4&lt;=P350),1,0))</f>
        <v>1</v>
      </c>
      <c r="R350" s="14" t="n">
        <f aca="false">IF($A350="",0,IFERROR(VLOOKUP((YEAR($A350)+IF(MONTH($A350)&gt;=10,1,0))&amp;"|Denver|"&amp;MONTH($A350),Rates!$A$2:$I$181,6,FALSE()),0))</f>
        <v>0</v>
      </c>
      <c r="S350" s="14" t="n">
        <f aca="false">IF(R350=0,0,VLOOKUP(R350,MIE_Components!$A$2:$F$6,2,FALSE()))</f>
        <v>0</v>
      </c>
      <c r="T350" s="14" t="n">
        <f aca="false">IF(R350=0,0,VLOOKUP(R350,MIE_Components!$A$2:$F$6,3,FALSE()))</f>
        <v>0</v>
      </c>
      <c r="U350" s="14" t="n">
        <f aca="false">IF(R350=0,0,VLOOKUP(R350,MIE_Components!$A$2:$F$6,4,FALSE()))</f>
        <v>0</v>
      </c>
      <c r="V350" s="14" t="n">
        <f aca="false">IF(OR($A350="",R350=0),0,MAX(5,R350*IF(OR($A350=Parameters!$B$13,$A350=Parameters!$B$14),0.75,1)-(IF(AND($A350=DATE(2026,11,29),NOV29BF="Yes"),S350,0)+IF(OR($A350=DATE(2026,11,29),$A350=DATE(2026,11,30),$A350=DATE(2026,12,1),$A350=DATE(2026,12,2)),T350,0)+IF(OR($A350=DATE(2026,11,28),$A350=DATE(2026,12,1)),U350,0))))</f>
        <v>0</v>
      </c>
      <c r="W350" s="14" t="n">
        <f aca="false">IF(AND($A350&lt;&gt;"",$A350&lt;Parameters!$B$14),CityData!F5*(1+TAXRATE),0)</f>
        <v>0</v>
      </c>
      <c r="X350" s="14" t="n">
        <f aca="false">IF($A350="",0,IFERROR(VLOOKUP((YEAR($A350)+IF(MONTH($A350)&gt;=10,1,0))&amp;"|Denver|"&amp;MONTH($A350),Rates!$A$2:$I$181,5,FALSE()),0))</f>
        <v>0</v>
      </c>
      <c r="Y350" s="14" t="n">
        <f aca="false">IF(OR($A350="",$A350&gt;=Parameters!$B$14),1,IF(AND(X350&gt;0,CityData!F5&lt;=X350),1,0))</f>
        <v>1</v>
      </c>
      <c r="Z350" s="14" t="n">
        <f aca="false">IF($A350="",0,IFERROR(VLOOKUP((YEAR($A350)+IF(MONTH($A350)&gt;=10,1,0))&amp;"|Phoenix|"&amp;MONTH($A350),Rates!$A$2:$I$181,6,FALSE()),0))</f>
        <v>0</v>
      </c>
      <c r="AA350" s="14" t="n">
        <f aca="false">IF(Z350=0,0,VLOOKUP(Z350,MIE_Components!$A$2:$F$6,2,FALSE()))</f>
        <v>0</v>
      </c>
      <c r="AB350" s="14" t="n">
        <f aca="false">IF(Z350=0,0,VLOOKUP(Z350,MIE_Components!$A$2:$F$6,3,FALSE()))</f>
        <v>0</v>
      </c>
      <c r="AC350" s="14" t="n">
        <f aca="false">IF(Z350=0,0,VLOOKUP(Z350,MIE_Components!$A$2:$F$6,4,FALSE()))</f>
        <v>0</v>
      </c>
      <c r="AD350" s="14" t="n">
        <f aca="false">IF(OR($A350="",Z350=0),0,MAX(5,Z350*IF(OR($A350=Parameters!$B$13,$A350=Parameters!$B$14),0.75,1)-(IF(AND($A350=DATE(2026,11,29),NOV29BF="Yes"),AA350,0)+IF(OR($A350=DATE(2026,11,29),$A350=DATE(2026,11,30),$A350=DATE(2026,12,1),$A350=DATE(2026,12,2)),AB350,0)+IF(OR($A350=DATE(2026,11,28),$A350=DATE(2026,12,1)),AC350,0))))</f>
        <v>0</v>
      </c>
      <c r="AE350" s="14" t="n">
        <f aca="false">IF(AND($A350&lt;&gt;"",$A350&lt;Parameters!$B$14),CityData!F6*(1+TAXRATE),0)</f>
        <v>0</v>
      </c>
      <c r="AF350" s="14" t="n">
        <f aca="false">IF($A350="",0,IFERROR(VLOOKUP((YEAR($A350)+IF(MONTH($A350)&gt;=10,1,0))&amp;"|Phoenix|"&amp;MONTH($A350),Rates!$A$2:$I$181,5,FALSE()),0))</f>
        <v>0</v>
      </c>
      <c r="AG350" s="14" t="n">
        <f aca="false">IF(OR($A350="",$A350&gt;=Parameters!$B$14),1,IF(AND(AF350&gt;0,CityData!F6&lt;=AF350),1,0))</f>
        <v>1</v>
      </c>
      <c r="AH350" s="14" t="n">
        <f aca="false">IF($A350="",0,IFERROR(VLOOKUP((YEAR($A350)+IF(MONTH($A350)&gt;=10,1,0))&amp;"|Seattle|"&amp;MONTH($A350),Rates!$A$2:$I$181,6,FALSE()),0))</f>
        <v>0</v>
      </c>
      <c r="AI350" s="14" t="n">
        <f aca="false">IF(AH350=0,0,VLOOKUP(AH350,MIE_Components!$A$2:$F$6,2,FALSE()))</f>
        <v>0</v>
      </c>
      <c r="AJ350" s="14" t="n">
        <f aca="false">IF(AH350=0,0,VLOOKUP(AH350,MIE_Components!$A$2:$F$6,3,FALSE()))</f>
        <v>0</v>
      </c>
      <c r="AK350" s="14" t="n">
        <f aca="false">IF(AH350=0,0,VLOOKUP(AH350,MIE_Components!$A$2:$F$6,4,FALSE()))</f>
        <v>0</v>
      </c>
      <c r="AL350" s="14" t="n">
        <f aca="false">IF(OR($A350="",AH350=0),0,MAX(5,AH350*IF(OR($A350=Parameters!$B$13,$A350=Parameters!$B$14),0.75,1)-(IF(AND($A350=DATE(2026,11,29),NOV29BF="Yes"),AI350,0)+IF(OR($A350=DATE(2026,11,29),$A350=DATE(2026,11,30),$A350=DATE(2026,12,1),$A350=DATE(2026,12,2)),AJ350,0)+IF(OR($A350=DATE(2026,11,28),$A350=DATE(2026,12,1)),AK350,0))))</f>
        <v>0</v>
      </c>
      <c r="AM350" s="14" t="n">
        <f aca="false">IF(AND($A350&lt;&gt;"",$A350&lt;Parameters!$B$14),CityData!F7*(1+TAXRATE),0)</f>
        <v>0</v>
      </c>
      <c r="AN350" s="14" t="n">
        <f aca="false">IF($A350="",0,IFERROR(VLOOKUP((YEAR($A350)+IF(MONTH($A350)&gt;=10,1,0))&amp;"|Seattle|"&amp;MONTH($A350),Rates!$A$2:$I$181,5,FALSE()),0))</f>
        <v>0</v>
      </c>
      <c r="AO350" s="14" t="n">
        <f aca="false">IF(OR($A350="",$A350&gt;=Parameters!$B$14),1,IF(AND(AN350&gt;0,CityData!F7&lt;=AN350),1,0))</f>
        <v>1</v>
      </c>
    </row>
    <row r="351" customFormat="false" ht="15" hidden="false" customHeight="true" outlineLevel="0" collapsed="false">
      <c r="A351" s="23" t="str">
        <f aca="false">IF(AND(Parameters!$B$14&gt;=Parameters!$B$13,ROW()-2&lt;=Parameters!$B$14-Parameters!$B$13),Parameters!$B$13+ROW()-2,"")</f>
        <v/>
      </c>
      <c r="B351" s="14" t="n">
        <f aca="false">IF($A351="",0,IFERROR(VLOOKUP((YEAR($A351)+IF(MONTH($A351)&gt;=10,1,0))&amp;"|Boston|"&amp;MONTH($A351),Rates!$A$2:$I$181,6,FALSE()),0))</f>
        <v>0</v>
      </c>
      <c r="C351" s="14" t="n">
        <f aca="false">IF(B351=0,0,VLOOKUP(B351,MIE_Components!$A$2:$F$6,2,FALSE()))</f>
        <v>0</v>
      </c>
      <c r="D351" s="14" t="n">
        <f aca="false">IF(B351=0,0,VLOOKUP(B351,MIE_Components!$A$2:$F$6,3,FALSE()))</f>
        <v>0</v>
      </c>
      <c r="E351" s="14" t="n">
        <f aca="false">IF(B351=0,0,VLOOKUP(B351,MIE_Components!$A$2:$F$6,4,FALSE()))</f>
        <v>0</v>
      </c>
      <c r="F351" s="14" t="n">
        <f aca="false">IF(OR($A351="",B351=0),0,MAX(5,B351*IF(OR($A351=Parameters!$B$13,$A351=Parameters!$B$14),0.75,1)-(IF(AND($A351=DATE(2026,11,29),NOV29BF="Yes"),C351,0)+IF(OR($A351=DATE(2026,11,29),$A351=DATE(2026,11,30),$A351=DATE(2026,12,1),$A351=DATE(2026,12,2)),D351,0)+IF(OR($A351=DATE(2026,11,28),$A351=DATE(2026,12,1)),E351,0))))</f>
        <v>0</v>
      </c>
      <c r="G351" s="14" t="n">
        <f aca="false">IF(AND($A351&lt;&gt;"",$A351&lt;Parameters!$B$14),CityData!F3*(1+TAXRATE),0)</f>
        <v>0</v>
      </c>
      <c r="H351" s="14" t="n">
        <f aca="false">IF($A351="",0,IFERROR(VLOOKUP((YEAR($A351)+IF(MONTH($A351)&gt;=10,1,0))&amp;"|Boston|"&amp;MONTH($A351),Rates!$A$2:$I$181,5,FALSE()),0))</f>
        <v>0</v>
      </c>
      <c r="I351" s="14" t="n">
        <f aca="false">IF(OR($A351="",$A351&gt;=Parameters!$B$14),1,IF(AND(H351&gt;0,CityData!F3&lt;=H351),1,0))</f>
        <v>1</v>
      </c>
      <c r="J351" s="14" t="n">
        <f aca="false">IF($A351="",0,IFERROR(VLOOKUP((YEAR($A351)+IF(MONTH($A351)&gt;=10,1,0))&amp;"|Chicago|"&amp;MONTH($A351),Rates!$A$2:$I$181,6,FALSE()),0))</f>
        <v>0</v>
      </c>
      <c r="K351" s="14" t="n">
        <f aca="false">IF(J351=0,0,VLOOKUP(J351,MIE_Components!$A$2:$F$6,2,FALSE()))</f>
        <v>0</v>
      </c>
      <c r="L351" s="14" t="n">
        <f aca="false">IF(J351=0,0,VLOOKUP(J351,MIE_Components!$A$2:$F$6,3,FALSE()))</f>
        <v>0</v>
      </c>
      <c r="M351" s="14" t="n">
        <f aca="false">IF(J351=0,0,VLOOKUP(J351,MIE_Components!$A$2:$F$6,4,FALSE()))</f>
        <v>0</v>
      </c>
      <c r="N351" s="14" t="n">
        <f aca="false">IF(OR($A351="",J351=0),0,MAX(5,J351*IF(OR($A351=Parameters!$B$13,$A351=Parameters!$B$14),0.75,1)-(IF(AND($A351=DATE(2026,11,29),NOV29BF="Yes"),K351,0)+IF(OR($A351=DATE(2026,11,29),$A351=DATE(2026,11,30),$A351=DATE(2026,12,1),$A351=DATE(2026,12,2)),L351,0)+IF(OR($A351=DATE(2026,11,28),$A351=DATE(2026,12,1)),M351,0))))</f>
        <v>0</v>
      </c>
      <c r="O351" s="14" t="n">
        <f aca="false">IF(AND($A351&lt;&gt;"",$A351&lt;Parameters!$B$14),CityData!F4*(1+TAXRATE),0)</f>
        <v>0</v>
      </c>
      <c r="P351" s="14" t="n">
        <f aca="false">IF($A351="",0,IFERROR(VLOOKUP((YEAR($A351)+IF(MONTH($A351)&gt;=10,1,0))&amp;"|Chicago|"&amp;MONTH($A351),Rates!$A$2:$I$181,5,FALSE()),0))</f>
        <v>0</v>
      </c>
      <c r="Q351" s="14" t="n">
        <f aca="false">IF(OR($A351="",$A351&gt;=Parameters!$B$14),1,IF(AND(P351&gt;0,CityData!F4&lt;=P351),1,0))</f>
        <v>1</v>
      </c>
      <c r="R351" s="14" t="n">
        <f aca="false">IF($A351="",0,IFERROR(VLOOKUP((YEAR($A351)+IF(MONTH($A351)&gt;=10,1,0))&amp;"|Denver|"&amp;MONTH($A351),Rates!$A$2:$I$181,6,FALSE()),0))</f>
        <v>0</v>
      </c>
      <c r="S351" s="14" t="n">
        <f aca="false">IF(R351=0,0,VLOOKUP(R351,MIE_Components!$A$2:$F$6,2,FALSE()))</f>
        <v>0</v>
      </c>
      <c r="T351" s="14" t="n">
        <f aca="false">IF(R351=0,0,VLOOKUP(R351,MIE_Components!$A$2:$F$6,3,FALSE()))</f>
        <v>0</v>
      </c>
      <c r="U351" s="14" t="n">
        <f aca="false">IF(R351=0,0,VLOOKUP(R351,MIE_Components!$A$2:$F$6,4,FALSE()))</f>
        <v>0</v>
      </c>
      <c r="V351" s="14" t="n">
        <f aca="false">IF(OR($A351="",R351=0),0,MAX(5,R351*IF(OR($A351=Parameters!$B$13,$A351=Parameters!$B$14),0.75,1)-(IF(AND($A351=DATE(2026,11,29),NOV29BF="Yes"),S351,0)+IF(OR($A351=DATE(2026,11,29),$A351=DATE(2026,11,30),$A351=DATE(2026,12,1),$A351=DATE(2026,12,2)),T351,0)+IF(OR($A351=DATE(2026,11,28),$A351=DATE(2026,12,1)),U351,0))))</f>
        <v>0</v>
      </c>
      <c r="W351" s="14" t="n">
        <f aca="false">IF(AND($A351&lt;&gt;"",$A351&lt;Parameters!$B$14),CityData!F5*(1+TAXRATE),0)</f>
        <v>0</v>
      </c>
      <c r="X351" s="14" t="n">
        <f aca="false">IF($A351="",0,IFERROR(VLOOKUP((YEAR($A351)+IF(MONTH($A351)&gt;=10,1,0))&amp;"|Denver|"&amp;MONTH($A351),Rates!$A$2:$I$181,5,FALSE()),0))</f>
        <v>0</v>
      </c>
      <c r="Y351" s="14" t="n">
        <f aca="false">IF(OR($A351="",$A351&gt;=Parameters!$B$14),1,IF(AND(X351&gt;0,CityData!F5&lt;=X351),1,0))</f>
        <v>1</v>
      </c>
      <c r="Z351" s="14" t="n">
        <f aca="false">IF($A351="",0,IFERROR(VLOOKUP((YEAR($A351)+IF(MONTH($A351)&gt;=10,1,0))&amp;"|Phoenix|"&amp;MONTH($A351),Rates!$A$2:$I$181,6,FALSE()),0))</f>
        <v>0</v>
      </c>
      <c r="AA351" s="14" t="n">
        <f aca="false">IF(Z351=0,0,VLOOKUP(Z351,MIE_Components!$A$2:$F$6,2,FALSE()))</f>
        <v>0</v>
      </c>
      <c r="AB351" s="14" t="n">
        <f aca="false">IF(Z351=0,0,VLOOKUP(Z351,MIE_Components!$A$2:$F$6,3,FALSE()))</f>
        <v>0</v>
      </c>
      <c r="AC351" s="14" t="n">
        <f aca="false">IF(Z351=0,0,VLOOKUP(Z351,MIE_Components!$A$2:$F$6,4,FALSE()))</f>
        <v>0</v>
      </c>
      <c r="AD351" s="14" t="n">
        <f aca="false">IF(OR($A351="",Z351=0),0,MAX(5,Z351*IF(OR($A351=Parameters!$B$13,$A351=Parameters!$B$14),0.75,1)-(IF(AND($A351=DATE(2026,11,29),NOV29BF="Yes"),AA351,0)+IF(OR($A351=DATE(2026,11,29),$A351=DATE(2026,11,30),$A351=DATE(2026,12,1),$A351=DATE(2026,12,2)),AB351,0)+IF(OR($A351=DATE(2026,11,28),$A351=DATE(2026,12,1)),AC351,0))))</f>
        <v>0</v>
      </c>
      <c r="AE351" s="14" t="n">
        <f aca="false">IF(AND($A351&lt;&gt;"",$A351&lt;Parameters!$B$14),CityData!F6*(1+TAXRATE),0)</f>
        <v>0</v>
      </c>
      <c r="AF351" s="14" t="n">
        <f aca="false">IF($A351="",0,IFERROR(VLOOKUP((YEAR($A351)+IF(MONTH($A351)&gt;=10,1,0))&amp;"|Phoenix|"&amp;MONTH($A351),Rates!$A$2:$I$181,5,FALSE()),0))</f>
        <v>0</v>
      </c>
      <c r="AG351" s="14" t="n">
        <f aca="false">IF(OR($A351="",$A351&gt;=Parameters!$B$14),1,IF(AND(AF351&gt;0,CityData!F6&lt;=AF351),1,0))</f>
        <v>1</v>
      </c>
      <c r="AH351" s="14" t="n">
        <f aca="false">IF($A351="",0,IFERROR(VLOOKUP((YEAR($A351)+IF(MONTH($A351)&gt;=10,1,0))&amp;"|Seattle|"&amp;MONTH($A351),Rates!$A$2:$I$181,6,FALSE()),0))</f>
        <v>0</v>
      </c>
      <c r="AI351" s="14" t="n">
        <f aca="false">IF(AH351=0,0,VLOOKUP(AH351,MIE_Components!$A$2:$F$6,2,FALSE()))</f>
        <v>0</v>
      </c>
      <c r="AJ351" s="14" t="n">
        <f aca="false">IF(AH351=0,0,VLOOKUP(AH351,MIE_Components!$A$2:$F$6,3,FALSE()))</f>
        <v>0</v>
      </c>
      <c r="AK351" s="14" t="n">
        <f aca="false">IF(AH351=0,0,VLOOKUP(AH351,MIE_Components!$A$2:$F$6,4,FALSE()))</f>
        <v>0</v>
      </c>
      <c r="AL351" s="14" t="n">
        <f aca="false">IF(OR($A351="",AH351=0),0,MAX(5,AH351*IF(OR($A351=Parameters!$B$13,$A351=Parameters!$B$14),0.75,1)-(IF(AND($A351=DATE(2026,11,29),NOV29BF="Yes"),AI351,0)+IF(OR($A351=DATE(2026,11,29),$A351=DATE(2026,11,30),$A351=DATE(2026,12,1),$A351=DATE(2026,12,2)),AJ351,0)+IF(OR($A351=DATE(2026,11,28),$A351=DATE(2026,12,1)),AK351,0))))</f>
        <v>0</v>
      </c>
      <c r="AM351" s="14" t="n">
        <f aca="false">IF(AND($A351&lt;&gt;"",$A351&lt;Parameters!$B$14),CityData!F7*(1+TAXRATE),0)</f>
        <v>0</v>
      </c>
      <c r="AN351" s="14" t="n">
        <f aca="false">IF($A351="",0,IFERROR(VLOOKUP((YEAR($A351)+IF(MONTH($A351)&gt;=10,1,0))&amp;"|Seattle|"&amp;MONTH($A351),Rates!$A$2:$I$181,5,FALSE()),0))</f>
        <v>0</v>
      </c>
      <c r="AO351" s="14" t="n">
        <f aca="false">IF(OR($A351="",$A351&gt;=Parameters!$B$14),1,IF(AND(AN351&gt;0,CityData!F7&lt;=AN351),1,0))</f>
        <v>1</v>
      </c>
    </row>
    <row r="352" customFormat="false" ht="15" hidden="false" customHeight="true" outlineLevel="0" collapsed="false">
      <c r="A352" s="23" t="str">
        <f aca="false">IF(AND(Parameters!$B$14&gt;=Parameters!$B$13,ROW()-2&lt;=Parameters!$B$14-Parameters!$B$13),Parameters!$B$13+ROW()-2,"")</f>
        <v/>
      </c>
      <c r="B352" s="14" t="n">
        <f aca="false">IF($A352="",0,IFERROR(VLOOKUP((YEAR($A352)+IF(MONTH($A352)&gt;=10,1,0))&amp;"|Boston|"&amp;MONTH($A352),Rates!$A$2:$I$181,6,FALSE()),0))</f>
        <v>0</v>
      </c>
      <c r="C352" s="14" t="n">
        <f aca="false">IF(B352=0,0,VLOOKUP(B352,MIE_Components!$A$2:$F$6,2,FALSE()))</f>
        <v>0</v>
      </c>
      <c r="D352" s="14" t="n">
        <f aca="false">IF(B352=0,0,VLOOKUP(B352,MIE_Components!$A$2:$F$6,3,FALSE()))</f>
        <v>0</v>
      </c>
      <c r="E352" s="14" t="n">
        <f aca="false">IF(B352=0,0,VLOOKUP(B352,MIE_Components!$A$2:$F$6,4,FALSE()))</f>
        <v>0</v>
      </c>
      <c r="F352" s="14" t="n">
        <f aca="false">IF(OR($A352="",B352=0),0,MAX(5,B352*IF(OR($A352=Parameters!$B$13,$A352=Parameters!$B$14),0.75,1)-(IF(AND($A352=DATE(2026,11,29),NOV29BF="Yes"),C352,0)+IF(OR($A352=DATE(2026,11,29),$A352=DATE(2026,11,30),$A352=DATE(2026,12,1),$A352=DATE(2026,12,2)),D352,0)+IF(OR($A352=DATE(2026,11,28),$A352=DATE(2026,12,1)),E352,0))))</f>
        <v>0</v>
      </c>
      <c r="G352" s="14" t="n">
        <f aca="false">IF(AND($A352&lt;&gt;"",$A352&lt;Parameters!$B$14),CityData!F3*(1+TAXRATE),0)</f>
        <v>0</v>
      </c>
      <c r="H352" s="14" t="n">
        <f aca="false">IF($A352="",0,IFERROR(VLOOKUP((YEAR($A352)+IF(MONTH($A352)&gt;=10,1,0))&amp;"|Boston|"&amp;MONTH($A352),Rates!$A$2:$I$181,5,FALSE()),0))</f>
        <v>0</v>
      </c>
      <c r="I352" s="14" t="n">
        <f aca="false">IF(OR($A352="",$A352&gt;=Parameters!$B$14),1,IF(AND(H352&gt;0,CityData!F3&lt;=H352),1,0))</f>
        <v>1</v>
      </c>
      <c r="J352" s="14" t="n">
        <f aca="false">IF($A352="",0,IFERROR(VLOOKUP((YEAR($A352)+IF(MONTH($A352)&gt;=10,1,0))&amp;"|Chicago|"&amp;MONTH($A352),Rates!$A$2:$I$181,6,FALSE()),0))</f>
        <v>0</v>
      </c>
      <c r="K352" s="14" t="n">
        <f aca="false">IF(J352=0,0,VLOOKUP(J352,MIE_Components!$A$2:$F$6,2,FALSE()))</f>
        <v>0</v>
      </c>
      <c r="L352" s="14" t="n">
        <f aca="false">IF(J352=0,0,VLOOKUP(J352,MIE_Components!$A$2:$F$6,3,FALSE()))</f>
        <v>0</v>
      </c>
      <c r="M352" s="14" t="n">
        <f aca="false">IF(J352=0,0,VLOOKUP(J352,MIE_Components!$A$2:$F$6,4,FALSE()))</f>
        <v>0</v>
      </c>
      <c r="N352" s="14" t="n">
        <f aca="false">IF(OR($A352="",J352=0),0,MAX(5,J352*IF(OR($A352=Parameters!$B$13,$A352=Parameters!$B$14),0.75,1)-(IF(AND($A352=DATE(2026,11,29),NOV29BF="Yes"),K352,0)+IF(OR($A352=DATE(2026,11,29),$A352=DATE(2026,11,30),$A352=DATE(2026,12,1),$A352=DATE(2026,12,2)),L352,0)+IF(OR($A352=DATE(2026,11,28),$A352=DATE(2026,12,1)),M352,0))))</f>
        <v>0</v>
      </c>
      <c r="O352" s="14" t="n">
        <f aca="false">IF(AND($A352&lt;&gt;"",$A352&lt;Parameters!$B$14),CityData!F4*(1+TAXRATE),0)</f>
        <v>0</v>
      </c>
      <c r="P352" s="14" t="n">
        <f aca="false">IF($A352="",0,IFERROR(VLOOKUP((YEAR($A352)+IF(MONTH($A352)&gt;=10,1,0))&amp;"|Chicago|"&amp;MONTH($A352),Rates!$A$2:$I$181,5,FALSE()),0))</f>
        <v>0</v>
      </c>
      <c r="Q352" s="14" t="n">
        <f aca="false">IF(OR($A352="",$A352&gt;=Parameters!$B$14),1,IF(AND(P352&gt;0,CityData!F4&lt;=P352),1,0))</f>
        <v>1</v>
      </c>
      <c r="R352" s="14" t="n">
        <f aca="false">IF($A352="",0,IFERROR(VLOOKUP((YEAR($A352)+IF(MONTH($A352)&gt;=10,1,0))&amp;"|Denver|"&amp;MONTH($A352),Rates!$A$2:$I$181,6,FALSE()),0))</f>
        <v>0</v>
      </c>
      <c r="S352" s="14" t="n">
        <f aca="false">IF(R352=0,0,VLOOKUP(R352,MIE_Components!$A$2:$F$6,2,FALSE()))</f>
        <v>0</v>
      </c>
      <c r="T352" s="14" t="n">
        <f aca="false">IF(R352=0,0,VLOOKUP(R352,MIE_Components!$A$2:$F$6,3,FALSE()))</f>
        <v>0</v>
      </c>
      <c r="U352" s="14" t="n">
        <f aca="false">IF(R352=0,0,VLOOKUP(R352,MIE_Components!$A$2:$F$6,4,FALSE()))</f>
        <v>0</v>
      </c>
      <c r="V352" s="14" t="n">
        <f aca="false">IF(OR($A352="",R352=0),0,MAX(5,R352*IF(OR($A352=Parameters!$B$13,$A352=Parameters!$B$14),0.75,1)-(IF(AND($A352=DATE(2026,11,29),NOV29BF="Yes"),S352,0)+IF(OR($A352=DATE(2026,11,29),$A352=DATE(2026,11,30),$A352=DATE(2026,12,1),$A352=DATE(2026,12,2)),T352,0)+IF(OR($A352=DATE(2026,11,28),$A352=DATE(2026,12,1)),U352,0))))</f>
        <v>0</v>
      </c>
      <c r="W352" s="14" t="n">
        <f aca="false">IF(AND($A352&lt;&gt;"",$A352&lt;Parameters!$B$14),CityData!F5*(1+TAXRATE),0)</f>
        <v>0</v>
      </c>
      <c r="X352" s="14" t="n">
        <f aca="false">IF($A352="",0,IFERROR(VLOOKUP((YEAR($A352)+IF(MONTH($A352)&gt;=10,1,0))&amp;"|Denver|"&amp;MONTH($A352),Rates!$A$2:$I$181,5,FALSE()),0))</f>
        <v>0</v>
      </c>
      <c r="Y352" s="14" t="n">
        <f aca="false">IF(OR($A352="",$A352&gt;=Parameters!$B$14),1,IF(AND(X352&gt;0,CityData!F5&lt;=X352),1,0))</f>
        <v>1</v>
      </c>
      <c r="Z352" s="14" t="n">
        <f aca="false">IF($A352="",0,IFERROR(VLOOKUP((YEAR($A352)+IF(MONTH($A352)&gt;=10,1,0))&amp;"|Phoenix|"&amp;MONTH($A352),Rates!$A$2:$I$181,6,FALSE()),0))</f>
        <v>0</v>
      </c>
      <c r="AA352" s="14" t="n">
        <f aca="false">IF(Z352=0,0,VLOOKUP(Z352,MIE_Components!$A$2:$F$6,2,FALSE()))</f>
        <v>0</v>
      </c>
      <c r="AB352" s="14" t="n">
        <f aca="false">IF(Z352=0,0,VLOOKUP(Z352,MIE_Components!$A$2:$F$6,3,FALSE()))</f>
        <v>0</v>
      </c>
      <c r="AC352" s="14" t="n">
        <f aca="false">IF(Z352=0,0,VLOOKUP(Z352,MIE_Components!$A$2:$F$6,4,FALSE()))</f>
        <v>0</v>
      </c>
      <c r="AD352" s="14" t="n">
        <f aca="false">IF(OR($A352="",Z352=0),0,MAX(5,Z352*IF(OR($A352=Parameters!$B$13,$A352=Parameters!$B$14),0.75,1)-(IF(AND($A352=DATE(2026,11,29),NOV29BF="Yes"),AA352,0)+IF(OR($A352=DATE(2026,11,29),$A352=DATE(2026,11,30),$A352=DATE(2026,12,1),$A352=DATE(2026,12,2)),AB352,0)+IF(OR($A352=DATE(2026,11,28),$A352=DATE(2026,12,1)),AC352,0))))</f>
        <v>0</v>
      </c>
      <c r="AE352" s="14" t="n">
        <f aca="false">IF(AND($A352&lt;&gt;"",$A352&lt;Parameters!$B$14),CityData!F6*(1+TAXRATE),0)</f>
        <v>0</v>
      </c>
      <c r="AF352" s="14" t="n">
        <f aca="false">IF($A352="",0,IFERROR(VLOOKUP((YEAR($A352)+IF(MONTH($A352)&gt;=10,1,0))&amp;"|Phoenix|"&amp;MONTH($A352),Rates!$A$2:$I$181,5,FALSE()),0))</f>
        <v>0</v>
      </c>
      <c r="AG352" s="14" t="n">
        <f aca="false">IF(OR($A352="",$A352&gt;=Parameters!$B$14),1,IF(AND(AF352&gt;0,CityData!F6&lt;=AF352),1,0))</f>
        <v>1</v>
      </c>
      <c r="AH352" s="14" t="n">
        <f aca="false">IF($A352="",0,IFERROR(VLOOKUP((YEAR($A352)+IF(MONTH($A352)&gt;=10,1,0))&amp;"|Seattle|"&amp;MONTH($A352),Rates!$A$2:$I$181,6,FALSE()),0))</f>
        <v>0</v>
      </c>
      <c r="AI352" s="14" t="n">
        <f aca="false">IF(AH352=0,0,VLOOKUP(AH352,MIE_Components!$A$2:$F$6,2,FALSE()))</f>
        <v>0</v>
      </c>
      <c r="AJ352" s="14" t="n">
        <f aca="false">IF(AH352=0,0,VLOOKUP(AH352,MIE_Components!$A$2:$F$6,3,FALSE()))</f>
        <v>0</v>
      </c>
      <c r="AK352" s="14" t="n">
        <f aca="false">IF(AH352=0,0,VLOOKUP(AH352,MIE_Components!$A$2:$F$6,4,FALSE()))</f>
        <v>0</v>
      </c>
      <c r="AL352" s="14" t="n">
        <f aca="false">IF(OR($A352="",AH352=0),0,MAX(5,AH352*IF(OR($A352=Parameters!$B$13,$A352=Parameters!$B$14),0.75,1)-(IF(AND($A352=DATE(2026,11,29),NOV29BF="Yes"),AI352,0)+IF(OR($A352=DATE(2026,11,29),$A352=DATE(2026,11,30),$A352=DATE(2026,12,1),$A352=DATE(2026,12,2)),AJ352,0)+IF(OR($A352=DATE(2026,11,28),$A352=DATE(2026,12,1)),AK352,0))))</f>
        <v>0</v>
      </c>
      <c r="AM352" s="14" t="n">
        <f aca="false">IF(AND($A352&lt;&gt;"",$A352&lt;Parameters!$B$14),CityData!F7*(1+TAXRATE),0)</f>
        <v>0</v>
      </c>
      <c r="AN352" s="14" t="n">
        <f aca="false">IF($A352="",0,IFERROR(VLOOKUP((YEAR($A352)+IF(MONTH($A352)&gt;=10,1,0))&amp;"|Seattle|"&amp;MONTH($A352),Rates!$A$2:$I$181,5,FALSE()),0))</f>
        <v>0</v>
      </c>
      <c r="AO352" s="14" t="n">
        <f aca="false">IF(OR($A352="",$A352&gt;=Parameters!$B$14),1,IF(AND(AN352&gt;0,CityData!F7&lt;=AN352),1,0))</f>
        <v>1</v>
      </c>
    </row>
    <row r="353" customFormat="false" ht="15" hidden="false" customHeight="true" outlineLevel="0" collapsed="false">
      <c r="A353" s="23" t="str">
        <f aca="false">IF(AND(Parameters!$B$14&gt;=Parameters!$B$13,ROW()-2&lt;=Parameters!$B$14-Parameters!$B$13),Parameters!$B$13+ROW()-2,"")</f>
        <v/>
      </c>
      <c r="B353" s="14" t="n">
        <f aca="false">IF($A353="",0,IFERROR(VLOOKUP((YEAR($A353)+IF(MONTH($A353)&gt;=10,1,0))&amp;"|Boston|"&amp;MONTH($A353),Rates!$A$2:$I$181,6,FALSE()),0))</f>
        <v>0</v>
      </c>
      <c r="C353" s="14" t="n">
        <f aca="false">IF(B353=0,0,VLOOKUP(B353,MIE_Components!$A$2:$F$6,2,FALSE()))</f>
        <v>0</v>
      </c>
      <c r="D353" s="14" t="n">
        <f aca="false">IF(B353=0,0,VLOOKUP(B353,MIE_Components!$A$2:$F$6,3,FALSE()))</f>
        <v>0</v>
      </c>
      <c r="E353" s="14" t="n">
        <f aca="false">IF(B353=0,0,VLOOKUP(B353,MIE_Components!$A$2:$F$6,4,FALSE()))</f>
        <v>0</v>
      </c>
      <c r="F353" s="14" t="n">
        <f aca="false">IF(OR($A353="",B353=0),0,MAX(5,B353*IF(OR($A353=Parameters!$B$13,$A353=Parameters!$B$14),0.75,1)-(IF(AND($A353=DATE(2026,11,29),NOV29BF="Yes"),C353,0)+IF(OR($A353=DATE(2026,11,29),$A353=DATE(2026,11,30),$A353=DATE(2026,12,1),$A353=DATE(2026,12,2)),D353,0)+IF(OR($A353=DATE(2026,11,28),$A353=DATE(2026,12,1)),E353,0))))</f>
        <v>0</v>
      </c>
      <c r="G353" s="14" t="n">
        <f aca="false">IF(AND($A353&lt;&gt;"",$A353&lt;Parameters!$B$14),CityData!F3*(1+TAXRATE),0)</f>
        <v>0</v>
      </c>
      <c r="H353" s="14" t="n">
        <f aca="false">IF($A353="",0,IFERROR(VLOOKUP((YEAR($A353)+IF(MONTH($A353)&gt;=10,1,0))&amp;"|Boston|"&amp;MONTH($A353),Rates!$A$2:$I$181,5,FALSE()),0))</f>
        <v>0</v>
      </c>
      <c r="I353" s="14" t="n">
        <f aca="false">IF(OR($A353="",$A353&gt;=Parameters!$B$14),1,IF(AND(H353&gt;0,CityData!F3&lt;=H353),1,0))</f>
        <v>1</v>
      </c>
      <c r="J353" s="14" t="n">
        <f aca="false">IF($A353="",0,IFERROR(VLOOKUP((YEAR($A353)+IF(MONTH($A353)&gt;=10,1,0))&amp;"|Chicago|"&amp;MONTH($A353),Rates!$A$2:$I$181,6,FALSE()),0))</f>
        <v>0</v>
      </c>
      <c r="K353" s="14" t="n">
        <f aca="false">IF(J353=0,0,VLOOKUP(J353,MIE_Components!$A$2:$F$6,2,FALSE()))</f>
        <v>0</v>
      </c>
      <c r="L353" s="14" t="n">
        <f aca="false">IF(J353=0,0,VLOOKUP(J353,MIE_Components!$A$2:$F$6,3,FALSE()))</f>
        <v>0</v>
      </c>
      <c r="M353" s="14" t="n">
        <f aca="false">IF(J353=0,0,VLOOKUP(J353,MIE_Components!$A$2:$F$6,4,FALSE()))</f>
        <v>0</v>
      </c>
      <c r="N353" s="14" t="n">
        <f aca="false">IF(OR($A353="",J353=0),0,MAX(5,J353*IF(OR($A353=Parameters!$B$13,$A353=Parameters!$B$14),0.75,1)-(IF(AND($A353=DATE(2026,11,29),NOV29BF="Yes"),K353,0)+IF(OR($A353=DATE(2026,11,29),$A353=DATE(2026,11,30),$A353=DATE(2026,12,1),$A353=DATE(2026,12,2)),L353,0)+IF(OR($A353=DATE(2026,11,28),$A353=DATE(2026,12,1)),M353,0))))</f>
        <v>0</v>
      </c>
      <c r="O353" s="14" t="n">
        <f aca="false">IF(AND($A353&lt;&gt;"",$A353&lt;Parameters!$B$14),CityData!F4*(1+TAXRATE),0)</f>
        <v>0</v>
      </c>
      <c r="P353" s="14" t="n">
        <f aca="false">IF($A353="",0,IFERROR(VLOOKUP((YEAR($A353)+IF(MONTH($A353)&gt;=10,1,0))&amp;"|Chicago|"&amp;MONTH($A353),Rates!$A$2:$I$181,5,FALSE()),0))</f>
        <v>0</v>
      </c>
      <c r="Q353" s="14" t="n">
        <f aca="false">IF(OR($A353="",$A353&gt;=Parameters!$B$14),1,IF(AND(P353&gt;0,CityData!F4&lt;=P353),1,0))</f>
        <v>1</v>
      </c>
      <c r="R353" s="14" t="n">
        <f aca="false">IF($A353="",0,IFERROR(VLOOKUP((YEAR($A353)+IF(MONTH($A353)&gt;=10,1,0))&amp;"|Denver|"&amp;MONTH($A353),Rates!$A$2:$I$181,6,FALSE()),0))</f>
        <v>0</v>
      </c>
      <c r="S353" s="14" t="n">
        <f aca="false">IF(R353=0,0,VLOOKUP(R353,MIE_Components!$A$2:$F$6,2,FALSE()))</f>
        <v>0</v>
      </c>
      <c r="T353" s="14" t="n">
        <f aca="false">IF(R353=0,0,VLOOKUP(R353,MIE_Components!$A$2:$F$6,3,FALSE()))</f>
        <v>0</v>
      </c>
      <c r="U353" s="14" t="n">
        <f aca="false">IF(R353=0,0,VLOOKUP(R353,MIE_Components!$A$2:$F$6,4,FALSE()))</f>
        <v>0</v>
      </c>
      <c r="V353" s="14" t="n">
        <f aca="false">IF(OR($A353="",R353=0),0,MAX(5,R353*IF(OR($A353=Parameters!$B$13,$A353=Parameters!$B$14),0.75,1)-(IF(AND($A353=DATE(2026,11,29),NOV29BF="Yes"),S353,0)+IF(OR($A353=DATE(2026,11,29),$A353=DATE(2026,11,30),$A353=DATE(2026,12,1),$A353=DATE(2026,12,2)),T353,0)+IF(OR($A353=DATE(2026,11,28),$A353=DATE(2026,12,1)),U353,0))))</f>
        <v>0</v>
      </c>
      <c r="W353" s="14" t="n">
        <f aca="false">IF(AND($A353&lt;&gt;"",$A353&lt;Parameters!$B$14),CityData!F5*(1+TAXRATE),0)</f>
        <v>0</v>
      </c>
      <c r="X353" s="14" t="n">
        <f aca="false">IF($A353="",0,IFERROR(VLOOKUP((YEAR($A353)+IF(MONTH($A353)&gt;=10,1,0))&amp;"|Denver|"&amp;MONTH($A353),Rates!$A$2:$I$181,5,FALSE()),0))</f>
        <v>0</v>
      </c>
      <c r="Y353" s="14" t="n">
        <f aca="false">IF(OR($A353="",$A353&gt;=Parameters!$B$14),1,IF(AND(X353&gt;0,CityData!F5&lt;=X353),1,0))</f>
        <v>1</v>
      </c>
      <c r="Z353" s="14" t="n">
        <f aca="false">IF($A353="",0,IFERROR(VLOOKUP((YEAR($A353)+IF(MONTH($A353)&gt;=10,1,0))&amp;"|Phoenix|"&amp;MONTH($A353),Rates!$A$2:$I$181,6,FALSE()),0))</f>
        <v>0</v>
      </c>
      <c r="AA353" s="14" t="n">
        <f aca="false">IF(Z353=0,0,VLOOKUP(Z353,MIE_Components!$A$2:$F$6,2,FALSE()))</f>
        <v>0</v>
      </c>
      <c r="AB353" s="14" t="n">
        <f aca="false">IF(Z353=0,0,VLOOKUP(Z353,MIE_Components!$A$2:$F$6,3,FALSE()))</f>
        <v>0</v>
      </c>
      <c r="AC353" s="14" t="n">
        <f aca="false">IF(Z353=0,0,VLOOKUP(Z353,MIE_Components!$A$2:$F$6,4,FALSE()))</f>
        <v>0</v>
      </c>
      <c r="AD353" s="14" t="n">
        <f aca="false">IF(OR($A353="",Z353=0),0,MAX(5,Z353*IF(OR($A353=Parameters!$B$13,$A353=Parameters!$B$14),0.75,1)-(IF(AND($A353=DATE(2026,11,29),NOV29BF="Yes"),AA353,0)+IF(OR($A353=DATE(2026,11,29),$A353=DATE(2026,11,30),$A353=DATE(2026,12,1),$A353=DATE(2026,12,2)),AB353,0)+IF(OR($A353=DATE(2026,11,28),$A353=DATE(2026,12,1)),AC353,0))))</f>
        <v>0</v>
      </c>
      <c r="AE353" s="14" t="n">
        <f aca="false">IF(AND($A353&lt;&gt;"",$A353&lt;Parameters!$B$14),CityData!F6*(1+TAXRATE),0)</f>
        <v>0</v>
      </c>
      <c r="AF353" s="14" t="n">
        <f aca="false">IF($A353="",0,IFERROR(VLOOKUP((YEAR($A353)+IF(MONTH($A353)&gt;=10,1,0))&amp;"|Phoenix|"&amp;MONTH($A353),Rates!$A$2:$I$181,5,FALSE()),0))</f>
        <v>0</v>
      </c>
      <c r="AG353" s="14" t="n">
        <f aca="false">IF(OR($A353="",$A353&gt;=Parameters!$B$14),1,IF(AND(AF353&gt;0,CityData!F6&lt;=AF353),1,0))</f>
        <v>1</v>
      </c>
      <c r="AH353" s="14" t="n">
        <f aca="false">IF($A353="",0,IFERROR(VLOOKUP((YEAR($A353)+IF(MONTH($A353)&gt;=10,1,0))&amp;"|Seattle|"&amp;MONTH($A353),Rates!$A$2:$I$181,6,FALSE()),0))</f>
        <v>0</v>
      </c>
      <c r="AI353" s="14" t="n">
        <f aca="false">IF(AH353=0,0,VLOOKUP(AH353,MIE_Components!$A$2:$F$6,2,FALSE()))</f>
        <v>0</v>
      </c>
      <c r="AJ353" s="14" t="n">
        <f aca="false">IF(AH353=0,0,VLOOKUP(AH353,MIE_Components!$A$2:$F$6,3,FALSE()))</f>
        <v>0</v>
      </c>
      <c r="AK353" s="14" t="n">
        <f aca="false">IF(AH353=0,0,VLOOKUP(AH353,MIE_Components!$A$2:$F$6,4,FALSE()))</f>
        <v>0</v>
      </c>
      <c r="AL353" s="14" t="n">
        <f aca="false">IF(OR($A353="",AH353=0),0,MAX(5,AH353*IF(OR($A353=Parameters!$B$13,$A353=Parameters!$B$14),0.75,1)-(IF(AND($A353=DATE(2026,11,29),NOV29BF="Yes"),AI353,0)+IF(OR($A353=DATE(2026,11,29),$A353=DATE(2026,11,30),$A353=DATE(2026,12,1),$A353=DATE(2026,12,2)),AJ353,0)+IF(OR($A353=DATE(2026,11,28),$A353=DATE(2026,12,1)),AK353,0))))</f>
        <v>0</v>
      </c>
      <c r="AM353" s="14" t="n">
        <f aca="false">IF(AND($A353&lt;&gt;"",$A353&lt;Parameters!$B$14),CityData!F7*(1+TAXRATE),0)</f>
        <v>0</v>
      </c>
      <c r="AN353" s="14" t="n">
        <f aca="false">IF($A353="",0,IFERROR(VLOOKUP((YEAR($A353)+IF(MONTH($A353)&gt;=10,1,0))&amp;"|Seattle|"&amp;MONTH($A353),Rates!$A$2:$I$181,5,FALSE()),0))</f>
        <v>0</v>
      </c>
      <c r="AO353" s="14" t="n">
        <f aca="false">IF(OR($A353="",$A353&gt;=Parameters!$B$14),1,IF(AND(AN353&gt;0,CityData!F7&lt;=AN353),1,0))</f>
        <v>1</v>
      </c>
    </row>
    <row r="354" customFormat="false" ht="15" hidden="false" customHeight="true" outlineLevel="0" collapsed="false">
      <c r="A354" s="23" t="str">
        <f aca="false">IF(AND(Parameters!$B$14&gt;=Parameters!$B$13,ROW()-2&lt;=Parameters!$B$14-Parameters!$B$13),Parameters!$B$13+ROW()-2,"")</f>
        <v/>
      </c>
      <c r="B354" s="14" t="n">
        <f aca="false">IF($A354="",0,IFERROR(VLOOKUP((YEAR($A354)+IF(MONTH($A354)&gt;=10,1,0))&amp;"|Boston|"&amp;MONTH($A354),Rates!$A$2:$I$181,6,FALSE()),0))</f>
        <v>0</v>
      </c>
      <c r="C354" s="14" t="n">
        <f aca="false">IF(B354=0,0,VLOOKUP(B354,MIE_Components!$A$2:$F$6,2,FALSE()))</f>
        <v>0</v>
      </c>
      <c r="D354" s="14" t="n">
        <f aca="false">IF(B354=0,0,VLOOKUP(B354,MIE_Components!$A$2:$F$6,3,FALSE()))</f>
        <v>0</v>
      </c>
      <c r="E354" s="14" t="n">
        <f aca="false">IF(B354=0,0,VLOOKUP(B354,MIE_Components!$A$2:$F$6,4,FALSE()))</f>
        <v>0</v>
      </c>
      <c r="F354" s="14" t="n">
        <f aca="false">IF(OR($A354="",B354=0),0,MAX(5,B354*IF(OR($A354=Parameters!$B$13,$A354=Parameters!$B$14),0.75,1)-(IF(AND($A354=DATE(2026,11,29),NOV29BF="Yes"),C354,0)+IF(OR($A354=DATE(2026,11,29),$A354=DATE(2026,11,30),$A354=DATE(2026,12,1),$A354=DATE(2026,12,2)),D354,0)+IF(OR($A354=DATE(2026,11,28),$A354=DATE(2026,12,1)),E354,0))))</f>
        <v>0</v>
      </c>
      <c r="G354" s="14" t="n">
        <f aca="false">IF(AND($A354&lt;&gt;"",$A354&lt;Parameters!$B$14),CityData!F3*(1+TAXRATE),0)</f>
        <v>0</v>
      </c>
      <c r="H354" s="14" t="n">
        <f aca="false">IF($A354="",0,IFERROR(VLOOKUP((YEAR($A354)+IF(MONTH($A354)&gt;=10,1,0))&amp;"|Boston|"&amp;MONTH($A354),Rates!$A$2:$I$181,5,FALSE()),0))</f>
        <v>0</v>
      </c>
      <c r="I354" s="14" t="n">
        <f aca="false">IF(OR($A354="",$A354&gt;=Parameters!$B$14),1,IF(AND(H354&gt;0,CityData!F3&lt;=H354),1,0))</f>
        <v>1</v>
      </c>
      <c r="J354" s="14" t="n">
        <f aca="false">IF($A354="",0,IFERROR(VLOOKUP((YEAR($A354)+IF(MONTH($A354)&gt;=10,1,0))&amp;"|Chicago|"&amp;MONTH($A354),Rates!$A$2:$I$181,6,FALSE()),0))</f>
        <v>0</v>
      </c>
      <c r="K354" s="14" t="n">
        <f aca="false">IF(J354=0,0,VLOOKUP(J354,MIE_Components!$A$2:$F$6,2,FALSE()))</f>
        <v>0</v>
      </c>
      <c r="L354" s="14" t="n">
        <f aca="false">IF(J354=0,0,VLOOKUP(J354,MIE_Components!$A$2:$F$6,3,FALSE()))</f>
        <v>0</v>
      </c>
      <c r="M354" s="14" t="n">
        <f aca="false">IF(J354=0,0,VLOOKUP(J354,MIE_Components!$A$2:$F$6,4,FALSE()))</f>
        <v>0</v>
      </c>
      <c r="N354" s="14" t="n">
        <f aca="false">IF(OR($A354="",J354=0),0,MAX(5,J354*IF(OR($A354=Parameters!$B$13,$A354=Parameters!$B$14),0.75,1)-(IF(AND($A354=DATE(2026,11,29),NOV29BF="Yes"),K354,0)+IF(OR($A354=DATE(2026,11,29),$A354=DATE(2026,11,30),$A354=DATE(2026,12,1),$A354=DATE(2026,12,2)),L354,0)+IF(OR($A354=DATE(2026,11,28),$A354=DATE(2026,12,1)),M354,0))))</f>
        <v>0</v>
      </c>
      <c r="O354" s="14" t="n">
        <f aca="false">IF(AND($A354&lt;&gt;"",$A354&lt;Parameters!$B$14),CityData!F4*(1+TAXRATE),0)</f>
        <v>0</v>
      </c>
      <c r="P354" s="14" t="n">
        <f aca="false">IF($A354="",0,IFERROR(VLOOKUP((YEAR($A354)+IF(MONTH($A354)&gt;=10,1,0))&amp;"|Chicago|"&amp;MONTH($A354),Rates!$A$2:$I$181,5,FALSE()),0))</f>
        <v>0</v>
      </c>
      <c r="Q354" s="14" t="n">
        <f aca="false">IF(OR($A354="",$A354&gt;=Parameters!$B$14),1,IF(AND(P354&gt;0,CityData!F4&lt;=P354),1,0))</f>
        <v>1</v>
      </c>
      <c r="R354" s="14" t="n">
        <f aca="false">IF($A354="",0,IFERROR(VLOOKUP((YEAR($A354)+IF(MONTH($A354)&gt;=10,1,0))&amp;"|Denver|"&amp;MONTH($A354),Rates!$A$2:$I$181,6,FALSE()),0))</f>
        <v>0</v>
      </c>
      <c r="S354" s="14" t="n">
        <f aca="false">IF(R354=0,0,VLOOKUP(R354,MIE_Components!$A$2:$F$6,2,FALSE()))</f>
        <v>0</v>
      </c>
      <c r="T354" s="14" t="n">
        <f aca="false">IF(R354=0,0,VLOOKUP(R354,MIE_Components!$A$2:$F$6,3,FALSE()))</f>
        <v>0</v>
      </c>
      <c r="U354" s="14" t="n">
        <f aca="false">IF(R354=0,0,VLOOKUP(R354,MIE_Components!$A$2:$F$6,4,FALSE()))</f>
        <v>0</v>
      </c>
      <c r="V354" s="14" t="n">
        <f aca="false">IF(OR($A354="",R354=0),0,MAX(5,R354*IF(OR($A354=Parameters!$B$13,$A354=Parameters!$B$14),0.75,1)-(IF(AND($A354=DATE(2026,11,29),NOV29BF="Yes"),S354,0)+IF(OR($A354=DATE(2026,11,29),$A354=DATE(2026,11,30),$A354=DATE(2026,12,1),$A354=DATE(2026,12,2)),T354,0)+IF(OR($A354=DATE(2026,11,28),$A354=DATE(2026,12,1)),U354,0))))</f>
        <v>0</v>
      </c>
      <c r="W354" s="14" t="n">
        <f aca="false">IF(AND($A354&lt;&gt;"",$A354&lt;Parameters!$B$14),CityData!F5*(1+TAXRATE),0)</f>
        <v>0</v>
      </c>
      <c r="X354" s="14" t="n">
        <f aca="false">IF($A354="",0,IFERROR(VLOOKUP((YEAR($A354)+IF(MONTH($A354)&gt;=10,1,0))&amp;"|Denver|"&amp;MONTH($A354),Rates!$A$2:$I$181,5,FALSE()),0))</f>
        <v>0</v>
      </c>
      <c r="Y354" s="14" t="n">
        <f aca="false">IF(OR($A354="",$A354&gt;=Parameters!$B$14),1,IF(AND(X354&gt;0,CityData!F5&lt;=X354),1,0))</f>
        <v>1</v>
      </c>
      <c r="Z354" s="14" t="n">
        <f aca="false">IF($A354="",0,IFERROR(VLOOKUP((YEAR($A354)+IF(MONTH($A354)&gt;=10,1,0))&amp;"|Phoenix|"&amp;MONTH($A354),Rates!$A$2:$I$181,6,FALSE()),0))</f>
        <v>0</v>
      </c>
      <c r="AA354" s="14" t="n">
        <f aca="false">IF(Z354=0,0,VLOOKUP(Z354,MIE_Components!$A$2:$F$6,2,FALSE()))</f>
        <v>0</v>
      </c>
      <c r="AB354" s="14" t="n">
        <f aca="false">IF(Z354=0,0,VLOOKUP(Z354,MIE_Components!$A$2:$F$6,3,FALSE()))</f>
        <v>0</v>
      </c>
      <c r="AC354" s="14" t="n">
        <f aca="false">IF(Z354=0,0,VLOOKUP(Z354,MIE_Components!$A$2:$F$6,4,FALSE()))</f>
        <v>0</v>
      </c>
      <c r="AD354" s="14" t="n">
        <f aca="false">IF(OR($A354="",Z354=0),0,MAX(5,Z354*IF(OR($A354=Parameters!$B$13,$A354=Parameters!$B$14),0.75,1)-(IF(AND($A354=DATE(2026,11,29),NOV29BF="Yes"),AA354,0)+IF(OR($A354=DATE(2026,11,29),$A354=DATE(2026,11,30),$A354=DATE(2026,12,1),$A354=DATE(2026,12,2)),AB354,0)+IF(OR($A354=DATE(2026,11,28),$A354=DATE(2026,12,1)),AC354,0))))</f>
        <v>0</v>
      </c>
      <c r="AE354" s="14" t="n">
        <f aca="false">IF(AND($A354&lt;&gt;"",$A354&lt;Parameters!$B$14),CityData!F6*(1+TAXRATE),0)</f>
        <v>0</v>
      </c>
      <c r="AF354" s="14" t="n">
        <f aca="false">IF($A354="",0,IFERROR(VLOOKUP((YEAR($A354)+IF(MONTH($A354)&gt;=10,1,0))&amp;"|Phoenix|"&amp;MONTH($A354),Rates!$A$2:$I$181,5,FALSE()),0))</f>
        <v>0</v>
      </c>
      <c r="AG354" s="14" t="n">
        <f aca="false">IF(OR($A354="",$A354&gt;=Parameters!$B$14),1,IF(AND(AF354&gt;0,CityData!F6&lt;=AF354),1,0))</f>
        <v>1</v>
      </c>
      <c r="AH354" s="14" t="n">
        <f aca="false">IF($A354="",0,IFERROR(VLOOKUP((YEAR($A354)+IF(MONTH($A354)&gt;=10,1,0))&amp;"|Seattle|"&amp;MONTH($A354),Rates!$A$2:$I$181,6,FALSE()),0))</f>
        <v>0</v>
      </c>
      <c r="AI354" s="14" t="n">
        <f aca="false">IF(AH354=0,0,VLOOKUP(AH354,MIE_Components!$A$2:$F$6,2,FALSE()))</f>
        <v>0</v>
      </c>
      <c r="AJ354" s="14" t="n">
        <f aca="false">IF(AH354=0,0,VLOOKUP(AH354,MIE_Components!$A$2:$F$6,3,FALSE()))</f>
        <v>0</v>
      </c>
      <c r="AK354" s="14" t="n">
        <f aca="false">IF(AH354=0,0,VLOOKUP(AH354,MIE_Components!$A$2:$F$6,4,FALSE()))</f>
        <v>0</v>
      </c>
      <c r="AL354" s="14" t="n">
        <f aca="false">IF(OR($A354="",AH354=0),0,MAX(5,AH354*IF(OR($A354=Parameters!$B$13,$A354=Parameters!$B$14),0.75,1)-(IF(AND($A354=DATE(2026,11,29),NOV29BF="Yes"),AI354,0)+IF(OR($A354=DATE(2026,11,29),$A354=DATE(2026,11,30),$A354=DATE(2026,12,1),$A354=DATE(2026,12,2)),AJ354,0)+IF(OR($A354=DATE(2026,11,28),$A354=DATE(2026,12,1)),AK354,0))))</f>
        <v>0</v>
      </c>
      <c r="AM354" s="14" t="n">
        <f aca="false">IF(AND($A354&lt;&gt;"",$A354&lt;Parameters!$B$14),CityData!F7*(1+TAXRATE),0)</f>
        <v>0</v>
      </c>
      <c r="AN354" s="14" t="n">
        <f aca="false">IF($A354="",0,IFERROR(VLOOKUP((YEAR($A354)+IF(MONTH($A354)&gt;=10,1,0))&amp;"|Seattle|"&amp;MONTH($A354),Rates!$A$2:$I$181,5,FALSE()),0))</f>
        <v>0</v>
      </c>
      <c r="AO354" s="14" t="n">
        <f aca="false">IF(OR($A354="",$A354&gt;=Parameters!$B$14),1,IF(AND(AN354&gt;0,CityData!F7&lt;=AN354),1,0))</f>
        <v>1</v>
      </c>
    </row>
    <row r="355" customFormat="false" ht="15" hidden="false" customHeight="true" outlineLevel="0" collapsed="false">
      <c r="A355" s="23" t="str">
        <f aca="false">IF(AND(Parameters!$B$14&gt;=Parameters!$B$13,ROW()-2&lt;=Parameters!$B$14-Parameters!$B$13),Parameters!$B$13+ROW()-2,"")</f>
        <v/>
      </c>
      <c r="B355" s="14" t="n">
        <f aca="false">IF($A355="",0,IFERROR(VLOOKUP((YEAR($A355)+IF(MONTH($A355)&gt;=10,1,0))&amp;"|Boston|"&amp;MONTH($A355),Rates!$A$2:$I$181,6,FALSE()),0))</f>
        <v>0</v>
      </c>
      <c r="C355" s="14" t="n">
        <f aca="false">IF(B355=0,0,VLOOKUP(B355,MIE_Components!$A$2:$F$6,2,FALSE()))</f>
        <v>0</v>
      </c>
      <c r="D355" s="14" t="n">
        <f aca="false">IF(B355=0,0,VLOOKUP(B355,MIE_Components!$A$2:$F$6,3,FALSE()))</f>
        <v>0</v>
      </c>
      <c r="E355" s="14" t="n">
        <f aca="false">IF(B355=0,0,VLOOKUP(B355,MIE_Components!$A$2:$F$6,4,FALSE()))</f>
        <v>0</v>
      </c>
      <c r="F355" s="14" t="n">
        <f aca="false">IF(OR($A355="",B355=0),0,MAX(5,B355*IF(OR($A355=Parameters!$B$13,$A355=Parameters!$B$14),0.75,1)-(IF(AND($A355=DATE(2026,11,29),NOV29BF="Yes"),C355,0)+IF(OR($A355=DATE(2026,11,29),$A355=DATE(2026,11,30),$A355=DATE(2026,12,1),$A355=DATE(2026,12,2)),D355,0)+IF(OR($A355=DATE(2026,11,28),$A355=DATE(2026,12,1)),E355,0))))</f>
        <v>0</v>
      </c>
      <c r="G355" s="14" t="n">
        <f aca="false">IF(AND($A355&lt;&gt;"",$A355&lt;Parameters!$B$14),CityData!F3*(1+TAXRATE),0)</f>
        <v>0</v>
      </c>
      <c r="H355" s="14" t="n">
        <f aca="false">IF($A355="",0,IFERROR(VLOOKUP((YEAR($A355)+IF(MONTH($A355)&gt;=10,1,0))&amp;"|Boston|"&amp;MONTH($A355),Rates!$A$2:$I$181,5,FALSE()),0))</f>
        <v>0</v>
      </c>
      <c r="I355" s="14" t="n">
        <f aca="false">IF(OR($A355="",$A355&gt;=Parameters!$B$14),1,IF(AND(H355&gt;0,CityData!F3&lt;=H355),1,0))</f>
        <v>1</v>
      </c>
      <c r="J355" s="14" t="n">
        <f aca="false">IF($A355="",0,IFERROR(VLOOKUP((YEAR($A355)+IF(MONTH($A355)&gt;=10,1,0))&amp;"|Chicago|"&amp;MONTH($A355),Rates!$A$2:$I$181,6,FALSE()),0))</f>
        <v>0</v>
      </c>
      <c r="K355" s="14" t="n">
        <f aca="false">IF(J355=0,0,VLOOKUP(J355,MIE_Components!$A$2:$F$6,2,FALSE()))</f>
        <v>0</v>
      </c>
      <c r="L355" s="14" t="n">
        <f aca="false">IF(J355=0,0,VLOOKUP(J355,MIE_Components!$A$2:$F$6,3,FALSE()))</f>
        <v>0</v>
      </c>
      <c r="M355" s="14" t="n">
        <f aca="false">IF(J355=0,0,VLOOKUP(J355,MIE_Components!$A$2:$F$6,4,FALSE()))</f>
        <v>0</v>
      </c>
      <c r="N355" s="14" t="n">
        <f aca="false">IF(OR($A355="",J355=0),0,MAX(5,J355*IF(OR($A355=Parameters!$B$13,$A355=Parameters!$B$14),0.75,1)-(IF(AND($A355=DATE(2026,11,29),NOV29BF="Yes"),K355,0)+IF(OR($A355=DATE(2026,11,29),$A355=DATE(2026,11,30),$A355=DATE(2026,12,1),$A355=DATE(2026,12,2)),L355,0)+IF(OR($A355=DATE(2026,11,28),$A355=DATE(2026,12,1)),M355,0))))</f>
        <v>0</v>
      </c>
      <c r="O355" s="14" t="n">
        <f aca="false">IF(AND($A355&lt;&gt;"",$A355&lt;Parameters!$B$14),CityData!F4*(1+TAXRATE),0)</f>
        <v>0</v>
      </c>
      <c r="P355" s="14" t="n">
        <f aca="false">IF($A355="",0,IFERROR(VLOOKUP((YEAR($A355)+IF(MONTH($A355)&gt;=10,1,0))&amp;"|Chicago|"&amp;MONTH($A355),Rates!$A$2:$I$181,5,FALSE()),0))</f>
        <v>0</v>
      </c>
      <c r="Q355" s="14" t="n">
        <f aca="false">IF(OR($A355="",$A355&gt;=Parameters!$B$14),1,IF(AND(P355&gt;0,CityData!F4&lt;=P355),1,0))</f>
        <v>1</v>
      </c>
      <c r="R355" s="14" t="n">
        <f aca="false">IF($A355="",0,IFERROR(VLOOKUP((YEAR($A355)+IF(MONTH($A355)&gt;=10,1,0))&amp;"|Denver|"&amp;MONTH($A355),Rates!$A$2:$I$181,6,FALSE()),0))</f>
        <v>0</v>
      </c>
      <c r="S355" s="14" t="n">
        <f aca="false">IF(R355=0,0,VLOOKUP(R355,MIE_Components!$A$2:$F$6,2,FALSE()))</f>
        <v>0</v>
      </c>
      <c r="T355" s="14" t="n">
        <f aca="false">IF(R355=0,0,VLOOKUP(R355,MIE_Components!$A$2:$F$6,3,FALSE()))</f>
        <v>0</v>
      </c>
      <c r="U355" s="14" t="n">
        <f aca="false">IF(R355=0,0,VLOOKUP(R355,MIE_Components!$A$2:$F$6,4,FALSE()))</f>
        <v>0</v>
      </c>
      <c r="V355" s="14" t="n">
        <f aca="false">IF(OR($A355="",R355=0),0,MAX(5,R355*IF(OR($A355=Parameters!$B$13,$A355=Parameters!$B$14),0.75,1)-(IF(AND($A355=DATE(2026,11,29),NOV29BF="Yes"),S355,0)+IF(OR($A355=DATE(2026,11,29),$A355=DATE(2026,11,30),$A355=DATE(2026,12,1),$A355=DATE(2026,12,2)),T355,0)+IF(OR($A355=DATE(2026,11,28),$A355=DATE(2026,12,1)),U355,0))))</f>
        <v>0</v>
      </c>
      <c r="W355" s="14" t="n">
        <f aca="false">IF(AND($A355&lt;&gt;"",$A355&lt;Parameters!$B$14),CityData!F5*(1+TAXRATE),0)</f>
        <v>0</v>
      </c>
      <c r="X355" s="14" t="n">
        <f aca="false">IF($A355="",0,IFERROR(VLOOKUP((YEAR($A355)+IF(MONTH($A355)&gt;=10,1,0))&amp;"|Denver|"&amp;MONTH($A355),Rates!$A$2:$I$181,5,FALSE()),0))</f>
        <v>0</v>
      </c>
      <c r="Y355" s="14" t="n">
        <f aca="false">IF(OR($A355="",$A355&gt;=Parameters!$B$14),1,IF(AND(X355&gt;0,CityData!F5&lt;=X355),1,0))</f>
        <v>1</v>
      </c>
      <c r="Z355" s="14" t="n">
        <f aca="false">IF($A355="",0,IFERROR(VLOOKUP((YEAR($A355)+IF(MONTH($A355)&gt;=10,1,0))&amp;"|Phoenix|"&amp;MONTH($A355),Rates!$A$2:$I$181,6,FALSE()),0))</f>
        <v>0</v>
      </c>
      <c r="AA355" s="14" t="n">
        <f aca="false">IF(Z355=0,0,VLOOKUP(Z355,MIE_Components!$A$2:$F$6,2,FALSE()))</f>
        <v>0</v>
      </c>
      <c r="AB355" s="14" t="n">
        <f aca="false">IF(Z355=0,0,VLOOKUP(Z355,MIE_Components!$A$2:$F$6,3,FALSE()))</f>
        <v>0</v>
      </c>
      <c r="AC355" s="14" t="n">
        <f aca="false">IF(Z355=0,0,VLOOKUP(Z355,MIE_Components!$A$2:$F$6,4,FALSE()))</f>
        <v>0</v>
      </c>
      <c r="AD355" s="14" t="n">
        <f aca="false">IF(OR($A355="",Z355=0),0,MAX(5,Z355*IF(OR($A355=Parameters!$B$13,$A355=Parameters!$B$14),0.75,1)-(IF(AND($A355=DATE(2026,11,29),NOV29BF="Yes"),AA355,0)+IF(OR($A355=DATE(2026,11,29),$A355=DATE(2026,11,30),$A355=DATE(2026,12,1),$A355=DATE(2026,12,2)),AB355,0)+IF(OR($A355=DATE(2026,11,28),$A355=DATE(2026,12,1)),AC355,0))))</f>
        <v>0</v>
      </c>
      <c r="AE355" s="14" t="n">
        <f aca="false">IF(AND($A355&lt;&gt;"",$A355&lt;Parameters!$B$14),CityData!F6*(1+TAXRATE),0)</f>
        <v>0</v>
      </c>
      <c r="AF355" s="14" t="n">
        <f aca="false">IF($A355="",0,IFERROR(VLOOKUP((YEAR($A355)+IF(MONTH($A355)&gt;=10,1,0))&amp;"|Phoenix|"&amp;MONTH($A355),Rates!$A$2:$I$181,5,FALSE()),0))</f>
        <v>0</v>
      </c>
      <c r="AG355" s="14" t="n">
        <f aca="false">IF(OR($A355="",$A355&gt;=Parameters!$B$14),1,IF(AND(AF355&gt;0,CityData!F6&lt;=AF355),1,0))</f>
        <v>1</v>
      </c>
      <c r="AH355" s="14" t="n">
        <f aca="false">IF($A355="",0,IFERROR(VLOOKUP((YEAR($A355)+IF(MONTH($A355)&gt;=10,1,0))&amp;"|Seattle|"&amp;MONTH($A355),Rates!$A$2:$I$181,6,FALSE()),0))</f>
        <v>0</v>
      </c>
      <c r="AI355" s="14" t="n">
        <f aca="false">IF(AH355=0,0,VLOOKUP(AH355,MIE_Components!$A$2:$F$6,2,FALSE()))</f>
        <v>0</v>
      </c>
      <c r="AJ355" s="14" t="n">
        <f aca="false">IF(AH355=0,0,VLOOKUP(AH355,MIE_Components!$A$2:$F$6,3,FALSE()))</f>
        <v>0</v>
      </c>
      <c r="AK355" s="14" t="n">
        <f aca="false">IF(AH355=0,0,VLOOKUP(AH355,MIE_Components!$A$2:$F$6,4,FALSE()))</f>
        <v>0</v>
      </c>
      <c r="AL355" s="14" t="n">
        <f aca="false">IF(OR($A355="",AH355=0),0,MAX(5,AH355*IF(OR($A355=Parameters!$B$13,$A355=Parameters!$B$14),0.75,1)-(IF(AND($A355=DATE(2026,11,29),NOV29BF="Yes"),AI355,0)+IF(OR($A355=DATE(2026,11,29),$A355=DATE(2026,11,30),$A355=DATE(2026,12,1),$A355=DATE(2026,12,2)),AJ355,0)+IF(OR($A355=DATE(2026,11,28),$A355=DATE(2026,12,1)),AK355,0))))</f>
        <v>0</v>
      </c>
      <c r="AM355" s="14" t="n">
        <f aca="false">IF(AND($A355&lt;&gt;"",$A355&lt;Parameters!$B$14),CityData!F7*(1+TAXRATE),0)</f>
        <v>0</v>
      </c>
      <c r="AN355" s="14" t="n">
        <f aca="false">IF($A355="",0,IFERROR(VLOOKUP((YEAR($A355)+IF(MONTH($A355)&gt;=10,1,0))&amp;"|Seattle|"&amp;MONTH($A355),Rates!$A$2:$I$181,5,FALSE()),0))</f>
        <v>0</v>
      </c>
      <c r="AO355" s="14" t="n">
        <f aca="false">IF(OR($A355="",$A355&gt;=Parameters!$B$14),1,IF(AND(AN355&gt;0,CityData!F7&lt;=AN355),1,0))</f>
        <v>1</v>
      </c>
    </row>
    <row r="356" customFormat="false" ht="15" hidden="false" customHeight="true" outlineLevel="0" collapsed="false">
      <c r="A356" s="23" t="str">
        <f aca="false">IF(AND(Parameters!$B$14&gt;=Parameters!$B$13,ROW()-2&lt;=Parameters!$B$14-Parameters!$B$13),Parameters!$B$13+ROW()-2,"")</f>
        <v/>
      </c>
      <c r="B356" s="14" t="n">
        <f aca="false">IF($A356="",0,IFERROR(VLOOKUP((YEAR($A356)+IF(MONTH($A356)&gt;=10,1,0))&amp;"|Boston|"&amp;MONTH($A356),Rates!$A$2:$I$181,6,FALSE()),0))</f>
        <v>0</v>
      </c>
      <c r="C356" s="14" t="n">
        <f aca="false">IF(B356=0,0,VLOOKUP(B356,MIE_Components!$A$2:$F$6,2,FALSE()))</f>
        <v>0</v>
      </c>
      <c r="D356" s="14" t="n">
        <f aca="false">IF(B356=0,0,VLOOKUP(B356,MIE_Components!$A$2:$F$6,3,FALSE()))</f>
        <v>0</v>
      </c>
      <c r="E356" s="14" t="n">
        <f aca="false">IF(B356=0,0,VLOOKUP(B356,MIE_Components!$A$2:$F$6,4,FALSE()))</f>
        <v>0</v>
      </c>
      <c r="F356" s="14" t="n">
        <f aca="false">IF(OR($A356="",B356=0),0,MAX(5,B356*IF(OR($A356=Parameters!$B$13,$A356=Parameters!$B$14),0.75,1)-(IF(AND($A356=DATE(2026,11,29),NOV29BF="Yes"),C356,0)+IF(OR($A356=DATE(2026,11,29),$A356=DATE(2026,11,30),$A356=DATE(2026,12,1),$A356=DATE(2026,12,2)),D356,0)+IF(OR($A356=DATE(2026,11,28),$A356=DATE(2026,12,1)),E356,0))))</f>
        <v>0</v>
      </c>
      <c r="G356" s="14" t="n">
        <f aca="false">IF(AND($A356&lt;&gt;"",$A356&lt;Parameters!$B$14),CityData!F3*(1+TAXRATE),0)</f>
        <v>0</v>
      </c>
      <c r="H356" s="14" t="n">
        <f aca="false">IF($A356="",0,IFERROR(VLOOKUP((YEAR($A356)+IF(MONTH($A356)&gt;=10,1,0))&amp;"|Boston|"&amp;MONTH($A356),Rates!$A$2:$I$181,5,FALSE()),0))</f>
        <v>0</v>
      </c>
      <c r="I356" s="14" t="n">
        <f aca="false">IF(OR($A356="",$A356&gt;=Parameters!$B$14),1,IF(AND(H356&gt;0,CityData!F3&lt;=H356),1,0))</f>
        <v>1</v>
      </c>
      <c r="J356" s="14" t="n">
        <f aca="false">IF($A356="",0,IFERROR(VLOOKUP((YEAR($A356)+IF(MONTH($A356)&gt;=10,1,0))&amp;"|Chicago|"&amp;MONTH($A356),Rates!$A$2:$I$181,6,FALSE()),0))</f>
        <v>0</v>
      </c>
      <c r="K356" s="14" t="n">
        <f aca="false">IF(J356=0,0,VLOOKUP(J356,MIE_Components!$A$2:$F$6,2,FALSE()))</f>
        <v>0</v>
      </c>
      <c r="L356" s="14" t="n">
        <f aca="false">IF(J356=0,0,VLOOKUP(J356,MIE_Components!$A$2:$F$6,3,FALSE()))</f>
        <v>0</v>
      </c>
      <c r="M356" s="14" t="n">
        <f aca="false">IF(J356=0,0,VLOOKUP(J356,MIE_Components!$A$2:$F$6,4,FALSE()))</f>
        <v>0</v>
      </c>
      <c r="N356" s="14" t="n">
        <f aca="false">IF(OR($A356="",J356=0),0,MAX(5,J356*IF(OR($A356=Parameters!$B$13,$A356=Parameters!$B$14),0.75,1)-(IF(AND($A356=DATE(2026,11,29),NOV29BF="Yes"),K356,0)+IF(OR($A356=DATE(2026,11,29),$A356=DATE(2026,11,30),$A356=DATE(2026,12,1),$A356=DATE(2026,12,2)),L356,0)+IF(OR($A356=DATE(2026,11,28),$A356=DATE(2026,12,1)),M356,0))))</f>
        <v>0</v>
      </c>
      <c r="O356" s="14" t="n">
        <f aca="false">IF(AND($A356&lt;&gt;"",$A356&lt;Parameters!$B$14),CityData!F4*(1+TAXRATE),0)</f>
        <v>0</v>
      </c>
      <c r="P356" s="14" t="n">
        <f aca="false">IF($A356="",0,IFERROR(VLOOKUP((YEAR($A356)+IF(MONTH($A356)&gt;=10,1,0))&amp;"|Chicago|"&amp;MONTH($A356),Rates!$A$2:$I$181,5,FALSE()),0))</f>
        <v>0</v>
      </c>
      <c r="Q356" s="14" t="n">
        <f aca="false">IF(OR($A356="",$A356&gt;=Parameters!$B$14),1,IF(AND(P356&gt;0,CityData!F4&lt;=P356),1,0))</f>
        <v>1</v>
      </c>
      <c r="R356" s="14" t="n">
        <f aca="false">IF($A356="",0,IFERROR(VLOOKUP((YEAR($A356)+IF(MONTH($A356)&gt;=10,1,0))&amp;"|Denver|"&amp;MONTH($A356),Rates!$A$2:$I$181,6,FALSE()),0))</f>
        <v>0</v>
      </c>
      <c r="S356" s="14" t="n">
        <f aca="false">IF(R356=0,0,VLOOKUP(R356,MIE_Components!$A$2:$F$6,2,FALSE()))</f>
        <v>0</v>
      </c>
      <c r="T356" s="14" t="n">
        <f aca="false">IF(R356=0,0,VLOOKUP(R356,MIE_Components!$A$2:$F$6,3,FALSE()))</f>
        <v>0</v>
      </c>
      <c r="U356" s="14" t="n">
        <f aca="false">IF(R356=0,0,VLOOKUP(R356,MIE_Components!$A$2:$F$6,4,FALSE()))</f>
        <v>0</v>
      </c>
      <c r="V356" s="14" t="n">
        <f aca="false">IF(OR($A356="",R356=0),0,MAX(5,R356*IF(OR($A356=Parameters!$B$13,$A356=Parameters!$B$14),0.75,1)-(IF(AND($A356=DATE(2026,11,29),NOV29BF="Yes"),S356,0)+IF(OR($A356=DATE(2026,11,29),$A356=DATE(2026,11,30),$A356=DATE(2026,12,1),$A356=DATE(2026,12,2)),T356,0)+IF(OR($A356=DATE(2026,11,28),$A356=DATE(2026,12,1)),U356,0))))</f>
        <v>0</v>
      </c>
      <c r="W356" s="14" t="n">
        <f aca="false">IF(AND($A356&lt;&gt;"",$A356&lt;Parameters!$B$14),CityData!F5*(1+TAXRATE),0)</f>
        <v>0</v>
      </c>
      <c r="X356" s="14" t="n">
        <f aca="false">IF($A356="",0,IFERROR(VLOOKUP((YEAR($A356)+IF(MONTH($A356)&gt;=10,1,0))&amp;"|Denver|"&amp;MONTH($A356),Rates!$A$2:$I$181,5,FALSE()),0))</f>
        <v>0</v>
      </c>
      <c r="Y356" s="14" t="n">
        <f aca="false">IF(OR($A356="",$A356&gt;=Parameters!$B$14),1,IF(AND(X356&gt;0,CityData!F5&lt;=X356),1,0))</f>
        <v>1</v>
      </c>
      <c r="Z356" s="14" t="n">
        <f aca="false">IF($A356="",0,IFERROR(VLOOKUP((YEAR($A356)+IF(MONTH($A356)&gt;=10,1,0))&amp;"|Phoenix|"&amp;MONTH($A356),Rates!$A$2:$I$181,6,FALSE()),0))</f>
        <v>0</v>
      </c>
      <c r="AA356" s="14" t="n">
        <f aca="false">IF(Z356=0,0,VLOOKUP(Z356,MIE_Components!$A$2:$F$6,2,FALSE()))</f>
        <v>0</v>
      </c>
      <c r="AB356" s="14" t="n">
        <f aca="false">IF(Z356=0,0,VLOOKUP(Z356,MIE_Components!$A$2:$F$6,3,FALSE()))</f>
        <v>0</v>
      </c>
      <c r="AC356" s="14" t="n">
        <f aca="false">IF(Z356=0,0,VLOOKUP(Z356,MIE_Components!$A$2:$F$6,4,FALSE()))</f>
        <v>0</v>
      </c>
      <c r="AD356" s="14" t="n">
        <f aca="false">IF(OR($A356="",Z356=0),0,MAX(5,Z356*IF(OR($A356=Parameters!$B$13,$A356=Parameters!$B$14),0.75,1)-(IF(AND($A356=DATE(2026,11,29),NOV29BF="Yes"),AA356,0)+IF(OR($A356=DATE(2026,11,29),$A356=DATE(2026,11,30),$A356=DATE(2026,12,1),$A356=DATE(2026,12,2)),AB356,0)+IF(OR($A356=DATE(2026,11,28),$A356=DATE(2026,12,1)),AC356,0))))</f>
        <v>0</v>
      </c>
      <c r="AE356" s="14" t="n">
        <f aca="false">IF(AND($A356&lt;&gt;"",$A356&lt;Parameters!$B$14),CityData!F6*(1+TAXRATE),0)</f>
        <v>0</v>
      </c>
      <c r="AF356" s="14" t="n">
        <f aca="false">IF($A356="",0,IFERROR(VLOOKUP((YEAR($A356)+IF(MONTH($A356)&gt;=10,1,0))&amp;"|Phoenix|"&amp;MONTH($A356),Rates!$A$2:$I$181,5,FALSE()),0))</f>
        <v>0</v>
      </c>
      <c r="AG356" s="14" t="n">
        <f aca="false">IF(OR($A356="",$A356&gt;=Parameters!$B$14),1,IF(AND(AF356&gt;0,CityData!F6&lt;=AF356),1,0))</f>
        <v>1</v>
      </c>
      <c r="AH356" s="14" t="n">
        <f aca="false">IF($A356="",0,IFERROR(VLOOKUP((YEAR($A356)+IF(MONTH($A356)&gt;=10,1,0))&amp;"|Seattle|"&amp;MONTH($A356),Rates!$A$2:$I$181,6,FALSE()),0))</f>
        <v>0</v>
      </c>
      <c r="AI356" s="14" t="n">
        <f aca="false">IF(AH356=0,0,VLOOKUP(AH356,MIE_Components!$A$2:$F$6,2,FALSE()))</f>
        <v>0</v>
      </c>
      <c r="AJ356" s="14" t="n">
        <f aca="false">IF(AH356=0,0,VLOOKUP(AH356,MIE_Components!$A$2:$F$6,3,FALSE()))</f>
        <v>0</v>
      </c>
      <c r="AK356" s="14" t="n">
        <f aca="false">IF(AH356=0,0,VLOOKUP(AH356,MIE_Components!$A$2:$F$6,4,FALSE()))</f>
        <v>0</v>
      </c>
      <c r="AL356" s="14" t="n">
        <f aca="false">IF(OR($A356="",AH356=0),0,MAX(5,AH356*IF(OR($A356=Parameters!$B$13,$A356=Parameters!$B$14),0.75,1)-(IF(AND($A356=DATE(2026,11,29),NOV29BF="Yes"),AI356,0)+IF(OR($A356=DATE(2026,11,29),$A356=DATE(2026,11,30),$A356=DATE(2026,12,1),$A356=DATE(2026,12,2)),AJ356,0)+IF(OR($A356=DATE(2026,11,28),$A356=DATE(2026,12,1)),AK356,0))))</f>
        <v>0</v>
      </c>
      <c r="AM356" s="14" t="n">
        <f aca="false">IF(AND($A356&lt;&gt;"",$A356&lt;Parameters!$B$14),CityData!F7*(1+TAXRATE),0)</f>
        <v>0</v>
      </c>
      <c r="AN356" s="14" t="n">
        <f aca="false">IF($A356="",0,IFERROR(VLOOKUP((YEAR($A356)+IF(MONTH($A356)&gt;=10,1,0))&amp;"|Seattle|"&amp;MONTH($A356),Rates!$A$2:$I$181,5,FALSE()),0))</f>
        <v>0</v>
      </c>
      <c r="AO356" s="14" t="n">
        <f aca="false">IF(OR($A356="",$A356&gt;=Parameters!$B$14),1,IF(AND(AN356&gt;0,CityData!F7&lt;=AN356),1,0))</f>
        <v>1</v>
      </c>
    </row>
    <row r="357" customFormat="false" ht="15" hidden="false" customHeight="true" outlineLevel="0" collapsed="false">
      <c r="A357" s="23" t="str">
        <f aca="false">IF(AND(Parameters!$B$14&gt;=Parameters!$B$13,ROW()-2&lt;=Parameters!$B$14-Parameters!$B$13),Parameters!$B$13+ROW()-2,"")</f>
        <v/>
      </c>
      <c r="B357" s="14" t="n">
        <f aca="false">IF($A357="",0,IFERROR(VLOOKUP((YEAR($A357)+IF(MONTH($A357)&gt;=10,1,0))&amp;"|Boston|"&amp;MONTH($A357),Rates!$A$2:$I$181,6,FALSE()),0))</f>
        <v>0</v>
      </c>
      <c r="C357" s="14" t="n">
        <f aca="false">IF(B357=0,0,VLOOKUP(B357,MIE_Components!$A$2:$F$6,2,FALSE()))</f>
        <v>0</v>
      </c>
      <c r="D357" s="14" t="n">
        <f aca="false">IF(B357=0,0,VLOOKUP(B357,MIE_Components!$A$2:$F$6,3,FALSE()))</f>
        <v>0</v>
      </c>
      <c r="E357" s="14" t="n">
        <f aca="false">IF(B357=0,0,VLOOKUP(B357,MIE_Components!$A$2:$F$6,4,FALSE()))</f>
        <v>0</v>
      </c>
      <c r="F357" s="14" t="n">
        <f aca="false">IF(OR($A357="",B357=0),0,MAX(5,B357*IF(OR($A357=Parameters!$B$13,$A357=Parameters!$B$14),0.75,1)-(IF(AND($A357=DATE(2026,11,29),NOV29BF="Yes"),C357,0)+IF(OR($A357=DATE(2026,11,29),$A357=DATE(2026,11,30),$A357=DATE(2026,12,1),$A357=DATE(2026,12,2)),D357,0)+IF(OR($A357=DATE(2026,11,28),$A357=DATE(2026,12,1)),E357,0))))</f>
        <v>0</v>
      </c>
      <c r="G357" s="14" t="n">
        <f aca="false">IF(AND($A357&lt;&gt;"",$A357&lt;Parameters!$B$14),CityData!F3*(1+TAXRATE),0)</f>
        <v>0</v>
      </c>
      <c r="H357" s="14" t="n">
        <f aca="false">IF($A357="",0,IFERROR(VLOOKUP((YEAR($A357)+IF(MONTH($A357)&gt;=10,1,0))&amp;"|Boston|"&amp;MONTH($A357),Rates!$A$2:$I$181,5,FALSE()),0))</f>
        <v>0</v>
      </c>
      <c r="I357" s="14" t="n">
        <f aca="false">IF(OR($A357="",$A357&gt;=Parameters!$B$14),1,IF(AND(H357&gt;0,CityData!F3&lt;=H357),1,0))</f>
        <v>1</v>
      </c>
      <c r="J357" s="14" t="n">
        <f aca="false">IF($A357="",0,IFERROR(VLOOKUP((YEAR($A357)+IF(MONTH($A357)&gt;=10,1,0))&amp;"|Chicago|"&amp;MONTH($A357),Rates!$A$2:$I$181,6,FALSE()),0))</f>
        <v>0</v>
      </c>
      <c r="K357" s="14" t="n">
        <f aca="false">IF(J357=0,0,VLOOKUP(J357,MIE_Components!$A$2:$F$6,2,FALSE()))</f>
        <v>0</v>
      </c>
      <c r="L357" s="14" t="n">
        <f aca="false">IF(J357=0,0,VLOOKUP(J357,MIE_Components!$A$2:$F$6,3,FALSE()))</f>
        <v>0</v>
      </c>
      <c r="M357" s="14" t="n">
        <f aca="false">IF(J357=0,0,VLOOKUP(J357,MIE_Components!$A$2:$F$6,4,FALSE()))</f>
        <v>0</v>
      </c>
      <c r="N357" s="14" t="n">
        <f aca="false">IF(OR($A357="",J357=0),0,MAX(5,J357*IF(OR($A357=Parameters!$B$13,$A357=Parameters!$B$14),0.75,1)-(IF(AND($A357=DATE(2026,11,29),NOV29BF="Yes"),K357,0)+IF(OR($A357=DATE(2026,11,29),$A357=DATE(2026,11,30),$A357=DATE(2026,12,1),$A357=DATE(2026,12,2)),L357,0)+IF(OR($A357=DATE(2026,11,28),$A357=DATE(2026,12,1)),M357,0))))</f>
        <v>0</v>
      </c>
      <c r="O357" s="14" t="n">
        <f aca="false">IF(AND($A357&lt;&gt;"",$A357&lt;Parameters!$B$14),CityData!F4*(1+TAXRATE),0)</f>
        <v>0</v>
      </c>
      <c r="P357" s="14" t="n">
        <f aca="false">IF($A357="",0,IFERROR(VLOOKUP((YEAR($A357)+IF(MONTH($A357)&gt;=10,1,0))&amp;"|Chicago|"&amp;MONTH($A357),Rates!$A$2:$I$181,5,FALSE()),0))</f>
        <v>0</v>
      </c>
      <c r="Q357" s="14" t="n">
        <f aca="false">IF(OR($A357="",$A357&gt;=Parameters!$B$14),1,IF(AND(P357&gt;0,CityData!F4&lt;=P357),1,0))</f>
        <v>1</v>
      </c>
      <c r="R357" s="14" t="n">
        <f aca="false">IF($A357="",0,IFERROR(VLOOKUP((YEAR($A357)+IF(MONTH($A357)&gt;=10,1,0))&amp;"|Denver|"&amp;MONTH($A357),Rates!$A$2:$I$181,6,FALSE()),0))</f>
        <v>0</v>
      </c>
      <c r="S357" s="14" t="n">
        <f aca="false">IF(R357=0,0,VLOOKUP(R357,MIE_Components!$A$2:$F$6,2,FALSE()))</f>
        <v>0</v>
      </c>
      <c r="T357" s="14" t="n">
        <f aca="false">IF(R357=0,0,VLOOKUP(R357,MIE_Components!$A$2:$F$6,3,FALSE()))</f>
        <v>0</v>
      </c>
      <c r="U357" s="14" t="n">
        <f aca="false">IF(R357=0,0,VLOOKUP(R357,MIE_Components!$A$2:$F$6,4,FALSE()))</f>
        <v>0</v>
      </c>
      <c r="V357" s="14" t="n">
        <f aca="false">IF(OR($A357="",R357=0),0,MAX(5,R357*IF(OR($A357=Parameters!$B$13,$A357=Parameters!$B$14),0.75,1)-(IF(AND($A357=DATE(2026,11,29),NOV29BF="Yes"),S357,0)+IF(OR($A357=DATE(2026,11,29),$A357=DATE(2026,11,30),$A357=DATE(2026,12,1),$A357=DATE(2026,12,2)),T357,0)+IF(OR($A357=DATE(2026,11,28),$A357=DATE(2026,12,1)),U357,0))))</f>
        <v>0</v>
      </c>
      <c r="W357" s="14" t="n">
        <f aca="false">IF(AND($A357&lt;&gt;"",$A357&lt;Parameters!$B$14),CityData!F5*(1+TAXRATE),0)</f>
        <v>0</v>
      </c>
      <c r="X357" s="14" t="n">
        <f aca="false">IF($A357="",0,IFERROR(VLOOKUP((YEAR($A357)+IF(MONTH($A357)&gt;=10,1,0))&amp;"|Denver|"&amp;MONTH($A357),Rates!$A$2:$I$181,5,FALSE()),0))</f>
        <v>0</v>
      </c>
      <c r="Y357" s="14" t="n">
        <f aca="false">IF(OR($A357="",$A357&gt;=Parameters!$B$14),1,IF(AND(X357&gt;0,CityData!F5&lt;=X357),1,0))</f>
        <v>1</v>
      </c>
      <c r="Z357" s="14" t="n">
        <f aca="false">IF($A357="",0,IFERROR(VLOOKUP((YEAR($A357)+IF(MONTH($A357)&gt;=10,1,0))&amp;"|Phoenix|"&amp;MONTH($A357),Rates!$A$2:$I$181,6,FALSE()),0))</f>
        <v>0</v>
      </c>
      <c r="AA357" s="14" t="n">
        <f aca="false">IF(Z357=0,0,VLOOKUP(Z357,MIE_Components!$A$2:$F$6,2,FALSE()))</f>
        <v>0</v>
      </c>
      <c r="AB357" s="14" t="n">
        <f aca="false">IF(Z357=0,0,VLOOKUP(Z357,MIE_Components!$A$2:$F$6,3,FALSE()))</f>
        <v>0</v>
      </c>
      <c r="AC357" s="14" t="n">
        <f aca="false">IF(Z357=0,0,VLOOKUP(Z357,MIE_Components!$A$2:$F$6,4,FALSE()))</f>
        <v>0</v>
      </c>
      <c r="AD357" s="14" t="n">
        <f aca="false">IF(OR($A357="",Z357=0),0,MAX(5,Z357*IF(OR($A357=Parameters!$B$13,$A357=Parameters!$B$14),0.75,1)-(IF(AND($A357=DATE(2026,11,29),NOV29BF="Yes"),AA357,0)+IF(OR($A357=DATE(2026,11,29),$A357=DATE(2026,11,30),$A357=DATE(2026,12,1),$A357=DATE(2026,12,2)),AB357,0)+IF(OR($A357=DATE(2026,11,28),$A357=DATE(2026,12,1)),AC357,0))))</f>
        <v>0</v>
      </c>
      <c r="AE357" s="14" t="n">
        <f aca="false">IF(AND($A357&lt;&gt;"",$A357&lt;Parameters!$B$14),CityData!F6*(1+TAXRATE),0)</f>
        <v>0</v>
      </c>
      <c r="AF357" s="14" t="n">
        <f aca="false">IF($A357="",0,IFERROR(VLOOKUP((YEAR($A357)+IF(MONTH($A357)&gt;=10,1,0))&amp;"|Phoenix|"&amp;MONTH($A357),Rates!$A$2:$I$181,5,FALSE()),0))</f>
        <v>0</v>
      </c>
      <c r="AG357" s="14" t="n">
        <f aca="false">IF(OR($A357="",$A357&gt;=Parameters!$B$14),1,IF(AND(AF357&gt;0,CityData!F6&lt;=AF357),1,0))</f>
        <v>1</v>
      </c>
      <c r="AH357" s="14" t="n">
        <f aca="false">IF($A357="",0,IFERROR(VLOOKUP((YEAR($A357)+IF(MONTH($A357)&gt;=10,1,0))&amp;"|Seattle|"&amp;MONTH($A357),Rates!$A$2:$I$181,6,FALSE()),0))</f>
        <v>0</v>
      </c>
      <c r="AI357" s="14" t="n">
        <f aca="false">IF(AH357=0,0,VLOOKUP(AH357,MIE_Components!$A$2:$F$6,2,FALSE()))</f>
        <v>0</v>
      </c>
      <c r="AJ357" s="14" t="n">
        <f aca="false">IF(AH357=0,0,VLOOKUP(AH357,MIE_Components!$A$2:$F$6,3,FALSE()))</f>
        <v>0</v>
      </c>
      <c r="AK357" s="14" t="n">
        <f aca="false">IF(AH357=0,0,VLOOKUP(AH357,MIE_Components!$A$2:$F$6,4,FALSE()))</f>
        <v>0</v>
      </c>
      <c r="AL357" s="14" t="n">
        <f aca="false">IF(OR($A357="",AH357=0),0,MAX(5,AH357*IF(OR($A357=Parameters!$B$13,$A357=Parameters!$B$14),0.75,1)-(IF(AND($A357=DATE(2026,11,29),NOV29BF="Yes"),AI357,0)+IF(OR($A357=DATE(2026,11,29),$A357=DATE(2026,11,30),$A357=DATE(2026,12,1),$A357=DATE(2026,12,2)),AJ357,0)+IF(OR($A357=DATE(2026,11,28),$A357=DATE(2026,12,1)),AK357,0))))</f>
        <v>0</v>
      </c>
      <c r="AM357" s="14" t="n">
        <f aca="false">IF(AND($A357&lt;&gt;"",$A357&lt;Parameters!$B$14),CityData!F7*(1+TAXRATE),0)</f>
        <v>0</v>
      </c>
      <c r="AN357" s="14" t="n">
        <f aca="false">IF($A357="",0,IFERROR(VLOOKUP((YEAR($A357)+IF(MONTH($A357)&gt;=10,1,0))&amp;"|Seattle|"&amp;MONTH($A357),Rates!$A$2:$I$181,5,FALSE()),0))</f>
        <v>0</v>
      </c>
      <c r="AO357" s="14" t="n">
        <f aca="false">IF(OR($A357="",$A357&gt;=Parameters!$B$14),1,IF(AND(AN357&gt;0,CityData!F7&lt;=AN357),1,0))</f>
        <v>1</v>
      </c>
    </row>
    <row r="358" customFormat="false" ht="15" hidden="false" customHeight="true" outlineLevel="0" collapsed="false">
      <c r="A358" s="23" t="str">
        <f aca="false">IF(AND(Parameters!$B$14&gt;=Parameters!$B$13,ROW()-2&lt;=Parameters!$B$14-Parameters!$B$13),Parameters!$B$13+ROW()-2,"")</f>
        <v/>
      </c>
      <c r="B358" s="14" t="n">
        <f aca="false">IF($A358="",0,IFERROR(VLOOKUP((YEAR($A358)+IF(MONTH($A358)&gt;=10,1,0))&amp;"|Boston|"&amp;MONTH($A358),Rates!$A$2:$I$181,6,FALSE()),0))</f>
        <v>0</v>
      </c>
      <c r="C358" s="14" t="n">
        <f aca="false">IF(B358=0,0,VLOOKUP(B358,MIE_Components!$A$2:$F$6,2,FALSE()))</f>
        <v>0</v>
      </c>
      <c r="D358" s="14" t="n">
        <f aca="false">IF(B358=0,0,VLOOKUP(B358,MIE_Components!$A$2:$F$6,3,FALSE()))</f>
        <v>0</v>
      </c>
      <c r="E358" s="14" t="n">
        <f aca="false">IF(B358=0,0,VLOOKUP(B358,MIE_Components!$A$2:$F$6,4,FALSE()))</f>
        <v>0</v>
      </c>
      <c r="F358" s="14" t="n">
        <f aca="false">IF(OR($A358="",B358=0),0,MAX(5,B358*IF(OR($A358=Parameters!$B$13,$A358=Parameters!$B$14),0.75,1)-(IF(AND($A358=DATE(2026,11,29),NOV29BF="Yes"),C358,0)+IF(OR($A358=DATE(2026,11,29),$A358=DATE(2026,11,30),$A358=DATE(2026,12,1),$A358=DATE(2026,12,2)),D358,0)+IF(OR($A358=DATE(2026,11,28),$A358=DATE(2026,12,1)),E358,0))))</f>
        <v>0</v>
      </c>
      <c r="G358" s="14" t="n">
        <f aca="false">IF(AND($A358&lt;&gt;"",$A358&lt;Parameters!$B$14),CityData!F3*(1+TAXRATE),0)</f>
        <v>0</v>
      </c>
      <c r="H358" s="14" t="n">
        <f aca="false">IF($A358="",0,IFERROR(VLOOKUP((YEAR($A358)+IF(MONTH($A358)&gt;=10,1,0))&amp;"|Boston|"&amp;MONTH($A358),Rates!$A$2:$I$181,5,FALSE()),0))</f>
        <v>0</v>
      </c>
      <c r="I358" s="14" t="n">
        <f aca="false">IF(OR($A358="",$A358&gt;=Parameters!$B$14),1,IF(AND(H358&gt;0,CityData!F3&lt;=H358),1,0))</f>
        <v>1</v>
      </c>
      <c r="J358" s="14" t="n">
        <f aca="false">IF($A358="",0,IFERROR(VLOOKUP((YEAR($A358)+IF(MONTH($A358)&gt;=10,1,0))&amp;"|Chicago|"&amp;MONTH($A358),Rates!$A$2:$I$181,6,FALSE()),0))</f>
        <v>0</v>
      </c>
      <c r="K358" s="14" t="n">
        <f aca="false">IF(J358=0,0,VLOOKUP(J358,MIE_Components!$A$2:$F$6,2,FALSE()))</f>
        <v>0</v>
      </c>
      <c r="L358" s="14" t="n">
        <f aca="false">IF(J358=0,0,VLOOKUP(J358,MIE_Components!$A$2:$F$6,3,FALSE()))</f>
        <v>0</v>
      </c>
      <c r="M358" s="14" t="n">
        <f aca="false">IF(J358=0,0,VLOOKUP(J358,MIE_Components!$A$2:$F$6,4,FALSE()))</f>
        <v>0</v>
      </c>
      <c r="N358" s="14" t="n">
        <f aca="false">IF(OR($A358="",J358=0),0,MAX(5,J358*IF(OR($A358=Parameters!$B$13,$A358=Parameters!$B$14),0.75,1)-(IF(AND($A358=DATE(2026,11,29),NOV29BF="Yes"),K358,0)+IF(OR($A358=DATE(2026,11,29),$A358=DATE(2026,11,30),$A358=DATE(2026,12,1),$A358=DATE(2026,12,2)),L358,0)+IF(OR($A358=DATE(2026,11,28),$A358=DATE(2026,12,1)),M358,0))))</f>
        <v>0</v>
      </c>
      <c r="O358" s="14" t="n">
        <f aca="false">IF(AND($A358&lt;&gt;"",$A358&lt;Parameters!$B$14),CityData!F4*(1+TAXRATE),0)</f>
        <v>0</v>
      </c>
      <c r="P358" s="14" t="n">
        <f aca="false">IF($A358="",0,IFERROR(VLOOKUP((YEAR($A358)+IF(MONTH($A358)&gt;=10,1,0))&amp;"|Chicago|"&amp;MONTH($A358),Rates!$A$2:$I$181,5,FALSE()),0))</f>
        <v>0</v>
      </c>
      <c r="Q358" s="14" t="n">
        <f aca="false">IF(OR($A358="",$A358&gt;=Parameters!$B$14),1,IF(AND(P358&gt;0,CityData!F4&lt;=P358),1,0))</f>
        <v>1</v>
      </c>
      <c r="R358" s="14" t="n">
        <f aca="false">IF($A358="",0,IFERROR(VLOOKUP((YEAR($A358)+IF(MONTH($A358)&gt;=10,1,0))&amp;"|Denver|"&amp;MONTH($A358),Rates!$A$2:$I$181,6,FALSE()),0))</f>
        <v>0</v>
      </c>
      <c r="S358" s="14" t="n">
        <f aca="false">IF(R358=0,0,VLOOKUP(R358,MIE_Components!$A$2:$F$6,2,FALSE()))</f>
        <v>0</v>
      </c>
      <c r="T358" s="14" t="n">
        <f aca="false">IF(R358=0,0,VLOOKUP(R358,MIE_Components!$A$2:$F$6,3,FALSE()))</f>
        <v>0</v>
      </c>
      <c r="U358" s="14" t="n">
        <f aca="false">IF(R358=0,0,VLOOKUP(R358,MIE_Components!$A$2:$F$6,4,FALSE()))</f>
        <v>0</v>
      </c>
      <c r="V358" s="14" t="n">
        <f aca="false">IF(OR($A358="",R358=0),0,MAX(5,R358*IF(OR($A358=Parameters!$B$13,$A358=Parameters!$B$14),0.75,1)-(IF(AND($A358=DATE(2026,11,29),NOV29BF="Yes"),S358,0)+IF(OR($A358=DATE(2026,11,29),$A358=DATE(2026,11,30),$A358=DATE(2026,12,1),$A358=DATE(2026,12,2)),T358,0)+IF(OR($A358=DATE(2026,11,28),$A358=DATE(2026,12,1)),U358,0))))</f>
        <v>0</v>
      </c>
      <c r="W358" s="14" t="n">
        <f aca="false">IF(AND($A358&lt;&gt;"",$A358&lt;Parameters!$B$14),CityData!F5*(1+TAXRATE),0)</f>
        <v>0</v>
      </c>
      <c r="X358" s="14" t="n">
        <f aca="false">IF($A358="",0,IFERROR(VLOOKUP((YEAR($A358)+IF(MONTH($A358)&gt;=10,1,0))&amp;"|Denver|"&amp;MONTH($A358),Rates!$A$2:$I$181,5,FALSE()),0))</f>
        <v>0</v>
      </c>
      <c r="Y358" s="14" t="n">
        <f aca="false">IF(OR($A358="",$A358&gt;=Parameters!$B$14),1,IF(AND(X358&gt;0,CityData!F5&lt;=X358),1,0))</f>
        <v>1</v>
      </c>
      <c r="Z358" s="14" t="n">
        <f aca="false">IF($A358="",0,IFERROR(VLOOKUP((YEAR($A358)+IF(MONTH($A358)&gt;=10,1,0))&amp;"|Phoenix|"&amp;MONTH($A358),Rates!$A$2:$I$181,6,FALSE()),0))</f>
        <v>0</v>
      </c>
      <c r="AA358" s="14" t="n">
        <f aca="false">IF(Z358=0,0,VLOOKUP(Z358,MIE_Components!$A$2:$F$6,2,FALSE()))</f>
        <v>0</v>
      </c>
      <c r="AB358" s="14" t="n">
        <f aca="false">IF(Z358=0,0,VLOOKUP(Z358,MIE_Components!$A$2:$F$6,3,FALSE()))</f>
        <v>0</v>
      </c>
      <c r="AC358" s="14" t="n">
        <f aca="false">IF(Z358=0,0,VLOOKUP(Z358,MIE_Components!$A$2:$F$6,4,FALSE()))</f>
        <v>0</v>
      </c>
      <c r="AD358" s="14" t="n">
        <f aca="false">IF(OR($A358="",Z358=0),0,MAX(5,Z358*IF(OR($A358=Parameters!$B$13,$A358=Parameters!$B$14),0.75,1)-(IF(AND($A358=DATE(2026,11,29),NOV29BF="Yes"),AA358,0)+IF(OR($A358=DATE(2026,11,29),$A358=DATE(2026,11,30),$A358=DATE(2026,12,1),$A358=DATE(2026,12,2)),AB358,0)+IF(OR($A358=DATE(2026,11,28),$A358=DATE(2026,12,1)),AC358,0))))</f>
        <v>0</v>
      </c>
      <c r="AE358" s="14" t="n">
        <f aca="false">IF(AND($A358&lt;&gt;"",$A358&lt;Parameters!$B$14),CityData!F6*(1+TAXRATE),0)</f>
        <v>0</v>
      </c>
      <c r="AF358" s="14" t="n">
        <f aca="false">IF($A358="",0,IFERROR(VLOOKUP((YEAR($A358)+IF(MONTH($A358)&gt;=10,1,0))&amp;"|Phoenix|"&amp;MONTH($A358),Rates!$A$2:$I$181,5,FALSE()),0))</f>
        <v>0</v>
      </c>
      <c r="AG358" s="14" t="n">
        <f aca="false">IF(OR($A358="",$A358&gt;=Parameters!$B$14),1,IF(AND(AF358&gt;0,CityData!F6&lt;=AF358),1,0))</f>
        <v>1</v>
      </c>
      <c r="AH358" s="14" t="n">
        <f aca="false">IF($A358="",0,IFERROR(VLOOKUP((YEAR($A358)+IF(MONTH($A358)&gt;=10,1,0))&amp;"|Seattle|"&amp;MONTH($A358),Rates!$A$2:$I$181,6,FALSE()),0))</f>
        <v>0</v>
      </c>
      <c r="AI358" s="14" t="n">
        <f aca="false">IF(AH358=0,0,VLOOKUP(AH358,MIE_Components!$A$2:$F$6,2,FALSE()))</f>
        <v>0</v>
      </c>
      <c r="AJ358" s="14" t="n">
        <f aca="false">IF(AH358=0,0,VLOOKUP(AH358,MIE_Components!$A$2:$F$6,3,FALSE()))</f>
        <v>0</v>
      </c>
      <c r="AK358" s="14" t="n">
        <f aca="false">IF(AH358=0,0,VLOOKUP(AH358,MIE_Components!$A$2:$F$6,4,FALSE()))</f>
        <v>0</v>
      </c>
      <c r="AL358" s="14" t="n">
        <f aca="false">IF(OR($A358="",AH358=0),0,MAX(5,AH358*IF(OR($A358=Parameters!$B$13,$A358=Parameters!$B$14),0.75,1)-(IF(AND($A358=DATE(2026,11,29),NOV29BF="Yes"),AI358,0)+IF(OR($A358=DATE(2026,11,29),$A358=DATE(2026,11,30),$A358=DATE(2026,12,1),$A358=DATE(2026,12,2)),AJ358,0)+IF(OR($A358=DATE(2026,11,28),$A358=DATE(2026,12,1)),AK358,0))))</f>
        <v>0</v>
      </c>
      <c r="AM358" s="14" t="n">
        <f aca="false">IF(AND($A358&lt;&gt;"",$A358&lt;Parameters!$B$14),CityData!F7*(1+TAXRATE),0)</f>
        <v>0</v>
      </c>
      <c r="AN358" s="14" t="n">
        <f aca="false">IF($A358="",0,IFERROR(VLOOKUP((YEAR($A358)+IF(MONTH($A358)&gt;=10,1,0))&amp;"|Seattle|"&amp;MONTH($A358),Rates!$A$2:$I$181,5,FALSE()),0))</f>
        <v>0</v>
      </c>
      <c r="AO358" s="14" t="n">
        <f aca="false">IF(OR($A358="",$A358&gt;=Parameters!$B$14),1,IF(AND(AN358&gt;0,CityData!F7&lt;=AN358),1,0))</f>
        <v>1</v>
      </c>
    </row>
    <row r="359" customFormat="false" ht="15" hidden="false" customHeight="true" outlineLevel="0" collapsed="false">
      <c r="A359" s="23" t="str">
        <f aca="false">IF(AND(Parameters!$B$14&gt;=Parameters!$B$13,ROW()-2&lt;=Parameters!$B$14-Parameters!$B$13),Parameters!$B$13+ROW()-2,"")</f>
        <v/>
      </c>
      <c r="B359" s="14" t="n">
        <f aca="false">IF($A359="",0,IFERROR(VLOOKUP((YEAR($A359)+IF(MONTH($A359)&gt;=10,1,0))&amp;"|Boston|"&amp;MONTH($A359),Rates!$A$2:$I$181,6,FALSE()),0))</f>
        <v>0</v>
      </c>
      <c r="C359" s="14" t="n">
        <f aca="false">IF(B359=0,0,VLOOKUP(B359,MIE_Components!$A$2:$F$6,2,FALSE()))</f>
        <v>0</v>
      </c>
      <c r="D359" s="14" t="n">
        <f aca="false">IF(B359=0,0,VLOOKUP(B359,MIE_Components!$A$2:$F$6,3,FALSE()))</f>
        <v>0</v>
      </c>
      <c r="E359" s="14" t="n">
        <f aca="false">IF(B359=0,0,VLOOKUP(B359,MIE_Components!$A$2:$F$6,4,FALSE()))</f>
        <v>0</v>
      </c>
      <c r="F359" s="14" t="n">
        <f aca="false">IF(OR($A359="",B359=0),0,MAX(5,B359*IF(OR($A359=Parameters!$B$13,$A359=Parameters!$B$14),0.75,1)-(IF(AND($A359=DATE(2026,11,29),NOV29BF="Yes"),C359,0)+IF(OR($A359=DATE(2026,11,29),$A359=DATE(2026,11,30),$A359=DATE(2026,12,1),$A359=DATE(2026,12,2)),D359,0)+IF(OR($A359=DATE(2026,11,28),$A359=DATE(2026,12,1)),E359,0))))</f>
        <v>0</v>
      </c>
      <c r="G359" s="14" t="n">
        <f aca="false">IF(AND($A359&lt;&gt;"",$A359&lt;Parameters!$B$14),CityData!F3*(1+TAXRATE),0)</f>
        <v>0</v>
      </c>
      <c r="H359" s="14" t="n">
        <f aca="false">IF($A359="",0,IFERROR(VLOOKUP((YEAR($A359)+IF(MONTH($A359)&gt;=10,1,0))&amp;"|Boston|"&amp;MONTH($A359),Rates!$A$2:$I$181,5,FALSE()),0))</f>
        <v>0</v>
      </c>
      <c r="I359" s="14" t="n">
        <f aca="false">IF(OR($A359="",$A359&gt;=Parameters!$B$14),1,IF(AND(H359&gt;0,CityData!F3&lt;=H359),1,0))</f>
        <v>1</v>
      </c>
      <c r="J359" s="14" t="n">
        <f aca="false">IF($A359="",0,IFERROR(VLOOKUP((YEAR($A359)+IF(MONTH($A359)&gt;=10,1,0))&amp;"|Chicago|"&amp;MONTH($A359),Rates!$A$2:$I$181,6,FALSE()),0))</f>
        <v>0</v>
      </c>
      <c r="K359" s="14" t="n">
        <f aca="false">IF(J359=0,0,VLOOKUP(J359,MIE_Components!$A$2:$F$6,2,FALSE()))</f>
        <v>0</v>
      </c>
      <c r="L359" s="14" t="n">
        <f aca="false">IF(J359=0,0,VLOOKUP(J359,MIE_Components!$A$2:$F$6,3,FALSE()))</f>
        <v>0</v>
      </c>
      <c r="M359" s="14" t="n">
        <f aca="false">IF(J359=0,0,VLOOKUP(J359,MIE_Components!$A$2:$F$6,4,FALSE()))</f>
        <v>0</v>
      </c>
      <c r="N359" s="14" t="n">
        <f aca="false">IF(OR($A359="",J359=0),0,MAX(5,J359*IF(OR($A359=Parameters!$B$13,$A359=Parameters!$B$14),0.75,1)-(IF(AND($A359=DATE(2026,11,29),NOV29BF="Yes"),K359,0)+IF(OR($A359=DATE(2026,11,29),$A359=DATE(2026,11,30),$A359=DATE(2026,12,1),$A359=DATE(2026,12,2)),L359,0)+IF(OR($A359=DATE(2026,11,28),$A359=DATE(2026,12,1)),M359,0))))</f>
        <v>0</v>
      </c>
      <c r="O359" s="14" t="n">
        <f aca="false">IF(AND($A359&lt;&gt;"",$A359&lt;Parameters!$B$14),CityData!F4*(1+TAXRATE),0)</f>
        <v>0</v>
      </c>
      <c r="P359" s="14" t="n">
        <f aca="false">IF($A359="",0,IFERROR(VLOOKUP((YEAR($A359)+IF(MONTH($A359)&gt;=10,1,0))&amp;"|Chicago|"&amp;MONTH($A359),Rates!$A$2:$I$181,5,FALSE()),0))</f>
        <v>0</v>
      </c>
      <c r="Q359" s="14" t="n">
        <f aca="false">IF(OR($A359="",$A359&gt;=Parameters!$B$14),1,IF(AND(P359&gt;0,CityData!F4&lt;=P359),1,0))</f>
        <v>1</v>
      </c>
      <c r="R359" s="14" t="n">
        <f aca="false">IF($A359="",0,IFERROR(VLOOKUP((YEAR($A359)+IF(MONTH($A359)&gt;=10,1,0))&amp;"|Denver|"&amp;MONTH($A359),Rates!$A$2:$I$181,6,FALSE()),0))</f>
        <v>0</v>
      </c>
      <c r="S359" s="14" t="n">
        <f aca="false">IF(R359=0,0,VLOOKUP(R359,MIE_Components!$A$2:$F$6,2,FALSE()))</f>
        <v>0</v>
      </c>
      <c r="T359" s="14" t="n">
        <f aca="false">IF(R359=0,0,VLOOKUP(R359,MIE_Components!$A$2:$F$6,3,FALSE()))</f>
        <v>0</v>
      </c>
      <c r="U359" s="14" t="n">
        <f aca="false">IF(R359=0,0,VLOOKUP(R359,MIE_Components!$A$2:$F$6,4,FALSE()))</f>
        <v>0</v>
      </c>
      <c r="V359" s="14" t="n">
        <f aca="false">IF(OR($A359="",R359=0),0,MAX(5,R359*IF(OR($A359=Parameters!$B$13,$A359=Parameters!$B$14),0.75,1)-(IF(AND($A359=DATE(2026,11,29),NOV29BF="Yes"),S359,0)+IF(OR($A359=DATE(2026,11,29),$A359=DATE(2026,11,30),$A359=DATE(2026,12,1),$A359=DATE(2026,12,2)),T359,0)+IF(OR($A359=DATE(2026,11,28),$A359=DATE(2026,12,1)),U359,0))))</f>
        <v>0</v>
      </c>
      <c r="W359" s="14" t="n">
        <f aca="false">IF(AND($A359&lt;&gt;"",$A359&lt;Parameters!$B$14),CityData!F5*(1+TAXRATE),0)</f>
        <v>0</v>
      </c>
      <c r="X359" s="14" t="n">
        <f aca="false">IF($A359="",0,IFERROR(VLOOKUP((YEAR($A359)+IF(MONTH($A359)&gt;=10,1,0))&amp;"|Denver|"&amp;MONTH($A359),Rates!$A$2:$I$181,5,FALSE()),0))</f>
        <v>0</v>
      </c>
      <c r="Y359" s="14" t="n">
        <f aca="false">IF(OR($A359="",$A359&gt;=Parameters!$B$14),1,IF(AND(X359&gt;0,CityData!F5&lt;=X359),1,0))</f>
        <v>1</v>
      </c>
      <c r="Z359" s="14" t="n">
        <f aca="false">IF($A359="",0,IFERROR(VLOOKUP((YEAR($A359)+IF(MONTH($A359)&gt;=10,1,0))&amp;"|Phoenix|"&amp;MONTH($A359),Rates!$A$2:$I$181,6,FALSE()),0))</f>
        <v>0</v>
      </c>
      <c r="AA359" s="14" t="n">
        <f aca="false">IF(Z359=0,0,VLOOKUP(Z359,MIE_Components!$A$2:$F$6,2,FALSE()))</f>
        <v>0</v>
      </c>
      <c r="AB359" s="14" t="n">
        <f aca="false">IF(Z359=0,0,VLOOKUP(Z359,MIE_Components!$A$2:$F$6,3,FALSE()))</f>
        <v>0</v>
      </c>
      <c r="AC359" s="14" t="n">
        <f aca="false">IF(Z359=0,0,VLOOKUP(Z359,MIE_Components!$A$2:$F$6,4,FALSE()))</f>
        <v>0</v>
      </c>
      <c r="AD359" s="14" t="n">
        <f aca="false">IF(OR($A359="",Z359=0),0,MAX(5,Z359*IF(OR($A359=Parameters!$B$13,$A359=Parameters!$B$14),0.75,1)-(IF(AND($A359=DATE(2026,11,29),NOV29BF="Yes"),AA359,0)+IF(OR($A359=DATE(2026,11,29),$A359=DATE(2026,11,30),$A359=DATE(2026,12,1),$A359=DATE(2026,12,2)),AB359,0)+IF(OR($A359=DATE(2026,11,28),$A359=DATE(2026,12,1)),AC359,0))))</f>
        <v>0</v>
      </c>
      <c r="AE359" s="14" t="n">
        <f aca="false">IF(AND($A359&lt;&gt;"",$A359&lt;Parameters!$B$14),CityData!F6*(1+TAXRATE),0)</f>
        <v>0</v>
      </c>
      <c r="AF359" s="14" t="n">
        <f aca="false">IF($A359="",0,IFERROR(VLOOKUP((YEAR($A359)+IF(MONTH($A359)&gt;=10,1,0))&amp;"|Phoenix|"&amp;MONTH($A359),Rates!$A$2:$I$181,5,FALSE()),0))</f>
        <v>0</v>
      </c>
      <c r="AG359" s="14" t="n">
        <f aca="false">IF(OR($A359="",$A359&gt;=Parameters!$B$14),1,IF(AND(AF359&gt;0,CityData!F6&lt;=AF359),1,0))</f>
        <v>1</v>
      </c>
      <c r="AH359" s="14" t="n">
        <f aca="false">IF($A359="",0,IFERROR(VLOOKUP((YEAR($A359)+IF(MONTH($A359)&gt;=10,1,0))&amp;"|Seattle|"&amp;MONTH($A359),Rates!$A$2:$I$181,6,FALSE()),0))</f>
        <v>0</v>
      </c>
      <c r="AI359" s="14" t="n">
        <f aca="false">IF(AH359=0,0,VLOOKUP(AH359,MIE_Components!$A$2:$F$6,2,FALSE()))</f>
        <v>0</v>
      </c>
      <c r="AJ359" s="14" t="n">
        <f aca="false">IF(AH359=0,0,VLOOKUP(AH359,MIE_Components!$A$2:$F$6,3,FALSE()))</f>
        <v>0</v>
      </c>
      <c r="AK359" s="14" t="n">
        <f aca="false">IF(AH359=0,0,VLOOKUP(AH359,MIE_Components!$A$2:$F$6,4,FALSE()))</f>
        <v>0</v>
      </c>
      <c r="AL359" s="14" t="n">
        <f aca="false">IF(OR($A359="",AH359=0),0,MAX(5,AH359*IF(OR($A359=Parameters!$B$13,$A359=Parameters!$B$14),0.75,1)-(IF(AND($A359=DATE(2026,11,29),NOV29BF="Yes"),AI359,0)+IF(OR($A359=DATE(2026,11,29),$A359=DATE(2026,11,30),$A359=DATE(2026,12,1),$A359=DATE(2026,12,2)),AJ359,0)+IF(OR($A359=DATE(2026,11,28),$A359=DATE(2026,12,1)),AK359,0))))</f>
        <v>0</v>
      </c>
      <c r="AM359" s="14" t="n">
        <f aca="false">IF(AND($A359&lt;&gt;"",$A359&lt;Parameters!$B$14),CityData!F7*(1+TAXRATE),0)</f>
        <v>0</v>
      </c>
      <c r="AN359" s="14" t="n">
        <f aca="false">IF($A359="",0,IFERROR(VLOOKUP((YEAR($A359)+IF(MONTH($A359)&gt;=10,1,0))&amp;"|Seattle|"&amp;MONTH($A359),Rates!$A$2:$I$181,5,FALSE()),0))</f>
        <v>0</v>
      </c>
      <c r="AO359" s="14" t="n">
        <f aca="false">IF(OR($A359="",$A359&gt;=Parameters!$B$14),1,IF(AND(AN359&gt;0,CityData!F7&lt;=AN359),1,0))</f>
        <v>1</v>
      </c>
    </row>
    <row r="360" customFormat="false" ht="15" hidden="false" customHeight="true" outlineLevel="0" collapsed="false">
      <c r="A360" s="23" t="str">
        <f aca="false">IF(AND(Parameters!$B$14&gt;=Parameters!$B$13,ROW()-2&lt;=Parameters!$B$14-Parameters!$B$13),Parameters!$B$13+ROW()-2,"")</f>
        <v/>
      </c>
      <c r="B360" s="14" t="n">
        <f aca="false">IF($A360="",0,IFERROR(VLOOKUP((YEAR($A360)+IF(MONTH($A360)&gt;=10,1,0))&amp;"|Boston|"&amp;MONTH($A360),Rates!$A$2:$I$181,6,FALSE()),0))</f>
        <v>0</v>
      </c>
      <c r="C360" s="14" t="n">
        <f aca="false">IF(B360=0,0,VLOOKUP(B360,MIE_Components!$A$2:$F$6,2,FALSE()))</f>
        <v>0</v>
      </c>
      <c r="D360" s="14" t="n">
        <f aca="false">IF(B360=0,0,VLOOKUP(B360,MIE_Components!$A$2:$F$6,3,FALSE()))</f>
        <v>0</v>
      </c>
      <c r="E360" s="14" t="n">
        <f aca="false">IF(B360=0,0,VLOOKUP(B360,MIE_Components!$A$2:$F$6,4,FALSE()))</f>
        <v>0</v>
      </c>
      <c r="F360" s="14" t="n">
        <f aca="false">IF(OR($A360="",B360=0),0,MAX(5,B360*IF(OR($A360=Parameters!$B$13,$A360=Parameters!$B$14),0.75,1)-(IF(AND($A360=DATE(2026,11,29),NOV29BF="Yes"),C360,0)+IF(OR($A360=DATE(2026,11,29),$A360=DATE(2026,11,30),$A360=DATE(2026,12,1),$A360=DATE(2026,12,2)),D360,0)+IF(OR($A360=DATE(2026,11,28),$A360=DATE(2026,12,1)),E360,0))))</f>
        <v>0</v>
      </c>
      <c r="G360" s="14" t="n">
        <f aca="false">IF(AND($A360&lt;&gt;"",$A360&lt;Parameters!$B$14),CityData!F3*(1+TAXRATE),0)</f>
        <v>0</v>
      </c>
      <c r="H360" s="14" t="n">
        <f aca="false">IF($A360="",0,IFERROR(VLOOKUP((YEAR($A360)+IF(MONTH($A360)&gt;=10,1,0))&amp;"|Boston|"&amp;MONTH($A360),Rates!$A$2:$I$181,5,FALSE()),0))</f>
        <v>0</v>
      </c>
      <c r="I360" s="14" t="n">
        <f aca="false">IF(OR($A360="",$A360&gt;=Parameters!$B$14),1,IF(AND(H360&gt;0,CityData!F3&lt;=H360),1,0))</f>
        <v>1</v>
      </c>
      <c r="J360" s="14" t="n">
        <f aca="false">IF($A360="",0,IFERROR(VLOOKUP((YEAR($A360)+IF(MONTH($A360)&gt;=10,1,0))&amp;"|Chicago|"&amp;MONTH($A360),Rates!$A$2:$I$181,6,FALSE()),0))</f>
        <v>0</v>
      </c>
      <c r="K360" s="14" t="n">
        <f aca="false">IF(J360=0,0,VLOOKUP(J360,MIE_Components!$A$2:$F$6,2,FALSE()))</f>
        <v>0</v>
      </c>
      <c r="L360" s="14" t="n">
        <f aca="false">IF(J360=0,0,VLOOKUP(J360,MIE_Components!$A$2:$F$6,3,FALSE()))</f>
        <v>0</v>
      </c>
      <c r="M360" s="14" t="n">
        <f aca="false">IF(J360=0,0,VLOOKUP(J360,MIE_Components!$A$2:$F$6,4,FALSE()))</f>
        <v>0</v>
      </c>
      <c r="N360" s="14" t="n">
        <f aca="false">IF(OR($A360="",J360=0),0,MAX(5,J360*IF(OR($A360=Parameters!$B$13,$A360=Parameters!$B$14),0.75,1)-(IF(AND($A360=DATE(2026,11,29),NOV29BF="Yes"),K360,0)+IF(OR($A360=DATE(2026,11,29),$A360=DATE(2026,11,30),$A360=DATE(2026,12,1),$A360=DATE(2026,12,2)),L360,0)+IF(OR($A360=DATE(2026,11,28),$A360=DATE(2026,12,1)),M360,0))))</f>
        <v>0</v>
      </c>
      <c r="O360" s="14" t="n">
        <f aca="false">IF(AND($A360&lt;&gt;"",$A360&lt;Parameters!$B$14),CityData!F4*(1+TAXRATE),0)</f>
        <v>0</v>
      </c>
      <c r="P360" s="14" t="n">
        <f aca="false">IF($A360="",0,IFERROR(VLOOKUP((YEAR($A360)+IF(MONTH($A360)&gt;=10,1,0))&amp;"|Chicago|"&amp;MONTH($A360),Rates!$A$2:$I$181,5,FALSE()),0))</f>
        <v>0</v>
      </c>
      <c r="Q360" s="14" t="n">
        <f aca="false">IF(OR($A360="",$A360&gt;=Parameters!$B$14),1,IF(AND(P360&gt;0,CityData!F4&lt;=P360),1,0))</f>
        <v>1</v>
      </c>
      <c r="R360" s="14" t="n">
        <f aca="false">IF($A360="",0,IFERROR(VLOOKUP((YEAR($A360)+IF(MONTH($A360)&gt;=10,1,0))&amp;"|Denver|"&amp;MONTH($A360),Rates!$A$2:$I$181,6,FALSE()),0))</f>
        <v>0</v>
      </c>
      <c r="S360" s="14" t="n">
        <f aca="false">IF(R360=0,0,VLOOKUP(R360,MIE_Components!$A$2:$F$6,2,FALSE()))</f>
        <v>0</v>
      </c>
      <c r="T360" s="14" t="n">
        <f aca="false">IF(R360=0,0,VLOOKUP(R360,MIE_Components!$A$2:$F$6,3,FALSE()))</f>
        <v>0</v>
      </c>
      <c r="U360" s="14" t="n">
        <f aca="false">IF(R360=0,0,VLOOKUP(R360,MIE_Components!$A$2:$F$6,4,FALSE()))</f>
        <v>0</v>
      </c>
      <c r="V360" s="14" t="n">
        <f aca="false">IF(OR($A360="",R360=0),0,MAX(5,R360*IF(OR($A360=Parameters!$B$13,$A360=Parameters!$B$14),0.75,1)-(IF(AND($A360=DATE(2026,11,29),NOV29BF="Yes"),S360,0)+IF(OR($A360=DATE(2026,11,29),$A360=DATE(2026,11,30),$A360=DATE(2026,12,1),$A360=DATE(2026,12,2)),T360,0)+IF(OR($A360=DATE(2026,11,28),$A360=DATE(2026,12,1)),U360,0))))</f>
        <v>0</v>
      </c>
      <c r="W360" s="14" t="n">
        <f aca="false">IF(AND($A360&lt;&gt;"",$A360&lt;Parameters!$B$14),CityData!F5*(1+TAXRATE),0)</f>
        <v>0</v>
      </c>
      <c r="X360" s="14" t="n">
        <f aca="false">IF($A360="",0,IFERROR(VLOOKUP((YEAR($A360)+IF(MONTH($A360)&gt;=10,1,0))&amp;"|Denver|"&amp;MONTH($A360),Rates!$A$2:$I$181,5,FALSE()),0))</f>
        <v>0</v>
      </c>
      <c r="Y360" s="14" t="n">
        <f aca="false">IF(OR($A360="",$A360&gt;=Parameters!$B$14),1,IF(AND(X360&gt;0,CityData!F5&lt;=X360),1,0))</f>
        <v>1</v>
      </c>
      <c r="Z360" s="14" t="n">
        <f aca="false">IF($A360="",0,IFERROR(VLOOKUP((YEAR($A360)+IF(MONTH($A360)&gt;=10,1,0))&amp;"|Phoenix|"&amp;MONTH($A360),Rates!$A$2:$I$181,6,FALSE()),0))</f>
        <v>0</v>
      </c>
      <c r="AA360" s="14" t="n">
        <f aca="false">IF(Z360=0,0,VLOOKUP(Z360,MIE_Components!$A$2:$F$6,2,FALSE()))</f>
        <v>0</v>
      </c>
      <c r="AB360" s="14" t="n">
        <f aca="false">IF(Z360=0,0,VLOOKUP(Z360,MIE_Components!$A$2:$F$6,3,FALSE()))</f>
        <v>0</v>
      </c>
      <c r="AC360" s="14" t="n">
        <f aca="false">IF(Z360=0,0,VLOOKUP(Z360,MIE_Components!$A$2:$F$6,4,FALSE()))</f>
        <v>0</v>
      </c>
      <c r="AD360" s="14" t="n">
        <f aca="false">IF(OR($A360="",Z360=0),0,MAX(5,Z360*IF(OR($A360=Parameters!$B$13,$A360=Parameters!$B$14),0.75,1)-(IF(AND($A360=DATE(2026,11,29),NOV29BF="Yes"),AA360,0)+IF(OR($A360=DATE(2026,11,29),$A360=DATE(2026,11,30),$A360=DATE(2026,12,1),$A360=DATE(2026,12,2)),AB360,0)+IF(OR($A360=DATE(2026,11,28),$A360=DATE(2026,12,1)),AC360,0))))</f>
        <v>0</v>
      </c>
      <c r="AE360" s="14" t="n">
        <f aca="false">IF(AND($A360&lt;&gt;"",$A360&lt;Parameters!$B$14),CityData!F6*(1+TAXRATE),0)</f>
        <v>0</v>
      </c>
      <c r="AF360" s="14" t="n">
        <f aca="false">IF($A360="",0,IFERROR(VLOOKUP((YEAR($A360)+IF(MONTH($A360)&gt;=10,1,0))&amp;"|Phoenix|"&amp;MONTH($A360),Rates!$A$2:$I$181,5,FALSE()),0))</f>
        <v>0</v>
      </c>
      <c r="AG360" s="14" t="n">
        <f aca="false">IF(OR($A360="",$A360&gt;=Parameters!$B$14),1,IF(AND(AF360&gt;0,CityData!F6&lt;=AF360),1,0))</f>
        <v>1</v>
      </c>
      <c r="AH360" s="14" t="n">
        <f aca="false">IF($A360="",0,IFERROR(VLOOKUP((YEAR($A360)+IF(MONTH($A360)&gt;=10,1,0))&amp;"|Seattle|"&amp;MONTH($A360),Rates!$A$2:$I$181,6,FALSE()),0))</f>
        <v>0</v>
      </c>
      <c r="AI360" s="14" t="n">
        <f aca="false">IF(AH360=0,0,VLOOKUP(AH360,MIE_Components!$A$2:$F$6,2,FALSE()))</f>
        <v>0</v>
      </c>
      <c r="AJ360" s="14" t="n">
        <f aca="false">IF(AH360=0,0,VLOOKUP(AH360,MIE_Components!$A$2:$F$6,3,FALSE()))</f>
        <v>0</v>
      </c>
      <c r="AK360" s="14" t="n">
        <f aca="false">IF(AH360=0,0,VLOOKUP(AH360,MIE_Components!$A$2:$F$6,4,FALSE()))</f>
        <v>0</v>
      </c>
      <c r="AL360" s="14" t="n">
        <f aca="false">IF(OR($A360="",AH360=0),0,MAX(5,AH360*IF(OR($A360=Parameters!$B$13,$A360=Parameters!$B$14),0.75,1)-(IF(AND($A360=DATE(2026,11,29),NOV29BF="Yes"),AI360,0)+IF(OR($A360=DATE(2026,11,29),$A360=DATE(2026,11,30),$A360=DATE(2026,12,1),$A360=DATE(2026,12,2)),AJ360,0)+IF(OR($A360=DATE(2026,11,28),$A360=DATE(2026,12,1)),AK360,0))))</f>
        <v>0</v>
      </c>
      <c r="AM360" s="14" t="n">
        <f aca="false">IF(AND($A360&lt;&gt;"",$A360&lt;Parameters!$B$14),CityData!F7*(1+TAXRATE),0)</f>
        <v>0</v>
      </c>
      <c r="AN360" s="14" t="n">
        <f aca="false">IF($A360="",0,IFERROR(VLOOKUP((YEAR($A360)+IF(MONTH($A360)&gt;=10,1,0))&amp;"|Seattle|"&amp;MONTH($A360),Rates!$A$2:$I$181,5,FALSE()),0))</f>
        <v>0</v>
      </c>
      <c r="AO360" s="14" t="n">
        <f aca="false">IF(OR($A360="",$A360&gt;=Parameters!$B$14),1,IF(AND(AN360&gt;0,CityData!F7&lt;=AN360),1,0))</f>
        <v>1</v>
      </c>
    </row>
    <row r="361" customFormat="false" ht="15" hidden="false" customHeight="true" outlineLevel="0" collapsed="false">
      <c r="A361" s="23" t="str">
        <f aca="false">IF(AND(Parameters!$B$14&gt;=Parameters!$B$13,ROW()-2&lt;=Parameters!$B$14-Parameters!$B$13),Parameters!$B$13+ROW()-2,"")</f>
        <v/>
      </c>
      <c r="B361" s="14" t="n">
        <f aca="false">IF($A361="",0,IFERROR(VLOOKUP((YEAR($A361)+IF(MONTH($A361)&gt;=10,1,0))&amp;"|Boston|"&amp;MONTH($A361),Rates!$A$2:$I$181,6,FALSE()),0))</f>
        <v>0</v>
      </c>
      <c r="C361" s="14" t="n">
        <f aca="false">IF(B361=0,0,VLOOKUP(B361,MIE_Components!$A$2:$F$6,2,FALSE()))</f>
        <v>0</v>
      </c>
      <c r="D361" s="14" t="n">
        <f aca="false">IF(B361=0,0,VLOOKUP(B361,MIE_Components!$A$2:$F$6,3,FALSE()))</f>
        <v>0</v>
      </c>
      <c r="E361" s="14" t="n">
        <f aca="false">IF(B361=0,0,VLOOKUP(B361,MIE_Components!$A$2:$F$6,4,FALSE()))</f>
        <v>0</v>
      </c>
      <c r="F361" s="14" t="n">
        <f aca="false">IF(OR($A361="",B361=0),0,MAX(5,B361*IF(OR($A361=Parameters!$B$13,$A361=Parameters!$B$14),0.75,1)-(IF(AND($A361=DATE(2026,11,29),NOV29BF="Yes"),C361,0)+IF(OR($A361=DATE(2026,11,29),$A361=DATE(2026,11,30),$A361=DATE(2026,12,1),$A361=DATE(2026,12,2)),D361,0)+IF(OR($A361=DATE(2026,11,28),$A361=DATE(2026,12,1)),E361,0))))</f>
        <v>0</v>
      </c>
      <c r="G361" s="14" t="n">
        <f aca="false">IF(AND($A361&lt;&gt;"",$A361&lt;Parameters!$B$14),CityData!F3*(1+TAXRATE),0)</f>
        <v>0</v>
      </c>
      <c r="H361" s="14" t="n">
        <f aca="false">IF($A361="",0,IFERROR(VLOOKUP((YEAR($A361)+IF(MONTH($A361)&gt;=10,1,0))&amp;"|Boston|"&amp;MONTH($A361),Rates!$A$2:$I$181,5,FALSE()),0))</f>
        <v>0</v>
      </c>
      <c r="I361" s="14" t="n">
        <f aca="false">IF(OR($A361="",$A361&gt;=Parameters!$B$14),1,IF(AND(H361&gt;0,CityData!F3&lt;=H361),1,0))</f>
        <v>1</v>
      </c>
      <c r="J361" s="14" t="n">
        <f aca="false">IF($A361="",0,IFERROR(VLOOKUP((YEAR($A361)+IF(MONTH($A361)&gt;=10,1,0))&amp;"|Chicago|"&amp;MONTH($A361),Rates!$A$2:$I$181,6,FALSE()),0))</f>
        <v>0</v>
      </c>
      <c r="K361" s="14" t="n">
        <f aca="false">IF(J361=0,0,VLOOKUP(J361,MIE_Components!$A$2:$F$6,2,FALSE()))</f>
        <v>0</v>
      </c>
      <c r="L361" s="14" t="n">
        <f aca="false">IF(J361=0,0,VLOOKUP(J361,MIE_Components!$A$2:$F$6,3,FALSE()))</f>
        <v>0</v>
      </c>
      <c r="M361" s="14" t="n">
        <f aca="false">IF(J361=0,0,VLOOKUP(J361,MIE_Components!$A$2:$F$6,4,FALSE()))</f>
        <v>0</v>
      </c>
      <c r="N361" s="14" t="n">
        <f aca="false">IF(OR($A361="",J361=0),0,MAX(5,J361*IF(OR($A361=Parameters!$B$13,$A361=Parameters!$B$14),0.75,1)-(IF(AND($A361=DATE(2026,11,29),NOV29BF="Yes"),K361,0)+IF(OR($A361=DATE(2026,11,29),$A361=DATE(2026,11,30),$A361=DATE(2026,12,1),$A361=DATE(2026,12,2)),L361,0)+IF(OR($A361=DATE(2026,11,28),$A361=DATE(2026,12,1)),M361,0))))</f>
        <v>0</v>
      </c>
      <c r="O361" s="14" t="n">
        <f aca="false">IF(AND($A361&lt;&gt;"",$A361&lt;Parameters!$B$14),CityData!F4*(1+TAXRATE),0)</f>
        <v>0</v>
      </c>
      <c r="P361" s="14" t="n">
        <f aca="false">IF($A361="",0,IFERROR(VLOOKUP((YEAR($A361)+IF(MONTH($A361)&gt;=10,1,0))&amp;"|Chicago|"&amp;MONTH($A361),Rates!$A$2:$I$181,5,FALSE()),0))</f>
        <v>0</v>
      </c>
      <c r="Q361" s="14" t="n">
        <f aca="false">IF(OR($A361="",$A361&gt;=Parameters!$B$14),1,IF(AND(P361&gt;0,CityData!F4&lt;=P361),1,0))</f>
        <v>1</v>
      </c>
      <c r="R361" s="14" t="n">
        <f aca="false">IF($A361="",0,IFERROR(VLOOKUP((YEAR($A361)+IF(MONTH($A361)&gt;=10,1,0))&amp;"|Denver|"&amp;MONTH($A361),Rates!$A$2:$I$181,6,FALSE()),0))</f>
        <v>0</v>
      </c>
      <c r="S361" s="14" t="n">
        <f aca="false">IF(R361=0,0,VLOOKUP(R361,MIE_Components!$A$2:$F$6,2,FALSE()))</f>
        <v>0</v>
      </c>
      <c r="T361" s="14" t="n">
        <f aca="false">IF(R361=0,0,VLOOKUP(R361,MIE_Components!$A$2:$F$6,3,FALSE()))</f>
        <v>0</v>
      </c>
      <c r="U361" s="14" t="n">
        <f aca="false">IF(R361=0,0,VLOOKUP(R361,MIE_Components!$A$2:$F$6,4,FALSE()))</f>
        <v>0</v>
      </c>
      <c r="V361" s="14" t="n">
        <f aca="false">IF(OR($A361="",R361=0),0,MAX(5,R361*IF(OR($A361=Parameters!$B$13,$A361=Parameters!$B$14),0.75,1)-(IF(AND($A361=DATE(2026,11,29),NOV29BF="Yes"),S361,0)+IF(OR($A361=DATE(2026,11,29),$A361=DATE(2026,11,30),$A361=DATE(2026,12,1),$A361=DATE(2026,12,2)),T361,0)+IF(OR($A361=DATE(2026,11,28),$A361=DATE(2026,12,1)),U361,0))))</f>
        <v>0</v>
      </c>
      <c r="W361" s="14" t="n">
        <f aca="false">IF(AND($A361&lt;&gt;"",$A361&lt;Parameters!$B$14),CityData!F5*(1+TAXRATE),0)</f>
        <v>0</v>
      </c>
      <c r="X361" s="14" t="n">
        <f aca="false">IF($A361="",0,IFERROR(VLOOKUP((YEAR($A361)+IF(MONTH($A361)&gt;=10,1,0))&amp;"|Denver|"&amp;MONTH($A361),Rates!$A$2:$I$181,5,FALSE()),0))</f>
        <v>0</v>
      </c>
      <c r="Y361" s="14" t="n">
        <f aca="false">IF(OR($A361="",$A361&gt;=Parameters!$B$14),1,IF(AND(X361&gt;0,CityData!F5&lt;=X361),1,0))</f>
        <v>1</v>
      </c>
      <c r="Z361" s="14" t="n">
        <f aca="false">IF($A361="",0,IFERROR(VLOOKUP((YEAR($A361)+IF(MONTH($A361)&gt;=10,1,0))&amp;"|Phoenix|"&amp;MONTH($A361),Rates!$A$2:$I$181,6,FALSE()),0))</f>
        <v>0</v>
      </c>
      <c r="AA361" s="14" t="n">
        <f aca="false">IF(Z361=0,0,VLOOKUP(Z361,MIE_Components!$A$2:$F$6,2,FALSE()))</f>
        <v>0</v>
      </c>
      <c r="AB361" s="14" t="n">
        <f aca="false">IF(Z361=0,0,VLOOKUP(Z361,MIE_Components!$A$2:$F$6,3,FALSE()))</f>
        <v>0</v>
      </c>
      <c r="AC361" s="14" t="n">
        <f aca="false">IF(Z361=0,0,VLOOKUP(Z361,MIE_Components!$A$2:$F$6,4,FALSE()))</f>
        <v>0</v>
      </c>
      <c r="AD361" s="14" t="n">
        <f aca="false">IF(OR($A361="",Z361=0),0,MAX(5,Z361*IF(OR($A361=Parameters!$B$13,$A361=Parameters!$B$14),0.75,1)-(IF(AND($A361=DATE(2026,11,29),NOV29BF="Yes"),AA361,0)+IF(OR($A361=DATE(2026,11,29),$A361=DATE(2026,11,30),$A361=DATE(2026,12,1),$A361=DATE(2026,12,2)),AB361,0)+IF(OR($A361=DATE(2026,11,28),$A361=DATE(2026,12,1)),AC361,0))))</f>
        <v>0</v>
      </c>
      <c r="AE361" s="14" t="n">
        <f aca="false">IF(AND($A361&lt;&gt;"",$A361&lt;Parameters!$B$14),CityData!F6*(1+TAXRATE),0)</f>
        <v>0</v>
      </c>
      <c r="AF361" s="14" t="n">
        <f aca="false">IF($A361="",0,IFERROR(VLOOKUP((YEAR($A361)+IF(MONTH($A361)&gt;=10,1,0))&amp;"|Phoenix|"&amp;MONTH($A361),Rates!$A$2:$I$181,5,FALSE()),0))</f>
        <v>0</v>
      </c>
      <c r="AG361" s="14" t="n">
        <f aca="false">IF(OR($A361="",$A361&gt;=Parameters!$B$14),1,IF(AND(AF361&gt;0,CityData!F6&lt;=AF361),1,0))</f>
        <v>1</v>
      </c>
      <c r="AH361" s="14" t="n">
        <f aca="false">IF($A361="",0,IFERROR(VLOOKUP((YEAR($A361)+IF(MONTH($A361)&gt;=10,1,0))&amp;"|Seattle|"&amp;MONTH($A361),Rates!$A$2:$I$181,6,FALSE()),0))</f>
        <v>0</v>
      </c>
      <c r="AI361" s="14" t="n">
        <f aca="false">IF(AH361=0,0,VLOOKUP(AH361,MIE_Components!$A$2:$F$6,2,FALSE()))</f>
        <v>0</v>
      </c>
      <c r="AJ361" s="14" t="n">
        <f aca="false">IF(AH361=0,0,VLOOKUP(AH361,MIE_Components!$A$2:$F$6,3,FALSE()))</f>
        <v>0</v>
      </c>
      <c r="AK361" s="14" t="n">
        <f aca="false">IF(AH361=0,0,VLOOKUP(AH361,MIE_Components!$A$2:$F$6,4,FALSE()))</f>
        <v>0</v>
      </c>
      <c r="AL361" s="14" t="n">
        <f aca="false">IF(OR($A361="",AH361=0),0,MAX(5,AH361*IF(OR($A361=Parameters!$B$13,$A361=Parameters!$B$14),0.75,1)-(IF(AND($A361=DATE(2026,11,29),NOV29BF="Yes"),AI361,0)+IF(OR($A361=DATE(2026,11,29),$A361=DATE(2026,11,30),$A361=DATE(2026,12,1),$A361=DATE(2026,12,2)),AJ361,0)+IF(OR($A361=DATE(2026,11,28),$A361=DATE(2026,12,1)),AK361,0))))</f>
        <v>0</v>
      </c>
      <c r="AM361" s="14" t="n">
        <f aca="false">IF(AND($A361&lt;&gt;"",$A361&lt;Parameters!$B$14),CityData!F7*(1+TAXRATE),0)</f>
        <v>0</v>
      </c>
      <c r="AN361" s="14" t="n">
        <f aca="false">IF($A361="",0,IFERROR(VLOOKUP((YEAR($A361)+IF(MONTH($A361)&gt;=10,1,0))&amp;"|Seattle|"&amp;MONTH($A361),Rates!$A$2:$I$181,5,FALSE()),0))</f>
        <v>0</v>
      </c>
      <c r="AO361" s="14" t="n">
        <f aca="false">IF(OR($A361="",$A361&gt;=Parameters!$B$14),1,IF(AND(AN361&gt;0,CityData!F7&lt;=AN361),1,0))</f>
        <v>1</v>
      </c>
    </row>
    <row r="362" customFormat="false" ht="15" hidden="false" customHeight="true" outlineLevel="0" collapsed="false">
      <c r="A362" s="23" t="str">
        <f aca="false">IF(AND(Parameters!$B$14&gt;=Parameters!$B$13,ROW()-2&lt;=Parameters!$B$14-Parameters!$B$13),Parameters!$B$13+ROW()-2,"")</f>
        <v/>
      </c>
      <c r="B362" s="14" t="n">
        <f aca="false">IF($A362="",0,IFERROR(VLOOKUP((YEAR($A362)+IF(MONTH($A362)&gt;=10,1,0))&amp;"|Boston|"&amp;MONTH($A362),Rates!$A$2:$I$181,6,FALSE()),0))</f>
        <v>0</v>
      </c>
      <c r="C362" s="14" t="n">
        <f aca="false">IF(B362=0,0,VLOOKUP(B362,MIE_Components!$A$2:$F$6,2,FALSE()))</f>
        <v>0</v>
      </c>
      <c r="D362" s="14" t="n">
        <f aca="false">IF(B362=0,0,VLOOKUP(B362,MIE_Components!$A$2:$F$6,3,FALSE()))</f>
        <v>0</v>
      </c>
      <c r="E362" s="14" t="n">
        <f aca="false">IF(B362=0,0,VLOOKUP(B362,MIE_Components!$A$2:$F$6,4,FALSE()))</f>
        <v>0</v>
      </c>
      <c r="F362" s="14" t="n">
        <f aca="false">IF(OR($A362="",B362=0),0,MAX(5,B362*IF(OR($A362=Parameters!$B$13,$A362=Parameters!$B$14),0.75,1)-(IF(AND($A362=DATE(2026,11,29),NOV29BF="Yes"),C362,0)+IF(OR($A362=DATE(2026,11,29),$A362=DATE(2026,11,30),$A362=DATE(2026,12,1),$A362=DATE(2026,12,2)),D362,0)+IF(OR($A362=DATE(2026,11,28),$A362=DATE(2026,12,1)),E362,0))))</f>
        <v>0</v>
      </c>
      <c r="G362" s="14" t="n">
        <f aca="false">IF(AND($A362&lt;&gt;"",$A362&lt;Parameters!$B$14),CityData!F3*(1+TAXRATE),0)</f>
        <v>0</v>
      </c>
      <c r="H362" s="14" t="n">
        <f aca="false">IF($A362="",0,IFERROR(VLOOKUP((YEAR($A362)+IF(MONTH($A362)&gt;=10,1,0))&amp;"|Boston|"&amp;MONTH($A362),Rates!$A$2:$I$181,5,FALSE()),0))</f>
        <v>0</v>
      </c>
      <c r="I362" s="14" t="n">
        <f aca="false">IF(OR($A362="",$A362&gt;=Parameters!$B$14),1,IF(AND(H362&gt;0,CityData!F3&lt;=H362),1,0))</f>
        <v>1</v>
      </c>
      <c r="J362" s="14" t="n">
        <f aca="false">IF($A362="",0,IFERROR(VLOOKUP((YEAR($A362)+IF(MONTH($A362)&gt;=10,1,0))&amp;"|Chicago|"&amp;MONTH($A362),Rates!$A$2:$I$181,6,FALSE()),0))</f>
        <v>0</v>
      </c>
      <c r="K362" s="14" t="n">
        <f aca="false">IF(J362=0,0,VLOOKUP(J362,MIE_Components!$A$2:$F$6,2,FALSE()))</f>
        <v>0</v>
      </c>
      <c r="L362" s="14" t="n">
        <f aca="false">IF(J362=0,0,VLOOKUP(J362,MIE_Components!$A$2:$F$6,3,FALSE()))</f>
        <v>0</v>
      </c>
      <c r="M362" s="14" t="n">
        <f aca="false">IF(J362=0,0,VLOOKUP(J362,MIE_Components!$A$2:$F$6,4,FALSE()))</f>
        <v>0</v>
      </c>
      <c r="N362" s="14" t="n">
        <f aca="false">IF(OR($A362="",J362=0),0,MAX(5,J362*IF(OR($A362=Parameters!$B$13,$A362=Parameters!$B$14),0.75,1)-(IF(AND($A362=DATE(2026,11,29),NOV29BF="Yes"),K362,0)+IF(OR($A362=DATE(2026,11,29),$A362=DATE(2026,11,30),$A362=DATE(2026,12,1),$A362=DATE(2026,12,2)),L362,0)+IF(OR($A362=DATE(2026,11,28),$A362=DATE(2026,12,1)),M362,0))))</f>
        <v>0</v>
      </c>
      <c r="O362" s="14" t="n">
        <f aca="false">IF(AND($A362&lt;&gt;"",$A362&lt;Parameters!$B$14),CityData!F4*(1+TAXRATE),0)</f>
        <v>0</v>
      </c>
      <c r="P362" s="14" t="n">
        <f aca="false">IF($A362="",0,IFERROR(VLOOKUP((YEAR($A362)+IF(MONTH($A362)&gt;=10,1,0))&amp;"|Chicago|"&amp;MONTH($A362),Rates!$A$2:$I$181,5,FALSE()),0))</f>
        <v>0</v>
      </c>
      <c r="Q362" s="14" t="n">
        <f aca="false">IF(OR($A362="",$A362&gt;=Parameters!$B$14),1,IF(AND(P362&gt;0,CityData!F4&lt;=P362),1,0))</f>
        <v>1</v>
      </c>
      <c r="R362" s="14" t="n">
        <f aca="false">IF($A362="",0,IFERROR(VLOOKUP((YEAR($A362)+IF(MONTH($A362)&gt;=10,1,0))&amp;"|Denver|"&amp;MONTH($A362),Rates!$A$2:$I$181,6,FALSE()),0))</f>
        <v>0</v>
      </c>
      <c r="S362" s="14" t="n">
        <f aca="false">IF(R362=0,0,VLOOKUP(R362,MIE_Components!$A$2:$F$6,2,FALSE()))</f>
        <v>0</v>
      </c>
      <c r="T362" s="14" t="n">
        <f aca="false">IF(R362=0,0,VLOOKUP(R362,MIE_Components!$A$2:$F$6,3,FALSE()))</f>
        <v>0</v>
      </c>
      <c r="U362" s="14" t="n">
        <f aca="false">IF(R362=0,0,VLOOKUP(R362,MIE_Components!$A$2:$F$6,4,FALSE()))</f>
        <v>0</v>
      </c>
      <c r="V362" s="14" t="n">
        <f aca="false">IF(OR($A362="",R362=0),0,MAX(5,R362*IF(OR($A362=Parameters!$B$13,$A362=Parameters!$B$14),0.75,1)-(IF(AND($A362=DATE(2026,11,29),NOV29BF="Yes"),S362,0)+IF(OR($A362=DATE(2026,11,29),$A362=DATE(2026,11,30),$A362=DATE(2026,12,1),$A362=DATE(2026,12,2)),T362,0)+IF(OR($A362=DATE(2026,11,28),$A362=DATE(2026,12,1)),U362,0))))</f>
        <v>0</v>
      </c>
      <c r="W362" s="14" t="n">
        <f aca="false">IF(AND($A362&lt;&gt;"",$A362&lt;Parameters!$B$14),CityData!F5*(1+TAXRATE),0)</f>
        <v>0</v>
      </c>
      <c r="X362" s="14" t="n">
        <f aca="false">IF($A362="",0,IFERROR(VLOOKUP((YEAR($A362)+IF(MONTH($A362)&gt;=10,1,0))&amp;"|Denver|"&amp;MONTH($A362),Rates!$A$2:$I$181,5,FALSE()),0))</f>
        <v>0</v>
      </c>
      <c r="Y362" s="14" t="n">
        <f aca="false">IF(OR($A362="",$A362&gt;=Parameters!$B$14),1,IF(AND(X362&gt;0,CityData!F5&lt;=X362),1,0))</f>
        <v>1</v>
      </c>
      <c r="Z362" s="14" t="n">
        <f aca="false">IF($A362="",0,IFERROR(VLOOKUP((YEAR($A362)+IF(MONTH($A362)&gt;=10,1,0))&amp;"|Phoenix|"&amp;MONTH($A362),Rates!$A$2:$I$181,6,FALSE()),0))</f>
        <v>0</v>
      </c>
      <c r="AA362" s="14" t="n">
        <f aca="false">IF(Z362=0,0,VLOOKUP(Z362,MIE_Components!$A$2:$F$6,2,FALSE()))</f>
        <v>0</v>
      </c>
      <c r="AB362" s="14" t="n">
        <f aca="false">IF(Z362=0,0,VLOOKUP(Z362,MIE_Components!$A$2:$F$6,3,FALSE()))</f>
        <v>0</v>
      </c>
      <c r="AC362" s="14" t="n">
        <f aca="false">IF(Z362=0,0,VLOOKUP(Z362,MIE_Components!$A$2:$F$6,4,FALSE()))</f>
        <v>0</v>
      </c>
      <c r="AD362" s="14" t="n">
        <f aca="false">IF(OR($A362="",Z362=0),0,MAX(5,Z362*IF(OR($A362=Parameters!$B$13,$A362=Parameters!$B$14),0.75,1)-(IF(AND($A362=DATE(2026,11,29),NOV29BF="Yes"),AA362,0)+IF(OR($A362=DATE(2026,11,29),$A362=DATE(2026,11,30),$A362=DATE(2026,12,1),$A362=DATE(2026,12,2)),AB362,0)+IF(OR($A362=DATE(2026,11,28),$A362=DATE(2026,12,1)),AC362,0))))</f>
        <v>0</v>
      </c>
      <c r="AE362" s="14" t="n">
        <f aca="false">IF(AND($A362&lt;&gt;"",$A362&lt;Parameters!$B$14),CityData!F6*(1+TAXRATE),0)</f>
        <v>0</v>
      </c>
      <c r="AF362" s="14" t="n">
        <f aca="false">IF($A362="",0,IFERROR(VLOOKUP((YEAR($A362)+IF(MONTH($A362)&gt;=10,1,0))&amp;"|Phoenix|"&amp;MONTH($A362),Rates!$A$2:$I$181,5,FALSE()),0))</f>
        <v>0</v>
      </c>
      <c r="AG362" s="14" t="n">
        <f aca="false">IF(OR($A362="",$A362&gt;=Parameters!$B$14),1,IF(AND(AF362&gt;0,CityData!F6&lt;=AF362),1,0))</f>
        <v>1</v>
      </c>
      <c r="AH362" s="14" t="n">
        <f aca="false">IF($A362="",0,IFERROR(VLOOKUP((YEAR($A362)+IF(MONTH($A362)&gt;=10,1,0))&amp;"|Seattle|"&amp;MONTH($A362),Rates!$A$2:$I$181,6,FALSE()),0))</f>
        <v>0</v>
      </c>
      <c r="AI362" s="14" t="n">
        <f aca="false">IF(AH362=0,0,VLOOKUP(AH362,MIE_Components!$A$2:$F$6,2,FALSE()))</f>
        <v>0</v>
      </c>
      <c r="AJ362" s="14" t="n">
        <f aca="false">IF(AH362=0,0,VLOOKUP(AH362,MIE_Components!$A$2:$F$6,3,FALSE()))</f>
        <v>0</v>
      </c>
      <c r="AK362" s="14" t="n">
        <f aca="false">IF(AH362=0,0,VLOOKUP(AH362,MIE_Components!$A$2:$F$6,4,FALSE()))</f>
        <v>0</v>
      </c>
      <c r="AL362" s="14" t="n">
        <f aca="false">IF(OR($A362="",AH362=0),0,MAX(5,AH362*IF(OR($A362=Parameters!$B$13,$A362=Parameters!$B$14),0.75,1)-(IF(AND($A362=DATE(2026,11,29),NOV29BF="Yes"),AI362,0)+IF(OR($A362=DATE(2026,11,29),$A362=DATE(2026,11,30),$A362=DATE(2026,12,1),$A362=DATE(2026,12,2)),AJ362,0)+IF(OR($A362=DATE(2026,11,28),$A362=DATE(2026,12,1)),AK362,0))))</f>
        <v>0</v>
      </c>
      <c r="AM362" s="14" t="n">
        <f aca="false">IF(AND($A362&lt;&gt;"",$A362&lt;Parameters!$B$14),CityData!F7*(1+TAXRATE),0)</f>
        <v>0</v>
      </c>
      <c r="AN362" s="14" t="n">
        <f aca="false">IF($A362="",0,IFERROR(VLOOKUP((YEAR($A362)+IF(MONTH($A362)&gt;=10,1,0))&amp;"|Seattle|"&amp;MONTH($A362),Rates!$A$2:$I$181,5,FALSE()),0))</f>
        <v>0</v>
      </c>
      <c r="AO362" s="14" t="n">
        <f aca="false">IF(OR($A362="",$A362&gt;=Parameters!$B$14),1,IF(AND(AN362&gt;0,CityData!F7&lt;=AN362),1,0))</f>
        <v>1</v>
      </c>
    </row>
    <row r="363" customFormat="false" ht="15" hidden="false" customHeight="true" outlineLevel="0" collapsed="false">
      <c r="A363" s="23" t="str">
        <f aca="false">IF(AND(Parameters!$B$14&gt;=Parameters!$B$13,ROW()-2&lt;=Parameters!$B$14-Parameters!$B$13),Parameters!$B$13+ROW()-2,"")</f>
        <v/>
      </c>
      <c r="B363" s="14" t="n">
        <f aca="false">IF($A363="",0,IFERROR(VLOOKUP((YEAR($A363)+IF(MONTH($A363)&gt;=10,1,0))&amp;"|Boston|"&amp;MONTH($A363),Rates!$A$2:$I$181,6,FALSE()),0))</f>
        <v>0</v>
      </c>
      <c r="C363" s="14" t="n">
        <f aca="false">IF(B363=0,0,VLOOKUP(B363,MIE_Components!$A$2:$F$6,2,FALSE()))</f>
        <v>0</v>
      </c>
      <c r="D363" s="14" t="n">
        <f aca="false">IF(B363=0,0,VLOOKUP(B363,MIE_Components!$A$2:$F$6,3,FALSE()))</f>
        <v>0</v>
      </c>
      <c r="E363" s="14" t="n">
        <f aca="false">IF(B363=0,0,VLOOKUP(B363,MIE_Components!$A$2:$F$6,4,FALSE()))</f>
        <v>0</v>
      </c>
      <c r="F363" s="14" t="n">
        <f aca="false">IF(OR($A363="",B363=0),0,MAX(5,B363*IF(OR($A363=Parameters!$B$13,$A363=Parameters!$B$14),0.75,1)-(IF(AND($A363=DATE(2026,11,29),NOV29BF="Yes"),C363,0)+IF(OR($A363=DATE(2026,11,29),$A363=DATE(2026,11,30),$A363=DATE(2026,12,1),$A363=DATE(2026,12,2)),D363,0)+IF(OR($A363=DATE(2026,11,28),$A363=DATE(2026,12,1)),E363,0))))</f>
        <v>0</v>
      </c>
      <c r="G363" s="14" t="n">
        <f aca="false">IF(AND($A363&lt;&gt;"",$A363&lt;Parameters!$B$14),CityData!F3*(1+TAXRATE),0)</f>
        <v>0</v>
      </c>
      <c r="H363" s="14" t="n">
        <f aca="false">IF($A363="",0,IFERROR(VLOOKUP((YEAR($A363)+IF(MONTH($A363)&gt;=10,1,0))&amp;"|Boston|"&amp;MONTH($A363),Rates!$A$2:$I$181,5,FALSE()),0))</f>
        <v>0</v>
      </c>
      <c r="I363" s="14" t="n">
        <f aca="false">IF(OR($A363="",$A363&gt;=Parameters!$B$14),1,IF(AND(H363&gt;0,CityData!F3&lt;=H363),1,0))</f>
        <v>1</v>
      </c>
      <c r="J363" s="14" t="n">
        <f aca="false">IF($A363="",0,IFERROR(VLOOKUP((YEAR($A363)+IF(MONTH($A363)&gt;=10,1,0))&amp;"|Chicago|"&amp;MONTH($A363),Rates!$A$2:$I$181,6,FALSE()),0))</f>
        <v>0</v>
      </c>
      <c r="K363" s="14" t="n">
        <f aca="false">IF(J363=0,0,VLOOKUP(J363,MIE_Components!$A$2:$F$6,2,FALSE()))</f>
        <v>0</v>
      </c>
      <c r="L363" s="14" t="n">
        <f aca="false">IF(J363=0,0,VLOOKUP(J363,MIE_Components!$A$2:$F$6,3,FALSE()))</f>
        <v>0</v>
      </c>
      <c r="M363" s="14" t="n">
        <f aca="false">IF(J363=0,0,VLOOKUP(J363,MIE_Components!$A$2:$F$6,4,FALSE()))</f>
        <v>0</v>
      </c>
      <c r="N363" s="14" t="n">
        <f aca="false">IF(OR($A363="",J363=0),0,MAX(5,J363*IF(OR($A363=Parameters!$B$13,$A363=Parameters!$B$14),0.75,1)-(IF(AND($A363=DATE(2026,11,29),NOV29BF="Yes"),K363,0)+IF(OR($A363=DATE(2026,11,29),$A363=DATE(2026,11,30),$A363=DATE(2026,12,1),$A363=DATE(2026,12,2)),L363,0)+IF(OR($A363=DATE(2026,11,28),$A363=DATE(2026,12,1)),M363,0))))</f>
        <v>0</v>
      </c>
      <c r="O363" s="14" t="n">
        <f aca="false">IF(AND($A363&lt;&gt;"",$A363&lt;Parameters!$B$14),CityData!F4*(1+TAXRATE),0)</f>
        <v>0</v>
      </c>
      <c r="P363" s="14" t="n">
        <f aca="false">IF($A363="",0,IFERROR(VLOOKUP((YEAR($A363)+IF(MONTH($A363)&gt;=10,1,0))&amp;"|Chicago|"&amp;MONTH($A363),Rates!$A$2:$I$181,5,FALSE()),0))</f>
        <v>0</v>
      </c>
      <c r="Q363" s="14" t="n">
        <f aca="false">IF(OR($A363="",$A363&gt;=Parameters!$B$14),1,IF(AND(P363&gt;0,CityData!F4&lt;=P363),1,0))</f>
        <v>1</v>
      </c>
      <c r="R363" s="14" t="n">
        <f aca="false">IF($A363="",0,IFERROR(VLOOKUP((YEAR($A363)+IF(MONTH($A363)&gt;=10,1,0))&amp;"|Denver|"&amp;MONTH($A363),Rates!$A$2:$I$181,6,FALSE()),0))</f>
        <v>0</v>
      </c>
      <c r="S363" s="14" t="n">
        <f aca="false">IF(R363=0,0,VLOOKUP(R363,MIE_Components!$A$2:$F$6,2,FALSE()))</f>
        <v>0</v>
      </c>
      <c r="T363" s="14" t="n">
        <f aca="false">IF(R363=0,0,VLOOKUP(R363,MIE_Components!$A$2:$F$6,3,FALSE()))</f>
        <v>0</v>
      </c>
      <c r="U363" s="14" t="n">
        <f aca="false">IF(R363=0,0,VLOOKUP(R363,MIE_Components!$A$2:$F$6,4,FALSE()))</f>
        <v>0</v>
      </c>
      <c r="V363" s="14" t="n">
        <f aca="false">IF(OR($A363="",R363=0),0,MAX(5,R363*IF(OR($A363=Parameters!$B$13,$A363=Parameters!$B$14),0.75,1)-(IF(AND($A363=DATE(2026,11,29),NOV29BF="Yes"),S363,0)+IF(OR($A363=DATE(2026,11,29),$A363=DATE(2026,11,30),$A363=DATE(2026,12,1),$A363=DATE(2026,12,2)),T363,0)+IF(OR($A363=DATE(2026,11,28),$A363=DATE(2026,12,1)),U363,0))))</f>
        <v>0</v>
      </c>
      <c r="W363" s="14" t="n">
        <f aca="false">IF(AND($A363&lt;&gt;"",$A363&lt;Parameters!$B$14),CityData!F5*(1+TAXRATE),0)</f>
        <v>0</v>
      </c>
      <c r="X363" s="14" t="n">
        <f aca="false">IF($A363="",0,IFERROR(VLOOKUP((YEAR($A363)+IF(MONTH($A363)&gt;=10,1,0))&amp;"|Denver|"&amp;MONTH($A363),Rates!$A$2:$I$181,5,FALSE()),0))</f>
        <v>0</v>
      </c>
      <c r="Y363" s="14" t="n">
        <f aca="false">IF(OR($A363="",$A363&gt;=Parameters!$B$14),1,IF(AND(X363&gt;0,CityData!F5&lt;=X363),1,0))</f>
        <v>1</v>
      </c>
      <c r="Z363" s="14" t="n">
        <f aca="false">IF($A363="",0,IFERROR(VLOOKUP((YEAR($A363)+IF(MONTH($A363)&gt;=10,1,0))&amp;"|Phoenix|"&amp;MONTH($A363),Rates!$A$2:$I$181,6,FALSE()),0))</f>
        <v>0</v>
      </c>
      <c r="AA363" s="14" t="n">
        <f aca="false">IF(Z363=0,0,VLOOKUP(Z363,MIE_Components!$A$2:$F$6,2,FALSE()))</f>
        <v>0</v>
      </c>
      <c r="AB363" s="14" t="n">
        <f aca="false">IF(Z363=0,0,VLOOKUP(Z363,MIE_Components!$A$2:$F$6,3,FALSE()))</f>
        <v>0</v>
      </c>
      <c r="AC363" s="14" t="n">
        <f aca="false">IF(Z363=0,0,VLOOKUP(Z363,MIE_Components!$A$2:$F$6,4,FALSE()))</f>
        <v>0</v>
      </c>
      <c r="AD363" s="14" t="n">
        <f aca="false">IF(OR($A363="",Z363=0),0,MAX(5,Z363*IF(OR($A363=Parameters!$B$13,$A363=Parameters!$B$14),0.75,1)-(IF(AND($A363=DATE(2026,11,29),NOV29BF="Yes"),AA363,0)+IF(OR($A363=DATE(2026,11,29),$A363=DATE(2026,11,30),$A363=DATE(2026,12,1),$A363=DATE(2026,12,2)),AB363,0)+IF(OR($A363=DATE(2026,11,28),$A363=DATE(2026,12,1)),AC363,0))))</f>
        <v>0</v>
      </c>
      <c r="AE363" s="14" t="n">
        <f aca="false">IF(AND($A363&lt;&gt;"",$A363&lt;Parameters!$B$14),CityData!F6*(1+TAXRATE),0)</f>
        <v>0</v>
      </c>
      <c r="AF363" s="14" t="n">
        <f aca="false">IF($A363="",0,IFERROR(VLOOKUP((YEAR($A363)+IF(MONTH($A363)&gt;=10,1,0))&amp;"|Phoenix|"&amp;MONTH($A363),Rates!$A$2:$I$181,5,FALSE()),0))</f>
        <v>0</v>
      </c>
      <c r="AG363" s="14" t="n">
        <f aca="false">IF(OR($A363="",$A363&gt;=Parameters!$B$14),1,IF(AND(AF363&gt;0,CityData!F6&lt;=AF363),1,0))</f>
        <v>1</v>
      </c>
      <c r="AH363" s="14" t="n">
        <f aca="false">IF($A363="",0,IFERROR(VLOOKUP((YEAR($A363)+IF(MONTH($A363)&gt;=10,1,0))&amp;"|Seattle|"&amp;MONTH($A363),Rates!$A$2:$I$181,6,FALSE()),0))</f>
        <v>0</v>
      </c>
      <c r="AI363" s="14" t="n">
        <f aca="false">IF(AH363=0,0,VLOOKUP(AH363,MIE_Components!$A$2:$F$6,2,FALSE()))</f>
        <v>0</v>
      </c>
      <c r="AJ363" s="14" t="n">
        <f aca="false">IF(AH363=0,0,VLOOKUP(AH363,MIE_Components!$A$2:$F$6,3,FALSE()))</f>
        <v>0</v>
      </c>
      <c r="AK363" s="14" t="n">
        <f aca="false">IF(AH363=0,0,VLOOKUP(AH363,MIE_Components!$A$2:$F$6,4,FALSE()))</f>
        <v>0</v>
      </c>
      <c r="AL363" s="14" t="n">
        <f aca="false">IF(OR($A363="",AH363=0),0,MAX(5,AH363*IF(OR($A363=Parameters!$B$13,$A363=Parameters!$B$14),0.75,1)-(IF(AND($A363=DATE(2026,11,29),NOV29BF="Yes"),AI363,0)+IF(OR($A363=DATE(2026,11,29),$A363=DATE(2026,11,30),$A363=DATE(2026,12,1),$A363=DATE(2026,12,2)),AJ363,0)+IF(OR($A363=DATE(2026,11,28),$A363=DATE(2026,12,1)),AK363,0))))</f>
        <v>0</v>
      </c>
      <c r="AM363" s="14" t="n">
        <f aca="false">IF(AND($A363&lt;&gt;"",$A363&lt;Parameters!$B$14),CityData!F7*(1+TAXRATE),0)</f>
        <v>0</v>
      </c>
      <c r="AN363" s="14" t="n">
        <f aca="false">IF($A363="",0,IFERROR(VLOOKUP((YEAR($A363)+IF(MONTH($A363)&gt;=10,1,0))&amp;"|Seattle|"&amp;MONTH($A363),Rates!$A$2:$I$181,5,FALSE()),0))</f>
        <v>0</v>
      </c>
      <c r="AO363" s="14" t="n">
        <f aca="false">IF(OR($A363="",$A363&gt;=Parameters!$B$14),1,IF(AND(AN363&gt;0,CityData!F7&lt;=AN363),1,0))</f>
        <v>1</v>
      </c>
    </row>
    <row r="364" customFormat="false" ht="15" hidden="false" customHeight="true" outlineLevel="0" collapsed="false">
      <c r="A364" s="23" t="str">
        <f aca="false">IF(AND(Parameters!$B$14&gt;=Parameters!$B$13,ROW()-2&lt;=Parameters!$B$14-Parameters!$B$13),Parameters!$B$13+ROW()-2,"")</f>
        <v/>
      </c>
      <c r="B364" s="14" t="n">
        <f aca="false">IF($A364="",0,IFERROR(VLOOKUP((YEAR($A364)+IF(MONTH($A364)&gt;=10,1,0))&amp;"|Boston|"&amp;MONTH($A364),Rates!$A$2:$I$181,6,FALSE()),0))</f>
        <v>0</v>
      </c>
      <c r="C364" s="14" t="n">
        <f aca="false">IF(B364=0,0,VLOOKUP(B364,MIE_Components!$A$2:$F$6,2,FALSE()))</f>
        <v>0</v>
      </c>
      <c r="D364" s="14" t="n">
        <f aca="false">IF(B364=0,0,VLOOKUP(B364,MIE_Components!$A$2:$F$6,3,FALSE()))</f>
        <v>0</v>
      </c>
      <c r="E364" s="14" t="n">
        <f aca="false">IF(B364=0,0,VLOOKUP(B364,MIE_Components!$A$2:$F$6,4,FALSE()))</f>
        <v>0</v>
      </c>
      <c r="F364" s="14" t="n">
        <f aca="false">IF(OR($A364="",B364=0),0,MAX(5,B364*IF(OR($A364=Parameters!$B$13,$A364=Parameters!$B$14),0.75,1)-(IF(AND($A364=DATE(2026,11,29),NOV29BF="Yes"),C364,0)+IF(OR($A364=DATE(2026,11,29),$A364=DATE(2026,11,30),$A364=DATE(2026,12,1),$A364=DATE(2026,12,2)),D364,0)+IF(OR($A364=DATE(2026,11,28),$A364=DATE(2026,12,1)),E364,0))))</f>
        <v>0</v>
      </c>
      <c r="G364" s="14" t="n">
        <f aca="false">IF(AND($A364&lt;&gt;"",$A364&lt;Parameters!$B$14),CityData!F3*(1+TAXRATE),0)</f>
        <v>0</v>
      </c>
      <c r="H364" s="14" t="n">
        <f aca="false">IF($A364="",0,IFERROR(VLOOKUP((YEAR($A364)+IF(MONTH($A364)&gt;=10,1,0))&amp;"|Boston|"&amp;MONTH($A364),Rates!$A$2:$I$181,5,FALSE()),0))</f>
        <v>0</v>
      </c>
      <c r="I364" s="14" t="n">
        <f aca="false">IF(OR($A364="",$A364&gt;=Parameters!$B$14),1,IF(AND(H364&gt;0,CityData!F3&lt;=H364),1,0))</f>
        <v>1</v>
      </c>
      <c r="J364" s="14" t="n">
        <f aca="false">IF($A364="",0,IFERROR(VLOOKUP((YEAR($A364)+IF(MONTH($A364)&gt;=10,1,0))&amp;"|Chicago|"&amp;MONTH($A364),Rates!$A$2:$I$181,6,FALSE()),0))</f>
        <v>0</v>
      </c>
      <c r="K364" s="14" t="n">
        <f aca="false">IF(J364=0,0,VLOOKUP(J364,MIE_Components!$A$2:$F$6,2,FALSE()))</f>
        <v>0</v>
      </c>
      <c r="L364" s="14" t="n">
        <f aca="false">IF(J364=0,0,VLOOKUP(J364,MIE_Components!$A$2:$F$6,3,FALSE()))</f>
        <v>0</v>
      </c>
      <c r="M364" s="14" t="n">
        <f aca="false">IF(J364=0,0,VLOOKUP(J364,MIE_Components!$A$2:$F$6,4,FALSE()))</f>
        <v>0</v>
      </c>
      <c r="N364" s="14" t="n">
        <f aca="false">IF(OR($A364="",J364=0),0,MAX(5,J364*IF(OR($A364=Parameters!$B$13,$A364=Parameters!$B$14),0.75,1)-(IF(AND($A364=DATE(2026,11,29),NOV29BF="Yes"),K364,0)+IF(OR($A364=DATE(2026,11,29),$A364=DATE(2026,11,30),$A364=DATE(2026,12,1),$A364=DATE(2026,12,2)),L364,0)+IF(OR($A364=DATE(2026,11,28),$A364=DATE(2026,12,1)),M364,0))))</f>
        <v>0</v>
      </c>
      <c r="O364" s="14" t="n">
        <f aca="false">IF(AND($A364&lt;&gt;"",$A364&lt;Parameters!$B$14),CityData!F4*(1+TAXRATE),0)</f>
        <v>0</v>
      </c>
      <c r="P364" s="14" t="n">
        <f aca="false">IF($A364="",0,IFERROR(VLOOKUP((YEAR($A364)+IF(MONTH($A364)&gt;=10,1,0))&amp;"|Chicago|"&amp;MONTH($A364),Rates!$A$2:$I$181,5,FALSE()),0))</f>
        <v>0</v>
      </c>
      <c r="Q364" s="14" t="n">
        <f aca="false">IF(OR($A364="",$A364&gt;=Parameters!$B$14),1,IF(AND(P364&gt;0,CityData!F4&lt;=P364),1,0))</f>
        <v>1</v>
      </c>
      <c r="R364" s="14" t="n">
        <f aca="false">IF($A364="",0,IFERROR(VLOOKUP((YEAR($A364)+IF(MONTH($A364)&gt;=10,1,0))&amp;"|Denver|"&amp;MONTH($A364),Rates!$A$2:$I$181,6,FALSE()),0))</f>
        <v>0</v>
      </c>
      <c r="S364" s="14" t="n">
        <f aca="false">IF(R364=0,0,VLOOKUP(R364,MIE_Components!$A$2:$F$6,2,FALSE()))</f>
        <v>0</v>
      </c>
      <c r="T364" s="14" t="n">
        <f aca="false">IF(R364=0,0,VLOOKUP(R364,MIE_Components!$A$2:$F$6,3,FALSE()))</f>
        <v>0</v>
      </c>
      <c r="U364" s="14" t="n">
        <f aca="false">IF(R364=0,0,VLOOKUP(R364,MIE_Components!$A$2:$F$6,4,FALSE()))</f>
        <v>0</v>
      </c>
      <c r="V364" s="14" t="n">
        <f aca="false">IF(OR($A364="",R364=0),0,MAX(5,R364*IF(OR($A364=Parameters!$B$13,$A364=Parameters!$B$14),0.75,1)-(IF(AND($A364=DATE(2026,11,29),NOV29BF="Yes"),S364,0)+IF(OR($A364=DATE(2026,11,29),$A364=DATE(2026,11,30),$A364=DATE(2026,12,1),$A364=DATE(2026,12,2)),T364,0)+IF(OR($A364=DATE(2026,11,28),$A364=DATE(2026,12,1)),U364,0))))</f>
        <v>0</v>
      </c>
      <c r="W364" s="14" t="n">
        <f aca="false">IF(AND($A364&lt;&gt;"",$A364&lt;Parameters!$B$14),CityData!F5*(1+TAXRATE),0)</f>
        <v>0</v>
      </c>
      <c r="X364" s="14" t="n">
        <f aca="false">IF($A364="",0,IFERROR(VLOOKUP((YEAR($A364)+IF(MONTH($A364)&gt;=10,1,0))&amp;"|Denver|"&amp;MONTH($A364),Rates!$A$2:$I$181,5,FALSE()),0))</f>
        <v>0</v>
      </c>
      <c r="Y364" s="14" t="n">
        <f aca="false">IF(OR($A364="",$A364&gt;=Parameters!$B$14),1,IF(AND(X364&gt;0,CityData!F5&lt;=X364),1,0))</f>
        <v>1</v>
      </c>
      <c r="Z364" s="14" t="n">
        <f aca="false">IF($A364="",0,IFERROR(VLOOKUP((YEAR($A364)+IF(MONTH($A364)&gt;=10,1,0))&amp;"|Phoenix|"&amp;MONTH($A364),Rates!$A$2:$I$181,6,FALSE()),0))</f>
        <v>0</v>
      </c>
      <c r="AA364" s="14" t="n">
        <f aca="false">IF(Z364=0,0,VLOOKUP(Z364,MIE_Components!$A$2:$F$6,2,FALSE()))</f>
        <v>0</v>
      </c>
      <c r="AB364" s="14" t="n">
        <f aca="false">IF(Z364=0,0,VLOOKUP(Z364,MIE_Components!$A$2:$F$6,3,FALSE()))</f>
        <v>0</v>
      </c>
      <c r="AC364" s="14" t="n">
        <f aca="false">IF(Z364=0,0,VLOOKUP(Z364,MIE_Components!$A$2:$F$6,4,FALSE()))</f>
        <v>0</v>
      </c>
      <c r="AD364" s="14" t="n">
        <f aca="false">IF(OR($A364="",Z364=0),0,MAX(5,Z364*IF(OR($A364=Parameters!$B$13,$A364=Parameters!$B$14),0.75,1)-(IF(AND($A364=DATE(2026,11,29),NOV29BF="Yes"),AA364,0)+IF(OR($A364=DATE(2026,11,29),$A364=DATE(2026,11,30),$A364=DATE(2026,12,1),$A364=DATE(2026,12,2)),AB364,0)+IF(OR($A364=DATE(2026,11,28),$A364=DATE(2026,12,1)),AC364,0))))</f>
        <v>0</v>
      </c>
      <c r="AE364" s="14" t="n">
        <f aca="false">IF(AND($A364&lt;&gt;"",$A364&lt;Parameters!$B$14),CityData!F6*(1+TAXRATE),0)</f>
        <v>0</v>
      </c>
      <c r="AF364" s="14" t="n">
        <f aca="false">IF($A364="",0,IFERROR(VLOOKUP((YEAR($A364)+IF(MONTH($A364)&gt;=10,1,0))&amp;"|Phoenix|"&amp;MONTH($A364),Rates!$A$2:$I$181,5,FALSE()),0))</f>
        <v>0</v>
      </c>
      <c r="AG364" s="14" t="n">
        <f aca="false">IF(OR($A364="",$A364&gt;=Parameters!$B$14),1,IF(AND(AF364&gt;0,CityData!F6&lt;=AF364),1,0))</f>
        <v>1</v>
      </c>
      <c r="AH364" s="14" t="n">
        <f aca="false">IF($A364="",0,IFERROR(VLOOKUP((YEAR($A364)+IF(MONTH($A364)&gt;=10,1,0))&amp;"|Seattle|"&amp;MONTH($A364),Rates!$A$2:$I$181,6,FALSE()),0))</f>
        <v>0</v>
      </c>
      <c r="AI364" s="14" t="n">
        <f aca="false">IF(AH364=0,0,VLOOKUP(AH364,MIE_Components!$A$2:$F$6,2,FALSE()))</f>
        <v>0</v>
      </c>
      <c r="AJ364" s="14" t="n">
        <f aca="false">IF(AH364=0,0,VLOOKUP(AH364,MIE_Components!$A$2:$F$6,3,FALSE()))</f>
        <v>0</v>
      </c>
      <c r="AK364" s="14" t="n">
        <f aca="false">IF(AH364=0,0,VLOOKUP(AH364,MIE_Components!$A$2:$F$6,4,FALSE()))</f>
        <v>0</v>
      </c>
      <c r="AL364" s="14" t="n">
        <f aca="false">IF(OR($A364="",AH364=0),0,MAX(5,AH364*IF(OR($A364=Parameters!$B$13,$A364=Parameters!$B$14),0.75,1)-(IF(AND($A364=DATE(2026,11,29),NOV29BF="Yes"),AI364,0)+IF(OR($A364=DATE(2026,11,29),$A364=DATE(2026,11,30),$A364=DATE(2026,12,1),$A364=DATE(2026,12,2)),AJ364,0)+IF(OR($A364=DATE(2026,11,28),$A364=DATE(2026,12,1)),AK364,0))))</f>
        <v>0</v>
      </c>
      <c r="AM364" s="14" t="n">
        <f aca="false">IF(AND($A364&lt;&gt;"",$A364&lt;Parameters!$B$14),CityData!F7*(1+TAXRATE),0)</f>
        <v>0</v>
      </c>
      <c r="AN364" s="14" t="n">
        <f aca="false">IF($A364="",0,IFERROR(VLOOKUP((YEAR($A364)+IF(MONTH($A364)&gt;=10,1,0))&amp;"|Seattle|"&amp;MONTH($A364),Rates!$A$2:$I$181,5,FALSE()),0))</f>
        <v>0</v>
      </c>
      <c r="AO364" s="14" t="n">
        <f aca="false">IF(OR($A364="",$A364&gt;=Parameters!$B$14),1,IF(AND(AN364&gt;0,CityData!F7&lt;=AN364),1,0))</f>
        <v>1</v>
      </c>
    </row>
    <row r="365" customFormat="false" ht="15" hidden="false" customHeight="true" outlineLevel="0" collapsed="false">
      <c r="A365" s="23" t="str">
        <f aca="false">IF(AND(Parameters!$B$14&gt;=Parameters!$B$13,ROW()-2&lt;=Parameters!$B$14-Parameters!$B$13),Parameters!$B$13+ROW()-2,"")</f>
        <v/>
      </c>
      <c r="B365" s="14" t="n">
        <f aca="false">IF($A365="",0,IFERROR(VLOOKUP((YEAR($A365)+IF(MONTH($A365)&gt;=10,1,0))&amp;"|Boston|"&amp;MONTH($A365),Rates!$A$2:$I$181,6,FALSE()),0))</f>
        <v>0</v>
      </c>
      <c r="C365" s="14" t="n">
        <f aca="false">IF(B365=0,0,VLOOKUP(B365,MIE_Components!$A$2:$F$6,2,FALSE()))</f>
        <v>0</v>
      </c>
      <c r="D365" s="14" t="n">
        <f aca="false">IF(B365=0,0,VLOOKUP(B365,MIE_Components!$A$2:$F$6,3,FALSE()))</f>
        <v>0</v>
      </c>
      <c r="E365" s="14" t="n">
        <f aca="false">IF(B365=0,0,VLOOKUP(B365,MIE_Components!$A$2:$F$6,4,FALSE()))</f>
        <v>0</v>
      </c>
      <c r="F365" s="14" t="n">
        <f aca="false">IF(OR($A365="",B365=0),0,MAX(5,B365*IF(OR($A365=Parameters!$B$13,$A365=Parameters!$B$14),0.75,1)-(IF(AND($A365=DATE(2026,11,29),NOV29BF="Yes"),C365,0)+IF(OR($A365=DATE(2026,11,29),$A365=DATE(2026,11,30),$A365=DATE(2026,12,1),$A365=DATE(2026,12,2)),D365,0)+IF(OR($A365=DATE(2026,11,28),$A365=DATE(2026,12,1)),E365,0))))</f>
        <v>0</v>
      </c>
      <c r="G365" s="14" t="n">
        <f aca="false">IF(AND($A365&lt;&gt;"",$A365&lt;Parameters!$B$14),CityData!F3*(1+TAXRATE),0)</f>
        <v>0</v>
      </c>
      <c r="H365" s="14" t="n">
        <f aca="false">IF($A365="",0,IFERROR(VLOOKUP((YEAR($A365)+IF(MONTH($A365)&gt;=10,1,0))&amp;"|Boston|"&amp;MONTH($A365),Rates!$A$2:$I$181,5,FALSE()),0))</f>
        <v>0</v>
      </c>
      <c r="I365" s="14" t="n">
        <f aca="false">IF(OR($A365="",$A365&gt;=Parameters!$B$14),1,IF(AND(H365&gt;0,CityData!F3&lt;=H365),1,0))</f>
        <v>1</v>
      </c>
      <c r="J365" s="14" t="n">
        <f aca="false">IF($A365="",0,IFERROR(VLOOKUP((YEAR($A365)+IF(MONTH($A365)&gt;=10,1,0))&amp;"|Chicago|"&amp;MONTH($A365),Rates!$A$2:$I$181,6,FALSE()),0))</f>
        <v>0</v>
      </c>
      <c r="K365" s="14" t="n">
        <f aca="false">IF(J365=0,0,VLOOKUP(J365,MIE_Components!$A$2:$F$6,2,FALSE()))</f>
        <v>0</v>
      </c>
      <c r="L365" s="14" t="n">
        <f aca="false">IF(J365=0,0,VLOOKUP(J365,MIE_Components!$A$2:$F$6,3,FALSE()))</f>
        <v>0</v>
      </c>
      <c r="M365" s="14" t="n">
        <f aca="false">IF(J365=0,0,VLOOKUP(J365,MIE_Components!$A$2:$F$6,4,FALSE()))</f>
        <v>0</v>
      </c>
      <c r="N365" s="14" t="n">
        <f aca="false">IF(OR($A365="",J365=0),0,MAX(5,J365*IF(OR($A365=Parameters!$B$13,$A365=Parameters!$B$14),0.75,1)-(IF(AND($A365=DATE(2026,11,29),NOV29BF="Yes"),K365,0)+IF(OR($A365=DATE(2026,11,29),$A365=DATE(2026,11,30),$A365=DATE(2026,12,1),$A365=DATE(2026,12,2)),L365,0)+IF(OR($A365=DATE(2026,11,28),$A365=DATE(2026,12,1)),M365,0))))</f>
        <v>0</v>
      </c>
      <c r="O365" s="14" t="n">
        <f aca="false">IF(AND($A365&lt;&gt;"",$A365&lt;Parameters!$B$14),CityData!F4*(1+TAXRATE),0)</f>
        <v>0</v>
      </c>
      <c r="P365" s="14" t="n">
        <f aca="false">IF($A365="",0,IFERROR(VLOOKUP((YEAR($A365)+IF(MONTH($A365)&gt;=10,1,0))&amp;"|Chicago|"&amp;MONTH($A365),Rates!$A$2:$I$181,5,FALSE()),0))</f>
        <v>0</v>
      </c>
      <c r="Q365" s="14" t="n">
        <f aca="false">IF(OR($A365="",$A365&gt;=Parameters!$B$14),1,IF(AND(P365&gt;0,CityData!F4&lt;=P365),1,0))</f>
        <v>1</v>
      </c>
      <c r="R365" s="14" t="n">
        <f aca="false">IF($A365="",0,IFERROR(VLOOKUP((YEAR($A365)+IF(MONTH($A365)&gt;=10,1,0))&amp;"|Denver|"&amp;MONTH($A365),Rates!$A$2:$I$181,6,FALSE()),0))</f>
        <v>0</v>
      </c>
      <c r="S365" s="14" t="n">
        <f aca="false">IF(R365=0,0,VLOOKUP(R365,MIE_Components!$A$2:$F$6,2,FALSE()))</f>
        <v>0</v>
      </c>
      <c r="T365" s="14" t="n">
        <f aca="false">IF(R365=0,0,VLOOKUP(R365,MIE_Components!$A$2:$F$6,3,FALSE()))</f>
        <v>0</v>
      </c>
      <c r="U365" s="14" t="n">
        <f aca="false">IF(R365=0,0,VLOOKUP(R365,MIE_Components!$A$2:$F$6,4,FALSE()))</f>
        <v>0</v>
      </c>
      <c r="V365" s="14" t="n">
        <f aca="false">IF(OR($A365="",R365=0),0,MAX(5,R365*IF(OR($A365=Parameters!$B$13,$A365=Parameters!$B$14),0.75,1)-(IF(AND($A365=DATE(2026,11,29),NOV29BF="Yes"),S365,0)+IF(OR($A365=DATE(2026,11,29),$A365=DATE(2026,11,30),$A365=DATE(2026,12,1),$A365=DATE(2026,12,2)),T365,0)+IF(OR($A365=DATE(2026,11,28),$A365=DATE(2026,12,1)),U365,0))))</f>
        <v>0</v>
      </c>
      <c r="W365" s="14" t="n">
        <f aca="false">IF(AND($A365&lt;&gt;"",$A365&lt;Parameters!$B$14),CityData!F5*(1+TAXRATE),0)</f>
        <v>0</v>
      </c>
      <c r="X365" s="14" t="n">
        <f aca="false">IF($A365="",0,IFERROR(VLOOKUP((YEAR($A365)+IF(MONTH($A365)&gt;=10,1,0))&amp;"|Denver|"&amp;MONTH($A365),Rates!$A$2:$I$181,5,FALSE()),0))</f>
        <v>0</v>
      </c>
      <c r="Y365" s="14" t="n">
        <f aca="false">IF(OR($A365="",$A365&gt;=Parameters!$B$14),1,IF(AND(X365&gt;0,CityData!F5&lt;=X365),1,0))</f>
        <v>1</v>
      </c>
      <c r="Z365" s="14" t="n">
        <f aca="false">IF($A365="",0,IFERROR(VLOOKUP((YEAR($A365)+IF(MONTH($A365)&gt;=10,1,0))&amp;"|Phoenix|"&amp;MONTH($A365),Rates!$A$2:$I$181,6,FALSE()),0))</f>
        <v>0</v>
      </c>
      <c r="AA365" s="14" t="n">
        <f aca="false">IF(Z365=0,0,VLOOKUP(Z365,MIE_Components!$A$2:$F$6,2,FALSE()))</f>
        <v>0</v>
      </c>
      <c r="AB365" s="14" t="n">
        <f aca="false">IF(Z365=0,0,VLOOKUP(Z365,MIE_Components!$A$2:$F$6,3,FALSE()))</f>
        <v>0</v>
      </c>
      <c r="AC365" s="14" t="n">
        <f aca="false">IF(Z365=0,0,VLOOKUP(Z365,MIE_Components!$A$2:$F$6,4,FALSE()))</f>
        <v>0</v>
      </c>
      <c r="AD365" s="14" t="n">
        <f aca="false">IF(OR($A365="",Z365=0),0,MAX(5,Z365*IF(OR($A365=Parameters!$B$13,$A365=Parameters!$B$14),0.75,1)-(IF(AND($A365=DATE(2026,11,29),NOV29BF="Yes"),AA365,0)+IF(OR($A365=DATE(2026,11,29),$A365=DATE(2026,11,30),$A365=DATE(2026,12,1),$A365=DATE(2026,12,2)),AB365,0)+IF(OR($A365=DATE(2026,11,28),$A365=DATE(2026,12,1)),AC365,0))))</f>
        <v>0</v>
      </c>
      <c r="AE365" s="14" t="n">
        <f aca="false">IF(AND($A365&lt;&gt;"",$A365&lt;Parameters!$B$14),CityData!F6*(1+TAXRATE),0)</f>
        <v>0</v>
      </c>
      <c r="AF365" s="14" t="n">
        <f aca="false">IF($A365="",0,IFERROR(VLOOKUP((YEAR($A365)+IF(MONTH($A365)&gt;=10,1,0))&amp;"|Phoenix|"&amp;MONTH($A365),Rates!$A$2:$I$181,5,FALSE()),0))</f>
        <v>0</v>
      </c>
      <c r="AG365" s="14" t="n">
        <f aca="false">IF(OR($A365="",$A365&gt;=Parameters!$B$14),1,IF(AND(AF365&gt;0,CityData!F6&lt;=AF365),1,0))</f>
        <v>1</v>
      </c>
      <c r="AH365" s="14" t="n">
        <f aca="false">IF($A365="",0,IFERROR(VLOOKUP((YEAR($A365)+IF(MONTH($A365)&gt;=10,1,0))&amp;"|Seattle|"&amp;MONTH($A365),Rates!$A$2:$I$181,6,FALSE()),0))</f>
        <v>0</v>
      </c>
      <c r="AI365" s="14" t="n">
        <f aca="false">IF(AH365=0,0,VLOOKUP(AH365,MIE_Components!$A$2:$F$6,2,FALSE()))</f>
        <v>0</v>
      </c>
      <c r="AJ365" s="14" t="n">
        <f aca="false">IF(AH365=0,0,VLOOKUP(AH365,MIE_Components!$A$2:$F$6,3,FALSE()))</f>
        <v>0</v>
      </c>
      <c r="AK365" s="14" t="n">
        <f aca="false">IF(AH365=0,0,VLOOKUP(AH365,MIE_Components!$A$2:$F$6,4,FALSE()))</f>
        <v>0</v>
      </c>
      <c r="AL365" s="14" t="n">
        <f aca="false">IF(OR($A365="",AH365=0),0,MAX(5,AH365*IF(OR($A365=Parameters!$B$13,$A365=Parameters!$B$14),0.75,1)-(IF(AND($A365=DATE(2026,11,29),NOV29BF="Yes"),AI365,0)+IF(OR($A365=DATE(2026,11,29),$A365=DATE(2026,11,30),$A365=DATE(2026,12,1),$A365=DATE(2026,12,2)),AJ365,0)+IF(OR($A365=DATE(2026,11,28),$A365=DATE(2026,12,1)),AK365,0))))</f>
        <v>0</v>
      </c>
      <c r="AM365" s="14" t="n">
        <f aca="false">IF(AND($A365&lt;&gt;"",$A365&lt;Parameters!$B$14),CityData!F7*(1+TAXRATE),0)</f>
        <v>0</v>
      </c>
      <c r="AN365" s="14" t="n">
        <f aca="false">IF($A365="",0,IFERROR(VLOOKUP((YEAR($A365)+IF(MONTH($A365)&gt;=10,1,0))&amp;"|Seattle|"&amp;MONTH($A365),Rates!$A$2:$I$181,5,FALSE()),0))</f>
        <v>0</v>
      </c>
      <c r="AO365" s="14" t="n">
        <f aca="false">IF(OR($A365="",$A365&gt;=Parameters!$B$14),1,IF(AND(AN365&gt;0,CityData!F7&lt;=AN365),1,0))</f>
        <v>1</v>
      </c>
    </row>
    <row r="366" customFormat="false" ht="15" hidden="false" customHeight="true" outlineLevel="0" collapsed="false">
      <c r="A366" s="23" t="str">
        <f aca="false">IF(AND(Parameters!$B$14&gt;=Parameters!$B$13,ROW()-2&lt;=Parameters!$B$14-Parameters!$B$13),Parameters!$B$13+ROW()-2,"")</f>
        <v/>
      </c>
      <c r="B366" s="14" t="n">
        <f aca="false">IF($A366="",0,IFERROR(VLOOKUP((YEAR($A366)+IF(MONTH($A366)&gt;=10,1,0))&amp;"|Boston|"&amp;MONTH($A366),Rates!$A$2:$I$181,6,FALSE()),0))</f>
        <v>0</v>
      </c>
      <c r="C366" s="14" t="n">
        <f aca="false">IF(B366=0,0,VLOOKUP(B366,MIE_Components!$A$2:$F$6,2,FALSE()))</f>
        <v>0</v>
      </c>
      <c r="D366" s="14" t="n">
        <f aca="false">IF(B366=0,0,VLOOKUP(B366,MIE_Components!$A$2:$F$6,3,FALSE()))</f>
        <v>0</v>
      </c>
      <c r="E366" s="14" t="n">
        <f aca="false">IF(B366=0,0,VLOOKUP(B366,MIE_Components!$A$2:$F$6,4,FALSE()))</f>
        <v>0</v>
      </c>
      <c r="F366" s="14" t="n">
        <f aca="false">IF(OR($A366="",B366=0),0,MAX(5,B366*IF(OR($A366=Parameters!$B$13,$A366=Parameters!$B$14),0.75,1)-(IF(AND($A366=DATE(2026,11,29),NOV29BF="Yes"),C366,0)+IF(OR($A366=DATE(2026,11,29),$A366=DATE(2026,11,30),$A366=DATE(2026,12,1),$A366=DATE(2026,12,2)),D366,0)+IF(OR($A366=DATE(2026,11,28),$A366=DATE(2026,12,1)),E366,0))))</f>
        <v>0</v>
      </c>
      <c r="G366" s="14" t="n">
        <f aca="false">IF(AND($A366&lt;&gt;"",$A366&lt;Parameters!$B$14),CityData!F3*(1+TAXRATE),0)</f>
        <v>0</v>
      </c>
      <c r="H366" s="14" t="n">
        <f aca="false">IF($A366="",0,IFERROR(VLOOKUP((YEAR($A366)+IF(MONTH($A366)&gt;=10,1,0))&amp;"|Boston|"&amp;MONTH($A366),Rates!$A$2:$I$181,5,FALSE()),0))</f>
        <v>0</v>
      </c>
      <c r="I366" s="14" t="n">
        <f aca="false">IF(OR($A366="",$A366&gt;=Parameters!$B$14),1,IF(AND(H366&gt;0,CityData!F3&lt;=H366),1,0))</f>
        <v>1</v>
      </c>
      <c r="J366" s="14" t="n">
        <f aca="false">IF($A366="",0,IFERROR(VLOOKUP((YEAR($A366)+IF(MONTH($A366)&gt;=10,1,0))&amp;"|Chicago|"&amp;MONTH($A366),Rates!$A$2:$I$181,6,FALSE()),0))</f>
        <v>0</v>
      </c>
      <c r="K366" s="14" t="n">
        <f aca="false">IF(J366=0,0,VLOOKUP(J366,MIE_Components!$A$2:$F$6,2,FALSE()))</f>
        <v>0</v>
      </c>
      <c r="L366" s="14" t="n">
        <f aca="false">IF(J366=0,0,VLOOKUP(J366,MIE_Components!$A$2:$F$6,3,FALSE()))</f>
        <v>0</v>
      </c>
      <c r="M366" s="14" t="n">
        <f aca="false">IF(J366=0,0,VLOOKUP(J366,MIE_Components!$A$2:$F$6,4,FALSE()))</f>
        <v>0</v>
      </c>
      <c r="N366" s="14" t="n">
        <f aca="false">IF(OR($A366="",J366=0),0,MAX(5,J366*IF(OR($A366=Parameters!$B$13,$A366=Parameters!$B$14),0.75,1)-(IF(AND($A366=DATE(2026,11,29),NOV29BF="Yes"),K366,0)+IF(OR($A366=DATE(2026,11,29),$A366=DATE(2026,11,30),$A366=DATE(2026,12,1),$A366=DATE(2026,12,2)),L366,0)+IF(OR($A366=DATE(2026,11,28),$A366=DATE(2026,12,1)),M366,0))))</f>
        <v>0</v>
      </c>
      <c r="O366" s="14" t="n">
        <f aca="false">IF(AND($A366&lt;&gt;"",$A366&lt;Parameters!$B$14),CityData!F4*(1+TAXRATE),0)</f>
        <v>0</v>
      </c>
      <c r="P366" s="14" t="n">
        <f aca="false">IF($A366="",0,IFERROR(VLOOKUP((YEAR($A366)+IF(MONTH($A366)&gt;=10,1,0))&amp;"|Chicago|"&amp;MONTH($A366),Rates!$A$2:$I$181,5,FALSE()),0))</f>
        <v>0</v>
      </c>
      <c r="Q366" s="14" t="n">
        <f aca="false">IF(OR($A366="",$A366&gt;=Parameters!$B$14),1,IF(AND(P366&gt;0,CityData!F4&lt;=P366),1,0))</f>
        <v>1</v>
      </c>
      <c r="R366" s="14" t="n">
        <f aca="false">IF($A366="",0,IFERROR(VLOOKUP((YEAR($A366)+IF(MONTH($A366)&gt;=10,1,0))&amp;"|Denver|"&amp;MONTH($A366),Rates!$A$2:$I$181,6,FALSE()),0))</f>
        <v>0</v>
      </c>
      <c r="S366" s="14" t="n">
        <f aca="false">IF(R366=0,0,VLOOKUP(R366,MIE_Components!$A$2:$F$6,2,FALSE()))</f>
        <v>0</v>
      </c>
      <c r="T366" s="14" t="n">
        <f aca="false">IF(R366=0,0,VLOOKUP(R366,MIE_Components!$A$2:$F$6,3,FALSE()))</f>
        <v>0</v>
      </c>
      <c r="U366" s="14" t="n">
        <f aca="false">IF(R366=0,0,VLOOKUP(R366,MIE_Components!$A$2:$F$6,4,FALSE()))</f>
        <v>0</v>
      </c>
      <c r="V366" s="14" t="n">
        <f aca="false">IF(OR($A366="",R366=0),0,MAX(5,R366*IF(OR($A366=Parameters!$B$13,$A366=Parameters!$B$14),0.75,1)-(IF(AND($A366=DATE(2026,11,29),NOV29BF="Yes"),S366,0)+IF(OR($A366=DATE(2026,11,29),$A366=DATE(2026,11,30),$A366=DATE(2026,12,1),$A366=DATE(2026,12,2)),T366,0)+IF(OR($A366=DATE(2026,11,28),$A366=DATE(2026,12,1)),U366,0))))</f>
        <v>0</v>
      </c>
      <c r="W366" s="14" t="n">
        <f aca="false">IF(AND($A366&lt;&gt;"",$A366&lt;Parameters!$B$14),CityData!F5*(1+TAXRATE),0)</f>
        <v>0</v>
      </c>
      <c r="X366" s="14" t="n">
        <f aca="false">IF($A366="",0,IFERROR(VLOOKUP((YEAR($A366)+IF(MONTH($A366)&gt;=10,1,0))&amp;"|Denver|"&amp;MONTH($A366),Rates!$A$2:$I$181,5,FALSE()),0))</f>
        <v>0</v>
      </c>
      <c r="Y366" s="14" t="n">
        <f aca="false">IF(OR($A366="",$A366&gt;=Parameters!$B$14),1,IF(AND(X366&gt;0,CityData!F5&lt;=X366),1,0))</f>
        <v>1</v>
      </c>
      <c r="Z366" s="14" t="n">
        <f aca="false">IF($A366="",0,IFERROR(VLOOKUP((YEAR($A366)+IF(MONTH($A366)&gt;=10,1,0))&amp;"|Phoenix|"&amp;MONTH($A366),Rates!$A$2:$I$181,6,FALSE()),0))</f>
        <v>0</v>
      </c>
      <c r="AA366" s="14" t="n">
        <f aca="false">IF(Z366=0,0,VLOOKUP(Z366,MIE_Components!$A$2:$F$6,2,FALSE()))</f>
        <v>0</v>
      </c>
      <c r="AB366" s="14" t="n">
        <f aca="false">IF(Z366=0,0,VLOOKUP(Z366,MIE_Components!$A$2:$F$6,3,FALSE()))</f>
        <v>0</v>
      </c>
      <c r="AC366" s="14" t="n">
        <f aca="false">IF(Z366=0,0,VLOOKUP(Z366,MIE_Components!$A$2:$F$6,4,FALSE()))</f>
        <v>0</v>
      </c>
      <c r="AD366" s="14" t="n">
        <f aca="false">IF(OR($A366="",Z366=0),0,MAX(5,Z366*IF(OR($A366=Parameters!$B$13,$A366=Parameters!$B$14),0.75,1)-(IF(AND($A366=DATE(2026,11,29),NOV29BF="Yes"),AA366,0)+IF(OR($A366=DATE(2026,11,29),$A366=DATE(2026,11,30),$A366=DATE(2026,12,1),$A366=DATE(2026,12,2)),AB366,0)+IF(OR($A366=DATE(2026,11,28),$A366=DATE(2026,12,1)),AC366,0))))</f>
        <v>0</v>
      </c>
      <c r="AE366" s="14" t="n">
        <f aca="false">IF(AND($A366&lt;&gt;"",$A366&lt;Parameters!$B$14),CityData!F6*(1+TAXRATE),0)</f>
        <v>0</v>
      </c>
      <c r="AF366" s="14" t="n">
        <f aca="false">IF($A366="",0,IFERROR(VLOOKUP((YEAR($A366)+IF(MONTH($A366)&gt;=10,1,0))&amp;"|Phoenix|"&amp;MONTH($A366),Rates!$A$2:$I$181,5,FALSE()),0))</f>
        <v>0</v>
      </c>
      <c r="AG366" s="14" t="n">
        <f aca="false">IF(OR($A366="",$A366&gt;=Parameters!$B$14),1,IF(AND(AF366&gt;0,CityData!F6&lt;=AF366),1,0))</f>
        <v>1</v>
      </c>
      <c r="AH366" s="14" t="n">
        <f aca="false">IF($A366="",0,IFERROR(VLOOKUP((YEAR($A366)+IF(MONTH($A366)&gt;=10,1,0))&amp;"|Seattle|"&amp;MONTH($A366),Rates!$A$2:$I$181,6,FALSE()),0))</f>
        <v>0</v>
      </c>
      <c r="AI366" s="14" t="n">
        <f aca="false">IF(AH366=0,0,VLOOKUP(AH366,MIE_Components!$A$2:$F$6,2,FALSE()))</f>
        <v>0</v>
      </c>
      <c r="AJ366" s="14" t="n">
        <f aca="false">IF(AH366=0,0,VLOOKUP(AH366,MIE_Components!$A$2:$F$6,3,FALSE()))</f>
        <v>0</v>
      </c>
      <c r="AK366" s="14" t="n">
        <f aca="false">IF(AH366=0,0,VLOOKUP(AH366,MIE_Components!$A$2:$F$6,4,FALSE()))</f>
        <v>0</v>
      </c>
      <c r="AL366" s="14" t="n">
        <f aca="false">IF(OR($A366="",AH366=0),0,MAX(5,AH366*IF(OR($A366=Parameters!$B$13,$A366=Parameters!$B$14),0.75,1)-(IF(AND($A366=DATE(2026,11,29),NOV29BF="Yes"),AI366,0)+IF(OR($A366=DATE(2026,11,29),$A366=DATE(2026,11,30),$A366=DATE(2026,12,1),$A366=DATE(2026,12,2)),AJ366,0)+IF(OR($A366=DATE(2026,11,28),$A366=DATE(2026,12,1)),AK366,0))))</f>
        <v>0</v>
      </c>
      <c r="AM366" s="14" t="n">
        <f aca="false">IF(AND($A366&lt;&gt;"",$A366&lt;Parameters!$B$14),CityData!F7*(1+TAXRATE),0)</f>
        <v>0</v>
      </c>
      <c r="AN366" s="14" t="n">
        <f aca="false">IF($A366="",0,IFERROR(VLOOKUP((YEAR($A366)+IF(MONTH($A366)&gt;=10,1,0))&amp;"|Seattle|"&amp;MONTH($A366),Rates!$A$2:$I$181,5,FALSE()),0))</f>
        <v>0</v>
      </c>
      <c r="AO366" s="14" t="n">
        <f aca="false">IF(OR($A366="",$A366&gt;=Parameters!$B$14),1,IF(AND(AN366&gt;0,CityData!F7&lt;=AN366),1,0))</f>
        <v>1</v>
      </c>
    </row>
    <row r="367" customFormat="false" ht="15" hidden="false" customHeight="true" outlineLevel="0" collapsed="false">
      <c r="A367" s="23" t="str">
        <f aca="false">IF(AND(Parameters!$B$14&gt;=Parameters!$B$13,ROW()-2&lt;=Parameters!$B$14-Parameters!$B$13),Parameters!$B$13+ROW()-2,"")</f>
        <v/>
      </c>
      <c r="B367" s="14" t="n">
        <f aca="false">IF($A367="",0,IFERROR(VLOOKUP((YEAR($A367)+IF(MONTH($A367)&gt;=10,1,0))&amp;"|Boston|"&amp;MONTH($A367),Rates!$A$2:$I$181,6,FALSE()),0))</f>
        <v>0</v>
      </c>
      <c r="C367" s="14" t="n">
        <f aca="false">IF(B367=0,0,VLOOKUP(B367,MIE_Components!$A$2:$F$6,2,FALSE()))</f>
        <v>0</v>
      </c>
      <c r="D367" s="14" t="n">
        <f aca="false">IF(B367=0,0,VLOOKUP(B367,MIE_Components!$A$2:$F$6,3,FALSE()))</f>
        <v>0</v>
      </c>
      <c r="E367" s="14" t="n">
        <f aca="false">IF(B367=0,0,VLOOKUP(B367,MIE_Components!$A$2:$F$6,4,FALSE()))</f>
        <v>0</v>
      </c>
      <c r="F367" s="14" t="n">
        <f aca="false">IF(OR($A367="",B367=0),0,MAX(5,B367*IF(OR($A367=Parameters!$B$13,$A367=Parameters!$B$14),0.75,1)-(IF(AND($A367=DATE(2026,11,29),NOV29BF="Yes"),C367,0)+IF(OR($A367=DATE(2026,11,29),$A367=DATE(2026,11,30),$A367=DATE(2026,12,1),$A367=DATE(2026,12,2)),D367,0)+IF(OR($A367=DATE(2026,11,28),$A367=DATE(2026,12,1)),E367,0))))</f>
        <v>0</v>
      </c>
      <c r="G367" s="14" t="n">
        <f aca="false">IF(AND($A367&lt;&gt;"",$A367&lt;Parameters!$B$14),CityData!F3*(1+TAXRATE),0)</f>
        <v>0</v>
      </c>
      <c r="H367" s="14" t="n">
        <f aca="false">IF($A367="",0,IFERROR(VLOOKUP((YEAR($A367)+IF(MONTH($A367)&gt;=10,1,0))&amp;"|Boston|"&amp;MONTH($A367),Rates!$A$2:$I$181,5,FALSE()),0))</f>
        <v>0</v>
      </c>
      <c r="I367" s="14" t="n">
        <f aca="false">IF(OR($A367="",$A367&gt;=Parameters!$B$14),1,IF(AND(H367&gt;0,CityData!F3&lt;=H367),1,0))</f>
        <v>1</v>
      </c>
      <c r="J367" s="14" t="n">
        <f aca="false">IF($A367="",0,IFERROR(VLOOKUP((YEAR($A367)+IF(MONTH($A367)&gt;=10,1,0))&amp;"|Chicago|"&amp;MONTH($A367),Rates!$A$2:$I$181,6,FALSE()),0))</f>
        <v>0</v>
      </c>
      <c r="K367" s="14" t="n">
        <f aca="false">IF(J367=0,0,VLOOKUP(J367,MIE_Components!$A$2:$F$6,2,FALSE()))</f>
        <v>0</v>
      </c>
      <c r="L367" s="14" t="n">
        <f aca="false">IF(J367=0,0,VLOOKUP(J367,MIE_Components!$A$2:$F$6,3,FALSE()))</f>
        <v>0</v>
      </c>
      <c r="M367" s="14" t="n">
        <f aca="false">IF(J367=0,0,VLOOKUP(J367,MIE_Components!$A$2:$F$6,4,FALSE()))</f>
        <v>0</v>
      </c>
      <c r="N367" s="14" t="n">
        <f aca="false">IF(OR($A367="",J367=0),0,MAX(5,J367*IF(OR($A367=Parameters!$B$13,$A367=Parameters!$B$14),0.75,1)-(IF(AND($A367=DATE(2026,11,29),NOV29BF="Yes"),K367,0)+IF(OR($A367=DATE(2026,11,29),$A367=DATE(2026,11,30),$A367=DATE(2026,12,1),$A367=DATE(2026,12,2)),L367,0)+IF(OR($A367=DATE(2026,11,28),$A367=DATE(2026,12,1)),M367,0))))</f>
        <v>0</v>
      </c>
      <c r="O367" s="14" t="n">
        <f aca="false">IF(AND($A367&lt;&gt;"",$A367&lt;Parameters!$B$14),CityData!F4*(1+TAXRATE),0)</f>
        <v>0</v>
      </c>
      <c r="P367" s="14" t="n">
        <f aca="false">IF($A367="",0,IFERROR(VLOOKUP((YEAR($A367)+IF(MONTH($A367)&gt;=10,1,0))&amp;"|Chicago|"&amp;MONTH($A367),Rates!$A$2:$I$181,5,FALSE()),0))</f>
        <v>0</v>
      </c>
      <c r="Q367" s="14" t="n">
        <f aca="false">IF(OR($A367="",$A367&gt;=Parameters!$B$14),1,IF(AND(P367&gt;0,CityData!F4&lt;=P367),1,0))</f>
        <v>1</v>
      </c>
      <c r="R367" s="14" t="n">
        <f aca="false">IF($A367="",0,IFERROR(VLOOKUP((YEAR($A367)+IF(MONTH($A367)&gt;=10,1,0))&amp;"|Denver|"&amp;MONTH($A367),Rates!$A$2:$I$181,6,FALSE()),0))</f>
        <v>0</v>
      </c>
      <c r="S367" s="14" t="n">
        <f aca="false">IF(R367=0,0,VLOOKUP(R367,MIE_Components!$A$2:$F$6,2,FALSE()))</f>
        <v>0</v>
      </c>
      <c r="T367" s="14" t="n">
        <f aca="false">IF(R367=0,0,VLOOKUP(R367,MIE_Components!$A$2:$F$6,3,FALSE()))</f>
        <v>0</v>
      </c>
      <c r="U367" s="14" t="n">
        <f aca="false">IF(R367=0,0,VLOOKUP(R367,MIE_Components!$A$2:$F$6,4,FALSE()))</f>
        <v>0</v>
      </c>
      <c r="V367" s="14" t="n">
        <f aca="false">IF(OR($A367="",R367=0),0,MAX(5,R367*IF(OR($A367=Parameters!$B$13,$A367=Parameters!$B$14),0.75,1)-(IF(AND($A367=DATE(2026,11,29),NOV29BF="Yes"),S367,0)+IF(OR($A367=DATE(2026,11,29),$A367=DATE(2026,11,30),$A367=DATE(2026,12,1),$A367=DATE(2026,12,2)),T367,0)+IF(OR($A367=DATE(2026,11,28),$A367=DATE(2026,12,1)),U367,0))))</f>
        <v>0</v>
      </c>
      <c r="W367" s="14" t="n">
        <f aca="false">IF(AND($A367&lt;&gt;"",$A367&lt;Parameters!$B$14),CityData!F5*(1+TAXRATE),0)</f>
        <v>0</v>
      </c>
      <c r="X367" s="14" t="n">
        <f aca="false">IF($A367="",0,IFERROR(VLOOKUP((YEAR($A367)+IF(MONTH($A367)&gt;=10,1,0))&amp;"|Denver|"&amp;MONTH($A367),Rates!$A$2:$I$181,5,FALSE()),0))</f>
        <v>0</v>
      </c>
      <c r="Y367" s="14" t="n">
        <f aca="false">IF(OR($A367="",$A367&gt;=Parameters!$B$14),1,IF(AND(X367&gt;0,CityData!F5&lt;=X367),1,0))</f>
        <v>1</v>
      </c>
      <c r="Z367" s="14" t="n">
        <f aca="false">IF($A367="",0,IFERROR(VLOOKUP((YEAR($A367)+IF(MONTH($A367)&gt;=10,1,0))&amp;"|Phoenix|"&amp;MONTH($A367),Rates!$A$2:$I$181,6,FALSE()),0))</f>
        <v>0</v>
      </c>
      <c r="AA367" s="14" t="n">
        <f aca="false">IF(Z367=0,0,VLOOKUP(Z367,MIE_Components!$A$2:$F$6,2,FALSE()))</f>
        <v>0</v>
      </c>
      <c r="AB367" s="14" t="n">
        <f aca="false">IF(Z367=0,0,VLOOKUP(Z367,MIE_Components!$A$2:$F$6,3,FALSE()))</f>
        <v>0</v>
      </c>
      <c r="AC367" s="14" t="n">
        <f aca="false">IF(Z367=0,0,VLOOKUP(Z367,MIE_Components!$A$2:$F$6,4,FALSE()))</f>
        <v>0</v>
      </c>
      <c r="AD367" s="14" t="n">
        <f aca="false">IF(OR($A367="",Z367=0),0,MAX(5,Z367*IF(OR($A367=Parameters!$B$13,$A367=Parameters!$B$14),0.75,1)-(IF(AND($A367=DATE(2026,11,29),NOV29BF="Yes"),AA367,0)+IF(OR($A367=DATE(2026,11,29),$A367=DATE(2026,11,30),$A367=DATE(2026,12,1),$A367=DATE(2026,12,2)),AB367,0)+IF(OR($A367=DATE(2026,11,28),$A367=DATE(2026,12,1)),AC367,0))))</f>
        <v>0</v>
      </c>
      <c r="AE367" s="14" t="n">
        <f aca="false">IF(AND($A367&lt;&gt;"",$A367&lt;Parameters!$B$14),CityData!F6*(1+TAXRATE),0)</f>
        <v>0</v>
      </c>
      <c r="AF367" s="14" t="n">
        <f aca="false">IF($A367="",0,IFERROR(VLOOKUP((YEAR($A367)+IF(MONTH($A367)&gt;=10,1,0))&amp;"|Phoenix|"&amp;MONTH($A367),Rates!$A$2:$I$181,5,FALSE()),0))</f>
        <v>0</v>
      </c>
      <c r="AG367" s="14" t="n">
        <f aca="false">IF(OR($A367="",$A367&gt;=Parameters!$B$14),1,IF(AND(AF367&gt;0,CityData!F6&lt;=AF367),1,0))</f>
        <v>1</v>
      </c>
      <c r="AH367" s="14" t="n">
        <f aca="false">IF($A367="",0,IFERROR(VLOOKUP((YEAR($A367)+IF(MONTH($A367)&gt;=10,1,0))&amp;"|Seattle|"&amp;MONTH($A367),Rates!$A$2:$I$181,6,FALSE()),0))</f>
        <v>0</v>
      </c>
      <c r="AI367" s="14" t="n">
        <f aca="false">IF(AH367=0,0,VLOOKUP(AH367,MIE_Components!$A$2:$F$6,2,FALSE()))</f>
        <v>0</v>
      </c>
      <c r="AJ367" s="14" t="n">
        <f aca="false">IF(AH367=0,0,VLOOKUP(AH367,MIE_Components!$A$2:$F$6,3,FALSE()))</f>
        <v>0</v>
      </c>
      <c r="AK367" s="14" t="n">
        <f aca="false">IF(AH367=0,0,VLOOKUP(AH367,MIE_Components!$A$2:$F$6,4,FALSE()))</f>
        <v>0</v>
      </c>
      <c r="AL367" s="14" t="n">
        <f aca="false">IF(OR($A367="",AH367=0),0,MAX(5,AH367*IF(OR($A367=Parameters!$B$13,$A367=Parameters!$B$14),0.75,1)-(IF(AND($A367=DATE(2026,11,29),NOV29BF="Yes"),AI367,0)+IF(OR($A367=DATE(2026,11,29),$A367=DATE(2026,11,30),$A367=DATE(2026,12,1),$A367=DATE(2026,12,2)),AJ367,0)+IF(OR($A367=DATE(2026,11,28),$A367=DATE(2026,12,1)),AK367,0))))</f>
        <v>0</v>
      </c>
      <c r="AM367" s="14" t="n">
        <f aca="false">IF(AND($A367&lt;&gt;"",$A367&lt;Parameters!$B$14),CityData!F7*(1+TAXRATE),0)</f>
        <v>0</v>
      </c>
      <c r="AN367" s="14" t="n">
        <f aca="false">IF($A367="",0,IFERROR(VLOOKUP((YEAR($A367)+IF(MONTH($A367)&gt;=10,1,0))&amp;"|Seattle|"&amp;MONTH($A367),Rates!$A$2:$I$181,5,FALSE()),0))</f>
        <v>0</v>
      </c>
      <c r="AO367" s="14" t="n">
        <f aca="false">IF(OR($A367="",$A367&gt;=Parameters!$B$14),1,IF(AND(AN367&gt;0,CityData!F7&lt;=AN367),1,0))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85"/>
  </cols>
  <sheetData>
    <row r="1" customFormat="false" ht="15" hidden="false" customHeight="true" outlineLevel="0" collapsed="false">
      <c r="A1" s="36" t="s">
        <v>657</v>
      </c>
      <c r="B1" s="36" t="s">
        <v>658</v>
      </c>
      <c r="C1" s="36" t="s">
        <v>659</v>
      </c>
    </row>
    <row r="2" customFormat="false" ht="26.25" hidden="false" customHeight="true" outlineLevel="0" collapsed="false">
      <c r="A2" s="37" t="s">
        <v>197</v>
      </c>
      <c r="B2" s="38" t="str">
        <f aca="false">IF(MIN(Candidate_Model!S2:S45)=99999,"NO QUALIFIED RECOMMENDATION",INDEX(Candidate_Model!B2:B45,MATCH(1,Candidate_Model!S2:S45,0))&amp;" / "&amp;INDEX(Candidate_Model!C2:C45,MATCH(1,Candidate_Model!S2:S45,0))&amp;" / "&amp;INDEX(Candidate_Model!A2:A45,MATCH(1,Candidate_Model!S2:S45,0)))</f>
        <v>NO QUALIFIED RECOMMENDATION</v>
      </c>
      <c r="C2" s="37" t="s">
        <v>660</v>
      </c>
    </row>
    <row r="3" customFormat="false" ht="26.25" hidden="false" customHeight="true" outlineLevel="0" collapsed="false">
      <c r="A3" s="37" t="s">
        <v>661</v>
      </c>
      <c r="B3" s="38" t="str">
        <f aca="false">IF(MIN(Candidate_Model!T2:T45)=99999,"NONE",INDEX(Candidate_Model!B2:B45,MATCH(1,Candidate_Model!T2:T45,0)))</f>
        <v>Boston</v>
      </c>
      <c r="C3" s="37" t="s">
        <v>662</v>
      </c>
    </row>
    <row r="4" customFormat="false" ht="26.25" hidden="false" customHeight="true" outlineLevel="0" collapsed="false">
      <c r="A4" s="37" t="s">
        <v>663</v>
      </c>
      <c r="B4" s="38" t="n">
        <f aca="false">IF(MIN(Candidate_Model!T2:T45)=99999,0,INDEX(Candidate_Model!C2:C45,MATCH(1,Candidate_Model!T2:T45,0)))</f>
        <v>24</v>
      </c>
      <c r="C4" s="37" t="s">
        <v>664</v>
      </c>
    </row>
    <row r="5" customFormat="false" ht="15" hidden="false" customHeight="true" outlineLevel="0" collapsed="false">
      <c r="A5" s="37" t="s">
        <v>665</v>
      </c>
      <c r="B5" s="38" t="n">
        <f aca="false">IF(MIN(Candidate_Model!T2:T45)=99999,0,INDEX(Candidate_Model!J2:J45,MATCH(1,Candidate_Model!T2:T45,0)))</f>
        <v>35420.16</v>
      </c>
      <c r="C5" s="37" t="s">
        <v>666</v>
      </c>
    </row>
    <row r="6" customFormat="false" ht="26.25" hidden="false" customHeight="true" outlineLevel="0" collapsed="false">
      <c r="A6" s="37" t="s">
        <v>667</v>
      </c>
      <c r="B6" s="38" t="n">
        <f aca="false">IF(MIN(Candidate_Model!T2:T45)=99999,0,INDEX(Candidate_Model!K2:K45,MATCH(1,Candidate_Model!T2:T45,0)))</f>
        <v>37191.168</v>
      </c>
      <c r="C6" s="37" t="s">
        <v>668</v>
      </c>
    </row>
    <row r="7" customFormat="false" ht="15" hidden="false" customHeight="true" outlineLevel="0" collapsed="false">
      <c r="A7" s="37" t="s">
        <v>669</v>
      </c>
      <c r="B7" s="38" t="str">
        <f aca="false">IF(COUNTIF(Candidate_Model!T2:T45,2)=0,"NONE",INDEX(Candidate_Model!B2:B45,MATCH(2,Candidate_Model!T2:T45,0)))</f>
        <v>Boston</v>
      </c>
      <c r="C7" s="37" t="s">
        <v>670</v>
      </c>
    </row>
    <row r="8" customFormat="false" ht="26.25" hidden="false" customHeight="true" outlineLevel="0" collapsed="false">
      <c r="A8" s="37" t="s">
        <v>671</v>
      </c>
      <c r="B8" s="38" t="n">
        <f aca="false">IF(COUNTIF(Candidate_Model!T2:T45,2)=0,0,INDEX(Candidate_Model!C2:C45,MATCH(2,Candidate_Model!T2:T45,0)))</f>
        <v>24</v>
      </c>
      <c r="C8" s="37" t="s">
        <v>672</v>
      </c>
    </row>
    <row r="9" customFormat="false" ht="15" hidden="false" customHeight="true" outlineLevel="0" collapsed="false">
      <c r="A9" s="37" t="s">
        <v>673</v>
      </c>
      <c r="B9" s="38" t="n">
        <f aca="false">IF(COUNTIF(Candidate_Model!T2:T45,2)=0,0,INDEX(Candidate_Model!K2:K45,MATCH(2,Candidate_Model!T2:T45,0)))</f>
        <v>38375.568</v>
      </c>
      <c r="C9" s="37" t="s">
        <v>674</v>
      </c>
    </row>
    <row r="10" customFormat="false" ht="26.25" hidden="false" customHeight="true" outlineLevel="0" collapsed="false">
      <c r="A10" s="37" t="s">
        <v>675</v>
      </c>
      <c r="B10" s="38" t="str">
        <f aca="false">Parameters!B34</f>
        <v>DATED SNAPSHOT; inventory unheld</v>
      </c>
      <c r="C10" s="37" t="s">
        <v>676</v>
      </c>
    </row>
    <row r="11" customFormat="false" ht="15" hidden="false" customHeight="true" outlineLevel="0" collapsed="false">
      <c r="A11" s="1" t="s">
        <v>677</v>
      </c>
      <c r="B11" s="1" t="str">
        <f aca="false">IF(MIN(Candidate_Model!T2:T45)=99999,"NONE",INDEX(Candidate_Model!A2:A45,MATCH(1,Candidate_Model!T2:T45,0)))</f>
        <v>P01</v>
      </c>
    </row>
    <row r="12" customFormat="false" ht="15" hidden="false" customHeight="true" outlineLevel="0" collapsed="false">
      <c r="A12" s="1" t="s">
        <v>678</v>
      </c>
      <c r="B12" s="1" t="n">
        <f aca="false">IF(MIN(Candidate_Model!S2:S45)&lt;99999,MATCH(1,Candidate_Model!S2:S45,0)+1,IF(MIN(Candidate_Model!T2:T45)&lt;99999,MATCH(1,Candidate_Model!T2:T45,0)+1,4))</f>
        <v>2</v>
      </c>
    </row>
    <row r="13" customFormat="false" ht="15" hidden="false" customHeight="true" outlineLevel="0" collapsed="false">
      <c r="A13" s="1" t="s">
        <v>679</v>
      </c>
      <c r="B13" s="1" t="str">
        <f aca="false">IF(MIN(Candidate_Model!S2:S45)=99999,"NONE",INDEX(Candidate_Model!A2:A45,MATCH(1,Candidate_Model!S2:S45,0)))</f>
        <v>NONE</v>
      </c>
    </row>
    <row r="14" customFormat="false" ht="15" hidden="false" customHeight="true" outlineLevel="0" collapsed="false">
      <c r="A14" s="1" t="s">
        <v>680</v>
      </c>
      <c r="B14" s="1" t="s">
        <v>681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3" min="1" style="1" width="24"/>
    <col collapsed="false" customWidth="true" hidden="false" outlineLevel="0" max="14" min="14" style="1" width="85"/>
  </cols>
  <sheetData>
    <row r="1" customFormat="false" ht="26.25" hidden="false" customHeight="true" outlineLevel="0" collapsed="false">
      <c r="A1" s="36" t="s">
        <v>44</v>
      </c>
      <c r="B1" s="36" t="s">
        <v>122</v>
      </c>
      <c r="C1" s="36" t="s">
        <v>682</v>
      </c>
      <c r="D1" s="36" t="s">
        <v>683</v>
      </c>
      <c r="E1" s="36" t="s">
        <v>684</v>
      </c>
      <c r="F1" s="36" t="s">
        <v>685</v>
      </c>
      <c r="G1" s="36" t="s">
        <v>686</v>
      </c>
      <c r="H1" s="36" t="s">
        <v>687</v>
      </c>
      <c r="I1" s="36" t="s">
        <v>688</v>
      </c>
      <c r="J1" s="36" t="s">
        <v>689</v>
      </c>
      <c r="K1" s="36" t="s">
        <v>690</v>
      </c>
      <c r="L1" s="36" t="s">
        <v>691</v>
      </c>
      <c r="M1" s="36" t="s">
        <v>692</v>
      </c>
      <c r="N1" s="36" t="s">
        <v>693</v>
      </c>
    </row>
    <row r="2" customFormat="false" ht="39" hidden="false" customHeight="true" outlineLevel="0" collapsed="false">
      <c r="A2" s="37" t="s">
        <v>56</v>
      </c>
      <c r="B2" s="38" t="n">
        <v>18</v>
      </c>
      <c r="C2" s="38" t="n">
        <v>2025</v>
      </c>
      <c r="D2" s="38" t="n">
        <v>108</v>
      </c>
      <c r="E2" s="38" t="n">
        <v>234</v>
      </c>
      <c r="F2" s="38" t="n">
        <v>234</v>
      </c>
      <c r="G2" s="38" t="n">
        <f aca="false">(F2-E2)*B2</f>
        <v>0</v>
      </c>
      <c r="H2" s="38" t="n">
        <v>0</v>
      </c>
      <c r="I2" s="38" t="n">
        <v>0</v>
      </c>
      <c r="J2" s="38" t="n">
        <f aca="false">SUM(G2:I2)*(1+RESRATE)</f>
        <v>0</v>
      </c>
      <c r="K2" s="38" t="n">
        <v>209</v>
      </c>
      <c r="L2" s="38" t="n">
        <v>209</v>
      </c>
      <c r="M2" s="38" t="str">
        <f aca="false">IF(AND(D2&lt;=K2,D2&lt;=L2),"COMPLIANT PRICE","OVER CAP: NOT EXECUTABLE")</f>
        <v>COMPLIANT PRICE</v>
      </c>
      <c r="N2" s="37" t="s">
        <v>694</v>
      </c>
    </row>
    <row r="3" customFormat="false" ht="39" hidden="false" customHeight="true" outlineLevel="0" collapsed="false">
      <c r="A3" s="37" t="s">
        <v>56</v>
      </c>
      <c r="B3" s="38" t="n">
        <v>18</v>
      </c>
      <c r="C3" s="38" t="n">
        <v>2026</v>
      </c>
      <c r="D3" s="38" t="n">
        <v>108</v>
      </c>
      <c r="E3" s="38" t="n">
        <v>234</v>
      </c>
      <c r="F3" s="38" t="n">
        <v>234</v>
      </c>
      <c r="G3" s="38" t="n">
        <f aca="false">(F3-E3)*B3</f>
        <v>0</v>
      </c>
      <c r="H3" s="38" t="n">
        <v>0</v>
      </c>
      <c r="I3" s="38" t="n">
        <v>0</v>
      </c>
      <c r="J3" s="38" t="n">
        <f aca="false">SUM(G3:I3)*(1+RESRATE)</f>
        <v>0</v>
      </c>
      <c r="K3" s="38" t="n">
        <v>209</v>
      </c>
      <c r="L3" s="38" t="n">
        <v>209</v>
      </c>
      <c r="M3" s="38" t="str">
        <f aca="false">IF(AND(D3&lt;=K3,D3&lt;=L3),"COMPLIANT PRICE","OVER CAP: NOT EXECUTABLE")</f>
        <v>COMPLIANT PRICE</v>
      </c>
      <c r="N3" s="37" t="s">
        <v>694</v>
      </c>
    </row>
    <row r="4" customFormat="false" ht="39" hidden="false" customHeight="true" outlineLevel="0" collapsed="false">
      <c r="A4" s="37" t="s">
        <v>56</v>
      </c>
      <c r="B4" s="38" t="n">
        <v>24</v>
      </c>
      <c r="C4" s="38" t="n">
        <v>2025</v>
      </c>
      <c r="D4" s="38" t="n">
        <v>108</v>
      </c>
      <c r="E4" s="38" t="n">
        <v>234</v>
      </c>
      <c r="F4" s="38" t="n">
        <v>234</v>
      </c>
      <c r="G4" s="38" t="n">
        <f aca="false">(F4-E4)*B4</f>
        <v>0</v>
      </c>
      <c r="H4" s="38" t="n">
        <v>0</v>
      </c>
      <c r="I4" s="38" t="n">
        <v>0</v>
      </c>
      <c r="J4" s="38" t="n">
        <f aca="false">SUM(G4:I4)*(1+RESRATE)</f>
        <v>0</v>
      </c>
      <c r="K4" s="38" t="n">
        <v>209</v>
      </c>
      <c r="L4" s="38" t="n">
        <v>209</v>
      </c>
      <c r="M4" s="38" t="str">
        <f aca="false">IF(AND(D4&lt;=K4,D4&lt;=L4),"COMPLIANT PRICE","OVER CAP: NOT EXECUTABLE")</f>
        <v>COMPLIANT PRICE</v>
      </c>
      <c r="N4" s="37" t="s">
        <v>694</v>
      </c>
    </row>
    <row r="5" customFormat="false" ht="39" hidden="false" customHeight="true" outlineLevel="0" collapsed="false">
      <c r="A5" s="37" t="s">
        <v>56</v>
      </c>
      <c r="B5" s="38" t="n">
        <v>24</v>
      </c>
      <c r="C5" s="38" t="n">
        <v>2026</v>
      </c>
      <c r="D5" s="38" t="n">
        <v>108</v>
      </c>
      <c r="E5" s="38" t="n">
        <v>234</v>
      </c>
      <c r="F5" s="38" t="n">
        <v>234</v>
      </c>
      <c r="G5" s="38" t="n">
        <f aca="false">(F5-E5)*B5</f>
        <v>0</v>
      </c>
      <c r="H5" s="38" t="n">
        <v>0</v>
      </c>
      <c r="I5" s="38" t="n">
        <v>0</v>
      </c>
      <c r="J5" s="38" t="n">
        <f aca="false">SUM(G5:I5)*(1+RESRATE)</f>
        <v>0</v>
      </c>
      <c r="K5" s="38" t="n">
        <v>209</v>
      </c>
      <c r="L5" s="38" t="n">
        <v>209</v>
      </c>
      <c r="M5" s="38" t="str">
        <f aca="false">IF(AND(D5&lt;=K5,D5&lt;=L5),"COMPLIANT PRICE","OVER CAP: NOT EXECUTABLE")</f>
        <v>COMPLIANT PRICE</v>
      </c>
      <c r="N5" s="37" t="s">
        <v>694</v>
      </c>
    </row>
    <row r="6" customFormat="false" ht="39" hidden="false" customHeight="true" outlineLevel="0" collapsed="false">
      <c r="A6" s="37" t="s">
        <v>61</v>
      </c>
      <c r="B6" s="38" t="n">
        <v>18</v>
      </c>
      <c r="C6" s="38" t="n">
        <v>2025</v>
      </c>
      <c r="D6" s="38" t="n">
        <f aca="false">CityData!F4</f>
        <v>158</v>
      </c>
      <c r="E6" s="38" t="n">
        <v>234</v>
      </c>
      <c r="F6" s="38" t="n">
        <v>234</v>
      </c>
      <c r="G6" s="38" t="n">
        <f aca="false">(F6-E6)*B6</f>
        <v>0</v>
      </c>
      <c r="H6" s="38" t="n">
        <v>0</v>
      </c>
      <c r="I6" s="38" t="n">
        <v>0</v>
      </c>
      <c r="J6" s="38" t="n">
        <f aca="false">SUM(G6:I6)*(1+RESRATE)</f>
        <v>0</v>
      </c>
      <c r="K6" s="38" t="n">
        <v>223</v>
      </c>
      <c r="L6" s="38" t="n">
        <v>142</v>
      </c>
      <c r="M6" s="38" t="str">
        <f aca="false">IF(AND(D6&lt;=K6,D6&lt;=L6),"COMPLIANT PRICE","OVER CAP: NOT EXECUTABLE")</f>
        <v>OVER CAP: NOT EXECUTABLE</v>
      </c>
      <c r="N6" s="37" t="s">
        <v>694</v>
      </c>
    </row>
    <row r="7" customFormat="false" ht="39" hidden="false" customHeight="true" outlineLevel="0" collapsed="false">
      <c r="A7" s="37" t="s">
        <v>61</v>
      </c>
      <c r="B7" s="38" t="n">
        <v>18</v>
      </c>
      <c r="C7" s="38" t="n">
        <v>2026</v>
      </c>
      <c r="D7" s="38" t="n">
        <f aca="false">CityData!F4</f>
        <v>158</v>
      </c>
      <c r="E7" s="38" t="n">
        <v>234</v>
      </c>
      <c r="F7" s="38" t="n">
        <v>234</v>
      </c>
      <c r="G7" s="38" t="n">
        <f aca="false">(F7-E7)*B7</f>
        <v>0</v>
      </c>
      <c r="H7" s="38" t="n">
        <v>0</v>
      </c>
      <c r="I7" s="38" t="n">
        <v>0</v>
      </c>
      <c r="J7" s="38" t="n">
        <f aca="false">SUM(G7:I7)*(1+RESRATE)</f>
        <v>0</v>
      </c>
      <c r="K7" s="38" t="n">
        <v>223</v>
      </c>
      <c r="L7" s="38" t="n">
        <v>142</v>
      </c>
      <c r="M7" s="38" t="str">
        <f aca="false">IF(AND(D7&lt;=K7,D7&lt;=L7),"COMPLIANT PRICE","OVER CAP: NOT EXECUTABLE")</f>
        <v>OVER CAP: NOT EXECUTABLE</v>
      </c>
      <c r="N7" s="37" t="s">
        <v>694</v>
      </c>
    </row>
    <row r="8" customFormat="false" ht="39" hidden="false" customHeight="true" outlineLevel="0" collapsed="false">
      <c r="A8" s="37" t="s">
        <v>61</v>
      </c>
      <c r="B8" s="38" t="n">
        <v>24</v>
      </c>
      <c r="C8" s="38" t="n">
        <v>2025</v>
      </c>
      <c r="D8" s="38" t="n">
        <f aca="false">CityData!F4</f>
        <v>158</v>
      </c>
      <c r="E8" s="38" t="n">
        <v>234</v>
      </c>
      <c r="F8" s="38" t="n">
        <v>234</v>
      </c>
      <c r="G8" s="38" t="n">
        <f aca="false">(F8-E8)*B8</f>
        <v>0</v>
      </c>
      <c r="H8" s="38" t="n">
        <v>0</v>
      </c>
      <c r="I8" s="38" t="n">
        <v>0</v>
      </c>
      <c r="J8" s="38" t="n">
        <f aca="false">SUM(G8:I8)*(1+RESRATE)</f>
        <v>0</v>
      </c>
      <c r="K8" s="38" t="n">
        <v>223</v>
      </c>
      <c r="L8" s="38" t="n">
        <v>142</v>
      </c>
      <c r="M8" s="38" t="str">
        <f aca="false">IF(AND(D8&lt;=K8,D8&lt;=L8),"COMPLIANT PRICE","OVER CAP: NOT EXECUTABLE")</f>
        <v>OVER CAP: NOT EXECUTABLE</v>
      </c>
      <c r="N8" s="37" t="s">
        <v>694</v>
      </c>
    </row>
    <row r="9" customFormat="false" ht="39" hidden="false" customHeight="true" outlineLevel="0" collapsed="false">
      <c r="A9" s="37" t="s">
        <v>61</v>
      </c>
      <c r="B9" s="38" t="n">
        <v>24</v>
      </c>
      <c r="C9" s="38" t="n">
        <v>2026</v>
      </c>
      <c r="D9" s="38" t="n">
        <f aca="false">CityData!F4</f>
        <v>158</v>
      </c>
      <c r="E9" s="38" t="n">
        <v>234</v>
      </c>
      <c r="F9" s="38" t="n">
        <v>234</v>
      </c>
      <c r="G9" s="38" t="n">
        <f aca="false">(F9-E9)*B9</f>
        <v>0</v>
      </c>
      <c r="H9" s="38" t="n">
        <v>0</v>
      </c>
      <c r="I9" s="38" t="n">
        <v>0</v>
      </c>
      <c r="J9" s="38" t="n">
        <f aca="false">SUM(G9:I9)*(1+RESRATE)</f>
        <v>0</v>
      </c>
      <c r="K9" s="38" t="n">
        <v>223</v>
      </c>
      <c r="L9" s="38" t="n">
        <v>142</v>
      </c>
      <c r="M9" s="38" t="str">
        <f aca="false">IF(AND(D9&lt;=K9,D9&lt;=L9),"COMPLIANT PRICE","OVER CAP: NOT EXECUTABLE")</f>
        <v>OVER CAP: NOT EXECUTABLE</v>
      </c>
      <c r="N9" s="37" t="s">
        <v>694</v>
      </c>
    </row>
    <row r="10" customFormat="false" ht="39" hidden="false" customHeight="true" outlineLevel="0" collapsed="false">
      <c r="A10" s="37" t="s">
        <v>65</v>
      </c>
      <c r="B10" s="38" t="n">
        <v>18</v>
      </c>
      <c r="C10" s="38" t="n">
        <v>2025</v>
      </c>
      <c r="D10" s="38" t="n">
        <v>109</v>
      </c>
      <c r="E10" s="38" t="n">
        <v>234</v>
      </c>
      <c r="F10" s="38" t="n">
        <v>234</v>
      </c>
      <c r="G10" s="38" t="n">
        <f aca="false">(F10-E10)*B10</f>
        <v>0</v>
      </c>
      <c r="H10" s="38" t="n">
        <v>0</v>
      </c>
      <c r="I10" s="38" t="n">
        <v>0</v>
      </c>
      <c r="J10" s="38" t="n">
        <f aca="false">SUM(G10:I10)*(1+RESRATE)</f>
        <v>0</v>
      </c>
      <c r="K10" s="38" t="n">
        <v>165</v>
      </c>
      <c r="L10" s="38" t="n">
        <v>165</v>
      </c>
      <c r="M10" s="38" t="str">
        <f aca="false">IF(AND(D10&lt;=K10,D10&lt;=L10),"COMPLIANT PRICE","OVER CAP: NOT EXECUTABLE")</f>
        <v>COMPLIANT PRICE</v>
      </c>
      <c r="N10" s="37" t="s">
        <v>694</v>
      </c>
    </row>
    <row r="11" customFormat="false" ht="39" hidden="false" customHeight="true" outlineLevel="0" collapsed="false">
      <c r="A11" s="37" t="s">
        <v>65</v>
      </c>
      <c r="B11" s="38" t="n">
        <v>18</v>
      </c>
      <c r="C11" s="38" t="n">
        <v>2026</v>
      </c>
      <c r="D11" s="38" t="n">
        <v>109</v>
      </c>
      <c r="E11" s="38" t="n">
        <v>234</v>
      </c>
      <c r="F11" s="38" t="n">
        <v>234</v>
      </c>
      <c r="G11" s="38" t="n">
        <f aca="false">(F11-E11)*B11</f>
        <v>0</v>
      </c>
      <c r="H11" s="38" t="n">
        <v>0</v>
      </c>
      <c r="I11" s="38" t="n">
        <v>0</v>
      </c>
      <c r="J11" s="38" t="n">
        <f aca="false">SUM(G11:I11)*(1+RESRATE)</f>
        <v>0</v>
      </c>
      <c r="K11" s="38" t="n">
        <v>165</v>
      </c>
      <c r="L11" s="38" t="n">
        <v>165</v>
      </c>
      <c r="M11" s="38" t="str">
        <f aca="false">IF(AND(D11&lt;=K11,D11&lt;=L11),"COMPLIANT PRICE","OVER CAP: NOT EXECUTABLE")</f>
        <v>COMPLIANT PRICE</v>
      </c>
      <c r="N11" s="37" t="s">
        <v>694</v>
      </c>
    </row>
    <row r="12" customFormat="false" ht="39" hidden="false" customHeight="true" outlineLevel="0" collapsed="false">
      <c r="A12" s="37" t="s">
        <v>65</v>
      </c>
      <c r="B12" s="38" t="n">
        <v>24</v>
      </c>
      <c r="C12" s="38" t="n">
        <v>2025</v>
      </c>
      <c r="D12" s="38" t="n">
        <v>109</v>
      </c>
      <c r="E12" s="38" t="n">
        <v>234</v>
      </c>
      <c r="F12" s="38" t="n">
        <v>234</v>
      </c>
      <c r="G12" s="38" t="n">
        <f aca="false">(F12-E12)*B12</f>
        <v>0</v>
      </c>
      <c r="H12" s="38" t="n">
        <v>0</v>
      </c>
      <c r="I12" s="38" t="n">
        <v>0</v>
      </c>
      <c r="J12" s="38" t="n">
        <f aca="false">SUM(G12:I12)*(1+RESRATE)</f>
        <v>0</v>
      </c>
      <c r="K12" s="38" t="n">
        <v>165</v>
      </c>
      <c r="L12" s="38" t="n">
        <v>165</v>
      </c>
      <c r="M12" s="38" t="str">
        <f aca="false">IF(AND(D12&lt;=K12,D12&lt;=L12),"COMPLIANT PRICE","OVER CAP: NOT EXECUTABLE")</f>
        <v>COMPLIANT PRICE</v>
      </c>
      <c r="N12" s="37" t="s">
        <v>694</v>
      </c>
    </row>
    <row r="13" customFormat="false" ht="39" hidden="false" customHeight="true" outlineLevel="0" collapsed="false">
      <c r="A13" s="37" t="s">
        <v>65</v>
      </c>
      <c r="B13" s="38" t="n">
        <v>24</v>
      </c>
      <c r="C13" s="38" t="n">
        <v>2026</v>
      </c>
      <c r="D13" s="38" t="n">
        <v>109</v>
      </c>
      <c r="E13" s="38" t="n">
        <v>234</v>
      </c>
      <c r="F13" s="38" t="n">
        <v>234</v>
      </c>
      <c r="G13" s="38" t="n">
        <f aca="false">(F13-E13)*B13</f>
        <v>0</v>
      </c>
      <c r="H13" s="38" t="n">
        <v>0</v>
      </c>
      <c r="I13" s="38" t="n">
        <v>0</v>
      </c>
      <c r="J13" s="38" t="n">
        <f aca="false">SUM(G13:I13)*(1+RESRATE)</f>
        <v>0</v>
      </c>
      <c r="K13" s="38" t="n">
        <v>165</v>
      </c>
      <c r="L13" s="38" t="n">
        <v>165</v>
      </c>
      <c r="M13" s="38" t="str">
        <f aca="false">IF(AND(D13&lt;=K13,D13&lt;=L13),"COMPLIANT PRICE","OVER CAP: NOT EXECUTABLE")</f>
        <v>COMPLIANT PRICE</v>
      </c>
      <c r="N13" s="37" t="s">
        <v>694</v>
      </c>
    </row>
    <row r="14" customFormat="false" ht="39" hidden="false" customHeight="true" outlineLevel="0" collapsed="false">
      <c r="A14" s="37" t="s">
        <v>70</v>
      </c>
      <c r="B14" s="38" t="n">
        <v>18</v>
      </c>
      <c r="C14" s="38" t="n">
        <v>2025</v>
      </c>
      <c r="D14" s="38" t="n">
        <v>150</v>
      </c>
      <c r="E14" s="38" t="n">
        <v>223</v>
      </c>
      <c r="F14" s="38" t="n">
        <v>223</v>
      </c>
      <c r="G14" s="38" t="n">
        <f aca="false">(F14-E14)*B14</f>
        <v>0</v>
      </c>
      <c r="H14" s="38" t="n">
        <v>0</v>
      </c>
      <c r="I14" s="38" t="n">
        <v>0</v>
      </c>
      <c r="J14" s="38" t="n">
        <f aca="false">SUM(G14:I14)*(1+RESRATE)</f>
        <v>0</v>
      </c>
      <c r="K14" s="38" t="n">
        <v>160</v>
      </c>
      <c r="L14" s="38" t="n">
        <v>160</v>
      </c>
      <c r="M14" s="38" t="str">
        <f aca="false">IF(AND(D14&lt;=K14,D14&lt;=L14),"COMPLIANT PRICE","OVER CAP: NOT EXECUTABLE")</f>
        <v>COMPLIANT PRICE</v>
      </c>
      <c r="N14" s="37" t="s">
        <v>694</v>
      </c>
    </row>
    <row r="15" customFormat="false" ht="39" hidden="false" customHeight="true" outlineLevel="0" collapsed="false">
      <c r="A15" s="37" t="s">
        <v>70</v>
      </c>
      <c r="B15" s="38" t="n">
        <v>18</v>
      </c>
      <c r="C15" s="38" t="n">
        <v>2026</v>
      </c>
      <c r="D15" s="38" t="n">
        <v>150</v>
      </c>
      <c r="E15" s="38" t="n">
        <v>223</v>
      </c>
      <c r="F15" s="38" t="n">
        <v>223</v>
      </c>
      <c r="G15" s="38" t="n">
        <f aca="false">(F15-E15)*B15</f>
        <v>0</v>
      </c>
      <c r="H15" s="38" t="n">
        <v>0</v>
      </c>
      <c r="I15" s="38" t="n">
        <v>0</v>
      </c>
      <c r="J15" s="38" t="n">
        <f aca="false">SUM(G15:I15)*(1+RESRATE)</f>
        <v>0</v>
      </c>
      <c r="K15" s="38" t="n">
        <v>160</v>
      </c>
      <c r="L15" s="38" t="n">
        <v>160</v>
      </c>
      <c r="M15" s="38" t="str">
        <f aca="false">IF(AND(D15&lt;=K15,D15&lt;=L15),"COMPLIANT PRICE","OVER CAP: NOT EXECUTABLE")</f>
        <v>COMPLIANT PRICE</v>
      </c>
      <c r="N15" s="37" t="s">
        <v>694</v>
      </c>
    </row>
    <row r="16" customFormat="false" ht="39" hidden="false" customHeight="true" outlineLevel="0" collapsed="false">
      <c r="A16" s="37" t="s">
        <v>70</v>
      </c>
      <c r="B16" s="38" t="n">
        <v>24</v>
      </c>
      <c r="C16" s="38" t="n">
        <v>2025</v>
      </c>
      <c r="D16" s="38" t="n">
        <v>150</v>
      </c>
      <c r="E16" s="38" t="n">
        <v>223</v>
      </c>
      <c r="F16" s="38" t="n">
        <v>223</v>
      </c>
      <c r="G16" s="38" t="n">
        <f aca="false">(F16-E16)*B16</f>
        <v>0</v>
      </c>
      <c r="H16" s="38" t="n">
        <v>0</v>
      </c>
      <c r="I16" s="38" t="n">
        <v>0</v>
      </c>
      <c r="J16" s="38" t="n">
        <f aca="false">SUM(G16:I16)*(1+RESRATE)</f>
        <v>0</v>
      </c>
      <c r="K16" s="38" t="n">
        <v>160</v>
      </c>
      <c r="L16" s="38" t="n">
        <v>160</v>
      </c>
      <c r="M16" s="38" t="str">
        <f aca="false">IF(AND(D16&lt;=K16,D16&lt;=L16),"COMPLIANT PRICE","OVER CAP: NOT EXECUTABLE")</f>
        <v>COMPLIANT PRICE</v>
      </c>
      <c r="N16" s="37" t="s">
        <v>694</v>
      </c>
    </row>
    <row r="17" customFormat="false" ht="39" hidden="false" customHeight="true" outlineLevel="0" collapsed="false">
      <c r="A17" s="37" t="s">
        <v>70</v>
      </c>
      <c r="B17" s="38" t="n">
        <v>24</v>
      </c>
      <c r="C17" s="38" t="n">
        <v>2026</v>
      </c>
      <c r="D17" s="38" t="n">
        <v>150</v>
      </c>
      <c r="E17" s="38" t="n">
        <v>223</v>
      </c>
      <c r="F17" s="38" t="n">
        <v>223</v>
      </c>
      <c r="G17" s="38" t="n">
        <f aca="false">(F17-E17)*B17</f>
        <v>0</v>
      </c>
      <c r="H17" s="38" t="n">
        <v>0</v>
      </c>
      <c r="I17" s="38" t="n">
        <v>0</v>
      </c>
      <c r="J17" s="38" t="n">
        <f aca="false">SUM(G17:I17)*(1+RESRATE)</f>
        <v>0</v>
      </c>
      <c r="K17" s="38" t="n">
        <v>160</v>
      </c>
      <c r="L17" s="38" t="n">
        <v>160</v>
      </c>
      <c r="M17" s="38" t="str">
        <f aca="false">IF(AND(D17&lt;=K17,D17&lt;=L17),"COMPLIANT PRICE","OVER CAP: NOT EXECUTABLE")</f>
        <v>COMPLIANT PRICE</v>
      </c>
      <c r="N17" s="37" t="s">
        <v>694</v>
      </c>
    </row>
    <row r="18" customFormat="false" ht="39" hidden="false" customHeight="true" outlineLevel="0" collapsed="false">
      <c r="A18" s="37" t="s">
        <v>73</v>
      </c>
      <c r="B18" s="38" t="n">
        <v>18</v>
      </c>
      <c r="C18" s="38" t="n">
        <v>2025</v>
      </c>
      <c r="D18" s="38" t="n">
        <v>101</v>
      </c>
      <c r="E18" s="38" t="n">
        <v>234</v>
      </c>
      <c r="F18" s="38" t="n">
        <v>234</v>
      </c>
      <c r="G18" s="38" t="n">
        <f aca="false">(F18-E18)*B18</f>
        <v>0</v>
      </c>
      <c r="H18" s="38" t="n">
        <v>0</v>
      </c>
      <c r="I18" s="38" t="n">
        <v>0</v>
      </c>
      <c r="J18" s="38" t="n">
        <f aca="false">SUM(G18:I18)*(1+RESRATE)</f>
        <v>0</v>
      </c>
      <c r="K18" s="38" t="n">
        <v>188</v>
      </c>
      <c r="L18" s="38" t="n">
        <v>188</v>
      </c>
      <c r="M18" s="38" t="str">
        <f aca="false">IF(AND(D18&lt;=K18,D18&lt;=L18),"COMPLIANT PRICE","OVER CAP: NOT EXECUTABLE")</f>
        <v>COMPLIANT PRICE</v>
      </c>
      <c r="N18" s="37" t="s">
        <v>694</v>
      </c>
    </row>
    <row r="19" customFormat="false" ht="39" hidden="false" customHeight="true" outlineLevel="0" collapsed="false">
      <c r="A19" s="37" t="s">
        <v>73</v>
      </c>
      <c r="B19" s="38" t="n">
        <v>18</v>
      </c>
      <c r="C19" s="38" t="n">
        <v>2026</v>
      </c>
      <c r="D19" s="38" t="n">
        <v>101</v>
      </c>
      <c r="E19" s="38" t="n">
        <v>234</v>
      </c>
      <c r="F19" s="38" t="n">
        <v>234</v>
      </c>
      <c r="G19" s="38" t="n">
        <f aca="false">(F19-E19)*B19</f>
        <v>0</v>
      </c>
      <c r="H19" s="38" t="n">
        <v>0</v>
      </c>
      <c r="I19" s="38" t="n">
        <v>0</v>
      </c>
      <c r="J19" s="38" t="n">
        <f aca="false">SUM(G19:I19)*(1+RESRATE)</f>
        <v>0</v>
      </c>
      <c r="K19" s="38" t="n">
        <v>188</v>
      </c>
      <c r="L19" s="38" t="n">
        <v>188</v>
      </c>
      <c r="M19" s="38" t="str">
        <f aca="false">IF(AND(D19&lt;=K19,D19&lt;=L19),"COMPLIANT PRICE","OVER CAP: NOT EXECUTABLE")</f>
        <v>COMPLIANT PRICE</v>
      </c>
      <c r="N19" s="37" t="s">
        <v>694</v>
      </c>
    </row>
    <row r="20" customFormat="false" ht="39" hidden="false" customHeight="true" outlineLevel="0" collapsed="false">
      <c r="A20" s="37" t="s">
        <v>73</v>
      </c>
      <c r="B20" s="38" t="n">
        <v>24</v>
      </c>
      <c r="C20" s="38" t="n">
        <v>2025</v>
      </c>
      <c r="D20" s="38" t="n">
        <v>101</v>
      </c>
      <c r="E20" s="38" t="n">
        <v>234</v>
      </c>
      <c r="F20" s="38" t="n">
        <v>234</v>
      </c>
      <c r="G20" s="38" t="n">
        <f aca="false">(F20-E20)*B20</f>
        <v>0</v>
      </c>
      <c r="H20" s="38" t="n">
        <v>0</v>
      </c>
      <c r="I20" s="38" t="n">
        <v>0</v>
      </c>
      <c r="J20" s="38" t="n">
        <f aca="false">SUM(G20:I20)*(1+RESRATE)</f>
        <v>0</v>
      </c>
      <c r="K20" s="38" t="n">
        <v>188</v>
      </c>
      <c r="L20" s="38" t="n">
        <v>188</v>
      </c>
      <c r="M20" s="38" t="str">
        <f aca="false">IF(AND(D20&lt;=K20,D20&lt;=L20),"COMPLIANT PRICE","OVER CAP: NOT EXECUTABLE")</f>
        <v>COMPLIANT PRICE</v>
      </c>
      <c r="N20" s="37" t="s">
        <v>694</v>
      </c>
    </row>
    <row r="21" customFormat="false" ht="39" hidden="false" customHeight="true" outlineLevel="0" collapsed="false">
      <c r="A21" s="37" t="s">
        <v>73</v>
      </c>
      <c r="B21" s="38" t="n">
        <v>24</v>
      </c>
      <c r="C21" s="38" t="n">
        <v>2026</v>
      </c>
      <c r="D21" s="38" t="n">
        <v>101</v>
      </c>
      <c r="E21" s="38" t="n">
        <v>234</v>
      </c>
      <c r="F21" s="38" t="n">
        <v>234</v>
      </c>
      <c r="G21" s="38" t="n">
        <f aca="false">(F21-E21)*B21</f>
        <v>0</v>
      </c>
      <c r="H21" s="38" t="n">
        <v>0</v>
      </c>
      <c r="I21" s="38" t="n">
        <v>0</v>
      </c>
      <c r="J21" s="38" t="n">
        <f aca="false">SUM(G21:I21)*(1+RESRATE)</f>
        <v>0</v>
      </c>
      <c r="K21" s="38" t="n">
        <v>188</v>
      </c>
      <c r="L21" s="38" t="n">
        <v>188</v>
      </c>
      <c r="M21" s="38" t="str">
        <f aca="false">IF(AND(D21&lt;=K21,D21&lt;=L21),"COMPLIANT PRICE","OVER CAP: NOT EXECUTABLE")</f>
        <v>COMPLIANT PRICE</v>
      </c>
      <c r="N21" s="37" t="s">
        <v>694</v>
      </c>
    </row>
  </sheetData>
  <autoFilter ref="A1:N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1" min="1" style="1" width="24"/>
    <col collapsed="false" customWidth="true" hidden="false" outlineLevel="0" max="12" min="12" style="1" width="85"/>
  </cols>
  <sheetData>
    <row r="1" customFormat="false" ht="15" hidden="false" customHeight="true" outlineLevel="0" collapsed="false">
      <c r="A1" s="36" t="s">
        <v>695</v>
      </c>
      <c r="B1" s="36" t="s">
        <v>122</v>
      </c>
      <c r="C1" s="36" t="s">
        <v>696</v>
      </c>
      <c r="D1" s="36" t="s">
        <v>697</v>
      </c>
      <c r="E1" s="36" t="s">
        <v>698</v>
      </c>
      <c r="F1" s="36" t="s">
        <v>699</v>
      </c>
      <c r="G1" s="36" t="s">
        <v>700</v>
      </c>
      <c r="H1" s="36" t="s">
        <v>701</v>
      </c>
      <c r="I1" s="36" t="s">
        <v>702</v>
      </c>
      <c r="J1" s="36" t="s">
        <v>703</v>
      </c>
      <c r="K1" s="36" t="s">
        <v>704</v>
      </c>
      <c r="L1" s="36" t="s">
        <v>705</v>
      </c>
    </row>
    <row r="2" customFormat="false" ht="51.75" hidden="false" customHeight="true" outlineLevel="0" collapsed="false">
      <c r="A2" s="38" t="str">
        <f aca="false">Options!A5</f>
        <v>Boston</v>
      </c>
      <c r="B2" s="38" t="n">
        <v>24</v>
      </c>
      <c r="C2" s="38" t="n">
        <f aca="false">Options!P5</f>
        <v>35420.16</v>
      </c>
      <c r="D2" s="38" t="n">
        <f aca="false">Options!X5</f>
        <v>7464</v>
      </c>
      <c r="E2" s="38" t="n">
        <f aca="false">Options!Y5</f>
        <v>15056.0304761905</v>
      </c>
      <c r="F2" s="38" t="n">
        <f aca="false">Options!Z5</f>
        <v>13563.2304761905</v>
      </c>
      <c r="G2" s="38" t="n">
        <f aca="false">C2-Options!P7</f>
        <v>-4392</v>
      </c>
      <c r="H2" s="38" t="n">
        <f aca="false">D2-Options!X7</f>
        <v>984</v>
      </c>
      <c r="I2" s="38" t="n">
        <f aca="false">G2</f>
        <v>-4392</v>
      </c>
      <c r="J2" s="38" t="n">
        <f aca="false">G2+0.2*H2</f>
        <v>-4195.2</v>
      </c>
      <c r="K2" s="37" t="s">
        <v>706</v>
      </c>
      <c r="L2" s="37" t="s">
        <v>707</v>
      </c>
    </row>
    <row r="3" customFormat="false" ht="51.75" hidden="false" customHeight="true" outlineLevel="0" collapsed="false">
      <c r="A3" s="38" t="str">
        <f aca="false">Options!A6</f>
        <v>Boston</v>
      </c>
      <c r="B3" s="38" t="n">
        <v>18</v>
      </c>
      <c r="C3" s="38" t="n">
        <f aca="false">Options!P6</f>
        <v>26565.12</v>
      </c>
      <c r="D3" s="38" t="n">
        <f aca="false">Options!X6</f>
        <v>5598</v>
      </c>
      <c r="E3" s="38" t="n">
        <f aca="false">Options!Y6</f>
        <v>23911.0704761905</v>
      </c>
      <c r="F3" s="38" t="n">
        <f aca="false">Options!Z6</f>
        <v>22791.4704761905</v>
      </c>
      <c r="G3" s="38" t="n">
        <f aca="false">C3-Options!P8</f>
        <v>-3294</v>
      </c>
      <c r="H3" s="38" t="n">
        <f aca="false">D3-Options!X8</f>
        <v>738</v>
      </c>
      <c r="I3" s="38" t="n">
        <f aca="false">G3</f>
        <v>-3294</v>
      </c>
      <c r="J3" s="38" t="n">
        <f aca="false">G3+0.2*H3</f>
        <v>-3146.4</v>
      </c>
      <c r="K3" s="37" t="s">
        <v>706</v>
      </c>
      <c r="L3" s="37" t="s">
        <v>708</v>
      </c>
    </row>
    <row r="4" customFormat="false" ht="51.75" hidden="false" customHeight="true" outlineLevel="0" collapsed="false">
      <c r="A4" s="38" t="str">
        <f aca="false">Options!A7</f>
        <v>Chicago</v>
      </c>
      <c r="B4" s="38" t="n">
        <v>24</v>
      </c>
      <c r="C4" s="38" t="n">
        <f aca="false">Options!P7</f>
        <v>39812.16</v>
      </c>
      <c r="D4" s="38" t="n">
        <f aca="false">Options!X7</f>
        <v>6480</v>
      </c>
      <c r="E4" s="38" t="n">
        <f aca="false">Options!Y7</f>
        <v>10664.0304761905</v>
      </c>
      <c r="F4" s="38" t="n">
        <f aca="false">Options!Z7</f>
        <v>9368.03047619047</v>
      </c>
      <c r="G4" s="38" t="n">
        <f aca="false">C4-Options!P7</f>
        <v>0</v>
      </c>
      <c r="H4" s="38" t="n">
        <f aca="false">D4-Options!X7</f>
        <v>0</v>
      </c>
      <c r="I4" s="38" t="n">
        <f aca="false">G4</f>
        <v>0</v>
      </c>
      <c r="J4" s="38" t="n">
        <f aca="false">G4+0.2*H4</f>
        <v>0</v>
      </c>
      <c r="K4" s="37" t="s">
        <v>706</v>
      </c>
      <c r="L4" s="37" t="s">
        <v>707</v>
      </c>
    </row>
    <row r="5" customFormat="false" ht="51.75" hidden="false" customHeight="true" outlineLevel="0" collapsed="false">
      <c r="A5" s="38" t="str">
        <f aca="false">Options!A8</f>
        <v>Chicago</v>
      </c>
      <c r="B5" s="38" t="n">
        <v>18</v>
      </c>
      <c r="C5" s="38" t="n">
        <f aca="false">Options!P8</f>
        <v>29859.12</v>
      </c>
      <c r="D5" s="38" t="n">
        <f aca="false">Options!X8</f>
        <v>4860</v>
      </c>
      <c r="E5" s="38" t="n">
        <f aca="false">Options!Y8</f>
        <v>20617.0704761905</v>
      </c>
      <c r="F5" s="38" t="n">
        <f aca="false">Options!Z8</f>
        <v>19645.0704761905</v>
      </c>
      <c r="G5" s="38" t="n">
        <f aca="false">C5-Options!P8</f>
        <v>0</v>
      </c>
      <c r="H5" s="38" t="n">
        <f aca="false">D5-Options!X8</f>
        <v>0</v>
      </c>
      <c r="I5" s="38" t="n">
        <f aca="false">G5</f>
        <v>0</v>
      </c>
      <c r="J5" s="38" t="n">
        <f aca="false">G5+0.2*H5</f>
        <v>0</v>
      </c>
      <c r="K5" s="37" t="s">
        <v>706</v>
      </c>
      <c r="L5" s="37" t="s">
        <v>708</v>
      </c>
    </row>
    <row r="6" customFormat="false" ht="51.75" hidden="false" customHeight="true" outlineLevel="0" collapsed="false">
      <c r="A6" s="38" t="str">
        <f aca="false">Options!A9</f>
        <v>Denver</v>
      </c>
      <c r="B6" s="38" t="n">
        <v>24</v>
      </c>
      <c r="C6" s="38" t="n">
        <f aca="false">Options!P9</f>
        <v>44335.68</v>
      </c>
      <c r="D6" s="38" t="n">
        <f aca="false">Options!X9</f>
        <v>13872</v>
      </c>
      <c r="E6" s="38" t="n">
        <f aca="false">Options!Y9</f>
        <v>6140.51047619047</v>
      </c>
      <c r="F6" s="38" t="n">
        <f aca="false">Options!Z9</f>
        <v>3366.11047619047</v>
      </c>
      <c r="G6" s="38" t="n">
        <f aca="false">C6-Options!P7</f>
        <v>4523.52</v>
      </c>
      <c r="H6" s="38" t="n">
        <f aca="false">D6-Options!X7</f>
        <v>7392</v>
      </c>
      <c r="I6" s="38" t="n">
        <f aca="false">G6</f>
        <v>4523.52</v>
      </c>
      <c r="J6" s="38" t="n">
        <f aca="false">G6+0.2*H6</f>
        <v>6001.92</v>
      </c>
      <c r="K6" s="37" t="s">
        <v>706</v>
      </c>
      <c r="L6" s="37" t="s">
        <v>707</v>
      </c>
    </row>
    <row r="7" customFormat="false" ht="51.75" hidden="false" customHeight="true" outlineLevel="0" collapsed="false">
      <c r="A7" s="38" t="str">
        <f aca="false">Options!A10</f>
        <v>Denver</v>
      </c>
      <c r="B7" s="38" t="n">
        <v>18</v>
      </c>
      <c r="C7" s="38" t="n">
        <f aca="false">Options!P10</f>
        <v>33251.76</v>
      </c>
      <c r="D7" s="38" t="n">
        <f aca="false">Options!X10</f>
        <v>10404</v>
      </c>
      <c r="E7" s="38" t="n">
        <f aca="false">Options!Y10</f>
        <v>17224.4304761905</v>
      </c>
      <c r="F7" s="38" t="n">
        <f aca="false">Options!Z10</f>
        <v>15143.6304761905</v>
      </c>
      <c r="G7" s="38" t="n">
        <f aca="false">C7-Options!P8</f>
        <v>3392.64</v>
      </c>
      <c r="H7" s="38" t="n">
        <f aca="false">D7-Options!X8</f>
        <v>5544</v>
      </c>
      <c r="I7" s="38" t="n">
        <f aca="false">G7</f>
        <v>3392.64</v>
      </c>
      <c r="J7" s="38" t="n">
        <f aca="false">G7+0.2*H7</f>
        <v>4501.44</v>
      </c>
      <c r="K7" s="37" t="s">
        <v>706</v>
      </c>
      <c r="L7" s="37" t="s">
        <v>708</v>
      </c>
    </row>
    <row r="8" customFormat="false" ht="51.75" hidden="false" customHeight="true" outlineLevel="0" collapsed="false">
      <c r="A8" s="38" t="str">
        <f aca="false">Options!A11</f>
        <v>Phoenix</v>
      </c>
      <c r="B8" s="38" t="n">
        <v>24</v>
      </c>
      <c r="C8" s="38" t="n">
        <f aca="false">Options!P11</f>
        <v>46176</v>
      </c>
      <c r="D8" s="38" t="n">
        <f aca="false">Options!X11</f>
        <v>11976</v>
      </c>
      <c r="E8" s="38" t="n">
        <f aca="false">Options!Y11</f>
        <v>4300.19047619047</v>
      </c>
      <c r="F8" s="38" t="n">
        <f aca="false">Options!Z11</f>
        <v>1904.99047619047</v>
      </c>
      <c r="G8" s="38" t="n">
        <f aca="false">C8-Options!P7</f>
        <v>6363.84</v>
      </c>
      <c r="H8" s="38" t="n">
        <f aca="false">D8-Options!X7</f>
        <v>5496</v>
      </c>
      <c r="I8" s="38" t="n">
        <f aca="false">G8</f>
        <v>6363.84</v>
      </c>
      <c r="J8" s="38" t="n">
        <f aca="false">G8+0.2*H8</f>
        <v>7463.04</v>
      </c>
      <c r="K8" s="37" t="s">
        <v>706</v>
      </c>
      <c r="L8" s="37" t="s">
        <v>707</v>
      </c>
    </row>
    <row r="9" customFormat="false" ht="51.75" hidden="false" customHeight="true" outlineLevel="0" collapsed="false">
      <c r="A9" s="38" t="str">
        <f aca="false">Options!A12</f>
        <v>Phoenix</v>
      </c>
      <c r="B9" s="38" t="n">
        <v>18</v>
      </c>
      <c r="C9" s="38" t="n">
        <f aca="false">Options!P12</f>
        <v>34632</v>
      </c>
      <c r="D9" s="38" t="n">
        <f aca="false">Options!X12</f>
        <v>8982</v>
      </c>
      <c r="E9" s="38" t="n">
        <f aca="false">Options!Y12</f>
        <v>15844.1904761905</v>
      </c>
      <c r="F9" s="38" t="n">
        <f aca="false">Options!Z12</f>
        <v>14047.7904761905</v>
      </c>
      <c r="G9" s="38" t="n">
        <f aca="false">C9-Options!P8</f>
        <v>4772.88</v>
      </c>
      <c r="H9" s="38" t="n">
        <f aca="false">D9-Options!X8</f>
        <v>4122</v>
      </c>
      <c r="I9" s="38" t="n">
        <f aca="false">G9</f>
        <v>4772.88</v>
      </c>
      <c r="J9" s="38" t="n">
        <f aca="false">G9+0.2*H9</f>
        <v>5597.28</v>
      </c>
      <c r="K9" s="37" t="s">
        <v>706</v>
      </c>
      <c r="L9" s="37" t="s">
        <v>708</v>
      </c>
    </row>
    <row r="10" customFormat="false" ht="51.75" hidden="false" customHeight="true" outlineLevel="0" collapsed="false">
      <c r="A10" s="38" t="str">
        <f aca="false">Options!A13</f>
        <v>Seattle</v>
      </c>
      <c r="B10" s="38" t="n">
        <v>24</v>
      </c>
      <c r="C10" s="38" t="n">
        <f aca="false">Options!P13</f>
        <v>43763.52</v>
      </c>
      <c r="D10" s="38" t="n">
        <f aca="false">Options!X13</f>
        <v>14160</v>
      </c>
      <c r="E10" s="38" t="n">
        <f aca="false">Options!Y13</f>
        <v>6712.67047619047</v>
      </c>
      <c r="F10" s="38" t="n">
        <f aca="false">Options!Z13</f>
        <v>3880.67047619047</v>
      </c>
      <c r="G10" s="38" t="n">
        <f aca="false">C10-Options!P7</f>
        <v>3951.36</v>
      </c>
      <c r="H10" s="38" t="n">
        <f aca="false">D10-Options!X7</f>
        <v>7680</v>
      </c>
      <c r="I10" s="38" t="n">
        <f aca="false">G10</f>
        <v>3951.36</v>
      </c>
      <c r="J10" s="38" t="n">
        <f aca="false">G10+0.2*H10</f>
        <v>5487.36</v>
      </c>
      <c r="K10" s="37" t="s">
        <v>706</v>
      </c>
      <c r="L10" s="37" t="s">
        <v>707</v>
      </c>
    </row>
    <row r="11" customFormat="false" ht="51.75" hidden="false" customHeight="true" outlineLevel="0" collapsed="false">
      <c r="A11" s="38" t="str">
        <f aca="false">Options!A14</f>
        <v>Seattle</v>
      </c>
      <c r="B11" s="38" t="n">
        <v>18</v>
      </c>
      <c r="C11" s="38" t="n">
        <f aca="false">Options!P14</f>
        <v>32822.64</v>
      </c>
      <c r="D11" s="38" t="n">
        <f aca="false">Options!X14</f>
        <v>10620</v>
      </c>
      <c r="E11" s="38" t="n">
        <f aca="false">Options!Y14</f>
        <v>17653.5504761905</v>
      </c>
      <c r="F11" s="38" t="n">
        <f aca="false">Options!Z14</f>
        <v>15529.5504761905</v>
      </c>
      <c r="G11" s="38" t="n">
        <f aca="false">C11-Options!P8</f>
        <v>2963.52</v>
      </c>
      <c r="H11" s="38" t="n">
        <f aca="false">D11-Options!X8</f>
        <v>5760</v>
      </c>
      <c r="I11" s="38" t="n">
        <f aca="false">G11</f>
        <v>2963.52</v>
      </c>
      <c r="J11" s="38" t="n">
        <f aca="false">G11+0.2*H11</f>
        <v>4115.52</v>
      </c>
      <c r="K11" s="37" t="s">
        <v>706</v>
      </c>
      <c r="L11" s="37" t="s">
        <v>708</v>
      </c>
    </row>
  </sheetData>
  <autoFilter ref="A1:L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4" min="1" style="1" width="24"/>
    <col collapsed="false" customWidth="true" hidden="false" outlineLevel="0" max="5" min="5" style="1" width="85"/>
  </cols>
  <sheetData>
    <row r="1" customFormat="false" ht="26.25" hidden="false" customHeight="true" outlineLevel="0" collapsed="false">
      <c r="A1" s="36" t="s">
        <v>709</v>
      </c>
      <c r="B1" s="36" t="s">
        <v>710</v>
      </c>
      <c r="C1" s="36" t="s">
        <v>711</v>
      </c>
      <c r="D1" s="36" t="s">
        <v>712</v>
      </c>
      <c r="E1" s="36" t="s">
        <v>713</v>
      </c>
    </row>
    <row r="2" customFormat="false" ht="77.25" hidden="false" customHeight="true" outlineLevel="0" collapsed="false">
      <c r="A2" s="37" t="s">
        <v>714</v>
      </c>
      <c r="B2" s="38" t="n">
        <v>80</v>
      </c>
      <c r="C2" s="37" t="s">
        <v>715</v>
      </c>
      <c r="D2" s="37" t="s">
        <v>716</v>
      </c>
      <c r="E2" s="37" t="s">
        <v>717</v>
      </c>
    </row>
    <row r="3" customFormat="false" ht="90" hidden="false" customHeight="true" outlineLevel="0" collapsed="false">
      <c r="A3" s="37" t="s">
        <v>718</v>
      </c>
      <c r="B3" s="38" t="n">
        <v>160</v>
      </c>
      <c r="C3" s="37" t="s">
        <v>719</v>
      </c>
      <c r="D3" s="37" t="s">
        <v>720</v>
      </c>
      <c r="E3" s="37" t="s">
        <v>721</v>
      </c>
    </row>
    <row r="4" customFormat="false" ht="77.25" hidden="false" customHeight="true" outlineLevel="0" collapsed="false">
      <c r="A4" s="37" t="s">
        <v>722</v>
      </c>
      <c r="B4" s="38" t="n">
        <v>200</v>
      </c>
      <c r="C4" s="37" t="s">
        <v>723</v>
      </c>
      <c r="D4" s="37" t="s">
        <v>724</v>
      </c>
      <c r="E4" s="37" t="s">
        <v>725</v>
      </c>
    </row>
    <row r="5" customFormat="false" ht="128.25" hidden="false" customHeight="true" outlineLevel="0" collapsed="false">
      <c r="A5" s="37" t="s">
        <v>726</v>
      </c>
      <c r="B5" s="37"/>
      <c r="C5" s="37"/>
      <c r="D5" s="37" t="s">
        <v>727</v>
      </c>
      <c r="E5" s="37" t="s">
        <v>728</v>
      </c>
    </row>
    <row r="6" customFormat="false" ht="15" hidden="false" customHeight="true" outlineLevel="0" collapsed="false">
      <c r="A6" s="1" t="s">
        <v>729</v>
      </c>
      <c r="D6" s="1" t="s">
        <v>730</v>
      </c>
      <c r="E6" s="1" t="s">
        <v>731</v>
      </c>
    </row>
  </sheetData>
  <autoFilter ref="A1:E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85"/>
  </cols>
  <sheetData>
    <row r="1" customFormat="false" ht="15" hidden="false" customHeight="true" outlineLevel="0" collapsed="false">
      <c r="A1" s="36" t="s">
        <v>732</v>
      </c>
      <c r="B1" s="36" t="s">
        <v>733</v>
      </c>
    </row>
    <row r="2" customFormat="false" ht="26.25" hidden="false" customHeight="true" outlineLevel="0" collapsed="false">
      <c r="A2" s="37" t="s">
        <v>734</v>
      </c>
      <c r="B2" s="37" t="s">
        <v>735</v>
      </c>
    </row>
    <row r="3" customFormat="false" ht="15" hidden="false" customHeight="true" outlineLevel="0" collapsed="false">
      <c r="A3" s="37" t="s">
        <v>736</v>
      </c>
      <c r="B3" s="37" t="s">
        <v>737</v>
      </c>
    </row>
    <row r="4" customFormat="false" ht="15" hidden="false" customHeight="true" outlineLevel="0" collapsed="false">
      <c r="A4" s="37" t="s">
        <v>738</v>
      </c>
      <c r="B4" s="37" t="s">
        <v>289</v>
      </c>
    </row>
    <row r="5" customFormat="false" ht="64.5" hidden="false" customHeight="true" outlineLevel="0" collapsed="false">
      <c r="A5" s="37" t="s">
        <v>739</v>
      </c>
      <c r="B5" s="37" t="s">
        <v>740</v>
      </c>
    </row>
    <row r="6" customFormat="false" ht="26.25" hidden="false" customHeight="true" outlineLevel="0" collapsed="false">
      <c r="A6" s="37" t="s">
        <v>741</v>
      </c>
      <c r="B6" s="37" t="s">
        <v>742</v>
      </c>
    </row>
    <row r="7" customFormat="false" ht="15" hidden="false" customHeight="true" outlineLevel="0" collapsed="false">
      <c r="A7" s="37" t="s">
        <v>743</v>
      </c>
      <c r="B7" s="37" t="s">
        <v>56</v>
      </c>
    </row>
    <row r="8" customFormat="false" ht="15" hidden="false" customHeight="true" outlineLevel="0" collapsed="false">
      <c r="A8" s="37" t="s">
        <v>744</v>
      </c>
      <c r="B8" s="37" t="s">
        <v>745</v>
      </c>
    </row>
    <row r="9" customFormat="false" ht="26.25" hidden="false" customHeight="true" outlineLevel="0" collapsed="false">
      <c r="A9" s="37" t="s">
        <v>746</v>
      </c>
      <c r="B9" s="37" t="s">
        <v>747</v>
      </c>
    </row>
    <row r="10" customFormat="false" ht="26.25" hidden="false" customHeight="true" outlineLevel="0" collapsed="false">
      <c r="A10" s="37" t="s">
        <v>748</v>
      </c>
      <c r="B10" s="37" t="s">
        <v>749</v>
      </c>
    </row>
    <row r="11" customFormat="false" ht="15" hidden="false" customHeight="true" outlineLevel="0" collapsed="false">
      <c r="A11" s="37" t="s">
        <v>750</v>
      </c>
      <c r="B11" s="37" t="s">
        <v>751</v>
      </c>
    </row>
    <row r="12" customFormat="false" ht="26.25" hidden="false" customHeight="true" outlineLevel="0" collapsed="false">
      <c r="A12" s="37" t="s">
        <v>752</v>
      </c>
      <c r="B12" s="37" t="s">
        <v>753</v>
      </c>
    </row>
    <row r="13" customFormat="false" ht="26.25" hidden="false" customHeight="true" outlineLevel="0" collapsed="false">
      <c r="A13" s="37" t="s">
        <v>754</v>
      </c>
      <c r="B13" s="37" t="s">
        <v>755</v>
      </c>
    </row>
    <row r="14" customFormat="false" ht="15" hidden="false" customHeight="true" outlineLevel="0" collapsed="false">
      <c r="A14" s="37" t="s">
        <v>756</v>
      </c>
      <c r="B14" s="37" t="s">
        <v>757</v>
      </c>
    </row>
    <row r="15" customFormat="false" ht="26.25" hidden="false" customHeight="true" outlineLevel="0" collapsed="false">
      <c r="A15" s="37" t="s">
        <v>758</v>
      </c>
      <c r="B15" s="37" t="s">
        <v>759</v>
      </c>
    </row>
    <row r="16" customFormat="false" ht="26.25" hidden="false" customHeight="true" outlineLevel="0" collapsed="false">
      <c r="A16" s="37" t="s">
        <v>760</v>
      </c>
      <c r="B16" s="37" t="s">
        <v>761</v>
      </c>
    </row>
    <row r="17" customFormat="false" ht="26.25" hidden="false" customHeight="true" outlineLevel="0" collapsed="false">
      <c r="A17" s="37" t="s">
        <v>762</v>
      </c>
      <c r="B17" s="37" t="s">
        <v>763</v>
      </c>
    </row>
    <row r="18" customFormat="false" ht="26.25" hidden="false" customHeight="true" outlineLevel="0" collapsed="false">
      <c r="A18" s="37" t="s">
        <v>764</v>
      </c>
      <c r="B18" s="37" t="s">
        <v>765</v>
      </c>
    </row>
    <row r="19" customFormat="false" ht="26.25" hidden="false" customHeight="true" outlineLevel="0" collapsed="false">
      <c r="A19" s="37" t="s">
        <v>766</v>
      </c>
      <c r="B19" s="37" t="s">
        <v>767</v>
      </c>
    </row>
    <row r="20" customFormat="false" ht="26.25" hidden="false" customHeight="true" outlineLevel="0" collapsed="false">
      <c r="A20" s="37" t="s">
        <v>768</v>
      </c>
      <c r="B20" s="37" t="s">
        <v>289</v>
      </c>
    </row>
    <row r="21" customFormat="false" ht="26.25" hidden="false" customHeight="true" outlineLevel="0" collapsed="false">
      <c r="A21" s="37" t="s">
        <v>769</v>
      </c>
      <c r="B21" s="37" t="s">
        <v>770</v>
      </c>
    </row>
    <row r="22" customFormat="false" ht="15" hidden="false" customHeight="true" outlineLevel="0" collapsed="false">
      <c r="A22" s="37" t="s">
        <v>771</v>
      </c>
      <c r="B22" s="37" t="s">
        <v>56</v>
      </c>
    </row>
    <row r="23" customFormat="false" ht="15" hidden="false" customHeight="true" outlineLevel="0" collapsed="false">
      <c r="A23" s="37" t="s">
        <v>772</v>
      </c>
      <c r="B23" s="37" t="s">
        <v>773</v>
      </c>
    </row>
    <row r="24" customFormat="false" ht="26.25" hidden="false" customHeight="true" outlineLevel="0" collapsed="false">
      <c r="A24" s="37" t="s">
        <v>774</v>
      </c>
      <c r="B24" s="37" t="s">
        <v>775</v>
      </c>
    </row>
    <row r="25" customFormat="false" ht="26.25" hidden="false" customHeight="true" outlineLevel="0" collapsed="false">
      <c r="A25" s="37" t="s">
        <v>776</v>
      </c>
      <c r="B25" s="37" t="s">
        <v>749</v>
      </c>
    </row>
    <row r="26" customFormat="false" ht="15" hidden="false" customHeight="true" outlineLevel="0" collapsed="false">
      <c r="A26" s="37" t="s">
        <v>777</v>
      </c>
      <c r="B26" s="37" t="s">
        <v>751</v>
      </c>
    </row>
    <row r="27" customFormat="false" ht="26.25" hidden="false" customHeight="true" outlineLevel="0" collapsed="false">
      <c r="A27" s="37" t="s">
        <v>778</v>
      </c>
      <c r="B27" s="37" t="s">
        <v>753</v>
      </c>
    </row>
    <row r="28" customFormat="false" ht="26.25" hidden="false" customHeight="true" outlineLevel="0" collapsed="false">
      <c r="A28" s="37" t="s">
        <v>779</v>
      </c>
      <c r="B28" s="37" t="s">
        <v>780</v>
      </c>
    </row>
    <row r="29" customFormat="false" ht="15" hidden="false" customHeight="true" outlineLevel="0" collapsed="false">
      <c r="A29" s="37" t="s">
        <v>781</v>
      </c>
      <c r="B29" s="37" t="s">
        <v>757</v>
      </c>
    </row>
    <row r="30" customFormat="false" ht="26.25" hidden="false" customHeight="true" outlineLevel="0" collapsed="false">
      <c r="A30" s="37" t="s">
        <v>782</v>
      </c>
      <c r="B30" s="37" t="s">
        <v>783</v>
      </c>
    </row>
    <row r="31" customFormat="false" ht="26.25" hidden="false" customHeight="true" outlineLevel="0" collapsed="false">
      <c r="A31" s="37" t="s">
        <v>784</v>
      </c>
      <c r="B31" s="37" t="s">
        <v>785</v>
      </c>
    </row>
    <row r="32" customFormat="false" ht="26.25" hidden="false" customHeight="true" outlineLevel="0" collapsed="false">
      <c r="A32" s="37" t="s">
        <v>786</v>
      </c>
      <c r="B32" s="37" t="s">
        <v>787</v>
      </c>
    </row>
    <row r="33" customFormat="false" ht="26.25" hidden="false" customHeight="true" outlineLevel="0" collapsed="false">
      <c r="A33" s="37" t="s">
        <v>788</v>
      </c>
      <c r="B33" s="37" t="s">
        <v>765</v>
      </c>
    </row>
    <row r="34" customFormat="false" ht="26.25" hidden="false" customHeight="true" outlineLevel="0" collapsed="false">
      <c r="A34" s="37" t="s">
        <v>789</v>
      </c>
      <c r="B34" s="37" t="s">
        <v>767</v>
      </c>
    </row>
    <row r="35" customFormat="false" ht="26.25" hidden="false" customHeight="true" outlineLevel="0" collapsed="false">
      <c r="A35" s="37" t="s">
        <v>790</v>
      </c>
      <c r="B35" s="37" t="s">
        <v>289</v>
      </c>
    </row>
    <row r="36" customFormat="false" ht="26.25" hidden="false" customHeight="true" outlineLevel="0" collapsed="false">
      <c r="A36" s="37" t="s">
        <v>791</v>
      </c>
      <c r="B36" s="37" t="s">
        <v>770</v>
      </c>
    </row>
    <row r="37" customFormat="false" ht="15" hidden="false" customHeight="true" outlineLevel="0" collapsed="false">
      <c r="A37" s="37" t="s">
        <v>792</v>
      </c>
      <c r="B37" s="37" t="s">
        <v>61</v>
      </c>
    </row>
    <row r="38" customFormat="false" ht="15" hidden="false" customHeight="true" outlineLevel="0" collapsed="false">
      <c r="A38" s="37" t="s">
        <v>793</v>
      </c>
      <c r="B38" s="37" t="s">
        <v>63</v>
      </c>
    </row>
    <row r="39" customFormat="false" ht="26.25" hidden="false" customHeight="true" outlineLevel="0" collapsed="false">
      <c r="A39" s="37" t="s">
        <v>794</v>
      </c>
      <c r="B39" s="37" t="s">
        <v>795</v>
      </c>
    </row>
    <row r="40" customFormat="false" ht="26.25" hidden="false" customHeight="true" outlineLevel="0" collapsed="false">
      <c r="A40" s="37" t="s">
        <v>796</v>
      </c>
      <c r="B40" s="37" t="s">
        <v>797</v>
      </c>
    </row>
    <row r="41" customFormat="false" ht="15" hidden="false" customHeight="true" outlineLevel="0" collapsed="false">
      <c r="A41" s="37" t="s">
        <v>798</v>
      </c>
      <c r="B41" s="37" t="s">
        <v>799</v>
      </c>
    </row>
    <row r="42" customFormat="false" ht="26.25" hidden="false" customHeight="true" outlineLevel="0" collapsed="false">
      <c r="A42" s="37" t="s">
        <v>800</v>
      </c>
      <c r="B42" s="37" t="s">
        <v>801</v>
      </c>
    </row>
    <row r="43" customFormat="false" ht="26.25" hidden="false" customHeight="true" outlineLevel="0" collapsed="false">
      <c r="A43" s="37" t="s">
        <v>802</v>
      </c>
      <c r="B43" s="37" t="s">
        <v>803</v>
      </c>
    </row>
    <row r="44" customFormat="false" ht="15" hidden="false" customHeight="true" outlineLevel="0" collapsed="false">
      <c r="A44" s="37" t="s">
        <v>804</v>
      </c>
      <c r="B44" s="37" t="s">
        <v>805</v>
      </c>
    </row>
    <row r="45" customFormat="false" ht="26.25" hidden="false" customHeight="true" outlineLevel="0" collapsed="false">
      <c r="A45" s="37" t="s">
        <v>806</v>
      </c>
      <c r="B45" s="37" t="s">
        <v>807</v>
      </c>
    </row>
    <row r="46" customFormat="false" ht="26.25" hidden="false" customHeight="true" outlineLevel="0" collapsed="false">
      <c r="A46" s="37" t="s">
        <v>808</v>
      </c>
      <c r="B46" s="37" t="s">
        <v>809</v>
      </c>
    </row>
    <row r="47" customFormat="false" ht="39" hidden="false" customHeight="true" outlineLevel="0" collapsed="false">
      <c r="A47" s="37" t="s">
        <v>810</v>
      </c>
      <c r="B47" s="37" t="s">
        <v>811</v>
      </c>
    </row>
    <row r="48" customFormat="false" ht="26.25" hidden="false" customHeight="true" outlineLevel="0" collapsed="false">
      <c r="A48" s="37" t="s">
        <v>812</v>
      </c>
      <c r="B48" s="37" t="s">
        <v>765</v>
      </c>
    </row>
    <row r="49" customFormat="false" ht="26.25" hidden="false" customHeight="true" outlineLevel="0" collapsed="false">
      <c r="A49" s="37" t="s">
        <v>813</v>
      </c>
      <c r="B49" s="37" t="s">
        <v>767</v>
      </c>
    </row>
    <row r="50" customFormat="false" ht="26.25" hidden="false" customHeight="true" outlineLevel="0" collapsed="false">
      <c r="A50" s="37" t="s">
        <v>814</v>
      </c>
      <c r="B50" s="37" t="s">
        <v>289</v>
      </c>
    </row>
    <row r="51" customFormat="false" ht="26.25" hidden="false" customHeight="true" outlineLevel="0" collapsed="false">
      <c r="A51" s="37" t="s">
        <v>815</v>
      </c>
      <c r="B51" s="37" t="s">
        <v>770</v>
      </c>
    </row>
    <row r="52" customFormat="false" ht="15" hidden="false" customHeight="true" outlineLevel="0" collapsed="false">
      <c r="A52" s="37" t="s">
        <v>816</v>
      </c>
      <c r="B52" s="37" t="s">
        <v>61</v>
      </c>
    </row>
    <row r="53" customFormat="false" ht="15" hidden="false" customHeight="true" outlineLevel="0" collapsed="false">
      <c r="A53" s="37" t="s">
        <v>817</v>
      </c>
      <c r="B53" s="37" t="s">
        <v>818</v>
      </c>
    </row>
    <row r="54" customFormat="false" ht="26.25" hidden="false" customHeight="true" outlineLevel="0" collapsed="false">
      <c r="A54" s="37" t="s">
        <v>819</v>
      </c>
      <c r="B54" s="37" t="s">
        <v>820</v>
      </c>
    </row>
    <row r="55" customFormat="false" ht="26.25" hidden="false" customHeight="true" outlineLevel="0" collapsed="false">
      <c r="A55" s="37" t="s">
        <v>821</v>
      </c>
      <c r="B55" s="37" t="s">
        <v>749</v>
      </c>
    </row>
    <row r="56" customFormat="false" ht="15" hidden="false" customHeight="true" outlineLevel="0" collapsed="false">
      <c r="A56" s="37" t="s">
        <v>822</v>
      </c>
      <c r="B56" s="37" t="s">
        <v>751</v>
      </c>
    </row>
    <row r="57" customFormat="false" ht="26.25" hidden="false" customHeight="true" outlineLevel="0" collapsed="false">
      <c r="A57" s="37" t="s">
        <v>823</v>
      </c>
      <c r="B57" s="37" t="s">
        <v>753</v>
      </c>
    </row>
    <row r="58" customFormat="false" ht="26.25" hidden="false" customHeight="true" outlineLevel="0" collapsed="false">
      <c r="A58" s="37" t="s">
        <v>824</v>
      </c>
      <c r="B58" s="37" t="s">
        <v>825</v>
      </c>
    </row>
    <row r="59" customFormat="false" ht="15" hidden="false" customHeight="true" outlineLevel="0" collapsed="false">
      <c r="A59" s="37" t="s">
        <v>826</v>
      </c>
      <c r="B59" s="37" t="s">
        <v>827</v>
      </c>
    </row>
    <row r="60" customFormat="false" ht="26.25" hidden="false" customHeight="true" outlineLevel="0" collapsed="false">
      <c r="A60" s="37" t="s">
        <v>828</v>
      </c>
      <c r="B60" s="37" t="s">
        <v>829</v>
      </c>
    </row>
    <row r="61" customFormat="false" ht="26.25" hidden="false" customHeight="true" outlineLevel="0" collapsed="false">
      <c r="A61" s="37" t="s">
        <v>830</v>
      </c>
      <c r="B61" s="37" t="s">
        <v>831</v>
      </c>
    </row>
    <row r="62" customFormat="false" ht="26.25" hidden="false" customHeight="true" outlineLevel="0" collapsed="false">
      <c r="A62" s="37" t="s">
        <v>832</v>
      </c>
      <c r="B62" s="37" t="s">
        <v>833</v>
      </c>
    </row>
    <row r="63" customFormat="false" ht="26.25" hidden="false" customHeight="true" outlineLevel="0" collapsed="false">
      <c r="A63" s="37" t="s">
        <v>834</v>
      </c>
      <c r="B63" s="37" t="s">
        <v>765</v>
      </c>
    </row>
    <row r="64" customFormat="false" ht="26.25" hidden="false" customHeight="true" outlineLevel="0" collapsed="false">
      <c r="A64" s="37" t="s">
        <v>835</v>
      </c>
      <c r="B64" s="37" t="s">
        <v>767</v>
      </c>
    </row>
    <row r="65" customFormat="false" ht="26.25" hidden="false" customHeight="true" outlineLevel="0" collapsed="false">
      <c r="A65" s="37" t="s">
        <v>836</v>
      </c>
      <c r="B65" s="37" t="s">
        <v>289</v>
      </c>
    </row>
    <row r="66" customFormat="false" ht="26.25" hidden="false" customHeight="true" outlineLevel="0" collapsed="false">
      <c r="A66" s="37" t="s">
        <v>837</v>
      </c>
      <c r="B66" s="37" t="s">
        <v>770</v>
      </c>
    </row>
    <row r="67" customFormat="false" ht="15" hidden="false" customHeight="true" outlineLevel="0" collapsed="false">
      <c r="A67" s="37" t="s">
        <v>838</v>
      </c>
      <c r="B67" s="37" t="s">
        <v>65</v>
      </c>
    </row>
    <row r="68" customFormat="false" ht="15" hidden="false" customHeight="true" outlineLevel="0" collapsed="false">
      <c r="A68" s="37" t="s">
        <v>839</v>
      </c>
      <c r="B68" s="37" t="s">
        <v>68</v>
      </c>
    </row>
    <row r="69" customFormat="false" ht="26.25" hidden="false" customHeight="true" outlineLevel="0" collapsed="false">
      <c r="A69" s="37" t="s">
        <v>840</v>
      </c>
      <c r="B69" s="37" t="s">
        <v>841</v>
      </c>
    </row>
    <row r="70" customFormat="false" ht="26.25" hidden="false" customHeight="true" outlineLevel="0" collapsed="false">
      <c r="A70" s="37" t="s">
        <v>842</v>
      </c>
      <c r="B70" s="37" t="s">
        <v>749</v>
      </c>
    </row>
    <row r="71" customFormat="false" ht="15" hidden="false" customHeight="true" outlineLevel="0" collapsed="false">
      <c r="A71" s="37" t="s">
        <v>843</v>
      </c>
      <c r="B71" s="37" t="s">
        <v>844</v>
      </c>
    </row>
    <row r="72" customFormat="false" ht="26.25" hidden="false" customHeight="true" outlineLevel="0" collapsed="false">
      <c r="A72" s="37" t="s">
        <v>845</v>
      </c>
      <c r="B72" s="37" t="s">
        <v>753</v>
      </c>
    </row>
    <row r="73" customFormat="false" ht="26.25" hidden="false" customHeight="true" outlineLevel="0" collapsed="false">
      <c r="A73" s="37" t="s">
        <v>846</v>
      </c>
      <c r="B73" s="37" t="s">
        <v>847</v>
      </c>
    </row>
    <row r="74" customFormat="false" ht="15" hidden="false" customHeight="true" outlineLevel="0" collapsed="false">
      <c r="A74" s="37" t="s">
        <v>848</v>
      </c>
      <c r="B74" s="37" t="s">
        <v>849</v>
      </c>
    </row>
    <row r="75" customFormat="false" ht="26.25" hidden="false" customHeight="true" outlineLevel="0" collapsed="false">
      <c r="A75" s="37" t="s">
        <v>850</v>
      </c>
      <c r="B75" s="37" t="s">
        <v>851</v>
      </c>
    </row>
    <row r="76" customFormat="false" ht="26.25" hidden="false" customHeight="true" outlineLevel="0" collapsed="false">
      <c r="A76" s="37" t="s">
        <v>852</v>
      </c>
      <c r="B76" s="37" t="s">
        <v>853</v>
      </c>
    </row>
    <row r="77" customFormat="false" ht="26.25" hidden="false" customHeight="true" outlineLevel="0" collapsed="false">
      <c r="A77" s="37" t="s">
        <v>854</v>
      </c>
      <c r="B77" s="37" t="s">
        <v>855</v>
      </c>
    </row>
    <row r="78" customFormat="false" ht="26.25" hidden="false" customHeight="true" outlineLevel="0" collapsed="false">
      <c r="A78" s="37" t="s">
        <v>856</v>
      </c>
      <c r="B78" s="37" t="s">
        <v>765</v>
      </c>
    </row>
    <row r="79" customFormat="false" ht="26.25" hidden="false" customHeight="true" outlineLevel="0" collapsed="false">
      <c r="A79" s="37" t="s">
        <v>857</v>
      </c>
      <c r="B79" s="37" t="s">
        <v>767</v>
      </c>
    </row>
    <row r="80" customFormat="false" ht="26.25" hidden="false" customHeight="true" outlineLevel="0" collapsed="false">
      <c r="A80" s="37" t="s">
        <v>858</v>
      </c>
      <c r="B80" s="37" t="s">
        <v>289</v>
      </c>
    </row>
    <row r="81" customFormat="false" ht="26.25" hidden="false" customHeight="true" outlineLevel="0" collapsed="false">
      <c r="A81" s="37" t="s">
        <v>859</v>
      </c>
      <c r="B81" s="37" t="s">
        <v>770</v>
      </c>
    </row>
    <row r="82" customFormat="false" ht="15" hidden="false" customHeight="true" outlineLevel="0" collapsed="false">
      <c r="A82" s="37" t="s">
        <v>860</v>
      </c>
      <c r="B82" s="37" t="s">
        <v>65</v>
      </c>
    </row>
    <row r="83" customFormat="false" ht="15" hidden="false" customHeight="true" outlineLevel="0" collapsed="false">
      <c r="A83" s="37" t="s">
        <v>861</v>
      </c>
      <c r="B83" s="37" t="s">
        <v>862</v>
      </c>
    </row>
    <row r="84" customFormat="false" ht="26.25" hidden="false" customHeight="true" outlineLevel="0" collapsed="false">
      <c r="A84" s="37" t="s">
        <v>863</v>
      </c>
      <c r="B84" s="37" t="s">
        <v>864</v>
      </c>
    </row>
    <row r="85" customFormat="false" ht="26.25" hidden="false" customHeight="true" outlineLevel="0" collapsed="false">
      <c r="A85" s="37" t="s">
        <v>865</v>
      </c>
      <c r="B85" s="37" t="s">
        <v>749</v>
      </c>
    </row>
    <row r="86" customFormat="false" ht="15" hidden="false" customHeight="true" outlineLevel="0" collapsed="false">
      <c r="A86" s="37" t="s">
        <v>866</v>
      </c>
      <c r="B86" s="37" t="s">
        <v>867</v>
      </c>
    </row>
    <row r="87" customFormat="false" ht="26.25" hidden="false" customHeight="true" outlineLevel="0" collapsed="false">
      <c r="A87" s="37" t="s">
        <v>868</v>
      </c>
      <c r="B87" s="37" t="s">
        <v>753</v>
      </c>
    </row>
    <row r="88" customFormat="false" ht="26.25" hidden="false" customHeight="true" outlineLevel="0" collapsed="false">
      <c r="A88" s="37" t="s">
        <v>869</v>
      </c>
      <c r="B88" s="37" t="s">
        <v>870</v>
      </c>
    </row>
    <row r="89" customFormat="false" ht="15" hidden="false" customHeight="true" outlineLevel="0" collapsed="false">
      <c r="A89" s="37" t="s">
        <v>871</v>
      </c>
      <c r="B89" s="37" t="s">
        <v>849</v>
      </c>
    </row>
    <row r="90" customFormat="false" ht="26.25" hidden="false" customHeight="true" outlineLevel="0" collapsed="false">
      <c r="A90" s="37" t="s">
        <v>872</v>
      </c>
      <c r="B90" s="37" t="s">
        <v>851</v>
      </c>
    </row>
    <row r="91" customFormat="false" ht="26.25" hidden="false" customHeight="true" outlineLevel="0" collapsed="false">
      <c r="A91" s="37" t="s">
        <v>873</v>
      </c>
      <c r="B91" s="37" t="s">
        <v>874</v>
      </c>
    </row>
    <row r="92" customFormat="false" ht="26.25" hidden="false" customHeight="true" outlineLevel="0" collapsed="false">
      <c r="A92" s="37" t="s">
        <v>875</v>
      </c>
      <c r="B92" s="37" t="s">
        <v>876</v>
      </c>
    </row>
    <row r="93" customFormat="false" ht="26.25" hidden="false" customHeight="true" outlineLevel="0" collapsed="false">
      <c r="A93" s="37" t="s">
        <v>877</v>
      </c>
      <c r="B93" s="37" t="s">
        <v>765</v>
      </c>
    </row>
    <row r="94" customFormat="false" ht="26.25" hidden="false" customHeight="true" outlineLevel="0" collapsed="false">
      <c r="A94" s="37" t="s">
        <v>878</v>
      </c>
      <c r="B94" s="37" t="s">
        <v>767</v>
      </c>
    </row>
    <row r="95" customFormat="false" ht="26.25" hidden="false" customHeight="true" outlineLevel="0" collapsed="false">
      <c r="A95" s="37" t="s">
        <v>879</v>
      </c>
      <c r="B95" s="37" t="s">
        <v>289</v>
      </c>
    </row>
    <row r="96" customFormat="false" ht="26.25" hidden="false" customHeight="true" outlineLevel="0" collapsed="false">
      <c r="A96" s="37" t="s">
        <v>880</v>
      </c>
      <c r="B96" s="37" t="s">
        <v>770</v>
      </c>
    </row>
    <row r="97" customFormat="false" ht="15" hidden="false" customHeight="true" outlineLevel="0" collapsed="false">
      <c r="A97" s="37" t="s">
        <v>881</v>
      </c>
      <c r="B97" s="37" t="s">
        <v>65</v>
      </c>
    </row>
    <row r="98" customFormat="false" ht="15" hidden="false" customHeight="true" outlineLevel="0" collapsed="false">
      <c r="A98" s="37" t="s">
        <v>882</v>
      </c>
      <c r="B98" s="37" t="s">
        <v>883</v>
      </c>
    </row>
    <row r="99" customFormat="false" ht="26.25" hidden="false" customHeight="true" outlineLevel="0" collapsed="false">
      <c r="A99" s="37" t="s">
        <v>884</v>
      </c>
      <c r="B99" s="37" t="s">
        <v>885</v>
      </c>
    </row>
    <row r="100" customFormat="false" ht="26.25" hidden="false" customHeight="true" outlineLevel="0" collapsed="false">
      <c r="A100" s="37" t="s">
        <v>886</v>
      </c>
      <c r="B100" s="37" t="s">
        <v>797</v>
      </c>
    </row>
    <row r="101" customFormat="false" ht="15" hidden="false" customHeight="true" outlineLevel="0" collapsed="false">
      <c r="A101" s="37" t="s">
        <v>887</v>
      </c>
      <c r="B101" s="37" t="s">
        <v>888</v>
      </c>
    </row>
    <row r="102" customFormat="false" ht="26.25" hidden="false" customHeight="true" outlineLevel="0" collapsed="false">
      <c r="A102" s="37" t="s">
        <v>889</v>
      </c>
      <c r="B102" s="37" t="s">
        <v>801</v>
      </c>
    </row>
    <row r="103" customFormat="false" ht="26.25" hidden="false" customHeight="true" outlineLevel="0" collapsed="false">
      <c r="A103" s="37" t="s">
        <v>890</v>
      </c>
      <c r="B103" s="37" t="s">
        <v>891</v>
      </c>
    </row>
    <row r="104" customFormat="false" ht="15" hidden="false" customHeight="true" outlineLevel="0" collapsed="false">
      <c r="A104" s="37" t="s">
        <v>892</v>
      </c>
      <c r="B104" s="37" t="s">
        <v>893</v>
      </c>
    </row>
    <row r="105" customFormat="false" ht="26.25" hidden="false" customHeight="true" outlineLevel="0" collapsed="false">
      <c r="A105" s="37" t="s">
        <v>894</v>
      </c>
      <c r="B105" s="37" t="s">
        <v>895</v>
      </c>
    </row>
    <row r="106" customFormat="false" ht="26.25" hidden="false" customHeight="true" outlineLevel="0" collapsed="false">
      <c r="A106" s="37" t="s">
        <v>896</v>
      </c>
      <c r="B106" s="37" t="s">
        <v>897</v>
      </c>
    </row>
    <row r="107" customFormat="false" ht="39" hidden="false" customHeight="true" outlineLevel="0" collapsed="false">
      <c r="A107" s="37" t="s">
        <v>898</v>
      </c>
      <c r="B107" s="37" t="s">
        <v>899</v>
      </c>
    </row>
    <row r="108" customFormat="false" ht="26.25" hidden="false" customHeight="true" outlineLevel="0" collapsed="false">
      <c r="A108" s="37" t="s">
        <v>900</v>
      </c>
      <c r="B108" s="37" t="s">
        <v>765</v>
      </c>
    </row>
    <row r="109" customFormat="false" ht="26.25" hidden="false" customHeight="true" outlineLevel="0" collapsed="false">
      <c r="A109" s="37" t="s">
        <v>901</v>
      </c>
      <c r="B109" s="37" t="s">
        <v>767</v>
      </c>
    </row>
    <row r="110" customFormat="false" ht="26.25" hidden="false" customHeight="true" outlineLevel="0" collapsed="false">
      <c r="A110" s="37" t="s">
        <v>902</v>
      </c>
      <c r="B110" s="37" t="s">
        <v>289</v>
      </c>
    </row>
    <row r="111" customFormat="false" ht="26.25" hidden="false" customHeight="true" outlineLevel="0" collapsed="false">
      <c r="A111" s="37" t="s">
        <v>903</v>
      </c>
      <c r="B111" s="37" t="s">
        <v>770</v>
      </c>
    </row>
    <row r="112" customFormat="false" ht="15" hidden="false" customHeight="true" outlineLevel="0" collapsed="false">
      <c r="A112" s="37" t="s">
        <v>904</v>
      </c>
      <c r="B112" s="37" t="s">
        <v>70</v>
      </c>
    </row>
    <row r="113" customFormat="false" ht="15" hidden="false" customHeight="true" outlineLevel="0" collapsed="false">
      <c r="A113" s="37" t="s">
        <v>905</v>
      </c>
      <c r="B113" s="37" t="s">
        <v>72</v>
      </c>
    </row>
    <row r="114" customFormat="false" ht="26.25" hidden="false" customHeight="true" outlineLevel="0" collapsed="false">
      <c r="A114" s="37" t="s">
        <v>906</v>
      </c>
      <c r="B114" s="37" t="s">
        <v>907</v>
      </c>
    </row>
    <row r="115" customFormat="false" ht="26.25" hidden="false" customHeight="true" outlineLevel="0" collapsed="false">
      <c r="A115" s="37" t="s">
        <v>908</v>
      </c>
      <c r="B115" s="37" t="s">
        <v>749</v>
      </c>
    </row>
    <row r="116" customFormat="false" ht="15" hidden="false" customHeight="true" outlineLevel="0" collapsed="false">
      <c r="A116" s="37" t="s">
        <v>909</v>
      </c>
      <c r="B116" s="37" t="s">
        <v>910</v>
      </c>
    </row>
    <row r="117" customFormat="false" ht="26.25" hidden="false" customHeight="true" outlineLevel="0" collapsed="false">
      <c r="A117" s="37" t="s">
        <v>911</v>
      </c>
      <c r="B117" s="37" t="s">
        <v>753</v>
      </c>
    </row>
    <row r="118" customFormat="false" ht="26.25" hidden="false" customHeight="true" outlineLevel="0" collapsed="false">
      <c r="A118" s="37" t="s">
        <v>912</v>
      </c>
      <c r="B118" s="37" t="s">
        <v>913</v>
      </c>
    </row>
    <row r="119" customFormat="false" ht="15" hidden="false" customHeight="true" outlineLevel="0" collapsed="false">
      <c r="A119" s="37" t="s">
        <v>914</v>
      </c>
      <c r="B119" s="37" t="s">
        <v>915</v>
      </c>
    </row>
    <row r="120" customFormat="false" ht="26.25" hidden="false" customHeight="true" outlineLevel="0" collapsed="false">
      <c r="A120" s="37" t="s">
        <v>916</v>
      </c>
      <c r="B120" s="37" t="s">
        <v>851</v>
      </c>
    </row>
    <row r="121" customFormat="false" ht="26.25" hidden="false" customHeight="true" outlineLevel="0" collapsed="false">
      <c r="A121" s="37" t="s">
        <v>917</v>
      </c>
      <c r="B121" s="37" t="s">
        <v>918</v>
      </c>
    </row>
    <row r="122" customFormat="false" ht="26.25" hidden="false" customHeight="true" outlineLevel="0" collapsed="false">
      <c r="A122" s="37" t="s">
        <v>919</v>
      </c>
      <c r="B122" s="37" t="s">
        <v>920</v>
      </c>
    </row>
    <row r="123" customFormat="false" ht="26.25" hidden="false" customHeight="true" outlineLevel="0" collapsed="false">
      <c r="A123" s="37" t="s">
        <v>921</v>
      </c>
      <c r="B123" s="37" t="s">
        <v>765</v>
      </c>
    </row>
    <row r="124" customFormat="false" ht="26.25" hidden="false" customHeight="true" outlineLevel="0" collapsed="false">
      <c r="A124" s="37" t="s">
        <v>922</v>
      </c>
      <c r="B124" s="37" t="s">
        <v>767</v>
      </c>
    </row>
    <row r="125" customFormat="false" ht="26.25" hidden="false" customHeight="true" outlineLevel="0" collapsed="false">
      <c r="A125" s="37" t="s">
        <v>923</v>
      </c>
      <c r="B125" s="37" t="s">
        <v>289</v>
      </c>
    </row>
    <row r="126" customFormat="false" ht="26.25" hidden="false" customHeight="true" outlineLevel="0" collapsed="false">
      <c r="A126" s="37" t="s">
        <v>924</v>
      </c>
      <c r="B126" s="37" t="s">
        <v>770</v>
      </c>
    </row>
    <row r="127" customFormat="false" ht="15" hidden="false" customHeight="true" outlineLevel="0" collapsed="false">
      <c r="A127" s="37" t="s">
        <v>925</v>
      </c>
      <c r="B127" s="37" t="s">
        <v>70</v>
      </c>
    </row>
    <row r="128" customFormat="false" ht="15" hidden="false" customHeight="true" outlineLevel="0" collapsed="false">
      <c r="A128" s="37" t="s">
        <v>926</v>
      </c>
      <c r="B128" s="37" t="s">
        <v>927</v>
      </c>
    </row>
    <row r="129" customFormat="false" ht="26.25" hidden="false" customHeight="true" outlineLevel="0" collapsed="false">
      <c r="A129" s="37" t="s">
        <v>928</v>
      </c>
      <c r="B129" s="37" t="s">
        <v>929</v>
      </c>
    </row>
    <row r="130" customFormat="false" ht="26.25" hidden="false" customHeight="true" outlineLevel="0" collapsed="false">
      <c r="A130" s="37" t="s">
        <v>930</v>
      </c>
      <c r="B130" s="37" t="s">
        <v>749</v>
      </c>
    </row>
    <row r="131" customFormat="false" ht="15" hidden="false" customHeight="true" outlineLevel="0" collapsed="false">
      <c r="A131" s="37" t="s">
        <v>931</v>
      </c>
      <c r="B131" s="37" t="s">
        <v>932</v>
      </c>
    </row>
    <row r="132" customFormat="false" ht="26.25" hidden="false" customHeight="true" outlineLevel="0" collapsed="false">
      <c r="A132" s="37" t="s">
        <v>933</v>
      </c>
      <c r="B132" s="37" t="s">
        <v>753</v>
      </c>
    </row>
    <row r="133" customFormat="false" ht="26.25" hidden="false" customHeight="true" outlineLevel="0" collapsed="false">
      <c r="A133" s="37" t="s">
        <v>934</v>
      </c>
      <c r="B133" s="37" t="s">
        <v>935</v>
      </c>
    </row>
    <row r="134" customFormat="false" ht="15" hidden="false" customHeight="true" outlineLevel="0" collapsed="false">
      <c r="A134" s="37" t="s">
        <v>936</v>
      </c>
      <c r="B134" s="37" t="s">
        <v>915</v>
      </c>
    </row>
    <row r="135" customFormat="false" ht="26.25" hidden="false" customHeight="true" outlineLevel="0" collapsed="false">
      <c r="A135" s="37" t="s">
        <v>937</v>
      </c>
      <c r="B135" s="37" t="s">
        <v>851</v>
      </c>
    </row>
    <row r="136" customFormat="false" ht="26.25" hidden="false" customHeight="true" outlineLevel="0" collapsed="false">
      <c r="A136" s="37" t="s">
        <v>938</v>
      </c>
      <c r="B136" s="37" t="s">
        <v>939</v>
      </c>
    </row>
    <row r="137" customFormat="false" ht="26.25" hidden="false" customHeight="true" outlineLevel="0" collapsed="false">
      <c r="A137" s="37" t="s">
        <v>940</v>
      </c>
      <c r="B137" s="37" t="s">
        <v>941</v>
      </c>
    </row>
    <row r="138" customFormat="false" ht="26.25" hidden="false" customHeight="true" outlineLevel="0" collapsed="false">
      <c r="A138" s="37" t="s">
        <v>942</v>
      </c>
      <c r="B138" s="37" t="s">
        <v>765</v>
      </c>
    </row>
    <row r="139" customFormat="false" ht="26.25" hidden="false" customHeight="true" outlineLevel="0" collapsed="false">
      <c r="A139" s="37" t="s">
        <v>943</v>
      </c>
      <c r="B139" s="37" t="s">
        <v>767</v>
      </c>
    </row>
    <row r="140" customFormat="false" ht="26.25" hidden="false" customHeight="true" outlineLevel="0" collapsed="false">
      <c r="A140" s="37" t="s">
        <v>944</v>
      </c>
      <c r="B140" s="37" t="s">
        <v>289</v>
      </c>
    </row>
    <row r="141" customFormat="false" ht="26.25" hidden="false" customHeight="true" outlineLevel="0" collapsed="false">
      <c r="A141" s="37" t="s">
        <v>945</v>
      </c>
      <c r="B141" s="37" t="s">
        <v>770</v>
      </c>
    </row>
    <row r="142" customFormat="false" ht="15" hidden="false" customHeight="true" outlineLevel="0" collapsed="false">
      <c r="A142" s="37" t="s">
        <v>946</v>
      </c>
      <c r="B142" s="37" t="s">
        <v>70</v>
      </c>
    </row>
    <row r="143" customFormat="false" ht="15" hidden="false" customHeight="true" outlineLevel="0" collapsed="false">
      <c r="A143" s="37" t="s">
        <v>947</v>
      </c>
      <c r="B143" s="37" t="s">
        <v>948</v>
      </c>
    </row>
    <row r="144" customFormat="false" ht="26.25" hidden="false" customHeight="true" outlineLevel="0" collapsed="false">
      <c r="A144" s="37" t="s">
        <v>949</v>
      </c>
      <c r="B144" s="37" t="s">
        <v>950</v>
      </c>
    </row>
    <row r="145" customFormat="false" ht="26.25" hidden="false" customHeight="true" outlineLevel="0" collapsed="false">
      <c r="A145" s="37" t="s">
        <v>951</v>
      </c>
      <c r="B145" s="37" t="s">
        <v>797</v>
      </c>
    </row>
    <row r="146" customFormat="false" ht="26.25" hidden="false" customHeight="true" outlineLevel="0" collapsed="false">
      <c r="A146" s="37" t="s">
        <v>952</v>
      </c>
      <c r="B146" s="37" t="s">
        <v>888</v>
      </c>
    </row>
    <row r="147" customFormat="false" ht="26.25" hidden="false" customHeight="true" outlineLevel="0" collapsed="false">
      <c r="A147" s="37" t="s">
        <v>953</v>
      </c>
      <c r="B147" s="37" t="s">
        <v>801</v>
      </c>
    </row>
    <row r="148" customFormat="false" ht="26.25" hidden="false" customHeight="true" outlineLevel="0" collapsed="false">
      <c r="A148" s="37" t="s">
        <v>954</v>
      </c>
      <c r="B148" s="37" t="s">
        <v>955</v>
      </c>
    </row>
    <row r="149" customFormat="false" ht="15" hidden="false" customHeight="true" outlineLevel="0" collapsed="false">
      <c r="A149" s="37" t="s">
        <v>956</v>
      </c>
      <c r="B149" s="37" t="s">
        <v>957</v>
      </c>
    </row>
    <row r="150" customFormat="false" ht="26.25" hidden="false" customHeight="true" outlineLevel="0" collapsed="false">
      <c r="A150" s="37" t="s">
        <v>958</v>
      </c>
      <c r="B150" s="37" t="s">
        <v>959</v>
      </c>
    </row>
    <row r="151" customFormat="false" ht="26.25" hidden="false" customHeight="true" outlineLevel="0" collapsed="false">
      <c r="A151" s="37" t="s">
        <v>960</v>
      </c>
      <c r="B151" s="37" t="s">
        <v>961</v>
      </c>
    </row>
    <row r="152" customFormat="false" ht="39" hidden="false" customHeight="true" outlineLevel="0" collapsed="false">
      <c r="A152" s="37" t="s">
        <v>962</v>
      </c>
      <c r="B152" s="37" t="s">
        <v>963</v>
      </c>
    </row>
    <row r="153" customFormat="false" ht="26.25" hidden="false" customHeight="true" outlineLevel="0" collapsed="false">
      <c r="A153" s="37" t="s">
        <v>964</v>
      </c>
      <c r="B153" s="37" t="s">
        <v>765</v>
      </c>
    </row>
    <row r="154" customFormat="false" ht="26.25" hidden="false" customHeight="true" outlineLevel="0" collapsed="false">
      <c r="A154" s="37" t="s">
        <v>965</v>
      </c>
      <c r="B154" s="37" t="s">
        <v>767</v>
      </c>
    </row>
    <row r="155" customFormat="false" ht="26.25" hidden="false" customHeight="true" outlineLevel="0" collapsed="false">
      <c r="A155" s="37" t="s">
        <v>966</v>
      </c>
      <c r="B155" s="37" t="s">
        <v>289</v>
      </c>
    </row>
    <row r="156" customFormat="false" ht="26.25" hidden="false" customHeight="true" outlineLevel="0" collapsed="false">
      <c r="A156" s="37" t="s">
        <v>967</v>
      </c>
      <c r="B156" s="37" t="s">
        <v>770</v>
      </c>
    </row>
    <row r="157" customFormat="false" ht="15" hidden="false" customHeight="true" outlineLevel="0" collapsed="false">
      <c r="A157" s="37" t="s">
        <v>968</v>
      </c>
      <c r="B157" s="37" t="s">
        <v>73</v>
      </c>
    </row>
    <row r="158" customFormat="false" ht="15" hidden="false" customHeight="true" outlineLevel="0" collapsed="false">
      <c r="A158" s="37" t="s">
        <v>969</v>
      </c>
      <c r="B158" s="37" t="s">
        <v>970</v>
      </c>
    </row>
    <row r="159" customFormat="false" ht="26.25" hidden="false" customHeight="true" outlineLevel="0" collapsed="false">
      <c r="A159" s="37" t="s">
        <v>971</v>
      </c>
      <c r="B159" s="37" t="s">
        <v>795</v>
      </c>
    </row>
    <row r="160" customFormat="false" ht="26.25" hidden="false" customHeight="true" outlineLevel="0" collapsed="false">
      <c r="A160" s="37" t="s">
        <v>972</v>
      </c>
      <c r="B160" s="37" t="s">
        <v>797</v>
      </c>
    </row>
    <row r="161" customFormat="false" ht="26.25" hidden="false" customHeight="true" outlineLevel="0" collapsed="false">
      <c r="A161" s="37" t="s">
        <v>973</v>
      </c>
      <c r="B161" s="37" t="s">
        <v>974</v>
      </c>
    </row>
    <row r="162" customFormat="false" ht="26.25" hidden="false" customHeight="true" outlineLevel="0" collapsed="false">
      <c r="A162" s="37" t="s">
        <v>975</v>
      </c>
      <c r="B162" s="37" t="s">
        <v>801</v>
      </c>
    </row>
    <row r="163" customFormat="false" ht="26.25" hidden="false" customHeight="true" outlineLevel="0" collapsed="false">
      <c r="A163" s="37" t="s">
        <v>976</v>
      </c>
      <c r="B163" s="37" t="s">
        <v>977</v>
      </c>
    </row>
    <row r="164" customFormat="false" ht="15" hidden="false" customHeight="true" outlineLevel="0" collapsed="false">
      <c r="A164" s="37" t="s">
        <v>978</v>
      </c>
      <c r="B164" s="37" t="s">
        <v>979</v>
      </c>
    </row>
    <row r="165" customFormat="false" ht="26.25" hidden="false" customHeight="true" outlineLevel="0" collapsed="false">
      <c r="A165" s="37" t="s">
        <v>980</v>
      </c>
      <c r="B165" s="37" t="s">
        <v>981</v>
      </c>
    </row>
    <row r="166" customFormat="false" ht="26.25" hidden="false" customHeight="true" outlineLevel="0" collapsed="false">
      <c r="A166" s="37" t="s">
        <v>982</v>
      </c>
      <c r="B166" s="37" t="s">
        <v>983</v>
      </c>
    </row>
    <row r="167" customFormat="false" ht="39" hidden="false" customHeight="true" outlineLevel="0" collapsed="false">
      <c r="A167" s="37" t="s">
        <v>984</v>
      </c>
      <c r="B167" s="37" t="s">
        <v>985</v>
      </c>
    </row>
    <row r="168" customFormat="false" ht="26.25" hidden="false" customHeight="true" outlineLevel="0" collapsed="false">
      <c r="A168" s="37" t="s">
        <v>986</v>
      </c>
      <c r="B168" s="37" t="s">
        <v>765</v>
      </c>
    </row>
    <row r="169" customFormat="false" ht="26.25" hidden="false" customHeight="true" outlineLevel="0" collapsed="false">
      <c r="A169" s="37" t="s">
        <v>987</v>
      </c>
      <c r="B169" s="37" t="s">
        <v>767</v>
      </c>
    </row>
    <row r="170" customFormat="false" ht="26.25" hidden="false" customHeight="true" outlineLevel="0" collapsed="false">
      <c r="A170" s="37" t="s">
        <v>988</v>
      </c>
      <c r="B170" s="37" t="s">
        <v>289</v>
      </c>
    </row>
    <row r="171" customFormat="false" ht="26.25" hidden="false" customHeight="true" outlineLevel="0" collapsed="false">
      <c r="A171" s="37" t="s">
        <v>989</v>
      </c>
      <c r="B171" s="37" t="s">
        <v>770</v>
      </c>
    </row>
    <row r="172" customFormat="false" ht="15" hidden="false" customHeight="true" outlineLevel="0" collapsed="false">
      <c r="A172" s="37" t="s">
        <v>990</v>
      </c>
      <c r="B172" s="37" t="s">
        <v>73</v>
      </c>
    </row>
    <row r="173" customFormat="false" ht="15" hidden="false" customHeight="true" outlineLevel="0" collapsed="false">
      <c r="A173" s="37" t="s">
        <v>991</v>
      </c>
      <c r="B173" s="37" t="s">
        <v>992</v>
      </c>
    </row>
    <row r="174" customFormat="false" ht="26.25" hidden="false" customHeight="true" outlineLevel="0" collapsed="false">
      <c r="A174" s="37" t="s">
        <v>993</v>
      </c>
      <c r="B174" s="37" t="s">
        <v>994</v>
      </c>
    </row>
    <row r="175" customFormat="false" ht="26.25" hidden="false" customHeight="true" outlineLevel="0" collapsed="false">
      <c r="A175" s="37" t="s">
        <v>995</v>
      </c>
      <c r="B175" s="37" t="s">
        <v>797</v>
      </c>
    </row>
    <row r="176" customFormat="false" ht="26.25" hidden="false" customHeight="true" outlineLevel="0" collapsed="false">
      <c r="A176" s="37" t="s">
        <v>996</v>
      </c>
      <c r="B176" s="37" t="s">
        <v>799</v>
      </c>
    </row>
    <row r="177" customFormat="false" ht="26.25" hidden="false" customHeight="true" outlineLevel="0" collapsed="false">
      <c r="A177" s="37" t="s">
        <v>997</v>
      </c>
      <c r="B177" s="37" t="s">
        <v>801</v>
      </c>
    </row>
    <row r="178" customFormat="false" ht="26.25" hidden="false" customHeight="true" outlineLevel="0" collapsed="false">
      <c r="A178" s="37" t="s">
        <v>998</v>
      </c>
      <c r="B178" s="37" t="s">
        <v>999</v>
      </c>
    </row>
    <row r="179" customFormat="false" ht="15" hidden="false" customHeight="true" outlineLevel="0" collapsed="false">
      <c r="A179" s="37" t="s">
        <v>1000</v>
      </c>
      <c r="B179" s="37" t="s">
        <v>1001</v>
      </c>
    </row>
    <row r="180" customFormat="false" ht="26.25" hidden="false" customHeight="true" outlineLevel="0" collapsed="false">
      <c r="A180" s="37" t="s">
        <v>1002</v>
      </c>
      <c r="B180" s="37" t="s">
        <v>1003</v>
      </c>
    </row>
    <row r="181" customFormat="false" ht="26.25" hidden="false" customHeight="true" outlineLevel="0" collapsed="false">
      <c r="A181" s="37" t="s">
        <v>1004</v>
      </c>
      <c r="B181" s="37" t="s">
        <v>1005</v>
      </c>
    </row>
    <row r="182" customFormat="false" ht="26.25" hidden="false" customHeight="true" outlineLevel="0" collapsed="false">
      <c r="A182" s="37" t="s">
        <v>1006</v>
      </c>
      <c r="B182" s="37" t="s">
        <v>1007</v>
      </c>
    </row>
    <row r="183" customFormat="false" ht="26.25" hidden="false" customHeight="true" outlineLevel="0" collapsed="false">
      <c r="A183" s="37" t="s">
        <v>1008</v>
      </c>
      <c r="B183" s="37" t="s">
        <v>765</v>
      </c>
    </row>
    <row r="184" customFormat="false" ht="26.25" hidden="false" customHeight="true" outlineLevel="0" collapsed="false">
      <c r="A184" s="37" t="s">
        <v>1009</v>
      </c>
      <c r="B184" s="37" t="s">
        <v>767</v>
      </c>
    </row>
    <row r="185" customFormat="false" ht="26.25" hidden="false" customHeight="true" outlineLevel="0" collapsed="false">
      <c r="A185" s="37" t="s">
        <v>1010</v>
      </c>
      <c r="B185" s="37" t="s">
        <v>289</v>
      </c>
    </row>
    <row r="186" customFormat="false" ht="26.25" hidden="false" customHeight="true" outlineLevel="0" collapsed="false">
      <c r="A186" s="37" t="s">
        <v>1011</v>
      </c>
      <c r="B186" s="37" t="s">
        <v>770</v>
      </c>
    </row>
    <row r="187" customFormat="false" ht="15" hidden="false" customHeight="true" outlineLevel="0" collapsed="false">
      <c r="A187" s="37" t="s">
        <v>1012</v>
      </c>
      <c r="B187" s="37" t="s">
        <v>73</v>
      </c>
    </row>
    <row r="188" customFormat="false" ht="15" hidden="false" customHeight="true" outlineLevel="0" collapsed="false">
      <c r="A188" s="37" t="s">
        <v>1013</v>
      </c>
      <c r="B188" s="37" t="s">
        <v>1014</v>
      </c>
    </row>
    <row r="189" customFormat="false" ht="26.25" hidden="false" customHeight="true" outlineLevel="0" collapsed="false">
      <c r="A189" s="37" t="s">
        <v>1015</v>
      </c>
      <c r="B189" s="37" t="s">
        <v>1016</v>
      </c>
    </row>
    <row r="190" customFormat="false" ht="26.25" hidden="false" customHeight="true" outlineLevel="0" collapsed="false">
      <c r="A190" s="37" t="s">
        <v>1017</v>
      </c>
      <c r="B190" s="37" t="s">
        <v>797</v>
      </c>
    </row>
    <row r="191" customFormat="false" ht="26.25" hidden="false" customHeight="true" outlineLevel="0" collapsed="false">
      <c r="A191" s="37" t="s">
        <v>1018</v>
      </c>
      <c r="B191" s="37" t="s">
        <v>974</v>
      </c>
    </row>
    <row r="192" customFormat="false" ht="26.25" hidden="false" customHeight="true" outlineLevel="0" collapsed="false">
      <c r="A192" s="37" t="s">
        <v>1019</v>
      </c>
      <c r="B192" s="37" t="s">
        <v>801</v>
      </c>
    </row>
    <row r="193" customFormat="false" ht="26.25" hidden="false" customHeight="true" outlineLevel="0" collapsed="false">
      <c r="A193" s="37" t="s">
        <v>1020</v>
      </c>
      <c r="B193" s="37" t="s">
        <v>1021</v>
      </c>
    </row>
    <row r="194" customFormat="false" ht="15" hidden="false" customHeight="true" outlineLevel="0" collapsed="false">
      <c r="A194" s="37" t="s">
        <v>1022</v>
      </c>
      <c r="B194" s="37" t="s">
        <v>1023</v>
      </c>
    </row>
    <row r="195" customFormat="false" ht="26.25" hidden="false" customHeight="true" outlineLevel="0" collapsed="false">
      <c r="A195" s="37" t="s">
        <v>1024</v>
      </c>
      <c r="B195" s="37" t="s">
        <v>1025</v>
      </c>
    </row>
    <row r="196" customFormat="false" ht="26.25" hidden="false" customHeight="true" outlineLevel="0" collapsed="false">
      <c r="A196" s="37" t="s">
        <v>1026</v>
      </c>
      <c r="B196" s="37" t="s">
        <v>1027</v>
      </c>
    </row>
    <row r="197" customFormat="false" ht="51.75" hidden="false" customHeight="true" outlineLevel="0" collapsed="false">
      <c r="A197" s="37" t="s">
        <v>1028</v>
      </c>
      <c r="B197" s="37" t="s">
        <v>1029</v>
      </c>
    </row>
    <row r="198" customFormat="false" ht="26.25" hidden="false" customHeight="true" outlineLevel="0" collapsed="false">
      <c r="A198" s="37" t="s">
        <v>1030</v>
      </c>
      <c r="B198" s="37" t="s">
        <v>765</v>
      </c>
    </row>
    <row r="199" customFormat="false" ht="26.25" hidden="false" customHeight="true" outlineLevel="0" collapsed="false">
      <c r="A199" s="37" t="s">
        <v>1031</v>
      </c>
      <c r="B199" s="37" t="s">
        <v>767</v>
      </c>
    </row>
    <row r="200" customFormat="false" ht="26.25" hidden="false" customHeight="true" outlineLevel="0" collapsed="false">
      <c r="A200" s="37" t="s">
        <v>1032</v>
      </c>
      <c r="B200" s="37" t="s">
        <v>289</v>
      </c>
    </row>
    <row r="201" customFormat="false" ht="26.25" hidden="false" customHeight="true" outlineLevel="0" collapsed="false">
      <c r="A201" s="37" t="s">
        <v>1033</v>
      </c>
      <c r="B201" s="37" t="s">
        <v>770</v>
      </c>
    </row>
    <row r="202" customFormat="false" ht="15" hidden="false" customHeight="true" outlineLevel="0" collapsed="false">
      <c r="A202" s="37" t="s">
        <v>1034</v>
      </c>
      <c r="B202" s="37" t="s">
        <v>1035</v>
      </c>
    </row>
    <row r="203" customFormat="false" ht="15" hidden="false" customHeight="true" outlineLevel="0" collapsed="false">
      <c r="A203" s="37" t="s">
        <v>1036</v>
      </c>
      <c r="B203" s="37" t="s">
        <v>1037</v>
      </c>
    </row>
    <row r="204" customFormat="false" ht="15" hidden="false" customHeight="true" outlineLevel="0" collapsed="false">
      <c r="A204" s="37" t="s">
        <v>1038</v>
      </c>
      <c r="B204" s="37" t="s">
        <v>1039</v>
      </c>
    </row>
    <row r="205" customFormat="false" ht="26.25" hidden="false" customHeight="true" outlineLevel="0" collapsed="false">
      <c r="A205" s="37" t="s">
        <v>1040</v>
      </c>
      <c r="B205" s="37" t="s">
        <v>1041</v>
      </c>
    </row>
    <row r="206" customFormat="false" ht="15" hidden="false" customHeight="true" outlineLevel="0" collapsed="false">
      <c r="A206" s="37" t="s">
        <v>1042</v>
      </c>
      <c r="B206" s="37" t="s">
        <v>1043</v>
      </c>
    </row>
    <row r="207" customFormat="false" ht="26.25" hidden="false" customHeight="true" outlineLevel="0" collapsed="false">
      <c r="A207" s="37" t="s">
        <v>1044</v>
      </c>
      <c r="B207" s="37" t="s">
        <v>1045</v>
      </c>
    </row>
    <row r="208" customFormat="false" ht="15" hidden="false" customHeight="false" outlineLevel="0" collapsed="false">
      <c r="A208" s="1" t="s">
        <v>1046</v>
      </c>
      <c r="B208" s="1" t="s">
        <v>1047</v>
      </c>
    </row>
    <row r="209" customFormat="false" ht="15" hidden="false" customHeight="false" outlineLevel="0" collapsed="false">
      <c r="A209" s="1" t="s">
        <v>1048</v>
      </c>
      <c r="B209" s="1" t="s">
        <v>1049</v>
      </c>
    </row>
  </sheetData>
  <autoFilter ref="A1:B2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ns1="http://schemas.openxmlformats.org/officeDocument/2006/relationships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2" min="1" style="1" width="24"/>
    <col collapsed="false" customWidth="true" hidden="false" outlineLevel="0" max="3" min="3" style="1" width="85"/>
  </cols>
  <sheetData>
    <row r="1" customFormat="false" ht="15" hidden="false" customHeight="true" outlineLevel="0" collapsed="false">
      <c r="A1" s="36" t="s">
        <v>1050</v>
      </c>
      <c r="B1" s="36" t="s">
        <v>1051</v>
      </c>
      <c r="C1" s="36" t="s">
        <v>1052</v>
      </c>
    </row>
    <row r="2" customFormat="false" ht="51.75" hidden="false" customHeight="true" outlineLevel="0" collapsed="false">
      <c r="A2" s="37" t="s">
        <v>726</v>
      </c>
      <c r="B2" s="37" t="s">
        <v>1053</v>
      </c>
      <c r="C2" s="37" t="s">
        <v>1054</v>
      </c>
    </row>
    <row r="3" customFormat="false" ht="51.75" hidden="false" customHeight="true" outlineLevel="0" collapsed="false">
      <c r="A3" s="37" t="s">
        <v>1055</v>
      </c>
      <c r="B3" s="37" t="s">
        <v>1056</v>
      </c>
      <c r="C3" s="37" t="s">
        <v>1057</v>
      </c>
    </row>
    <row r="4" customFormat="false" ht="51.75" hidden="false" customHeight="true" outlineLevel="0" collapsed="false">
      <c r="A4" s="37" t="s">
        <v>1058</v>
      </c>
      <c r="B4" s="37" t="s">
        <v>1059</v>
      </c>
      <c r="C4" s="37" t="s">
        <v>1060</v>
      </c>
    </row>
    <row r="5" customFormat="false" ht="51.75" hidden="false" customHeight="true" outlineLevel="0" collapsed="false">
      <c r="A5" s="37" t="s">
        <v>1061</v>
      </c>
      <c r="B5" s="37" t="s">
        <v>1062</v>
      </c>
      <c r="C5" s="37" t="s">
        <v>1063</v>
      </c>
    </row>
    <row r="6" customFormat="false" ht="26.25" hidden="false" customHeight="true" outlineLevel="0" collapsed="false">
      <c r="A6" s="37" t="s">
        <v>1064</v>
      </c>
      <c r="B6" s="38" t="n">
        <f aca="false">30000/(1+RESRATE)-Options!P7</f>
        <v>-11240.7314285714</v>
      </c>
      <c r="C6" s="37" t="s">
        <v>1065</v>
      </c>
    </row>
    <row r="7" customFormat="false" ht="51.75" hidden="false" customHeight="true" outlineLevel="0" collapsed="false">
      <c r="A7" s="37" t="s">
        <v>1066</v>
      </c>
      <c r="B7" s="37" t="inlineStr">
        <is>
          <t>Boston24 current partial37191.168; nextA19 BostonAA358 partial38375.568. Neither is fully qualified; Chicago101 archived and158/159 above cap excluded.</t>
        </is>
      </c>
      <c r="C7" s="37" t="s">
        <v>1068</v>
      </c>
    </row>
    <row r="8" customFormat="false" ht="51.75" hidden="false" customHeight="true" outlineLevel="0" collapsed="false">
      <c r="A8" s="37" t="s">
        <v>1069</v>
      </c>
      <c r="B8" s="37" t="s">
        <v>1070</v>
      </c>
      <c r="C8" s="37" t="s">
        <v>1071</v>
      </c>
    </row>
    <row r="9" customFormat="false" ht="51.75" hidden="false" customHeight="true" outlineLevel="0" collapsed="false">
      <c r="A9" s="37" t="s">
        <v>1072</v>
      </c>
      <c r="B9" s="37" t="s">
        <v>1073</v>
      </c>
      <c r="C9" s="37" t="s">
        <v>1074</v>
      </c>
    </row>
    <row r="10" customFormat="false" ht="77.25" hidden="false" customHeight="true" outlineLevel="0" collapsed="false">
      <c r="A10" s="37" t="s">
        <v>1075</v>
      </c>
      <c r="B10" s="37" t="s">
        <v>1076</v>
      </c>
      <c r="C10" s="37" t="s">
        <v>1077</v>
      </c>
    </row>
    <row r="11" customFormat="false" ht="51.75" hidden="false" customHeight="true" outlineLevel="0" collapsed="false">
      <c r="A11" s="37" t="s">
        <v>1078</v>
      </c>
      <c r="B11" s="37" t="s">
        <v>1079</v>
      </c>
      <c r="C11" s="37" t="s">
        <v>1080</v>
      </c>
    </row>
    <row r="12" customFormat="false" ht="39" hidden="false" customHeight="true" outlineLevel="0" collapsed="false">
      <c r="A12" s="37" t="s">
        <v>1081</v>
      </c>
      <c r="B12" s="37" t="s">
        <v>1082</v>
      </c>
      <c r="C12" s="37" t="s">
        <v>1083</v>
      </c>
    </row>
  </sheetData>
  <autoFilter ref="A1:C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ns1:id="rId1"/>
</worksheet>
</file>

<file path=xl/worksheets/sheet19.xml><?xml version="1.0" encoding="utf-8"?>
<worksheet xmlns="http://schemas.openxmlformats.org/spreadsheetml/2006/main" xmlns:ns1="http://schemas.openxmlformats.org/officeDocument/2006/relationships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3" min="3" style="1" width="80"/>
    <col collapsed="false" customWidth="true" hidden="false" outlineLevel="0" max="5" min="4" style="1" width="18"/>
    <col collapsed="false" customWidth="true" hidden="false" outlineLevel="0" max="6" min="6" style="1" width="24"/>
    <col collapsed="false" customWidth="true" hidden="false" outlineLevel="0" max="7" min="7" style="1" width="26"/>
    <col collapsed="false" customWidth="true" hidden="false" outlineLevel="0" max="8" min="8" style="1" width="20"/>
    <col collapsed="false" customWidth="true" hidden="false" outlineLevel="0" max="10" min="9" style="1" width="25"/>
    <col collapsed="false" customWidth="true" hidden="false" outlineLevel="0" max="11" min="11" style="1" width="110"/>
  </cols>
  <sheetData>
    <row r="1" customFormat="false" ht="39" hidden="false" customHeight="true" outlineLevel="0" collapsed="false">
      <c r="A1" s="39" t="s">
        <v>44</v>
      </c>
      <c r="B1" s="39" t="s">
        <v>122</v>
      </c>
      <c r="C1" s="39" t="s">
        <v>1084</v>
      </c>
      <c r="D1" s="39" t="s">
        <v>1085</v>
      </c>
      <c r="E1" s="39" t="s">
        <v>1086</v>
      </c>
      <c r="F1" s="39" t="s">
        <v>1087</v>
      </c>
      <c r="G1" s="39" t="s">
        <v>1088</v>
      </c>
      <c r="H1" s="39" t="s">
        <v>1089</v>
      </c>
      <c r="I1" s="39" t="inlineStr">
        <is>
          <t>Diagnostic Uchi-Ualt vs excludedCHI158 @p0</t>
        </is>
      </c>
      <c r="J1" s="39" t="inlineStr">
        <is>
          <t>Diagnostic Uchi-Ualt vs excludedCHI158 @p.2</t>
        </is>
      </c>
      <c r="K1" s="39" t="s">
        <v>1092</v>
      </c>
    </row>
    <row r="2" customFormat="false" ht="39" hidden="false" customHeight="true" outlineLevel="0" collapsed="false">
      <c r="A2" s="37" t="s">
        <v>61</v>
      </c>
      <c r="B2" s="37" t="n">
        <v>24</v>
      </c>
      <c r="C2" s="37" t="s">
        <v>1093</v>
      </c>
      <c r="D2" s="38" t="n">
        <v>270</v>
      </c>
      <c r="E2" s="38" t="n">
        <v>145</v>
      </c>
      <c r="F2" s="38" t="n">
        <v>120</v>
      </c>
      <c r="G2" s="38" t="n">
        <f aca="false">Candidate_Model!G12</f>
        <v>38414.4</v>
      </c>
      <c r="H2" s="38" t="n">
        <f aca="false">Candidate_Model!H12</f>
        <v>6480</v>
      </c>
      <c r="I2" s="38" t="n">
        <f aca="false">G2-Options!P7</f>
        <v>-1397.76</v>
      </c>
      <c r="J2" s="38" t="n">
        <f aca="false">I2+0.2*(H2-Options!X7)</f>
        <v>-1397.76</v>
      </c>
      <c r="K2" s="37" t="s">
        <v>1094</v>
      </c>
    </row>
    <row r="3" customFormat="false" ht="39" hidden="false" customHeight="true" outlineLevel="0" collapsed="false">
      <c r="A3" s="37" t="s">
        <v>61</v>
      </c>
      <c r="B3" s="37" t="n">
        <v>18</v>
      </c>
      <c r="C3" s="37" t="s">
        <v>1093</v>
      </c>
      <c r="D3" s="38" t="n">
        <v>270</v>
      </c>
      <c r="E3" s="38" t="n">
        <v>145</v>
      </c>
      <c r="F3" s="38" t="n">
        <v>120</v>
      </c>
      <c r="G3" s="38" t="n">
        <f aca="false">Candidate_Model!G13</f>
        <v>28810.8</v>
      </c>
      <c r="H3" s="38" t="n">
        <f aca="false">Candidate_Model!H13</f>
        <v>4860</v>
      </c>
      <c r="I3" s="38" t="n">
        <f aca="false">G3-Options!P8</f>
        <v>-1048.32</v>
      </c>
      <c r="J3" s="38" t="n">
        <f aca="false">I3+0.2*(H3-Options!X8)</f>
        <v>-1048.32</v>
      </c>
      <c r="K3" s="37" t="s">
        <v>1094</v>
      </c>
    </row>
    <row r="4" customFormat="false" ht="39" hidden="false" customHeight="true" outlineLevel="0" collapsed="false">
      <c r="A4" s="37" t="s">
        <v>61</v>
      </c>
      <c r="B4" s="37" t="n">
        <v>24</v>
      </c>
      <c r="C4" s="37" t="s">
        <v>1095</v>
      </c>
      <c r="D4" s="38" t="n">
        <v>270</v>
      </c>
      <c r="E4" s="38" t="n">
        <v>133</v>
      </c>
      <c r="F4" s="38" t="n">
        <v>120</v>
      </c>
      <c r="G4" s="38" t="n">
        <f aca="false">Candidate_Model!G14</f>
        <v>37124.16</v>
      </c>
      <c r="H4" s="38" t="n">
        <f aca="false">Candidate_Model!H14</f>
        <v>6480</v>
      </c>
      <c r="I4" s="38" t="n">
        <f aca="false">G4-Options!P7</f>
        <v>-2688</v>
      </c>
      <c r="J4" s="38" t="n">
        <f aca="false">I4+0.2*(H4-Options!X7)</f>
        <v>-2688</v>
      </c>
      <c r="K4" s="37" t="s">
        <v>1094</v>
      </c>
    </row>
    <row r="5" customFormat="false" ht="39" hidden="false" customHeight="true" outlineLevel="0" collapsed="false">
      <c r="A5" s="37" t="s">
        <v>61</v>
      </c>
      <c r="B5" s="37" t="n">
        <v>18</v>
      </c>
      <c r="C5" s="37" t="s">
        <v>1095</v>
      </c>
      <c r="D5" s="38" t="n">
        <v>270</v>
      </c>
      <c r="E5" s="38" t="n">
        <v>133</v>
      </c>
      <c r="F5" s="38" t="n">
        <v>120</v>
      </c>
      <c r="G5" s="38" t="n">
        <f aca="false">Candidate_Model!G15</f>
        <v>27843.12</v>
      </c>
      <c r="H5" s="38" t="n">
        <f aca="false">Candidate_Model!H15</f>
        <v>4860</v>
      </c>
      <c r="I5" s="38" t="n">
        <f aca="false">G5-Options!P8</f>
        <v>-2016</v>
      </c>
      <c r="J5" s="38" t="n">
        <f aca="false">I5+0.2*(H5-Options!X8)</f>
        <v>-2016</v>
      </c>
      <c r="K5" s="37" t="s">
        <v>1094</v>
      </c>
    </row>
    <row r="6" customFormat="false" ht="39" hidden="false" customHeight="true" outlineLevel="0" collapsed="false">
      <c r="A6" s="37" t="s">
        <v>65</v>
      </c>
      <c r="B6" s="37" t="n">
        <v>24</v>
      </c>
      <c r="C6" s="37" t="s">
        <v>1096</v>
      </c>
      <c r="D6" s="38" t="n">
        <v>578</v>
      </c>
      <c r="E6" s="38" t="n">
        <v>79</v>
      </c>
      <c r="F6" s="38" t="n">
        <v>220</v>
      </c>
      <c r="G6" s="38" t="n">
        <f aca="false">Candidate_Model!G16</f>
        <v>41110.08</v>
      </c>
      <c r="H6" s="38" t="n">
        <f aca="false">Candidate_Model!H16</f>
        <v>13872</v>
      </c>
      <c r="I6" s="38" t="n">
        <f aca="false">G6-Options!P7</f>
        <v>1297.92000000001</v>
      </c>
      <c r="J6" s="38" t="n">
        <f aca="false">I6+0.2*(H6-Options!X7)</f>
        <v>2776.32000000001</v>
      </c>
      <c r="K6" s="37" t="s">
        <v>1094</v>
      </c>
    </row>
    <row r="7" customFormat="false" ht="39" hidden="false" customHeight="true" outlineLevel="0" collapsed="false">
      <c r="A7" s="37" t="s">
        <v>65</v>
      </c>
      <c r="B7" s="37" t="n">
        <v>18</v>
      </c>
      <c r="C7" s="37" t="s">
        <v>1096</v>
      </c>
      <c r="D7" s="38" t="n">
        <v>578</v>
      </c>
      <c r="E7" s="38" t="n">
        <v>79</v>
      </c>
      <c r="F7" s="38" t="n">
        <v>220</v>
      </c>
      <c r="G7" s="38" t="n">
        <f aca="false">Candidate_Model!G17</f>
        <v>30832.56</v>
      </c>
      <c r="H7" s="38" t="n">
        <f aca="false">Candidate_Model!H17</f>
        <v>10404</v>
      </c>
      <c r="I7" s="38" t="n">
        <f aca="false">G7-Options!P8</f>
        <v>973.439999999999</v>
      </c>
      <c r="J7" s="38" t="n">
        <f aca="false">I7+0.2*(H7-Options!X8)</f>
        <v>2082.24</v>
      </c>
      <c r="K7" s="37" t="s">
        <v>1094</v>
      </c>
    </row>
    <row r="8" customFormat="false" ht="39" hidden="false" customHeight="true" outlineLevel="0" collapsed="false">
      <c r="A8" s="37" t="s">
        <v>65</v>
      </c>
      <c r="B8" s="37" t="n">
        <v>24</v>
      </c>
      <c r="C8" s="37" t="s">
        <v>1097</v>
      </c>
      <c r="D8" s="38" t="n">
        <v>578</v>
      </c>
      <c r="E8" s="38" t="n">
        <v>113</v>
      </c>
      <c r="F8" s="38" t="n">
        <v>220</v>
      </c>
      <c r="G8" s="38" t="n">
        <f aca="false">Candidate_Model!G18</f>
        <v>44765.76</v>
      </c>
      <c r="H8" s="38" t="n">
        <f aca="false">Candidate_Model!H18</f>
        <v>13872</v>
      </c>
      <c r="I8" s="38" t="n">
        <f aca="false">G8-Options!P7</f>
        <v>4953.60000000001</v>
      </c>
      <c r="J8" s="38" t="n">
        <f aca="false">I8+0.2*(H8-Options!X7)</f>
        <v>6432.00000000001</v>
      </c>
      <c r="K8" s="37" t="s">
        <v>1094</v>
      </c>
    </row>
    <row r="9" customFormat="false" ht="39" hidden="false" customHeight="true" outlineLevel="0" collapsed="false">
      <c r="A9" s="37" t="s">
        <v>65</v>
      </c>
      <c r="B9" s="37" t="n">
        <v>18</v>
      </c>
      <c r="C9" s="37" t="s">
        <v>1097</v>
      </c>
      <c r="D9" s="38" t="n">
        <v>578</v>
      </c>
      <c r="E9" s="38" t="n">
        <v>113</v>
      </c>
      <c r="F9" s="38" t="n">
        <v>220</v>
      </c>
      <c r="G9" s="38" t="n">
        <f aca="false">Candidate_Model!G19</f>
        <v>33574.32</v>
      </c>
      <c r="H9" s="38" t="n">
        <f aca="false">Candidate_Model!H19</f>
        <v>10404</v>
      </c>
      <c r="I9" s="38" t="n">
        <f aca="false">G9-Options!P8</f>
        <v>3715.2</v>
      </c>
      <c r="J9" s="38" t="n">
        <f aca="false">I9+0.2*(H9-Options!X8)</f>
        <v>4824</v>
      </c>
      <c r="K9" s="37" t="s">
        <v>1094</v>
      </c>
    </row>
    <row r="10" customFormat="false" ht="39" hidden="false" customHeight="true" outlineLevel="0" collapsed="false">
      <c r="A10" s="37" t="s">
        <v>65</v>
      </c>
      <c r="B10" s="37" t="n">
        <v>24</v>
      </c>
      <c r="C10" s="37" t="s">
        <v>1098</v>
      </c>
      <c r="D10" s="38" t="n">
        <v>578</v>
      </c>
      <c r="E10" s="38" t="n">
        <v>112</v>
      </c>
      <c r="F10" s="38" t="n">
        <v>220</v>
      </c>
      <c r="G10" s="38" t="n">
        <f aca="false">Candidate_Model!G20</f>
        <v>44658.24</v>
      </c>
      <c r="H10" s="38" t="n">
        <f aca="false">Candidate_Model!H20</f>
        <v>13872</v>
      </c>
      <c r="I10" s="38" t="n">
        <f aca="false">G10-Options!P7</f>
        <v>4846.08</v>
      </c>
      <c r="J10" s="38" t="n">
        <f aca="false">I10+0.2*(H10-Options!X7)</f>
        <v>6324.48</v>
      </c>
      <c r="K10" s="37" t="s">
        <v>1094</v>
      </c>
    </row>
    <row r="11" customFormat="false" ht="39" hidden="false" customHeight="true" outlineLevel="0" collapsed="false">
      <c r="A11" s="37" t="s">
        <v>65</v>
      </c>
      <c r="B11" s="37" t="n">
        <v>18</v>
      </c>
      <c r="C11" s="37" t="s">
        <v>1098</v>
      </c>
      <c r="D11" s="38" t="n">
        <v>578</v>
      </c>
      <c r="E11" s="38" t="n">
        <v>112</v>
      </c>
      <c r="F11" s="38" t="n">
        <v>220</v>
      </c>
      <c r="G11" s="38" t="n">
        <f aca="false">Candidate_Model!G21</f>
        <v>33493.68</v>
      </c>
      <c r="H11" s="38" t="n">
        <f aca="false">Candidate_Model!H21</f>
        <v>10404</v>
      </c>
      <c r="I11" s="38" t="n">
        <f aca="false">G11-Options!P8</f>
        <v>3634.56</v>
      </c>
      <c r="J11" s="38" t="n">
        <f aca="false">I11+0.2*(H11-Options!X8)</f>
        <v>4743.36</v>
      </c>
      <c r="K11" s="37" t="s">
        <v>1094</v>
      </c>
    </row>
    <row r="12" customFormat="false" ht="39" hidden="false" customHeight="true" outlineLevel="0" collapsed="false">
      <c r="A12" s="37" t="s">
        <v>65</v>
      </c>
      <c r="B12" s="37" t="n">
        <v>24</v>
      </c>
      <c r="C12" s="37" t="s">
        <v>1099</v>
      </c>
      <c r="D12" s="38" t="n">
        <v>741</v>
      </c>
      <c r="E12" s="38" t="n">
        <v>109</v>
      </c>
      <c r="F12" s="38" t="n">
        <v>140</v>
      </c>
      <c r="G12" s="38" t="n">
        <f aca="false">Candidate_Model!G22</f>
        <v>46327.68</v>
      </c>
      <c r="H12" s="38" t="n">
        <f aca="false">Candidate_Model!H22</f>
        <v>17784</v>
      </c>
      <c r="I12" s="38" t="n">
        <f aca="false">G12-Options!P7</f>
        <v>6515.52</v>
      </c>
      <c r="J12" s="38" t="n">
        <f aca="false">I12+0.2*(H12-Options!X7)</f>
        <v>8776.32</v>
      </c>
      <c r="K12" s="37" t="s">
        <v>1094</v>
      </c>
    </row>
    <row r="13" customFormat="false" ht="39" hidden="false" customHeight="true" outlineLevel="0" collapsed="false">
      <c r="A13" s="37" t="s">
        <v>65</v>
      </c>
      <c r="B13" s="37" t="n">
        <v>18</v>
      </c>
      <c r="C13" s="37" t="s">
        <v>1099</v>
      </c>
      <c r="D13" s="38" t="n">
        <v>741</v>
      </c>
      <c r="E13" s="38" t="n">
        <v>109</v>
      </c>
      <c r="F13" s="38" t="n">
        <v>140</v>
      </c>
      <c r="G13" s="38" t="n">
        <f aca="false">Candidate_Model!G23</f>
        <v>34745.76</v>
      </c>
      <c r="H13" s="38" t="n">
        <f aca="false">Candidate_Model!H23</f>
        <v>13338</v>
      </c>
      <c r="I13" s="38" t="n">
        <f aca="false">G13-Options!P8</f>
        <v>4886.64</v>
      </c>
      <c r="J13" s="38" t="n">
        <f aca="false">I13+0.2*(H13-Options!X8)</f>
        <v>6582.24</v>
      </c>
      <c r="K13" s="37" t="s">
        <v>1094</v>
      </c>
    </row>
    <row r="14" customFormat="false" ht="39" hidden="false" customHeight="true" outlineLevel="0" collapsed="false">
      <c r="A14" s="37" t="s">
        <v>70</v>
      </c>
      <c r="B14" s="37" t="n">
        <v>24</v>
      </c>
      <c r="C14" s="37" t="s">
        <v>1100</v>
      </c>
      <c r="D14" s="38" t="n">
        <v>499</v>
      </c>
      <c r="E14" s="38" t="n">
        <v>126</v>
      </c>
      <c r="F14" s="38" t="n">
        <v>210</v>
      </c>
      <c r="G14" s="38" t="n">
        <f aca="false">Candidate_Model!G24</f>
        <v>43595.52</v>
      </c>
      <c r="H14" s="38" t="n">
        <f aca="false">Candidate_Model!H24</f>
        <v>11976</v>
      </c>
      <c r="I14" s="38" t="n">
        <f aca="false">G14-Options!P7</f>
        <v>3783.35999999999</v>
      </c>
      <c r="J14" s="38" t="n">
        <f aca="false">I14+0.2*(H14-Options!X7)</f>
        <v>4882.55999999999</v>
      </c>
      <c r="K14" s="37" t="s">
        <v>1094</v>
      </c>
    </row>
    <row r="15" customFormat="false" ht="39" hidden="false" customHeight="true" outlineLevel="0" collapsed="false">
      <c r="A15" s="37" t="s">
        <v>70</v>
      </c>
      <c r="B15" s="37" t="n">
        <v>18</v>
      </c>
      <c r="C15" s="37" t="s">
        <v>1100</v>
      </c>
      <c r="D15" s="38" t="n">
        <v>499</v>
      </c>
      <c r="E15" s="38" t="n">
        <v>126</v>
      </c>
      <c r="F15" s="38" t="n">
        <v>210</v>
      </c>
      <c r="G15" s="38" t="n">
        <f aca="false">Candidate_Model!G25</f>
        <v>32696.64</v>
      </c>
      <c r="H15" s="38" t="n">
        <f aca="false">Candidate_Model!H25</f>
        <v>8982</v>
      </c>
      <c r="I15" s="38" t="n">
        <f aca="false">G15-Options!P8</f>
        <v>2837.52</v>
      </c>
      <c r="J15" s="38" t="n">
        <f aca="false">I15+0.2*(H15-Options!X8)</f>
        <v>3661.92</v>
      </c>
      <c r="K15" s="37" t="s">
        <v>1094</v>
      </c>
    </row>
    <row r="16" customFormat="false" ht="39" hidden="false" customHeight="true" outlineLevel="0" collapsed="false">
      <c r="A16" s="37" t="s">
        <v>70</v>
      </c>
      <c r="B16" s="37" t="n">
        <v>24</v>
      </c>
      <c r="C16" s="37" t="s">
        <v>1101</v>
      </c>
      <c r="D16" s="38" t="n">
        <v>499</v>
      </c>
      <c r="E16" s="38" t="n">
        <v>127</v>
      </c>
      <c r="F16" s="38" t="n">
        <v>210</v>
      </c>
      <c r="G16" s="38" t="n">
        <f aca="false">Candidate_Model!G26</f>
        <v>43703.04</v>
      </c>
      <c r="H16" s="38" t="n">
        <f aca="false">Candidate_Model!H26</f>
        <v>11976</v>
      </c>
      <c r="I16" s="38" t="n">
        <f aca="false">G16-Options!P7</f>
        <v>3890.88</v>
      </c>
      <c r="J16" s="38" t="n">
        <f aca="false">I16+0.2*(H16-Options!X7)</f>
        <v>4990.08</v>
      </c>
      <c r="K16" s="37" t="s">
        <v>1094</v>
      </c>
    </row>
    <row r="17" customFormat="false" ht="39" hidden="false" customHeight="true" outlineLevel="0" collapsed="false">
      <c r="A17" s="37" t="s">
        <v>70</v>
      </c>
      <c r="B17" s="37" t="n">
        <v>18</v>
      </c>
      <c r="C17" s="37" t="s">
        <v>1101</v>
      </c>
      <c r="D17" s="38" t="n">
        <v>499</v>
      </c>
      <c r="E17" s="38" t="n">
        <v>127</v>
      </c>
      <c r="F17" s="38" t="n">
        <v>210</v>
      </c>
      <c r="G17" s="38" t="n">
        <f aca="false">Candidate_Model!G27</f>
        <v>32777.28</v>
      </c>
      <c r="H17" s="38" t="n">
        <f aca="false">Candidate_Model!H27</f>
        <v>8982</v>
      </c>
      <c r="I17" s="38" t="n">
        <f aca="false">G17-Options!P8</f>
        <v>2918.16</v>
      </c>
      <c r="J17" s="38" t="n">
        <f aca="false">I17+0.2*(H17-Options!X8)</f>
        <v>3742.56</v>
      </c>
      <c r="K17" s="37" t="s">
        <v>1094</v>
      </c>
    </row>
    <row r="18" customFormat="false" ht="39" hidden="false" customHeight="true" outlineLevel="0" collapsed="false">
      <c r="A18" s="37" t="s">
        <v>70</v>
      </c>
      <c r="B18" s="37" t="n">
        <v>24</v>
      </c>
      <c r="C18" s="37" t="s">
        <v>1102</v>
      </c>
      <c r="D18" s="38" t="n">
        <v>581</v>
      </c>
      <c r="E18" s="38" t="n">
        <v>150</v>
      </c>
      <c r="F18" s="38" t="n">
        <v>130</v>
      </c>
      <c r="G18" s="38" t="n">
        <f aca="false">Candidate_Model!G28</f>
        <v>46224</v>
      </c>
      <c r="H18" s="38" t="n">
        <f aca="false">Candidate_Model!H28</f>
        <v>13944</v>
      </c>
      <c r="I18" s="38" t="n">
        <f aca="false">G18-Options!P7</f>
        <v>6411.84</v>
      </c>
      <c r="J18" s="38" t="n">
        <f aca="false">I18+0.2*(H18-Options!X7)</f>
        <v>7904.64</v>
      </c>
      <c r="K18" s="37" t="s">
        <v>1094</v>
      </c>
    </row>
    <row r="19" customFormat="false" ht="39" hidden="false" customHeight="true" outlineLevel="0" collapsed="false">
      <c r="A19" s="37" t="s">
        <v>70</v>
      </c>
      <c r="B19" s="37" t="n">
        <v>18</v>
      </c>
      <c r="C19" s="37" t="s">
        <v>1102</v>
      </c>
      <c r="D19" s="38" t="n">
        <v>581</v>
      </c>
      <c r="E19" s="38" t="n">
        <v>150</v>
      </c>
      <c r="F19" s="38" t="n">
        <v>130</v>
      </c>
      <c r="G19" s="38" t="n">
        <f aca="false">Candidate_Model!G29</f>
        <v>34668</v>
      </c>
      <c r="H19" s="38" t="n">
        <f aca="false">Candidate_Model!H29</f>
        <v>10458</v>
      </c>
      <c r="I19" s="38" t="n">
        <f aca="false">G19-Options!P8</f>
        <v>4808.88</v>
      </c>
      <c r="J19" s="38" t="n">
        <f aca="false">I19+0.2*(H19-Options!X8)</f>
        <v>5928.48</v>
      </c>
      <c r="K19" s="37" t="s">
        <v>1094</v>
      </c>
    </row>
    <row r="20" customFormat="false" ht="39" hidden="false" customHeight="true" outlineLevel="0" collapsed="false">
      <c r="A20" s="37" t="s">
        <v>56</v>
      </c>
      <c r="B20" s="37" t="n">
        <v>24</v>
      </c>
      <c r="C20" s="37" t="s">
        <v>1103</v>
      </c>
      <c r="D20" s="38" t="n">
        <v>358</v>
      </c>
      <c r="E20" s="38" t="n">
        <v>108</v>
      </c>
      <c r="F20" s="38" t="n">
        <v>120</v>
      </c>
      <c r="G20" s="38" t="n">
        <f aca="false">Candidate_Model!G30</f>
        <v>36548.16</v>
      </c>
      <c r="H20" s="38" t="n">
        <f aca="false">Candidate_Model!H30</f>
        <v>8592</v>
      </c>
      <c r="I20" s="38" t="n">
        <f aca="false">G20-Options!P7</f>
        <v>-3264</v>
      </c>
      <c r="J20" s="38" t="n">
        <f aca="false">I20+0.2*(H20-Options!X7)</f>
        <v>-2841.6</v>
      </c>
      <c r="K20" s="37" t="s">
        <v>1094</v>
      </c>
    </row>
    <row r="21" customFormat="false" ht="39" hidden="false" customHeight="true" outlineLevel="0" collapsed="false">
      <c r="A21" s="37" t="s">
        <v>56</v>
      </c>
      <c r="B21" s="37" t="n">
        <v>18</v>
      </c>
      <c r="C21" s="37" t="s">
        <v>1103</v>
      </c>
      <c r="D21" s="38" t="n">
        <v>358</v>
      </c>
      <c r="E21" s="38" t="n">
        <v>108</v>
      </c>
      <c r="F21" s="38" t="n">
        <v>120</v>
      </c>
      <c r="G21" s="38" t="n">
        <f aca="false">Candidate_Model!G31</f>
        <v>27411.12</v>
      </c>
      <c r="H21" s="38" t="n">
        <f aca="false">Candidate_Model!H31</f>
        <v>6444</v>
      </c>
      <c r="I21" s="38" t="n">
        <f aca="false">G21-Options!P8</f>
        <v>-2448</v>
      </c>
      <c r="J21" s="38" t="n">
        <f aca="false">I21+0.2*(H21-Options!X8)</f>
        <v>-2131.2</v>
      </c>
      <c r="K21" s="37" t="s">
        <v>1094</v>
      </c>
    </row>
    <row r="22" customFormat="false" ht="39" hidden="false" customHeight="true" outlineLevel="0" collapsed="false">
      <c r="A22" s="37" t="s">
        <v>56</v>
      </c>
      <c r="B22" s="37" t="n">
        <v>24</v>
      </c>
      <c r="C22" s="37" t="s">
        <v>1104</v>
      </c>
      <c r="D22" s="38" t="n">
        <v>311</v>
      </c>
      <c r="E22" s="38" t="n">
        <v>120</v>
      </c>
      <c r="F22" s="38" t="n">
        <v>120</v>
      </c>
      <c r="G22" s="38" t="n">
        <f aca="false">Candidate_Model!G32</f>
        <v>36710.4</v>
      </c>
      <c r="H22" s="38" t="n">
        <f aca="false">Candidate_Model!H32</f>
        <v>7464</v>
      </c>
      <c r="I22" s="38" t="n">
        <f aca="false">G22-Options!P7</f>
        <v>-3101.76</v>
      </c>
      <c r="J22" s="38" t="n">
        <f aca="false">I22+0.2*(H22-Options!X7)</f>
        <v>-2904.96</v>
      </c>
      <c r="K22" s="37" t="s">
        <v>1094</v>
      </c>
    </row>
    <row r="23" customFormat="false" ht="39" hidden="false" customHeight="true" outlineLevel="0" collapsed="false">
      <c r="A23" s="37" t="s">
        <v>56</v>
      </c>
      <c r="B23" s="37" t="n">
        <v>18</v>
      </c>
      <c r="C23" s="37" t="s">
        <v>1104</v>
      </c>
      <c r="D23" s="38" t="n">
        <v>311</v>
      </c>
      <c r="E23" s="38" t="n">
        <v>120</v>
      </c>
      <c r="F23" s="38" t="n">
        <v>120</v>
      </c>
      <c r="G23" s="38" t="n">
        <f aca="false">Candidate_Model!G33</f>
        <v>27532.8</v>
      </c>
      <c r="H23" s="38" t="n">
        <f aca="false">Candidate_Model!H33</f>
        <v>5598</v>
      </c>
      <c r="I23" s="38" t="n">
        <f aca="false">G23-Options!P8</f>
        <v>-2326.32</v>
      </c>
      <c r="J23" s="38" t="n">
        <f aca="false">I23+0.2*(H23-Options!X8)</f>
        <v>-2178.72</v>
      </c>
      <c r="K23" s="37" t="s">
        <v>1094</v>
      </c>
    </row>
    <row r="24" customFormat="false" ht="39" hidden="false" customHeight="true" outlineLevel="0" collapsed="false">
      <c r="A24" s="37" t="s">
        <v>56</v>
      </c>
      <c r="B24" s="37" t="n">
        <v>24</v>
      </c>
      <c r="C24" s="37" t="s">
        <v>1105</v>
      </c>
      <c r="D24" s="38" t="n">
        <v>311</v>
      </c>
      <c r="E24" s="38" t="n">
        <v>154</v>
      </c>
      <c r="F24" s="38" t="n">
        <v>120</v>
      </c>
      <c r="G24" s="38" t="n">
        <f aca="false">Candidate_Model!G34</f>
        <v>40366.08</v>
      </c>
      <c r="H24" s="38" t="n">
        <f aca="false">Candidate_Model!H34</f>
        <v>7464</v>
      </c>
      <c r="I24" s="38" t="n">
        <f aca="false">G24-Options!P7</f>
        <v>553.919999999998</v>
      </c>
      <c r="J24" s="38" t="n">
        <f aca="false">I24+0.2*(H24-Options!X7)</f>
        <v>750.719999999998</v>
      </c>
      <c r="K24" s="37" t="s">
        <v>1094</v>
      </c>
    </row>
    <row r="25" customFormat="false" ht="39" hidden="false" customHeight="true" outlineLevel="0" collapsed="false">
      <c r="A25" s="37" t="s">
        <v>56</v>
      </c>
      <c r="B25" s="37" t="n">
        <v>18</v>
      </c>
      <c r="C25" s="37" t="s">
        <v>1105</v>
      </c>
      <c r="D25" s="38" t="n">
        <v>311</v>
      </c>
      <c r="E25" s="38" t="n">
        <v>154</v>
      </c>
      <c r="F25" s="38" t="n">
        <v>120</v>
      </c>
      <c r="G25" s="38" t="n">
        <f aca="false">Candidate_Model!G35</f>
        <v>30274.56</v>
      </c>
      <c r="H25" s="38" t="n">
        <f aca="false">Candidate_Model!H35</f>
        <v>5598</v>
      </c>
      <c r="I25" s="38" t="n">
        <f aca="false">G25-Options!P8</f>
        <v>415.440000000002</v>
      </c>
      <c r="J25" s="38" t="n">
        <f aca="false">I25+0.2*(H25-Options!X8)</f>
        <v>563.040000000002</v>
      </c>
      <c r="K25" s="37" t="s">
        <v>1094</v>
      </c>
    </row>
    <row r="26" customFormat="false" ht="39" hidden="false" customHeight="true" outlineLevel="0" collapsed="false">
      <c r="A26" s="37" t="s">
        <v>56</v>
      </c>
      <c r="B26" s="37" t="n">
        <v>24</v>
      </c>
      <c r="C26" s="37" t="s">
        <v>1106</v>
      </c>
      <c r="D26" s="38" t="n">
        <v>311</v>
      </c>
      <c r="E26" s="38" t="n">
        <v>165</v>
      </c>
      <c r="F26" s="38" t="n">
        <v>120</v>
      </c>
      <c r="G26" s="38" t="n">
        <f aca="false">Candidate_Model!G36</f>
        <v>41548.8</v>
      </c>
      <c r="H26" s="38" t="n">
        <f aca="false">Candidate_Model!H36</f>
        <v>7464</v>
      </c>
      <c r="I26" s="38" t="n">
        <f aca="false">G26-Options!P7</f>
        <v>1736.64</v>
      </c>
      <c r="J26" s="38" t="n">
        <f aca="false">I26+0.2*(H26-Options!X7)</f>
        <v>1933.44</v>
      </c>
      <c r="K26" s="37" t="s">
        <v>1094</v>
      </c>
    </row>
    <row r="27" customFormat="false" ht="39" hidden="false" customHeight="true" outlineLevel="0" collapsed="false">
      <c r="A27" s="37" t="s">
        <v>56</v>
      </c>
      <c r="B27" s="37" t="n">
        <v>18</v>
      </c>
      <c r="C27" s="37" t="s">
        <v>1106</v>
      </c>
      <c r="D27" s="38" t="n">
        <v>311</v>
      </c>
      <c r="E27" s="38" t="n">
        <v>165</v>
      </c>
      <c r="F27" s="38" t="n">
        <v>120</v>
      </c>
      <c r="G27" s="38" t="n">
        <f aca="false">Candidate_Model!G37</f>
        <v>31161.6</v>
      </c>
      <c r="H27" s="38" t="n">
        <f aca="false">Candidate_Model!H37</f>
        <v>5598</v>
      </c>
      <c r="I27" s="38" t="n">
        <f aca="false">G27-Options!P8</f>
        <v>1302.48</v>
      </c>
      <c r="J27" s="38" t="n">
        <f aca="false">I27+0.2*(H27-Options!X8)</f>
        <v>1450.08</v>
      </c>
      <c r="K27" s="37" t="s">
        <v>1094</v>
      </c>
    </row>
    <row r="28" customFormat="false" ht="39" hidden="false" customHeight="true" outlineLevel="0" collapsed="false">
      <c r="A28" s="37" t="s">
        <v>73</v>
      </c>
      <c r="B28" s="37" t="n">
        <v>24</v>
      </c>
      <c r="C28" s="37" t="s">
        <v>1107</v>
      </c>
      <c r="D28" s="38" t="n">
        <v>590</v>
      </c>
      <c r="E28" s="38" t="n">
        <v>100</v>
      </c>
      <c r="F28" s="38" t="n">
        <v>220</v>
      </c>
      <c r="G28" s="38" t="n">
        <f aca="false">Candidate_Model!G38</f>
        <v>43656</v>
      </c>
      <c r="H28" s="38" t="n">
        <f aca="false">Candidate_Model!H38</f>
        <v>14160</v>
      </c>
      <c r="I28" s="38" t="n">
        <f aca="false">G28-Options!P7</f>
        <v>3843.84</v>
      </c>
      <c r="J28" s="38" t="n">
        <f aca="false">I28+0.2*(H28-Options!X7)</f>
        <v>5379.84</v>
      </c>
      <c r="K28" s="37" t="s">
        <v>1094</v>
      </c>
    </row>
    <row r="29" customFormat="false" ht="39" hidden="false" customHeight="true" outlineLevel="0" collapsed="false">
      <c r="A29" s="37" t="s">
        <v>73</v>
      </c>
      <c r="B29" s="37" t="n">
        <v>18</v>
      </c>
      <c r="C29" s="37" t="s">
        <v>1107</v>
      </c>
      <c r="D29" s="38" t="n">
        <v>590</v>
      </c>
      <c r="E29" s="38" t="n">
        <v>100</v>
      </c>
      <c r="F29" s="38" t="n">
        <v>220</v>
      </c>
      <c r="G29" s="38" t="n">
        <f aca="false">Candidate_Model!G39</f>
        <v>32742</v>
      </c>
      <c r="H29" s="38" t="n">
        <f aca="false">Candidate_Model!H39</f>
        <v>10620</v>
      </c>
      <c r="I29" s="38" t="n">
        <f aca="false">G29-Options!P8</f>
        <v>2882.88</v>
      </c>
      <c r="J29" s="38" t="n">
        <f aca="false">I29+0.2*(H29-Options!X8)</f>
        <v>4034.88</v>
      </c>
      <c r="K29" s="37" t="s">
        <v>1094</v>
      </c>
    </row>
    <row r="30" customFormat="false" ht="39" hidden="false" customHeight="true" outlineLevel="0" collapsed="false">
      <c r="A30" s="37" t="s">
        <v>73</v>
      </c>
      <c r="B30" s="37" t="n">
        <v>24</v>
      </c>
      <c r="C30" s="37" t="s">
        <v>1108</v>
      </c>
      <c r="D30" s="38" t="n">
        <v>977</v>
      </c>
      <c r="E30" s="38" t="n">
        <v>101</v>
      </c>
      <c r="F30" s="38" t="n">
        <v>140</v>
      </c>
      <c r="G30" s="38" t="n">
        <f aca="false">Candidate_Model!G40</f>
        <v>51131.52</v>
      </c>
      <c r="H30" s="38" t="n">
        <f aca="false">Candidate_Model!H40</f>
        <v>23448</v>
      </c>
      <c r="I30" s="38" t="n">
        <f aca="false">G30-Options!P7</f>
        <v>11319.36</v>
      </c>
      <c r="J30" s="38" t="n">
        <f aca="false">I30+0.2*(H30-Options!X7)</f>
        <v>14712.96</v>
      </c>
      <c r="K30" s="37" t="s">
        <v>1094</v>
      </c>
    </row>
    <row r="31" customFormat="false" ht="39" hidden="false" customHeight="true" outlineLevel="0" collapsed="false">
      <c r="A31" s="37" t="s">
        <v>73</v>
      </c>
      <c r="B31" s="37" t="n">
        <v>18</v>
      </c>
      <c r="C31" s="37" t="s">
        <v>1108</v>
      </c>
      <c r="D31" s="38" t="n">
        <v>977</v>
      </c>
      <c r="E31" s="38" t="n">
        <v>101</v>
      </c>
      <c r="F31" s="38" t="n">
        <v>140</v>
      </c>
      <c r="G31" s="38" t="n">
        <f aca="false">Candidate_Model!G41</f>
        <v>38348.64</v>
      </c>
      <c r="H31" s="38" t="n">
        <f aca="false">Candidate_Model!H41</f>
        <v>17586</v>
      </c>
      <c r="I31" s="38" t="n">
        <f aca="false">G31-Options!P8</f>
        <v>8489.52</v>
      </c>
      <c r="J31" s="38" t="n">
        <f aca="false">I31+0.2*(H31-Options!X8)</f>
        <v>11034.72</v>
      </c>
      <c r="K31" s="37" t="s">
        <v>1094</v>
      </c>
    </row>
  </sheetData>
  <autoFilter ref="A1:K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ns1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22" min="1" style="1" width="23"/>
    <col collapsed="false" customWidth="true" hidden="false" outlineLevel="0" max="23" min="23" style="1" width="110"/>
  </cols>
  <sheetData>
    <row r="1" customFormat="false" ht="39" hidden="false" customHeight="true" outlineLevel="0" collapsed="false">
      <c r="A1" s="36" t="s">
        <v>1109</v>
      </c>
      <c r="B1" s="36" t="s">
        <v>44</v>
      </c>
      <c r="C1" s="36" t="s">
        <v>122</v>
      </c>
      <c r="D1" s="40" t="s">
        <v>1110</v>
      </c>
      <c r="E1" s="40" t="s">
        <v>1111</v>
      </c>
      <c r="F1" s="40" t="s">
        <v>1112</v>
      </c>
      <c r="G1" s="40" t="s">
        <v>1113</v>
      </c>
      <c r="H1" s="40" t="s">
        <v>1114</v>
      </c>
      <c r="I1" s="40" t="s">
        <v>1115</v>
      </c>
      <c r="J1" s="40" t="s">
        <v>1116</v>
      </c>
      <c r="K1" s="40" t="s">
        <v>1117</v>
      </c>
      <c r="L1" s="40" t="s">
        <v>1118</v>
      </c>
      <c r="M1" s="36" t="s">
        <v>1119</v>
      </c>
      <c r="N1" s="36" t="s">
        <v>1120</v>
      </c>
      <c r="O1" s="36" t="s">
        <v>1121</v>
      </c>
      <c r="P1" s="36" t="s">
        <v>1122</v>
      </c>
      <c r="Q1" s="36" t="s">
        <v>147</v>
      </c>
      <c r="R1" s="36" t="s">
        <v>148</v>
      </c>
      <c r="S1" s="36" t="s">
        <v>149</v>
      </c>
      <c r="T1" s="36" t="s">
        <v>150</v>
      </c>
      <c r="U1" s="40" t="s">
        <v>1123</v>
      </c>
      <c r="V1" s="40" t="s">
        <v>699</v>
      </c>
      <c r="W1" s="36" t="s">
        <v>1124</v>
      </c>
    </row>
    <row r="2" customFormat="false" ht="15" hidden="false" customHeight="true" outlineLevel="0" collapsed="false">
      <c r="A2" s="37" t="s">
        <v>1125</v>
      </c>
      <c r="B2" s="37" t="s">
        <v>56</v>
      </c>
      <c r="C2" s="37" t="n">
        <v>24</v>
      </c>
      <c r="D2" s="38" t="n">
        <f aca="false">CityData!C3</f>
        <v>311</v>
      </c>
      <c r="E2" s="38" t="n">
        <f aca="false">CityData!F3</f>
        <v>108</v>
      </c>
      <c r="F2" s="38" t="n">
        <f aca="false">Options!H5</f>
        <v>120</v>
      </c>
      <c r="G2" s="38" t="n">
        <f aca="false">Options!P5</f>
        <v>35420.16</v>
      </c>
      <c r="H2" s="38" t="n">
        <f aca="false">D2*C2*FFAC</f>
        <v>7464</v>
      </c>
      <c r="I2" s="38" t="n">
        <f aca="false">Options!Q5</f>
        <v>0</v>
      </c>
      <c r="J2" s="38" t="n">
        <f aca="false">SUM(G2,I2)</f>
        <v>35420.16</v>
      </c>
      <c r="K2" s="38" t="n">
        <f aca="false">J2*(1+RESRATE)</f>
        <v>37191.168</v>
      </c>
      <c r="L2" s="38" t="n">
        <f aca="false">(J2+0.2*H2)*(1+RESRATE)</f>
        <v>38758.608</v>
      </c>
      <c r="M2" s="37" t="n">
        <f aca="false">IF(AND(NIGHTS&gt;0,COUNTIFS(MIE_Daily!$A$2:$A$367,"&gt;="&amp;Parameters!$B$13,MIE_Daily!$A$2:$A$367,"&lt;"&amp;Parameters!$B$14,MIE_Daily!$H$2:$H$367,"&lt;"&amp;E2)=0),1,0)</f>
        <v>1</v>
      </c>
      <c r="N2" s="38" t="n">
        <f aca="false">Options!S5</f>
        <v>1</v>
      </c>
      <c r="O2" s="38" t="n">
        <f aca="false">Unknowns!H2</f>
        <v>0</v>
      </c>
      <c r="P2" s="38" t="n">
        <f aca="false">Unknowns!I2</f>
        <v>0</v>
      </c>
      <c r="Q2" s="37" t="n">
        <f aca="false">IF(AND(M2=1,N2=1,O2=1,P2=1,K2&lt;=CEILING,Parameters!$B$36="VALID DATE STRUCTURE"),1,0)</f>
        <v>0</v>
      </c>
      <c r="R2" s="37" t="n">
        <f aca="false">IF(AND(M2=1,N2=1,K2&lt;=CEILING,Parameters!$B$36="VALID DATE STRUCTURE"),1,0)</f>
        <v>1</v>
      </c>
      <c r="S2" s="37" t="n">
        <f aca="false">IF(Q2=0,99999,1+SUMPRODUCT($Q$2:$Q$45,--($C$2:$C$45&gt;C2))+SUMPRODUCT($Q$2:$Q$45,--($C$2:$C$45=C2),--($K$2:$K$45&lt;K2))+SUMPRODUCT($Q$2:$Q$45,--($C$2:$C$45=C2),--($K$2:$K$45=K2),--($B$2:$B$45&lt;B2))+SUMPRODUCT($Q$2:$Q$45,--($C$2:$C$45=C2),--($K$2:$K$45=K2),--($B$2:$B$45=B2),--($A$2:$A$45&lt;A2)))</f>
        <v>99999</v>
      </c>
      <c r="T2" s="37" t="n">
        <f aca="false">IF(R2=0,99999,1+SUMPRODUCT($R$2:$R$45,--($C$2:$C$45&gt;C2))+SUMPRODUCT($R$2:$R$45,--($C$2:$C$45=C2),--($K$2:$K$45&lt;K2))+SUMPRODUCT($R$2:$R$45,--($C$2:$C$45=C2),--($K$2:$K$45=K2),--($B$2:$B$45&lt;B2))+SUMPRODUCT($R$2:$R$45,--($C$2:$C$45=C2),--($K$2:$K$45=K2),--($B$2:$B$45=B2),--($A$2:$A$45&lt;A2)))</f>
        <v>1</v>
      </c>
      <c r="U2" s="38" t="n">
        <f aca="false">CEILING/(1+RESRATE)-G2</f>
        <v>15056.0304761905</v>
      </c>
      <c r="V2" s="38" t="n">
        <f aca="false">U2-0.2*H2</f>
        <v>13563.2304761905</v>
      </c>
      <c r="W2" s="37" t="s">
        <v>1126</v>
      </c>
    </row>
    <row r="3" customFormat="false" ht="15" hidden="false" customHeight="true" outlineLevel="0" collapsed="false">
      <c r="A3" s="37" t="s">
        <v>1127</v>
      </c>
      <c r="B3" s="37" t="s">
        <v>56</v>
      </c>
      <c r="C3" s="37" t="n">
        <v>18</v>
      </c>
      <c r="D3" s="38" t="n">
        <f aca="false">CityData!C3</f>
        <v>311</v>
      </c>
      <c r="E3" s="38" t="n">
        <f aca="false">CityData!F3</f>
        <v>108</v>
      </c>
      <c r="F3" s="38" t="n">
        <f aca="false">Options!H6</f>
        <v>120</v>
      </c>
      <c r="G3" s="38" t="n">
        <f aca="false">Options!P6</f>
        <v>26565.12</v>
      </c>
      <c r="H3" s="38" t="n">
        <f aca="false">D3*C3*FFAC</f>
        <v>5598</v>
      </c>
      <c r="I3" s="38" t="n">
        <f aca="false">Options!Q6</f>
        <v>0</v>
      </c>
      <c r="J3" s="38" t="n">
        <f aca="false">SUM(G3,I3)</f>
        <v>26565.12</v>
      </c>
      <c r="K3" s="38" t="n">
        <f aca="false">J3*(1+RESRATE)</f>
        <v>27893.376</v>
      </c>
      <c r="L3" s="38" t="n">
        <f aca="false">(J3+0.2*H3)*(1+RESRATE)</f>
        <v>29068.956</v>
      </c>
      <c r="M3" s="37" t="n">
        <f aca="false">IF(AND(NIGHTS&gt;0,COUNTIFS(MIE_Daily!$A$2:$A$367,"&gt;="&amp;Parameters!$B$13,MIE_Daily!$A$2:$A$367,"&lt;"&amp;Parameters!$B$14,MIE_Daily!$H$2:$H$367,"&lt;"&amp;E3)=0),1,0)</f>
        <v>1</v>
      </c>
      <c r="N3" s="38" t="n">
        <f aca="false">Options!S6</f>
        <v>1</v>
      </c>
      <c r="O3" s="38" t="n">
        <f aca="false">Unknowns!H2</f>
        <v>0</v>
      </c>
      <c r="P3" s="38" t="n">
        <f aca="false">Unknowns!I2</f>
        <v>0</v>
      </c>
      <c r="Q3" s="37" t="n">
        <f aca="false">IF(AND(M3=1,N3=1,O3=1,P3=1,K3&lt;=CEILING,Parameters!$B$36="VALID DATE STRUCTURE"),1,0)</f>
        <v>0</v>
      </c>
      <c r="R3" s="37" t="n">
        <f aca="false">IF(AND(M3=1,N3=1,K3&lt;=CEILING,Parameters!$B$36="VALID DATE STRUCTURE"),1,0)</f>
        <v>1</v>
      </c>
      <c r="S3" s="37" t="n">
        <f aca="false">IF(Q3=0,99999,1+SUMPRODUCT($Q$2:$Q$45,--($C$2:$C$45&gt;C3))+SUMPRODUCT($Q$2:$Q$45,--($C$2:$C$45=C3),--($K$2:$K$45&lt;K3))+SUMPRODUCT($Q$2:$Q$45,--($C$2:$C$45=C3),--($K$2:$K$45=K3),--($B$2:$B$45&lt;B3))+SUMPRODUCT($Q$2:$Q$45,--($C$2:$C$45=C3),--($K$2:$K$45=K3),--($B$2:$B$45=B3),--($A$2:$A$45&lt;A3)))</f>
        <v>99999</v>
      </c>
      <c r="T3" s="37" t="n">
        <f aca="false">IF(R3=0,99999,1+SUMPRODUCT($R$2:$R$45,--($C$2:$C$45&gt;C3))+SUMPRODUCT($R$2:$R$45,--($C$2:$C$45=C3),--($K$2:$K$45&lt;K3))+SUMPRODUCT($R$2:$R$45,--($C$2:$C$45=C3),--($K$2:$K$45=K3),--($B$2:$B$45&lt;B3))+SUMPRODUCT($R$2:$R$45,--($C$2:$C$45=C3),--($K$2:$K$45=K3),--($B$2:$B$45=B3),--($A$2:$A$45&lt;A3)))</f>
        <v>19</v>
      </c>
      <c r="U3" s="38" t="n">
        <f aca="false">CEILING/(1+RESRATE)-G3</f>
        <v>23911.0704761905</v>
      </c>
      <c r="V3" s="38" t="n">
        <f aca="false">U3-0.2*H3</f>
        <v>22791.4704761905</v>
      </c>
      <c r="W3" s="37" t="s">
        <v>1126</v>
      </c>
    </row>
    <row r="4" customFormat="false" ht="15" hidden="false" customHeight="true" outlineLevel="0" collapsed="false">
      <c r="A4" s="37" t="s">
        <v>1128</v>
      </c>
      <c r="B4" s="37" t="s">
        <v>61</v>
      </c>
      <c r="C4" s="37" t="n">
        <v>24</v>
      </c>
      <c r="D4" s="38" t="n">
        <f aca="false">CityData!C4</f>
        <v>270</v>
      </c>
      <c r="E4" s="38" t="n">
        <f aca="false">CityData!F4</f>
        <v>158</v>
      </c>
      <c r="F4" s="38" t="n">
        <f aca="false">Options!H7</f>
        <v>120</v>
      </c>
      <c r="G4" s="38" t="n">
        <f aca="false">Options!P7</f>
        <v>39812.16</v>
      </c>
      <c r="H4" s="38" t="n">
        <f aca="false">D4*C4*FFAC</f>
        <v>6480</v>
      </c>
      <c r="I4" s="38" t="n">
        <f aca="false">Options!Q7</f>
        <v>0</v>
      </c>
      <c r="J4" s="38" t="n">
        <f aca="false">SUM(G4,I4)</f>
        <v>39812.16</v>
      </c>
      <c r="K4" s="38" t="n">
        <f aca="false">J4*(1+RESRATE)</f>
        <v>41802.768</v>
      </c>
      <c r="L4" s="38" t="n">
        <f aca="false">(J4+0.2*H4)*(1+RESRATE)</f>
        <v>43163.568</v>
      </c>
      <c r="M4" s="37" t="n">
        <f aca="false">IF(AND(NIGHTS&gt;0,COUNTIFS(MIE_Daily!$A$2:$A$367,"&gt;="&amp;Parameters!$B$13,MIE_Daily!$A$2:$A$367,"&lt;"&amp;Parameters!$B$14,MIE_Daily!$P$2:$P$367,"&lt;"&amp;E4)=0),1,0)</f>
        <v>0</v>
      </c>
      <c r="N4" s="38" t="n">
        <f aca="false">Options!S7</f>
        <v>1</v>
      </c>
      <c r="O4" s="38" t="n">
        <f aca="false">Unknowns!H3</f>
        <v>0</v>
      </c>
      <c r="P4" s="38" t="n">
        <f aca="false">Unknowns!I3</f>
        <v>0</v>
      </c>
      <c r="Q4" s="37" t="n">
        <f aca="false">IF(AND(M4=1,N4=1,O4=1,P4=1,K4&lt;=CEILING,Parameters!$B$36="VALID DATE STRUCTURE"),1,0)</f>
        <v>0</v>
      </c>
      <c r="R4" s="37" t="n">
        <f aca="false">IF(AND(M4=1,N4=1,K4&lt;=CEILING,Parameters!$B$36="VALID DATE STRUCTURE"),1,0)</f>
        <v>0</v>
      </c>
      <c r="S4" s="37" t="n">
        <f aca="false">IF(Q4=0,99999,1+SUMPRODUCT($Q$2:$Q$45,--($C$2:$C$45&gt;C4))+SUMPRODUCT($Q$2:$Q$45,--($C$2:$C$45=C4),--($K$2:$K$45&lt;K4))+SUMPRODUCT($Q$2:$Q$45,--($C$2:$C$45=C4),--($K$2:$K$45=K4),--($B$2:$B$45&lt;B4))+SUMPRODUCT($Q$2:$Q$45,--($C$2:$C$45=C4),--($K$2:$K$45=K4),--($B$2:$B$45=B4),--($A$2:$A$45&lt;A4)))</f>
        <v>99999</v>
      </c>
      <c r="T4" s="37" t="n">
        <f aca="false">IF(R4=0,99999,1+SUMPRODUCT($R$2:$R$45,--($C$2:$C$45&gt;C4))+SUMPRODUCT($R$2:$R$45,--($C$2:$C$45=C4),--($K$2:$K$45&lt;K4))+SUMPRODUCT($R$2:$R$45,--($C$2:$C$45=C4),--($K$2:$K$45=K4),--($B$2:$B$45&lt;B4))+SUMPRODUCT($R$2:$R$45,--($C$2:$C$45=C4),--($K$2:$K$45=K4),--($B$2:$B$45=B4),--($A$2:$A$45&lt;A4)))</f>
        <v>99999</v>
      </c>
      <c r="U4" s="38" t="n">
        <f aca="false">CEILING/(1+RESRATE)-G4</f>
        <v>10664.0304761905</v>
      </c>
      <c r="V4" s="38" t="n">
        <f aca="false">U4-0.2*H4</f>
        <v>9368.03047619047</v>
      </c>
      <c r="W4" s="37" t="s">
        <v>1129</v>
      </c>
    </row>
    <row r="5" customFormat="false" ht="15" hidden="false" customHeight="true" outlineLevel="0" collapsed="false">
      <c r="A5" s="37" t="s">
        <v>1130</v>
      </c>
      <c r="B5" s="37" t="s">
        <v>61</v>
      </c>
      <c r="C5" s="37" t="n">
        <v>18</v>
      </c>
      <c r="D5" s="38" t="n">
        <f aca="false">CityData!C4</f>
        <v>270</v>
      </c>
      <c r="E5" s="38" t="n">
        <f aca="false">CityData!F4</f>
        <v>158</v>
      </c>
      <c r="F5" s="38" t="n">
        <f aca="false">Options!H8</f>
        <v>120</v>
      </c>
      <c r="G5" s="38" t="n">
        <f aca="false">Options!P8</f>
        <v>29859.12</v>
      </c>
      <c r="H5" s="38" t="n">
        <f aca="false">D5*C5*FFAC</f>
        <v>4860</v>
      </c>
      <c r="I5" s="38" t="n">
        <f aca="false">Options!Q8</f>
        <v>0</v>
      </c>
      <c r="J5" s="38" t="n">
        <f aca="false">SUM(G5,I5)</f>
        <v>29859.12</v>
      </c>
      <c r="K5" s="38" t="n">
        <f aca="false">J5*(1+RESRATE)</f>
        <v>31352.076</v>
      </c>
      <c r="L5" s="38" t="n">
        <f aca="false">(J5+0.2*H5)*(1+RESRATE)</f>
        <v>32372.676</v>
      </c>
      <c r="M5" s="37" t="n">
        <f aca="false">IF(AND(NIGHTS&gt;0,COUNTIFS(MIE_Daily!$A$2:$A$367,"&gt;="&amp;Parameters!$B$13,MIE_Daily!$A$2:$A$367,"&lt;"&amp;Parameters!$B$14,MIE_Daily!$P$2:$P$367,"&lt;"&amp;E5)=0),1,0)</f>
        <v>0</v>
      </c>
      <c r="N5" s="38" t="n">
        <f aca="false">Options!S8</f>
        <v>1</v>
      </c>
      <c r="O5" s="38" t="n">
        <f aca="false">Unknowns!H3</f>
        <v>0</v>
      </c>
      <c r="P5" s="38" t="n">
        <f aca="false">Unknowns!I3</f>
        <v>0</v>
      </c>
      <c r="Q5" s="37" t="n">
        <f aca="false">IF(AND(M5=1,N5=1,O5=1,P5=1,K5&lt;=CEILING,Parameters!$B$36="VALID DATE STRUCTURE"),1,0)</f>
        <v>0</v>
      </c>
      <c r="R5" s="37" t="n">
        <f aca="false">IF(AND(M5=1,N5=1,K5&lt;=CEILING,Parameters!$B$36="VALID DATE STRUCTURE"),1,0)</f>
        <v>0</v>
      </c>
      <c r="S5" s="37" t="n">
        <f aca="false">IF(Q5=0,99999,1+SUMPRODUCT($Q$2:$Q$45,--($C$2:$C$45&gt;C5))+SUMPRODUCT($Q$2:$Q$45,--($C$2:$C$45=C5),--($K$2:$K$45&lt;K5))+SUMPRODUCT($Q$2:$Q$45,--($C$2:$C$45=C5),--($K$2:$K$45=K5),--($B$2:$B$45&lt;B5))+SUMPRODUCT($Q$2:$Q$45,--($C$2:$C$45=C5),--($K$2:$K$45=K5),--($B$2:$B$45=B5),--($A$2:$A$45&lt;A5)))</f>
        <v>99999</v>
      </c>
      <c r="T5" s="37" t="n">
        <f aca="false">IF(R5=0,99999,1+SUMPRODUCT($R$2:$R$45,--($C$2:$C$45&gt;C5))+SUMPRODUCT($R$2:$R$45,--($C$2:$C$45=C5),--($K$2:$K$45&lt;K5))+SUMPRODUCT($R$2:$R$45,--($C$2:$C$45=C5),--($K$2:$K$45=K5),--($B$2:$B$45&lt;B5))+SUMPRODUCT($R$2:$R$45,--($C$2:$C$45=C5),--($K$2:$K$45=K5),--($B$2:$B$45=B5),--($A$2:$A$45&lt;A5)))</f>
        <v>99999</v>
      </c>
      <c r="U5" s="38" t="n">
        <f aca="false">CEILING/(1+RESRATE)-G5</f>
        <v>20617.0704761905</v>
      </c>
      <c r="V5" s="38" t="n">
        <f aca="false">U5-0.2*H5</f>
        <v>19645.0704761905</v>
      </c>
      <c r="W5" s="37" t="s">
        <v>1129</v>
      </c>
    </row>
    <row r="6" customFormat="false" ht="15" hidden="false" customHeight="true" outlineLevel="0" collapsed="false">
      <c r="A6" s="37" t="s">
        <v>1131</v>
      </c>
      <c r="B6" s="37" t="s">
        <v>65</v>
      </c>
      <c r="C6" s="37" t="n">
        <v>24</v>
      </c>
      <c r="D6" s="38" t="n">
        <f aca="false">CityData!C5</f>
        <v>578</v>
      </c>
      <c r="E6" s="38" t="n">
        <f aca="false">CityData!F5</f>
        <v>109</v>
      </c>
      <c r="F6" s="38" t="n">
        <f aca="false">Options!H9</f>
        <v>220</v>
      </c>
      <c r="G6" s="38" t="n">
        <f aca="false">Options!P9</f>
        <v>44335.68</v>
      </c>
      <c r="H6" s="38" t="n">
        <f aca="false">D6*C6*FFAC</f>
        <v>13872</v>
      </c>
      <c r="I6" s="38" t="n">
        <f aca="false">Options!Q9</f>
        <v>0</v>
      </c>
      <c r="J6" s="38" t="n">
        <f aca="false">SUM(G6,I6)</f>
        <v>44335.68</v>
      </c>
      <c r="K6" s="38" t="n">
        <f aca="false">J6*(1+RESRATE)</f>
        <v>46552.464</v>
      </c>
      <c r="L6" s="38" t="n">
        <f aca="false">(J6+0.2*H6)*(1+RESRATE)</f>
        <v>49465.584</v>
      </c>
      <c r="M6" s="37" t="n">
        <f aca="false">IF(AND(NIGHTS&gt;0,COUNTIFS(MIE_Daily!$A$2:$A$367,"&gt;="&amp;Parameters!$B$13,MIE_Daily!$A$2:$A$367,"&lt;"&amp;Parameters!$B$14,MIE_Daily!$X$2:$X$367,"&lt;"&amp;E6)=0),1,0)</f>
        <v>1</v>
      </c>
      <c r="N6" s="38" t="n">
        <f aca="false">Options!S9</f>
        <v>1</v>
      </c>
      <c r="O6" s="38" t="n">
        <f aca="false">Unknowns!H4</f>
        <v>0</v>
      </c>
      <c r="P6" s="38" t="n">
        <f aca="false">Unknowns!I4</f>
        <v>0</v>
      </c>
      <c r="Q6" s="37" t="n">
        <f aca="false">IF(AND(M6=1,N6=1,O6=1,P6=1,K6&lt;=CEILING,Parameters!$B$36="VALID DATE STRUCTURE"),1,0)</f>
        <v>0</v>
      </c>
      <c r="R6" s="37" t="n">
        <f aca="false">IF(AND(M6=1,N6=1,K6&lt;=CEILING,Parameters!$B$36="VALID DATE STRUCTURE"),1,0)</f>
        <v>1</v>
      </c>
      <c r="S6" s="37" t="n">
        <f aca="false">IF(Q6=0,99999,1+SUMPRODUCT($Q$2:$Q$45,--($C$2:$C$45&gt;C6))+SUMPRODUCT($Q$2:$Q$45,--($C$2:$C$45=C6),--($K$2:$K$45&lt;K6))+SUMPRODUCT($Q$2:$Q$45,--($C$2:$C$45=C6),--($K$2:$K$45=K6),--($B$2:$B$45&lt;B6))+SUMPRODUCT($Q$2:$Q$45,--($C$2:$C$45=C6),--($K$2:$K$45=K6),--($B$2:$B$45=B6),--($A$2:$A$45&lt;A6)))</f>
        <v>99999</v>
      </c>
      <c r="T6" s="37" t="n">
        <f aca="false">IF(R6=0,99999,1+SUMPRODUCT($R$2:$R$45,--($C$2:$C$45&gt;C6))+SUMPRODUCT($R$2:$R$45,--($C$2:$C$45=C6),--($K$2:$K$45&lt;K6))+SUMPRODUCT($R$2:$R$45,--($C$2:$C$45=C6),--($K$2:$K$45=K6),--($B$2:$B$45&lt;B6))+SUMPRODUCT($R$2:$R$45,--($C$2:$C$45=C6),--($K$2:$K$45=K6),--($B$2:$B$45=B6),--($A$2:$A$45&lt;A6)))</f>
        <v>13</v>
      </c>
      <c r="U6" s="38" t="n">
        <f aca="false">CEILING/(1+RESRATE)-G6</f>
        <v>6140.51047619047</v>
      </c>
      <c r="V6" s="38" t="n">
        <f aca="false">U6-0.2*H6</f>
        <v>3366.11047619047</v>
      </c>
      <c r="W6" s="37" t="s">
        <v>1126</v>
      </c>
    </row>
    <row r="7" customFormat="false" ht="15" hidden="false" customHeight="true" outlineLevel="0" collapsed="false">
      <c r="A7" s="37" t="s">
        <v>1132</v>
      </c>
      <c r="B7" s="37" t="s">
        <v>65</v>
      </c>
      <c r="C7" s="37" t="n">
        <v>18</v>
      </c>
      <c r="D7" s="38" t="n">
        <f aca="false">CityData!C5</f>
        <v>578</v>
      </c>
      <c r="E7" s="38" t="n">
        <f aca="false">CityData!F5</f>
        <v>109</v>
      </c>
      <c r="F7" s="38" t="n">
        <f aca="false">Options!H10</f>
        <v>220</v>
      </c>
      <c r="G7" s="38" t="n">
        <f aca="false">Options!P10</f>
        <v>33251.76</v>
      </c>
      <c r="H7" s="38" t="n">
        <f aca="false">D7*C7*FFAC</f>
        <v>10404</v>
      </c>
      <c r="I7" s="38" t="n">
        <f aca="false">Options!Q10</f>
        <v>0</v>
      </c>
      <c r="J7" s="38" t="n">
        <f aca="false">SUM(G7,I7)</f>
        <v>33251.76</v>
      </c>
      <c r="K7" s="38" t="n">
        <f aca="false">J7*(1+RESRATE)</f>
        <v>34914.348</v>
      </c>
      <c r="L7" s="38" t="n">
        <f aca="false">(J7+0.2*H7)*(1+RESRATE)</f>
        <v>37099.188</v>
      </c>
      <c r="M7" s="37" t="n">
        <f aca="false">IF(AND(NIGHTS&gt;0,COUNTIFS(MIE_Daily!$A$2:$A$367,"&gt;="&amp;Parameters!$B$13,MIE_Daily!$A$2:$A$367,"&lt;"&amp;Parameters!$B$14,MIE_Daily!$X$2:$X$367,"&lt;"&amp;E7)=0),1,0)</f>
        <v>1</v>
      </c>
      <c r="N7" s="38" t="n">
        <f aca="false">Options!S10</f>
        <v>1</v>
      </c>
      <c r="O7" s="38" t="n">
        <f aca="false">Unknowns!H4</f>
        <v>0</v>
      </c>
      <c r="P7" s="38" t="n">
        <f aca="false">Unknowns!I4</f>
        <v>0</v>
      </c>
      <c r="Q7" s="37" t="n">
        <f aca="false">IF(AND(M7=1,N7=1,O7=1,P7=1,K7&lt;=CEILING,Parameters!$B$36="VALID DATE STRUCTURE"),1,0)</f>
        <v>0</v>
      </c>
      <c r="R7" s="37" t="n">
        <f aca="false">IF(AND(M7=1,N7=1,K7&lt;=CEILING,Parameters!$B$36="VALID DATE STRUCTURE"),1,0)</f>
        <v>1</v>
      </c>
      <c r="S7" s="37" t="n">
        <f aca="false">IF(Q7=0,99999,1+SUMPRODUCT($Q$2:$Q$45,--($C$2:$C$45&gt;C7))+SUMPRODUCT($Q$2:$Q$45,--($C$2:$C$45=C7),--($K$2:$K$45&lt;K7))+SUMPRODUCT($Q$2:$Q$45,--($C$2:$C$45=C7),--($K$2:$K$45=K7),--($B$2:$B$45&lt;B7))+SUMPRODUCT($Q$2:$Q$45,--($C$2:$C$45=C7),--($K$2:$K$45=K7),--($B$2:$B$45=B7),--($A$2:$A$45&lt;A7)))</f>
        <v>99999</v>
      </c>
      <c r="T7" s="37" t="n">
        <f aca="false">IF(R7=0,99999,1+SUMPRODUCT($R$2:$R$45,--($C$2:$C$45&gt;C7))+SUMPRODUCT($R$2:$R$45,--($C$2:$C$45=C7),--($K$2:$K$45&lt;K7))+SUMPRODUCT($R$2:$R$45,--($C$2:$C$45=C7),--($K$2:$K$45=K7),--($B$2:$B$45&lt;B7))+SUMPRODUCT($R$2:$R$45,--($C$2:$C$45=C7),--($K$2:$K$45=K7),--($B$2:$B$45=B7),--($A$2:$A$45&lt;A7)))</f>
        <v>31</v>
      </c>
      <c r="U7" s="38" t="n">
        <f aca="false">CEILING/(1+RESRATE)-G7</f>
        <v>17224.4304761905</v>
      </c>
      <c r="V7" s="38" t="n">
        <f aca="false">U7-0.2*H7</f>
        <v>15143.6304761905</v>
      </c>
      <c r="W7" s="37" t="s">
        <v>1126</v>
      </c>
    </row>
    <row r="8" customFormat="false" ht="15" hidden="false" customHeight="true" outlineLevel="0" collapsed="false">
      <c r="A8" s="37" t="s">
        <v>1133</v>
      </c>
      <c r="B8" s="37" t="s">
        <v>70</v>
      </c>
      <c r="C8" s="37" t="n">
        <v>24</v>
      </c>
      <c r="D8" s="38" t="n">
        <f aca="false">CityData!C6</f>
        <v>499</v>
      </c>
      <c r="E8" s="38" t="n">
        <f aca="false">CityData!F6</f>
        <v>150</v>
      </c>
      <c r="F8" s="38" t="n">
        <f aca="false">Options!H11</f>
        <v>210</v>
      </c>
      <c r="G8" s="38" t="n">
        <f aca="false">Options!P11</f>
        <v>46176</v>
      </c>
      <c r="H8" s="38" t="n">
        <f aca="false">D8*C8*FFAC</f>
        <v>11976</v>
      </c>
      <c r="I8" s="38" t="n">
        <f aca="false">Options!Q11</f>
        <v>0</v>
      </c>
      <c r="J8" s="38" t="n">
        <f aca="false">SUM(G8,I8)</f>
        <v>46176</v>
      </c>
      <c r="K8" s="38" t="n">
        <f aca="false">J8*(1+RESRATE)</f>
        <v>48484.8</v>
      </c>
      <c r="L8" s="38" t="n">
        <f aca="false">(J8+0.2*H8)*(1+RESRATE)</f>
        <v>50999.76</v>
      </c>
      <c r="M8" s="37" t="n">
        <f aca="false">IF(AND(NIGHTS&gt;0,COUNTIFS(MIE_Daily!$A$2:$A$367,"&gt;="&amp;Parameters!$B$13,MIE_Daily!$A$2:$A$367,"&lt;"&amp;Parameters!$B$14,MIE_Daily!$AF$2:$AF$367,"&lt;"&amp;E8)=0),1,0)</f>
        <v>1</v>
      </c>
      <c r="N8" s="38" t="n">
        <f aca="false">Options!S11</f>
        <v>1</v>
      </c>
      <c r="O8" s="38" t="n">
        <f aca="false">Unknowns!H5</f>
        <v>0</v>
      </c>
      <c r="P8" s="38" t="n">
        <f aca="false">Unknowns!I5</f>
        <v>0</v>
      </c>
      <c r="Q8" s="37" t="n">
        <f aca="false">IF(AND(M8=1,N8=1,O8=1,P8=1,K8&lt;=CEILING,Parameters!$B$36="VALID DATE STRUCTURE"),1,0)</f>
        <v>0</v>
      </c>
      <c r="R8" s="37" t="n">
        <f aca="false">IF(AND(M8=1,N8=1,K8&lt;=CEILING,Parameters!$B$36="VALID DATE STRUCTURE"),1,0)</f>
        <v>1</v>
      </c>
      <c r="S8" s="37" t="n">
        <f aca="false">IF(Q8=0,99999,1+SUMPRODUCT($Q$2:$Q$45,--($C$2:$C$45&gt;C8))+SUMPRODUCT($Q$2:$Q$45,--($C$2:$C$45=C8),--($K$2:$K$45&lt;K8))+SUMPRODUCT($Q$2:$Q$45,--($C$2:$C$45=C8),--($K$2:$K$45=K8),--($B$2:$B$45&lt;B8))+SUMPRODUCT($Q$2:$Q$45,--($C$2:$C$45=C8),--($K$2:$K$45=K8),--($B$2:$B$45=B8),--($A$2:$A$45&lt;A8)))</f>
        <v>99999</v>
      </c>
      <c r="T8" s="37" t="n">
        <f aca="false">IF(R8=0,99999,1+SUMPRODUCT($R$2:$R$45,--($C$2:$C$45&gt;C8))+SUMPRODUCT($R$2:$R$45,--($C$2:$C$45=C8),--($K$2:$K$45&lt;K8))+SUMPRODUCT($R$2:$R$45,--($C$2:$C$45=C8),--($K$2:$K$45=K8),--($B$2:$B$45&lt;B8))+SUMPRODUCT($R$2:$R$45,--($C$2:$C$45=C8),--($K$2:$K$45=K8),--($B$2:$B$45=B8),--($A$2:$A$45&lt;A8)))</f>
        <v>16</v>
      </c>
      <c r="U8" s="38" t="n">
        <f aca="false">CEILING/(1+RESRATE)-G8</f>
        <v>4300.19047619047</v>
      </c>
      <c r="V8" s="38" t="n">
        <f aca="false">U8-0.2*H8</f>
        <v>1904.99047619047</v>
      </c>
      <c r="W8" s="37" t="s">
        <v>1126</v>
      </c>
    </row>
    <row r="9" customFormat="false" ht="15" hidden="false" customHeight="true" outlineLevel="0" collapsed="false">
      <c r="A9" s="37" t="s">
        <v>1134</v>
      </c>
      <c r="B9" s="37" t="s">
        <v>70</v>
      </c>
      <c r="C9" s="37" t="n">
        <v>18</v>
      </c>
      <c r="D9" s="38" t="n">
        <f aca="false">CityData!C6</f>
        <v>499</v>
      </c>
      <c r="E9" s="38" t="n">
        <f aca="false">CityData!F6</f>
        <v>150</v>
      </c>
      <c r="F9" s="38" t="n">
        <f aca="false">Options!H12</f>
        <v>210</v>
      </c>
      <c r="G9" s="38" t="n">
        <f aca="false">Options!P12</f>
        <v>34632</v>
      </c>
      <c r="H9" s="38" t="n">
        <f aca="false">D9*C9*FFAC</f>
        <v>8982</v>
      </c>
      <c r="I9" s="38" t="n">
        <f aca="false">Options!Q12</f>
        <v>0</v>
      </c>
      <c r="J9" s="38" t="n">
        <f aca="false">SUM(G9,I9)</f>
        <v>34632</v>
      </c>
      <c r="K9" s="38" t="n">
        <f aca="false">J9*(1+RESRATE)</f>
        <v>36363.6</v>
      </c>
      <c r="L9" s="38" t="n">
        <f aca="false">(J9+0.2*H9)*(1+RESRATE)</f>
        <v>38249.82</v>
      </c>
      <c r="M9" s="37" t="n">
        <f aca="false">IF(AND(NIGHTS&gt;0,COUNTIFS(MIE_Daily!$A$2:$A$367,"&gt;="&amp;Parameters!$B$13,MIE_Daily!$A$2:$A$367,"&lt;"&amp;Parameters!$B$14,MIE_Daily!$AF$2:$AF$367,"&lt;"&amp;E9)=0),1,0)</f>
        <v>1</v>
      </c>
      <c r="N9" s="38" t="n">
        <f aca="false">Options!S12</f>
        <v>1</v>
      </c>
      <c r="O9" s="38" t="n">
        <f aca="false">Unknowns!H5</f>
        <v>0</v>
      </c>
      <c r="P9" s="38" t="n">
        <f aca="false">Unknowns!I5</f>
        <v>0</v>
      </c>
      <c r="Q9" s="37" t="n">
        <f aca="false">IF(AND(M9=1,N9=1,O9=1,P9=1,K9&lt;=CEILING,Parameters!$B$36="VALID DATE STRUCTURE"),1,0)</f>
        <v>0</v>
      </c>
      <c r="R9" s="37" t="n">
        <f aca="false">IF(AND(M9=1,N9=1,K9&lt;=CEILING,Parameters!$B$36="VALID DATE STRUCTURE"),1,0)</f>
        <v>1</v>
      </c>
      <c r="S9" s="37" t="n">
        <f aca="false">IF(Q9=0,99999,1+SUMPRODUCT($Q$2:$Q$45,--($C$2:$C$45&gt;C9))+SUMPRODUCT($Q$2:$Q$45,--($C$2:$C$45=C9),--($K$2:$K$45&lt;K9))+SUMPRODUCT($Q$2:$Q$45,--($C$2:$C$45=C9),--($K$2:$K$45=K9),--($B$2:$B$45&lt;B9))+SUMPRODUCT($Q$2:$Q$45,--($C$2:$C$45=C9),--($K$2:$K$45=K9),--($B$2:$B$45=B9),--($A$2:$A$45&lt;A9)))</f>
        <v>99999</v>
      </c>
      <c r="T9" s="37" t="n">
        <f aca="false">IF(R9=0,99999,1+SUMPRODUCT($R$2:$R$45,--($C$2:$C$45&gt;C9))+SUMPRODUCT($R$2:$R$45,--($C$2:$C$45=C9),--($K$2:$K$45&lt;K9))+SUMPRODUCT($R$2:$R$45,--($C$2:$C$45=C9),--($K$2:$K$45=K9),--($B$2:$B$45&lt;B9))+SUMPRODUCT($R$2:$R$45,--($C$2:$C$45=C9),--($K$2:$K$45=K9),--($B$2:$B$45=B9),--($A$2:$A$45&lt;A9)))</f>
        <v>34</v>
      </c>
      <c r="U9" s="38" t="n">
        <f aca="false">CEILING/(1+RESRATE)-G9</f>
        <v>15844.1904761905</v>
      </c>
      <c r="V9" s="38" t="n">
        <f aca="false">U9-0.2*H9</f>
        <v>14047.7904761905</v>
      </c>
      <c r="W9" s="37" t="s">
        <v>1126</v>
      </c>
    </row>
    <row r="10" customFormat="false" ht="15" hidden="false" customHeight="true" outlineLevel="0" collapsed="false">
      <c r="A10" s="37" t="s">
        <v>1135</v>
      </c>
      <c r="B10" s="37" t="s">
        <v>73</v>
      </c>
      <c r="C10" s="37" t="n">
        <v>24</v>
      </c>
      <c r="D10" s="38" t="n">
        <f aca="false">CityData!C7</f>
        <v>590</v>
      </c>
      <c r="E10" s="38" t="n">
        <f aca="false">CityData!F7</f>
        <v>101</v>
      </c>
      <c r="F10" s="38" t="n">
        <f aca="false">Options!H13</f>
        <v>220</v>
      </c>
      <c r="G10" s="38" t="n">
        <f aca="false">Options!P13</f>
        <v>43763.52</v>
      </c>
      <c r="H10" s="38" t="n">
        <f aca="false">D10*C10*FFAC</f>
        <v>14160</v>
      </c>
      <c r="I10" s="38" t="n">
        <f aca="false">Options!Q13</f>
        <v>0</v>
      </c>
      <c r="J10" s="38" t="n">
        <f aca="false">SUM(G10,I10)</f>
        <v>43763.52</v>
      </c>
      <c r="K10" s="38" t="n">
        <f aca="false">J10*(1+RESRATE)</f>
        <v>45951.696</v>
      </c>
      <c r="L10" s="38" t="n">
        <f aca="false">(J10+0.2*H10)*(1+RESRATE)</f>
        <v>48925.296</v>
      </c>
      <c r="M10" s="37" t="n">
        <f aca="false">IF(AND(NIGHTS&gt;0,COUNTIFS(MIE_Daily!$A$2:$A$367,"&gt;="&amp;Parameters!$B$13,MIE_Daily!$A$2:$A$367,"&lt;"&amp;Parameters!$B$14,MIE_Daily!$AN$2:$AN$367,"&lt;"&amp;E10)=0),1,0)</f>
        <v>1</v>
      </c>
      <c r="N10" s="38" t="n">
        <f aca="false">Options!S13</f>
        <v>1</v>
      </c>
      <c r="O10" s="38" t="n">
        <f aca="false">Unknowns!H6</f>
        <v>0</v>
      </c>
      <c r="P10" s="38" t="n">
        <f aca="false">Unknowns!I6</f>
        <v>0</v>
      </c>
      <c r="Q10" s="37" t="n">
        <f aca="false">IF(AND(M10=1,N10=1,O10=1,P10=1,K10&lt;=CEILING,Parameters!$B$36="VALID DATE STRUCTURE"),1,0)</f>
        <v>0</v>
      </c>
      <c r="R10" s="37" t="n">
        <f aca="false">IF(AND(M10=1,N10=1,K10&lt;=CEILING,Parameters!$B$36="VALID DATE STRUCTURE"),1,0)</f>
        <v>1</v>
      </c>
      <c r="S10" s="37" t="n">
        <f aca="false">IF(Q10=0,99999,1+SUMPRODUCT($Q$2:$Q$45,--($C$2:$C$45&gt;C10))+SUMPRODUCT($Q$2:$Q$45,--($C$2:$C$45=C10),--($K$2:$K$45&lt;K10))+SUMPRODUCT($Q$2:$Q$45,--($C$2:$C$45=C10),--($K$2:$K$45=K10),--($B$2:$B$45&lt;B10))+SUMPRODUCT($Q$2:$Q$45,--($C$2:$C$45=C10),--($K$2:$K$45=K10),--($B$2:$B$45=B10),--($A$2:$A$45&lt;A10)))</f>
        <v>99999</v>
      </c>
      <c r="T10" s="37" t="n">
        <f aca="false">IF(R10=0,99999,1+SUMPRODUCT($R$2:$R$45,--($C$2:$C$45&gt;C10))+SUMPRODUCT($R$2:$R$45,--($C$2:$C$45=C10),--($K$2:$K$45&lt;K10))+SUMPRODUCT($R$2:$R$45,--($C$2:$C$45=C10),--($K$2:$K$45=K10),--($B$2:$B$45&lt;B10))+SUMPRODUCT($R$2:$R$45,--($C$2:$C$45=C10),--($K$2:$K$45=K10),--($B$2:$B$45=B10),--($A$2:$A$45&lt;A10)))</f>
        <v>12</v>
      </c>
      <c r="U10" s="38" t="n">
        <f aca="false">CEILING/(1+RESRATE)-G10</f>
        <v>6712.67047619047</v>
      </c>
      <c r="V10" s="38" t="n">
        <f aca="false">U10-0.2*H10</f>
        <v>3880.67047619047</v>
      </c>
      <c r="W10" s="37" t="s">
        <v>1126</v>
      </c>
    </row>
    <row r="11" customFormat="false" ht="15" hidden="false" customHeight="true" outlineLevel="0" collapsed="false">
      <c r="A11" s="37" t="s">
        <v>1136</v>
      </c>
      <c r="B11" s="37" t="s">
        <v>73</v>
      </c>
      <c r="C11" s="37" t="n">
        <v>18</v>
      </c>
      <c r="D11" s="38" t="n">
        <f aca="false">CityData!C7</f>
        <v>590</v>
      </c>
      <c r="E11" s="38" t="n">
        <f aca="false">CityData!F7</f>
        <v>101</v>
      </c>
      <c r="F11" s="38" t="n">
        <f aca="false">Options!H14</f>
        <v>220</v>
      </c>
      <c r="G11" s="38" t="n">
        <f aca="false">Options!P14</f>
        <v>32822.64</v>
      </c>
      <c r="H11" s="38" t="n">
        <f aca="false">D11*C11*FFAC</f>
        <v>10620</v>
      </c>
      <c r="I11" s="38" t="n">
        <f aca="false">Options!Q14</f>
        <v>0</v>
      </c>
      <c r="J11" s="38" t="n">
        <f aca="false">SUM(G11,I11)</f>
        <v>32822.64</v>
      </c>
      <c r="K11" s="38" t="n">
        <f aca="false">J11*(1+RESRATE)</f>
        <v>34463.772</v>
      </c>
      <c r="L11" s="38" t="n">
        <f aca="false">(J11+0.2*H11)*(1+RESRATE)</f>
        <v>36693.972</v>
      </c>
      <c r="M11" s="37" t="n">
        <f aca="false">IF(AND(NIGHTS&gt;0,COUNTIFS(MIE_Daily!$A$2:$A$367,"&gt;="&amp;Parameters!$B$13,MIE_Daily!$A$2:$A$367,"&lt;"&amp;Parameters!$B$14,MIE_Daily!$AN$2:$AN$367,"&lt;"&amp;E11)=0),1,0)</f>
        <v>1</v>
      </c>
      <c r="N11" s="38" t="n">
        <f aca="false">Options!S14</f>
        <v>1</v>
      </c>
      <c r="O11" s="38" t="n">
        <f aca="false">Unknowns!H6</f>
        <v>0</v>
      </c>
      <c r="P11" s="38" t="n">
        <f aca="false">Unknowns!I6</f>
        <v>0</v>
      </c>
      <c r="Q11" s="37" t="n">
        <f aca="false">IF(AND(M11=1,N11=1,O11=1,P11=1,K11&lt;=CEILING,Parameters!$B$36="VALID DATE STRUCTURE"),1,0)</f>
        <v>0</v>
      </c>
      <c r="R11" s="37" t="n">
        <f aca="false">IF(AND(M11=1,N11=1,K11&lt;=CEILING,Parameters!$B$36="VALID DATE STRUCTURE"),1,0)</f>
        <v>1</v>
      </c>
      <c r="S11" s="37" t="n">
        <f aca="false">IF(Q11=0,99999,1+SUMPRODUCT($Q$2:$Q$45,--($C$2:$C$45&gt;C11))+SUMPRODUCT($Q$2:$Q$45,--($C$2:$C$45=C11),--($K$2:$K$45&lt;K11))+SUMPRODUCT($Q$2:$Q$45,--($C$2:$C$45=C11),--($K$2:$K$45=K11),--($B$2:$B$45&lt;B11))+SUMPRODUCT($Q$2:$Q$45,--($C$2:$C$45=C11),--($K$2:$K$45=K11),--($B$2:$B$45=B11),--($A$2:$A$45&lt;A11)))</f>
        <v>99999</v>
      </c>
      <c r="T11" s="37" t="n">
        <f aca="false">IF(R11=0,99999,1+SUMPRODUCT($R$2:$R$45,--($C$2:$C$45&gt;C11))+SUMPRODUCT($R$2:$R$45,--($C$2:$C$45=C11),--($K$2:$K$45&lt;K11))+SUMPRODUCT($R$2:$R$45,--($C$2:$C$45=C11),--($K$2:$K$45=K11),--($B$2:$B$45&lt;B11))+SUMPRODUCT($R$2:$R$45,--($C$2:$C$45=C11),--($K$2:$K$45=K11),--($B$2:$B$45=B11),--($A$2:$A$45&lt;A11)))</f>
        <v>30</v>
      </c>
      <c r="U11" s="38" t="n">
        <f aca="false">CEILING/(1+RESRATE)-G11</f>
        <v>17653.5504761905</v>
      </c>
      <c r="V11" s="38" t="n">
        <f aca="false">U11-0.2*H11</f>
        <v>15529.5504761905</v>
      </c>
      <c r="W11" s="37" t="s">
        <v>1126</v>
      </c>
    </row>
    <row r="12" customFormat="false" ht="39" hidden="false" customHeight="true" outlineLevel="0" collapsed="false">
      <c r="A12" s="37" t="s">
        <v>1137</v>
      </c>
      <c r="B12" s="37" t="s">
        <v>61</v>
      </c>
      <c r="C12" s="37" t="n">
        <v>24</v>
      </c>
      <c r="D12" s="38" t="n">
        <f aca="false">Joint_Alternatives!D2</f>
        <v>270</v>
      </c>
      <c r="E12" s="38" t="n">
        <f aca="false">Joint_Alternatives!E2</f>
        <v>145</v>
      </c>
      <c r="F12" s="38" t="n">
        <f aca="false">Joint_Alternatives!F2</f>
        <v>120</v>
      </c>
      <c r="G12" s="38" t="n">
        <f aca="false">Options!P7+C12*((D12-CityData!C4)*FFAC+(E12-CityData!F4)*NIGHTS*(1+TAXRATE)+F12-Options!H7)</f>
        <v>38414.4</v>
      </c>
      <c r="H12" s="38" t="n">
        <f aca="false">D12*C12*FFAC</f>
        <v>6480</v>
      </c>
      <c r="I12" s="41"/>
      <c r="J12" s="38" t="n">
        <f aca="false">SUM(G12,I12)</f>
        <v>38414.4</v>
      </c>
      <c r="K12" s="38" t="n">
        <f aca="false">J12*(1+RESRATE)</f>
        <v>40335.12</v>
      </c>
      <c r="L12" s="38" t="n">
        <f aca="false">(J12+0.2*H12)*(1+RESRATE)</f>
        <v>41695.92</v>
      </c>
      <c r="M12" s="37" t="n">
        <f aca="false">IF(AND(NIGHTS&gt;0,COUNTIFS(MIE_Daily!$A$2:$A$367,"&gt;="&amp;Parameters!$B$13,MIE_Daily!$A$2:$A$367,"&lt;"&amp;Parameters!$B$14,MIE_Daily!$P$2:$P$367,"&lt;"&amp;E12)=0),1,0)</f>
        <v>1</v>
      </c>
      <c r="N12" s="38" t="n">
        <f aca="false">Options!S7</f>
        <v>1</v>
      </c>
      <c r="O12" s="42" t="n">
        <v>0</v>
      </c>
      <c r="P12" s="42" t="n">
        <v>0</v>
      </c>
      <c r="Q12" s="37" t="n">
        <f aca="false">IF(AND(M12=1,N12=1,O12=1,P12=1,K12&lt;=CEILING,Parameters!$B$36="VALID DATE STRUCTURE"),1,0)</f>
        <v>0</v>
      </c>
      <c r="R12" s="37" t="n">
        <f aca="false">IF(AND(M12=1,N12=1,K12&lt;=CEILING,Parameters!$B$36="VALID DATE STRUCTURE"),1,0)</f>
        <v>1</v>
      </c>
      <c r="S12" s="37" t="n">
        <f aca="false">IF(Q12=0,99999,1+SUMPRODUCT($Q$2:$Q$45,--($C$2:$C$45&gt;C12))+SUMPRODUCT($Q$2:$Q$45,--($C$2:$C$45=C12),--($K$2:$K$45&lt;K12))+SUMPRODUCT($Q$2:$Q$45,--($C$2:$C$45=C12),--($K$2:$K$45=K12),--($B$2:$B$45&lt;B12))+SUMPRODUCT($Q$2:$Q$45,--($C$2:$C$45=C12),--($K$2:$K$45=K12),--($B$2:$B$45=B12),--($A$2:$A$45&lt;A12)))</f>
        <v>99999</v>
      </c>
      <c r="T12" s="37" t="n">
        <f aca="false">IF(R12=0,99999,1+SUMPRODUCT($R$2:$R$45,--($C$2:$C$45&gt;C12))+SUMPRODUCT($R$2:$R$45,--($C$2:$C$45=C12),--($K$2:$K$45&lt;K12))+SUMPRODUCT($R$2:$R$45,--($C$2:$C$45=C12),--($K$2:$K$45=K12),--($B$2:$B$45&lt;B12))+SUMPRODUCT($R$2:$R$45,--($C$2:$C$45=C12),--($K$2:$K$45=K12),--($B$2:$B$45=B12),--($A$2:$A$45&lt;A12)))</f>
        <v>5</v>
      </c>
      <c r="U12" s="38" t="n">
        <f aca="false">CEILING/(1+RESRATE)-G12</f>
        <v>12061.7904761905</v>
      </c>
      <c r="V12" s="38" t="n">
        <f aca="false">U12-0.2*H12</f>
        <v>10765.7904761905</v>
      </c>
      <c r="W12" s="37" t="s">
        <v>1138</v>
      </c>
    </row>
    <row r="13" customFormat="false" ht="39" hidden="false" customHeight="true" outlineLevel="0" collapsed="false">
      <c r="A13" s="37" t="s">
        <v>1139</v>
      </c>
      <c r="B13" s="37" t="s">
        <v>61</v>
      </c>
      <c r="C13" s="37" t="n">
        <v>18</v>
      </c>
      <c r="D13" s="38" t="n">
        <f aca="false">Joint_Alternatives!D3</f>
        <v>270</v>
      </c>
      <c r="E13" s="38" t="n">
        <f aca="false">Joint_Alternatives!E3</f>
        <v>145</v>
      </c>
      <c r="F13" s="38" t="n">
        <f aca="false">Joint_Alternatives!F3</f>
        <v>120</v>
      </c>
      <c r="G13" s="38" t="n">
        <f aca="false">Options!P8+C13*((D13-CityData!C4)*FFAC+(E13-CityData!F4)*NIGHTS*(1+TAXRATE)+F13-Options!H8)</f>
        <v>28810.8</v>
      </c>
      <c r="H13" s="38" t="n">
        <f aca="false">D13*C13*FFAC</f>
        <v>4860</v>
      </c>
      <c r="I13" s="41"/>
      <c r="J13" s="38" t="n">
        <f aca="false">SUM(G13,I13)</f>
        <v>28810.8</v>
      </c>
      <c r="K13" s="38" t="n">
        <f aca="false">J13*(1+RESRATE)</f>
        <v>30251.34</v>
      </c>
      <c r="L13" s="38" t="n">
        <f aca="false">(J13+0.2*H13)*(1+RESRATE)</f>
        <v>31271.94</v>
      </c>
      <c r="M13" s="37" t="n">
        <f aca="false">IF(AND(NIGHTS&gt;0,COUNTIFS(MIE_Daily!$A$2:$A$367,"&gt;="&amp;Parameters!$B$13,MIE_Daily!$A$2:$A$367,"&lt;"&amp;Parameters!$B$14,MIE_Daily!$P$2:$P$367,"&lt;"&amp;E13)=0),1,0)</f>
        <v>1</v>
      </c>
      <c r="N13" s="38" t="n">
        <f aca="false">Options!S8</f>
        <v>1</v>
      </c>
      <c r="O13" s="42" t="n">
        <v>0</v>
      </c>
      <c r="P13" s="42" t="n">
        <v>0</v>
      </c>
      <c r="Q13" s="37" t="n">
        <f aca="false">IF(AND(M13=1,N13=1,O13=1,P13=1,K13&lt;=CEILING,Parameters!$B$36="VALID DATE STRUCTURE"),1,0)</f>
        <v>0</v>
      </c>
      <c r="R13" s="37" t="n">
        <f aca="false">IF(AND(M13=1,N13=1,K13&lt;=CEILING,Parameters!$B$36="VALID DATE STRUCTURE"),1,0)</f>
        <v>1</v>
      </c>
      <c r="S13" s="37" t="n">
        <f aca="false">IF(Q13=0,99999,1+SUMPRODUCT($Q$2:$Q$45,--($C$2:$C$45&gt;C13))+SUMPRODUCT($Q$2:$Q$45,--($C$2:$C$45=C13),--($K$2:$K$45&lt;K13))+SUMPRODUCT($Q$2:$Q$45,--($C$2:$C$45=C13),--($K$2:$K$45=K13),--($B$2:$B$45&lt;B13))+SUMPRODUCT($Q$2:$Q$45,--($C$2:$C$45=C13),--($K$2:$K$45=K13),--($B$2:$B$45=B13),--($A$2:$A$45&lt;A13)))</f>
        <v>99999</v>
      </c>
      <c r="T13" s="37" t="n">
        <f aca="false">IF(R13=0,99999,1+SUMPRODUCT($R$2:$R$45,--($C$2:$C$45&gt;C13))+SUMPRODUCT($R$2:$R$45,--($C$2:$C$45=C13),--($K$2:$K$45&lt;K13))+SUMPRODUCT($R$2:$R$45,--($C$2:$C$45=C13),--($K$2:$K$45=K13),--($B$2:$B$45&lt;B13))+SUMPRODUCT($R$2:$R$45,--($C$2:$C$45=C13),--($K$2:$K$45=K13),--($B$2:$B$45=B13),--($A$2:$A$45&lt;A13)))</f>
        <v>23</v>
      </c>
      <c r="U13" s="38" t="n">
        <f aca="false">CEILING/(1+RESRATE)-G13</f>
        <v>21665.3904761905</v>
      </c>
      <c r="V13" s="38" t="n">
        <f aca="false">U13-0.2*H13</f>
        <v>20693.3904761905</v>
      </c>
      <c r="W13" s="37" t="s">
        <v>1140</v>
      </c>
    </row>
    <row r="14" customFormat="false" ht="39" hidden="false" customHeight="true" outlineLevel="0" collapsed="false">
      <c r="A14" s="37" t="s">
        <v>1141</v>
      </c>
      <c r="B14" s="37" t="s">
        <v>61</v>
      </c>
      <c r="C14" s="37" t="n">
        <v>24</v>
      </c>
      <c r="D14" s="38" t="n">
        <f aca="false">Joint_Alternatives!D4</f>
        <v>270</v>
      </c>
      <c r="E14" s="38" t="n">
        <f aca="false">Joint_Alternatives!E4</f>
        <v>133</v>
      </c>
      <c r="F14" s="38" t="n">
        <f aca="false">Joint_Alternatives!F4</f>
        <v>120</v>
      </c>
      <c r="G14" s="38" t="n">
        <f aca="false">Options!P7+C14*((D14-CityData!C4)*FFAC+(E14-CityData!F4)*NIGHTS*(1+TAXRATE)+F14-Options!H7)</f>
        <v>37124.16</v>
      </c>
      <c r="H14" s="38" t="n">
        <f aca="false">D14*C14*FFAC</f>
        <v>6480</v>
      </c>
      <c r="I14" s="41"/>
      <c r="J14" s="38" t="n">
        <f aca="false">SUM(G14,I14)</f>
        <v>37124.16</v>
      </c>
      <c r="K14" s="38" t="n">
        <f aca="false">J14*(1+RESRATE)</f>
        <v>38980.368</v>
      </c>
      <c r="L14" s="38" t="n">
        <f aca="false">(J14+0.2*H14)*(1+RESRATE)</f>
        <v>40341.168</v>
      </c>
      <c r="M14" s="37" t="n">
        <f aca="false">IF(AND(NIGHTS&gt;0,COUNTIFS(MIE_Daily!$A$2:$A$367,"&gt;="&amp;Parameters!$B$13,MIE_Daily!$A$2:$A$367,"&lt;"&amp;Parameters!$B$14,MIE_Daily!$P$2:$P$367,"&lt;"&amp;E14)=0),1,0)</f>
        <v>1</v>
      </c>
      <c r="N14" s="38" t="n">
        <f aca="false">Options!S7</f>
        <v>1</v>
      </c>
      <c r="O14" s="42" t="n">
        <v>0</v>
      </c>
      <c r="P14" s="42" t="n">
        <v>0</v>
      </c>
      <c r="Q14" s="37" t="n">
        <f aca="false">IF(AND(M14=1,N14=1,O14=1,P14=1,K14&lt;=CEILING,Parameters!$B$36="VALID DATE STRUCTURE"),1,0)</f>
        <v>0</v>
      </c>
      <c r="R14" s="37" t="n">
        <f aca="false">IF(AND(M14=1,N14=1,K14&lt;=CEILING,Parameters!$B$36="VALID DATE STRUCTURE"),1,0)</f>
        <v>1</v>
      </c>
      <c r="S14" s="37" t="n">
        <f aca="false">IF(Q14=0,99999,1+SUMPRODUCT($Q$2:$Q$45,--($C$2:$C$45&gt;C14))+SUMPRODUCT($Q$2:$Q$45,--($C$2:$C$45=C14),--($K$2:$K$45&lt;K14))+SUMPRODUCT($Q$2:$Q$45,--($C$2:$C$45=C14),--($K$2:$K$45=K14),--($B$2:$B$45&lt;B14))+SUMPRODUCT($Q$2:$Q$45,--($C$2:$C$45=C14),--($K$2:$K$45=K14),--($B$2:$B$45=B14),--($A$2:$A$45&lt;A14)))</f>
        <v>99999</v>
      </c>
      <c r="T14" s="37" t="n">
        <f aca="false">IF(R14=0,99999,1+SUMPRODUCT($R$2:$R$45,--($C$2:$C$45&gt;C14))+SUMPRODUCT($R$2:$R$45,--($C$2:$C$45=C14),--($K$2:$K$45&lt;K14))+SUMPRODUCT($R$2:$R$45,--($C$2:$C$45=C14),--($K$2:$K$45=K14),--($B$2:$B$45&lt;B14))+SUMPRODUCT($R$2:$R$45,--($C$2:$C$45=C14),--($K$2:$K$45=K14),--($B$2:$B$45=B14),--($A$2:$A$45&lt;A14)))</f>
        <v>4</v>
      </c>
      <c r="U14" s="38" t="n">
        <f aca="false">CEILING/(1+RESRATE)-G14</f>
        <v>13352.0304761905</v>
      </c>
      <c r="V14" s="38" t="n">
        <f aca="false">U14-0.2*H14</f>
        <v>12056.0304761905</v>
      </c>
      <c r="W14" s="37" t="s">
        <v>1142</v>
      </c>
    </row>
    <row r="15" customFormat="false" ht="39" hidden="false" customHeight="true" outlineLevel="0" collapsed="false">
      <c r="A15" s="37" t="s">
        <v>1143</v>
      </c>
      <c r="B15" s="37" t="s">
        <v>61</v>
      </c>
      <c r="C15" s="37" t="n">
        <v>18</v>
      </c>
      <c r="D15" s="38" t="n">
        <f aca="false">Joint_Alternatives!D5</f>
        <v>270</v>
      </c>
      <c r="E15" s="38" t="n">
        <f aca="false">Joint_Alternatives!E5</f>
        <v>133</v>
      </c>
      <c r="F15" s="38" t="n">
        <f aca="false">Joint_Alternatives!F5</f>
        <v>120</v>
      </c>
      <c r="G15" s="38" t="n">
        <f aca="false">Options!P8+C15*((D15-CityData!C4)*FFAC+(E15-CityData!F4)*NIGHTS*(1+TAXRATE)+F15-Options!H8)</f>
        <v>27843.12</v>
      </c>
      <c r="H15" s="38" t="n">
        <f aca="false">D15*C15*FFAC</f>
        <v>4860</v>
      </c>
      <c r="I15" s="41"/>
      <c r="J15" s="38" t="n">
        <f aca="false">SUM(G15,I15)</f>
        <v>27843.12</v>
      </c>
      <c r="K15" s="38" t="n">
        <f aca="false">J15*(1+RESRATE)</f>
        <v>29235.276</v>
      </c>
      <c r="L15" s="38" t="n">
        <f aca="false">(J15+0.2*H15)*(1+RESRATE)</f>
        <v>30255.876</v>
      </c>
      <c r="M15" s="37" t="n">
        <f aca="false">IF(AND(NIGHTS&gt;0,COUNTIFS(MIE_Daily!$A$2:$A$367,"&gt;="&amp;Parameters!$B$13,MIE_Daily!$A$2:$A$367,"&lt;"&amp;Parameters!$B$14,MIE_Daily!$P$2:$P$367,"&lt;"&amp;E15)=0),1,0)</f>
        <v>1</v>
      </c>
      <c r="N15" s="38" t="n">
        <f aca="false">Options!S8</f>
        <v>1</v>
      </c>
      <c r="O15" s="42" t="n">
        <v>0</v>
      </c>
      <c r="P15" s="42" t="n">
        <v>0</v>
      </c>
      <c r="Q15" s="37" t="n">
        <f aca="false">IF(AND(M15=1,N15=1,O15=1,P15=1,K15&lt;=CEILING,Parameters!$B$36="VALID DATE STRUCTURE"),1,0)</f>
        <v>0</v>
      </c>
      <c r="R15" s="37" t="n">
        <f aca="false">IF(AND(M15=1,N15=1,K15&lt;=CEILING,Parameters!$B$36="VALID DATE STRUCTURE"),1,0)</f>
        <v>1</v>
      </c>
      <c r="S15" s="37" t="n">
        <f aca="false">IF(Q15=0,99999,1+SUMPRODUCT($Q$2:$Q$45,--($C$2:$C$45&gt;C15))+SUMPRODUCT($Q$2:$Q$45,--($C$2:$C$45=C15),--($K$2:$K$45&lt;K15))+SUMPRODUCT($Q$2:$Q$45,--($C$2:$C$45=C15),--($K$2:$K$45=K15),--($B$2:$B$45&lt;B15))+SUMPRODUCT($Q$2:$Q$45,--($C$2:$C$45=C15),--($K$2:$K$45=K15),--($B$2:$B$45=B15),--($A$2:$A$45&lt;A15)))</f>
        <v>99999</v>
      </c>
      <c r="T15" s="37" t="n">
        <f aca="false">IF(R15=0,99999,1+SUMPRODUCT($R$2:$R$45,--($C$2:$C$45&gt;C15))+SUMPRODUCT($R$2:$R$45,--($C$2:$C$45=C15),--($K$2:$K$45&lt;K15))+SUMPRODUCT($R$2:$R$45,--($C$2:$C$45=C15),--($K$2:$K$45=K15),--($B$2:$B$45&lt;B15))+SUMPRODUCT($R$2:$R$45,--($C$2:$C$45=C15),--($K$2:$K$45=K15),--($B$2:$B$45=B15),--($A$2:$A$45&lt;A15)))</f>
        <v>22</v>
      </c>
      <c r="U15" s="38" t="n">
        <f aca="false">CEILING/(1+RESRATE)-G15</f>
        <v>22633.0704761905</v>
      </c>
      <c r="V15" s="38" t="n">
        <f aca="false">U15-0.2*H15</f>
        <v>21661.0704761905</v>
      </c>
      <c r="W15" s="37" t="s">
        <v>1144</v>
      </c>
    </row>
    <row r="16" customFormat="false" ht="39" hidden="false" customHeight="true" outlineLevel="0" collapsed="false">
      <c r="A16" s="37" t="s">
        <v>1145</v>
      </c>
      <c r="B16" s="37" t="s">
        <v>65</v>
      </c>
      <c r="C16" s="37" t="n">
        <v>24</v>
      </c>
      <c r="D16" s="38" t="n">
        <f aca="false">Joint_Alternatives!D6</f>
        <v>578</v>
      </c>
      <c r="E16" s="38" t="n">
        <f aca="false">Joint_Alternatives!E6</f>
        <v>79</v>
      </c>
      <c r="F16" s="38" t="n">
        <f aca="false">Joint_Alternatives!F6</f>
        <v>220</v>
      </c>
      <c r="G16" s="38" t="n">
        <f aca="false">Options!P9+C16*((D16-CityData!C5)*FFAC+(E16-CityData!F5)*NIGHTS*(1+TAXRATE)+F16-Options!H9)</f>
        <v>41110.08</v>
      </c>
      <c r="H16" s="38" t="n">
        <f aca="false">D16*C16*FFAC</f>
        <v>13872</v>
      </c>
      <c r="I16" s="41"/>
      <c r="J16" s="38" t="n">
        <f aca="false">SUM(G16,I16)</f>
        <v>41110.08</v>
      </c>
      <c r="K16" s="38" t="n">
        <f aca="false">J16*(1+RESRATE)</f>
        <v>43165.584</v>
      </c>
      <c r="L16" s="38" t="n">
        <f aca="false">(J16+0.2*H16)*(1+RESRATE)</f>
        <v>46078.704</v>
      </c>
      <c r="M16" s="37" t="n">
        <f aca="false">IF(AND(NIGHTS&gt;0,COUNTIFS(MIE_Daily!$A$2:$A$367,"&gt;="&amp;Parameters!$B$13,MIE_Daily!$A$2:$A$367,"&lt;"&amp;Parameters!$B$14,MIE_Daily!$X$2:$X$367,"&lt;"&amp;E16)=0),1,0)</f>
        <v>1</v>
      </c>
      <c r="N16" s="38" t="n">
        <f aca="false">Options!S9</f>
        <v>1</v>
      </c>
      <c r="O16" s="42" t="n">
        <v>0</v>
      </c>
      <c r="P16" s="42" t="n">
        <v>0</v>
      </c>
      <c r="Q16" s="37" t="n">
        <f aca="false">IF(AND(M16=1,N16=1,O16=1,P16=1,K16&lt;=CEILING,Parameters!$B$36="VALID DATE STRUCTURE"),1,0)</f>
        <v>0</v>
      </c>
      <c r="R16" s="37" t="n">
        <f aca="false">IF(AND(M16=1,N16=1,K16&lt;=CEILING,Parameters!$B$36="VALID DATE STRUCTURE"),1,0)</f>
        <v>1</v>
      </c>
      <c r="S16" s="37" t="n">
        <f aca="false">IF(Q16=0,99999,1+SUMPRODUCT($Q$2:$Q$45,--($C$2:$C$45&gt;C16))+SUMPRODUCT($Q$2:$Q$45,--($C$2:$C$45=C16),--($K$2:$K$45&lt;K16))+SUMPRODUCT($Q$2:$Q$45,--($C$2:$C$45=C16),--($K$2:$K$45=K16),--($B$2:$B$45&lt;B16))+SUMPRODUCT($Q$2:$Q$45,--($C$2:$C$45=C16),--($K$2:$K$45=K16),--($B$2:$B$45=B16),--($A$2:$A$45&lt;A16)))</f>
        <v>99999</v>
      </c>
      <c r="T16" s="37" t="n">
        <f aca="false">IF(R16=0,99999,1+SUMPRODUCT($R$2:$R$45,--($C$2:$C$45&gt;C16))+SUMPRODUCT($R$2:$R$45,--($C$2:$C$45=C16),--($K$2:$K$45&lt;K16))+SUMPRODUCT($R$2:$R$45,--($C$2:$C$45=C16),--($K$2:$K$45=K16),--($B$2:$B$45&lt;B16))+SUMPRODUCT($R$2:$R$45,--($C$2:$C$45=C16),--($K$2:$K$45=K16),--($B$2:$B$45=B16),--($A$2:$A$45&lt;A16)))</f>
        <v>7</v>
      </c>
      <c r="U16" s="38" t="n">
        <f aca="false">CEILING/(1+RESRATE)-G16</f>
        <v>9366.11047619046</v>
      </c>
      <c r="V16" s="38" t="n">
        <f aca="false">U16-0.2*H16</f>
        <v>6591.71047619047</v>
      </c>
      <c r="W16" s="37" t="s">
        <v>1146</v>
      </c>
    </row>
    <row r="17" customFormat="false" ht="39" hidden="false" customHeight="true" outlineLevel="0" collapsed="false">
      <c r="A17" s="37" t="s">
        <v>1147</v>
      </c>
      <c r="B17" s="37" t="s">
        <v>65</v>
      </c>
      <c r="C17" s="37" t="n">
        <v>18</v>
      </c>
      <c r="D17" s="38" t="n">
        <f aca="false">Joint_Alternatives!D7</f>
        <v>578</v>
      </c>
      <c r="E17" s="38" t="n">
        <f aca="false">Joint_Alternatives!E7</f>
        <v>79</v>
      </c>
      <c r="F17" s="38" t="n">
        <f aca="false">Joint_Alternatives!F7</f>
        <v>220</v>
      </c>
      <c r="G17" s="38" t="n">
        <f aca="false">Options!P10+C17*((D17-CityData!C5)*FFAC+(E17-CityData!F5)*NIGHTS*(1+TAXRATE)+F17-Options!H10)</f>
        <v>30832.56</v>
      </c>
      <c r="H17" s="38" t="n">
        <f aca="false">D17*C17*FFAC</f>
        <v>10404</v>
      </c>
      <c r="I17" s="41"/>
      <c r="J17" s="38" t="n">
        <f aca="false">SUM(G17,I17)</f>
        <v>30832.56</v>
      </c>
      <c r="K17" s="38" t="n">
        <f aca="false">J17*(1+RESRATE)</f>
        <v>32374.188</v>
      </c>
      <c r="L17" s="38" t="n">
        <f aca="false">(J17+0.2*H17)*(1+RESRATE)</f>
        <v>34559.028</v>
      </c>
      <c r="M17" s="37" t="n">
        <f aca="false">IF(AND(NIGHTS&gt;0,COUNTIFS(MIE_Daily!$A$2:$A$367,"&gt;="&amp;Parameters!$B$13,MIE_Daily!$A$2:$A$367,"&lt;"&amp;Parameters!$B$14,MIE_Daily!$X$2:$X$367,"&lt;"&amp;E17)=0),1,0)</f>
        <v>1</v>
      </c>
      <c r="N17" s="38" t="n">
        <f aca="false">Options!S10</f>
        <v>1</v>
      </c>
      <c r="O17" s="42" t="n">
        <v>0</v>
      </c>
      <c r="P17" s="42" t="n">
        <v>0</v>
      </c>
      <c r="Q17" s="37" t="n">
        <f aca="false">IF(AND(M17=1,N17=1,O17=1,P17=1,K17&lt;=CEILING,Parameters!$B$36="VALID DATE STRUCTURE"),1,0)</f>
        <v>0</v>
      </c>
      <c r="R17" s="37" t="n">
        <f aca="false">IF(AND(M17=1,N17=1,K17&lt;=CEILING,Parameters!$B$36="VALID DATE STRUCTURE"),1,0)</f>
        <v>1</v>
      </c>
      <c r="S17" s="37" t="n">
        <f aca="false">IF(Q17=0,99999,1+SUMPRODUCT($Q$2:$Q$45,--($C$2:$C$45&gt;C17))+SUMPRODUCT($Q$2:$Q$45,--($C$2:$C$45=C17),--($K$2:$K$45&lt;K17))+SUMPRODUCT($Q$2:$Q$45,--($C$2:$C$45=C17),--($K$2:$K$45=K17),--($B$2:$B$45&lt;B17))+SUMPRODUCT($Q$2:$Q$45,--($C$2:$C$45=C17),--($K$2:$K$45=K17),--($B$2:$B$45=B17),--($A$2:$A$45&lt;A17)))</f>
        <v>99999</v>
      </c>
      <c r="T17" s="37" t="n">
        <f aca="false">IF(R17=0,99999,1+SUMPRODUCT($R$2:$R$45,--($C$2:$C$45&gt;C17))+SUMPRODUCT($R$2:$R$45,--($C$2:$C$45=C17),--($K$2:$K$45&lt;K17))+SUMPRODUCT($R$2:$R$45,--($C$2:$C$45=C17),--($K$2:$K$45=K17),--($B$2:$B$45&lt;B17))+SUMPRODUCT($R$2:$R$45,--($C$2:$C$45=C17),--($K$2:$K$45=K17),--($B$2:$B$45=B17),--($A$2:$A$45&lt;A17)))</f>
        <v>25</v>
      </c>
      <c r="U17" s="38" t="n">
        <f aca="false">CEILING/(1+RESRATE)-G17</f>
        <v>19643.6304761905</v>
      </c>
      <c r="V17" s="38" t="n">
        <f aca="false">U17-0.2*H17</f>
        <v>17562.8304761905</v>
      </c>
      <c r="W17" s="37" t="s">
        <v>1148</v>
      </c>
    </row>
    <row r="18" customFormat="false" ht="39" hidden="false" customHeight="true" outlineLevel="0" collapsed="false">
      <c r="A18" s="37" t="s">
        <v>1149</v>
      </c>
      <c r="B18" s="37" t="s">
        <v>65</v>
      </c>
      <c r="C18" s="37" t="n">
        <v>24</v>
      </c>
      <c r="D18" s="38" t="n">
        <f aca="false">Joint_Alternatives!D8</f>
        <v>578</v>
      </c>
      <c r="E18" s="38" t="n">
        <f aca="false">Joint_Alternatives!E8</f>
        <v>113</v>
      </c>
      <c r="F18" s="38" t="n">
        <f aca="false">Joint_Alternatives!F8</f>
        <v>220</v>
      </c>
      <c r="G18" s="38" t="n">
        <f aca="false">Options!P9+C18*((D18-CityData!C5)*FFAC+(E18-CityData!F5)*NIGHTS*(1+TAXRATE)+F18-Options!H9)</f>
        <v>44765.76</v>
      </c>
      <c r="H18" s="38" t="n">
        <f aca="false">D18*C18*FFAC</f>
        <v>13872</v>
      </c>
      <c r="I18" s="41"/>
      <c r="J18" s="38" t="n">
        <f aca="false">SUM(G18,I18)</f>
        <v>44765.76</v>
      </c>
      <c r="K18" s="38" t="n">
        <f aca="false">J18*(1+RESRATE)</f>
        <v>47004.048</v>
      </c>
      <c r="L18" s="38" t="n">
        <f aca="false">(J18+0.2*H18)*(1+RESRATE)</f>
        <v>49917.168</v>
      </c>
      <c r="M18" s="37" t="n">
        <f aca="false">IF(AND(NIGHTS&gt;0,COUNTIFS(MIE_Daily!$A$2:$A$367,"&gt;="&amp;Parameters!$B$13,MIE_Daily!$A$2:$A$367,"&lt;"&amp;Parameters!$B$14,MIE_Daily!$X$2:$X$367,"&lt;"&amp;E18)=0),1,0)</f>
        <v>1</v>
      </c>
      <c r="N18" s="38" t="n">
        <f aca="false">Options!S9</f>
        <v>1</v>
      </c>
      <c r="O18" s="42" t="n">
        <v>0</v>
      </c>
      <c r="P18" s="42" t="n">
        <v>0</v>
      </c>
      <c r="Q18" s="37" t="n">
        <f aca="false">IF(AND(M18=1,N18=1,O18=1,P18=1,K18&lt;=CEILING,Parameters!$B$36="VALID DATE STRUCTURE"),1,0)</f>
        <v>0</v>
      </c>
      <c r="R18" s="37" t="n">
        <f aca="false">IF(AND(M18=1,N18=1,K18&lt;=CEILING,Parameters!$B$36="VALID DATE STRUCTURE"),1,0)</f>
        <v>1</v>
      </c>
      <c r="S18" s="37" t="n">
        <f aca="false">IF(Q18=0,99999,1+SUMPRODUCT($Q$2:$Q$45,--($C$2:$C$45&gt;C18))+SUMPRODUCT($Q$2:$Q$45,--($C$2:$C$45=C18),--($K$2:$K$45&lt;K18))+SUMPRODUCT($Q$2:$Q$45,--($C$2:$C$45=C18),--($K$2:$K$45=K18),--($B$2:$B$45&lt;B18))+SUMPRODUCT($Q$2:$Q$45,--($C$2:$C$45=C18),--($K$2:$K$45=K18),--($B$2:$B$45=B18),--($A$2:$A$45&lt;A18)))</f>
        <v>99999</v>
      </c>
      <c r="T18" s="37" t="n">
        <f aca="false">IF(R18=0,99999,1+SUMPRODUCT($R$2:$R$45,--($C$2:$C$45&gt;C18))+SUMPRODUCT($R$2:$R$45,--($C$2:$C$45=C18),--($K$2:$K$45&lt;K18))+SUMPRODUCT($R$2:$R$45,--($C$2:$C$45=C18),--($K$2:$K$45=K18),--($B$2:$B$45&lt;B18))+SUMPRODUCT($R$2:$R$45,--($C$2:$C$45=C18),--($K$2:$K$45=K18),--($B$2:$B$45=B18),--($A$2:$A$45&lt;A18)))</f>
        <v>15</v>
      </c>
      <c r="U18" s="38" t="n">
        <f aca="false">CEILING/(1+RESRATE)-G18</f>
        <v>5710.43047619046</v>
      </c>
      <c r="V18" s="38" t="n">
        <f aca="false">U18-0.2*H18</f>
        <v>2936.03047619046</v>
      </c>
      <c r="W18" s="37" t="s">
        <v>1150</v>
      </c>
    </row>
    <row r="19" customFormat="false" ht="39" hidden="false" customHeight="true" outlineLevel="0" collapsed="false">
      <c r="A19" s="37" t="s">
        <v>1151</v>
      </c>
      <c r="B19" s="37" t="s">
        <v>65</v>
      </c>
      <c r="C19" s="37" t="n">
        <v>18</v>
      </c>
      <c r="D19" s="38" t="n">
        <f aca="false">Joint_Alternatives!D9</f>
        <v>578</v>
      </c>
      <c r="E19" s="38" t="n">
        <f aca="false">Joint_Alternatives!E9</f>
        <v>113</v>
      </c>
      <c r="F19" s="38" t="n">
        <f aca="false">Joint_Alternatives!F9</f>
        <v>220</v>
      </c>
      <c r="G19" s="38" t="n">
        <f aca="false">Options!P10+C19*((D19-CityData!C5)*FFAC+(E19-CityData!F5)*NIGHTS*(1+TAXRATE)+F19-Options!H10)</f>
        <v>33574.32</v>
      </c>
      <c r="H19" s="38" t="n">
        <f aca="false">D19*C19*FFAC</f>
        <v>10404</v>
      </c>
      <c r="I19" s="41"/>
      <c r="J19" s="38" t="n">
        <f aca="false">SUM(G19,I19)</f>
        <v>33574.32</v>
      </c>
      <c r="K19" s="38" t="n">
        <f aca="false">J19*(1+RESRATE)</f>
        <v>35253.036</v>
      </c>
      <c r="L19" s="38" t="n">
        <f aca="false">(J19+0.2*H19)*(1+RESRATE)</f>
        <v>37437.876</v>
      </c>
      <c r="M19" s="37" t="n">
        <f aca="false">IF(AND(NIGHTS&gt;0,COUNTIFS(MIE_Daily!$A$2:$A$367,"&gt;="&amp;Parameters!$B$13,MIE_Daily!$A$2:$A$367,"&lt;"&amp;Parameters!$B$14,MIE_Daily!$X$2:$X$367,"&lt;"&amp;E19)=0),1,0)</f>
        <v>1</v>
      </c>
      <c r="N19" s="38" t="n">
        <f aca="false">Options!S10</f>
        <v>1</v>
      </c>
      <c r="O19" s="42" t="n">
        <v>0</v>
      </c>
      <c r="P19" s="42" t="n">
        <v>0</v>
      </c>
      <c r="Q19" s="37" t="n">
        <f aca="false">IF(AND(M19=1,N19=1,O19=1,P19=1,K19&lt;=CEILING,Parameters!$B$36="VALID DATE STRUCTURE"),1,0)</f>
        <v>0</v>
      </c>
      <c r="R19" s="37" t="n">
        <f aca="false">IF(AND(M19=1,N19=1,K19&lt;=CEILING,Parameters!$B$36="VALID DATE STRUCTURE"),1,0)</f>
        <v>1</v>
      </c>
      <c r="S19" s="37" t="n">
        <f aca="false">IF(Q19=0,99999,1+SUMPRODUCT($Q$2:$Q$45,--($C$2:$C$45&gt;C19))+SUMPRODUCT($Q$2:$Q$45,--($C$2:$C$45=C19),--($K$2:$K$45&lt;K19))+SUMPRODUCT($Q$2:$Q$45,--($C$2:$C$45=C19),--($K$2:$K$45=K19),--($B$2:$B$45&lt;B19))+SUMPRODUCT($Q$2:$Q$45,--($C$2:$C$45=C19),--($K$2:$K$45=K19),--($B$2:$B$45=B19),--($A$2:$A$45&lt;A19)))</f>
        <v>99999</v>
      </c>
      <c r="T19" s="37" t="n">
        <f aca="false">IF(R19=0,99999,1+SUMPRODUCT($R$2:$R$45,--($C$2:$C$45&gt;C19))+SUMPRODUCT($R$2:$R$45,--($C$2:$C$45=C19),--($K$2:$K$45&lt;K19))+SUMPRODUCT($R$2:$R$45,--($C$2:$C$45=C19),--($K$2:$K$45=K19),--($B$2:$B$45&lt;B19))+SUMPRODUCT($R$2:$R$45,--($C$2:$C$45=C19),--($K$2:$K$45=K19),--($B$2:$B$45=B19),--($A$2:$A$45&lt;A19)))</f>
        <v>33</v>
      </c>
      <c r="U19" s="38" t="n">
        <f aca="false">CEILING/(1+RESRATE)-G19</f>
        <v>16901.8704761905</v>
      </c>
      <c r="V19" s="38" t="n">
        <f aca="false">U19-0.2*H19</f>
        <v>14821.0704761905</v>
      </c>
      <c r="W19" s="37" t="s">
        <v>1152</v>
      </c>
    </row>
    <row r="20" customFormat="false" ht="39" hidden="false" customHeight="true" outlineLevel="0" collapsed="false">
      <c r="A20" s="37" t="s">
        <v>1153</v>
      </c>
      <c r="B20" s="37" t="s">
        <v>65</v>
      </c>
      <c r="C20" s="37" t="n">
        <v>24</v>
      </c>
      <c r="D20" s="38" t="n">
        <f aca="false">Joint_Alternatives!D10</f>
        <v>578</v>
      </c>
      <c r="E20" s="38" t="n">
        <f aca="false">Joint_Alternatives!E10</f>
        <v>112</v>
      </c>
      <c r="F20" s="38" t="n">
        <f aca="false">Joint_Alternatives!F10</f>
        <v>220</v>
      </c>
      <c r="G20" s="38" t="n">
        <f aca="false">Options!P9+C20*((D20-CityData!C5)*FFAC+(E20-CityData!F5)*NIGHTS*(1+TAXRATE)+F20-Options!H9)</f>
        <v>44658.24</v>
      </c>
      <c r="H20" s="38" t="n">
        <f aca="false">D20*C20*FFAC</f>
        <v>13872</v>
      </c>
      <c r="I20" s="41"/>
      <c r="J20" s="38" t="n">
        <f aca="false">SUM(G20,I20)</f>
        <v>44658.24</v>
      </c>
      <c r="K20" s="38" t="n">
        <f aca="false">J20*(1+RESRATE)</f>
        <v>46891.152</v>
      </c>
      <c r="L20" s="38" t="n">
        <f aca="false">(J20+0.2*H20)*(1+RESRATE)</f>
        <v>49804.272</v>
      </c>
      <c r="M20" s="37" t="n">
        <f aca="false">IF(AND(NIGHTS&gt;0,COUNTIFS(MIE_Daily!$A$2:$A$367,"&gt;="&amp;Parameters!$B$13,MIE_Daily!$A$2:$A$367,"&lt;"&amp;Parameters!$B$14,MIE_Daily!$X$2:$X$367,"&lt;"&amp;E20)=0),1,0)</f>
        <v>1</v>
      </c>
      <c r="N20" s="38" t="n">
        <f aca="false">Options!S9</f>
        <v>1</v>
      </c>
      <c r="O20" s="42" t="n">
        <v>0</v>
      </c>
      <c r="P20" s="42" t="n">
        <v>0</v>
      </c>
      <c r="Q20" s="37" t="n">
        <f aca="false">IF(AND(M20=1,N20=1,O20=1,P20=1,K20&lt;=CEILING,Parameters!$B$36="VALID DATE STRUCTURE"),1,0)</f>
        <v>0</v>
      </c>
      <c r="R20" s="37" t="n">
        <f aca="false">IF(AND(M20=1,N20=1,K20&lt;=CEILING,Parameters!$B$36="VALID DATE STRUCTURE"),1,0)</f>
        <v>1</v>
      </c>
      <c r="S20" s="37" t="n">
        <f aca="false">IF(Q20=0,99999,1+SUMPRODUCT($Q$2:$Q$45,--($C$2:$C$45&gt;C20))+SUMPRODUCT($Q$2:$Q$45,--($C$2:$C$45=C20),--($K$2:$K$45&lt;K20))+SUMPRODUCT($Q$2:$Q$45,--($C$2:$C$45=C20),--($K$2:$K$45=K20),--($B$2:$B$45&lt;B20))+SUMPRODUCT($Q$2:$Q$45,--($C$2:$C$45=C20),--($K$2:$K$45=K20),--($B$2:$B$45=B20),--($A$2:$A$45&lt;A20)))</f>
        <v>99999</v>
      </c>
      <c r="T20" s="37" t="n">
        <f aca="false">IF(R20=0,99999,1+SUMPRODUCT($R$2:$R$45,--($C$2:$C$45&gt;C20))+SUMPRODUCT($R$2:$R$45,--($C$2:$C$45=C20),--($K$2:$K$45&lt;K20))+SUMPRODUCT($R$2:$R$45,--($C$2:$C$45=C20),--($K$2:$K$45=K20),--($B$2:$B$45&lt;B20))+SUMPRODUCT($R$2:$R$45,--($C$2:$C$45=C20),--($K$2:$K$45=K20),--($B$2:$B$45=B20),--($A$2:$A$45&lt;A20)))</f>
        <v>14</v>
      </c>
      <c r="U20" s="38" t="n">
        <f aca="false">CEILING/(1+RESRATE)-G20</f>
        <v>5817.95047619047</v>
      </c>
      <c r="V20" s="38" t="n">
        <f aca="false">U20-0.2*H20</f>
        <v>3043.55047619047</v>
      </c>
      <c r="W20" s="37" t="s">
        <v>1154</v>
      </c>
    </row>
    <row r="21" customFormat="false" ht="39" hidden="false" customHeight="true" outlineLevel="0" collapsed="false">
      <c r="A21" s="37" t="s">
        <v>1155</v>
      </c>
      <c r="B21" s="37" t="s">
        <v>65</v>
      </c>
      <c r="C21" s="37" t="n">
        <v>18</v>
      </c>
      <c r="D21" s="38" t="n">
        <f aca="false">Joint_Alternatives!D11</f>
        <v>578</v>
      </c>
      <c r="E21" s="38" t="n">
        <f aca="false">Joint_Alternatives!E11</f>
        <v>112</v>
      </c>
      <c r="F21" s="38" t="n">
        <f aca="false">Joint_Alternatives!F11</f>
        <v>220</v>
      </c>
      <c r="G21" s="38" t="n">
        <f aca="false">Options!P10+C21*((D21-CityData!C5)*FFAC+(E21-CityData!F5)*NIGHTS*(1+TAXRATE)+F21-Options!H10)</f>
        <v>33493.68</v>
      </c>
      <c r="H21" s="38" t="n">
        <f aca="false">D21*C21*FFAC</f>
        <v>10404</v>
      </c>
      <c r="I21" s="41"/>
      <c r="J21" s="38" t="n">
        <f aca="false">SUM(G21,I21)</f>
        <v>33493.68</v>
      </c>
      <c r="K21" s="38" t="n">
        <f aca="false">J21*(1+RESRATE)</f>
        <v>35168.364</v>
      </c>
      <c r="L21" s="38" t="n">
        <f aca="false">(J21+0.2*H21)*(1+RESRATE)</f>
        <v>37353.204</v>
      </c>
      <c r="M21" s="37" t="n">
        <f aca="false">IF(AND(NIGHTS&gt;0,COUNTIFS(MIE_Daily!$A$2:$A$367,"&gt;="&amp;Parameters!$B$13,MIE_Daily!$A$2:$A$367,"&lt;"&amp;Parameters!$B$14,MIE_Daily!$X$2:$X$367,"&lt;"&amp;E21)=0),1,0)</f>
        <v>1</v>
      </c>
      <c r="N21" s="38" t="n">
        <f aca="false">Options!S10</f>
        <v>1</v>
      </c>
      <c r="O21" s="42" t="n">
        <v>0</v>
      </c>
      <c r="P21" s="42" t="n">
        <v>0</v>
      </c>
      <c r="Q21" s="37" t="n">
        <f aca="false">IF(AND(M21=1,N21=1,O21=1,P21=1,K21&lt;=CEILING,Parameters!$B$36="VALID DATE STRUCTURE"),1,0)</f>
        <v>0</v>
      </c>
      <c r="R21" s="37" t="n">
        <f aca="false">IF(AND(M21=1,N21=1,K21&lt;=CEILING,Parameters!$B$36="VALID DATE STRUCTURE"),1,0)</f>
        <v>1</v>
      </c>
      <c r="S21" s="37" t="n">
        <f aca="false">IF(Q21=0,99999,1+SUMPRODUCT($Q$2:$Q$45,--($C$2:$C$45&gt;C21))+SUMPRODUCT($Q$2:$Q$45,--($C$2:$C$45=C21),--($K$2:$K$45&lt;K21))+SUMPRODUCT($Q$2:$Q$45,--($C$2:$C$45=C21),--($K$2:$K$45=K21),--($B$2:$B$45&lt;B21))+SUMPRODUCT($Q$2:$Q$45,--($C$2:$C$45=C21),--($K$2:$K$45=K21),--($B$2:$B$45=B21),--($A$2:$A$45&lt;A21)))</f>
        <v>99999</v>
      </c>
      <c r="T21" s="37" t="n">
        <f aca="false">IF(R21=0,99999,1+SUMPRODUCT($R$2:$R$45,--($C$2:$C$45&gt;C21))+SUMPRODUCT($R$2:$R$45,--($C$2:$C$45=C21),--($K$2:$K$45&lt;K21))+SUMPRODUCT($R$2:$R$45,--($C$2:$C$45=C21),--($K$2:$K$45=K21),--($B$2:$B$45&lt;B21))+SUMPRODUCT($R$2:$R$45,--($C$2:$C$45=C21),--($K$2:$K$45=K21),--($B$2:$B$45=B21),--($A$2:$A$45&lt;A21)))</f>
        <v>32</v>
      </c>
      <c r="U21" s="38" t="n">
        <f aca="false">CEILING/(1+RESRATE)-G21</f>
        <v>16982.5104761905</v>
      </c>
      <c r="V21" s="38" t="n">
        <f aca="false">U21-0.2*H21</f>
        <v>14901.7104761905</v>
      </c>
      <c r="W21" s="37" t="s">
        <v>1156</v>
      </c>
    </row>
    <row r="22" customFormat="false" ht="39" hidden="false" customHeight="true" outlineLevel="0" collapsed="false">
      <c r="A22" s="37" t="s">
        <v>1157</v>
      </c>
      <c r="B22" s="37" t="s">
        <v>65</v>
      </c>
      <c r="C22" s="37" t="n">
        <v>24</v>
      </c>
      <c r="D22" s="38" t="n">
        <f aca="false">Joint_Alternatives!D12</f>
        <v>741</v>
      </c>
      <c r="E22" s="38" t="n">
        <f aca="false">Joint_Alternatives!E12</f>
        <v>109</v>
      </c>
      <c r="F22" s="38" t="n">
        <f aca="false">Joint_Alternatives!F12</f>
        <v>140</v>
      </c>
      <c r="G22" s="38" t="n">
        <f aca="false">Options!P9+C22*((D22-CityData!C5)*FFAC+(E22-CityData!F5)*NIGHTS*(1+TAXRATE)+F22-Options!H9)</f>
        <v>46327.68</v>
      </c>
      <c r="H22" s="38" t="n">
        <f aca="false">D22*C22*FFAC</f>
        <v>17784</v>
      </c>
      <c r="I22" s="41"/>
      <c r="J22" s="38" t="n">
        <f aca="false">SUM(G22,I22)</f>
        <v>46327.68</v>
      </c>
      <c r="K22" s="38" t="n">
        <f aca="false">J22*(1+RESRATE)</f>
        <v>48644.064</v>
      </c>
      <c r="L22" s="38" t="n">
        <f aca="false">(J22+0.2*H22)*(1+RESRATE)</f>
        <v>52378.704</v>
      </c>
      <c r="M22" s="37" t="n">
        <f aca="false">IF(AND(NIGHTS&gt;0,COUNTIFS(MIE_Daily!$A$2:$A$367,"&gt;="&amp;Parameters!$B$13,MIE_Daily!$A$2:$A$367,"&lt;"&amp;Parameters!$B$14,MIE_Daily!$X$2:$X$367,"&lt;"&amp;E22)=0),1,0)</f>
        <v>1</v>
      </c>
      <c r="N22" s="38" t="n">
        <f aca="false">Options!S9</f>
        <v>1</v>
      </c>
      <c r="O22" s="42" t="n">
        <v>0</v>
      </c>
      <c r="P22" s="42" t="n">
        <v>0</v>
      </c>
      <c r="Q22" s="37" t="n">
        <f aca="false">IF(AND(M22=1,N22=1,O22=1,P22=1,K22&lt;=CEILING,Parameters!$B$36="VALID DATE STRUCTURE"),1,0)</f>
        <v>0</v>
      </c>
      <c r="R22" s="37" t="n">
        <f aca="false">IF(AND(M22=1,N22=1,K22&lt;=CEILING,Parameters!$B$36="VALID DATE STRUCTURE"),1,0)</f>
        <v>1</v>
      </c>
      <c r="S22" s="37" t="n">
        <f aca="false">IF(Q22=0,99999,1+SUMPRODUCT($Q$2:$Q$45,--($C$2:$C$45&gt;C22))+SUMPRODUCT($Q$2:$Q$45,--($C$2:$C$45=C22),--($K$2:$K$45&lt;K22))+SUMPRODUCT($Q$2:$Q$45,--($C$2:$C$45=C22),--($K$2:$K$45=K22),--($B$2:$B$45&lt;B22))+SUMPRODUCT($Q$2:$Q$45,--($C$2:$C$45=C22),--($K$2:$K$45=K22),--($B$2:$B$45=B22),--($A$2:$A$45&lt;A22)))</f>
        <v>99999</v>
      </c>
      <c r="T22" s="37" t="n">
        <f aca="false">IF(R22=0,99999,1+SUMPRODUCT($R$2:$R$45,--($C$2:$C$45&gt;C22))+SUMPRODUCT($R$2:$R$45,--($C$2:$C$45=C22),--($K$2:$K$45&lt;K22))+SUMPRODUCT($R$2:$R$45,--($C$2:$C$45=C22),--($K$2:$K$45=K22),--($B$2:$B$45&lt;B22))+SUMPRODUCT($R$2:$R$45,--($C$2:$C$45=C22),--($K$2:$K$45=K22),--($B$2:$B$45=B22),--($A$2:$A$45&lt;A22)))</f>
        <v>18</v>
      </c>
      <c r="U22" s="38" t="n">
        <f aca="false">CEILING/(1+RESRATE)-G22</f>
        <v>4148.51047619047</v>
      </c>
      <c r="V22" s="38" t="n">
        <f aca="false">U22-0.2*H22</f>
        <v>591.710476190466</v>
      </c>
      <c r="W22" s="37" t="s">
        <v>1158</v>
      </c>
    </row>
    <row r="23" customFormat="false" ht="39" hidden="false" customHeight="true" outlineLevel="0" collapsed="false">
      <c r="A23" s="37" t="s">
        <v>1159</v>
      </c>
      <c r="B23" s="37" t="s">
        <v>65</v>
      </c>
      <c r="C23" s="37" t="n">
        <v>18</v>
      </c>
      <c r="D23" s="38" t="n">
        <f aca="false">Joint_Alternatives!D13</f>
        <v>741</v>
      </c>
      <c r="E23" s="38" t="n">
        <f aca="false">Joint_Alternatives!E13</f>
        <v>109</v>
      </c>
      <c r="F23" s="38" t="n">
        <f aca="false">Joint_Alternatives!F13</f>
        <v>140</v>
      </c>
      <c r="G23" s="38" t="n">
        <f aca="false">Options!P10+C23*((D23-CityData!C5)*FFAC+(E23-CityData!F5)*NIGHTS*(1+TAXRATE)+F23-Options!H10)</f>
        <v>34745.76</v>
      </c>
      <c r="H23" s="38" t="n">
        <f aca="false">D23*C23*FFAC</f>
        <v>13338</v>
      </c>
      <c r="I23" s="41"/>
      <c r="J23" s="38" t="n">
        <f aca="false">SUM(G23,I23)</f>
        <v>34745.76</v>
      </c>
      <c r="K23" s="38" t="n">
        <f aca="false">J23*(1+RESRATE)</f>
        <v>36483.048</v>
      </c>
      <c r="L23" s="38" t="n">
        <f aca="false">(J23+0.2*H23)*(1+RESRATE)</f>
        <v>39284.028</v>
      </c>
      <c r="M23" s="37" t="n">
        <f aca="false">IF(AND(NIGHTS&gt;0,COUNTIFS(MIE_Daily!$A$2:$A$367,"&gt;="&amp;Parameters!$B$13,MIE_Daily!$A$2:$A$367,"&lt;"&amp;Parameters!$B$14,MIE_Daily!$X$2:$X$367,"&lt;"&amp;E23)=0),1,0)</f>
        <v>1</v>
      </c>
      <c r="N23" s="38" t="n">
        <f aca="false">Options!S10</f>
        <v>1</v>
      </c>
      <c r="O23" s="42" t="n">
        <v>0</v>
      </c>
      <c r="P23" s="42" t="n">
        <v>0</v>
      </c>
      <c r="Q23" s="37" t="n">
        <f aca="false">IF(AND(M23=1,N23=1,O23=1,P23=1,K23&lt;=CEILING,Parameters!$B$36="VALID DATE STRUCTURE"),1,0)</f>
        <v>0</v>
      </c>
      <c r="R23" s="37" t="n">
        <f aca="false">IF(AND(M23=1,N23=1,K23&lt;=CEILING,Parameters!$B$36="VALID DATE STRUCTURE"),1,0)</f>
        <v>1</v>
      </c>
      <c r="S23" s="37" t="n">
        <f aca="false">IF(Q23=0,99999,1+SUMPRODUCT($Q$2:$Q$45,--($C$2:$C$45&gt;C23))+SUMPRODUCT($Q$2:$Q$45,--($C$2:$C$45=C23),--($K$2:$K$45&lt;K23))+SUMPRODUCT($Q$2:$Q$45,--($C$2:$C$45=C23),--($K$2:$K$45=K23),--($B$2:$B$45&lt;B23))+SUMPRODUCT($Q$2:$Q$45,--($C$2:$C$45=C23),--($K$2:$K$45=K23),--($B$2:$B$45=B23),--($A$2:$A$45&lt;A23)))</f>
        <v>99999</v>
      </c>
      <c r="T23" s="37" t="n">
        <f aca="false">IF(R23=0,99999,1+SUMPRODUCT($R$2:$R$45,--($C$2:$C$45&gt;C23))+SUMPRODUCT($R$2:$R$45,--($C$2:$C$45=C23),--($K$2:$K$45&lt;K23))+SUMPRODUCT($R$2:$R$45,--($C$2:$C$45=C23),--($K$2:$K$45=K23),--($B$2:$B$45&lt;B23))+SUMPRODUCT($R$2:$R$45,--($C$2:$C$45=C23),--($K$2:$K$45=K23),--($B$2:$B$45=B23),--($A$2:$A$45&lt;A23)))</f>
        <v>36</v>
      </c>
      <c r="U23" s="38" t="n">
        <f aca="false">CEILING/(1+RESRATE)-G23</f>
        <v>15730.4304761905</v>
      </c>
      <c r="V23" s="38" t="n">
        <f aca="false">U23-0.2*H23</f>
        <v>13062.8304761905</v>
      </c>
      <c r="W23" s="37" t="s">
        <v>1160</v>
      </c>
    </row>
    <row r="24" customFormat="false" ht="39" hidden="false" customHeight="true" outlineLevel="0" collapsed="false">
      <c r="A24" s="37" t="s">
        <v>1161</v>
      </c>
      <c r="B24" s="37" t="s">
        <v>70</v>
      </c>
      <c r="C24" s="37" t="n">
        <v>24</v>
      </c>
      <c r="D24" s="38" t="n">
        <f aca="false">Joint_Alternatives!D14</f>
        <v>499</v>
      </c>
      <c r="E24" s="38" t="n">
        <f aca="false">Joint_Alternatives!E14</f>
        <v>126</v>
      </c>
      <c r="F24" s="38" t="n">
        <f aca="false">Joint_Alternatives!F14</f>
        <v>210</v>
      </c>
      <c r="G24" s="38" t="n">
        <f aca="false">Options!P11+C24*((D24-CityData!C6)*FFAC+(E24-CityData!F6)*NIGHTS*(1+TAXRATE)+F24-Options!H11)</f>
        <v>43595.52</v>
      </c>
      <c r="H24" s="38" t="n">
        <f aca="false">D24*C24*FFAC</f>
        <v>11976</v>
      </c>
      <c r="I24" s="41"/>
      <c r="J24" s="38" t="n">
        <f aca="false">SUM(G24,I24)</f>
        <v>43595.52</v>
      </c>
      <c r="K24" s="38" t="n">
        <f aca="false">J24*(1+RESRATE)</f>
        <v>45775.296</v>
      </c>
      <c r="L24" s="38" t="n">
        <f aca="false">(J24+0.2*H24)*(1+RESRATE)</f>
        <v>48290.256</v>
      </c>
      <c r="M24" s="37" t="n">
        <f aca="false">IF(AND(NIGHTS&gt;0,COUNTIFS(MIE_Daily!$A$2:$A$367,"&gt;="&amp;Parameters!$B$13,MIE_Daily!$A$2:$A$367,"&lt;"&amp;Parameters!$B$14,MIE_Daily!$AF$2:$AF$367,"&lt;"&amp;E24)=0),1,0)</f>
        <v>1</v>
      </c>
      <c r="N24" s="38" t="n">
        <f aca="false">Options!S11</f>
        <v>1</v>
      </c>
      <c r="O24" s="42" t="n">
        <v>0</v>
      </c>
      <c r="P24" s="42" t="n">
        <v>0</v>
      </c>
      <c r="Q24" s="37" t="n">
        <f aca="false">IF(AND(M24=1,N24=1,O24=1,P24=1,K24&lt;=CEILING,Parameters!$B$36="VALID DATE STRUCTURE"),1,0)</f>
        <v>0</v>
      </c>
      <c r="R24" s="37" t="n">
        <f aca="false">IF(AND(M24=1,N24=1,K24&lt;=CEILING,Parameters!$B$36="VALID DATE STRUCTURE"),1,0)</f>
        <v>1</v>
      </c>
      <c r="S24" s="37" t="n">
        <f aca="false">IF(Q24=0,99999,1+SUMPRODUCT($Q$2:$Q$45,--($C$2:$C$45&gt;C24))+SUMPRODUCT($Q$2:$Q$45,--($C$2:$C$45=C24),--($K$2:$K$45&lt;K24))+SUMPRODUCT($Q$2:$Q$45,--($C$2:$C$45=C24),--($K$2:$K$45=K24),--($B$2:$B$45&lt;B24))+SUMPRODUCT($Q$2:$Q$45,--($C$2:$C$45=C24),--($K$2:$K$45=K24),--($B$2:$B$45=B24),--($A$2:$A$45&lt;A24)))</f>
        <v>99999</v>
      </c>
      <c r="T24" s="37" t="n">
        <f aca="false">IF(R24=0,99999,1+SUMPRODUCT($R$2:$R$45,--($C$2:$C$45&gt;C24))+SUMPRODUCT($R$2:$R$45,--($C$2:$C$45=C24),--($K$2:$K$45&lt;K24))+SUMPRODUCT($R$2:$R$45,--($C$2:$C$45=C24),--($K$2:$K$45=K24),--($B$2:$B$45&lt;B24))+SUMPRODUCT($R$2:$R$45,--($C$2:$C$45=C24),--($K$2:$K$45=K24),--($B$2:$B$45=B24),--($A$2:$A$45&lt;A24)))</f>
        <v>9</v>
      </c>
      <c r="U24" s="38" t="n">
        <f aca="false">CEILING/(1+RESRATE)-G24</f>
        <v>6880.67047619048</v>
      </c>
      <c r="V24" s="38" t="n">
        <f aca="false">U24-0.2*H24</f>
        <v>4485.47047619048</v>
      </c>
      <c r="W24" s="37" t="s">
        <v>1162</v>
      </c>
    </row>
    <row r="25" customFormat="false" ht="39" hidden="false" customHeight="true" outlineLevel="0" collapsed="false">
      <c r="A25" s="37" t="s">
        <v>1163</v>
      </c>
      <c r="B25" s="37" t="s">
        <v>70</v>
      </c>
      <c r="C25" s="37" t="n">
        <v>18</v>
      </c>
      <c r="D25" s="38" t="n">
        <f aca="false">Joint_Alternatives!D15</f>
        <v>499</v>
      </c>
      <c r="E25" s="38" t="n">
        <f aca="false">Joint_Alternatives!E15</f>
        <v>126</v>
      </c>
      <c r="F25" s="38" t="n">
        <f aca="false">Joint_Alternatives!F15</f>
        <v>210</v>
      </c>
      <c r="G25" s="38" t="n">
        <f aca="false">Options!P12+C25*((D25-CityData!C6)*FFAC+(E25-CityData!F6)*NIGHTS*(1+TAXRATE)+F25-Options!H12)</f>
        <v>32696.64</v>
      </c>
      <c r="H25" s="38" t="n">
        <f aca="false">D25*C25*FFAC</f>
        <v>8982</v>
      </c>
      <c r="I25" s="41"/>
      <c r="J25" s="38" t="n">
        <f aca="false">SUM(G25,I25)</f>
        <v>32696.64</v>
      </c>
      <c r="K25" s="38" t="n">
        <f aca="false">J25*(1+RESRATE)</f>
        <v>34331.472</v>
      </c>
      <c r="L25" s="38" t="n">
        <f aca="false">(J25+0.2*H25)*(1+RESRATE)</f>
        <v>36217.692</v>
      </c>
      <c r="M25" s="37" t="n">
        <f aca="false">IF(AND(NIGHTS&gt;0,COUNTIFS(MIE_Daily!$A$2:$A$367,"&gt;="&amp;Parameters!$B$13,MIE_Daily!$A$2:$A$367,"&lt;"&amp;Parameters!$B$14,MIE_Daily!$AF$2:$AF$367,"&lt;"&amp;E25)=0),1,0)</f>
        <v>1</v>
      </c>
      <c r="N25" s="38" t="n">
        <f aca="false">Options!S12</f>
        <v>1</v>
      </c>
      <c r="O25" s="42" t="n">
        <v>0</v>
      </c>
      <c r="P25" s="42" t="n">
        <v>0</v>
      </c>
      <c r="Q25" s="37" t="n">
        <f aca="false">IF(AND(M25=1,N25=1,O25=1,P25=1,K25&lt;=CEILING,Parameters!$B$36="VALID DATE STRUCTURE"),1,0)</f>
        <v>0</v>
      </c>
      <c r="R25" s="37" t="n">
        <f aca="false">IF(AND(M25=1,N25=1,K25&lt;=CEILING,Parameters!$B$36="VALID DATE STRUCTURE"),1,0)</f>
        <v>1</v>
      </c>
      <c r="S25" s="37" t="n">
        <f aca="false">IF(Q25=0,99999,1+SUMPRODUCT($Q$2:$Q$45,--($C$2:$C$45&gt;C25))+SUMPRODUCT($Q$2:$Q$45,--($C$2:$C$45=C25),--($K$2:$K$45&lt;K25))+SUMPRODUCT($Q$2:$Q$45,--($C$2:$C$45=C25),--($K$2:$K$45=K25),--($B$2:$B$45&lt;B25))+SUMPRODUCT($Q$2:$Q$45,--($C$2:$C$45=C25),--($K$2:$K$45=K25),--($B$2:$B$45=B25),--($A$2:$A$45&lt;A25)))</f>
        <v>99999</v>
      </c>
      <c r="T25" s="37" t="n">
        <f aca="false">IF(R25=0,99999,1+SUMPRODUCT($R$2:$R$45,--($C$2:$C$45&gt;C25))+SUMPRODUCT($R$2:$R$45,--($C$2:$C$45=C25),--($K$2:$K$45&lt;K25))+SUMPRODUCT($R$2:$R$45,--($C$2:$C$45=C25),--($K$2:$K$45=K25),--($B$2:$B$45&lt;B25))+SUMPRODUCT($R$2:$R$45,--($C$2:$C$45=C25),--($K$2:$K$45=K25),--($B$2:$B$45=B25),--($A$2:$A$45&lt;A25)))</f>
        <v>27</v>
      </c>
      <c r="U25" s="38" t="n">
        <f aca="false">CEILING/(1+RESRATE)-G25</f>
        <v>17779.5504761905</v>
      </c>
      <c r="V25" s="38" t="n">
        <f aca="false">U25-0.2*H25</f>
        <v>15983.1504761905</v>
      </c>
      <c r="W25" s="37" t="s">
        <v>1164</v>
      </c>
    </row>
    <row r="26" customFormat="false" ht="39" hidden="false" customHeight="true" outlineLevel="0" collapsed="false">
      <c r="A26" s="37" t="s">
        <v>1165</v>
      </c>
      <c r="B26" s="37" t="s">
        <v>70</v>
      </c>
      <c r="C26" s="37" t="n">
        <v>24</v>
      </c>
      <c r="D26" s="38" t="n">
        <f aca="false">Joint_Alternatives!D16</f>
        <v>499</v>
      </c>
      <c r="E26" s="38" t="n">
        <f aca="false">Joint_Alternatives!E16</f>
        <v>127</v>
      </c>
      <c r="F26" s="38" t="n">
        <f aca="false">Joint_Alternatives!F16</f>
        <v>210</v>
      </c>
      <c r="G26" s="38" t="n">
        <f aca="false">Options!P11+C26*((D26-CityData!C6)*FFAC+(E26-CityData!F6)*NIGHTS*(1+TAXRATE)+F26-Options!H11)</f>
        <v>43703.04</v>
      </c>
      <c r="H26" s="38" t="n">
        <f aca="false">D26*C26*FFAC</f>
        <v>11976</v>
      </c>
      <c r="I26" s="41"/>
      <c r="J26" s="38" t="n">
        <f aca="false">SUM(G26,I26)</f>
        <v>43703.04</v>
      </c>
      <c r="K26" s="38" t="n">
        <f aca="false">J26*(1+RESRATE)</f>
        <v>45888.192</v>
      </c>
      <c r="L26" s="38" t="n">
        <f aca="false">(J26+0.2*H26)*(1+RESRATE)</f>
        <v>48403.152</v>
      </c>
      <c r="M26" s="37" t="n">
        <f aca="false">IF(AND(NIGHTS&gt;0,COUNTIFS(MIE_Daily!$A$2:$A$367,"&gt;="&amp;Parameters!$B$13,MIE_Daily!$A$2:$A$367,"&lt;"&amp;Parameters!$B$14,MIE_Daily!$AF$2:$AF$367,"&lt;"&amp;E26)=0),1,0)</f>
        <v>1</v>
      </c>
      <c r="N26" s="38" t="n">
        <f aca="false">Options!S11</f>
        <v>1</v>
      </c>
      <c r="O26" s="42" t="n">
        <v>0</v>
      </c>
      <c r="P26" s="42" t="n">
        <v>0</v>
      </c>
      <c r="Q26" s="37" t="n">
        <f aca="false">IF(AND(M26=1,N26=1,O26=1,P26=1,K26&lt;=CEILING,Parameters!$B$36="VALID DATE STRUCTURE"),1,0)</f>
        <v>0</v>
      </c>
      <c r="R26" s="37" t="n">
        <f aca="false">IF(AND(M26=1,N26=1,K26&lt;=CEILING,Parameters!$B$36="VALID DATE STRUCTURE"),1,0)</f>
        <v>1</v>
      </c>
      <c r="S26" s="37" t="n">
        <f aca="false">IF(Q26=0,99999,1+SUMPRODUCT($Q$2:$Q$45,--($C$2:$C$45&gt;C26))+SUMPRODUCT($Q$2:$Q$45,--($C$2:$C$45=C26),--($K$2:$K$45&lt;K26))+SUMPRODUCT($Q$2:$Q$45,--($C$2:$C$45=C26),--($K$2:$K$45=K26),--($B$2:$B$45&lt;B26))+SUMPRODUCT($Q$2:$Q$45,--($C$2:$C$45=C26),--($K$2:$K$45=K26),--($B$2:$B$45=B26),--($A$2:$A$45&lt;A26)))</f>
        <v>99999</v>
      </c>
      <c r="T26" s="37" t="n">
        <f aca="false">IF(R26=0,99999,1+SUMPRODUCT($R$2:$R$45,--($C$2:$C$45&gt;C26))+SUMPRODUCT($R$2:$R$45,--($C$2:$C$45=C26),--($K$2:$K$45&lt;K26))+SUMPRODUCT($R$2:$R$45,--($C$2:$C$45=C26),--($K$2:$K$45=K26),--($B$2:$B$45&lt;B26))+SUMPRODUCT($R$2:$R$45,--($C$2:$C$45=C26),--($K$2:$K$45=K26),--($B$2:$B$45=B26),--($A$2:$A$45&lt;A26)))</f>
        <v>11</v>
      </c>
      <c r="U26" s="38" t="n">
        <f aca="false">CEILING/(1+RESRATE)-G26</f>
        <v>6773.15047619047</v>
      </c>
      <c r="V26" s="38" t="n">
        <f aca="false">U26-0.2*H26</f>
        <v>4377.95047619047</v>
      </c>
      <c r="W26" s="37" t="s">
        <v>1166</v>
      </c>
    </row>
    <row r="27" customFormat="false" ht="39" hidden="false" customHeight="true" outlineLevel="0" collapsed="false">
      <c r="A27" s="37" t="s">
        <v>1167</v>
      </c>
      <c r="B27" s="37" t="s">
        <v>70</v>
      </c>
      <c r="C27" s="37" t="n">
        <v>18</v>
      </c>
      <c r="D27" s="38" t="n">
        <f aca="false">Joint_Alternatives!D17</f>
        <v>499</v>
      </c>
      <c r="E27" s="38" t="n">
        <f aca="false">Joint_Alternatives!E17</f>
        <v>127</v>
      </c>
      <c r="F27" s="38" t="n">
        <f aca="false">Joint_Alternatives!F17</f>
        <v>210</v>
      </c>
      <c r="G27" s="38" t="n">
        <f aca="false">Options!P12+C27*((D27-CityData!C6)*FFAC+(E27-CityData!F6)*NIGHTS*(1+TAXRATE)+F27-Options!H12)</f>
        <v>32777.28</v>
      </c>
      <c r="H27" s="38" t="n">
        <f aca="false">D27*C27*FFAC</f>
        <v>8982</v>
      </c>
      <c r="I27" s="41"/>
      <c r="J27" s="38" t="n">
        <f aca="false">SUM(G27,I27)</f>
        <v>32777.28</v>
      </c>
      <c r="K27" s="38" t="n">
        <f aca="false">J27*(1+RESRATE)</f>
        <v>34416.144</v>
      </c>
      <c r="L27" s="38" t="n">
        <f aca="false">(J27+0.2*H27)*(1+RESRATE)</f>
        <v>36302.364</v>
      </c>
      <c r="M27" s="37" t="n">
        <f aca="false">IF(AND(NIGHTS&gt;0,COUNTIFS(MIE_Daily!$A$2:$A$367,"&gt;="&amp;Parameters!$B$13,MIE_Daily!$A$2:$A$367,"&lt;"&amp;Parameters!$B$14,MIE_Daily!$AF$2:$AF$367,"&lt;"&amp;E27)=0),1,0)</f>
        <v>1</v>
      </c>
      <c r="N27" s="38" t="n">
        <f aca="false">Options!S12</f>
        <v>1</v>
      </c>
      <c r="O27" s="42" t="n">
        <v>0</v>
      </c>
      <c r="P27" s="42" t="n">
        <v>0</v>
      </c>
      <c r="Q27" s="37" t="n">
        <f aca="false">IF(AND(M27=1,N27=1,O27=1,P27=1,K27&lt;=CEILING,Parameters!$B$36="VALID DATE STRUCTURE"),1,0)</f>
        <v>0</v>
      </c>
      <c r="R27" s="37" t="n">
        <f aca="false">IF(AND(M27=1,N27=1,K27&lt;=CEILING,Parameters!$B$36="VALID DATE STRUCTURE"),1,0)</f>
        <v>1</v>
      </c>
      <c r="S27" s="37" t="n">
        <f aca="false">IF(Q27=0,99999,1+SUMPRODUCT($Q$2:$Q$45,--($C$2:$C$45&gt;C27))+SUMPRODUCT($Q$2:$Q$45,--($C$2:$C$45=C27),--($K$2:$K$45&lt;K27))+SUMPRODUCT($Q$2:$Q$45,--($C$2:$C$45=C27),--($K$2:$K$45=K27),--($B$2:$B$45&lt;B27))+SUMPRODUCT($Q$2:$Q$45,--($C$2:$C$45=C27),--($K$2:$K$45=K27),--($B$2:$B$45=B27),--($A$2:$A$45&lt;A27)))</f>
        <v>99999</v>
      </c>
      <c r="T27" s="37" t="n">
        <f aca="false">IF(R27=0,99999,1+SUMPRODUCT($R$2:$R$45,--($C$2:$C$45&gt;C27))+SUMPRODUCT($R$2:$R$45,--($C$2:$C$45=C27),--($K$2:$K$45&lt;K27))+SUMPRODUCT($R$2:$R$45,--($C$2:$C$45=C27),--($K$2:$K$45=K27),--($B$2:$B$45&lt;B27))+SUMPRODUCT($R$2:$R$45,--($C$2:$C$45=C27),--($K$2:$K$45=K27),--($B$2:$B$45=B27),--($A$2:$A$45&lt;A27)))</f>
        <v>29</v>
      </c>
      <c r="U27" s="38" t="n">
        <f aca="false">CEILING/(1+RESRATE)-G27</f>
        <v>17698.9104761905</v>
      </c>
      <c r="V27" s="38" t="n">
        <f aca="false">U27-0.2*H27</f>
        <v>15902.5104761905</v>
      </c>
      <c r="W27" s="37" t="s">
        <v>1168</v>
      </c>
    </row>
    <row r="28" customFormat="false" ht="39" hidden="false" customHeight="true" outlineLevel="0" collapsed="false">
      <c r="A28" s="37" t="s">
        <v>1169</v>
      </c>
      <c r="B28" s="37" t="s">
        <v>70</v>
      </c>
      <c r="C28" s="37" t="n">
        <v>24</v>
      </c>
      <c r="D28" s="38" t="n">
        <f aca="false">Joint_Alternatives!D18</f>
        <v>581</v>
      </c>
      <c r="E28" s="38" t="n">
        <f aca="false">Joint_Alternatives!E18</f>
        <v>150</v>
      </c>
      <c r="F28" s="38" t="n">
        <f aca="false">Joint_Alternatives!F18</f>
        <v>130</v>
      </c>
      <c r="G28" s="38" t="n">
        <f aca="false">Options!P11+C28*((D28-CityData!C6)*FFAC+(E28-CityData!F6)*NIGHTS*(1+TAXRATE)+F28-Options!H11)</f>
        <v>46224</v>
      </c>
      <c r="H28" s="38" t="n">
        <f aca="false">D28*C28*FFAC</f>
        <v>13944</v>
      </c>
      <c r="I28" s="41"/>
      <c r="J28" s="38" t="n">
        <f aca="false">SUM(G28,I28)</f>
        <v>46224</v>
      </c>
      <c r="K28" s="38" t="n">
        <f aca="false">J28*(1+RESRATE)</f>
        <v>48535.2</v>
      </c>
      <c r="L28" s="38" t="n">
        <f aca="false">(J28+0.2*H28)*(1+RESRATE)</f>
        <v>51463.44</v>
      </c>
      <c r="M28" s="37" t="n">
        <f aca="false">IF(AND(NIGHTS&gt;0,COUNTIFS(MIE_Daily!$A$2:$A$367,"&gt;="&amp;Parameters!$B$13,MIE_Daily!$A$2:$A$367,"&lt;"&amp;Parameters!$B$14,MIE_Daily!$AF$2:$AF$367,"&lt;"&amp;E28)=0),1,0)</f>
        <v>1</v>
      </c>
      <c r="N28" s="38" t="n">
        <f aca="false">Options!S11</f>
        <v>1</v>
      </c>
      <c r="O28" s="42" t="n">
        <v>0</v>
      </c>
      <c r="P28" s="42" t="n">
        <v>0</v>
      </c>
      <c r="Q28" s="37" t="n">
        <f aca="false">IF(AND(M28=1,N28=1,O28=1,P28=1,K28&lt;=CEILING,Parameters!$B$36="VALID DATE STRUCTURE"),1,0)</f>
        <v>0</v>
      </c>
      <c r="R28" s="37" t="n">
        <f aca="false">IF(AND(M28=1,N28=1,K28&lt;=CEILING,Parameters!$B$36="VALID DATE STRUCTURE"),1,0)</f>
        <v>1</v>
      </c>
      <c r="S28" s="37" t="n">
        <f aca="false">IF(Q28=0,99999,1+SUMPRODUCT($Q$2:$Q$45,--($C$2:$C$45&gt;C28))+SUMPRODUCT($Q$2:$Q$45,--($C$2:$C$45=C28),--($K$2:$K$45&lt;K28))+SUMPRODUCT($Q$2:$Q$45,--($C$2:$C$45=C28),--($K$2:$K$45=K28),--($B$2:$B$45&lt;B28))+SUMPRODUCT($Q$2:$Q$45,--($C$2:$C$45=C28),--($K$2:$K$45=K28),--($B$2:$B$45=B28),--($A$2:$A$45&lt;A28)))</f>
        <v>99999</v>
      </c>
      <c r="T28" s="37" t="n">
        <f aca="false">IF(R28=0,99999,1+SUMPRODUCT($R$2:$R$45,--($C$2:$C$45&gt;C28))+SUMPRODUCT($R$2:$R$45,--($C$2:$C$45=C28),--($K$2:$K$45&lt;K28))+SUMPRODUCT($R$2:$R$45,--($C$2:$C$45=C28),--($K$2:$K$45=K28),--($B$2:$B$45&lt;B28))+SUMPRODUCT($R$2:$R$45,--($C$2:$C$45=C28),--($K$2:$K$45=K28),--($B$2:$B$45=B28),--($A$2:$A$45&lt;A28)))</f>
        <v>17</v>
      </c>
      <c r="U28" s="38" t="n">
        <f aca="false">CEILING/(1+RESRATE)-G28</f>
        <v>4252.19047619047</v>
      </c>
      <c r="V28" s="38" t="n">
        <f aca="false">U28-0.2*H28</f>
        <v>1463.39047619047</v>
      </c>
      <c r="W28" s="37" t="s">
        <v>1170</v>
      </c>
    </row>
    <row r="29" customFormat="false" ht="39" hidden="false" customHeight="true" outlineLevel="0" collapsed="false">
      <c r="A29" s="37" t="s">
        <v>1171</v>
      </c>
      <c r="B29" s="37" t="s">
        <v>70</v>
      </c>
      <c r="C29" s="37" t="n">
        <v>18</v>
      </c>
      <c r="D29" s="38" t="n">
        <f aca="false">Joint_Alternatives!D19</f>
        <v>581</v>
      </c>
      <c r="E29" s="38" t="n">
        <f aca="false">Joint_Alternatives!E19</f>
        <v>150</v>
      </c>
      <c r="F29" s="38" t="n">
        <f aca="false">Joint_Alternatives!F19</f>
        <v>130</v>
      </c>
      <c r="G29" s="38" t="n">
        <f aca="false">Options!P12+C29*((D29-CityData!C6)*FFAC+(E29-CityData!F6)*NIGHTS*(1+TAXRATE)+F29-Options!H12)</f>
        <v>34668</v>
      </c>
      <c r="H29" s="38" t="n">
        <f aca="false">D29*C29*FFAC</f>
        <v>10458</v>
      </c>
      <c r="I29" s="41"/>
      <c r="J29" s="38" t="n">
        <f aca="false">SUM(G29,I29)</f>
        <v>34668</v>
      </c>
      <c r="K29" s="38" t="n">
        <f aca="false">J29*(1+RESRATE)</f>
        <v>36401.4</v>
      </c>
      <c r="L29" s="38" t="n">
        <f aca="false">(J29+0.2*H29)*(1+RESRATE)</f>
        <v>38597.58</v>
      </c>
      <c r="M29" s="37" t="n">
        <f aca="false">IF(AND(NIGHTS&gt;0,COUNTIFS(MIE_Daily!$A$2:$A$367,"&gt;="&amp;Parameters!$B$13,MIE_Daily!$A$2:$A$367,"&lt;"&amp;Parameters!$B$14,MIE_Daily!$AF$2:$AF$367,"&lt;"&amp;E29)=0),1,0)</f>
        <v>1</v>
      </c>
      <c r="N29" s="38" t="n">
        <f aca="false">Options!S12</f>
        <v>1</v>
      </c>
      <c r="O29" s="42" t="n">
        <v>0</v>
      </c>
      <c r="P29" s="42" t="n">
        <v>0</v>
      </c>
      <c r="Q29" s="37" t="n">
        <f aca="false">IF(AND(M29=1,N29=1,O29=1,P29=1,K29&lt;=CEILING,Parameters!$B$36="VALID DATE STRUCTURE"),1,0)</f>
        <v>0</v>
      </c>
      <c r="R29" s="37" t="n">
        <f aca="false">IF(AND(M29=1,N29=1,K29&lt;=CEILING,Parameters!$B$36="VALID DATE STRUCTURE"),1,0)</f>
        <v>1</v>
      </c>
      <c r="S29" s="37" t="n">
        <f aca="false">IF(Q29=0,99999,1+SUMPRODUCT($Q$2:$Q$45,--($C$2:$C$45&gt;C29))+SUMPRODUCT($Q$2:$Q$45,--($C$2:$C$45=C29),--($K$2:$K$45&lt;K29))+SUMPRODUCT($Q$2:$Q$45,--($C$2:$C$45=C29),--($K$2:$K$45=K29),--($B$2:$B$45&lt;B29))+SUMPRODUCT($Q$2:$Q$45,--($C$2:$C$45=C29),--($K$2:$K$45=K29),--($B$2:$B$45=B29),--($A$2:$A$45&lt;A29)))</f>
        <v>99999</v>
      </c>
      <c r="T29" s="37" t="n">
        <f aca="false">IF(R29=0,99999,1+SUMPRODUCT($R$2:$R$45,--($C$2:$C$45&gt;C29))+SUMPRODUCT($R$2:$R$45,--($C$2:$C$45=C29),--($K$2:$K$45&lt;K29))+SUMPRODUCT($R$2:$R$45,--($C$2:$C$45=C29),--($K$2:$K$45=K29),--($B$2:$B$45&lt;B29))+SUMPRODUCT($R$2:$R$45,--($C$2:$C$45=C29),--($K$2:$K$45=K29),--($B$2:$B$45=B29),--($A$2:$A$45&lt;A29)))</f>
        <v>35</v>
      </c>
      <c r="U29" s="38" t="n">
        <f aca="false">CEILING/(1+RESRATE)-G29</f>
        <v>15808.1904761905</v>
      </c>
      <c r="V29" s="38" t="n">
        <f aca="false">U29-0.2*H29</f>
        <v>13716.5904761905</v>
      </c>
      <c r="W29" s="37" t="s">
        <v>1172</v>
      </c>
    </row>
    <row r="30" customFormat="false" ht="39" hidden="false" customHeight="true" outlineLevel="0" collapsed="false">
      <c r="A30" s="37" t="s">
        <v>1173</v>
      </c>
      <c r="B30" s="37" t="s">
        <v>56</v>
      </c>
      <c r="C30" s="37" t="n">
        <v>24</v>
      </c>
      <c r="D30" s="38" t="n">
        <f aca="false">Joint_Alternatives!D20</f>
        <v>358</v>
      </c>
      <c r="E30" s="38" t="n">
        <f aca="false">Joint_Alternatives!E20</f>
        <v>108</v>
      </c>
      <c r="F30" s="38" t="n">
        <f aca="false">Joint_Alternatives!F20</f>
        <v>120</v>
      </c>
      <c r="G30" s="38" t="n">
        <f aca="false">Options!P5+C30*((D30-CityData!C3)*FFAC+(E30-CityData!F3)*NIGHTS*(1+TAXRATE)+F30-Options!H5)</f>
        <v>36548.16</v>
      </c>
      <c r="H30" s="38" t="n">
        <f aca="false">D30*C30*FFAC</f>
        <v>8592</v>
      </c>
      <c r="I30" s="41"/>
      <c r="J30" s="38" t="n">
        <f aca="false">SUM(G30,I30)</f>
        <v>36548.16</v>
      </c>
      <c r="K30" s="38" t="n">
        <f aca="false">J30*(1+RESRATE)</f>
        <v>38375.568</v>
      </c>
      <c r="L30" s="38" t="n">
        <f aca="false">(J30+0.2*H30)*(1+RESRATE)</f>
        <v>40179.888</v>
      </c>
      <c r="M30" s="37" t="n">
        <f aca="false">IF(AND(NIGHTS&gt;0,COUNTIFS(MIE_Daily!$A$2:$A$367,"&gt;="&amp;Parameters!$B$13,MIE_Daily!$A$2:$A$367,"&lt;"&amp;Parameters!$B$14,MIE_Daily!$H$2:$H$367,"&lt;"&amp;E30)=0),1,0)</f>
        <v>1</v>
      </c>
      <c r="N30" s="38" t="n">
        <f aca="false">Options!S5</f>
        <v>1</v>
      </c>
      <c r="O30" s="42" t="n">
        <v>0</v>
      </c>
      <c r="P30" s="42" t="n">
        <v>0</v>
      </c>
      <c r="Q30" s="37" t="n">
        <f aca="false">IF(AND(M30=1,N30=1,O30=1,P30=1,K30&lt;=CEILING,Parameters!$B$36="VALID DATE STRUCTURE"),1,0)</f>
        <v>0</v>
      </c>
      <c r="R30" s="37" t="n">
        <f aca="false">IF(AND(M30=1,N30=1,K30&lt;=CEILING,Parameters!$B$36="VALID DATE STRUCTURE"),1,0)</f>
        <v>1</v>
      </c>
      <c r="S30" s="37" t="n">
        <f aca="false">IF(Q30=0,99999,1+SUMPRODUCT($Q$2:$Q$45,--($C$2:$C$45&gt;C30))+SUMPRODUCT($Q$2:$Q$45,--($C$2:$C$45=C30),--($K$2:$K$45&lt;K30))+SUMPRODUCT($Q$2:$Q$45,--($C$2:$C$45=C30),--($K$2:$K$45=K30),--($B$2:$B$45&lt;B30))+SUMPRODUCT($Q$2:$Q$45,--($C$2:$C$45=C30),--($K$2:$K$45=K30),--($B$2:$B$45=B30),--($A$2:$A$45&lt;A30)))</f>
        <v>99999</v>
      </c>
      <c r="T30" s="37" t="n">
        <f aca="false">IF(R30=0,99999,1+SUMPRODUCT($R$2:$R$45,--($C$2:$C$45&gt;C30))+SUMPRODUCT($R$2:$R$45,--($C$2:$C$45=C30),--($K$2:$K$45&lt;K30))+SUMPRODUCT($R$2:$R$45,--($C$2:$C$45=C30),--($K$2:$K$45=K30),--($B$2:$B$45&lt;B30))+SUMPRODUCT($R$2:$R$45,--($C$2:$C$45=C30),--($K$2:$K$45=K30),--($B$2:$B$45=B30),--($A$2:$A$45&lt;A30)))</f>
        <v>2</v>
      </c>
      <c r="U30" s="38" t="n">
        <f aca="false">CEILING/(1+RESRATE)-G30</f>
        <v>13928.0304761905</v>
      </c>
      <c r="V30" s="38" t="n">
        <f aca="false">U30-0.2*H30</f>
        <v>12209.6304761905</v>
      </c>
      <c r="W30" s="37" t="s">
        <v>1174</v>
      </c>
    </row>
    <row r="31" customFormat="false" ht="39" hidden="false" customHeight="true" outlineLevel="0" collapsed="false">
      <c r="A31" s="37" t="s">
        <v>1175</v>
      </c>
      <c r="B31" s="37" t="s">
        <v>56</v>
      </c>
      <c r="C31" s="37" t="n">
        <v>18</v>
      </c>
      <c r="D31" s="38" t="n">
        <f aca="false">Joint_Alternatives!D21</f>
        <v>358</v>
      </c>
      <c r="E31" s="38" t="n">
        <f aca="false">Joint_Alternatives!E21</f>
        <v>108</v>
      </c>
      <c r="F31" s="38" t="n">
        <f aca="false">Joint_Alternatives!F21</f>
        <v>120</v>
      </c>
      <c r="G31" s="38" t="n">
        <f aca="false">Options!P6+C31*((D31-CityData!C3)*FFAC+(E31-CityData!F3)*NIGHTS*(1+TAXRATE)+F31-Options!H6)</f>
        <v>27411.12</v>
      </c>
      <c r="H31" s="38" t="n">
        <f aca="false">D31*C31*FFAC</f>
        <v>6444</v>
      </c>
      <c r="I31" s="41"/>
      <c r="J31" s="38" t="n">
        <f aca="false">SUM(G31,I31)</f>
        <v>27411.12</v>
      </c>
      <c r="K31" s="38" t="n">
        <f aca="false">J31*(1+RESRATE)</f>
        <v>28781.676</v>
      </c>
      <c r="L31" s="38" t="n">
        <f aca="false">(J31+0.2*H31)*(1+RESRATE)</f>
        <v>30134.916</v>
      </c>
      <c r="M31" s="37" t="n">
        <f aca="false">IF(AND(NIGHTS&gt;0,COUNTIFS(MIE_Daily!$A$2:$A$367,"&gt;="&amp;Parameters!$B$13,MIE_Daily!$A$2:$A$367,"&lt;"&amp;Parameters!$B$14,MIE_Daily!$H$2:$H$367,"&lt;"&amp;E31)=0),1,0)</f>
        <v>1</v>
      </c>
      <c r="N31" s="38" t="n">
        <f aca="false">Options!S6</f>
        <v>1</v>
      </c>
      <c r="O31" s="42" t="n">
        <v>0</v>
      </c>
      <c r="P31" s="42" t="n">
        <v>0</v>
      </c>
      <c r="Q31" s="37" t="n">
        <f aca="false">IF(AND(M31=1,N31=1,O31=1,P31=1,K31&lt;=CEILING,Parameters!$B$36="VALID DATE STRUCTURE"),1,0)</f>
        <v>0</v>
      </c>
      <c r="R31" s="37" t="n">
        <f aca="false">IF(AND(M31=1,N31=1,K31&lt;=CEILING,Parameters!$B$36="VALID DATE STRUCTURE"),1,0)</f>
        <v>1</v>
      </c>
      <c r="S31" s="37" t="n">
        <f aca="false">IF(Q31=0,99999,1+SUMPRODUCT($Q$2:$Q$45,--($C$2:$C$45&gt;C31))+SUMPRODUCT($Q$2:$Q$45,--($C$2:$C$45=C31),--($K$2:$K$45&lt;K31))+SUMPRODUCT($Q$2:$Q$45,--($C$2:$C$45=C31),--($K$2:$K$45=K31),--($B$2:$B$45&lt;B31))+SUMPRODUCT($Q$2:$Q$45,--($C$2:$C$45=C31),--($K$2:$K$45=K31),--($B$2:$B$45=B31),--($A$2:$A$45&lt;A31)))</f>
        <v>99999</v>
      </c>
      <c r="T31" s="37" t="n">
        <f aca="false">IF(R31=0,99999,1+SUMPRODUCT($R$2:$R$45,--($C$2:$C$45&gt;C31))+SUMPRODUCT($R$2:$R$45,--($C$2:$C$45=C31),--($K$2:$K$45&lt;K31))+SUMPRODUCT($R$2:$R$45,--($C$2:$C$45=C31),--($K$2:$K$45=K31),--($B$2:$B$45&lt;B31))+SUMPRODUCT($R$2:$R$45,--($C$2:$C$45=C31),--($K$2:$K$45=K31),--($B$2:$B$45=B31),--($A$2:$A$45&lt;A31)))</f>
        <v>20</v>
      </c>
      <c r="U31" s="38" t="n">
        <f aca="false">CEILING/(1+RESRATE)-G31</f>
        <v>23065.0704761905</v>
      </c>
      <c r="V31" s="38" t="n">
        <f aca="false">U31-0.2*H31</f>
        <v>21776.2704761905</v>
      </c>
      <c r="W31" s="37" t="s">
        <v>1176</v>
      </c>
    </row>
    <row r="32" customFormat="false" ht="39" hidden="false" customHeight="true" outlineLevel="0" collapsed="false">
      <c r="A32" s="37" t="s">
        <v>1177</v>
      </c>
      <c r="B32" s="37" t="s">
        <v>56</v>
      </c>
      <c r="C32" s="37" t="n">
        <v>24</v>
      </c>
      <c r="D32" s="38" t="n">
        <f aca="false">Joint_Alternatives!D22</f>
        <v>311</v>
      </c>
      <c r="E32" s="38" t="n">
        <f aca="false">Joint_Alternatives!E22</f>
        <v>120</v>
      </c>
      <c r="F32" s="38" t="n">
        <f aca="false">Joint_Alternatives!F22</f>
        <v>120</v>
      </c>
      <c r="G32" s="38" t="n">
        <f aca="false">Options!P5+C32*((D32-CityData!C3)*FFAC+(E32-CityData!F3)*NIGHTS*(1+TAXRATE)+F32-Options!H5)</f>
        <v>36710.4</v>
      </c>
      <c r="H32" s="38" t="n">
        <f aca="false">D32*C32*FFAC</f>
        <v>7464</v>
      </c>
      <c r="I32" s="41"/>
      <c r="J32" s="38" t="n">
        <f aca="false">SUM(G32,I32)</f>
        <v>36710.4</v>
      </c>
      <c r="K32" s="38" t="n">
        <f aca="false">J32*(1+RESRATE)</f>
        <v>38545.92</v>
      </c>
      <c r="L32" s="38" t="n">
        <f aca="false">(J32+0.2*H32)*(1+RESRATE)</f>
        <v>40113.36</v>
      </c>
      <c r="M32" s="37" t="n">
        <f aca="false">IF(AND(NIGHTS&gt;0,COUNTIFS(MIE_Daily!$A$2:$A$367,"&gt;="&amp;Parameters!$B$13,MIE_Daily!$A$2:$A$367,"&lt;"&amp;Parameters!$B$14,MIE_Daily!$H$2:$H$367,"&lt;"&amp;E32)=0),1,0)</f>
        <v>1</v>
      </c>
      <c r="N32" s="38" t="n">
        <f aca="false">Options!S5</f>
        <v>1</v>
      </c>
      <c r="O32" s="42" t="n">
        <v>0</v>
      </c>
      <c r="P32" s="42" t="n">
        <v>0</v>
      </c>
      <c r="Q32" s="37" t="n">
        <f aca="false">IF(AND(M32=1,N32=1,O32=1,P32=1,K32&lt;=CEILING,Parameters!$B$36="VALID DATE STRUCTURE"),1,0)</f>
        <v>0</v>
      </c>
      <c r="R32" s="37" t="n">
        <f aca="false">IF(AND(M32=1,N32=1,K32&lt;=CEILING,Parameters!$B$36="VALID DATE STRUCTURE"),1,0)</f>
        <v>1</v>
      </c>
      <c r="S32" s="37" t="n">
        <f aca="false">IF(Q32=0,99999,1+SUMPRODUCT($Q$2:$Q$45,--($C$2:$C$45&gt;C32))+SUMPRODUCT($Q$2:$Q$45,--($C$2:$C$45=C32),--($K$2:$K$45&lt;K32))+SUMPRODUCT($Q$2:$Q$45,--($C$2:$C$45=C32),--($K$2:$K$45=K32),--($B$2:$B$45&lt;B32))+SUMPRODUCT($Q$2:$Q$45,--($C$2:$C$45=C32),--($K$2:$K$45=K32),--($B$2:$B$45=B32),--($A$2:$A$45&lt;A32)))</f>
        <v>99999</v>
      </c>
      <c r="T32" s="37" t="n">
        <f aca="false">IF(R32=0,99999,1+SUMPRODUCT($R$2:$R$45,--($C$2:$C$45&gt;C32))+SUMPRODUCT($R$2:$R$45,--($C$2:$C$45=C32),--($K$2:$K$45&lt;K32))+SUMPRODUCT($R$2:$R$45,--($C$2:$C$45=C32),--($K$2:$K$45=K32),--($B$2:$B$45&lt;B32))+SUMPRODUCT($R$2:$R$45,--($C$2:$C$45=C32),--($K$2:$K$45=K32),--($B$2:$B$45=B32),--($A$2:$A$45&lt;A32)))</f>
        <v>3</v>
      </c>
      <c r="U32" s="38" t="n">
        <f aca="false">CEILING/(1+RESRATE)-G32</f>
        <v>13765.7904761905</v>
      </c>
      <c r="V32" s="38" t="n">
        <f aca="false">U32-0.2*H32</f>
        <v>12272.9904761905</v>
      </c>
      <c r="W32" s="37" t="s">
        <v>1178</v>
      </c>
    </row>
    <row r="33" customFormat="false" ht="39" hidden="false" customHeight="true" outlineLevel="0" collapsed="false">
      <c r="A33" s="37" t="s">
        <v>1179</v>
      </c>
      <c r="B33" s="37" t="s">
        <v>56</v>
      </c>
      <c r="C33" s="37" t="n">
        <v>18</v>
      </c>
      <c r="D33" s="38" t="n">
        <f aca="false">Joint_Alternatives!D23</f>
        <v>311</v>
      </c>
      <c r="E33" s="38" t="n">
        <f aca="false">Joint_Alternatives!E23</f>
        <v>120</v>
      </c>
      <c r="F33" s="38" t="n">
        <f aca="false">Joint_Alternatives!F23</f>
        <v>120</v>
      </c>
      <c r="G33" s="38" t="n">
        <f aca="false">Options!P6+C33*((D33-CityData!C3)*FFAC+(E33-CityData!F3)*NIGHTS*(1+TAXRATE)+F33-Options!H6)</f>
        <v>27532.8</v>
      </c>
      <c r="H33" s="38" t="n">
        <f aca="false">D33*C33*FFAC</f>
        <v>5598</v>
      </c>
      <c r="I33" s="41"/>
      <c r="J33" s="38" t="n">
        <f aca="false">SUM(G33,I33)</f>
        <v>27532.8</v>
      </c>
      <c r="K33" s="38" t="n">
        <f aca="false">J33*(1+RESRATE)</f>
        <v>28909.44</v>
      </c>
      <c r="L33" s="38" t="n">
        <f aca="false">(J33+0.2*H33)*(1+RESRATE)</f>
        <v>30085.02</v>
      </c>
      <c r="M33" s="37" t="n">
        <f aca="false">IF(AND(NIGHTS&gt;0,COUNTIFS(MIE_Daily!$A$2:$A$367,"&gt;="&amp;Parameters!$B$13,MIE_Daily!$A$2:$A$367,"&lt;"&amp;Parameters!$B$14,MIE_Daily!$H$2:$H$367,"&lt;"&amp;E33)=0),1,0)</f>
        <v>1</v>
      </c>
      <c r="N33" s="38" t="n">
        <f aca="false">Options!S6</f>
        <v>1</v>
      </c>
      <c r="O33" s="42" t="n">
        <v>0</v>
      </c>
      <c r="P33" s="42" t="n">
        <v>0</v>
      </c>
      <c r="Q33" s="37" t="n">
        <f aca="false">IF(AND(M33=1,N33=1,O33=1,P33=1,K33&lt;=CEILING,Parameters!$B$36="VALID DATE STRUCTURE"),1,0)</f>
        <v>0</v>
      </c>
      <c r="R33" s="37" t="n">
        <f aca="false">IF(AND(M33=1,N33=1,K33&lt;=CEILING,Parameters!$B$36="VALID DATE STRUCTURE"),1,0)</f>
        <v>1</v>
      </c>
      <c r="S33" s="37" t="n">
        <f aca="false">IF(Q33=0,99999,1+SUMPRODUCT($Q$2:$Q$45,--($C$2:$C$45&gt;C33))+SUMPRODUCT($Q$2:$Q$45,--($C$2:$C$45=C33),--($K$2:$K$45&lt;K33))+SUMPRODUCT($Q$2:$Q$45,--($C$2:$C$45=C33),--($K$2:$K$45=K33),--($B$2:$B$45&lt;B33))+SUMPRODUCT($Q$2:$Q$45,--($C$2:$C$45=C33),--($K$2:$K$45=K33),--($B$2:$B$45=B33),--($A$2:$A$45&lt;A33)))</f>
        <v>99999</v>
      </c>
      <c r="T33" s="37" t="n">
        <f aca="false">IF(R33=0,99999,1+SUMPRODUCT($R$2:$R$45,--($C$2:$C$45&gt;C33))+SUMPRODUCT($R$2:$R$45,--($C$2:$C$45=C33),--($K$2:$K$45&lt;K33))+SUMPRODUCT($R$2:$R$45,--($C$2:$C$45=C33),--($K$2:$K$45=K33),--($B$2:$B$45&lt;B33))+SUMPRODUCT($R$2:$R$45,--($C$2:$C$45=C33),--($K$2:$K$45=K33),--($B$2:$B$45=B33),--($A$2:$A$45&lt;A33)))</f>
        <v>21</v>
      </c>
      <c r="U33" s="38" t="n">
        <f aca="false">CEILING/(1+RESRATE)-G33</f>
        <v>22943.3904761905</v>
      </c>
      <c r="V33" s="38" t="n">
        <f aca="false">U33-0.2*H33</f>
        <v>21823.7904761905</v>
      </c>
      <c r="W33" s="37" t="s">
        <v>1180</v>
      </c>
    </row>
    <row r="34" customFormat="false" ht="39" hidden="false" customHeight="true" outlineLevel="0" collapsed="false">
      <c r="A34" s="37" t="s">
        <v>1181</v>
      </c>
      <c r="B34" s="37" t="s">
        <v>56</v>
      </c>
      <c r="C34" s="37" t="n">
        <v>24</v>
      </c>
      <c r="D34" s="38" t="n">
        <f aca="false">Joint_Alternatives!D24</f>
        <v>311</v>
      </c>
      <c r="E34" s="38" t="n">
        <f aca="false">Joint_Alternatives!E24</f>
        <v>154</v>
      </c>
      <c r="F34" s="38" t="n">
        <f aca="false">Joint_Alternatives!F24</f>
        <v>120</v>
      </c>
      <c r="G34" s="38" t="n">
        <f aca="false">Options!P5+C34*((D34-CityData!C3)*FFAC+(E34-CityData!F3)*NIGHTS*(1+TAXRATE)+F34-Options!H5)</f>
        <v>40366.08</v>
      </c>
      <c r="H34" s="38" t="n">
        <f aca="false">D34*C34*FFAC</f>
        <v>7464</v>
      </c>
      <c r="I34" s="41"/>
      <c r="J34" s="38" t="n">
        <f aca="false">SUM(G34,I34)</f>
        <v>40366.08</v>
      </c>
      <c r="K34" s="38" t="n">
        <f aca="false">J34*(1+RESRATE)</f>
        <v>42384.384</v>
      </c>
      <c r="L34" s="38" t="n">
        <f aca="false">(J34+0.2*H34)*(1+RESRATE)</f>
        <v>43951.824</v>
      </c>
      <c r="M34" s="37" t="n">
        <f aca="false">IF(AND(NIGHTS&gt;0,COUNTIFS(MIE_Daily!$A$2:$A$367,"&gt;="&amp;Parameters!$B$13,MIE_Daily!$A$2:$A$367,"&lt;"&amp;Parameters!$B$14,MIE_Daily!$H$2:$H$367,"&lt;"&amp;E34)=0),1,0)</f>
        <v>1</v>
      </c>
      <c r="N34" s="38" t="n">
        <f aca="false">Options!S5</f>
        <v>1</v>
      </c>
      <c r="O34" s="42" t="n">
        <v>0</v>
      </c>
      <c r="P34" s="42" t="n">
        <v>0</v>
      </c>
      <c r="Q34" s="37" t="n">
        <f aca="false">IF(AND(M34=1,N34=1,O34=1,P34=1,K34&lt;=CEILING,Parameters!$B$36="VALID DATE STRUCTURE"),1,0)</f>
        <v>0</v>
      </c>
      <c r="R34" s="37" t="n">
        <f aca="false">IF(AND(M34=1,N34=1,K34&lt;=CEILING,Parameters!$B$36="VALID DATE STRUCTURE"),1,0)</f>
        <v>1</v>
      </c>
      <c r="S34" s="37" t="n">
        <f aca="false">IF(Q34=0,99999,1+SUMPRODUCT($Q$2:$Q$45,--($C$2:$C$45&gt;C34))+SUMPRODUCT($Q$2:$Q$45,--($C$2:$C$45=C34),--($K$2:$K$45&lt;K34))+SUMPRODUCT($Q$2:$Q$45,--($C$2:$C$45=C34),--($K$2:$K$45=K34),--($B$2:$B$45&lt;B34))+SUMPRODUCT($Q$2:$Q$45,--($C$2:$C$45=C34),--($K$2:$K$45=K34),--($B$2:$B$45=B34),--($A$2:$A$45&lt;A34)))</f>
        <v>99999</v>
      </c>
      <c r="T34" s="37" t="n">
        <f aca="false">IF(R34=0,99999,1+SUMPRODUCT($R$2:$R$45,--($C$2:$C$45&gt;C34))+SUMPRODUCT($R$2:$R$45,--($C$2:$C$45=C34),--($K$2:$K$45&lt;K34))+SUMPRODUCT($R$2:$R$45,--($C$2:$C$45=C34),--($K$2:$K$45=K34),--($B$2:$B$45&lt;B34))+SUMPRODUCT($R$2:$R$45,--($C$2:$C$45=C34),--($K$2:$K$45=K34),--($B$2:$B$45=B34),--($A$2:$A$45&lt;A34)))</f>
        <v>6</v>
      </c>
      <c r="U34" s="38" t="n">
        <f aca="false">CEILING/(1+RESRATE)-G34</f>
        <v>10110.1104761905</v>
      </c>
      <c r="V34" s="38" t="n">
        <f aca="false">U34-0.2*H34</f>
        <v>8617.31047619047</v>
      </c>
      <c r="W34" s="37" t="s">
        <v>1182</v>
      </c>
    </row>
    <row r="35" customFormat="false" ht="39" hidden="false" customHeight="true" outlineLevel="0" collapsed="false">
      <c r="A35" s="37" t="s">
        <v>1183</v>
      </c>
      <c r="B35" s="37" t="s">
        <v>56</v>
      </c>
      <c r="C35" s="37" t="n">
        <v>18</v>
      </c>
      <c r="D35" s="38" t="n">
        <f aca="false">Joint_Alternatives!D25</f>
        <v>311</v>
      </c>
      <c r="E35" s="38" t="n">
        <f aca="false">Joint_Alternatives!E25</f>
        <v>154</v>
      </c>
      <c r="F35" s="38" t="n">
        <f aca="false">Joint_Alternatives!F25</f>
        <v>120</v>
      </c>
      <c r="G35" s="38" t="n">
        <f aca="false">Options!P6+C35*((D35-CityData!C3)*FFAC+(E35-CityData!F3)*NIGHTS*(1+TAXRATE)+F35-Options!H6)</f>
        <v>30274.56</v>
      </c>
      <c r="H35" s="38" t="n">
        <f aca="false">D35*C35*FFAC</f>
        <v>5598</v>
      </c>
      <c r="I35" s="41"/>
      <c r="J35" s="38" t="n">
        <f aca="false">SUM(G35,I35)</f>
        <v>30274.56</v>
      </c>
      <c r="K35" s="38" t="n">
        <f aca="false">J35*(1+RESRATE)</f>
        <v>31788.288</v>
      </c>
      <c r="L35" s="38" t="n">
        <f aca="false">(J35+0.2*H35)*(1+RESRATE)</f>
        <v>32963.868</v>
      </c>
      <c r="M35" s="37" t="n">
        <f aca="false">IF(AND(NIGHTS&gt;0,COUNTIFS(MIE_Daily!$A$2:$A$367,"&gt;="&amp;Parameters!$B$13,MIE_Daily!$A$2:$A$367,"&lt;"&amp;Parameters!$B$14,MIE_Daily!$H$2:$H$367,"&lt;"&amp;E35)=0),1,0)</f>
        <v>1</v>
      </c>
      <c r="N35" s="38" t="n">
        <f aca="false">Options!S6</f>
        <v>1</v>
      </c>
      <c r="O35" s="42" t="n">
        <v>0</v>
      </c>
      <c r="P35" s="42" t="n">
        <v>0</v>
      </c>
      <c r="Q35" s="37" t="n">
        <f aca="false">IF(AND(M35=1,N35=1,O35=1,P35=1,K35&lt;=CEILING,Parameters!$B$36="VALID DATE STRUCTURE"),1,0)</f>
        <v>0</v>
      </c>
      <c r="R35" s="37" t="n">
        <f aca="false">IF(AND(M35=1,N35=1,K35&lt;=CEILING,Parameters!$B$36="VALID DATE STRUCTURE"),1,0)</f>
        <v>1</v>
      </c>
      <c r="S35" s="37" t="n">
        <f aca="false">IF(Q35=0,99999,1+SUMPRODUCT($Q$2:$Q$45,--($C$2:$C$45&gt;C35))+SUMPRODUCT($Q$2:$Q$45,--($C$2:$C$45=C35),--($K$2:$K$45&lt;K35))+SUMPRODUCT($Q$2:$Q$45,--($C$2:$C$45=C35),--($K$2:$K$45=K35),--($B$2:$B$45&lt;B35))+SUMPRODUCT($Q$2:$Q$45,--($C$2:$C$45=C35),--($K$2:$K$45=K35),--($B$2:$B$45=B35),--($A$2:$A$45&lt;A35)))</f>
        <v>99999</v>
      </c>
      <c r="T35" s="37" t="n">
        <f aca="false">IF(R35=0,99999,1+SUMPRODUCT($R$2:$R$45,--($C$2:$C$45&gt;C35))+SUMPRODUCT($R$2:$R$45,--($C$2:$C$45=C35),--($K$2:$K$45&lt;K35))+SUMPRODUCT($R$2:$R$45,--($C$2:$C$45=C35),--($K$2:$K$45=K35),--($B$2:$B$45&lt;B35))+SUMPRODUCT($R$2:$R$45,--($C$2:$C$45=C35),--($K$2:$K$45=K35),--($B$2:$B$45=B35),--($A$2:$A$45&lt;A35)))</f>
        <v>24</v>
      </c>
      <c r="U35" s="38" t="n">
        <f aca="false">CEILING/(1+RESRATE)-G35</f>
        <v>20201.6304761905</v>
      </c>
      <c r="V35" s="38" t="n">
        <f aca="false">U35-0.2*H35</f>
        <v>19082.0304761905</v>
      </c>
      <c r="W35" s="37" t="s">
        <v>1184</v>
      </c>
    </row>
    <row r="36" customFormat="false" ht="39" hidden="false" customHeight="true" outlineLevel="0" collapsed="false">
      <c r="A36" s="37" t="s">
        <v>1185</v>
      </c>
      <c r="B36" s="37" t="s">
        <v>56</v>
      </c>
      <c r="C36" s="37" t="n">
        <v>24</v>
      </c>
      <c r="D36" s="38" t="n">
        <f aca="false">Joint_Alternatives!D26</f>
        <v>311</v>
      </c>
      <c r="E36" s="38" t="n">
        <f aca="false">Joint_Alternatives!E26</f>
        <v>165</v>
      </c>
      <c r="F36" s="38" t="n">
        <f aca="false">Joint_Alternatives!F26</f>
        <v>120</v>
      </c>
      <c r="G36" s="38" t="n">
        <f aca="false">Options!P5+C36*((D36-CityData!C3)*FFAC+(E36-CityData!F3)*NIGHTS*(1+TAXRATE)+F36-Options!H5)</f>
        <v>41548.8</v>
      </c>
      <c r="H36" s="38" t="n">
        <f aca="false">D36*C36*FFAC</f>
        <v>7464</v>
      </c>
      <c r="I36" s="41"/>
      <c r="J36" s="38" t="n">
        <f aca="false">SUM(G36,I36)</f>
        <v>41548.8</v>
      </c>
      <c r="K36" s="38" t="n">
        <f aca="false">J36*(1+RESRATE)</f>
        <v>43626.24</v>
      </c>
      <c r="L36" s="38" t="n">
        <f aca="false">(J36+0.2*H36)*(1+RESRATE)</f>
        <v>45193.68</v>
      </c>
      <c r="M36" s="37" t="n">
        <f aca="false">IF(AND(NIGHTS&gt;0,COUNTIFS(MIE_Daily!$A$2:$A$367,"&gt;="&amp;Parameters!$B$13,MIE_Daily!$A$2:$A$367,"&lt;"&amp;Parameters!$B$14,MIE_Daily!$H$2:$H$367,"&lt;"&amp;E36)=0),1,0)</f>
        <v>1</v>
      </c>
      <c r="N36" s="38" t="n">
        <f aca="false">Options!S5</f>
        <v>1</v>
      </c>
      <c r="O36" s="42" t="n">
        <v>0</v>
      </c>
      <c r="P36" s="42" t="n">
        <v>0</v>
      </c>
      <c r="Q36" s="37" t="n">
        <f aca="false">IF(AND(M36=1,N36=1,O36=1,P36=1,K36&lt;=CEILING,Parameters!$B$36="VALID DATE STRUCTURE"),1,0)</f>
        <v>0</v>
      </c>
      <c r="R36" s="37" t="n">
        <f aca="false">IF(AND(M36=1,N36=1,K36&lt;=CEILING,Parameters!$B$36="VALID DATE STRUCTURE"),1,0)</f>
        <v>1</v>
      </c>
      <c r="S36" s="37" t="n">
        <f aca="false">IF(Q36=0,99999,1+SUMPRODUCT($Q$2:$Q$45,--($C$2:$C$45&gt;C36))+SUMPRODUCT($Q$2:$Q$45,--($C$2:$C$45=C36),--($K$2:$K$45&lt;K36))+SUMPRODUCT($Q$2:$Q$45,--($C$2:$C$45=C36),--($K$2:$K$45=K36),--($B$2:$B$45&lt;B36))+SUMPRODUCT($Q$2:$Q$45,--($C$2:$C$45=C36),--($K$2:$K$45=K36),--($B$2:$B$45=B36),--($A$2:$A$45&lt;A36)))</f>
        <v>99999</v>
      </c>
      <c r="T36" s="37" t="n">
        <f aca="false">IF(R36=0,99999,1+SUMPRODUCT($R$2:$R$45,--($C$2:$C$45&gt;C36))+SUMPRODUCT($R$2:$R$45,--($C$2:$C$45=C36),--($K$2:$K$45&lt;K36))+SUMPRODUCT($R$2:$R$45,--($C$2:$C$45=C36),--($K$2:$K$45=K36),--($B$2:$B$45&lt;B36))+SUMPRODUCT($R$2:$R$45,--($C$2:$C$45=C36),--($K$2:$K$45=K36),--($B$2:$B$45=B36),--($A$2:$A$45&lt;A36)))</f>
        <v>8</v>
      </c>
      <c r="U36" s="38" t="n">
        <f aca="false">CEILING/(1+RESRATE)-G36</f>
        <v>8927.39047619047</v>
      </c>
      <c r="V36" s="38" t="n">
        <f aca="false">U36-0.2*H36</f>
        <v>7434.59047619047</v>
      </c>
      <c r="W36" s="37" t="s">
        <v>1186</v>
      </c>
    </row>
    <row r="37" customFormat="false" ht="39" hidden="false" customHeight="true" outlineLevel="0" collapsed="false">
      <c r="A37" s="37" t="s">
        <v>1187</v>
      </c>
      <c r="B37" s="37" t="s">
        <v>56</v>
      </c>
      <c r="C37" s="37" t="n">
        <v>18</v>
      </c>
      <c r="D37" s="38" t="n">
        <f aca="false">Joint_Alternatives!D27</f>
        <v>311</v>
      </c>
      <c r="E37" s="38" t="n">
        <f aca="false">Joint_Alternatives!E27</f>
        <v>165</v>
      </c>
      <c r="F37" s="38" t="n">
        <f aca="false">Joint_Alternatives!F27</f>
        <v>120</v>
      </c>
      <c r="G37" s="38" t="n">
        <f aca="false">Options!P6+C37*((D37-CityData!C3)*FFAC+(E37-CityData!F3)*NIGHTS*(1+TAXRATE)+F37-Options!H6)</f>
        <v>31161.6</v>
      </c>
      <c r="H37" s="38" t="n">
        <f aca="false">D37*C37*FFAC</f>
        <v>5598</v>
      </c>
      <c r="I37" s="41"/>
      <c r="J37" s="38" t="n">
        <f aca="false">SUM(G37,I37)</f>
        <v>31161.6</v>
      </c>
      <c r="K37" s="38" t="n">
        <f aca="false">J37*(1+RESRATE)</f>
        <v>32719.68</v>
      </c>
      <c r="L37" s="38" t="n">
        <f aca="false">(J37+0.2*H37)*(1+RESRATE)</f>
        <v>33895.26</v>
      </c>
      <c r="M37" s="37" t="n">
        <f aca="false">IF(AND(NIGHTS&gt;0,COUNTIFS(MIE_Daily!$A$2:$A$367,"&gt;="&amp;Parameters!$B$13,MIE_Daily!$A$2:$A$367,"&lt;"&amp;Parameters!$B$14,MIE_Daily!$H$2:$H$367,"&lt;"&amp;E37)=0),1,0)</f>
        <v>1</v>
      </c>
      <c r="N37" s="38" t="n">
        <f aca="false">Options!S6</f>
        <v>1</v>
      </c>
      <c r="O37" s="42" t="n">
        <v>0</v>
      </c>
      <c r="P37" s="42" t="n">
        <v>0</v>
      </c>
      <c r="Q37" s="37" t="n">
        <f aca="false">IF(AND(M37=1,N37=1,O37=1,P37=1,K37&lt;=CEILING,Parameters!$B$36="VALID DATE STRUCTURE"),1,0)</f>
        <v>0</v>
      </c>
      <c r="R37" s="37" t="n">
        <f aca="false">IF(AND(M37=1,N37=1,K37&lt;=CEILING,Parameters!$B$36="VALID DATE STRUCTURE"),1,0)</f>
        <v>1</v>
      </c>
      <c r="S37" s="37" t="n">
        <f aca="false">IF(Q37=0,99999,1+SUMPRODUCT($Q$2:$Q$45,--($C$2:$C$45&gt;C37))+SUMPRODUCT($Q$2:$Q$45,--($C$2:$C$45=C37),--($K$2:$K$45&lt;K37))+SUMPRODUCT($Q$2:$Q$45,--($C$2:$C$45=C37),--($K$2:$K$45=K37),--($B$2:$B$45&lt;B37))+SUMPRODUCT($Q$2:$Q$45,--($C$2:$C$45=C37),--($K$2:$K$45=K37),--($B$2:$B$45=B37),--($A$2:$A$45&lt;A37)))</f>
        <v>99999</v>
      </c>
      <c r="T37" s="37" t="n">
        <f aca="false">IF(R37=0,99999,1+SUMPRODUCT($R$2:$R$45,--($C$2:$C$45&gt;C37))+SUMPRODUCT($R$2:$R$45,--($C$2:$C$45=C37),--($K$2:$K$45&lt;K37))+SUMPRODUCT($R$2:$R$45,--($C$2:$C$45=C37),--($K$2:$K$45=K37),--($B$2:$B$45&lt;B37))+SUMPRODUCT($R$2:$R$45,--($C$2:$C$45=C37),--($K$2:$K$45=K37),--($B$2:$B$45=B37),--($A$2:$A$45&lt;A37)))</f>
        <v>26</v>
      </c>
      <c r="U37" s="38" t="n">
        <f aca="false">CEILING/(1+RESRATE)-G37</f>
        <v>19314.5904761905</v>
      </c>
      <c r="V37" s="38" t="n">
        <f aca="false">U37-0.2*H37</f>
        <v>18194.9904761905</v>
      </c>
      <c r="W37" s="37" t="s">
        <v>1188</v>
      </c>
    </row>
    <row r="38" customFormat="false" ht="39" hidden="false" customHeight="true" outlineLevel="0" collapsed="false">
      <c r="A38" s="37" t="s">
        <v>1189</v>
      </c>
      <c r="B38" s="37" t="s">
        <v>73</v>
      </c>
      <c r="C38" s="37" t="n">
        <v>24</v>
      </c>
      <c r="D38" s="38" t="n">
        <f aca="false">Joint_Alternatives!D28</f>
        <v>590</v>
      </c>
      <c r="E38" s="38" t="n">
        <f aca="false">Joint_Alternatives!E28</f>
        <v>100</v>
      </c>
      <c r="F38" s="38" t="n">
        <f aca="false">Joint_Alternatives!F28</f>
        <v>220</v>
      </c>
      <c r="G38" s="38" t="n">
        <f aca="false">Options!P13+C38*((D38-CityData!C7)*FFAC+(E38-CityData!F7)*NIGHTS*(1+TAXRATE)+F38-Options!H13)</f>
        <v>43656</v>
      </c>
      <c r="H38" s="38" t="n">
        <f aca="false">D38*C38*FFAC</f>
        <v>14160</v>
      </c>
      <c r="I38" s="41"/>
      <c r="J38" s="38" t="n">
        <f aca="false">SUM(G38,I38)</f>
        <v>43656</v>
      </c>
      <c r="K38" s="38" t="n">
        <f aca="false">J38*(1+RESRATE)</f>
        <v>45838.8</v>
      </c>
      <c r="L38" s="38" t="n">
        <f aca="false">(J38+0.2*H38)*(1+RESRATE)</f>
        <v>48812.4</v>
      </c>
      <c r="M38" s="37" t="n">
        <f aca="false">IF(AND(NIGHTS&gt;0,COUNTIFS(MIE_Daily!$A$2:$A$367,"&gt;="&amp;Parameters!$B$13,MIE_Daily!$A$2:$A$367,"&lt;"&amp;Parameters!$B$14,MIE_Daily!$AN$2:$AN$367,"&lt;"&amp;E38)=0),1,0)</f>
        <v>1</v>
      </c>
      <c r="N38" s="38" t="n">
        <f aca="false">Options!S13</f>
        <v>1</v>
      </c>
      <c r="O38" s="42" t="n">
        <v>0</v>
      </c>
      <c r="P38" s="42" t="n">
        <v>0</v>
      </c>
      <c r="Q38" s="37" t="n">
        <f aca="false">IF(AND(M38=1,N38=1,O38=1,P38=1,K38&lt;=CEILING,Parameters!$B$36="VALID DATE STRUCTURE"),1,0)</f>
        <v>0</v>
      </c>
      <c r="R38" s="37" t="n">
        <f aca="false">IF(AND(M38=1,N38=1,K38&lt;=CEILING,Parameters!$B$36="VALID DATE STRUCTURE"),1,0)</f>
        <v>1</v>
      </c>
      <c r="S38" s="37" t="n">
        <f aca="false">IF(Q38=0,99999,1+SUMPRODUCT($Q$2:$Q$45,--($C$2:$C$45&gt;C38))+SUMPRODUCT($Q$2:$Q$45,--($C$2:$C$45=C38),--($K$2:$K$45&lt;K38))+SUMPRODUCT($Q$2:$Q$45,--($C$2:$C$45=C38),--($K$2:$K$45=K38),--($B$2:$B$45&lt;B38))+SUMPRODUCT($Q$2:$Q$45,--($C$2:$C$45=C38),--($K$2:$K$45=K38),--($B$2:$B$45=B38),--($A$2:$A$45&lt;A38)))</f>
        <v>99999</v>
      </c>
      <c r="T38" s="37" t="n">
        <f aca="false">IF(R38=0,99999,1+SUMPRODUCT($R$2:$R$45,--($C$2:$C$45&gt;C38))+SUMPRODUCT($R$2:$R$45,--($C$2:$C$45=C38),--($K$2:$K$45&lt;K38))+SUMPRODUCT($R$2:$R$45,--($C$2:$C$45=C38),--($K$2:$K$45=K38),--($B$2:$B$45&lt;B38))+SUMPRODUCT($R$2:$R$45,--($C$2:$C$45=C38),--($K$2:$K$45=K38),--($B$2:$B$45=B38),--($A$2:$A$45&lt;A38)))</f>
        <v>10</v>
      </c>
      <c r="U38" s="38" t="n">
        <f aca="false">CEILING/(1+RESRATE)-G38</f>
        <v>6820.19047619047</v>
      </c>
      <c r="V38" s="38" t="n">
        <f aca="false">U38-0.2*H38</f>
        <v>3988.19047619047</v>
      </c>
      <c r="W38" s="37" t="s">
        <v>1190</v>
      </c>
    </row>
    <row r="39" customFormat="false" ht="39" hidden="false" customHeight="true" outlineLevel="0" collapsed="false">
      <c r="A39" s="37" t="s">
        <v>1191</v>
      </c>
      <c r="B39" s="37" t="s">
        <v>73</v>
      </c>
      <c r="C39" s="37" t="n">
        <v>18</v>
      </c>
      <c r="D39" s="38" t="n">
        <f aca="false">Joint_Alternatives!D29</f>
        <v>590</v>
      </c>
      <c r="E39" s="38" t="n">
        <f aca="false">Joint_Alternatives!E29</f>
        <v>100</v>
      </c>
      <c r="F39" s="38" t="n">
        <f aca="false">Joint_Alternatives!F29</f>
        <v>220</v>
      </c>
      <c r="G39" s="38" t="n">
        <f aca="false">Options!P14+C39*((D39-CityData!C7)*FFAC+(E39-CityData!F7)*NIGHTS*(1+TAXRATE)+F39-Options!H14)</f>
        <v>32742</v>
      </c>
      <c r="H39" s="38" t="n">
        <f aca="false">D39*C39*FFAC</f>
        <v>10620</v>
      </c>
      <c r="I39" s="41"/>
      <c r="J39" s="38" t="n">
        <f aca="false">SUM(G39,I39)</f>
        <v>32742</v>
      </c>
      <c r="K39" s="38" t="n">
        <f aca="false">J39*(1+RESRATE)</f>
        <v>34379.1</v>
      </c>
      <c r="L39" s="38" t="n">
        <f aca="false">(J39+0.2*H39)*(1+RESRATE)</f>
        <v>36609.3</v>
      </c>
      <c r="M39" s="37" t="n">
        <f aca="false">IF(AND(NIGHTS&gt;0,COUNTIFS(MIE_Daily!$A$2:$A$367,"&gt;="&amp;Parameters!$B$13,MIE_Daily!$A$2:$A$367,"&lt;"&amp;Parameters!$B$14,MIE_Daily!$AN$2:$AN$367,"&lt;"&amp;E39)=0),1,0)</f>
        <v>1</v>
      </c>
      <c r="N39" s="38" t="n">
        <f aca="false">Options!S14</f>
        <v>1</v>
      </c>
      <c r="O39" s="42" t="n">
        <v>0</v>
      </c>
      <c r="P39" s="42" t="n">
        <v>0</v>
      </c>
      <c r="Q39" s="37" t="n">
        <f aca="false">IF(AND(M39=1,N39=1,O39=1,P39=1,K39&lt;=CEILING,Parameters!$B$36="VALID DATE STRUCTURE"),1,0)</f>
        <v>0</v>
      </c>
      <c r="R39" s="37" t="n">
        <f aca="false">IF(AND(M39=1,N39=1,K39&lt;=CEILING,Parameters!$B$36="VALID DATE STRUCTURE"),1,0)</f>
        <v>1</v>
      </c>
      <c r="S39" s="37" t="n">
        <f aca="false">IF(Q39=0,99999,1+SUMPRODUCT($Q$2:$Q$45,--($C$2:$C$45&gt;C39))+SUMPRODUCT($Q$2:$Q$45,--($C$2:$C$45=C39),--($K$2:$K$45&lt;K39))+SUMPRODUCT($Q$2:$Q$45,--($C$2:$C$45=C39),--($K$2:$K$45=K39),--($B$2:$B$45&lt;B39))+SUMPRODUCT($Q$2:$Q$45,--($C$2:$C$45=C39),--($K$2:$K$45=K39),--($B$2:$B$45=B39),--($A$2:$A$45&lt;A39)))</f>
        <v>99999</v>
      </c>
      <c r="T39" s="37" t="n">
        <f aca="false">IF(R39=0,99999,1+SUMPRODUCT($R$2:$R$45,--($C$2:$C$45&gt;C39))+SUMPRODUCT($R$2:$R$45,--($C$2:$C$45=C39),--($K$2:$K$45&lt;K39))+SUMPRODUCT($R$2:$R$45,--($C$2:$C$45=C39),--($K$2:$K$45=K39),--($B$2:$B$45&lt;B39))+SUMPRODUCT($R$2:$R$45,--($C$2:$C$45=C39),--($K$2:$K$45=K39),--($B$2:$B$45=B39),--($A$2:$A$45&lt;A39)))</f>
        <v>28</v>
      </c>
      <c r="U39" s="38" t="n">
        <f aca="false">CEILING/(1+RESRATE)-G39</f>
        <v>17734.1904761905</v>
      </c>
      <c r="V39" s="38" t="n">
        <f aca="false">U39-0.2*H39</f>
        <v>15610.1904761905</v>
      </c>
      <c r="W39" s="37" t="s">
        <v>1192</v>
      </c>
    </row>
    <row r="40" customFormat="false" ht="39" hidden="false" customHeight="true" outlineLevel="0" collapsed="false">
      <c r="A40" s="37" t="s">
        <v>1193</v>
      </c>
      <c r="B40" s="37" t="s">
        <v>73</v>
      </c>
      <c r="C40" s="37" t="n">
        <v>24</v>
      </c>
      <c r="D40" s="38" t="n">
        <f aca="false">Joint_Alternatives!D30</f>
        <v>977</v>
      </c>
      <c r="E40" s="38" t="n">
        <f aca="false">Joint_Alternatives!E30</f>
        <v>101</v>
      </c>
      <c r="F40" s="38" t="n">
        <f aca="false">Joint_Alternatives!F30</f>
        <v>140</v>
      </c>
      <c r="G40" s="38" t="n">
        <f aca="false">Options!P13+C40*((D40-CityData!C7)*FFAC+(E40-CityData!F7)*NIGHTS*(1+TAXRATE)+F40-Options!H13)</f>
        <v>51131.52</v>
      </c>
      <c r="H40" s="38" t="n">
        <f aca="false">D40*C40*FFAC</f>
        <v>23448</v>
      </c>
      <c r="I40" s="41"/>
      <c r="J40" s="38" t="n">
        <f aca="false">SUM(G40,I40)</f>
        <v>51131.52</v>
      </c>
      <c r="K40" s="38" t="n">
        <f aca="false">J40*(1+RESRATE)</f>
        <v>53688.096</v>
      </c>
      <c r="L40" s="38" t="n">
        <f aca="false">(J40+0.2*H40)*(1+RESRATE)</f>
        <v>58612.176</v>
      </c>
      <c r="M40" s="37" t="n">
        <f aca="false">IF(AND(NIGHTS&gt;0,COUNTIFS(MIE_Daily!$A$2:$A$367,"&gt;="&amp;Parameters!$B$13,MIE_Daily!$A$2:$A$367,"&lt;"&amp;Parameters!$B$14,MIE_Daily!$AN$2:$AN$367,"&lt;"&amp;E40)=0),1,0)</f>
        <v>1</v>
      </c>
      <c r="N40" s="38" t="n">
        <f aca="false">Options!S13</f>
        <v>1</v>
      </c>
      <c r="O40" s="42" t="n">
        <v>0</v>
      </c>
      <c r="P40" s="42" t="n">
        <v>0</v>
      </c>
      <c r="Q40" s="37" t="n">
        <f aca="false">IF(AND(M40=1,N40=1,O40=1,P40=1,K40&lt;=CEILING,Parameters!$B$36="VALID DATE STRUCTURE"),1,0)</f>
        <v>0</v>
      </c>
      <c r="R40" s="37" t="n">
        <f aca="false">IF(AND(M40=1,N40=1,K40&lt;=CEILING,Parameters!$B$36="VALID DATE STRUCTURE"),1,0)</f>
        <v>0</v>
      </c>
      <c r="S40" s="37" t="n">
        <f aca="false">IF(Q40=0,99999,1+SUMPRODUCT($Q$2:$Q$45,--($C$2:$C$45&gt;C40))+SUMPRODUCT($Q$2:$Q$45,--($C$2:$C$45=C40),--($K$2:$K$45&lt;K40))+SUMPRODUCT($Q$2:$Q$45,--($C$2:$C$45=C40),--($K$2:$K$45=K40),--($B$2:$B$45&lt;B40))+SUMPRODUCT($Q$2:$Q$45,--($C$2:$C$45=C40),--($K$2:$K$45=K40),--($B$2:$B$45=B40),--($A$2:$A$45&lt;A40)))</f>
        <v>99999</v>
      </c>
      <c r="T40" s="37" t="n">
        <f aca="false">IF(R40=0,99999,1+SUMPRODUCT($R$2:$R$45,--($C$2:$C$45&gt;C40))+SUMPRODUCT($R$2:$R$45,--($C$2:$C$45=C40),--($K$2:$K$45&lt;K40))+SUMPRODUCT($R$2:$R$45,--($C$2:$C$45=C40),--($K$2:$K$45=K40),--($B$2:$B$45&lt;B40))+SUMPRODUCT($R$2:$R$45,--($C$2:$C$45=C40),--($K$2:$K$45=K40),--($B$2:$B$45=B40),--($A$2:$A$45&lt;A40)))</f>
        <v>99999</v>
      </c>
      <c r="U40" s="38" t="n">
        <f aca="false">CEILING/(1+RESRATE)-G40</f>
        <v>-655.329523809531</v>
      </c>
      <c r="V40" s="38" t="n">
        <f aca="false">U40-0.2*H40</f>
        <v>-5344.92952380953</v>
      </c>
      <c r="W40" s="37" t="s">
        <v>1194</v>
      </c>
    </row>
    <row r="41" customFormat="false" ht="39" hidden="false" customHeight="true" outlineLevel="0" collapsed="false">
      <c r="A41" s="37" t="s">
        <v>1195</v>
      </c>
      <c r="B41" s="37" t="s">
        <v>73</v>
      </c>
      <c r="C41" s="37" t="n">
        <v>18</v>
      </c>
      <c r="D41" s="38" t="n">
        <f aca="false">Joint_Alternatives!D31</f>
        <v>977</v>
      </c>
      <c r="E41" s="38" t="n">
        <f aca="false">Joint_Alternatives!E31</f>
        <v>101</v>
      </c>
      <c r="F41" s="38" t="n">
        <f aca="false">Joint_Alternatives!F31</f>
        <v>140</v>
      </c>
      <c r="G41" s="38" t="n">
        <f aca="false">Options!P14+C41*((D41-CityData!C7)*FFAC+(E41-CityData!F7)*NIGHTS*(1+TAXRATE)+F41-Options!H14)</f>
        <v>38348.64</v>
      </c>
      <c r="H41" s="38" t="n">
        <f aca="false">D41*C41*FFAC</f>
        <v>17586</v>
      </c>
      <c r="I41" s="41"/>
      <c r="J41" s="38" t="n">
        <f aca="false">SUM(G41,I41)</f>
        <v>38348.64</v>
      </c>
      <c r="K41" s="38" t="n">
        <f aca="false">J41*(1+RESRATE)</f>
        <v>40266.072</v>
      </c>
      <c r="L41" s="38" t="n">
        <f aca="false">(J41+0.2*H41)*(1+RESRATE)</f>
        <v>43959.132</v>
      </c>
      <c r="M41" s="37" t="n">
        <f aca="false">IF(AND(NIGHTS&gt;0,COUNTIFS(MIE_Daily!$A$2:$A$367,"&gt;="&amp;Parameters!$B$13,MIE_Daily!$A$2:$A$367,"&lt;"&amp;Parameters!$B$14,MIE_Daily!$AN$2:$AN$367,"&lt;"&amp;E41)=0),1,0)</f>
        <v>1</v>
      </c>
      <c r="N41" s="38" t="n">
        <f aca="false">Options!S14</f>
        <v>1</v>
      </c>
      <c r="O41" s="42" t="n">
        <v>0</v>
      </c>
      <c r="P41" s="42" t="n">
        <v>0</v>
      </c>
      <c r="Q41" s="37" t="n">
        <f aca="false">IF(AND(M41=1,N41=1,O41=1,P41=1,K41&lt;=CEILING,Parameters!$B$36="VALID DATE STRUCTURE"),1,0)</f>
        <v>0</v>
      </c>
      <c r="R41" s="37" t="n">
        <f aca="false">IF(AND(M41=1,N41=1,K41&lt;=CEILING,Parameters!$B$36="VALID DATE STRUCTURE"),1,0)</f>
        <v>1</v>
      </c>
      <c r="S41" s="37" t="n">
        <f aca="false">IF(Q41=0,99999,1+SUMPRODUCT($Q$2:$Q$45,--($C$2:$C$45&gt;C41))+SUMPRODUCT($Q$2:$Q$45,--($C$2:$C$45=C41),--($K$2:$K$45&lt;K41))+SUMPRODUCT($Q$2:$Q$45,--($C$2:$C$45=C41),--($K$2:$K$45=K41),--($B$2:$B$45&lt;B41))+SUMPRODUCT($Q$2:$Q$45,--($C$2:$C$45=C41),--($K$2:$K$45=K41),--($B$2:$B$45=B41),--($A$2:$A$45&lt;A41)))</f>
        <v>99999</v>
      </c>
      <c r="T41" s="37" t="n">
        <f aca="false">IF(R41=0,99999,1+SUMPRODUCT($R$2:$R$45,--($C$2:$C$45&gt;C41))+SUMPRODUCT($R$2:$R$45,--($C$2:$C$45=C41),--($K$2:$K$45&lt;K41))+SUMPRODUCT($R$2:$R$45,--($C$2:$C$45=C41),--($K$2:$K$45=K41),--($B$2:$B$45&lt;B41))+SUMPRODUCT($R$2:$R$45,--($C$2:$C$45=C41),--($K$2:$K$45=K41),--($B$2:$B$45=B41),--($A$2:$A$45&lt;A41)))</f>
        <v>37</v>
      </c>
      <c r="U41" s="38" t="n">
        <f aca="false">CEILING/(1+RESRATE)-G41</f>
        <v>12127.5504761905</v>
      </c>
      <c r="V41" s="38" t="n">
        <f aca="false">U41-0.2*H41</f>
        <v>8610.35047619047</v>
      </c>
      <c r="W41" s="37" t="s">
        <v>1196</v>
      </c>
    </row>
    <row r="42" customFormat="false" ht="15" hidden="false" customHeight="false" outlineLevel="0" collapsed="false">
      <c r="A42" s="1" t="s">
        <v>1197</v>
      </c>
      <c r="B42" s="1" t="s">
        <v>61</v>
      </c>
      <c r="C42" s="1" t="n">
        <v>24</v>
      </c>
      <c r="D42" s="43" t="n">
        <v>270</v>
      </c>
      <c r="E42" s="43" t="n">
        <v>159</v>
      </c>
      <c r="F42" s="43" t="n">
        <v>120</v>
      </c>
      <c r="G42" s="43" t="n">
        <f aca="false">Options!P7+C42*((D42-CityData!C4)*FFAC+(E42-CityData!F4)*NIGHTS*(1+TAXRATE)+F42-Options!H7)</f>
        <v>39919.68</v>
      </c>
      <c r="H42" s="43" t="n">
        <f aca="false">D42*C42*FFAC</f>
        <v>6480</v>
      </c>
      <c r="I42" s="43"/>
      <c r="J42" s="43" t="n">
        <f aca="false">SUM(G42,I42)</f>
        <v>39919.68</v>
      </c>
      <c r="K42" s="43" t="n">
        <f aca="false">J42*(1+RESRATE)</f>
        <v>41915.664</v>
      </c>
      <c r="L42" s="43" t="n">
        <f aca="false">(J42+0.2*H42)*(1+RESRATE)</f>
        <v>43276.464</v>
      </c>
      <c r="M42" s="1" t="n">
        <f aca="false">IF(AND(NIGHTS&gt;0,COUNTIFS(MIE_Daily!$A$2:$A$367,"&gt;="&amp;Parameters!$B$13,MIE_Daily!$A$2:$A$367,"&lt;"&amp;Parameters!$B$14,MIE_Daily!$P$2:$P$367,"&lt;"&amp;E42)=0),1,0)</f>
        <v>0</v>
      </c>
      <c r="N42" s="14" t="n">
        <f aca="false">Options!S7</f>
        <v>1</v>
      </c>
      <c r="O42" s="1" t="n">
        <v>0</v>
      </c>
      <c r="P42" s="1" t="n">
        <v>0</v>
      </c>
      <c r="Q42" s="1" t="n">
        <f aca="false">IF(AND(M42=1,N42=1,O42=1,P42=1,K42&lt;=CEILING,Parameters!$B$36="VALID DATE STRUCTURE"),1,0)</f>
        <v>0</v>
      </c>
      <c r="R42" s="1" t="n">
        <f aca="false">IF(AND(M42=1,N42=1,K42&lt;=CEILING,Parameters!$B$36="VALID DATE STRUCTURE"),1,0)</f>
        <v>0</v>
      </c>
      <c r="S42" s="1" t="n">
        <f aca="false">IF(Q42=0,99999,1+SUMPRODUCT($Q$2:$Q$45,--($C$2:$C$45&gt;C42))+SUMPRODUCT($Q$2:$Q$45,--($C$2:$C$45=C42),--($K$2:$K$45&lt;K42))+SUMPRODUCT($Q$2:$Q$45,--($C$2:$C$45=C42),--($K$2:$K$45=K42),--($B$2:$B$45&lt;B42))+SUMPRODUCT($Q$2:$Q$45,--($C$2:$C$45=C42),--($K$2:$K$45=K42),--($B$2:$B$45=B42),--($A$2:$A$45&lt;A42)))</f>
        <v>99999</v>
      </c>
      <c r="T42" s="1" t="n">
        <f aca="false">IF(R42=0,99999,1+SUMPRODUCT($R$2:$R$45,--($C$2:$C$45&gt;C42))+SUMPRODUCT($R$2:$R$45,--($C$2:$C$45=C42),--($K$2:$K$45&lt;K42))+SUMPRODUCT($R$2:$R$45,--($C$2:$C$45=C42),--($K$2:$K$45=K42),--($B$2:$B$45&lt;B42))+SUMPRODUCT($R$2:$R$45,--($C$2:$C$45=C42),--($K$2:$K$45=K42),--($B$2:$B$45=B42),--($A$2:$A$45&lt;A42)))</f>
        <v>99999</v>
      </c>
      <c r="U42" s="43" t="n">
        <f aca="false">CEILING/(1+RESRATE)-G42</f>
        <v>10556.5104761905</v>
      </c>
      <c r="V42" s="43" t="n">
        <f aca="false">U42-0.2*H42</f>
        <v>9260.51047619047</v>
      </c>
      <c r="W42" s="1" t="s">
        <v>1198</v>
      </c>
    </row>
    <row r="43" customFormat="false" ht="15" hidden="false" customHeight="false" outlineLevel="0" collapsed="false">
      <c r="A43" s="1" t="s">
        <v>1199</v>
      </c>
      <c r="B43" s="1" t="s">
        <v>61</v>
      </c>
      <c r="C43" s="1" t="n">
        <v>18</v>
      </c>
      <c r="D43" s="43" t="n">
        <v>270</v>
      </c>
      <c r="E43" s="43" t="n">
        <v>159</v>
      </c>
      <c r="F43" s="43" t="n">
        <v>120</v>
      </c>
      <c r="G43" s="43" t="n">
        <f aca="false">Options!P8+C43*((D43-CityData!C4)*FFAC+(E43-CityData!F4)*NIGHTS*(1+TAXRATE)+F43-Options!H8)</f>
        <v>29939.76</v>
      </c>
      <c r="H43" s="43" t="n">
        <f aca="false">D43*C43*FFAC</f>
        <v>4860</v>
      </c>
      <c r="I43" s="43"/>
      <c r="J43" s="43" t="n">
        <f aca="false">SUM(G43,I43)</f>
        <v>29939.76</v>
      </c>
      <c r="K43" s="43" t="n">
        <f aca="false">J43*(1+RESRATE)</f>
        <v>31436.748</v>
      </c>
      <c r="L43" s="43" t="n">
        <f aca="false">(J43+0.2*H43)*(1+RESRATE)</f>
        <v>32457.348</v>
      </c>
      <c r="M43" s="1" t="n">
        <f aca="false">IF(AND(NIGHTS&gt;0,COUNTIFS(MIE_Daily!$A$2:$A$367,"&gt;="&amp;Parameters!$B$13,MIE_Daily!$A$2:$A$367,"&lt;"&amp;Parameters!$B$14,MIE_Daily!$P$2:$P$367,"&lt;"&amp;E43)=0),1,0)</f>
        <v>0</v>
      </c>
      <c r="N43" s="14" t="n">
        <f aca="false">Options!S8</f>
        <v>1</v>
      </c>
      <c r="O43" s="1" t="n">
        <v>0</v>
      </c>
      <c r="P43" s="1" t="n">
        <v>0</v>
      </c>
      <c r="Q43" s="1" t="n">
        <f aca="false">IF(AND(M43=1,N43=1,O43=1,P43=1,K43&lt;=CEILING,Parameters!$B$36="VALID DATE STRUCTURE"),1,0)</f>
        <v>0</v>
      </c>
      <c r="R43" s="1" t="n">
        <f aca="false">IF(AND(M43=1,N43=1,K43&lt;=CEILING,Parameters!$B$36="VALID DATE STRUCTURE"),1,0)</f>
        <v>0</v>
      </c>
      <c r="S43" s="1" t="n">
        <f aca="false">IF(Q43=0,99999,1+SUMPRODUCT($Q$2:$Q$45,--($C$2:$C$45&gt;C43))+SUMPRODUCT($Q$2:$Q$45,--($C$2:$C$45=C43),--($K$2:$K$45&lt;K43))+SUMPRODUCT($Q$2:$Q$45,--($C$2:$C$45=C43),--($K$2:$K$45=K43),--($B$2:$B$45&lt;B43))+SUMPRODUCT($Q$2:$Q$45,--($C$2:$C$45=C43),--($K$2:$K$45=K43),--($B$2:$B$45=B43),--($A$2:$A$45&lt;A43)))</f>
        <v>99999</v>
      </c>
      <c r="T43" s="1" t="n">
        <f aca="false">IF(R43=0,99999,1+SUMPRODUCT($R$2:$R$45,--($C$2:$C$45&gt;C43))+SUMPRODUCT($R$2:$R$45,--($C$2:$C$45=C43),--($K$2:$K$45&lt;K43))+SUMPRODUCT($R$2:$R$45,--($C$2:$C$45=C43),--($K$2:$K$45=K43),--($B$2:$B$45&lt;B43))+SUMPRODUCT($R$2:$R$45,--($C$2:$C$45=C43),--($K$2:$K$45=K43),--($B$2:$B$45=B43),--($A$2:$A$45&lt;A43)))</f>
        <v>99999</v>
      </c>
      <c r="U43" s="43" t="n">
        <f aca="false">CEILING/(1+RESRATE)-G43</f>
        <v>20536.4304761905</v>
      </c>
      <c r="V43" s="43" t="n">
        <f aca="false">U43-0.2*H43</f>
        <v>19564.4304761905</v>
      </c>
      <c r="W43" s="1" t="s">
        <v>1198</v>
      </c>
    </row>
    <row r="44" customFormat="false" ht="15" hidden="false" customHeight="false" outlineLevel="0" collapsed="false">
      <c r="A44" s="1" t="s">
        <v>1200</v>
      </c>
      <c r="B44" s="1" t="s">
        <v>61</v>
      </c>
      <c r="C44" s="1" t="n">
        <v>24</v>
      </c>
      <c r="D44" s="43" t="n">
        <v>270</v>
      </c>
      <c r="E44" s="43" t="n">
        <v>101</v>
      </c>
      <c r="F44" s="43" t="n">
        <v>120</v>
      </c>
      <c r="G44" s="43" t="n">
        <f aca="false">Options!P7+C44*((D44-CityData!C4)*FFAC+(E44-CityData!F4)*NIGHTS*(1+TAXRATE)+F44-Options!H7)</f>
        <v>33683.52</v>
      </c>
      <c r="H44" s="43" t="n">
        <f aca="false">D44*C44*FFAC</f>
        <v>6480</v>
      </c>
      <c r="I44" s="43"/>
      <c r="J44" s="43" t="n">
        <f aca="false">SUM(G44,I44)</f>
        <v>33683.52</v>
      </c>
      <c r="K44" s="43" t="n">
        <f aca="false">J44*(1+RESRATE)</f>
        <v>35367.696</v>
      </c>
      <c r="L44" s="43" t="n">
        <f aca="false">(J44+0.2*H44)*(1+RESRATE)</f>
        <v>36728.496</v>
      </c>
      <c r="M44" s="1" t="n">
        <f aca="false">IF(AND(NIGHTS&gt;0,COUNTIFS(MIE_Daily!$A$2:$A$367,"&gt;="&amp;Parameters!$B$13,MIE_Daily!$A$2:$A$367,"&lt;"&amp;Parameters!$B$14,MIE_Daily!$P$2:$P$367,"&lt;"&amp;E44)=0),1,0)</f>
        <v>1</v>
      </c>
      <c r="N44" s="14" t="n">
        <f aca="false">Options!S7</f>
        <v>1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f aca="false">IF(Q44=0,99999,1+SUMPRODUCT($Q$2:$Q$45,--($C$2:$C$45&gt;C44))+SUMPRODUCT($Q$2:$Q$45,--($C$2:$C$45=C44),--($K$2:$K$45&lt;K44))+SUMPRODUCT($Q$2:$Q$45,--($C$2:$C$45=C44),--($K$2:$K$45=K44),--($B$2:$B$45&lt;B44))+SUMPRODUCT($Q$2:$Q$45,--($C$2:$C$45=C44),--($K$2:$K$45=K44),--($B$2:$B$45=B44),--($A$2:$A$45&lt;A44)))</f>
        <v>99999</v>
      </c>
      <c r="T44" s="1" t="n">
        <f aca="false">IF(R44=0,99999,1+SUMPRODUCT($R$2:$R$45,--($C$2:$C$45&gt;C44))+SUMPRODUCT($R$2:$R$45,--($C$2:$C$45=C44),--($K$2:$K$45&lt;K44))+SUMPRODUCT($R$2:$R$45,--($C$2:$C$45=C44),--($K$2:$K$45=K44),--($B$2:$B$45&lt;B44))+SUMPRODUCT($R$2:$R$45,--($C$2:$C$45=C44),--($K$2:$K$45=K44),--($B$2:$B$45=B44),--($A$2:$A$45&lt;A44)))</f>
        <v>99999</v>
      </c>
      <c r="U44" s="43" t="n">
        <f aca="false">CEILING/(1+RESRATE)-G44</f>
        <v>16792.6704761905</v>
      </c>
      <c r="V44" s="43" t="n">
        <f aca="false">U44-0.2*H44</f>
        <v>15496.6704761905</v>
      </c>
      <c r="W44" s="1" t="s">
        <v>1201</v>
      </c>
    </row>
    <row r="45" customFormat="false" ht="15" hidden="false" customHeight="false" outlineLevel="0" collapsed="false">
      <c r="A45" s="1" t="s">
        <v>1202</v>
      </c>
      <c r="B45" s="1" t="s">
        <v>61</v>
      </c>
      <c r="C45" s="1" t="n">
        <v>18</v>
      </c>
      <c r="D45" s="43" t="n">
        <v>270</v>
      </c>
      <c r="E45" s="43" t="n">
        <v>101</v>
      </c>
      <c r="F45" s="43" t="n">
        <v>120</v>
      </c>
      <c r="G45" s="43" t="n">
        <f aca="false">Options!P8+C45*((D45-CityData!C4)*FFAC+(E45-CityData!F4)*NIGHTS*(1+TAXRATE)+F45-Options!H8)</f>
        <v>25262.64</v>
      </c>
      <c r="H45" s="43" t="n">
        <f aca="false">D45*C45*FFAC</f>
        <v>4860</v>
      </c>
      <c r="I45" s="43"/>
      <c r="J45" s="43" t="n">
        <f aca="false">SUM(G45,I45)</f>
        <v>25262.64</v>
      </c>
      <c r="K45" s="43" t="n">
        <f aca="false">J45*(1+RESRATE)</f>
        <v>26525.772</v>
      </c>
      <c r="L45" s="43" t="n">
        <f aca="false">(J45+0.2*H45)*(1+RESRATE)</f>
        <v>27546.372</v>
      </c>
      <c r="M45" s="1" t="n">
        <f aca="false">IF(AND(NIGHTS&gt;0,COUNTIFS(MIE_Daily!$A$2:$A$367,"&gt;="&amp;Parameters!$B$13,MIE_Daily!$A$2:$A$367,"&lt;"&amp;Parameters!$B$14,MIE_Daily!$P$2:$P$367,"&lt;"&amp;E45)=0),1,0)</f>
        <v>1</v>
      </c>
      <c r="N45" s="14" t="n">
        <f aca="false">Options!S8</f>
        <v>1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f aca="false">IF(Q45=0,99999,1+SUMPRODUCT($Q$2:$Q$45,--($C$2:$C$45&gt;C45))+SUMPRODUCT($Q$2:$Q$45,--($C$2:$C$45=C45),--($K$2:$K$45&lt;K45))+SUMPRODUCT($Q$2:$Q$45,--($C$2:$C$45=C45),--($K$2:$K$45=K45),--($B$2:$B$45&lt;B45))+SUMPRODUCT($Q$2:$Q$45,--($C$2:$C$45=C45),--($K$2:$K$45=K45),--($B$2:$B$45=B45),--($A$2:$A$45&lt;A45)))</f>
        <v>99999</v>
      </c>
      <c r="T45" s="1" t="n">
        <f aca="false">IF(R45=0,99999,1+SUMPRODUCT($R$2:$R$45,--($C$2:$C$45&gt;C45))+SUMPRODUCT($R$2:$R$45,--($C$2:$C$45=C45),--($K$2:$K$45&lt;K45))+SUMPRODUCT($R$2:$R$45,--($C$2:$C$45=C45),--($K$2:$K$45=K45),--($B$2:$B$45&lt;B45))+SUMPRODUCT($R$2:$R$45,--($C$2:$C$45=C45),--($K$2:$K$45=K45),--($B$2:$B$45=B45),--($A$2:$A$45&lt;A45)))</f>
        <v>99999</v>
      </c>
      <c r="U45" s="43" t="n">
        <f aca="false">CEILING/(1+RESRATE)-G45</f>
        <v>25213.5504761905</v>
      </c>
      <c r="V45" s="43" t="n">
        <f aca="false">U45-0.2*H45</f>
        <v>24241.5504761905</v>
      </c>
      <c r="W45" s="1" t="s">
        <v>1201</v>
      </c>
    </row>
  </sheetData>
  <autoFilter ref="A1:W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customHeight="true" zeroHeight="false" outlineLevelRow="0" outlineLevelCol="0"/>
  <sheetData>
    <row r="1" customFormat="false" ht="15" hidden="false" customHeight="false" outlineLevel="0" collapsed="false">
      <c r="A1" s="0" t="s">
        <v>1203</v>
      </c>
      <c r="B1" s="0" t="s">
        <v>44</v>
      </c>
      <c r="C1" s="0" t="s">
        <v>1204</v>
      </c>
      <c r="D1" s="0" t="s">
        <v>1205</v>
      </c>
      <c r="E1" s="0" t="s">
        <v>1206</v>
      </c>
      <c r="F1" s="0" t="s">
        <v>1207</v>
      </c>
      <c r="G1" s="0" t="s">
        <v>1208</v>
      </c>
      <c r="H1" s="0" t="s">
        <v>1209</v>
      </c>
      <c r="I1" s="0" t="s">
        <v>1210</v>
      </c>
    </row>
    <row r="2" customFormat="false" ht="15" hidden="false" customHeight="false" outlineLevel="0" collapsed="false">
      <c r="A2" s="0" t="str">
        <f aca="false">Candidate_Model!A2</f>
        <v>P01</v>
      </c>
      <c r="B2" s="0" t="str">
        <f aca="false">Candidate_Model!B2</f>
        <v>Boston</v>
      </c>
      <c r="C2" s="0" t="n">
        <f aca="false">Candidate_Model!C2</f>
        <v>24</v>
      </c>
      <c r="D2" s="43" t="n">
        <f aca="false">Candidate_Model!G2</f>
        <v>35420.16</v>
      </c>
      <c r="E2" s="43" t="n">
        <f aca="false">Candidate_Model!H2</f>
        <v>7464</v>
      </c>
      <c r="F2" s="43" t="n">
        <f aca="false">D2-INDEX(Candidate_Model!G:G,Decision!B12)</f>
        <v>0</v>
      </c>
      <c r="G2" s="43" t="n">
        <f aca="false">F2+0.2*(E2-INDEX(Candidate_Model!H:H,Decision!B12))</f>
        <v>0</v>
      </c>
      <c r="H2" s="0" t="n">
        <f aca="false">Candidate_Model!M2*Candidate_Model!N2</f>
        <v>1</v>
      </c>
      <c r="I2" s="0" t="s">
        <v>1211</v>
      </c>
    </row>
    <row r="3" customFormat="false" ht="15" hidden="false" customHeight="false" outlineLevel="0" collapsed="false">
      <c r="A3" s="0" t="str">
        <f aca="false">Candidate_Model!A3</f>
        <v>P02</v>
      </c>
      <c r="B3" s="0" t="str">
        <f aca="false">Candidate_Model!B3</f>
        <v>Boston</v>
      </c>
      <c r="C3" s="0" t="n">
        <f aca="false">Candidate_Model!C3</f>
        <v>18</v>
      </c>
      <c r="D3" s="43" t="n">
        <f aca="false">Candidate_Model!G3</f>
        <v>26565.12</v>
      </c>
      <c r="E3" s="43" t="n">
        <f aca="false">Candidate_Model!H3</f>
        <v>5598</v>
      </c>
      <c r="F3" s="43" t="n">
        <f aca="false">D3-INDEX(Candidate_Model!G:G,Decision!B12)</f>
        <v>-8855.04</v>
      </c>
      <c r="G3" s="43" t="n">
        <f aca="false">F3+0.2*(E3-INDEX(Candidate_Model!H:H,Decision!B12))</f>
        <v>-9228.24</v>
      </c>
      <c r="H3" s="0" t="n">
        <f aca="false">Candidate_Model!M3*Candidate_Model!N3</f>
        <v>1</v>
      </c>
      <c r="I3" s="0" t="s">
        <v>1211</v>
      </c>
    </row>
    <row r="4" customFormat="false" ht="15" hidden="false" customHeight="false" outlineLevel="0" collapsed="false">
      <c r="A4" s="0" t="str">
        <f aca="false">Candidate_Model!A4</f>
        <v>P03</v>
      </c>
      <c r="B4" s="0" t="str">
        <f aca="false">Candidate_Model!B4</f>
        <v>Chicago</v>
      </c>
      <c r="C4" s="0" t="n">
        <f aca="false">Candidate_Model!C4</f>
        <v>24</v>
      </c>
      <c r="D4" s="43" t="n">
        <f aca="false">Candidate_Model!G4</f>
        <v>39812.16</v>
      </c>
      <c r="E4" s="43" t="n">
        <f aca="false">Candidate_Model!H4</f>
        <v>6480</v>
      </c>
      <c r="F4" s="43" t="n">
        <f aca="false">D4-INDEX(Candidate_Model!G:G,Decision!B12)</f>
        <v>4392</v>
      </c>
      <c r="G4" s="43" t="n">
        <f aca="false">F4+0.2*(E4-INDEX(Candidate_Model!H:H,Decision!B12))</f>
        <v>4195.2</v>
      </c>
      <c r="H4" s="0" t="n">
        <f aca="false">Candidate_Model!M4*Candidate_Model!N4</f>
        <v>0</v>
      </c>
      <c r="I4" s="0" t="s">
        <v>1211</v>
      </c>
    </row>
    <row r="5" customFormat="false" ht="15" hidden="false" customHeight="false" outlineLevel="0" collapsed="false">
      <c r="A5" s="0" t="str">
        <f aca="false">Candidate_Model!A5</f>
        <v>P04</v>
      </c>
      <c r="B5" s="0" t="str">
        <f aca="false">Candidate_Model!B5</f>
        <v>Chicago</v>
      </c>
      <c r="C5" s="0" t="n">
        <f aca="false">Candidate_Model!C5</f>
        <v>18</v>
      </c>
      <c r="D5" s="43" t="n">
        <f aca="false">Candidate_Model!G5</f>
        <v>29859.12</v>
      </c>
      <c r="E5" s="43" t="n">
        <f aca="false">Candidate_Model!H5</f>
        <v>4860</v>
      </c>
      <c r="F5" s="43" t="n">
        <f aca="false">D5-INDEX(Candidate_Model!G:G,Decision!B12)</f>
        <v>-5561.04</v>
      </c>
      <c r="G5" s="43" t="n">
        <f aca="false">F5+0.2*(E5-INDEX(Candidate_Model!H:H,Decision!B12))</f>
        <v>-6081.84</v>
      </c>
      <c r="H5" s="0" t="n">
        <f aca="false">Candidate_Model!M5*Candidate_Model!N5</f>
        <v>0</v>
      </c>
      <c r="I5" s="0" t="s">
        <v>1211</v>
      </c>
    </row>
    <row r="6" customFormat="false" ht="15" hidden="false" customHeight="false" outlineLevel="0" collapsed="false">
      <c r="A6" s="0" t="str">
        <f aca="false">Candidate_Model!A6</f>
        <v>P05</v>
      </c>
      <c r="B6" s="0" t="str">
        <f aca="false">Candidate_Model!B6</f>
        <v>Denver</v>
      </c>
      <c r="C6" s="0" t="n">
        <f aca="false">Candidate_Model!C6</f>
        <v>24</v>
      </c>
      <c r="D6" s="43" t="n">
        <f aca="false">Candidate_Model!G6</f>
        <v>44335.68</v>
      </c>
      <c r="E6" s="43" t="n">
        <f aca="false">Candidate_Model!H6</f>
        <v>13872</v>
      </c>
      <c r="F6" s="43" t="n">
        <f aca="false">D6-INDEX(Candidate_Model!G:G,Decision!B12)</f>
        <v>8915.52</v>
      </c>
      <c r="G6" s="43" t="n">
        <f aca="false">F6+0.2*(E6-INDEX(Candidate_Model!H:H,Decision!B12))</f>
        <v>10197.12</v>
      </c>
      <c r="H6" s="0" t="n">
        <f aca="false">Candidate_Model!M6*Candidate_Model!N6</f>
        <v>1</v>
      </c>
      <c r="I6" s="0" t="s">
        <v>1211</v>
      </c>
    </row>
    <row r="7" customFormat="false" ht="15" hidden="false" customHeight="false" outlineLevel="0" collapsed="false">
      <c r="A7" s="0" t="str">
        <f aca="false">Candidate_Model!A7</f>
        <v>P06</v>
      </c>
      <c r="B7" s="0" t="str">
        <f aca="false">Candidate_Model!B7</f>
        <v>Denver</v>
      </c>
      <c r="C7" s="0" t="n">
        <f aca="false">Candidate_Model!C7</f>
        <v>18</v>
      </c>
      <c r="D7" s="43" t="n">
        <f aca="false">Candidate_Model!G7</f>
        <v>33251.76</v>
      </c>
      <c r="E7" s="43" t="n">
        <f aca="false">Candidate_Model!H7</f>
        <v>10404</v>
      </c>
      <c r="F7" s="43" t="n">
        <f aca="false">D7-INDEX(Candidate_Model!G:G,Decision!B12)</f>
        <v>-2168.4</v>
      </c>
      <c r="G7" s="43" t="n">
        <f aca="false">F7+0.2*(E7-INDEX(Candidate_Model!H:H,Decision!B12))</f>
        <v>-1580.4</v>
      </c>
      <c r="H7" s="0" t="n">
        <f aca="false">Candidate_Model!M7*Candidate_Model!N7</f>
        <v>1</v>
      </c>
      <c r="I7" s="0" t="s">
        <v>1211</v>
      </c>
    </row>
    <row r="8" customFormat="false" ht="15" hidden="false" customHeight="false" outlineLevel="0" collapsed="false">
      <c r="A8" s="0" t="str">
        <f aca="false">Candidate_Model!A8</f>
        <v>P07</v>
      </c>
      <c r="B8" s="0" t="str">
        <f aca="false">Candidate_Model!B8</f>
        <v>Phoenix</v>
      </c>
      <c r="C8" s="0" t="n">
        <f aca="false">Candidate_Model!C8</f>
        <v>24</v>
      </c>
      <c r="D8" s="43" t="n">
        <f aca="false">Candidate_Model!G8</f>
        <v>46176</v>
      </c>
      <c r="E8" s="43" t="n">
        <f aca="false">Candidate_Model!H8</f>
        <v>11976</v>
      </c>
      <c r="F8" s="43" t="n">
        <f aca="false">D8-INDEX(Candidate_Model!G:G,Decision!B12)</f>
        <v>10755.84</v>
      </c>
      <c r="G8" s="43" t="n">
        <f aca="false">F8+0.2*(E8-INDEX(Candidate_Model!H:H,Decision!B12))</f>
        <v>11658.24</v>
      </c>
      <c r="H8" s="0" t="n">
        <f aca="false">Candidate_Model!M8*Candidate_Model!N8</f>
        <v>1</v>
      </c>
      <c r="I8" s="0" t="s">
        <v>1211</v>
      </c>
    </row>
    <row r="9" customFormat="false" ht="15" hidden="false" customHeight="false" outlineLevel="0" collapsed="false">
      <c r="A9" s="0" t="str">
        <f aca="false">Candidate_Model!A9</f>
        <v>P08</v>
      </c>
      <c r="B9" s="0" t="str">
        <f aca="false">Candidate_Model!B9</f>
        <v>Phoenix</v>
      </c>
      <c r="C9" s="0" t="n">
        <f aca="false">Candidate_Model!C9</f>
        <v>18</v>
      </c>
      <c r="D9" s="43" t="n">
        <f aca="false">Candidate_Model!G9</f>
        <v>34632</v>
      </c>
      <c r="E9" s="43" t="n">
        <f aca="false">Candidate_Model!H9</f>
        <v>8982</v>
      </c>
      <c r="F9" s="43" t="n">
        <f aca="false">D9-INDEX(Candidate_Model!G:G,Decision!B12)</f>
        <v>-788.160000000004</v>
      </c>
      <c r="G9" s="43" t="n">
        <f aca="false">F9+0.2*(E9-INDEX(Candidate_Model!H:H,Decision!B12))</f>
        <v>-484.560000000003</v>
      </c>
      <c r="H9" s="0" t="n">
        <f aca="false">Candidate_Model!M9*Candidate_Model!N9</f>
        <v>1</v>
      </c>
      <c r="I9" s="0" t="s">
        <v>1211</v>
      </c>
    </row>
    <row r="10" customFormat="false" ht="15" hidden="false" customHeight="false" outlineLevel="0" collapsed="false">
      <c r="A10" s="0" t="str">
        <f aca="false">Candidate_Model!A10</f>
        <v>P09</v>
      </c>
      <c r="B10" s="0" t="str">
        <f aca="false">Candidate_Model!B10</f>
        <v>Seattle</v>
      </c>
      <c r="C10" s="0" t="n">
        <f aca="false">Candidate_Model!C10</f>
        <v>24</v>
      </c>
      <c r="D10" s="43" t="n">
        <f aca="false">Candidate_Model!G10</f>
        <v>43763.52</v>
      </c>
      <c r="E10" s="43" t="n">
        <f aca="false">Candidate_Model!H10</f>
        <v>14160</v>
      </c>
      <c r="F10" s="43" t="n">
        <f aca="false">D10-INDEX(Candidate_Model!G:G,Decision!B12)</f>
        <v>8343.36</v>
      </c>
      <c r="G10" s="43" t="n">
        <f aca="false">F10+0.2*(E10-INDEX(Candidate_Model!H:H,Decision!B12))</f>
        <v>9682.56</v>
      </c>
      <c r="H10" s="0" t="n">
        <f aca="false">Candidate_Model!M10*Candidate_Model!N10</f>
        <v>1</v>
      </c>
      <c r="I10" s="0" t="s">
        <v>1211</v>
      </c>
    </row>
    <row r="11" customFormat="false" ht="15" hidden="false" customHeight="false" outlineLevel="0" collapsed="false">
      <c r="A11" s="0" t="str">
        <f aca="false">Candidate_Model!A11</f>
        <v>P10</v>
      </c>
      <c r="B11" s="0" t="str">
        <f aca="false">Candidate_Model!B11</f>
        <v>Seattle</v>
      </c>
      <c r="C11" s="0" t="n">
        <f aca="false">Candidate_Model!C11</f>
        <v>18</v>
      </c>
      <c r="D11" s="43" t="n">
        <f aca="false">Candidate_Model!G11</f>
        <v>32822.64</v>
      </c>
      <c r="E11" s="43" t="n">
        <f aca="false">Candidate_Model!H11</f>
        <v>10620</v>
      </c>
      <c r="F11" s="43" t="n">
        <f aca="false">D11-INDEX(Candidate_Model!G:G,Decision!B12)</f>
        <v>-2597.52</v>
      </c>
      <c r="G11" s="43" t="n">
        <f aca="false">F11+0.2*(E11-INDEX(Candidate_Model!H:H,Decision!B12))</f>
        <v>-1966.32</v>
      </c>
      <c r="H11" s="0" t="n">
        <f aca="false">Candidate_Model!M11*Candidate_Model!N11</f>
        <v>1</v>
      </c>
      <c r="I11" s="0" t="s">
        <v>1211</v>
      </c>
    </row>
    <row r="12" customFormat="false" ht="15" hidden="false" customHeight="false" outlineLevel="0" collapsed="false">
      <c r="A12" s="0" t="str">
        <f aca="false">Candidate_Model!A12</f>
        <v>A01</v>
      </c>
      <c r="B12" s="0" t="str">
        <f aca="false">Candidate_Model!B12</f>
        <v>Chicago</v>
      </c>
      <c r="C12" s="0" t="n">
        <f aca="false">Candidate_Model!C12</f>
        <v>24</v>
      </c>
      <c r="D12" s="43" t="n">
        <f aca="false">Candidate_Model!G12</f>
        <v>38414.4</v>
      </c>
      <c r="E12" s="43" t="n">
        <f aca="false">Candidate_Model!H12</f>
        <v>6480</v>
      </c>
      <c r="F12" s="43" t="n">
        <f aca="false">D12-INDEX(Candidate_Model!G:G,Decision!B12)</f>
        <v>2994.24</v>
      </c>
      <c r="G12" s="43" t="n">
        <f aca="false">F12+0.2*(E12-INDEX(Candidate_Model!H:H,Decision!B12))</f>
        <v>2797.44</v>
      </c>
      <c r="H12" s="0" t="n">
        <f aca="false">Candidate_Model!M12*Candidate_Model!N12</f>
        <v>1</v>
      </c>
      <c r="I12" s="0" t="s">
        <v>1211</v>
      </c>
    </row>
    <row r="13" customFormat="false" ht="15" hidden="false" customHeight="false" outlineLevel="0" collapsed="false">
      <c r="A13" s="0" t="str">
        <f aca="false">Candidate_Model!A13</f>
        <v>A02</v>
      </c>
      <c r="B13" s="0" t="str">
        <f aca="false">Candidate_Model!B13</f>
        <v>Chicago</v>
      </c>
      <c r="C13" s="0" t="n">
        <f aca="false">Candidate_Model!C13</f>
        <v>18</v>
      </c>
      <c r="D13" s="43" t="n">
        <f aca="false">Candidate_Model!G13</f>
        <v>28810.8</v>
      </c>
      <c r="E13" s="43" t="n">
        <f aca="false">Candidate_Model!H13</f>
        <v>4860</v>
      </c>
      <c r="F13" s="43" t="n">
        <f aca="false">D13-INDEX(Candidate_Model!G:G,Decision!B12)</f>
        <v>-6609.36</v>
      </c>
      <c r="G13" s="43" t="n">
        <f aca="false">F13+0.2*(E13-INDEX(Candidate_Model!H:H,Decision!B12))</f>
        <v>-7130.16</v>
      </c>
      <c r="H13" s="0" t="n">
        <f aca="false">Candidate_Model!M13*Candidate_Model!N13</f>
        <v>1</v>
      </c>
      <c r="I13" s="0" t="s">
        <v>1211</v>
      </c>
    </row>
    <row r="14" customFormat="false" ht="15" hidden="false" customHeight="false" outlineLevel="0" collapsed="false">
      <c r="A14" s="0" t="str">
        <f aca="false">Candidate_Model!A14</f>
        <v>A03</v>
      </c>
      <c r="B14" s="0" t="str">
        <f aca="false">Candidate_Model!B14</f>
        <v>Chicago</v>
      </c>
      <c r="C14" s="0" t="n">
        <f aca="false">Candidate_Model!C14</f>
        <v>24</v>
      </c>
      <c r="D14" s="43" t="n">
        <f aca="false">Candidate_Model!G14</f>
        <v>37124.16</v>
      </c>
      <c r="E14" s="43" t="n">
        <f aca="false">Candidate_Model!H14</f>
        <v>6480</v>
      </c>
      <c r="F14" s="43" t="n">
        <f aca="false">D14-INDEX(Candidate_Model!G:G,Decision!B12)</f>
        <v>1704</v>
      </c>
      <c r="G14" s="43" t="n">
        <f aca="false">F14+0.2*(E14-INDEX(Candidate_Model!H:H,Decision!B12))</f>
        <v>1507.2</v>
      </c>
      <c r="H14" s="0" t="n">
        <f aca="false">Candidate_Model!M14*Candidate_Model!N14</f>
        <v>1</v>
      </c>
      <c r="I14" s="0" t="s">
        <v>1211</v>
      </c>
    </row>
    <row r="15" customFormat="false" ht="15" hidden="false" customHeight="false" outlineLevel="0" collapsed="false">
      <c r="A15" s="0" t="str">
        <f aca="false">Candidate_Model!A15</f>
        <v>A04</v>
      </c>
      <c r="B15" s="0" t="str">
        <f aca="false">Candidate_Model!B15</f>
        <v>Chicago</v>
      </c>
      <c r="C15" s="0" t="n">
        <f aca="false">Candidate_Model!C15</f>
        <v>18</v>
      </c>
      <c r="D15" s="43" t="n">
        <f aca="false">Candidate_Model!G15</f>
        <v>27843.12</v>
      </c>
      <c r="E15" s="43" t="n">
        <f aca="false">Candidate_Model!H15</f>
        <v>4860</v>
      </c>
      <c r="F15" s="43" t="n">
        <f aca="false">D15-INDEX(Candidate_Model!G:G,Decision!B12)</f>
        <v>-7577.04</v>
      </c>
      <c r="G15" s="43" t="n">
        <f aca="false">F15+0.2*(E15-INDEX(Candidate_Model!H:H,Decision!B12))</f>
        <v>-8097.84</v>
      </c>
      <c r="H15" s="0" t="n">
        <f aca="false">Candidate_Model!M15*Candidate_Model!N15</f>
        <v>1</v>
      </c>
      <c r="I15" s="0" t="s">
        <v>1211</v>
      </c>
    </row>
    <row r="16" customFormat="false" ht="15" hidden="false" customHeight="false" outlineLevel="0" collapsed="false">
      <c r="A16" s="0" t="str">
        <f aca="false">Candidate_Model!A16</f>
        <v>A05</v>
      </c>
      <c r="B16" s="0" t="str">
        <f aca="false">Candidate_Model!B16</f>
        <v>Denver</v>
      </c>
      <c r="C16" s="0" t="n">
        <f aca="false">Candidate_Model!C16</f>
        <v>24</v>
      </c>
      <c r="D16" s="43" t="n">
        <f aca="false">Candidate_Model!G16</f>
        <v>41110.08</v>
      </c>
      <c r="E16" s="43" t="n">
        <f aca="false">Candidate_Model!H16</f>
        <v>13872</v>
      </c>
      <c r="F16" s="43" t="n">
        <f aca="false">D16-INDEX(Candidate_Model!G:G,Decision!B12)</f>
        <v>5689.92000000001</v>
      </c>
      <c r="G16" s="43" t="n">
        <f aca="false">F16+0.2*(E16-INDEX(Candidate_Model!H:H,Decision!B12))</f>
        <v>6971.52000000001</v>
      </c>
      <c r="H16" s="0" t="n">
        <f aca="false">Candidate_Model!M16*Candidate_Model!N16</f>
        <v>1</v>
      </c>
      <c r="I16" s="0" t="s">
        <v>1211</v>
      </c>
    </row>
    <row r="17" customFormat="false" ht="15" hidden="false" customHeight="false" outlineLevel="0" collapsed="false">
      <c r="A17" s="0" t="str">
        <f aca="false">Candidate_Model!A17</f>
        <v>A06</v>
      </c>
      <c r="B17" s="0" t="str">
        <f aca="false">Candidate_Model!B17</f>
        <v>Denver</v>
      </c>
      <c r="C17" s="0" t="n">
        <f aca="false">Candidate_Model!C17</f>
        <v>18</v>
      </c>
      <c r="D17" s="43" t="n">
        <f aca="false">Candidate_Model!G17</f>
        <v>30832.56</v>
      </c>
      <c r="E17" s="43" t="n">
        <f aca="false">Candidate_Model!H17</f>
        <v>10404</v>
      </c>
      <c r="F17" s="43" t="n">
        <f aca="false">D17-INDEX(Candidate_Model!G:G,Decision!B12)</f>
        <v>-4587.6</v>
      </c>
      <c r="G17" s="43" t="n">
        <f aca="false">F17+0.2*(E17-INDEX(Candidate_Model!H:H,Decision!B12))</f>
        <v>-3999.6</v>
      </c>
      <c r="H17" s="0" t="n">
        <f aca="false">Candidate_Model!M17*Candidate_Model!N17</f>
        <v>1</v>
      </c>
      <c r="I17" s="0" t="s">
        <v>1211</v>
      </c>
    </row>
    <row r="18" customFormat="false" ht="15" hidden="false" customHeight="false" outlineLevel="0" collapsed="false">
      <c r="A18" s="0" t="str">
        <f aca="false">Candidate_Model!A18</f>
        <v>A07</v>
      </c>
      <c r="B18" s="0" t="str">
        <f aca="false">Candidate_Model!B18</f>
        <v>Denver</v>
      </c>
      <c r="C18" s="0" t="n">
        <f aca="false">Candidate_Model!C18</f>
        <v>24</v>
      </c>
      <c r="D18" s="43" t="n">
        <f aca="false">Candidate_Model!G18</f>
        <v>44765.76</v>
      </c>
      <c r="E18" s="43" t="n">
        <f aca="false">Candidate_Model!H18</f>
        <v>13872</v>
      </c>
      <c r="F18" s="43" t="n">
        <f aca="false">D18-INDEX(Candidate_Model!G:G,Decision!B12)</f>
        <v>9345.60000000001</v>
      </c>
      <c r="G18" s="43" t="n">
        <f aca="false">F18+0.2*(E18-INDEX(Candidate_Model!H:H,Decision!B12))</f>
        <v>10627.2</v>
      </c>
      <c r="H18" s="0" t="n">
        <f aca="false">Candidate_Model!M18*Candidate_Model!N18</f>
        <v>1</v>
      </c>
      <c r="I18" s="0" t="s">
        <v>1211</v>
      </c>
    </row>
    <row r="19" customFormat="false" ht="15" hidden="false" customHeight="false" outlineLevel="0" collapsed="false">
      <c r="A19" s="0" t="str">
        <f aca="false">Candidate_Model!A19</f>
        <v>A08</v>
      </c>
      <c r="B19" s="0" t="str">
        <f aca="false">Candidate_Model!B19</f>
        <v>Denver</v>
      </c>
      <c r="C19" s="0" t="n">
        <f aca="false">Candidate_Model!C19</f>
        <v>18</v>
      </c>
      <c r="D19" s="43" t="n">
        <f aca="false">Candidate_Model!G19</f>
        <v>33574.32</v>
      </c>
      <c r="E19" s="43" t="n">
        <f aca="false">Candidate_Model!H19</f>
        <v>10404</v>
      </c>
      <c r="F19" s="43" t="n">
        <f aca="false">D19-INDEX(Candidate_Model!G:G,Decision!B12)</f>
        <v>-1845.84</v>
      </c>
      <c r="G19" s="43" t="n">
        <f aca="false">F19+0.2*(E19-INDEX(Candidate_Model!H:H,Decision!B12))</f>
        <v>-1257.84</v>
      </c>
      <c r="H19" s="0" t="n">
        <f aca="false">Candidate_Model!M19*Candidate_Model!N19</f>
        <v>1</v>
      </c>
      <c r="I19" s="0" t="s">
        <v>1211</v>
      </c>
    </row>
    <row r="20" customFormat="false" ht="15" hidden="false" customHeight="false" outlineLevel="0" collapsed="false">
      <c r="A20" s="0" t="str">
        <f aca="false">Candidate_Model!A20</f>
        <v>A09</v>
      </c>
      <c r="B20" s="0" t="str">
        <f aca="false">Candidate_Model!B20</f>
        <v>Denver</v>
      </c>
      <c r="C20" s="0" t="n">
        <f aca="false">Candidate_Model!C20</f>
        <v>24</v>
      </c>
      <c r="D20" s="43" t="n">
        <f aca="false">Candidate_Model!G20</f>
        <v>44658.24</v>
      </c>
      <c r="E20" s="43" t="n">
        <f aca="false">Candidate_Model!H20</f>
        <v>13872</v>
      </c>
      <c r="F20" s="43" t="n">
        <f aca="false">D20-INDEX(Candidate_Model!G:G,Decision!B12)</f>
        <v>9238.08</v>
      </c>
      <c r="G20" s="43" t="n">
        <f aca="false">F20+0.2*(E20-INDEX(Candidate_Model!H:H,Decision!B12))</f>
        <v>10519.68</v>
      </c>
      <c r="H20" s="0" t="n">
        <f aca="false">Candidate_Model!M20*Candidate_Model!N20</f>
        <v>1</v>
      </c>
      <c r="I20" s="0" t="s">
        <v>1211</v>
      </c>
    </row>
    <row r="21" customFormat="false" ht="15" hidden="false" customHeight="false" outlineLevel="0" collapsed="false">
      <c r="A21" s="0" t="str">
        <f aca="false">Candidate_Model!A21</f>
        <v>A10</v>
      </c>
      <c r="B21" s="0" t="str">
        <f aca="false">Candidate_Model!B21</f>
        <v>Denver</v>
      </c>
      <c r="C21" s="0" t="n">
        <f aca="false">Candidate_Model!C21</f>
        <v>18</v>
      </c>
      <c r="D21" s="43" t="n">
        <f aca="false">Candidate_Model!G21</f>
        <v>33493.68</v>
      </c>
      <c r="E21" s="43" t="n">
        <f aca="false">Candidate_Model!H21</f>
        <v>10404</v>
      </c>
      <c r="F21" s="43" t="n">
        <f aca="false">D21-INDEX(Candidate_Model!G:G,Decision!B12)</f>
        <v>-1926.48</v>
      </c>
      <c r="G21" s="43" t="n">
        <f aca="false">F21+0.2*(E21-INDEX(Candidate_Model!H:H,Decision!B12))</f>
        <v>-1338.48</v>
      </c>
      <c r="H21" s="0" t="n">
        <f aca="false">Candidate_Model!M21*Candidate_Model!N21</f>
        <v>1</v>
      </c>
      <c r="I21" s="0" t="s">
        <v>1211</v>
      </c>
    </row>
    <row r="22" customFormat="false" ht="15" hidden="false" customHeight="false" outlineLevel="0" collapsed="false">
      <c r="A22" s="0" t="str">
        <f aca="false">Candidate_Model!A22</f>
        <v>A11</v>
      </c>
      <c r="B22" s="0" t="str">
        <f aca="false">Candidate_Model!B22</f>
        <v>Denver</v>
      </c>
      <c r="C22" s="0" t="n">
        <f aca="false">Candidate_Model!C22</f>
        <v>24</v>
      </c>
      <c r="D22" s="43" t="n">
        <f aca="false">Candidate_Model!G22</f>
        <v>46327.68</v>
      </c>
      <c r="E22" s="43" t="n">
        <f aca="false">Candidate_Model!H22</f>
        <v>17784</v>
      </c>
      <c r="F22" s="43" t="n">
        <f aca="false">D22-INDEX(Candidate_Model!G:G,Decision!B12)</f>
        <v>10907.52</v>
      </c>
      <c r="G22" s="43" t="n">
        <f aca="false">F22+0.2*(E22-INDEX(Candidate_Model!H:H,Decision!B12))</f>
        <v>12971.52</v>
      </c>
      <c r="H22" s="0" t="n">
        <f aca="false">Candidate_Model!M22*Candidate_Model!N22</f>
        <v>1</v>
      </c>
      <c r="I22" s="0" t="s">
        <v>1211</v>
      </c>
    </row>
    <row r="23" customFormat="false" ht="15" hidden="false" customHeight="false" outlineLevel="0" collapsed="false">
      <c r="A23" s="0" t="str">
        <f aca="false">Candidate_Model!A23</f>
        <v>A12</v>
      </c>
      <c r="B23" s="0" t="str">
        <f aca="false">Candidate_Model!B23</f>
        <v>Denver</v>
      </c>
      <c r="C23" s="0" t="n">
        <f aca="false">Candidate_Model!C23</f>
        <v>18</v>
      </c>
      <c r="D23" s="43" t="n">
        <f aca="false">Candidate_Model!G23</f>
        <v>34745.76</v>
      </c>
      <c r="E23" s="43" t="n">
        <f aca="false">Candidate_Model!H23</f>
        <v>13338</v>
      </c>
      <c r="F23" s="43" t="n">
        <f aca="false">D23-INDEX(Candidate_Model!G:G,Decision!B12)</f>
        <v>-674.400000000002</v>
      </c>
      <c r="G23" s="43" t="n">
        <f aca="false">F23+0.2*(E23-INDEX(Candidate_Model!H:H,Decision!B12))</f>
        <v>500.399999999999</v>
      </c>
      <c r="H23" s="0" t="n">
        <f aca="false">Candidate_Model!M23*Candidate_Model!N23</f>
        <v>1</v>
      </c>
      <c r="I23" s="0" t="s">
        <v>1211</v>
      </c>
    </row>
    <row r="24" customFormat="false" ht="15" hidden="false" customHeight="false" outlineLevel="0" collapsed="false">
      <c r="A24" s="0" t="str">
        <f aca="false">Candidate_Model!A24</f>
        <v>A13</v>
      </c>
      <c r="B24" s="0" t="str">
        <f aca="false">Candidate_Model!B24</f>
        <v>Phoenix</v>
      </c>
      <c r="C24" s="0" t="n">
        <f aca="false">Candidate_Model!C24</f>
        <v>24</v>
      </c>
      <c r="D24" s="43" t="n">
        <f aca="false">Candidate_Model!G24</f>
        <v>43595.52</v>
      </c>
      <c r="E24" s="43" t="n">
        <f aca="false">Candidate_Model!H24</f>
        <v>11976</v>
      </c>
      <c r="F24" s="43" t="n">
        <f aca="false">D24-INDEX(Candidate_Model!G:G,Decision!B12)</f>
        <v>8175.35999999999</v>
      </c>
      <c r="G24" s="43" t="n">
        <f aca="false">F24+0.2*(E24-INDEX(Candidate_Model!H:H,Decision!B12))</f>
        <v>9077.75999999999</v>
      </c>
      <c r="H24" s="0" t="n">
        <f aca="false">Candidate_Model!M24*Candidate_Model!N24</f>
        <v>1</v>
      </c>
      <c r="I24" s="0" t="s">
        <v>1211</v>
      </c>
    </row>
    <row r="25" customFormat="false" ht="15" hidden="false" customHeight="false" outlineLevel="0" collapsed="false">
      <c r="A25" s="0" t="str">
        <f aca="false">Candidate_Model!A25</f>
        <v>A14</v>
      </c>
      <c r="B25" s="0" t="str">
        <f aca="false">Candidate_Model!B25</f>
        <v>Phoenix</v>
      </c>
      <c r="C25" s="0" t="n">
        <f aca="false">Candidate_Model!C25</f>
        <v>18</v>
      </c>
      <c r="D25" s="43" t="n">
        <f aca="false">Candidate_Model!G25</f>
        <v>32696.64</v>
      </c>
      <c r="E25" s="43" t="n">
        <f aca="false">Candidate_Model!H25</f>
        <v>8982</v>
      </c>
      <c r="F25" s="43" t="n">
        <f aca="false">D25-INDEX(Candidate_Model!G:G,Decision!B12)</f>
        <v>-2723.52</v>
      </c>
      <c r="G25" s="43" t="n">
        <f aca="false">F25+0.2*(E25-INDEX(Candidate_Model!H:H,Decision!B12))</f>
        <v>-2419.92</v>
      </c>
      <c r="H25" s="0" t="n">
        <f aca="false">Candidate_Model!M25*Candidate_Model!N25</f>
        <v>1</v>
      </c>
      <c r="I25" s="0" t="s">
        <v>1211</v>
      </c>
    </row>
    <row r="26" customFormat="false" ht="15" hidden="false" customHeight="false" outlineLevel="0" collapsed="false">
      <c r="A26" s="0" t="str">
        <f aca="false">Candidate_Model!A26</f>
        <v>A15</v>
      </c>
      <c r="B26" s="0" t="str">
        <f aca="false">Candidate_Model!B26</f>
        <v>Phoenix</v>
      </c>
      <c r="C26" s="0" t="n">
        <f aca="false">Candidate_Model!C26</f>
        <v>24</v>
      </c>
      <c r="D26" s="43" t="n">
        <f aca="false">Candidate_Model!G26</f>
        <v>43703.04</v>
      </c>
      <c r="E26" s="43" t="n">
        <f aca="false">Candidate_Model!H26</f>
        <v>11976</v>
      </c>
      <c r="F26" s="43" t="n">
        <f aca="false">D26-INDEX(Candidate_Model!G:G,Decision!B12)</f>
        <v>8282.88</v>
      </c>
      <c r="G26" s="43" t="n">
        <f aca="false">F26+0.2*(E26-INDEX(Candidate_Model!H:H,Decision!B12))</f>
        <v>9185.28</v>
      </c>
      <c r="H26" s="0" t="n">
        <f aca="false">Candidate_Model!M26*Candidate_Model!N26</f>
        <v>1</v>
      </c>
      <c r="I26" s="0" t="s">
        <v>1211</v>
      </c>
    </row>
    <row r="27" customFormat="false" ht="15" hidden="false" customHeight="false" outlineLevel="0" collapsed="false">
      <c r="A27" s="0" t="str">
        <f aca="false">Candidate_Model!A27</f>
        <v>A16</v>
      </c>
      <c r="B27" s="0" t="str">
        <f aca="false">Candidate_Model!B27</f>
        <v>Phoenix</v>
      </c>
      <c r="C27" s="0" t="n">
        <f aca="false">Candidate_Model!C27</f>
        <v>18</v>
      </c>
      <c r="D27" s="43" t="n">
        <f aca="false">Candidate_Model!G27</f>
        <v>32777.28</v>
      </c>
      <c r="E27" s="43" t="n">
        <f aca="false">Candidate_Model!H27</f>
        <v>8982</v>
      </c>
      <c r="F27" s="43" t="n">
        <f aca="false">D27-INDEX(Candidate_Model!G:G,Decision!B12)</f>
        <v>-2642.88</v>
      </c>
      <c r="G27" s="43" t="n">
        <f aca="false">F27+0.2*(E27-INDEX(Candidate_Model!H:H,Decision!B12))</f>
        <v>-2339.28</v>
      </c>
      <c r="H27" s="0" t="n">
        <f aca="false">Candidate_Model!M27*Candidate_Model!N27</f>
        <v>1</v>
      </c>
      <c r="I27" s="0" t="s">
        <v>1211</v>
      </c>
    </row>
    <row r="28" customFormat="false" ht="15" hidden="false" customHeight="false" outlineLevel="0" collapsed="false">
      <c r="A28" s="0" t="str">
        <f aca="false">Candidate_Model!A28</f>
        <v>A17</v>
      </c>
      <c r="B28" s="0" t="str">
        <f aca="false">Candidate_Model!B28</f>
        <v>Phoenix</v>
      </c>
      <c r="C28" s="0" t="n">
        <f aca="false">Candidate_Model!C28</f>
        <v>24</v>
      </c>
      <c r="D28" s="43" t="n">
        <f aca="false">Candidate_Model!G28</f>
        <v>46224</v>
      </c>
      <c r="E28" s="43" t="n">
        <f aca="false">Candidate_Model!H28</f>
        <v>13944</v>
      </c>
      <c r="F28" s="43" t="n">
        <f aca="false">D28-INDEX(Candidate_Model!G:G,Decision!B12)</f>
        <v>10803.84</v>
      </c>
      <c r="G28" s="43" t="n">
        <f aca="false">F28+0.2*(E28-INDEX(Candidate_Model!H:H,Decision!B12))</f>
        <v>12099.84</v>
      </c>
      <c r="H28" s="0" t="n">
        <f aca="false">Candidate_Model!M28*Candidate_Model!N28</f>
        <v>1</v>
      </c>
      <c r="I28" s="0" t="s">
        <v>1211</v>
      </c>
    </row>
    <row r="29" customFormat="false" ht="15" hidden="false" customHeight="false" outlineLevel="0" collapsed="false">
      <c r="A29" s="0" t="str">
        <f aca="false">Candidate_Model!A29</f>
        <v>A18</v>
      </c>
      <c r="B29" s="0" t="str">
        <f aca="false">Candidate_Model!B29</f>
        <v>Phoenix</v>
      </c>
      <c r="C29" s="0" t="n">
        <f aca="false">Candidate_Model!C29</f>
        <v>18</v>
      </c>
      <c r="D29" s="43" t="n">
        <f aca="false">Candidate_Model!G29</f>
        <v>34668</v>
      </c>
      <c r="E29" s="43" t="n">
        <f aca="false">Candidate_Model!H29</f>
        <v>10458</v>
      </c>
      <c r="F29" s="43" t="n">
        <f aca="false">D29-INDEX(Candidate_Model!G:G,Decision!B12)</f>
        <v>-752.160000000004</v>
      </c>
      <c r="G29" s="43" t="n">
        <f aca="false">F29+0.2*(E29-INDEX(Candidate_Model!H:H,Decision!B12))</f>
        <v>-153.360000000003</v>
      </c>
      <c r="H29" s="0" t="n">
        <f aca="false">Candidate_Model!M29*Candidate_Model!N29</f>
        <v>1</v>
      </c>
      <c r="I29" s="0" t="s">
        <v>1211</v>
      </c>
    </row>
    <row r="30" customFormat="false" ht="15" hidden="false" customHeight="false" outlineLevel="0" collapsed="false">
      <c r="A30" s="0" t="str">
        <f aca="false">Candidate_Model!A30</f>
        <v>A19</v>
      </c>
      <c r="B30" s="0" t="str">
        <f aca="false">Candidate_Model!B30</f>
        <v>Boston</v>
      </c>
      <c r="C30" s="0" t="n">
        <f aca="false">Candidate_Model!C30</f>
        <v>24</v>
      </c>
      <c r="D30" s="43" t="n">
        <f aca="false">Candidate_Model!G30</f>
        <v>36548.16</v>
      </c>
      <c r="E30" s="43" t="n">
        <f aca="false">Candidate_Model!H30</f>
        <v>8592</v>
      </c>
      <c r="F30" s="43" t="n">
        <f aca="false">D30-INDEX(Candidate_Model!G:G,Decision!B12)</f>
        <v>1128</v>
      </c>
      <c r="G30" s="43" t="n">
        <f aca="false">F30+0.2*(E30-INDEX(Candidate_Model!H:H,Decision!B12))</f>
        <v>1353.6</v>
      </c>
      <c r="H30" s="0" t="n">
        <f aca="false">Candidate_Model!M30*Candidate_Model!N30</f>
        <v>1</v>
      </c>
      <c r="I30" s="0" t="s">
        <v>1211</v>
      </c>
    </row>
    <row r="31" customFormat="false" ht="15" hidden="false" customHeight="false" outlineLevel="0" collapsed="false">
      <c r="A31" s="0" t="str">
        <f aca="false">Candidate_Model!A31</f>
        <v>A20</v>
      </c>
      <c r="B31" s="0" t="str">
        <f aca="false">Candidate_Model!B31</f>
        <v>Boston</v>
      </c>
      <c r="C31" s="0" t="n">
        <f aca="false">Candidate_Model!C31</f>
        <v>18</v>
      </c>
      <c r="D31" s="43" t="n">
        <f aca="false">Candidate_Model!G31</f>
        <v>27411.12</v>
      </c>
      <c r="E31" s="43" t="n">
        <f aca="false">Candidate_Model!H31</f>
        <v>6444</v>
      </c>
      <c r="F31" s="43" t="n">
        <f aca="false">D31-INDEX(Candidate_Model!G:G,Decision!B12)</f>
        <v>-8009.04</v>
      </c>
      <c r="G31" s="43" t="n">
        <f aca="false">F31+0.2*(E31-INDEX(Candidate_Model!H:H,Decision!B12))</f>
        <v>-8213.04</v>
      </c>
      <c r="H31" s="0" t="n">
        <f aca="false">Candidate_Model!M31*Candidate_Model!N31</f>
        <v>1</v>
      </c>
      <c r="I31" s="0" t="s">
        <v>1211</v>
      </c>
    </row>
    <row r="32" customFormat="false" ht="15" hidden="false" customHeight="false" outlineLevel="0" collapsed="false">
      <c r="A32" s="0" t="str">
        <f aca="false">Candidate_Model!A32</f>
        <v>A21</v>
      </c>
      <c r="B32" s="0" t="str">
        <f aca="false">Candidate_Model!B32</f>
        <v>Boston</v>
      </c>
      <c r="C32" s="0" t="n">
        <f aca="false">Candidate_Model!C32</f>
        <v>24</v>
      </c>
      <c r="D32" s="43" t="n">
        <f aca="false">Candidate_Model!G32</f>
        <v>36710.4</v>
      </c>
      <c r="E32" s="43" t="n">
        <f aca="false">Candidate_Model!H32</f>
        <v>7464</v>
      </c>
      <c r="F32" s="43" t="n">
        <f aca="false">D32-INDEX(Candidate_Model!G:G,Decision!B12)</f>
        <v>1290.24</v>
      </c>
      <c r="G32" s="43" t="n">
        <f aca="false">F32+0.2*(E32-INDEX(Candidate_Model!H:H,Decision!B12))</f>
        <v>1290.24</v>
      </c>
      <c r="H32" s="0" t="n">
        <f aca="false">Candidate_Model!M32*Candidate_Model!N32</f>
        <v>1</v>
      </c>
      <c r="I32" s="0" t="s">
        <v>1211</v>
      </c>
    </row>
    <row r="33" customFormat="false" ht="15" hidden="false" customHeight="false" outlineLevel="0" collapsed="false">
      <c r="A33" s="0" t="str">
        <f aca="false">Candidate_Model!A33</f>
        <v>A22</v>
      </c>
      <c r="B33" s="0" t="str">
        <f aca="false">Candidate_Model!B33</f>
        <v>Boston</v>
      </c>
      <c r="C33" s="0" t="n">
        <f aca="false">Candidate_Model!C33</f>
        <v>18</v>
      </c>
      <c r="D33" s="43" t="n">
        <f aca="false">Candidate_Model!G33</f>
        <v>27532.8</v>
      </c>
      <c r="E33" s="43" t="n">
        <f aca="false">Candidate_Model!H33</f>
        <v>5598</v>
      </c>
      <c r="F33" s="43" t="n">
        <f aca="false">D33-INDEX(Candidate_Model!G:G,Decision!B12)</f>
        <v>-7887.36</v>
      </c>
      <c r="G33" s="43" t="n">
        <f aca="false">F33+0.2*(E33-INDEX(Candidate_Model!H:H,Decision!B12))</f>
        <v>-8260.56</v>
      </c>
      <c r="H33" s="0" t="n">
        <f aca="false">Candidate_Model!M33*Candidate_Model!N33</f>
        <v>1</v>
      </c>
      <c r="I33" s="0" t="s">
        <v>1211</v>
      </c>
    </row>
    <row r="34" customFormat="false" ht="15" hidden="false" customHeight="false" outlineLevel="0" collapsed="false">
      <c r="A34" s="0" t="str">
        <f aca="false">Candidate_Model!A34</f>
        <v>A23</v>
      </c>
      <c r="B34" s="0" t="str">
        <f aca="false">Candidate_Model!B34</f>
        <v>Boston</v>
      </c>
      <c r="C34" s="0" t="n">
        <f aca="false">Candidate_Model!C34</f>
        <v>24</v>
      </c>
      <c r="D34" s="43" t="n">
        <f aca="false">Candidate_Model!G34</f>
        <v>40366.08</v>
      </c>
      <c r="E34" s="43" t="n">
        <f aca="false">Candidate_Model!H34</f>
        <v>7464</v>
      </c>
      <c r="F34" s="43" t="n">
        <f aca="false">D34-INDEX(Candidate_Model!G:G,Decision!B12)</f>
        <v>4945.92</v>
      </c>
      <c r="G34" s="43" t="n">
        <f aca="false">F34+0.2*(E34-INDEX(Candidate_Model!H:H,Decision!B12))</f>
        <v>4945.92</v>
      </c>
      <c r="H34" s="0" t="n">
        <f aca="false">Candidate_Model!M34*Candidate_Model!N34</f>
        <v>1</v>
      </c>
      <c r="I34" s="0" t="s">
        <v>1211</v>
      </c>
    </row>
    <row r="35" customFormat="false" ht="15" hidden="false" customHeight="false" outlineLevel="0" collapsed="false">
      <c r="A35" s="0" t="str">
        <f aca="false">Candidate_Model!A35</f>
        <v>A24</v>
      </c>
      <c r="B35" s="0" t="str">
        <f aca="false">Candidate_Model!B35</f>
        <v>Boston</v>
      </c>
      <c r="C35" s="0" t="n">
        <f aca="false">Candidate_Model!C35</f>
        <v>18</v>
      </c>
      <c r="D35" s="43" t="n">
        <f aca="false">Candidate_Model!G35</f>
        <v>30274.56</v>
      </c>
      <c r="E35" s="43" t="n">
        <f aca="false">Candidate_Model!H35</f>
        <v>5598</v>
      </c>
      <c r="F35" s="43" t="n">
        <f aca="false">D35-INDEX(Candidate_Model!G:G,Decision!B12)</f>
        <v>-5145.6</v>
      </c>
      <c r="G35" s="43" t="n">
        <f aca="false">F35+0.2*(E35-INDEX(Candidate_Model!H:H,Decision!B12))</f>
        <v>-5518.8</v>
      </c>
      <c r="H35" s="0" t="n">
        <f aca="false">Candidate_Model!M35*Candidate_Model!N35</f>
        <v>1</v>
      </c>
      <c r="I35" s="0" t="s">
        <v>1211</v>
      </c>
    </row>
    <row r="36" customFormat="false" ht="15" hidden="false" customHeight="false" outlineLevel="0" collapsed="false">
      <c r="A36" s="0" t="str">
        <f aca="false">Candidate_Model!A36</f>
        <v>A25</v>
      </c>
      <c r="B36" s="0" t="str">
        <f aca="false">Candidate_Model!B36</f>
        <v>Boston</v>
      </c>
      <c r="C36" s="0" t="n">
        <f aca="false">Candidate_Model!C36</f>
        <v>24</v>
      </c>
      <c r="D36" s="43" t="n">
        <f aca="false">Candidate_Model!G36</f>
        <v>41548.8</v>
      </c>
      <c r="E36" s="43" t="n">
        <f aca="false">Candidate_Model!H36</f>
        <v>7464</v>
      </c>
      <c r="F36" s="43" t="n">
        <f aca="false">D36-INDEX(Candidate_Model!G:G,Decision!B12)</f>
        <v>6128.64</v>
      </c>
      <c r="G36" s="43" t="n">
        <f aca="false">F36+0.2*(E36-INDEX(Candidate_Model!H:H,Decision!B12))</f>
        <v>6128.64</v>
      </c>
      <c r="H36" s="0" t="n">
        <f aca="false">Candidate_Model!M36*Candidate_Model!N36</f>
        <v>1</v>
      </c>
      <c r="I36" s="0" t="s">
        <v>1211</v>
      </c>
    </row>
    <row r="37" customFormat="false" ht="15" hidden="false" customHeight="false" outlineLevel="0" collapsed="false">
      <c r="A37" s="0" t="str">
        <f aca="false">Candidate_Model!A37</f>
        <v>A26</v>
      </c>
      <c r="B37" s="0" t="str">
        <f aca="false">Candidate_Model!B37</f>
        <v>Boston</v>
      </c>
      <c r="C37" s="0" t="n">
        <f aca="false">Candidate_Model!C37</f>
        <v>18</v>
      </c>
      <c r="D37" s="43" t="n">
        <f aca="false">Candidate_Model!G37</f>
        <v>31161.6</v>
      </c>
      <c r="E37" s="43" t="n">
        <f aca="false">Candidate_Model!H37</f>
        <v>5598</v>
      </c>
      <c r="F37" s="43" t="n">
        <f aca="false">D37-INDEX(Candidate_Model!G:G,Decision!B12)</f>
        <v>-4258.56</v>
      </c>
      <c r="G37" s="43" t="n">
        <f aca="false">F37+0.2*(E37-INDEX(Candidate_Model!H:H,Decision!B12))</f>
        <v>-4631.76</v>
      </c>
      <c r="H37" s="0" t="n">
        <f aca="false">Candidate_Model!M37*Candidate_Model!N37</f>
        <v>1</v>
      </c>
      <c r="I37" s="0" t="s">
        <v>1211</v>
      </c>
    </row>
    <row r="38" customFormat="false" ht="15" hidden="false" customHeight="false" outlineLevel="0" collapsed="false">
      <c r="A38" s="0" t="str">
        <f aca="false">Candidate_Model!A38</f>
        <v>A27</v>
      </c>
      <c r="B38" s="0" t="str">
        <f aca="false">Candidate_Model!B38</f>
        <v>Seattle</v>
      </c>
      <c r="C38" s="0" t="n">
        <f aca="false">Candidate_Model!C38</f>
        <v>24</v>
      </c>
      <c r="D38" s="43" t="n">
        <f aca="false">Candidate_Model!G38</f>
        <v>43656</v>
      </c>
      <c r="E38" s="43" t="n">
        <f aca="false">Candidate_Model!H38</f>
        <v>14160</v>
      </c>
      <c r="F38" s="43" t="n">
        <f aca="false">D38-INDEX(Candidate_Model!G:G,Decision!B12)</f>
        <v>8235.84</v>
      </c>
      <c r="G38" s="43" t="n">
        <f aca="false">F38+0.2*(E38-INDEX(Candidate_Model!H:H,Decision!B12))</f>
        <v>9575.04000000001</v>
      </c>
      <c r="H38" s="0" t="n">
        <f aca="false">Candidate_Model!M38*Candidate_Model!N38</f>
        <v>1</v>
      </c>
      <c r="I38" s="0" t="s">
        <v>1211</v>
      </c>
    </row>
    <row r="39" customFormat="false" ht="15" hidden="false" customHeight="false" outlineLevel="0" collapsed="false">
      <c r="A39" s="0" t="str">
        <f aca="false">Candidate_Model!A39</f>
        <v>A28</v>
      </c>
      <c r="B39" s="0" t="str">
        <f aca="false">Candidate_Model!B39</f>
        <v>Seattle</v>
      </c>
      <c r="C39" s="0" t="n">
        <f aca="false">Candidate_Model!C39</f>
        <v>18</v>
      </c>
      <c r="D39" s="43" t="n">
        <f aca="false">Candidate_Model!G39</f>
        <v>32742</v>
      </c>
      <c r="E39" s="43" t="n">
        <f aca="false">Candidate_Model!H39</f>
        <v>10620</v>
      </c>
      <c r="F39" s="43" t="n">
        <f aca="false">D39-INDEX(Candidate_Model!G:G,Decision!B12)</f>
        <v>-2678.16</v>
      </c>
      <c r="G39" s="43" t="n">
        <f aca="false">F39+0.2*(E39-INDEX(Candidate_Model!H:H,Decision!B12))</f>
        <v>-2046.96</v>
      </c>
      <c r="H39" s="0" t="n">
        <f aca="false">Candidate_Model!M39*Candidate_Model!N39</f>
        <v>1</v>
      </c>
      <c r="I39" s="0" t="s">
        <v>1211</v>
      </c>
    </row>
    <row r="40" customFormat="false" ht="15" hidden="false" customHeight="false" outlineLevel="0" collapsed="false">
      <c r="A40" s="0" t="str">
        <f aca="false">Candidate_Model!A40</f>
        <v>A29</v>
      </c>
      <c r="B40" s="0" t="str">
        <f aca="false">Candidate_Model!B40</f>
        <v>Seattle</v>
      </c>
      <c r="C40" s="0" t="n">
        <f aca="false">Candidate_Model!C40</f>
        <v>24</v>
      </c>
      <c r="D40" s="43" t="n">
        <f aca="false">Candidate_Model!G40</f>
        <v>51131.52</v>
      </c>
      <c r="E40" s="43" t="n">
        <f aca="false">Candidate_Model!H40</f>
        <v>23448</v>
      </c>
      <c r="F40" s="43" t="n">
        <f aca="false">D40-INDEX(Candidate_Model!G:G,Decision!B12)</f>
        <v>15711.36</v>
      </c>
      <c r="G40" s="43" t="n">
        <f aca="false">F40+0.2*(E40-INDEX(Candidate_Model!H:H,Decision!B12))</f>
        <v>18908.16</v>
      </c>
      <c r="H40" s="0" t="n">
        <f aca="false">Candidate_Model!M40*Candidate_Model!N40</f>
        <v>1</v>
      </c>
      <c r="I40" s="0" t="s">
        <v>1211</v>
      </c>
    </row>
    <row r="41" customFormat="false" ht="15" hidden="false" customHeight="false" outlineLevel="0" collapsed="false">
      <c r="A41" s="0" t="str">
        <f aca="false">Candidate_Model!A41</f>
        <v>A30</v>
      </c>
      <c r="B41" s="0" t="str">
        <f aca="false">Candidate_Model!B41</f>
        <v>Seattle</v>
      </c>
      <c r="C41" s="0" t="n">
        <f aca="false">Candidate_Model!C41</f>
        <v>18</v>
      </c>
      <c r="D41" s="43" t="n">
        <f aca="false">Candidate_Model!G41</f>
        <v>38348.64</v>
      </c>
      <c r="E41" s="43" t="n">
        <f aca="false">Candidate_Model!H41</f>
        <v>17586</v>
      </c>
      <c r="F41" s="43" t="n">
        <f aca="false">D41-INDEX(Candidate_Model!G:G,Decision!B12)</f>
        <v>2928.48</v>
      </c>
      <c r="G41" s="43" t="n">
        <f aca="false">F41+0.2*(E41-INDEX(Candidate_Model!H:H,Decision!B12))</f>
        <v>4952.88</v>
      </c>
      <c r="H41" s="0" t="n">
        <f aca="false">Candidate_Model!M41*Candidate_Model!N41</f>
        <v>1</v>
      </c>
      <c r="I41" s="0" t="s">
        <v>1211</v>
      </c>
    </row>
    <row r="42" customFormat="false" ht="15" hidden="false" customHeight="false" outlineLevel="0" collapsed="false">
      <c r="A42" s="0" t="str">
        <f aca="false">Candidate_Model!A42</f>
        <v>A31</v>
      </c>
      <c r="B42" s="0" t="str">
        <f aca="false">Candidate_Model!B42</f>
        <v>Chicago</v>
      </c>
      <c r="C42" s="0" t="n">
        <f aca="false">Candidate_Model!C42</f>
        <v>24</v>
      </c>
      <c r="D42" s="43" t="n">
        <f aca="false">Candidate_Model!G42</f>
        <v>39919.68</v>
      </c>
      <c r="E42" s="43" t="n">
        <f aca="false">Candidate_Model!H42</f>
        <v>6480</v>
      </c>
      <c r="F42" s="43" t="n">
        <f aca="false">D42-INDEX(Candidate_Model!G:G,Decision!B12)</f>
        <v>4499.52</v>
      </c>
      <c r="G42" s="43" t="n">
        <f aca="false">F42+0.2*(E42-INDEX(Candidate_Model!H:H,Decision!B12))</f>
        <v>4302.72</v>
      </c>
      <c r="H42" s="0" t="n">
        <f aca="false">Candidate_Model!M42*Candidate_Model!N42</f>
        <v>0</v>
      </c>
      <c r="I42" s="0" t="s">
        <v>1211</v>
      </c>
    </row>
    <row r="43" customFormat="false" ht="15" hidden="false" customHeight="false" outlineLevel="0" collapsed="false">
      <c r="A43" s="0" t="str">
        <f aca="false">Candidate_Model!A43</f>
        <v>A32</v>
      </c>
      <c r="B43" s="0" t="str">
        <f aca="false">Candidate_Model!B43</f>
        <v>Chicago</v>
      </c>
      <c r="C43" s="0" t="n">
        <f aca="false">Candidate_Model!C43</f>
        <v>18</v>
      </c>
      <c r="D43" s="43" t="n">
        <f aca="false">Candidate_Model!G43</f>
        <v>29939.76</v>
      </c>
      <c r="E43" s="43" t="n">
        <f aca="false">Candidate_Model!H43</f>
        <v>4860</v>
      </c>
      <c r="F43" s="43" t="n">
        <f aca="false">D43-INDEX(Candidate_Model!G:G,Decision!B12)</f>
        <v>-5480.4</v>
      </c>
      <c r="G43" s="43" t="n">
        <f aca="false">F43+0.2*(E43-INDEX(Candidate_Model!H:H,Decision!B12))</f>
        <v>-6001.2</v>
      </c>
      <c r="H43" s="0" t="n">
        <f aca="false">Candidate_Model!M43*Candidate_Model!N43</f>
        <v>0</v>
      </c>
      <c r="I43" s="0" t="s">
        <v>1211</v>
      </c>
    </row>
    <row r="44" customFormat="false" ht="15" hidden="false" customHeight="false" outlineLevel="0" collapsed="false">
      <c r="A44" s="0" t="str">
        <f aca="false">Candidate_Model!A44</f>
        <v>A33</v>
      </c>
      <c r="B44" s="0" t="str">
        <f aca="false">Candidate_Model!B44</f>
        <v>Chicago</v>
      </c>
      <c r="C44" s="0" t="n">
        <f aca="false">Candidate_Model!C44</f>
        <v>24</v>
      </c>
      <c r="D44" s="43" t="n">
        <f aca="false">Candidate_Model!G44</f>
        <v>33683.52</v>
      </c>
      <c r="E44" s="43" t="n">
        <f aca="false">Candidate_Model!H44</f>
        <v>6480</v>
      </c>
      <c r="F44" s="43" t="n">
        <f aca="false">D44-INDEX(Candidate_Model!G:G,Decision!B12)</f>
        <v>-1736.64</v>
      </c>
      <c r="G44" s="43" t="n">
        <f aca="false">F44+0.2*(E44-INDEX(Candidate_Model!H:H,Decision!B12))</f>
        <v>-1933.44</v>
      </c>
      <c r="H44" s="0" t="n">
        <f aca="false">Candidate_Model!M44*Candidate_Model!N44</f>
        <v>1</v>
      </c>
      <c r="I44" s="0" t="s">
        <v>1211</v>
      </c>
    </row>
    <row r="45" customFormat="false" ht="15" hidden="false" customHeight="false" outlineLevel="0" collapsed="false">
      <c r="A45" s="0" t="str">
        <f aca="false">Candidate_Model!A45</f>
        <v>A34</v>
      </c>
      <c r="B45" s="0" t="str">
        <f aca="false">Candidate_Model!B45</f>
        <v>Chicago</v>
      </c>
      <c r="C45" s="0" t="n">
        <f aca="false">Candidate_Model!C45</f>
        <v>18</v>
      </c>
      <c r="D45" s="43" t="n">
        <f aca="false">Candidate_Model!G45</f>
        <v>25262.64</v>
      </c>
      <c r="E45" s="43" t="n">
        <f aca="false">Candidate_Model!H45</f>
        <v>4860</v>
      </c>
      <c r="F45" s="43" t="n">
        <f aca="false">D45-INDEX(Candidate_Model!G:G,Decision!B12)</f>
        <v>-10157.52</v>
      </c>
      <c r="G45" s="43" t="n">
        <f aca="false">F45+0.2*(E45-INDEX(Candidate_Model!H:H,Decision!B12))</f>
        <v>-10678.32</v>
      </c>
      <c r="H45" s="0" t="n">
        <f aca="false">Candidate_Model!M45*Candidate_Model!N45</f>
        <v>1</v>
      </c>
      <c r="I45" s="0" t="s">
        <v>1211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2026-10-24T06:26:55Z</dcterms:created>
  <dc:creator>openpyxl</dc:creator>
  <dc:description/>
  <dc:language>en-US</dc:language>
  <cp:lastModifiedBy/>
  <dcterms:modified xsi:type="dcterms:W3CDTF">2026-10-24T08:46:10Z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