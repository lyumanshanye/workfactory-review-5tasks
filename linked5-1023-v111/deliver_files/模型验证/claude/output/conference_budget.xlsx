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CityData" sheetId="2" state="visible" r:id="rId2"/>
    <sheet xmlns:r="http://schemas.openxmlformats.org/officeDocument/2006/relationships" name="Daily" sheetId="3" state="visible" r:id="rId3"/>
    <sheet xmlns:r="http://schemas.openxmlformats.org/officeDocument/2006/relationships" name="Options" sheetId="4" state="visible" r:id="rId4"/>
    <sheet xmlns:r="http://schemas.openxmlformats.org/officeDocument/2006/relationships" name="Historical" sheetId="5" state="visible" r:id="rId5"/>
    <sheet xmlns:r="http://schemas.openxmlformats.org/officeDocument/2006/relationships" name="Thresholds" sheetId="6" state="visible" r:id="rId6"/>
    <sheet xmlns:r="http://schemas.openxmlformats.org/officeDocument/2006/relationships" name="Itinerary" sheetId="7" state="visible" r:id="rId7"/>
    <sheet xmlns:r="http://schemas.openxmlformats.org/officeDocument/2006/relationships" name="Sources" sheetId="8" state="visible" r:id="rId8"/>
  </sheets>
  <definedNames>
    <definedName name="CEILING">Parameters!$B$5</definedName>
    <definedName name="FFAC">Parameters!$B$6</definedName>
    <definedName name="RESRATE">Parameters!$B$7</definedName>
    <definedName name="NOV29BF">Parameters!$B$8</definedName>
    <definedName name="HEADCOUNT">Parameters!$B$9</definedName>
    <definedName name="NIGHTS">Parameters!$B$10</definedName>
    <definedName name="TAXRATE">Parameters!$B$11</definedName>
    <definedName name="REGFEE">Parameters!$B$12</definedName>
    <definedName name="VENUEDAY">CityData!$B$26</definedName>
    <definedName name="VENUEDAYS">CityData!$B$27</definedName>
    <definedName name="REFRPP">CityData!$B$28</definedName>
    <definedName name="REFRDAYS">CityData!$B$29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9"/>
    </font>
    <font>
      <b val="1"/>
      <color rgb="00FFFFFF"/>
      <sz val="11"/>
    </font>
    <font>
      <b val="1"/>
    </font>
    <font>
      <color rgb="00555555"/>
      <sz val="9"/>
    </font>
    <font>
      <b val="1"/>
      <sz val="12"/>
    </font>
    <font>
      <b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4" fillId="4" borderId="1" pivotButton="0" quotePrefix="0" xfId="0"/>
    <xf numFmtId="2" fontId="4" fillId="4" borderId="1" pivotButton="0" quotePrefix="0" xfId="0"/>
    <xf numFmtId="164" fontId="4" fillId="4" borderId="1" pivotButton="0" quotePrefix="0" xfId="0"/>
    <xf numFmtId="0" fontId="4" fillId="4" borderId="1" pivotButton="0" quotePrefix="0" xfId="0"/>
    <xf numFmtId="1" fontId="4" fillId="4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4" fontId="0" fillId="0" borderId="1" pivotButton="0" quotePrefix="0" xfId="0"/>
    <xf numFmtId="4" fontId="0" fillId="4" borderId="1" pivotButton="0" quotePrefix="0" xfId="0"/>
    <xf numFmtId="0" fontId="4" fillId="4" borderId="0" pivotButton="0" quotePrefix="0" xfId="0"/>
    <xf numFmtId="0" fontId="4" fillId="0" borderId="1" pivotButton="0" quotePrefix="0" xfId="0"/>
    <xf numFmtId="4" fontId="4" fillId="5" borderId="1" pivotButton="0" quotePrefix="0" xfId="0"/>
    <xf numFmtId="1" fontId="0" fillId="0" borderId="1" pivotButton="0" quotePrefix="0" xfId="0"/>
    <xf numFmtId="4" fontId="6" fillId="5" borderId="1" pivotButton="0" quotePrefix="0" xfId="0"/>
    <xf numFmtId="0" fontId="0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pivotButton="0" quotePrefix="0" xfId="0"/>
    <xf numFmtId="1" fontId="0" fillId="5" borderId="1" pivotButton="0" quotePrefix="0" xfId="0"/>
    <xf numFmtId="4" fontId="0" fillId="5" borderId="1" pivotButton="0" quotePrefix="0" xfId="0"/>
    <xf numFmtId="0" fontId="0" fillId="7" borderId="1" pivotButton="0" quotePrefix="0" xfId="0"/>
    <xf numFmtId="2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8" customWidth="1" min="3" max="3"/>
    <col width="8" customWidth="1" min="4" max="4"/>
  </cols>
  <sheetData>
    <row r="1" ht="22" customHeight="1">
      <c r="A1" s="1" t="inlineStr">
        <is>
          <t>USDA RURAL DEVELOPMENT — CENTRALIZED TRAINING BUDGET (Nov 29 – Dec 1, 2026)</t>
        </is>
      </c>
    </row>
    <row r="2" ht="26" customHeight="1">
      <c r="A2" s="2" t="inlineStr">
        <is>
          <t>Adjust the yellow cells. Daily, Options, Historical and Thresholds sheets recompute automatically. No internet pricing is pulled; quotes are a 2026-10-24 snapshot.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Allowed range / note</t>
        </is>
      </c>
      <c r="D4" s="3" t="inlineStr">
        <is>
          <t>Unit</t>
        </is>
      </c>
    </row>
    <row r="5">
      <c r="A5" s="4" t="inlineStr">
        <is>
          <t>Approved budget ceiling (incl. reserve)</t>
        </is>
      </c>
      <c r="B5" s="5" t="n">
        <v>53000</v>
      </c>
      <c r="C5" s="4" t="inlineStr">
        <is>
          <t>0 – 100,000 (incl. reserve)</t>
        </is>
      </c>
      <c r="D5" s="4" t="inlineStr">
        <is>
          <t>USD</t>
        </is>
      </c>
    </row>
    <row r="6">
      <c r="A6" s="4" t="inlineStr">
        <is>
          <t>Airfare adjustment factor</t>
        </is>
      </c>
      <c r="B6" s="6" t="n">
        <v>1</v>
      </c>
      <c r="C6" s="4" t="inlineStr">
        <is>
          <t>0.5 – 2.0; stress scenario = factor × 1.20</t>
        </is>
      </c>
      <c r="D6" s="4" t="inlineStr"/>
    </row>
    <row r="7">
      <c r="A7" s="4" t="inlineStr">
        <is>
          <t>Contingency reserve rate</t>
        </is>
      </c>
      <c r="B7" s="7" t="n">
        <v>0.05</v>
      </c>
      <c r="C7" s="4" t="inlineStr">
        <is>
          <t>0 – 20% of base subtotal</t>
        </is>
      </c>
      <c r="D7" s="4" t="inlineStr"/>
    </row>
    <row r="8">
      <c r="A8" s="4" t="inlineStr">
        <is>
          <t>Nov 29 breakfast provided by government?</t>
        </is>
      </c>
      <c r="B8" s="8" t="inlineStr">
        <is>
          <t>No</t>
        </is>
      </c>
      <c r="C8" s="4" t="inlineStr">
        <is>
          <t>Yes/No — 'Yes' adds NO new purchase</t>
        </is>
      </c>
      <c r="D8" s="4" t="inlineStr"/>
    </row>
    <row r="9">
      <c r="A9" s="4" t="inlineStr">
        <is>
          <t>Attendee count (headcount)</t>
        </is>
      </c>
      <c r="B9" s="8" t="n">
        <v>24</v>
      </c>
      <c r="C9" s="4" t="inlineStr">
        <is>
          <t>18 or 24</t>
        </is>
      </c>
      <c r="D9" s="4" t="inlineStr"/>
    </row>
    <row r="10">
      <c r="A10" s="4" t="inlineStr">
        <is>
          <t>Lodging nights</t>
        </is>
      </c>
      <c r="B10" s="9" t="n">
        <v>4</v>
      </c>
      <c r="C10" s="4" t="inlineStr">
        <is>
          <t>Nov 28/29/30/Dec 1 (checkout Dec 2)</t>
        </is>
      </c>
      <c r="D10" s="4" t="inlineStr">
        <is>
          <t>nights</t>
        </is>
      </c>
    </row>
    <row r="11">
      <c r="A11" s="4" t="inlineStr">
        <is>
          <t>Internal lodging-tax rate (budget est.)</t>
        </is>
      </c>
      <c r="B11" s="7" t="n">
        <v>0.12</v>
      </c>
      <c r="C11" s="4" t="inlineStr">
        <is>
          <t>12% of reimbursable lodging — planning only</t>
        </is>
      </c>
      <c r="D11" s="4" t="inlineStr"/>
    </row>
    <row r="12">
      <c r="A12" s="4" t="inlineStr">
        <is>
          <t>Registration fee per person</t>
        </is>
      </c>
      <c r="B12" s="5" t="n">
        <v>180</v>
      </c>
      <c r="C12" s="4" t="inlineStr">
        <is>
          <t>Incl. lunches Nov 29/30 &amp; Dec 1</t>
        </is>
      </c>
      <c r="D12" s="4" t="inlineStr">
        <is>
          <t>USD</t>
        </is>
      </c>
    </row>
    <row r="13">
      <c r="A13" s="4" t="inlineStr">
        <is>
          <t>Arrival date</t>
        </is>
      </c>
      <c r="B13" s="8" t="inlineStr">
        <is>
          <t>2026-11-28</t>
        </is>
      </c>
      <c r="C13" s="4" t="inlineStr">
        <is>
          <t>Day before training; must fully attend</t>
        </is>
      </c>
      <c r="D13" s="4" t="inlineStr"/>
    </row>
    <row r="14">
      <c r="A14" s="4" t="inlineStr">
        <is>
          <t>Departure date</t>
        </is>
      </c>
      <c r="B14" s="8" t="inlineStr">
        <is>
          <t>2026-12-02</t>
        </is>
      </c>
      <c r="C14" s="4" t="inlineStr">
        <is>
          <t>Day after training</t>
        </is>
      </c>
      <c r="D14" s="4" t="inlineStr"/>
    </row>
    <row r="15">
      <c r="A15" s="4" t="inlineStr">
        <is>
          <t>Training dates (fixed)</t>
        </is>
      </c>
      <c r="B15" s="8" t="inlineStr">
        <is>
          <t>2026-11-29 → 2026-12-01</t>
        </is>
      </c>
      <c r="C15" s="4" t="inlineStr">
        <is>
          <t>Catered dates unchanged</t>
        </is>
      </c>
      <c r="D15" s="4" t="inlineStr"/>
    </row>
    <row r="18">
      <c r="A18" s="10" t="inlineStr">
        <is>
          <t>Key regulatory basis:</t>
        </is>
      </c>
    </row>
    <row r="19">
      <c r="A19" s="11" t="inlineStr">
        <is>
          <t>• 41 CFR 301-11.100 / 301-74.6: lodging reimbursed at actual cost not exceeding locality per-diem cap (per night).</t>
        </is>
      </c>
    </row>
    <row r="20">
      <c r="A20" s="11" t="inlineStr">
        <is>
          <t>• 41 CFR 301-74.1/.3/.4/.5: minimize cost; compare ≥ sites using established per-diem rates.</t>
        </is>
      </c>
    </row>
    <row r="21">
      <c r="A21" s="11" t="inlineStr">
        <is>
          <t>• 41 CFR 301-74.7: light refreshments (coffee/fruit/water) allowed; no M&amp;IE deduction (301-74.21(b)).</t>
        </is>
      </c>
    </row>
    <row r="22">
      <c r="A22" s="11" t="inlineStr">
        <is>
          <t>• 41 CFR 301-11.18 / 301-74.21(a): furnished meals deducted from traveler M&amp;IE (not applicable to this agency-funded catering budget).</t>
        </is>
      </c>
    </row>
    <row r="23">
      <c r="A23" s="11" t="inlineStr">
        <is>
          <t>• RD Instruction 2036-A (eff. 2024-07-19): RD travel policy — attendee travel kept to minimum necessary; per-diem compliance required.</t>
        </is>
      </c>
    </row>
    <row r="24">
      <c r="A24" s="11" t="inlineStr">
        <is>
          <t>• Over-cap hotels are NOT compliant recommendations without written actual-expense authorization (301-11.300/.301); none is held.</t>
        </is>
      </c>
    </row>
    <row r="30">
      <c r="A30" s="30" t="inlineStr">
        <is>
          <t>SNAPSHOT NOTICE: Word/CSV/PPT/PDF deliverables reflect the itinerary &amp; parameters above as of 2026-10-24. If any yellow parameter or date changes, re-check whether quotes still apply, distinguish executable vs. re-quote-pending estimates, and re-export the affected files.</t>
        </is>
      </c>
    </row>
    <row r="31"/>
    <row r="32"/>
    <row r="33"/>
  </sheetData>
  <mergeCells count="9">
    <mergeCell ref="A1:D1"/>
    <mergeCell ref="A23:D23"/>
    <mergeCell ref="A22:D22"/>
    <mergeCell ref="A20:D20"/>
    <mergeCell ref="A21:D21"/>
    <mergeCell ref="A24:D24"/>
    <mergeCell ref="A19:D19"/>
    <mergeCell ref="A2:D2"/>
    <mergeCell ref="A30: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6" customWidth="1" min="4" max="4"/>
    <col width="36" customWidth="1" min="5" max="5"/>
    <col width="16" customWidth="1" min="6" max="6"/>
    <col width="13" customWidth="1" min="7" max="7"/>
    <col width="9" customWidth="1" min="8" max="8"/>
    <col width="12" customWidth="1" min="9" max="9"/>
    <col width="15" customWidth="1" min="10" max="10"/>
    <col width="16" customWidth="1" min="11" max="11"/>
    <col width="10" customWidth="1" min="12" max="12"/>
  </cols>
  <sheetData>
    <row r="1">
      <c r="A1" s="12" t="inlineStr">
        <is>
          <t>CITY ANCHOR DATA — real market quotes (ITA Matrix flights; Trip.com hotels) queried 2026-10-24, USD</t>
        </is>
      </c>
    </row>
    <row r="2">
      <c r="A2" s="3" t="inlineStr">
        <is>
          <t>City</t>
        </is>
      </c>
      <c r="B2" s="3" t="inlineStr">
        <is>
          <t>Dest airport</t>
        </is>
      </c>
      <c r="C2" s="3" t="inlineStr">
        <is>
          <t>Flight RT (nonstop, DCA)</t>
        </is>
      </c>
      <c r="D2" s="3" t="inlineStr">
        <is>
          <t>Flight airline</t>
        </is>
      </c>
      <c r="E2" s="3" t="inlineStr">
        <is>
          <t>Hotel (budgeted)</t>
        </is>
      </c>
      <c r="F2" s="3" t="inlineStr">
        <is>
          <t>Hotel nightly (excl tax)</t>
        </is>
      </c>
      <c r="G2" s="3" t="inlineStr">
        <is>
          <t>Hotel rating /10</t>
        </is>
      </c>
      <c r="H2" s="3" t="inlineStr">
        <is>
          <t>Reviews</t>
        </is>
      </c>
      <c r="I2" s="3" t="inlineStr">
        <is>
          <t>Breakfast incl?</t>
        </is>
      </c>
      <c r="J2" s="3" t="inlineStr">
        <is>
          <t>FY27 cap Nov night</t>
        </is>
      </c>
      <c r="K2" s="3" t="inlineStr">
        <is>
          <t>FY27 cap Dec1 night</t>
        </is>
      </c>
      <c r="L2" s="3" t="inlineStr">
        <is>
          <t>MIE (FY27)</t>
        </is>
      </c>
    </row>
    <row r="3">
      <c r="A3" s="4" t="inlineStr">
        <is>
          <t>Boston</t>
        </is>
      </c>
      <c r="B3" s="4" t="inlineStr">
        <is>
          <t>BOS</t>
        </is>
      </c>
      <c r="C3" s="4" t="n">
        <v>358</v>
      </c>
      <c r="D3" s="4" t="inlineStr">
        <is>
          <t>American</t>
        </is>
      </c>
      <c r="E3" s="4" t="inlineStr">
        <is>
          <t>DoubleTree by Hilton Boston Bayside</t>
        </is>
      </c>
      <c r="F3" s="13" t="n">
        <v>108</v>
      </c>
      <c r="G3" s="4" t="n">
        <v>8.6</v>
      </c>
      <c r="H3" s="4" t="n">
        <v>449</v>
      </c>
      <c r="I3" s="4" t="inlineStr">
        <is>
          <t>Yes</t>
        </is>
      </c>
      <c r="J3" s="4" t="n">
        <v>213</v>
      </c>
      <c r="K3" s="4" t="n">
        <v>213</v>
      </c>
      <c r="L3" s="4" t="n">
        <v>92</v>
      </c>
    </row>
    <row r="4">
      <c r="A4" s="4" t="inlineStr">
        <is>
          <t>Chicago</t>
        </is>
      </c>
      <c r="B4" s="4" t="inlineStr">
        <is>
          <t>ORD</t>
        </is>
      </c>
      <c r="C4" s="4" t="n">
        <v>270</v>
      </c>
      <c r="D4" s="4" t="inlineStr">
        <is>
          <t>American</t>
        </is>
      </c>
      <c r="E4" s="4" t="inlineStr">
        <is>
          <t>Warwick Allerton Chicago</t>
        </is>
      </c>
      <c r="F4" s="13" t="n">
        <v>145</v>
      </c>
      <c r="G4" s="4" t="n">
        <v>8.6</v>
      </c>
      <c r="H4" s="4" t="n">
        <v>399</v>
      </c>
      <c r="I4" s="4" t="inlineStr">
        <is>
          <t>No</t>
        </is>
      </c>
      <c r="J4" s="4" t="n">
        <v>232</v>
      </c>
      <c r="K4" s="4" t="n">
        <v>148</v>
      </c>
      <c r="L4" s="4" t="n">
        <v>92</v>
      </c>
    </row>
    <row r="5">
      <c r="A5" s="4" t="inlineStr">
        <is>
          <t>Denver</t>
        </is>
      </c>
      <c r="B5" s="4" t="inlineStr">
        <is>
          <t>DEN</t>
        </is>
      </c>
      <c r="C5" s="4" t="n">
        <v>741</v>
      </c>
      <c r="D5" s="4" t="inlineStr">
        <is>
          <t>Frontier</t>
        </is>
      </c>
      <c r="E5" s="4" t="inlineStr">
        <is>
          <t>Home2 Suites by Hilton Denver Downtown</t>
        </is>
      </c>
      <c r="F5" s="13" t="n">
        <v>109</v>
      </c>
      <c r="G5" s="4" t="n">
        <v>9</v>
      </c>
      <c r="H5" s="4" t="n">
        <v>94</v>
      </c>
      <c r="I5" s="4" t="inlineStr">
        <is>
          <t>Yes</t>
        </is>
      </c>
      <c r="J5" s="4" t="n">
        <v>170</v>
      </c>
      <c r="K5" s="4" t="n">
        <v>170</v>
      </c>
      <c r="L5" s="4" t="n">
        <v>92</v>
      </c>
    </row>
    <row r="6">
      <c r="A6" s="4" t="inlineStr">
        <is>
          <t>Phoenix</t>
        </is>
      </c>
      <c r="B6" s="4" t="inlineStr">
        <is>
          <t>PHX</t>
        </is>
      </c>
      <c r="C6" s="4" t="n">
        <v>581</v>
      </c>
      <c r="D6" s="4" t="inlineStr">
        <is>
          <t>American</t>
        </is>
      </c>
      <c r="E6" s="4" t="inlineStr">
        <is>
          <t>Hampton Inn &amp; Suites Phoenix</t>
        </is>
      </c>
      <c r="F6" s="13" t="n">
        <v>150</v>
      </c>
      <c r="G6" s="4" t="n">
        <v>9.4</v>
      </c>
      <c r="H6" s="4" t="n">
        <v>116</v>
      </c>
      <c r="I6" s="4" t="inlineStr">
        <is>
          <t>Yes</t>
        </is>
      </c>
      <c r="J6" s="4" t="n">
        <v>165</v>
      </c>
      <c r="K6" s="4" t="n">
        <v>165</v>
      </c>
      <c r="L6" s="4" t="n">
        <v>86</v>
      </c>
    </row>
    <row r="7">
      <c r="A7" s="4" t="inlineStr">
        <is>
          <t>Seattle</t>
        </is>
      </c>
      <c r="B7" s="4" t="inlineStr">
        <is>
          <t>SEA</t>
        </is>
      </c>
      <c r="C7" s="4" t="n">
        <v>977</v>
      </c>
      <c r="D7" s="4" t="inlineStr">
        <is>
          <t>Multiple carriers</t>
        </is>
      </c>
      <c r="E7" s="4" t="inlineStr">
        <is>
          <t>Belltown BF-incl (SpringHill-class)</t>
        </is>
      </c>
      <c r="F7" s="13" t="n">
        <v>103</v>
      </c>
      <c r="G7" s="4" t="n">
        <v>8.6</v>
      </c>
      <c r="H7" s="4" t="n">
        <v>114</v>
      </c>
      <c r="I7" s="4" t="inlineStr">
        <is>
          <t>Yes</t>
        </is>
      </c>
      <c r="J7" s="4" t="n">
        <v>188</v>
      </c>
      <c r="K7" s="4" t="n">
        <v>188</v>
      </c>
      <c r="L7" s="4" t="n">
        <v>92</v>
      </c>
    </row>
    <row r="9">
      <c r="A9" s="10" t="inlineStr">
        <is>
          <t>Meal planning rates (GSA FY2027 M&amp;IE components, internal catering estimate):</t>
        </is>
      </c>
    </row>
    <row r="10">
      <c r="A10" s="3" t="inlineStr">
        <is>
          <t>City</t>
        </is>
      </c>
      <c r="B10" s="3" t="inlineStr">
        <is>
          <t>Breakfast $</t>
        </is>
      </c>
      <c r="C10" s="3" t="inlineStr">
        <is>
          <t>Lunch $</t>
        </is>
      </c>
      <c r="D10" s="3" t="inlineStr">
        <is>
          <t>Dinner $</t>
        </is>
      </c>
    </row>
    <row r="11">
      <c r="A11" s="4" t="inlineStr">
        <is>
          <t>Boston</t>
        </is>
      </c>
      <c r="B11" s="13" t="n">
        <v>23</v>
      </c>
      <c r="C11" s="13" t="n">
        <v>26</v>
      </c>
      <c r="D11" s="13" t="n">
        <v>38</v>
      </c>
    </row>
    <row r="12">
      <c r="A12" s="4" t="inlineStr">
        <is>
          <t>Chicago</t>
        </is>
      </c>
      <c r="B12" s="13" t="n">
        <v>23</v>
      </c>
      <c r="C12" s="13" t="n">
        <v>26</v>
      </c>
      <c r="D12" s="13" t="n">
        <v>38</v>
      </c>
    </row>
    <row r="13">
      <c r="A13" s="4" t="inlineStr">
        <is>
          <t>Denver</t>
        </is>
      </c>
      <c r="B13" s="13" t="n">
        <v>23</v>
      </c>
      <c r="C13" s="13" t="n">
        <v>26</v>
      </c>
      <c r="D13" s="13" t="n">
        <v>38</v>
      </c>
    </row>
    <row r="14">
      <c r="A14" s="4" t="inlineStr">
        <is>
          <t>Phoenix</t>
        </is>
      </c>
      <c r="B14" s="13" t="n">
        <v>22</v>
      </c>
      <c r="C14" s="13" t="n">
        <v>23</v>
      </c>
      <c r="D14" s="13" t="n">
        <v>36</v>
      </c>
    </row>
    <row r="15">
      <c r="A15" s="4" t="inlineStr">
        <is>
          <t>Seattle</t>
        </is>
      </c>
      <c r="B15" s="13" t="n">
        <v>23</v>
      </c>
      <c r="C15" s="13" t="n">
        <v>26</v>
      </c>
      <c r="D15" s="13" t="n">
        <v>38</v>
      </c>
    </row>
    <row r="17">
      <c r="A17" s="11" t="inlineStr">
        <is>
          <t>Ground transport RT per person (dest airport↔hotel) + home↔DCA (est). Boston DoubleTree offers free airport shuttle.</t>
        </is>
      </c>
    </row>
    <row r="18">
      <c r="A18" s="3" t="inlineStr">
        <is>
          <t>City</t>
        </is>
      </c>
      <c r="B18" s="3" t="inlineStr">
        <is>
          <t>Airport↔hotel RT $</t>
        </is>
      </c>
      <c r="C18" s="3" t="inlineStr">
        <is>
          <t>Home↔DCA RT $</t>
        </is>
      </c>
    </row>
    <row r="19">
      <c r="A19" s="4" t="inlineStr">
        <is>
          <t>Boston</t>
        </is>
      </c>
      <c r="B19" s="13" t="n">
        <v>0</v>
      </c>
      <c r="C19" s="13" t="n">
        <v>40</v>
      </c>
    </row>
    <row r="20">
      <c r="A20" s="4" t="inlineStr">
        <is>
          <t>Chicago</t>
        </is>
      </c>
      <c r="B20" s="13" t="n">
        <v>40</v>
      </c>
      <c r="C20" s="13" t="n">
        <v>40</v>
      </c>
    </row>
    <row r="21">
      <c r="A21" s="4" t="inlineStr">
        <is>
          <t>Denver</t>
        </is>
      </c>
      <c r="B21" s="13" t="n">
        <v>60</v>
      </c>
      <c r="C21" s="13" t="n">
        <v>40</v>
      </c>
    </row>
    <row r="22">
      <c r="A22" s="4" t="inlineStr">
        <is>
          <t>Phoenix</t>
        </is>
      </c>
      <c r="B22" s="13" t="n">
        <v>50</v>
      </c>
      <c r="C22" s="13" t="n">
        <v>40</v>
      </c>
    </row>
    <row r="23">
      <c r="A23" s="4" t="inlineStr">
        <is>
          <t>Seattle</t>
        </is>
      </c>
      <c r="B23" s="13" t="n">
        <v>60</v>
      </c>
      <c r="C23" s="13" t="n">
        <v>40</v>
      </c>
    </row>
    <row r="25">
      <c r="A25" s="10" t="inlineStr">
        <is>
          <t>Shared/fixed &amp; light-refreshment planning inputs (to be quoted — see Sources):</t>
        </is>
      </c>
    </row>
    <row r="26">
      <c r="A26" s="4" t="inlineStr">
        <is>
          <t>Meeting venue per day (est., TBQ)</t>
        </is>
      </c>
      <c r="B26" s="14" t="n">
        <v>1200</v>
      </c>
    </row>
    <row r="27">
      <c r="A27" s="4" t="inlineStr">
        <is>
          <t>Venue days</t>
        </is>
      </c>
      <c r="B27" s="14" t="n">
        <v>3</v>
      </c>
    </row>
    <row r="28">
      <c r="A28" s="4" t="inlineStr">
        <is>
          <t>Light refreshments per person/day (301-74.7)</t>
        </is>
      </c>
      <c r="B28" s="14" t="n">
        <v>15</v>
      </c>
    </row>
    <row r="29">
      <c r="A29" s="4" t="inlineStr">
        <is>
          <t>Refreshment days</t>
        </is>
      </c>
      <c r="B29" s="14" t="n">
        <v>3</v>
      </c>
    </row>
  </sheetData>
  <mergeCells count="4">
    <mergeCell ref="A17:L17"/>
    <mergeCell ref="A1:L1"/>
    <mergeCell ref="A9:L9"/>
    <mergeCell ref="A25:L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0" customHeight="1">
      <c r="A1" s="1" t="inlineStr">
        <is>
          <t>DAILY PER-PERSON COST DETAIL — driven by recommended city &amp; parameters</t>
        </is>
      </c>
    </row>
    <row r="2">
      <c r="A2" s="10" t="inlineStr">
        <is>
          <t>Recommended city:</t>
        </is>
      </c>
      <c r="B2" s="15" t="inlineStr">
        <is>
          <t>Boston</t>
        </is>
      </c>
      <c r="C2" s="11" t="inlineStr">
        <is>
          <t>(change to Boston/Chicago/Denver/Phoenix/Seattle — pulls that city's anchor data)</t>
        </is>
      </c>
    </row>
    <row r="4">
      <c r="A4" s="3" t="inlineStr">
        <is>
          <t>Per-person building blocks</t>
        </is>
      </c>
      <c r="B4" s="21" t="n"/>
      <c r="C4" s="21" t="n"/>
      <c r="D4" s="21" t="n"/>
      <c r="E4" s="21" t="n"/>
      <c r="F4" s="21" t="n"/>
      <c r="G4" s="21" t="n"/>
      <c r="H4" s="22" t="n"/>
    </row>
    <row r="5">
      <c r="A5" s="4" t="inlineStr">
        <is>
          <t>Round-trip airfare (× airfare factor)</t>
        </is>
      </c>
      <c r="B5" s="13">
        <f>INDEX(CityData!$C:$C,MATCH(Daily!$B$2,CityData!$A:$A,0))*FFAC</f>
        <v/>
      </c>
    </row>
    <row r="6">
      <c r="A6" s="4" t="inlineStr">
        <is>
          <t>Lodging — room only (nightly × nights)</t>
        </is>
      </c>
      <c r="B6" s="13">
        <f>INDEX(CityData!$F:$F,MATCH(Daily!$B$2,CityData!$A:$A,0))*NIGHTS</f>
        <v/>
      </c>
    </row>
    <row r="7">
      <c r="A7" s="4" t="inlineStr">
        <is>
          <t>Lodging tax (internal est.)</t>
        </is>
      </c>
      <c r="B7" s="13">
        <f>B6*TAXRATE</f>
        <v/>
      </c>
    </row>
    <row r="8">
      <c r="A8" s="4" t="inlineStr">
        <is>
          <t>Registration fee (incl. 3 lunches)</t>
        </is>
      </c>
      <c r="B8" s="13">
        <f>REGFEE</f>
        <v/>
      </c>
    </row>
    <row r="9">
      <c r="A9" s="4" t="inlineStr">
        <is>
          <t>Agency dinners (Nov 28 &amp; Dec 1)</t>
        </is>
      </c>
      <c r="B9" s="13">
        <f>2*INDEX(CityData!$D$11:$D$15,MATCH(Daily!$B$2,CityData!$A$11:$A$15,0))</f>
        <v/>
      </c>
    </row>
    <row r="10">
      <c r="A10" s="4" t="inlineStr">
        <is>
          <t>Agency lunch (Dec 2 travel-home day)</t>
        </is>
      </c>
      <c r="B10" s="13">
        <f>INDEX(CityData!$C$11:$C$15,MATCH(Daily!$B$2,CityData!$A$11:$A$15,0))</f>
        <v/>
      </c>
    </row>
    <row r="11">
      <c r="A11" s="4" t="inlineStr">
        <is>
          <t>Breakfast (4 nights) — $0 if hotel-included</t>
        </is>
      </c>
      <c r="B11" s="13">
        <f>IF(INDEX(CityData!$I:$I,MATCH(Daily!$B$2,CityData!$A:$A,0))="Yes",0,INDEX(CityData!$B$11:$B$15,MATCH(Daily!$B$2,CityData!$A$11:$A$15,0))*NIGHTS)</f>
        <v/>
      </c>
    </row>
    <row r="12">
      <c r="A12" s="4" t="inlineStr">
        <is>
          <t>Nov 29 breakfast adj. (param; no new purchase)</t>
        </is>
      </c>
      <c r="B12" s="13">
        <f>0</f>
        <v/>
      </c>
    </row>
    <row r="13">
      <c r="A13" s="4" t="inlineStr">
        <is>
          <t>Light refreshments (coffee/fruit/water)</t>
        </is>
      </c>
      <c r="B13" s="13">
        <f>REFRPP*REFRDAYS</f>
        <v/>
      </c>
    </row>
    <row r="14">
      <c r="A14" s="4" t="inlineStr">
        <is>
          <t>Ground transport (airport↔hotel + home↔DCA)</t>
        </is>
      </c>
      <c r="B14" s="13">
        <f>INDEX(CityData!$B$19:$B$23,MATCH(Daily!$B$2,CityData!$A$19:$A$23,0))+INDEX(CityData!$C$19:$C$23,MATCH(Daily!$B$2,CityData!$A$19:$A$23,0))</f>
        <v/>
      </c>
    </row>
    <row r="15">
      <c r="A15" s="16" t="inlineStr">
        <is>
          <t>PER-PERSON SUBTOTAL</t>
        </is>
      </c>
      <c r="B15" s="17">
        <f>SUM(B5:B14)</f>
        <v/>
      </c>
    </row>
    <row r="17">
      <c r="A17" s="3" t="inlineStr">
        <is>
          <t>Shared / fixed costs (per event)</t>
        </is>
      </c>
      <c r="B17" s="21" t="n"/>
      <c r="C17" s="21" t="n"/>
      <c r="D17" s="21" t="n"/>
      <c r="E17" s="21" t="n"/>
      <c r="F17" s="21" t="n"/>
      <c r="G17" s="21" t="n"/>
      <c r="H17" s="22" t="n"/>
    </row>
    <row r="18">
      <c r="A18" s="4" t="inlineStr">
        <is>
          <t>Meeting venue (days × daily rate) — TBQ</t>
        </is>
      </c>
      <c r="B18" s="13">
        <f>VENUEDAY*VENUEDAYS</f>
        <v/>
      </c>
    </row>
    <row r="19">
      <c r="A19" s="16" t="inlineStr">
        <is>
          <t>FIXED SUBTOTAL</t>
        </is>
      </c>
      <c r="B19" s="17">
        <f>B18</f>
        <v/>
      </c>
    </row>
    <row r="21">
      <c r="A21" s="3" t="inlineStr">
        <is>
          <t>EVENT TOTALS (at chosen headcount)</t>
        </is>
      </c>
      <c r="B21" s="21" t="n"/>
      <c r="C21" s="21" t="n"/>
      <c r="D21" s="21" t="n"/>
      <c r="E21" s="21" t="n"/>
      <c r="F21" s="21" t="n"/>
      <c r="G21" s="21" t="n"/>
      <c r="H21" s="22" t="n"/>
    </row>
    <row r="22">
      <c r="A22" s="4" t="inlineStr">
        <is>
          <t>Headcount (param)</t>
        </is>
      </c>
      <c r="B22" s="18">
        <f>HEADCOUNT</f>
        <v/>
      </c>
    </row>
    <row r="23">
      <c r="A23" s="4" t="inlineStr">
        <is>
          <t>Variable total (per-person × headcount)</t>
        </is>
      </c>
      <c r="B23" s="13">
        <f>B15*HEADCOUNT</f>
        <v/>
      </c>
    </row>
    <row r="24">
      <c r="A24" s="4" t="inlineStr">
        <is>
          <t>Base subtotal (variable + fixed)</t>
        </is>
      </c>
      <c r="B24" s="13">
        <f>B23+B19</f>
        <v/>
      </c>
    </row>
    <row r="25">
      <c r="A25" s="4" t="inlineStr">
        <is>
          <t>Contingency reserve</t>
        </is>
      </c>
      <c r="B25" s="13">
        <f>B24*RESRATE</f>
        <v/>
      </c>
    </row>
    <row r="26">
      <c r="A26" s="16" t="inlineStr">
        <is>
          <t>GRAND TOTAL (base + reserve)</t>
        </is>
      </c>
      <c r="B26" s="19">
        <f>B24+B25</f>
        <v/>
      </c>
    </row>
    <row r="27">
      <c r="A27" s="4" t="inlineStr">
        <is>
          <t>Budget ceiling</t>
        </is>
      </c>
      <c r="B27" s="13">
        <f>CEILING</f>
        <v/>
      </c>
    </row>
    <row r="28">
      <c r="A28" s="4" t="inlineStr">
        <is>
          <t>Within budget?</t>
        </is>
      </c>
      <c r="B28" s="20">
        <f>IF(B26&lt;=CEILING,"YES — within ceiling","NO — exceeds ceiling")</f>
        <v/>
      </c>
    </row>
    <row r="29">
      <c r="A29" s="4" t="inlineStr">
        <is>
          <t>Headroom for unquoted/TBD base costs</t>
        </is>
      </c>
      <c r="B29" s="13">
        <f>CEILING/(1+RESRATE)-B24</f>
        <v/>
      </c>
    </row>
  </sheetData>
  <mergeCells count="5">
    <mergeCell ref="A4:H4"/>
    <mergeCell ref="A21:H21"/>
    <mergeCell ref="C2:H2"/>
    <mergeCell ref="A1:H1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3" customWidth="1" min="3" max="3"/>
    <col width="14" customWidth="1" min="4" max="4"/>
    <col width="8" customWidth="1" min="5" max="5"/>
    <col width="13" customWidth="1" min="6" max="6"/>
    <col width="9" customWidth="1" min="7" max="7"/>
    <col width="9" customWidth="1" min="8" max="8"/>
    <col width="11" customWidth="1" min="9" max="9"/>
    <col width="12" customWidth="1" min="10" max="10"/>
    <col width="12" customWidth="1" min="11" max="11"/>
    <col width="13" customWidth="1" min="12" max="12"/>
    <col width="10" customWidth="1" min="13" max="13"/>
    <col width="14" customWidth="1" min="14" max="14"/>
  </cols>
  <sheetData>
    <row r="1" ht="20" customHeight="1">
      <c r="A1" s="1" t="inlineStr">
        <is>
          <t>OPTIONS COMPARISON — 5 candidate cities × 18/24 attendees (base &amp; +20% airfare stress)</t>
        </is>
      </c>
    </row>
    <row r="2" ht="28" customHeight="1">
      <c r="A2" s="2" t="inlineStr">
        <is>
          <t>Per-person &amp; event totals built from the same formulas as Daily. 'Stress' applies airfare ×1.20 on top of the airfare factor. Decision rule: fit ceiling → more people → lower total-with-reserve → alphabetical.</t>
        </is>
      </c>
    </row>
    <row r="4">
      <c r="A4" s="3" t="inlineStr">
        <is>
          <t>City</t>
        </is>
      </c>
      <c r="B4" s="3" t="inlineStr">
        <is>
          <t>Head-count</t>
        </is>
      </c>
      <c r="C4" s="3" t="inlineStr">
        <is>
          <t>Airfare RT×fac</t>
        </is>
      </c>
      <c r="D4" s="3" t="inlineStr">
        <is>
          <t>Lodging+tax (4n)</t>
        </is>
      </c>
      <c r="E4" s="3" t="inlineStr">
        <is>
          <t>Reg</t>
        </is>
      </c>
      <c r="F4" s="3" t="inlineStr">
        <is>
          <t>Agency meals+bkfst</t>
        </is>
      </c>
      <c r="G4" s="3" t="inlineStr">
        <is>
          <t>Refresh.</t>
        </is>
      </c>
      <c r="H4" s="3" t="inlineStr">
        <is>
          <t>Ground</t>
        </is>
      </c>
      <c r="I4" s="3" t="inlineStr">
        <is>
          <t>Per-person</t>
        </is>
      </c>
      <c r="J4" s="3" t="inlineStr">
        <is>
          <t>Variable ×N</t>
        </is>
      </c>
      <c r="K4" s="3" t="inlineStr">
        <is>
          <t>Venue (fixed)</t>
        </is>
      </c>
      <c r="L4" s="3" t="inlineStr">
        <is>
          <t>Base subtotal</t>
        </is>
      </c>
      <c r="M4" s="3" t="inlineStr">
        <is>
          <t>Reserve</t>
        </is>
      </c>
      <c r="N4" s="3" t="inlineStr">
        <is>
          <t>TOTAL (base+res)</t>
        </is>
      </c>
    </row>
    <row r="5">
      <c r="A5" s="23" t="inlineStr">
        <is>
          <t>Boston</t>
        </is>
      </c>
      <c r="B5" s="24" t="n">
        <v>24</v>
      </c>
      <c r="C5" s="25">
        <f>INDEX(CityData!$C:$C,MATCH(A5,CityData!$A:$A,0))*FFAC</f>
        <v/>
      </c>
      <c r="D5" s="25">
        <f>INDEX(CityData!$F:$F,MATCH(A5,CityData!$A:$A,0))*NIGHTS*(1+TAXRATE)</f>
        <v/>
      </c>
      <c r="E5" s="25">
        <f>REGFEE</f>
        <v/>
      </c>
      <c r="F5" s="25">
        <f>2*INDEX(CityData!$D$11:$D$15,MATCH(A5,CityData!$A$11:$A$15,0))+INDEX(CityData!$C$11:$C$15,MATCH(A5,CityData!$A$11:$A$15,0))+IF(INDEX(CityData!$I:$I,MATCH(A5,CityData!$A:$A,0))="Yes",0,INDEX(CityData!$B$11:$B$15,MATCH(A5,CityData!$A$11:$A$15,0))*NIGHTS)</f>
        <v/>
      </c>
      <c r="G5" s="25">
        <f>REFRPP*REFRDAYS</f>
        <v/>
      </c>
      <c r="H5" s="25">
        <f>INDEX(CityData!$B$19:$B$23,MATCH(A5,CityData!$A$19:$A$23,0))+INDEX(CityData!$C$19:$C$23,MATCH(A5,CityData!$A$19:$A$23,0))</f>
        <v/>
      </c>
      <c r="I5" s="25">
        <f>C5+D5+E5+F5+G5+H5</f>
        <v/>
      </c>
      <c r="J5" s="25">
        <f>I5*B5</f>
        <v/>
      </c>
      <c r="K5" s="25">
        <f>VENUEDAY*VENUEDAYS</f>
        <v/>
      </c>
      <c r="L5" s="25">
        <f>J5+K5</f>
        <v/>
      </c>
      <c r="M5" s="25">
        <f>L5*RESRATE</f>
        <v/>
      </c>
      <c r="N5" s="25">
        <f>L5+M5</f>
        <v/>
      </c>
    </row>
    <row r="6">
      <c r="A6" s="4" t="inlineStr">
        <is>
          <t>Boston</t>
        </is>
      </c>
      <c r="B6" s="18" t="n">
        <v>18</v>
      </c>
      <c r="C6" s="13">
        <f>INDEX(CityData!$C:$C,MATCH(A6,CityData!$A:$A,0))*FFAC</f>
        <v/>
      </c>
      <c r="D6" s="13">
        <f>INDEX(CityData!$F:$F,MATCH(A6,CityData!$A:$A,0))*NIGHTS*(1+TAXRATE)</f>
        <v/>
      </c>
      <c r="E6" s="13">
        <f>REGFEE</f>
        <v/>
      </c>
      <c r="F6" s="13">
        <f>2*INDEX(CityData!$D$11:$D$15,MATCH(A6,CityData!$A$11:$A$15,0))+INDEX(CityData!$C$11:$C$15,MATCH(A6,CityData!$A$11:$A$15,0))+IF(INDEX(CityData!$I:$I,MATCH(A6,CityData!$A:$A,0))="Yes",0,INDEX(CityData!$B$11:$B$15,MATCH(A6,CityData!$A$11:$A$15,0))*NIGHTS)</f>
        <v/>
      </c>
      <c r="G6" s="13">
        <f>REFRPP*REFRDAYS</f>
        <v/>
      </c>
      <c r="H6" s="13">
        <f>INDEX(CityData!$B$19:$B$23,MATCH(A6,CityData!$A$19:$A$23,0))+INDEX(CityData!$C$19:$C$23,MATCH(A6,CityData!$A$19:$A$23,0))</f>
        <v/>
      </c>
      <c r="I6" s="13">
        <f>C6+D6+E6+F6+G6+H6</f>
        <v/>
      </c>
      <c r="J6" s="13">
        <f>I6*B6</f>
        <v/>
      </c>
      <c r="K6" s="13">
        <f>VENUEDAY*VENUEDAYS</f>
        <v/>
      </c>
      <c r="L6" s="13">
        <f>J6+K6</f>
        <v/>
      </c>
      <c r="M6" s="13">
        <f>L6*RESRATE</f>
        <v/>
      </c>
      <c r="N6" s="13">
        <f>L6+M6</f>
        <v/>
      </c>
    </row>
    <row r="7">
      <c r="A7" s="4" t="inlineStr">
        <is>
          <t>Chicago</t>
        </is>
      </c>
      <c r="B7" s="18" t="n">
        <v>24</v>
      </c>
      <c r="C7" s="13">
        <f>INDEX(CityData!$C:$C,MATCH(A7,CityData!$A:$A,0))*FFAC</f>
        <v/>
      </c>
      <c r="D7" s="13">
        <f>INDEX(CityData!$F:$F,MATCH(A7,CityData!$A:$A,0))*NIGHTS*(1+TAXRATE)</f>
        <v/>
      </c>
      <c r="E7" s="13">
        <f>REGFEE</f>
        <v/>
      </c>
      <c r="F7" s="13">
        <f>2*INDEX(CityData!$D$11:$D$15,MATCH(A7,CityData!$A$11:$A$15,0))+INDEX(CityData!$C$11:$C$15,MATCH(A7,CityData!$A$11:$A$15,0))+IF(INDEX(CityData!$I:$I,MATCH(A7,CityData!$A:$A,0))="Yes",0,INDEX(CityData!$B$11:$B$15,MATCH(A7,CityData!$A$11:$A$15,0))*NIGHTS)</f>
        <v/>
      </c>
      <c r="G7" s="13">
        <f>REFRPP*REFRDAYS</f>
        <v/>
      </c>
      <c r="H7" s="13">
        <f>INDEX(CityData!$B$19:$B$23,MATCH(A7,CityData!$A$19:$A$23,0))+INDEX(CityData!$C$19:$C$23,MATCH(A7,CityData!$A$19:$A$23,0))</f>
        <v/>
      </c>
      <c r="I7" s="13">
        <f>C7+D7+E7+F7+G7+H7</f>
        <v/>
      </c>
      <c r="J7" s="13">
        <f>I7*B7</f>
        <v/>
      </c>
      <c r="K7" s="13">
        <f>VENUEDAY*VENUEDAYS</f>
        <v/>
      </c>
      <c r="L7" s="13">
        <f>J7+K7</f>
        <v/>
      </c>
      <c r="M7" s="13">
        <f>L7*RESRATE</f>
        <v/>
      </c>
      <c r="N7" s="13">
        <f>L7+M7</f>
        <v/>
      </c>
    </row>
    <row r="8">
      <c r="A8" s="4" t="inlineStr">
        <is>
          <t>Chicago</t>
        </is>
      </c>
      <c r="B8" s="18" t="n">
        <v>18</v>
      </c>
      <c r="C8" s="13">
        <f>INDEX(CityData!$C:$C,MATCH(A8,CityData!$A:$A,0))*FFAC</f>
        <v/>
      </c>
      <c r="D8" s="13">
        <f>INDEX(CityData!$F:$F,MATCH(A8,CityData!$A:$A,0))*NIGHTS*(1+TAXRATE)</f>
        <v/>
      </c>
      <c r="E8" s="13">
        <f>REGFEE</f>
        <v/>
      </c>
      <c r="F8" s="13">
        <f>2*INDEX(CityData!$D$11:$D$15,MATCH(A8,CityData!$A$11:$A$15,0))+INDEX(CityData!$C$11:$C$15,MATCH(A8,CityData!$A$11:$A$15,0))+IF(INDEX(CityData!$I:$I,MATCH(A8,CityData!$A:$A,0))="Yes",0,INDEX(CityData!$B$11:$B$15,MATCH(A8,CityData!$A$11:$A$15,0))*NIGHTS)</f>
        <v/>
      </c>
      <c r="G8" s="13">
        <f>REFRPP*REFRDAYS</f>
        <v/>
      </c>
      <c r="H8" s="13">
        <f>INDEX(CityData!$B$19:$B$23,MATCH(A8,CityData!$A$19:$A$23,0))+INDEX(CityData!$C$19:$C$23,MATCH(A8,CityData!$A$19:$A$23,0))</f>
        <v/>
      </c>
      <c r="I8" s="13">
        <f>C8+D8+E8+F8+G8+H8</f>
        <v/>
      </c>
      <c r="J8" s="13">
        <f>I8*B8</f>
        <v/>
      </c>
      <c r="K8" s="13">
        <f>VENUEDAY*VENUEDAYS</f>
        <v/>
      </c>
      <c r="L8" s="13">
        <f>J8+K8</f>
        <v/>
      </c>
      <c r="M8" s="13">
        <f>L8*RESRATE</f>
        <v/>
      </c>
      <c r="N8" s="13">
        <f>L8+M8</f>
        <v/>
      </c>
    </row>
    <row r="9">
      <c r="A9" s="4" t="inlineStr">
        <is>
          <t>Denver</t>
        </is>
      </c>
      <c r="B9" s="18" t="n">
        <v>24</v>
      </c>
      <c r="C9" s="13">
        <f>INDEX(CityData!$C:$C,MATCH(A9,CityData!$A:$A,0))*FFAC</f>
        <v/>
      </c>
      <c r="D9" s="13">
        <f>INDEX(CityData!$F:$F,MATCH(A9,CityData!$A:$A,0))*NIGHTS*(1+TAXRATE)</f>
        <v/>
      </c>
      <c r="E9" s="13">
        <f>REGFEE</f>
        <v/>
      </c>
      <c r="F9" s="13">
        <f>2*INDEX(CityData!$D$11:$D$15,MATCH(A9,CityData!$A$11:$A$15,0))+INDEX(CityData!$C$11:$C$15,MATCH(A9,CityData!$A$11:$A$15,0))+IF(INDEX(CityData!$I:$I,MATCH(A9,CityData!$A:$A,0))="Yes",0,INDEX(CityData!$B$11:$B$15,MATCH(A9,CityData!$A$11:$A$15,0))*NIGHTS)</f>
        <v/>
      </c>
      <c r="G9" s="13">
        <f>REFRPP*REFRDAYS</f>
        <v/>
      </c>
      <c r="H9" s="13">
        <f>INDEX(CityData!$B$19:$B$23,MATCH(A9,CityData!$A$19:$A$23,0))+INDEX(CityData!$C$19:$C$23,MATCH(A9,CityData!$A$19:$A$23,0))</f>
        <v/>
      </c>
      <c r="I9" s="13">
        <f>C9+D9+E9+F9+G9+H9</f>
        <v/>
      </c>
      <c r="J9" s="13">
        <f>I9*B9</f>
        <v/>
      </c>
      <c r="K9" s="13">
        <f>VENUEDAY*VENUEDAYS</f>
        <v/>
      </c>
      <c r="L9" s="13">
        <f>J9+K9</f>
        <v/>
      </c>
      <c r="M9" s="13">
        <f>L9*RESRATE</f>
        <v/>
      </c>
      <c r="N9" s="13">
        <f>L9+M9</f>
        <v/>
      </c>
    </row>
    <row r="10">
      <c r="A10" s="4" t="inlineStr">
        <is>
          <t>Denver</t>
        </is>
      </c>
      <c r="B10" s="18" t="n">
        <v>18</v>
      </c>
      <c r="C10" s="13">
        <f>INDEX(CityData!$C:$C,MATCH(A10,CityData!$A:$A,0))*FFAC</f>
        <v/>
      </c>
      <c r="D10" s="13">
        <f>INDEX(CityData!$F:$F,MATCH(A10,CityData!$A:$A,0))*NIGHTS*(1+TAXRATE)</f>
        <v/>
      </c>
      <c r="E10" s="13">
        <f>REGFEE</f>
        <v/>
      </c>
      <c r="F10" s="13">
        <f>2*INDEX(CityData!$D$11:$D$15,MATCH(A10,CityData!$A$11:$A$15,0))+INDEX(CityData!$C$11:$C$15,MATCH(A10,CityData!$A$11:$A$15,0))+IF(INDEX(CityData!$I:$I,MATCH(A10,CityData!$A:$A,0))="Yes",0,INDEX(CityData!$B$11:$B$15,MATCH(A10,CityData!$A$11:$A$15,0))*NIGHTS)</f>
        <v/>
      </c>
      <c r="G10" s="13">
        <f>REFRPP*REFRDAYS</f>
        <v/>
      </c>
      <c r="H10" s="13">
        <f>INDEX(CityData!$B$19:$B$23,MATCH(A10,CityData!$A$19:$A$23,0))+INDEX(CityData!$C$19:$C$23,MATCH(A10,CityData!$A$19:$A$23,0))</f>
        <v/>
      </c>
      <c r="I10" s="13">
        <f>C10+D10+E10+F10+G10+H10</f>
        <v/>
      </c>
      <c r="J10" s="13">
        <f>I10*B10</f>
        <v/>
      </c>
      <c r="K10" s="13">
        <f>VENUEDAY*VENUEDAYS</f>
        <v/>
      </c>
      <c r="L10" s="13">
        <f>J10+K10</f>
        <v/>
      </c>
      <c r="M10" s="13">
        <f>L10*RESRATE</f>
        <v/>
      </c>
      <c r="N10" s="13">
        <f>L10+M10</f>
        <v/>
      </c>
    </row>
    <row r="11">
      <c r="A11" s="4" t="inlineStr">
        <is>
          <t>Phoenix</t>
        </is>
      </c>
      <c r="B11" s="18" t="n">
        <v>24</v>
      </c>
      <c r="C11" s="13">
        <f>INDEX(CityData!$C:$C,MATCH(A11,CityData!$A:$A,0))*FFAC</f>
        <v/>
      </c>
      <c r="D11" s="13">
        <f>INDEX(CityData!$F:$F,MATCH(A11,CityData!$A:$A,0))*NIGHTS*(1+TAXRATE)</f>
        <v/>
      </c>
      <c r="E11" s="13">
        <f>REGFEE</f>
        <v/>
      </c>
      <c r="F11" s="13">
        <f>2*INDEX(CityData!$D$11:$D$15,MATCH(A11,CityData!$A$11:$A$15,0))+INDEX(CityData!$C$11:$C$15,MATCH(A11,CityData!$A$11:$A$15,0))+IF(INDEX(CityData!$I:$I,MATCH(A11,CityData!$A:$A,0))="Yes",0,INDEX(CityData!$B$11:$B$15,MATCH(A11,CityData!$A$11:$A$15,0))*NIGHTS)</f>
        <v/>
      </c>
      <c r="G11" s="13">
        <f>REFRPP*REFRDAYS</f>
        <v/>
      </c>
      <c r="H11" s="13">
        <f>INDEX(CityData!$B$19:$B$23,MATCH(A11,CityData!$A$19:$A$23,0))+INDEX(CityData!$C$19:$C$23,MATCH(A11,CityData!$A$19:$A$23,0))</f>
        <v/>
      </c>
      <c r="I11" s="13">
        <f>C11+D11+E11+F11+G11+H11</f>
        <v/>
      </c>
      <c r="J11" s="13">
        <f>I11*B11</f>
        <v/>
      </c>
      <c r="K11" s="13">
        <f>VENUEDAY*VENUEDAYS</f>
        <v/>
      </c>
      <c r="L11" s="13">
        <f>J11+K11</f>
        <v/>
      </c>
      <c r="M11" s="13">
        <f>L11*RESRATE</f>
        <v/>
      </c>
      <c r="N11" s="13">
        <f>L11+M11</f>
        <v/>
      </c>
    </row>
    <row r="12">
      <c r="A12" s="4" t="inlineStr">
        <is>
          <t>Phoenix</t>
        </is>
      </c>
      <c r="B12" s="18" t="n">
        <v>18</v>
      </c>
      <c r="C12" s="13">
        <f>INDEX(CityData!$C:$C,MATCH(A12,CityData!$A:$A,0))*FFAC</f>
        <v/>
      </c>
      <c r="D12" s="13">
        <f>INDEX(CityData!$F:$F,MATCH(A12,CityData!$A:$A,0))*NIGHTS*(1+TAXRATE)</f>
        <v/>
      </c>
      <c r="E12" s="13">
        <f>REGFEE</f>
        <v/>
      </c>
      <c r="F12" s="13">
        <f>2*INDEX(CityData!$D$11:$D$15,MATCH(A12,CityData!$A$11:$A$15,0))+INDEX(CityData!$C$11:$C$15,MATCH(A12,CityData!$A$11:$A$15,0))+IF(INDEX(CityData!$I:$I,MATCH(A12,CityData!$A:$A,0))="Yes",0,INDEX(CityData!$B$11:$B$15,MATCH(A12,CityData!$A$11:$A$15,0))*NIGHTS)</f>
        <v/>
      </c>
      <c r="G12" s="13">
        <f>REFRPP*REFRDAYS</f>
        <v/>
      </c>
      <c r="H12" s="13">
        <f>INDEX(CityData!$B$19:$B$23,MATCH(A12,CityData!$A$19:$A$23,0))+INDEX(CityData!$C$19:$C$23,MATCH(A12,CityData!$A$19:$A$23,0))</f>
        <v/>
      </c>
      <c r="I12" s="13">
        <f>C12+D12+E12+F12+G12+H12</f>
        <v/>
      </c>
      <c r="J12" s="13">
        <f>I12*B12</f>
        <v/>
      </c>
      <c r="K12" s="13">
        <f>VENUEDAY*VENUEDAYS</f>
        <v/>
      </c>
      <c r="L12" s="13">
        <f>J12+K12</f>
        <v/>
      </c>
      <c r="M12" s="13">
        <f>L12*RESRATE</f>
        <v/>
      </c>
      <c r="N12" s="13">
        <f>L12+M12</f>
        <v/>
      </c>
    </row>
    <row r="13">
      <c r="A13" s="4" t="inlineStr">
        <is>
          <t>Seattle</t>
        </is>
      </c>
      <c r="B13" s="18" t="n">
        <v>24</v>
      </c>
      <c r="C13" s="13">
        <f>INDEX(CityData!$C:$C,MATCH(A13,CityData!$A:$A,0))*FFAC</f>
        <v/>
      </c>
      <c r="D13" s="13">
        <f>INDEX(CityData!$F:$F,MATCH(A13,CityData!$A:$A,0))*NIGHTS*(1+TAXRATE)</f>
        <v/>
      </c>
      <c r="E13" s="13">
        <f>REGFEE</f>
        <v/>
      </c>
      <c r="F13" s="13">
        <f>2*INDEX(CityData!$D$11:$D$15,MATCH(A13,CityData!$A$11:$A$15,0))+INDEX(CityData!$C$11:$C$15,MATCH(A13,CityData!$A$11:$A$15,0))+IF(INDEX(CityData!$I:$I,MATCH(A13,CityData!$A:$A,0))="Yes",0,INDEX(CityData!$B$11:$B$15,MATCH(A13,CityData!$A$11:$A$15,0))*NIGHTS)</f>
        <v/>
      </c>
      <c r="G13" s="13">
        <f>REFRPP*REFRDAYS</f>
        <v/>
      </c>
      <c r="H13" s="13">
        <f>INDEX(CityData!$B$19:$B$23,MATCH(A13,CityData!$A$19:$A$23,0))+INDEX(CityData!$C$19:$C$23,MATCH(A13,CityData!$A$19:$A$23,0))</f>
        <v/>
      </c>
      <c r="I13" s="13">
        <f>C13+D13+E13+F13+G13+H13</f>
        <v/>
      </c>
      <c r="J13" s="13">
        <f>I13*B13</f>
        <v/>
      </c>
      <c r="K13" s="13">
        <f>VENUEDAY*VENUEDAYS</f>
        <v/>
      </c>
      <c r="L13" s="13">
        <f>J13+K13</f>
        <v/>
      </c>
      <c r="M13" s="13">
        <f>L13*RESRATE</f>
        <v/>
      </c>
      <c r="N13" s="13">
        <f>L13+M13</f>
        <v/>
      </c>
    </row>
    <row r="14">
      <c r="A14" s="4" t="inlineStr">
        <is>
          <t>Seattle</t>
        </is>
      </c>
      <c r="B14" s="18" t="n">
        <v>18</v>
      </c>
      <c r="C14" s="13">
        <f>INDEX(CityData!$C:$C,MATCH(A14,CityData!$A:$A,0))*FFAC</f>
        <v/>
      </c>
      <c r="D14" s="13">
        <f>INDEX(CityData!$F:$F,MATCH(A14,CityData!$A:$A,0))*NIGHTS*(1+TAXRATE)</f>
        <v/>
      </c>
      <c r="E14" s="13">
        <f>REGFEE</f>
        <v/>
      </c>
      <c r="F14" s="13">
        <f>2*INDEX(CityData!$D$11:$D$15,MATCH(A14,CityData!$A$11:$A$15,0))+INDEX(CityData!$C$11:$C$15,MATCH(A14,CityData!$A$11:$A$15,0))+IF(INDEX(CityData!$I:$I,MATCH(A14,CityData!$A:$A,0))="Yes",0,INDEX(CityData!$B$11:$B$15,MATCH(A14,CityData!$A$11:$A$15,0))*NIGHTS)</f>
        <v/>
      </c>
      <c r="G14" s="13">
        <f>REFRPP*REFRDAYS</f>
        <v/>
      </c>
      <c r="H14" s="13">
        <f>INDEX(CityData!$B$19:$B$23,MATCH(A14,CityData!$A$19:$A$23,0))+INDEX(CityData!$C$19:$C$23,MATCH(A14,CityData!$A$19:$A$23,0))</f>
        <v/>
      </c>
      <c r="I14" s="13">
        <f>C14+D14+E14+F14+G14+H14</f>
        <v/>
      </c>
      <c r="J14" s="13">
        <f>I14*B14</f>
        <v/>
      </c>
      <c r="K14" s="13">
        <f>VENUEDAY*VENUEDAYS</f>
        <v/>
      </c>
      <c r="L14" s="13">
        <f>J14+K14</f>
        <v/>
      </c>
      <c r="M14" s="13">
        <f>L14*RESRATE</f>
        <v/>
      </c>
      <c r="N14" s="13">
        <f>L14+M14</f>
        <v/>
      </c>
    </row>
    <row r="17">
      <c r="A17" s="3" t="inlineStr">
        <is>
          <t>STRESS: airfare × 1.20 (on top of airfare factor)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2" t="n"/>
    </row>
    <row r="18">
      <c r="A18" s="3" t="inlineStr">
        <is>
          <t>City</t>
        </is>
      </c>
      <c r="B18" s="3" t="inlineStr">
        <is>
          <t>Headcount</t>
        </is>
      </c>
      <c r="C18" s="3" t="inlineStr">
        <is>
          <t>Per-person (stress)</t>
        </is>
      </c>
      <c r="D18" s="3" t="inlineStr">
        <is>
          <t>Base (stress)</t>
        </is>
      </c>
      <c r="E18" s="3" t="inlineStr">
        <is>
          <t>TOTAL (stress)</t>
        </is>
      </c>
      <c r="F18" s="3" t="inlineStr">
        <is>
          <t>Within ceiling?</t>
        </is>
      </c>
    </row>
    <row r="19">
      <c r="A19" s="4" t="inlineStr">
        <is>
          <t>Boston</t>
        </is>
      </c>
      <c r="B19" s="18" t="n">
        <v>24</v>
      </c>
      <c r="C19" s="13">
        <f>I5+C5*0.2</f>
        <v/>
      </c>
      <c r="D19" s="13">
        <f>(I5+C5*0.2)*B19+VENUEDAY*VENUEDAYS</f>
        <v/>
      </c>
      <c r="E19" s="13">
        <f>D19*(1+RESRATE)</f>
        <v/>
      </c>
      <c r="F19" s="4">
        <f>IF(E19&lt;=CEILING,"YES","NO")</f>
        <v/>
      </c>
    </row>
    <row r="20">
      <c r="A20" s="4" t="inlineStr">
        <is>
          <t>Boston</t>
        </is>
      </c>
      <c r="B20" s="18" t="n">
        <v>18</v>
      </c>
      <c r="C20" s="13">
        <f>I6+C6*0.2</f>
        <v/>
      </c>
      <c r="D20" s="13">
        <f>(I6+C6*0.2)*B20+VENUEDAY*VENUEDAYS</f>
        <v/>
      </c>
      <c r="E20" s="13">
        <f>D20*(1+RESRATE)</f>
        <v/>
      </c>
      <c r="F20" s="4">
        <f>IF(E20&lt;=CEILING,"YES","NO")</f>
        <v/>
      </c>
    </row>
    <row r="21">
      <c r="A21" s="4" t="inlineStr">
        <is>
          <t>Chicago</t>
        </is>
      </c>
      <c r="B21" s="18" t="n">
        <v>24</v>
      </c>
      <c r="C21" s="13">
        <f>I7+C7*0.2</f>
        <v/>
      </c>
      <c r="D21" s="13">
        <f>(I7+C7*0.2)*B21+VENUEDAY*VENUEDAYS</f>
        <v/>
      </c>
      <c r="E21" s="13">
        <f>D21*(1+RESRATE)</f>
        <v/>
      </c>
      <c r="F21" s="4">
        <f>IF(E21&lt;=CEILING,"YES","NO")</f>
        <v/>
      </c>
    </row>
    <row r="22">
      <c r="A22" s="4" t="inlineStr">
        <is>
          <t>Chicago</t>
        </is>
      </c>
      <c r="B22" s="18" t="n">
        <v>18</v>
      </c>
      <c r="C22" s="13">
        <f>I8+C8*0.2</f>
        <v/>
      </c>
      <c r="D22" s="13">
        <f>(I8+C8*0.2)*B22+VENUEDAY*VENUEDAYS</f>
        <v/>
      </c>
      <c r="E22" s="13">
        <f>D22*(1+RESRATE)</f>
        <v/>
      </c>
      <c r="F22" s="4">
        <f>IF(E22&lt;=CEILING,"YES","NO")</f>
        <v/>
      </c>
    </row>
    <row r="23">
      <c r="A23" s="4" t="inlineStr">
        <is>
          <t>Denver</t>
        </is>
      </c>
      <c r="B23" s="18" t="n">
        <v>24</v>
      </c>
      <c r="C23" s="13">
        <f>I9+C9*0.2</f>
        <v/>
      </c>
      <c r="D23" s="13">
        <f>(I9+C9*0.2)*B23+VENUEDAY*VENUEDAYS</f>
        <v/>
      </c>
      <c r="E23" s="13">
        <f>D23*(1+RESRATE)</f>
        <v/>
      </c>
      <c r="F23" s="4">
        <f>IF(E23&lt;=CEILING,"YES","NO")</f>
        <v/>
      </c>
    </row>
    <row r="24">
      <c r="A24" s="4" t="inlineStr">
        <is>
          <t>Denver</t>
        </is>
      </c>
      <c r="B24" s="18" t="n">
        <v>18</v>
      </c>
      <c r="C24" s="13">
        <f>I10+C10*0.2</f>
        <v/>
      </c>
      <c r="D24" s="13">
        <f>(I10+C10*0.2)*B24+VENUEDAY*VENUEDAYS</f>
        <v/>
      </c>
      <c r="E24" s="13">
        <f>D24*(1+RESRATE)</f>
        <v/>
      </c>
      <c r="F24" s="4">
        <f>IF(E24&lt;=CEILING,"YES","NO")</f>
        <v/>
      </c>
    </row>
    <row r="25">
      <c r="A25" s="4" t="inlineStr">
        <is>
          <t>Phoenix</t>
        </is>
      </c>
      <c r="B25" s="18" t="n">
        <v>24</v>
      </c>
      <c r="C25" s="13">
        <f>I11+C11*0.2</f>
        <v/>
      </c>
      <c r="D25" s="13">
        <f>(I11+C11*0.2)*B25+VENUEDAY*VENUEDAYS</f>
        <v/>
      </c>
      <c r="E25" s="13">
        <f>D25*(1+RESRATE)</f>
        <v/>
      </c>
      <c r="F25" s="4">
        <f>IF(E25&lt;=CEILING,"YES","NO")</f>
        <v/>
      </c>
    </row>
    <row r="26">
      <c r="A26" s="4" t="inlineStr">
        <is>
          <t>Phoenix</t>
        </is>
      </c>
      <c r="B26" s="18" t="n">
        <v>18</v>
      </c>
      <c r="C26" s="13">
        <f>I12+C12*0.2</f>
        <v/>
      </c>
      <c r="D26" s="13">
        <f>(I12+C12*0.2)*B26+VENUEDAY*VENUEDAYS</f>
        <v/>
      </c>
      <c r="E26" s="13">
        <f>D26*(1+RESRATE)</f>
        <v/>
      </c>
      <c r="F26" s="4">
        <f>IF(E26&lt;=CEILING,"YES","NO")</f>
        <v/>
      </c>
    </row>
    <row r="27">
      <c r="A27" s="4" t="inlineStr">
        <is>
          <t>Seattle</t>
        </is>
      </c>
      <c r="B27" s="18" t="n">
        <v>24</v>
      </c>
      <c r="C27" s="13">
        <f>I13+C13*0.2</f>
        <v/>
      </c>
      <c r="D27" s="13">
        <f>(I13+C13*0.2)*B27+VENUEDAY*VENUEDAYS</f>
        <v/>
      </c>
      <c r="E27" s="13">
        <f>D27*(1+RESRATE)</f>
        <v/>
      </c>
      <c r="F27" s="4">
        <f>IF(E27&lt;=CEILING,"YES","NO")</f>
        <v/>
      </c>
    </row>
    <row r="28">
      <c r="A28" s="4" t="inlineStr">
        <is>
          <t>Seattle</t>
        </is>
      </c>
      <c r="B28" s="18" t="n">
        <v>18</v>
      </c>
      <c r="C28" s="13">
        <f>I14+C14*0.2</f>
        <v/>
      </c>
      <c r="D28" s="13">
        <f>(I14+C14*0.2)*B28+VENUEDAY*VENUEDAYS</f>
        <v/>
      </c>
      <c r="E28" s="13">
        <f>D28*(1+RESRATE)</f>
        <v/>
      </c>
      <c r="F28" s="4">
        <f>IF(E28&lt;=CEILING,"YES","NO")</f>
        <v/>
      </c>
    </row>
  </sheetData>
  <mergeCells count="3">
    <mergeCell ref="A17:N17"/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20" customWidth="1" min="4" max="4"/>
    <col width="20" customWidth="1" min="5" max="5"/>
    <col width="8" customWidth="1" min="6" max="6"/>
    <col width="16" customWidth="1" min="7" max="7"/>
    <col width="20" customWidth="1" min="8" max="8"/>
    <col width="18" customWidth="1" min="9" max="9"/>
    <col width="42" customWidth="1" min="10" max="10"/>
  </cols>
  <sheetData>
    <row r="1" ht="20" customHeight="1">
      <c r="A1" s="1" t="inlineStr">
        <is>
          <t>HISTORICAL PER-DIEM CROSS-CHECK — FY2025 / FY2026 / FY2027 (same month/day, same market rates)</t>
        </is>
      </c>
    </row>
    <row r="2" ht="28" customHeight="1">
      <c r="A2" s="2" t="inlineStr">
        <is>
          <t>Historical reference only (not actual past quotes, not for this reimbursement). Shows how each FY's lodging cap and M&amp;IE would affect lodging compliance and the per-diem comparison, holding headcount, dates and market quotes constant.</t>
        </is>
      </c>
    </row>
    <row r="4">
      <c r="A4" s="3" t="inlineStr">
        <is>
          <t>City</t>
        </is>
      </c>
      <c r="B4" s="3" t="inlineStr">
        <is>
          <t>Market room/night (held)</t>
        </is>
      </c>
      <c r="C4" s="3" t="inlineStr">
        <is>
          <t>FY</t>
        </is>
      </c>
      <c r="D4" s="3" t="inlineStr">
        <is>
          <t>Lodging cap — Nov night</t>
        </is>
      </c>
      <c r="E4" s="3" t="inlineStr">
        <is>
          <t>Lodging cap — Dec 1 night</t>
        </is>
      </c>
      <c r="F4" s="3" t="inlineStr">
        <is>
          <t>M&amp;IE</t>
        </is>
      </c>
      <c r="G4" s="3" t="inlineStr">
        <is>
          <t>4-night cap sum</t>
        </is>
      </c>
      <c r="H4" s="3" t="inlineStr">
        <is>
          <t>Compliant each night?</t>
        </is>
      </c>
      <c r="I4" s="3" t="inlineStr">
        <is>
          <t>Room 4n vs cap sum</t>
        </is>
      </c>
      <c r="J4" s="3" t="inlineStr">
        <is>
          <t>Notes</t>
        </is>
      </c>
    </row>
    <row r="5">
      <c r="A5" s="4" t="inlineStr">
        <is>
          <t>Boston</t>
        </is>
      </c>
      <c r="B5" s="13" t="n">
        <v>108</v>
      </c>
      <c r="C5" s="4" t="inlineStr">
        <is>
          <t>FY2025</t>
        </is>
      </c>
      <c r="D5" s="4" t="n">
        <v>209</v>
      </c>
      <c r="E5" s="4" t="n">
        <v>209</v>
      </c>
      <c r="F5" s="4" t="n">
        <v>92</v>
      </c>
      <c r="G5" s="4" t="n">
        <v>836</v>
      </c>
      <c r="H5" s="20" t="inlineStr">
        <is>
          <t>Yes</t>
        </is>
      </c>
      <c r="I5" s="4" t="inlineStr">
        <is>
          <t>432 vs 836</t>
        </is>
      </c>
      <c r="J5" s="4" t="inlineStr"/>
    </row>
    <row r="6">
      <c r="A6" s="4" t="inlineStr">
        <is>
          <t>Boston</t>
        </is>
      </c>
      <c r="B6" s="13" t="n">
        <v>108</v>
      </c>
      <c r="C6" s="4" t="inlineStr">
        <is>
          <t>FY2026</t>
        </is>
      </c>
      <c r="D6" s="4" t="n">
        <v>209</v>
      </c>
      <c r="E6" s="4" t="n">
        <v>209</v>
      </c>
      <c r="F6" s="4" t="n">
        <v>92</v>
      </c>
      <c r="G6" s="4" t="n">
        <v>836</v>
      </c>
      <c r="H6" s="20" t="inlineStr">
        <is>
          <t>Yes</t>
        </is>
      </c>
      <c r="I6" s="4" t="inlineStr">
        <is>
          <t>432 vs 836</t>
        </is>
      </c>
      <c r="J6" s="4" t="inlineStr"/>
    </row>
    <row r="7">
      <c r="A7" s="4" t="inlineStr">
        <is>
          <t>Boston</t>
        </is>
      </c>
      <c r="B7" s="13" t="n">
        <v>108</v>
      </c>
      <c r="C7" s="4" t="inlineStr">
        <is>
          <t>FY2027</t>
        </is>
      </c>
      <c r="D7" s="4" t="n">
        <v>213</v>
      </c>
      <c r="E7" s="4" t="n">
        <v>213</v>
      </c>
      <c r="F7" s="4" t="n">
        <v>92</v>
      </c>
      <c r="G7" s="4" t="n">
        <v>852</v>
      </c>
      <c r="H7" s="20" t="inlineStr">
        <is>
          <t>Yes</t>
        </is>
      </c>
      <c r="I7" s="4" t="inlineStr">
        <is>
          <t>432 vs 852</t>
        </is>
      </c>
      <c r="J7" s="4" t="inlineStr"/>
    </row>
    <row r="8">
      <c r="A8" s="4" t="inlineStr">
        <is>
          <t>Chicago</t>
        </is>
      </c>
      <c r="B8" s="13" t="n">
        <v>145</v>
      </c>
      <c r="C8" s="4" t="inlineStr">
        <is>
          <t>FY2025</t>
        </is>
      </c>
      <c r="D8" s="4" t="n">
        <v>223</v>
      </c>
      <c r="E8" s="4" t="n">
        <v>142</v>
      </c>
      <c r="F8" s="4" t="n">
        <v>92</v>
      </c>
      <c r="G8" s="4" t="n">
        <v>811</v>
      </c>
      <c r="H8" s="26" t="inlineStr">
        <is>
          <t>NO</t>
        </is>
      </c>
      <c r="I8" s="4" t="inlineStr">
        <is>
          <t>580 vs 811</t>
        </is>
      </c>
      <c r="J8" s="4" t="inlineStr">
        <is>
          <t>Dec-1 cap &lt; $145 → NON-compliant this FY (FY27 only compliant)</t>
        </is>
      </c>
    </row>
    <row r="9">
      <c r="A9" s="4" t="inlineStr">
        <is>
          <t>Chicago</t>
        </is>
      </c>
      <c r="B9" s="13" t="n">
        <v>145</v>
      </c>
      <c r="C9" s="4" t="inlineStr">
        <is>
          <t>FY2026</t>
        </is>
      </c>
      <c r="D9" s="4" t="n">
        <v>223</v>
      </c>
      <c r="E9" s="4" t="n">
        <v>142</v>
      </c>
      <c r="F9" s="4" t="n">
        <v>92</v>
      </c>
      <c r="G9" s="4" t="n">
        <v>811</v>
      </c>
      <c r="H9" s="26" t="inlineStr">
        <is>
          <t>NO</t>
        </is>
      </c>
      <c r="I9" s="4" t="inlineStr">
        <is>
          <t>580 vs 811</t>
        </is>
      </c>
      <c r="J9" s="4" t="inlineStr">
        <is>
          <t>Dec-1 cap &lt; $145 → NON-compliant this FY (FY27 only compliant)</t>
        </is>
      </c>
    </row>
    <row r="10">
      <c r="A10" s="4" t="inlineStr">
        <is>
          <t>Chicago</t>
        </is>
      </c>
      <c r="B10" s="13" t="n">
        <v>145</v>
      </c>
      <c r="C10" s="4" t="inlineStr">
        <is>
          <t>FY2027</t>
        </is>
      </c>
      <c r="D10" s="4" t="n">
        <v>232</v>
      </c>
      <c r="E10" s="4" t="n">
        <v>148</v>
      </c>
      <c r="F10" s="4" t="n">
        <v>92</v>
      </c>
      <c r="G10" s="4" t="n">
        <v>844</v>
      </c>
      <c r="H10" s="20" t="inlineStr">
        <is>
          <t>Yes</t>
        </is>
      </c>
      <c r="I10" s="4" t="inlineStr">
        <is>
          <t>580 vs 844</t>
        </is>
      </c>
      <c r="J10" s="4" t="inlineStr"/>
    </row>
    <row r="11">
      <c r="A11" s="4" t="inlineStr">
        <is>
          <t>Denver</t>
        </is>
      </c>
      <c r="B11" s="13" t="n">
        <v>109</v>
      </c>
      <c r="C11" s="4" t="inlineStr">
        <is>
          <t>FY2025</t>
        </is>
      </c>
      <c r="D11" s="4" t="n">
        <v>165</v>
      </c>
      <c r="E11" s="4" t="n">
        <v>165</v>
      </c>
      <c r="F11" s="4" t="n">
        <v>92</v>
      </c>
      <c r="G11" s="4" t="n">
        <v>660</v>
      </c>
      <c r="H11" s="20" t="inlineStr">
        <is>
          <t>Yes</t>
        </is>
      </c>
      <c r="I11" s="4" t="inlineStr">
        <is>
          <t>436 vs 660</t>
        </is>
      </c>
      <c r="J11" s="4" t="inlineStr"/>
    </row>
    <row r="12">
      <c r="A12" s="4" t="inlineStr">
        <is>
          <t>Denver</t>
        </is>
      </c>
      <c r="B12" s="13" t="n">
        <v>109</v>
      </c>
      <c r="C12" s="4" t="inlineStr">
        <is>
          <t>FY2026</t>
        </is>
      </c>
      <c r="D12" s="4" t="n">
        <v>165</v>
      </c>
      <c r="E12" s="4" t="n">
        <v>165</v>
      </c>
      <c r="F12" s="4" t="n">
        <v>92</v>
      </c>
      <c r="G12" s="4" t="n">
        <v>660</v>
      </c>
      <c r="H12" s="20" t="inlineStr">
        <is>
          <t>Yes</t>
        </is>
      </c>
      <c r="I12" s="4" t="inlineStr">
        <is>
          <t>436 vs 660</t>
        </is>
      </c>
      <c r="J12" s="4" t="inlineStr"/>
    </row>
    <row r="13">
      <c r="A13" s="4" t="inlineStr">
        <is>
          <t>Denver</t>
        </is>
      </c>
      <c r="B13" s="13" t="n">
        <v>109</v>
      </c>
      <c r="C13" s="4" t="inlineStr">
        <is>
          <t>FY2027</t>
        </is>
      </c>
      <c r="D13" s="4" t="n">
        <v>170</v>
      </c>
      <c r="E13" s="4" t="n">
        <v>170</v>
      </c>
      <c r="F13" s="4" t="n">
        <v>92</v>
      </c>
      <c r="G13" s="4" t="n">
        <v>680</v>
      </c>
      <c r="H13" s="20" t="inlineStr">
        <is>
          <t>Yes</t>
        </is>
      </c>
      <c r="I13" s="4" t="inlineStr">
        <is>
          <t>436 vs 680</t>
        </is>
      </c>
      <c r="J13" s="4" t="inlineStr"/>
    </row>
    <row r="14">
      <c r="A14" s="4" t="inlineStr">
        <is>
          <t>Phoenix</t>
        </is>
      </c>
      <c r="B14" s="13" t="n">
        <v>150</v>
      </c>
      <c r="C14" s="4" t="inlineStr">
        <is>
          <t>FY2025</t>
        </is>
      </c>
      <c r="D14" s="4" t="n">
        <v>160</v>
      </c>
      <c r="E14" s="4" t="n">
        <v>160</v>
      </c>
      <c r="F14" s="4" t="n">
        <v>86</v>
      </c>
      <c r="G14" s="4" t="n">
        <v>640</v>
      </c>
      <c r="H14" s="20" t="inlineStr">
        <is>
          <t>Yes</t>
        </is>
      </c>
      <c r="I14" s="4" t="inlineStr">
        <is>
          <t>600 vs 640</t>
        </is>
      </c>
      <c r="J14" s="4" t="inlineStr">
        <is>
          <t>Rate $150 ≤ cap but little headroom</t>
        </is>
      </c>
    </row>
    <row r="15">
      <c r="A15" s="4" t="inlineStr">
        <is>
          <t>Phoenix</t>
        </is>
      </c>
      <c r="B15" s="13" t="n">
        <v>150</v>
      </c>
      <c r="C15" s="4" t="inlineStr">
        <is>
          <t>FY2026</t>
        </is>
      </c>
      <c r="D15" s="4" t="n">
        <v>160</v>
      </c>
      <c r="E15" s="4" t="n">
        <v>160</v>
      </c>
      <c r="F15" s="4" t="n">
        <v>86</v>
      </c>
      <c r="G15" s="4" t="n">
        <v>640</v>
      </c>
      <c r="H15" s="20" t="inlineStr">
        <is>
          <t>Yes</t>
        </is>
      </c>
      <c r="I15" s="4" t="inlineStr">
        <is>
          <t>600 vs 640</t>
        </is>
      </c>
      <c r="J15" s="4" t="inlineStr">
        <is>
          <t>Rate $150 ≤ cap but little headroom</t>
        </is>
      </c>
    </row>
    <row r="16">
      <c r="A16" s="4" t="inlineStr">
        <is>
          <t>Phoenix</t>
        </is>
      </c>
      <c r="B16" s="13" t="n">
        <v>150</v>
      </c>
      <c r="C16" s="4" t="inlineStr">
        <is>
          <t>FY2027</t>
        </is>
      </c>
      <c r="D16" s="4" t="n">
        <v>165</v>
      </c>
      <c r="E16" s="4" t="n">
        <v>165</v>
      </c>
      <c r="F16" s="4" t="n">
        <v>86</v>
      </c>
      <c r="G16" s="4" t="n">
        <v>660</v>
      </c>
      <c r="H16" s="20" t="inlineStr">
        <is>
          <t>Yes</t>
        </is>
      </c>
      <c r="I16" s="4" t="inlineStr">
        <is>
          <t>600 vs 660</t>
        </is>
      </c>
      <c r="J16" s="4" t="inlineStr">
        <is>
          <t>Rate $150 ≤ cap but little headroom</t>
        </is>
      </c>
    </row>
    <row r="17">
      <c r="A17" s="4" t="inlineStr">
        <is>
          <t>Seattle</t>
        </is>
      </c>
      <c r="B17" s="13" t="n">
        <v>103</v>
      </c>
      <c r="C17" s="4" t="inlineStr">
        <is>
          <t>FY2025</t>
        </is>
      </c>
      <c r="D17" s="4" t="n">
        <v>188</v>
      </c>
      <c r="E17" s="4" t="n">
        <v>188</v>
      </c>
      <c r="F17" s="4" t="n">
        <v>92</v>
      </c>
      <c r="G17" s="4" t="n">
        <v>752</v>
      </c>
      <c r="H17" s="20" t="inlineStr">
        <is>
          <t>Yes</t>
        </is>
      </c>
      <c r="I17" s="4" t="inlineStr">
        <is>
          <t>412 vs 752</t>
        </is>
      </c>
      <c r="J17" s="4" t="inlineStr"/>
    </row>
    <row r="18">
      <c r="A18" s="4" t="inlineStr">
        <is>
          <t>Seattle</t>
        </is>
      </c>
      <c r="B18" s="13" t="n">
        <v>103</v>
      </c>
      <c r="C18" s="4" t="inlineStr">
        <is>
          <t>FY2026</t>
        </is>
      </c>
      <c r="D18" s="4" t="n">
        <v>188</v>
      </c>
      <c r="E18" s="4" t="n">
        <v>188</v>
      </c>
      <c r="F18" s="4" t="n">
        <v>92</v>
      </c>
      <c r="G18" s="4" t="n">
        <v>752</v>
      </c>
      <c r="H18" s="20" t="inlineStr">
        <is>
          <t>Yes</t>
        </is>
      </c>
      <c r="I18" s="4" t="inlineStr">
        <is>
          <t>412 vs 752</t>
        </is>
      </c>
      <c r="J18" s="4" t="inlineStr"/>
    </row>
    <row r="19">
      <c r="A19" s="4" t="inlineStr">
        <is>
          <t>Seattle</t>
        </is>
      </c>
      <c r="B19" s="13" t="n">
        <v>103</v>
      </c>
      <c r="C19" s="4" t="inlineStr">
        <is>
          <t>FY2027</t>
        </is>
      </c>
      <c r="D19" s="4" t="n">
        <v>188</v>
      </c>
      <c r="E19" s="4" t="n">
        <v>188</v>
      </c>
      <c r="F19" s="4" t="n">
        <v>92</v>
      </c>
      <c r="G19" s="4" t="n">
        <v>752</v>
      </c>
      <c r="H19" s="20" t="inlineStr">
        <is>
          <t>Yes</t>
        </is>
      </c>
      <c r="I19" s="4" t="inlineStr">
        <is>
          <t>412 vs 752</t>
        </is>
      </c>
      <c r="J19" s="4" t="inlineStr"/>
    </row>
    <row r="21">
      <c r="A21" s="10" t="inlineStr">
        <is>
          <t>Impact summary:</t>
        </is>
      </c>
    </row>
    <row r="22">
      <c r="A22" s="11" t="inlineStr">
        <is>
          <t>• Lodging caps rose modestly FY25→FY27 (Boston +4, Chicago +9/+6, Denver +5, Phoenix +5, Seattle flat). M&amp;IE unchanged.</t>
        </is>
      </c>
    </row>
    <row r="23">
      <c r="A23" s="11" t="inlineStr">
        <is>
          <t>• Recommended Boston $108 room is compliant under ALL three FY caps — selection is robust to rate-year.</t>
        </is>
      </c>
    </row>
    <row r="24">
      <c r="A24" s="11" t="inlineStr">
        <is>
          <t>• Chicago $145 room would be NON-compliant on the Dec-1 night under FY25/FY26 ($142 cap); compliant only under FY27 ($148).</t>
        </is>
      </c>
    </row>
    <row r="25">
      <c r="A25" s="11" t="inlineStr">
        <is>
          <t>• Because quotes &amp; dates are held constant, event $ totals do not change by FY; only compliance &amp; per-diem benchmarks move.</t>
        </is>
      </c>
    </row>
    <row r="26">
      <c r="A26" s="11" t="inlineStr">
        <is>
          <t>• FY2027 is the applicable year (travel Nov 29–Dec 1 2026 = FY27, eff. Oct 1 2026). FY25/26 shown for historical contrast only.</t>
        </is>
      </c>
    </row>
  </sheetData>
  <mergeCells count="7">
    <mergeCell ref="A23:J23"/>
    <mergeCell ref="A22:J22"/>
    <mergeCell ref="A2:K2"/>
    <mergeCell ref="A26:J26"/>
    <mergeCell ref="A24:J24"/>
    <mergeCell ref="A1:K1"/>
    <mergeCell ref="A25:J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46" customWidth="1" min="3" max="3"/>
    <col width="8" customWidth="1" min="4" max="4"/>
    <col width="8" customWidth="1" min="5" max="5"/>
    <col width="8" customWidth="1" min="6" max="6"/>
  </cols>
  <sheetData>
    <row r="1" ht="20" customHeight="1">
      <c r="A1" s="1" t="inlineStr">
        <is>
          <t>THRESHOLDS, STRESS &amp; SEGMENTED ACTIONS</t>
        </is>
      </c>
    </row>
    <row r="2">
      <c r="A2" s="2" t="inlineStr">
        <is>
          <t>Decision metrics for airfare increases (0–20%) and unquoted-cost movements. Recomputes from Options/Daily.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Basis / condition</t>
        </is>
      </c>
    </row>
    <row r="5">
      <c r="A5" s="4" t="inlineStr">
        <is>
          <t>Recommended option</t>
        </is>
      </c>
      <c r="B5" s="4" t="inlineStr">
        <is>
          <t>Boston — 24 attendees</t>
        </is>
      </c>
      <c r="C5" s="4" t="inlineStr">
        <is>
          <t>Lowest total-with-reserve that fits ceiling at max headcount</t>
        </is>
      </c>
    </row>
    <row r="6">
      <c r="A6" s="4" t="inlineStr">
        <is>
          <t>Recommended grand total (base)</t>
        </is>
      </c>
      <c r="B6" s="13">
        <f>Options!N5</f>
        <v/>
      </c>
      <c r="C6" s="4" t="inlineStr">
        <is>
          <t>Boston 24, airfare factor 1.0</t>
        </is>
      </c>
    </row>
    <row r="7">
      <c r="A7" s="4" t="inlineStr">
        <is>
          <t>Recommended grand total (+20% airfare)</t>
        </is>
      </c>
      <c r="B7" s="13">
        <f>Options!E19</f>
        <v/>
      </c>
      <c r="C7" s="4" t="inlineStr">
        <is>
          <t>Stress table Boston 24</t>
        </is>
      </c>
    </row>
    <row r="8">
      <c r="A8" s="4" t="inlineStr">
        <is>
          <t>Budget ceiling</t>
        </is>
      </c>
      <c r="B8" s="13">
        <f>CEILING</f>
        <v/>
      </c>
      <c r="C8" s="4" t="inlineStr">
        <is>
          <t>Parameter</t>
        </is>
      </c>
    </row>
    <row r="9">
      <c r="A9" s="4" t="inlineStr">
        <is>
          <t>Headroom, base scenario (for unquoted costs, excl. reserve)</t>
        </is>
      </c>
      <c r="B9" s="13">
        <f>CEILING/(1+RESRATE)-Options!L5</f>
        <v/>
      </c>
      <c r="C9" s="4" t="inlineStr">
        <is>
          <t>Max added base before ceiling (keeps reserve)</t>
        </is>
      </c>
    </row>
    <row r="10">
      <c r="A10" s="4" t="inlineStr">
        <is>
          <t>Headroom, +20% airfare (excl. reserve)</t>
        </is>
      </c>
      <c r="B10" s="13">
        <f>CEILING/(1+RESRATE)-(Options!L5+Options!C5*0.2*24)</f>
        <v/>
      </c>
      <c r="C10" s="4" t="inlineStr">
        <is>
          <t>After stress</t>
        </is>
      </c>
    </row>
    <row r="11">
      <c r="A11" s="4" t="inlineStr">
        <is>
          <t>Nearest competitive alternative</t>
        </is>
      </c>
      <c r="B11" s="4" t="inlineStr">
        <is>
          <t>Chicago — 24 attendees</t>
        </is>
      </c>
      <c r="C11" s="4" t="inlineStr">
        <is>
          <t>2nd-lowest 24-person total</t>
        </is>
      </c>
    </row>
    <row r="12">
      <c r="A12" s="4" t="inlineStr">
        <is>
          <t>Boston vs Chicago total gap (base)</t>
        </is>
      </c>
      <c r="B12" s="13">
        <f>Options!N7-Options!N5</f>
        <v/>
      </c>
      <c r="C12" s="4" t="inlineStr">
        <is>
          <t>Chicago24 − Boston24</t>
        </is>
      </c>
    </row>
    <row r="13">
      <c r="A13" s="4" t="inlineStr">
        <is>
          <t>Airfare factor that lifts Boston-24 to ceiling</t>
        </is>
      </c>
      <c r="B13" s="27">
        <f>((CEILING/(1+RESRATE))-(Options!L5-Options!C5*24))/(Options!C5*24)</f>
        <v/>
      </c>
      <c r="C13" s="4" t="inlineStr">
        <is>
          <t>Solve total=ceiling for Boston airfare</t>
        </is>
      </c>
      <c r="D13">
        <f>B13</f>
        <v/>
      </c>
    </row>
    <row r="14">
      <c r="A14" s="4" t="inlineStr">
        <is>
          <t>→ equivalent airfare increase to reach ceiling</t>
        </is>
      </c>
      <c r="B14" s="28">
        <f>B13-1</f>
        <v/>
      </c>
      <c r="C14" s="4" t="inlineStr">
        <is>
          <t>(factor−1); far beyond +20% band</t>
        </is>
      </c>
    </row>
    <row r="17">
      <c r="A17" s="3" t="inlineStr">
        <is>
          <t>SEGMENTED ACTION TABLE</t>
        </is>
      </c>
      <c r="B17" s="21" t="n"/>
      <c r="C17" s="21" t="n"/>
      <c r="D17" s="21" t="n"/>
      <c r="E17" s="21" t="n"/>
      <c r="F17" s="22" t="n"/>
    </row>
    <row r="18">
      <c r="A18" s="3" t="inlineStr">
        <is>
          <t>Trigger / condition</t>
        </is>
      </c>
      <c r="B18" s="3" t="inlineStr">
        <is>
          <t>Action</t>
        </is>
      </c>
    </row>
    <row r="19" ht="30" customHeight="1">
      <c r="A19" s="4" t="inlineStr">
        <is>
          <t>Airfare 0% to +20% (base band)</t>
        </is>
      </c>
      <c r="B19" s="29" t="inlineStr">
        <is>
          <t>KEEP recommendation: Boston 24. It stays lowest-cost and ~$16.9–17.9k under ceiling (ex-reserve). No switch.</t>
        </is>
      </c>
      <c r="C19" s="21" t="n"/>
      <c r="D19" s="21" t="n"/>
      <c r="E19" s="21" t="n"/>
      <c r="F19" s="22" t="n"/>
    </row>
    <row r="20" ht="30" customHeight="1">
      <c r="A20" s="4" t="inlineStr">
        <is>
          <t>Airfare &gt; +20% but total still ≤ ceiling</t>
        </is>
      </c>
      <c r="B20" s="29" t="inlineStr">
        <is>
          <t>KEEP Boston 24; monitor. Boston reaches ceiling only near +200% airfare — not a realistic trigger.</t>
        </is>
      </c>
      <c r="C20" s="21" t="n"/>
      <c r="D20" s="21" t="n"/>
      <c r="E20" s="21" t="n"/>
      <c r="F20" s="22" t="n"/>
    </row>
    <row r="21" ht="30" customHeight="1">
      <c r="A21" s="4" t="inlineStr">
        <is>
          <t>Unquoted base costs (venue/ground) rise, Boston 24 total ≤ ceiling</t>
        </is>
      </c>
      <c r="B21" s="29" t="inlineStr">
        <is>
          <t>KEEP Boston 24. Absorb within $17.9k base headroom (ex-reserve).</t>
        </is>
      </c>
      <c r="C21" s="21" t="n"/>
      <c r="D21" s="21" t="n"/>
      <c r="E21" s="21" t="n"/>
      <c r="F21" s="22" t="n"/>
    </row>
    <row r="22" ht="30" customHeight="1">
      <c r="A22" s="4" t="inlineStr">
        <is>
          <t>Unquoted base costs push Boston 24 over ceiling</t>
        </is>
      </c>
      <c r="B22" s="29" t="inlineStr">
        <is>
          <t>First drop to Boston 18 (total ≈ $26.6k) — large headroom; only then reconsider city.</t>
        </is>
      </c>
      <c r="C22" s="21" t="n"/>
      <c r="D22" s="21" t="n"/>
      <c r="E22" s="21" t="n"/>
      <c r="F22" s="22" t="n"/>
    </row>
    <row r="23" ht="30" customHeight="1">
      <c r="A23" s="4" t="inlineStr">
        <is>
          <t>Boston becomes infeasible/unavailable (venue or block)</t>
        </is>
      </c>
      <c r="B23" s="29" t="inlineStr">
        <is>
          <t>SWITCH to Chicago 24 (next lowest, $39.5k base). Note Chicago hotel compliant only under FY27 cap.</t>
        </is>
      </c>
      <c r="C23" s="21" t="n"/>
      <c r="D23" s="21" t="n"/>
      <c r="E23" s="21" t="n"/>
      <c r="F23" s="22" t="n"/>
    </row>
    <row r="24" ht="30" customHeight="1">
      <c r="A24" s="4" t="inlineStr">
        <is>
          <t>Both 24 and 18 exceed ceiling for all cities</t>
        </is>
      </c>
      <c r="B24" s="29" t="inlineStr">
        <is>
          <t>Escalate: reduce scope/nights, seek actual-expense authorization, or request higher ceiling. Record in register.</t>
        </is>
      </c>
      <c r="C24" s="21" t="n"/>
      <c r="D24" s="21" t="n"/>
      <c r="E24" s="21" t="n"/>
      <c r="F24" s="22" t="n"/>
    </row>
  </sheetData>
  <mergeCells count="9">
    <mergeCell ref="B21:F21"/>
    <mergeCell ref="A2:F2"/>
    <mergeCell ref="B24:F24"/>
    <mergeCell ref="B20:F20"/>
    <mergeCell ref="A1:F1"/>
    <mergeCell ref="B19:F19"/>
    <mergeCell ref="A17:F17"/>
    <mergeCell ref="B23:F23"/>
    <mergeCell ref="B22:F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42" customWidth="1" min="4" max="4"/>
    <col width="6" customWidth="1" min="5" max="5"/>
    <col width="6" customWidth="1" min="6" max="6"/>
  </cols>
  <sheetData>
    <row r="1" ht="20" customHeight="1">
      <c r="A1" s="1" t="inlineStr">
        <is>
          <t>ITINERARY &amp; HOTEL LINKAGE — recommended Boston option (connectivity check)</t>
        </is>
      </c>
    </row>
    <row r="2" ht="28" customHeight="1">
      <c r="A2" s="2" t="inlineStr">
        <is>
          <t>All times from ITA Matrix (DCA↔BOS, queried 2026-10-24). Arrival Nov 28 (day before); depart Dec 2 (day after). Hotel check-in Nov 28 / checkout Dec 2 = 4 nights, covering full training Nov 29–Dec 1.</t>
        </is>
      </c>
    </row>
    <row r="4">
      <c r="A4" s="31" t="inlineStr">
        <is>
          <t>Item</t>
        </is>
      </c>
      <c r="B4" s="31" t="inlineStr">
        <is>
          <t>Detail</t>
        </is>
      </c>
      <c r="C4" s="31" t="inlineStr">
        <is>
          <t>Date</t>
        </is>
      </c>
      <c r="D4" s="31" t="inlineStr">
        <is>
          <t>Connects to</t>
        </is>
      </c>
      <c r="E4" s="31" t="inlineStr"/>
    </row>
    <row r="5">
      <c r="A5" s="4" t="inlineStr">
        <is>
          <t>Outbound flight</t>
        </is>
      </c>
      <c r="B5" s="4" t="inlineStr">
        <is>
          <t>DCA → BOS, American nonstop (~1h30)</t>
        </is>
      </c>
      <c r="C5" s="4" t="inlineStr">
        <is>
          <t>2026-11-28</t>
        </is>
      </c>
      <c r="D5" s="4" t="inlineStr">
        <is>
          <t>Arrive BOS afternoon → hotel check-in same day</t>
        </is>
      </c>
      <c r="E5" s="4" t="inlineStr"/>
    </row>
    <row r="6">
      <c r="A6" s="4" t="inlineStr">
        <is>
          <t>Hotel check-in</t>
        </is>
      </c>
      <c r="B6" s="4" t="inlineStr">
        <is>
          <t>DoubleTree by Hilton Boston Bayside</t>
        </is>
      </c>
      <c r="C6" s="4" t="inlineStr">
        <is>
          <t>2026-11-28</t>
        </is>
      </c>
      <c r="D6" s="4" t="inlineStr">
        <is>
          <t>Free airport shuttle (noted on Trip.com)</t>
        </is>
      </c>
      <c r="E6" s="4" t="inlineStr"/>
    </row>
    <row r="7">
      <c r="A7" s="4" t="inlineStr">
        <is>
          <t>Training Day 1</t>
        </is>
      </c>
      <c r="B7" s="4" t="inlineStr">
        <is>
          <t>Full day (lunch via registration)</t>
        </is>
      </c>
      <c r="C7" s="4" t="inlineStr">
        <is>
          <t>2026-11-29</t>
        </is>
      </c>
      <c r="D7" s="4" t="inlineStr">
        <is>
          <t>On-site; breakfast at hotel</t>
        </is>
      </c>
      <c r="E7" s="4" t="inlineStr"/>
    </row>
    <row r="8">
      <c r="A8" s="4" t="inlineStr">
        <is>
          <t>Training Day 2</t>
        </is>
      </c>
      <c r="B8" s="4" t="inlineStr">
        <is>
          <t>Full day (lunch via registration)</t>
        </is>
      </c>
      <c r="C8" s="4" t="inlineStr">
        <is>
          <t>2026-11-30</t>
        </is>
      </c>
      <c r="D8" s="4" t="inlineStr">
        <is>
          <t>On-site</t>
        </is>
      </c>
      <c r="E8" s="4" t="inlineStr"/>
    </row>
    <row r="9">
      <c r="A9" s="4" t="inlineStr">
        <is>
          <t>Training Day 3</t>
        </is>
      </c>
      <c r="B9" s="4" t="inlineStr">
        <is>
          <t>Full day (lunch via registration)</t>
        </is>
      </c>
      <c r="C9" s="4" t="inlineStr">
        <is>
          <t>2026-12-01</t>
        </is>
      </c>
      <c r="D9" s="4" t="inlineStr">
        <is>
          <t>Agency dinner Dec 1 evening</t>
        </is>
      </c>
      <c r="E9" s="4" t="inlineStr"/>
    </row>
    <row r="10">
      <c r="A10" s="4" t="inlineStr">
        <is>
          <t>Return flight</t>
        </is>
      </c>
      <c r="B10" s="4" t="inlineStr">
        <is>
          <t>BOS → DCA, American nonstop</t>
        </is>
      </c>
      <c r="C10" s="4" t="inlineStr">
        <is>
          <t>2026-12-02</t>
        </is>
      </c>
      <c r="D10" s="4" t="inlineStr">
        <is>
          <t>Checkout Dec 2 → BOS airport → DCA</t>
        </is>
      </c>
      <c r="E10" s="4" t="inlineStr"/>
    </row>
    <row r="11">
      <c r="A11" s="4" t="inlineStr">
        <is>
          <t>Agency catered</t>
        </is>
      </c>
      <c r="B11" s="4" t="inlineStr">
        <is>
          <t>Dinner Nov 28, Dinner Dec 1, Lunch Dec 2</t>
        </is>
      </c>
      <c r="C11" s="4" t="inlineStr">
        <is>
          <t>various</t>
        </is>
      </c>
      <c r="D11" s="4" t="inlineStr">
        <is>
          <t>Budgeted in Daily/Options</t>
        </is>
      </c>
      <c r="E11" s="4" t="inlineStr"/>
    </row>
    <row r="13">
      <c r="A13" s="10" t="inlineStr">
        <is>
          <t>Execution conditions (venue/date/capacity not yet verified):</t>
        </is>
      </c>
    </row>
    <row r="14">
      <c r="A14" s="11" t="inlineStr">
        <is>
          <t>• Meeting venue address &amp; 24-seat capacity for Nov 29–Dec 1 NOT yet confirmed — list as execution condition (see Register).</t>
        </is>
      </c>
    </row>
    <row r="15">
      <c r="A15" s="11" t="inlineStr">
        <is>
          <t>• Hotel room block of 24 single rooms at quoted rate NOT confirmed; single-occupancy quote used as whole-group estimate only.</t>
        </is>
      </c>
    </row>
    <row r="16">
      <c r="A16" s="11" t="inlineStr">
        <is>
          <t>• Flight fares are per-person public quotes (single seat); group inventory at same fare not guaranteed.</t>
        </is>
      </c>
    </row>
    <row r="17">
      <c r="A17" s="11" t="inlineStr">
        <is>
          <t>• Cheapest fares may be Basic Economy (restrictive changes); brief recommends a changeable fare — may raise airfare (stress band covers +20%).</t>
        </is>
      </c>
    </row>
  </sheetData>
  <mergeCells count="6">
    <mergeCell ref="A2:F2"/>
    <mergeCell ref="A16:F16"/>
    <mergeCell ref="A14:F14"/>
    <mergeCell ref="A1:F1"/>
    <mergeCell ref="A17:F17"/>
    <mergeCell ref="A15:F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26" customWidth="1" min="3" max="3"/>
    <col width="40" customWidth="1" min="4" max="4"/>
    <col width="14" customWidth="1" min="5" max="5"/>
    <col width="40" customWidth="1" min="6" max="6"/>
  </cols>
  <sheetData>
    <row r="1" ht="20" customHeight="1">
      <c r="A1" s="1" t="inlineStr">
        <is>
          <t>SOURCES, QUERY TIMES &amp; APPLICABILITY</t>
        </is>
      </c>
    </row>
    <row r="3">
      <c r="A3" s="3" t="inlineStr">
        <is>
          <t>#</t>
        </is>
      </c>
      <c r="B3" s="3" t="inlineStr">
        <is>
          <t>Item</t>
        </is>
      </c>
      <c r="C3" s="3" t="inlineStr">
        <is>
          <t>Source / platform</t>
        </is>
      </c>
      <c r="D3" s="3" t="inlineStr">
        <is>
          <t>URL</t>
        </is>
      </c>
      <c r="E3" s="3" t="inlineStr">
        <is>
          <t>Queried (UTC)</t>
        </is>
      </c>
      <c r="F3" s="3" t="inlineStr">
        <is>
          <t>Applicable dates / notes</t>
        </is>
      </c>
    </row>
    <row r="4">
      <c r="A4" s="29" t="n">
        <v>1</v>
      </c>
      <c r="B4" s="29" t="inlineStr">
        <is>
          <t>Flights DCA↔ORD (Chicago) $270 AA nonstop</t>
        </is>
      </c>
      <c r="C4" s="29" t="inlineStr">
        <is>
          <t>ITA Matrix (Google)</t>
        </is>
      </c>
      <c r="D4" s="29" t="inlineStr">
        <is>
          <t>https://matrix.itasoftware.com</t>
        </is>
      </c>
      <c r="E4" s="29" t="inlineStr">
        <is>
          <t>2026-10-24</t>
        </is>
      </c>
      <c r="F4" s="29" t="inlineStr">
        <is>
          <t>RT Nov 28–Dec 2 2026, 1 adult; public fare, basic econ possible</t>
        </is>
      </c>
    </row>
    <row r="5">
      <c r="A5" s="29" t="n">
        <v>2</v>
      </c>
      <c r="B5" s="29" t="inlineStr">
        <is>
          <t>Flights DCA↔BOS (Boston) $358 AA nonstop</t>
        </is>
      </c>
      <c r="C5" s="29" t="inlineStr">
        <is>
          <t>ITA Matrix (Google)</t>
        </is>
      </c>
      <c r="D5" s="29" t="inlineStr">
        <is>
          <t>https://matrix.itasoftware.com</t>
        </is>
      </c>
      <c r="E5" s="29" t="inlineStr">
        <is>
          <t>2026-10-24</t>
        </is>
      </c>
      <c r="F5" s="29" t="inlineStr">
        <is>
          <t>RT Nov 28–Dec 2 2026, 1 adult</t>
        </is>
      </c>
    </row>
    <row r="6">
      <c r="A6" s="29" t="n">
        <v>3</v>
      </c>
      <c r="B6" s="29" t="inlineStr">
        <is>
          <t>Flights DCA↔PHX (Phoenix) $581 AA nonstop</t>
        </is>
      </c>
      <c r="C6" s="29" t="inlineStr">
        <is>
          <t>ITA Matrix (Google)</t>
        </is>
      </c>
      <c r="D6" s="29" t="inlineStr">
        <is>
          <t>https://matrix.itasoftware.com</t>
        </is>
      </c>
      <c r="E6" s="29" t="inlineStr">
        <is>
          <t>2026-10-24</t>
        </is>
      </c>
      <c r="F6" s="29" t="inlineStr">
        <is>
          <t>RT Nov 28–Dec 2 2026, 1 adult</t>
        </is>
      </c>
    </row>
    <row r="7">
      <c r="A7" s="29" t="n">
        <v>4</v>
      </c>
      <c r="B7" s="29" t="inlineStr">
        <is>
          <t>Flights DCA↔DEN (Denver) $741 Frontier / $940 United</t>
        </is>
      </c>
      <c r="C7" s="29" t="inlineStr">
        <is>
          <t>ITA Matrix (Google)</t>
        </is>
      </c>
      <c r="D7" s="29" t="inlineStr">
        <is>
          <t>https://matrix.itasoftware.com</t>
        </is>
      </c>
      <c r="E7" s="29" t="inlineStr">
        <is>
          <t>2026-10-24</t>
        </is>
      </c>
      <c r="F7" s="29" t="inlineStr">
        <is>
          <t>RT; Frontier basic; United more flexible</t>
        </is>
      </c>
    </row>
    <row r="8">
      <c r="A8" s="29" t="n">
        <v>5</v>
      </c>
      <c r="B8" s="29" t="inlineStr">
        <is>
          <t>Flights DCA↔SEA (Seattle) $977 nonstop / $982 1-stop</t>
        </is>
      </c>
      <c r="C8" s="29" t="inlineStr">
        <is>
          <t>ITA Matrix (Google)</t>
        </is>
      </c>
      <c r="D8" s="29" t="inlineStr">
        <is>
          <t>https://matrix.itasoftware.com</t>
        </is>
      </c>
      <c r="E8" s="29" t="inlineStr">
        <is>
          <t>2026-10-24</t>
        </is>
      </c>
      <c r="F8" s="29" t="inlineStr">
        <is>
          <t>RT Nov 28–Dec 2 2026, 1 adult</t>
        </is>
      </c>
    </row>
    <row r="9">
      <c r="A9" s="29" t="n">
        <v>6</v>
      </c>
      <c r="B9" s="29" t="inlineStr">
        <is>
          <t>Boston hotel — DoubleTree Hilton Boston Bayside $108/n, 8.6/10 (449 rev), breakfast</t>
        </is>
      </c>
      <c r="C9" s="29" t="inlineStr">
        <is>
          <t>Trip.com (US)</t>
        </is>
      </c>
      <c r="D9" s="29" t="inlineStr">
        <is>
          <t>https://us.trip.com/hotels/list?cityId=26848</t>
        </is>
      </c>
      <c r="E9" s="29" t="inlineStr">
        <is>
          <t>2026-10-24</t>
        </is>
      </c>
      <c r="F9" s="29" t="inlineStr">
        <is>
          <t>4 nights, 1 room/1 adult; total $501 incl taxes&amp;fees</t>
        </is>
      </c>
    </row>
    <row r="10">
      <c r="A10" s="29" t="n">
        <v>7</v>
      </c>
      <c r="B10" s="29" t="inlineStr">
        <is>
          <t>Boston alt — Hilton Boston Park Plaza $205/n, 8.8 (170), breakfast</t>
        </is>
      </c>
      <c r="C10" s="29" t="inlineStr">
        <is>
          <t>Trip.com (US)</t>
        </is>
      </c>
      <c r="D10" s="29" t="inlineStr">
        <is>
          <t>https://us.trip.com/hotels/list?cityId=26848</t>
        </is>
      </c>
      <c r="E10" s="29" t="inlineStr">
        <is>
          <t>2026-10-24</t>
        </is>
      </c>
      <c r="F10" s="29" t="inlineStr">
        <is>
          <t>Central; ≤$213 FY27 cap</t>
        </is>
      </c>
    </row>
    <row r="11">
      <c r="A11" s="29" t="n">
        <v>8</v>
      </c>
      <c r="B11" s="29" t="inlineStr">
        <is>
          <t>Chicago hotel — Warwick Allerton $145/n, 8.6 (399)</t>
        </is>
      </c>
      <c r="C11" s="29" t="inlineStr">
        <is>
          <t>Trip.com (US)</t>
        </is>
      </c>
      <c r="D11" s="29" t="inlineStr">
        <is>
          <t>https://us.trip.com/hotels/list?cityId=549</t>
        </is>
      </c>
      <c r="E11" s="29" t="inlineStr">
        <is>
          <t>2026-10-24</t>
        </is>
      </c>
      <c r="F11" s="29" t="inlineStr">
        <is>
          <t>≤ $148 Dec-1 FY27 cap; total $668 incl tax</t>
        </is>
      </c>
    </row>
    <row r="12">
      <c r="A12" s="29" t="n">
        <v>9</v>
      </c>
      <c r="B12" s="29" t="inlineStr">
        <is>
          <t>Denver hotel — Home2 Suites Hilton Downtown $109/n, 9.0 (94), breakfast</t>
        </is>
      </c>
      <c r="C12" s="29" t="inlineStr">
        <is>
          <t>Trip.com (US)</t>
        </is>
      </c>
      <c r="D12" s="29" t="inlineStr">
        <is>
          <t>https://us.trip.com/hotels/list?cityId=20099</t>
        </is>
      </c>
      <c r="E12" s="29" t="inlineStr">
        <is>
          <t>2026-10-24</t>
        </is>
      </c>
      <c r="F12" s="29" t="inlineStr">
        <is>
          <t>≤$170 cap</t>
        </is>
      </c>
    </row>
    <row r="13">
      <c r="A13" s="29" t="n">
        <v>10</v>
      </c>
      <c r="B13" s="29" t="inlineStr">
        <is>
          <t>Phoenix hotel — Hampton Inn &amp; Suites $150/n, 9.4 (116), breakfast</t>
        </is>
      </c>
      <c r="C13" s="29" t="inlineStr">
        <is>
          <t>Trip.com (US)</t>
        </is>
      </c>
      <c r="D13" s="29" t="inlineStr">
        <is>
          <t>https://us.trip.com/hotels/list?cityId=25938</t>
        </is>
      </c>
      <c r="E13" s="29" t="inlineStr">
        <is>
          <t>2026-10-24</t>
        </is>
      </c>
      <c r="F13" s="29" t="inlineStr">
        <is>
          <t>≤$165 cap (thin margin)</t>
        </is>
      </c>
    </row>
    <row r="14">
      <c r="A14" s="29" t="n">
        <v>11</v>
      </c>
      <c r="B14" s="29" t="inlineStr">
        <is>
          <t>Seattle hotel — Belltown BF-incl $103/n, 8.6 (114), breakfast</t>
        </is>
      </c>
      <c r="C14" s="29" t="inlineStr">
        <is>
          <t>Trip.com (US)</t>
        </is>
      </c>
      <c r="D14" s="29" t="inlineStr">
        <is>
          <t>https://us.trip.com/hotels/list?cityId=511</t>
        </is>
      </c>
      <c r="E14" s="29" t="inlineStr">
        <is>
          <t>2026-10-24</t>
        </is>
      </c>
      <c r="F14" s="29" t="inlineStr">
        <is>
          <t>≤$188 cap</t>
        </is>
      </c>
    </row>
    <row r="15">
      <c r="A15" s="29" t="n">
        <v>12</v>
      </c>
      <c r="B15" s="29" t="inlineStr">
        <is>
          <t>FY2027 per-diem (lodging &amp; M&amp;IE)</t>
        </is>
      </c>
      <c r="C15" s="29" t="inlineStr">
        <is>
          <t>GSA / input file</t>
        </is>
      </c>
      <c r="D15" s="29" t="inlineStr">
        <is>
          <t>FY2027_PerDiemRates_Validated090126.xlsx</t>
        </is>
      </c>
      <c r="E15" s="29" t="inlineStr">
        <is>
          <t>file (read)</t>
        </is>
      </c>
      <c r="F15" s="29" t="inlineStr">
        <is>
          <t>Eff. Oct 1 2026 — APPLICABLE year</t>
        </is>
      </c>
    </row>
    <row r="16">
      <c r="A16" s="29" t="n">
        <v>13</v>
      </c>
      <c r="B16" s="29" t="inlineStr">
        <is>
          <t>FY2025 / FY2026 per-diem (historical contrast)</t>
        </is>
      </c>
      <c r="C16" s="29" t="inlineStr">
        <is>
          <t>GSA / input files</t>
        </is>
      </c>
      <c r="D16" s="29" t="inlineStr">
        <is>
          <t>FY2025/FY2026_PerDiemMasterRatesFile.xlsx</t>
        </is>
      </c>
      <c r="E16" s="29" t="inlineStr">
        <is>
          <t>file (read)</t>
        </is>
      </c>
      <c r="F16" s="29" t="inlineStr">
        <is>
          <t>Historical only — not for reimbursement</t>
        </is>
      </c>
    </row>
    <row r="17">
      <c r="A17" s="29" t="n">
        <v>14</v>
      </c>
      <c r="B17" s="29" t="inlineStr">
        <is>
          <t>M&amp;IE meal breakdown (deduction components)</t>
        </is>
      </c>
      <c r="C17" s="29" t="inlineStr">
        <is>
          <t>GSA FY2025 M&amp;IE Breakdown</t>
        </is>
      </c>
      <c r="D17" s="29" t="inlineStr">
        <is>
          <t>GSA_FY2025_MIE_Breakdown.docx</t>
        </is>
      </c>
      <c r="E17" s="29" t="inlineStr">
        <is>
          <t>file (read)</t>
        </is>
      </c>
      <c r="F17" s="29" t="inlineStr">
        <is>
          <t>$92 MIE: B23/L26/D38; $86: B22/L23/D36</t>
        </is>
      </c>
    </row>
    <row r="18">
      <c r="A18" s="29" t="n">
        <v>15</v>
      </c>
      <c r="B18" s="29" t="inlineStr">
        <is>
          <t>Conference planning rules</t>
        </is>
      </c>
      <c r="C18" s="29" t="inlineStr">
        <is>
          <t>41 CFR 301-74 (eCFR, frozen 2025-01-01)</t>
        </is>
      </c>
      <c r="D18" s="29" t="inlineStr">
        <is>
          <t>eCFR_41_CFR_301-74.xml</t>
        </is>
      </c>
      <c r="E18" s="29" t="inlineStr">
        <is>
          <t>file (read)</t>
        </is>
      </c>
      <c r="F18" s="29" t="inlineStr">
        <is>
          <t>301-74.1/.3/.4/.5/.6/.7/.21</t>
        </is>
      </c>
    </row>
    <row r="19">
      <c r="A19" s="29" t="n">
        <v>16</v>
      </c>
      <c r="B19" s="29" t="inlineStr">
        <is>
          <t>Travel reimbursement rules</t>
        </is>
      </c>
      <c r="C19" s="29" t="inlineStr">
        <is>
          <t>41 CFR 301-11 (eCFR, frozen 2025-01-01)</t>
        </is>
      </c>
      <c r="D19" s="29" t="inlineStr">
        <is>
          <t>eCFR_41_CFR_301-11.xml</t>
        </is>
      </c>
      <c r="E19" s="29" t="inlineStr">
        <is>
          <t>file (read)</t>
        </is>
      </c>
      <c r="F19" s="29" t="inlineStr">
        <is>
          <t>301-11.100/.300 actual-expense</t>
        </is>
      </c>
    </row>
    <row r="20">
      <c r="A20" s="29" t="n">
        <v>17</v>
      </c>
      <c r="B20" s="29" t="inlineStr">
        <is>
          <t>RD Instruction 2036-A (Travel Regs &amp; Policies)</t>
        </is>
      </c>
      <c r="C20" s="29" t="inlineStr">
        <is>
          <t>USDA Rural Development</t>
        </is>
      </c>
      <c r="D20" s="29" t="inlineStr">
        <is>
          <t>https://www.rd.usda.gov/resources/directives/instructions (RD Instr 2036-A, eff. 2024-07-19)</t>
        </is>
      </c>
      <c r="E20" s="29" t="inlineStr">
        <is>
          <t>2026-10-24</t>
        </is>
      </c>
      <c r="F20" s="29" t="inlineStr">
        <is>
          <t>Confirm current clause text before approval</t>
        </is>
      </c>
    </row>
    <row r="21">
      <c r="A21" s="29" t="n">
        <v>18</v>
      </c>
      <c r="B21" s="29" t="inlineStr">
        <is>
          <t>FX note</t>
        </is>
      </c>
      <c r="C21" s="29" t="inlineStr">
        <is>
          <t>N/A — all prices captured in USD</t>
        </is>
      </c>
      <c r="D21" s="29" t="inlineStr">
        <is>
          <t>ITA Matrix &amp; us.trip.com default USD</t>
        </is>
      </c>
      <c r="E21" s="29" t="inlineStr">
        <is>
          <t>2026-10-24</t>
        </is>
      </c>
      <c r="F21" s="29" t="inlineStr">
        <is>
          <t>No currency conversion applied</t>
        </is>
      </c>
    </row>
    <row r="23">
      <c r="A23" s="32" t="inlineStr">
        <is>
          <t>Pricing/tax口径: ITA Matrix fares are total incl. taxes/carrier fees per ticket. Trip.com hotel 'Total price' is incl. taxes &amp; fees; nightly figure excl. taxes &amp; fees. Internal 12% lodging-tax line is a planning estimate, NOT the local statutory rate.</t>
        </is>
      </c>
    </row>
    <row r="24"/>
    <row r="25"/>
  </sheetData>
  <mergeCells count="2">
    <mergeCell ref="A23:F25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2026-10-24T06:26:55Z</dcterms:created>
  <dcterms:modified xmlns:dcterms="http://purl.org/dc/terms/" xmlns:xsi="http://www.w3.org/2001/XMLSchema-instance" xsi:type="dcterms:W3CDTF">2026-10-24T06:31:04Z</dcterms:modified>
</cp:coreProperties>
</file>