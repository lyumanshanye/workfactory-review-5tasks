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ers" sheetId="1" state="visible" r:id="rId3"/>
    <sheet name="Options" sheetId="2" state="visible" r:id="rId4"/>
    <sheet name="Daily" sheetId="3" state="visible" r:id="rId5"/>
    <sheet name="Itineraries_Hotels" sheetId="4" state="visible" r:id="rId6"/>
    <sheet name="Historical_Rates" sheetId="5" state="visible" r:id="rId7"/>
    <sheet name="Thresholds_Actions" sheetId="6" state="visible" r:id="rId8"/>
    <sheet name="Sources" sheetId="7" state="visible" r:id="rId9"/>
  </sheets>
  <definedNames>
    <definedName function="false" hidden="true" localSheetId="1" name="_xlnm._FilterDatabase" vbProcedure="false">Options!$A$1:$Z$11</definedName>
    <definedName function="false" hidden="true" localSheetId="6" name="_xlnm._FilterDatabase" vbProcedure="false">Sources!$A$1:$F$15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<sst xmlns="http://schemas.openxmlformats.org/spreadsheetml/2006/main" count="373" uniqueCount="246">
  <si>
    <t xml:space="preserve">CONTROL PANEL</t>
  </si>
  <si>
    <t xml:space="preserve">Value</t>
  </si>
  <si>
    <t xml:space="preserve">Allowed / effect</t>
  </si>
  <si>
    <t xml:space="preserve">Budget cap</t>
  </si>
  <si>
    <t xml:space="preserve">$0–$100,000; includes reserve</t>
  </si>
  <si>
    <t xml:space="preserve">Airfare factor</t>
  </si>
  <si>
    <t xml:space="preserve">0.5–2.0; stress adds 20% to adjusted fare</t>
  </si>
  <si>
    <t xml:space="preserve">Reserve rate</t>
  </si>
  <si>
    <t xml:space="preserve">0%–20% of base subtotal</t>
  </si>
  <si>
    <t xml:space="preserve">Gov breakfast 11/29</t>
  </si>
  <si>
    <t xml:space="preserve">No</t>
  </si>
  <si>
    <t xml:space="preserve">Yes/No; Yes does not add procurement cost</t>
  </si>
  <si>
    <t xml:space="preserve">Arrival date</t>
  </si>
  <si>
    <t xml:space="preserve">Must be 2026-11-28 for quoted snapshots</t>
  </si>
  <si>
    <t xml:space="preserve">Return date</t>
  </si>
  <si>
    <t xml:space="preserve">Must be 2026-12-02 for quoted snapshots</t>
  </si>
  <si>
    <t xml:space="preserve">Selected city</t>
  </si>
  <si>
    <t xml:space="preserve">Chicago</t>
  </si>
  <si>
    <t xml:space="preserve">Decision output; options calculate independently</t>
  </si>
  <si>
    <t xml:space="preserve">Selected attendance</t>
  </si>
  <si>
    <t xml:space="preserve">18 or 24</t>
  </si>
  <si>
    <t xml:space="preserve">NOTICE</t>
  </si>
  <si>
    <t xml:space="preserve">Changing dates invalidates market quotes and requires new DOCX/PPT/PDF/CSV exports.</t>
  </si>
  <si>
    <t xml:space="preserve">Snapshot files do not auto-refresh.</t>
  </si>
  <si>
    <t xml:space="preserve">City</t>
  </si>
  <si>
    <t xml:space="preserve">People</t>
  </si>
  <si>
    <t xml:space="preserve">Air/pp raw</t>
  </si>
  <si>
    <t xml:space="preserve">Air adj/pp</t>
  </si>
  <si>
    <t xml:space="preserve">Hotel</t>
  </si>
  <si>
    <t xml:space="preserve">Room/night</t>
  </si>
  <si>
    <t xml:space="preserve">Nights</t>
  </si>
  <si>
    <t xml:space="preserve">Lodging tax</t>
  </si>
  <si>
    <t xml:space="preserve">M&amp;IE/pp</t>
  </si>
  <si>
    <t xml:space="preserve">Registration/pp</t>
  </si>
  <si>
    <t xml:space="preserve">HQ↔DCA/pp est.</t>
  </si>
  <si>
    <t xml:space="preserve">Airport↔hotel/pp est.</t>
  </si>
  <si>
    <t xml:space="preserve">Quoted/estimated base</t>
  </si>
  <si>
    <t xml:space="preserve">Venue TBD</t>
  </si>
  <si>
    <t xml:space="preserve">Meals TBD</t>
  </si>
  <si>
    <t xml:space="preserve">Breaks TBD</t>
  </si>
  <si>
    <t xml:space="preserve">Other TBD</t>
  </si>
  <si>
    <t xml:space="preserve">Base subtotal</t>
  </si>
  <si>
    <t xml:space="preserve">Reserve</t>
  </si>
  <si>
    <t xml:space="preserve">Total incl reserve</t>
  </si>
  <si>
    <t xml:space="preserve">20% air stress total</t>
  </si>
  <si>
    <t xml:space="preserve">Cap status</t>
  </si>
  <si>
    <t xml:space="preserve">Quote validity</t>
  </si>
  <si>
    <t xml:space="preserve">Decision status</t>
  </si>
  <si>
    <t xml:space="preserve">Unquoted max @base</t>
  </si>
  <si>
    <t xml:space="preserve">Unquoted max @+20%</t>
  </si>
  <si>
    <t xml:space="preserve">Staybridge Suites Chicago—Glenview by IHG</t>
  </si>
  <si>
    <t xml:space="preserve">CONDITIONAL: review count/recent issue scan, breakfast, inventory, venue/RFP pending</t>
  </si>
  <si>
    <t xml:space="preserve">Denver</t>
  </si>
  <si>
    <t xml:space="preserve">Staybridge Suites Denver Downtown by IHG</t>
  </si>
  <si>
    <t xml:space="preserve">CONDITIONAL: quality detail, breakfast, inventory, venue/RFP pending</t>
  </si>
  <si>
    <t xml:space="preserve">Phoenix</t>
  </si>
  <si>
    <t xml:space="preserve">La Quinta Inn &amp; Suites by Wyndham Phoenix Chandler</t>
  </si>
  <si>
    <t xml:space="preserve">Boston</t>
  </si>
  <si>
    <t xml:space="preserve">Studio Allston Hotel</t>
  </si>
  <si>
    <t xml:space="preserve">CONDITIONAL: total-price tax basis, breakfast, quality detail, inventory, venue/RFP pending</t>
  </si>
  <si>
    <t xml:space="preserve">Seattle</t>
  </si>
  <si>
    <t xml:space="preserve">No usable dated quote</t>
  </si>
  <si>
    <t xml:space="preserve">EXCLUDED: no verifiable airfare/hotel quote; re-query required</t>
  </si>
  <si>
    <t xml:space="preserve">Date</t>
  </si>
  <si>
    <t xml:space="preserve">Day / provision</t>
  </si>
  <si>
    <t xml:space="preserve">Lodging nights</t>
  </si>
  <si>
    <t xml:space="preserve">Lodging</t>
  </si>
  <si>
    <t xml:space="preserve">Lodging tax (12%)</t>
  </si>
  <si>
    <t xml:space="preserve">M&amp;IE basis</t>
  </si>
  <si>
    <t xml:space="preserve">Meal deductions</t>
  </si>
  <si>
    <t xml:space="preserve">M&amp;IE</t>
  </si>
  <si>
    <t xml:space="preserve">Airfare</t>
  </si>
  <si>
    <t xml:space="preserve">Registration</t>
  </si>
  <si>
    <t xml:space="preserve">Ground transport</t>
  </si>
  <si>
    <t xml:space="preserve">Unknowns allocation</t>
  </si>
  <si>
    <t xml:space="preserve">Daily total</t>
  </si>
  <si>
    <t xml:space="preserve">Source/condition</t>
  </si>
  <si>
    <t xml:space="preserve">Travel; government dinner</t>
  </si>
  <si>
    <t xml:space="preserve">75% rate</t>
  </si>
  <si>
    <t xml:space="preserve">Dinner</t>
  </si>
  <si>
    <t xml:space="preserve">Hotel quote is single room snapshot; meals/venue pending</t>
  </si>
  <si>
    <t xml:space="preserve">Training; registration lunch</t>
  </si>
  <si>
    <t xml:space="preserve">100% rate</t>
  </si>
  <si>
    <t xml:space="preserve">Lunch</t>
  </si>
  <si>
    <t xml:space="preserve">Training; registration lunch + government dinner</t>
  </si>
  <si>
    <t xml:space="preserve">Lunch + dinner</t>
  </si>
  <si>
    <t xml:space="preserve">Return; government lunch</t>
  </si>
  <si>
    <t xml:space="preserve">Total</t>
  </si>
  <si>
    <t xml:space="preserve">Reconciliation</t>
  </si>
  <si>
    <t xml:space="preserve">Airport</t>
  </si>
  <si>
    <t xml:space="preserve">Outbound 11/28</t>
  </si>
  <si>
    <t xml:space="preserve">Return 12/2</t>
  </si>
  <si>
    <t xml:space="preserve">Fare</t>
  </si>
  <si>
    <t xml:space="preserve">Primary hotel</t>
  </si>
  <si>
    <t xml:space="preserve">Primary price basis</t>
  </si>
  <si>
    <t xml:space="preserve">Score</t>
  </si>
  <si>
    <t xml:space="preserve">Reviews</t>
  </si>
  <si>
    <t xml:space="preserve">Alternative</t>
  </si>
  <si>
    <t xml:space="preserve">Alt price</t>
  </si>
  <si>
    <t xml:space="preserve">Alt score</t>
  </si>
  <si>
    <t xml:space="preserve">Quality admission</t>
  </si>
  <si>
    <t xml:space="preserve">Trade-off / exclusion</t>
  </si>
  <si>
    <t xml:space="preserve">ORD</t>
  </si>
  <si>
    <t xml:space="preserve">DCA 06:00–ORD 07:32 nonstop</t>
  </si>
  <si>
    <t xml:space="preserve">ORD 16:59–DCA 19:59 nonstop</t>
  </si>
  <si>
    <t xml:space="preserve">$134.00/night, 1 room, 4 nights</t>
  </si>
  <si>
    <t xml:space="preserve">not displayed</t>
  </si>
  <si>
    <t xml:space="preserve">Hampton Inn &amp; Suites Chicago/Hoffman Estates</t>
  </si>
  <si>
    <t xml:space="preserve">NOT YET ADMITTED</t>
  </si>
  <si>
    <t xml:space="preserve">Threshold: score ≥8.0/10, ≥100 reviews, and no unresolved recent cleanliness/noise/maintenance pattern. Review count and recent issue evidence were not displayed; breakfast/refund terms and group stock pending.</t>
  </si>
  <si>
    <t xml:space="preserve">DEN</t>
  </si>
  <si>
    <t xml:space="preserve">DCA 07:00–DEN 09:16 nonstop</t>
  </si>
  <si>
    <t xml:space="preserve">DEN 16:40–DCA 21:55 nonstop</t>
  </si>
  <si>
    <t xml:space="preserve">$103.00/night, 1 room, 4 nights</t>
  </si>
  <si>
    <t xml:space="preserve">Hyatt House Denver/Downtown</t>
  </si>
  <si>
    <t xml:space="preserve">PHX</t>
  </si>
  <si>
    <t xml:space="preserve">DCA 10:32–PHX 13:51 nonstop</t>
  </si>
  <si>
    <t xml:space="preserve">PHX 14:46–DCA 20:59 nonstop</t>
  </si>
  <si>
    <t xml:space="preserve">$100.00/night, 1 room, 4 nights</t>
  </si>
  <si>
    <t xml:space="preserve">Radisson Hotel Phoenix Airport</t>
  </si>
  <si>
    <t xml:space="preserve">BOS</t>
  </si>
  <si>
    <t xml:space="preserve">DCA 07:00–BOS 08:50 nonstop</t>
  </si>
  <si>
    <t xml:space="preserve">BOS 17:17–DCA 19:13 nonstop</t>
  </si>
  <si>
    <t xml:space="preserve">$155.50/night, 1 room, 4 nights</t>
  </si>
  <si>
    <t xml:space="preserve">DoubleTree by Hilton Boston-Downtown</t>
  </si>
  <si>
    <t xml:space="preserve">SEA</t>
  </si>
  <si>
    <t xml:space="preserve">DCA–SEA: re-quote required</t>
  </si>
  <si>
    <t xml:space="preserve">SEA–DCA: re-quote required</t>
  </si>
  <si>
    <t xml:space="preserve">None</t>
  </si>
  <si>
    <t xml:space="preserve">—</t>
  </si>
  <si>
    <t xml:space="preserve">No usable second dated quote</t>
  </si>
  <si>
    <t xml:space="preserve">EXCLUDED—no dated quotes</t>
  </si>
  <si>
    <t xml:space="preserve">FY</t>
  </si>
  <si>
    <t xml:space="preserve">Nov lodging cap</t>
  </si>
  <si>
    <t xml:space="preserve">Dec lodging cap</t>
  </si>
  <si>
    <t xml:space="preserve">Chosen market room</t>
  </si>
  <si>
    <t xml:space="preserve">Nov compliant</t>
  </si>
  <si>
    <t xml:space="preserve">Dec compliant</t>
  </si>
  <si>
    <t xml:space="preserve">Budget delta vs FY27</t>
  </si>
  <si>
    <t xml:space="preserve">Selection effect</t>
  </si>
  <si>
    <t xml:space="preserve">Yes</t>
  </si>
  <si>
    <t xml:space="preserve">No modeled cost change: market quote/M&amp;IE held constant; only compliance caps compared.</t>
  </si>
  <si>
    <t xml:space="preserve">N/A—no quote</t>
  </si>
  <si>
    <t xml:space="preserve">Decision question</t>
  </si>
  <si>
    <t xml:space="preserve">Formula / boundary</t>
  </si>
  <si>
    <t xml:space="preserve">Current result</t>
  </si>
  <si>
    <t xml:space="preserve">Action</t>
  </si>
  <si>
    <t xml:space="preserve">Recommended baseline</t>
  </si>
  <si>
    <t xml:space="preserve">Priority: max attendance; then lowest total; valid/quality conditions required</t>
  </si>
  <si>
    <t xml:space="preserve">Use Chicago only after blockers close.</t>
  </si>
  <si>
    <t xml:space="preserve">Chicago 24 vs Boston 24 airfare increase 0–20%</t>
  </si>
  <si>
    <t xml:space="preserve">Chicago stays cheaper because both intercept and airfare slope are lower.</t>
  </si>
  <si>
    <t xml:space="preserve">No switch in [0%,20%].</t>
  </si>
  <si>
    <t xml:space="preserve">Switch only if Chicago-specific unknown cost exceeds Boston-specific unknown by break-even.</t>
  </si>
  <si>
    <t xml:space="preserve">Unknown-cost break-even: Chicago→Boston at airfare increase g</t>
  </si>
  <si>
    <t xml:space="preserve">U_CHI − U_BOS &gt; 24*[(316−270)*(1+g)+(4*155.5+74.64+4.8)−(4*134+64.32+12)]</t>
  </si>
  <si>
    <t xml:space="preserve">If exceeded and Boston blockers close, select Boston.</t>
  </si>
  <si>
    <t xml:space="preserve">24→18 threshold (same city)</t>
  </si>
  <si>
    <t xml:space="preserve">24-person total &gt; cap while 18-person total ≤ cap</t>
  </si>
  <si>
    <t xml:space="preserve">See Options columns T/U/Y/Z.</t>
  </si>
  <si>
    <t xml:space="preserve">Reduce only after all compliant 24-person alternatives exceed cap.</t>
  </si>
  <si>
    <t xml:space="preserve">Both sizes infeasible</t>
  </si>
  <si>
    <t xml:space="preserve">18-person total &gt; cap</t>
  </si>
  <si>
    <t xml:space="preserve">Compare Options total with cap.</t>
  </si>
  <si>
    <t xml:space="preserve">Do not approve; seek scope/funding changes.</t>
  </si>
  <si>
    <t xml:space="preserve">Unknown max excluding reserve, baseline</t>
  </si>
  <si>
    <t xml:space="preserve">Cap/(1+reserve) − quoted/estimated base</t>
  </si>
  <si>
    <t xml:space="preserve">Combined Chicago venue/meals/breaks/other must not exceed.</t>
  </si>
  <si>
    <t xml:space="preserve">Unknown max excluding reserve, +20% airfare</t>
  </si>
  <si>
    <t xml:space="preserve">Cap/(1+reserve) − known base − 20% adjusted airfare</t>
  </si>
  <si>
    <t xml:space="preserve">Re-price or move/reduce if exceeded.</t>
  </si>
  <si>
    <t xml:space="preserve">Date validity</t>
  </si>
  <si>
    <t xml:space="preserve">Arrival/return must equal quote dates</t>
  </si>
  <si>
    <t xml:space="preserve">Re-export all snapshot files after any parameter change.</t>
  </si>
  <si>
    <t xml:space="preserve">ID</t>
  </si>
  <si>
    <t xml:space="preserve">Subject</t>
  </si>
  <si>
    <t xml:space="preserve">Source / URL or file</t>
  </si>
  <si>
    <t xml:space="preserve">Retrieved / frozen</t>
  </si>
  <si>
    <t xml:space="preserve">Applies to</t>
  </si>
  <si>
    <t xml:space="preserve">Evidence / limitation</t>
  </si>
  <si>
    <t xml:space="preserve">S1</t>
  </si>
  <si>
    <t xml:space="preserve">Fares and hotel cards</t>
  </si>
  <si>
    <t xml:space="preserve">https://www.kayak.com/flights/DCA-ORD/2026-11-28/2026-12-02?sort=bestflight_a</t>
  </si>
  <si>
    <t xml:space="preserve">2026-10-24 04:30 UTC</t>
  </si>
  <si>
    <t xml:space="preserve">Screenshots: route/dates/times/fare/class; hotel cards show dates/name/rating/price, not breakfast/tax/refund/review count.</t>
  </si>
  <si>
    <t xml:space="preserve">S2</t>
  </si>
  <si>
    <t xml:space="preserve">https://www.kayak.com/flights/DCA-DEN/2026-11-28/2026-12-02?sort=bestflight_a</t>
  </si>
  <si>
    <t xml:space="preserve">Same limitation.</t>
  </si>
  <si>
    <t xml:space="preserve">S3</t>
  </si>
  <si>
    <t xml:space="preserve">https://www.kayak.com/flights/DCA-PHX/2026-11-28/2026-12-02?sort=bestflight_a</t>
  </si>
  <si>
    <t xml:space="preserve">S4</t>
  </si>
  <si>
    <t xml:space="preserve">https://www.cheapflights.com/flight-search/DCA-BOS/2026-11-28/2026-12-02?sort=bestflight_a</t>
  </si>
  <si>
    <t xml:space="preserve">Hotel prices displayed as 4-night total; tax basis not identified.</t>
  </si>
  <si>
    <t xml:space="preserve">S5</t>
  </si>
  <si>
    <t xml:space="preserve">Seattle search attempts</t>
  </si>
  <si>
    <t xml:space="preserve">Kayak/Cheapflights/Priceline dated search URLs (see evidence deck)</t>
  </si>
  <si>
    <t xml:space="preserve">Anti-bot challenge; no usable quote, excluded.</t>
  </si>
  <si>
    <t xml:space="preserve">S6</t>
  </si>
  <si>
    <t xml:space="preserve">FY2025 rates</t>
  </si>
  <si>
    <t xml:space="preserve">/app/input_files/FY2025_PerDiemMasterRatesFile.xlsx</t>
  </si>
  <si>
    <t xml:space="preserve">provided; effective 2024-10-01</t>
  </si>
  <si>
    <t xml:space="preserve">Historical only</t>
  </si>
  <si>
    <t xml:space="preserve">City/county and seasonal lodging/M&amp;IE.</t>
  </si>
  <si>
    <t xml:space="preserve">S7</t>
  </si>
  <si>
    <t xml:space="preserve">FY2026 rates</t>
  </si>
  <si>
    <t xml:space="preserve">/app/input_files/FY2026_PerDiemMasterRatesFile.xlsx</t>
  </si>
  <si>
    <t xml:space="preserve">provided; effective 2025-10-01</t>
  </si>
  <si>
    <t xml:space="preserve">S8</t>
  </si>
  <si>
    <t xml:space="preserve">FY2027 rates</t>
  </si>
  <si>
    <t xml:space="preserve">/app/input_files/FY2027_PerDiemRates_Validated090126.xlsx</t>
  </si>
  <si>
    <t xml:space="preserve">provided; effective 2026-10-01</t>
  </si>
  <si>
    <t xml:space="preserve">Actual trip</t>
  </si>
  <si>
    <t xml:space="preserve">Validated file supplied.</t>
  </si>
  <si>
    <t xml:space="preserve">S9</t>
  </si>
  <si>
    <t xml:space="preserve">M&amp;IE breakdown</t>
  </si>
  <si>
    <t xml:space="preserve">/app/input_files/GSA_FY2025_MIE_Breakdown.docx</t>
  </si>
  <si>
    <t xml:space="preserve">provided</t>
  </si>
  <si>
    <t xml:space="preserve">Breakdowns 86/92; assumed unchanged because supplied FY27 city M&amp;IE totals match categories; verify current GSA breakdown before authorization.</t>
  </si>
  <si>
    <t xml:space="preserve">S10</t>
  </si>
  <si>
    <t xml:space="preserve">FTR 301-11</t>
  </si>
  <si>
    <t xml:space="preserve">/app/input_files/eCFR_41_CFR_301-11.xml</t>
  </si>
  <si>
    <t xml:space="preserve">frozen 2025-01-01</t>
  </si>
  <si>
    <t xml:space="preserve">Per diem</t>
  </si>
  <si>
    <t xml:space="preserve">§§301-11.7,.9,.17,.18,.27,.101,.300; current applicability must be checked.</t>
  </si>
  <si>
    <t xml:space="preserve">S11</t>
  </si>
  <si>
    <t xml:space="preserve">FTR 301-74</t>
  </si>
  <si>
    <t xml:space="preserve">/app/input_files/eCFR_41_CFR_301-74.xml</t>
  </si>
  <si>
    <t xml:space="preserve">Conference planning</t>
  </si>
  <si>
    <t xml:space="preserve">§§301-74.1-.5,.21-.22.</t>
  </si>
  <si>
    <t xml:space="preserve">S12</t>
  </si>
  <si>
    <t xml:space="preserve">RD Instruction 2036-A</t>
  </si>
  <si>
    <t xml:space="preserve">Official USDA RD version effective 2024-07-19; direct site access returned 403 in this environment</t>
  </si>
  <si>
    <t xml:space="preserve">attempted 2026-10-24 04:30 UTC</t>
  </si>
  <si>
    <t xml:space="preserve">RD policy</t>
  </si>
  <si>
    <t xml:space="preserve">Not substantively relied upon; Travel/Policy Office must retrieve and verify clauses before approval.</t>
  </si>
  <si>
    <t xml:space="preserve">S13</t>
  </si>
  <si>
    <t xml:space="preserve">Airport comparison</t>
  </si>
  <si>
    <t xml:space="preserve">HQ baseline: 1400 Independence Ave SW; DCA/BWI/IAD</t>
  </si>
  <si>
    <t xml:space="preserve">2026-10-24</t>
  </si>
  <si>
    <t xml:space="preserve">All cities</t>
  </si>
  <si>
    <t xml:space="preserve">Planning comparison: DCA ≈5 mi/15–25 min; IAD ≈29 mi/35–55 min; BWI ≈33 mi/45–70 min by road under normal variability. DCA selected for nearby nonstop options. Distances/times are map-style estimates, not reimbursable quotes; residences/receipts absent.</t>
  </si>
  <si>
    <t xml:space="preserve">S14</t>
  </si>
  <si>
    <t xml:space="preserve">Hotel quality rule</t>
  </si>
  <si>
    <t xml:space="preserve">Internal uniform admission rule</t>
  </si>
  <si>
    <t xml:space="preserve">All hotels</t>
  </si>
  <si>
    <t xml:space="preserve">≥8.0/10, ≥100 reviews, no unresolved recent cleanliness/noise/maintenance pattern. Missing evidence prevents admission.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</si>
</sst>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\x"/>
    <numFmt numFmtId="167" formatCode="0.0%"/>
    <numFmt numFmtId="168" formatCode="mmm\ d&quot;, &quot;yyyy"/>
    <numFmt numFmtId="169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6"/>
    <col collapsed="false" customWidth="true" hidden="false" outlineLevel="0" max="3" min="3" style="0" width="6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53000</v>
      </c>
      <c r="C2" s="2" t="s">
        <v>4</v>
      </c>
    </row>
    <row r="3" customFormat="false" ht="15" hidden="false" customHeight="false" outlineLevel="0" collapsed="false">
      <c r="A3" s="2" t="s">
        <v>5</v>
      </c>
      <c r="B3" s="4" t="n">
        <v>1</v>
      </c>
      <c r="C3" s="2" t="s">
        <v>6</v>
      </c>
    </row>
    <row r="4" customFormat="false" ht="15" hidden="false" customHeight="false" outlineLevel="0" collapsed="false">
      <c r="A4" s="2" t="s">
        <v>7</v>
      </c>
      <c r="B4" s="5" t="n">
        <v>0.05</v>
      </c>
      <c r="C4" s="2" t="s">
        <v>8</v>
      </c>
    </row>
    <row r="5" customFormat="false" ht="15" hidden="false" customHeight="false" outlineLevel="0" collapsed="false">
      <c r="A5" s="2" t="s">
        <v>9</v>
      </c>
      <c r="B5" s="6" t="s">
        <v>10</v>
      </c>
      <c r="C5" s="2" t="s">
        <v>11</v>
      </c>
    </row>
    <row r="6" customFormat="false" ht="15" hidden="false" customHeight="false" outlineLevel="0" collapsed="false">
      <c r="A6" s="2" t="s">
        <v>12</v>
      </c>
      <c r="B6" s="7" t="n">
        <v>46354</v>
      </c>
      <c r="C6" s="2" t="s">
        <v>13</v>
      </c>
    </row>
    <row r="7" customFormat="false" ht="15" hidden="false" customHeight="false" outlineLevel="0" collapsed="false">
      <c r="A7" s="2" t="s">
        <v>14</v>
      </c>
      <c r="B7" s="7" t="n">
        <v>46358</v>
      </c>
      <c r="C7" s="2" t="s">
        <v>15</v>
      </c>
    </row>
    <row r="8" customFormat="false" ht="15" hidden="false" customHeight="false" outlineLevel="0" collapsed="false">
      <c r="A8" s="2" t="s">
        <v>16</v>
      </c>
      <c r="B8" s="6" t="s">
        <v>17</v>
      </c>
      <c r="C8" s="2" t="s">
        <v>18</v>
      </c>
    </row>
    <row r="9" customFormat="false" ht="15" hidden="false" customHeight="false" outlineLevel="0" collapsed="false">
      <c r="A9" s="2" t="s">
        <v>19</v>
      </c>
      <c r="B9" s="8" t="n">
        <v>24</v>
      </c>
      <c r="C9" s="2" t="s">
        <v>20</v>
      </c>
    </row>
    <row r="10" customFormat="false" ht="28.35" hidden="false" customHeight="false" outlineLevel="0" collapsed="false">
      <c r="A10" s="2" t="s">
        <v>21</v>
      </c>
      <c r="B10" s="2" t="s">
        <v>22</v>
      </c>
      <c r="C10" s="2" t="s">
        <v>23</v>
      </c>
    </row>
  </sheetData>
  <dataValidations count="6">
    <dataValidation allowBlank="false" errorStyle="stop" operator="between" showDropDown="false" showErrorMessage="false" showInputMessage="false" sqref="B2" type="decimal">
      <formula1>0</formula1>
      <formula2>100000</formula2>
    </dataValidation>
    <dataValidation allowBlank="false" errorStyle="stop" operator="between" showDropDown="false" showErrorMessage="false" showInputMessage="false" sqref="B3" type="decimal">
      <formula1>0.5</formula1>
      <formula2>2</formula2>
    </dataValidation>
    <dataValidation allowBlank="false" errorStyle="stop" operator="between" showDropDown="false" showErrorMessage="false" showInputMessage="false" sqref="B4" type="decimal">
      <formula1>0</formula1>
      <formula2>0.2</formula2>
    </dataValidation>
    <dataValidation allowBlank="false" errorStyle="stop" operator="between" showDropDown="false" showErrorMessage="false" showInputMessage="false" sqref="B5" type="list">
      <formula1>"Yes,No"</formula1>
      <formula2>0</formula2>
    </dataValidation>
    <dataValidation allowBlank="false" errorStyle="stop" operator="between" showDropDown="false" showErrorMessage="false" showInputMessage="false" sqref="B8" type="list">
      <formula1>"Chicago,Denver,Phoenix,Boston,Seattle"</formula1>
      <formula2>0</formula2>
    </dataValidation>
    <dataValidation allowBlank="false" errorStyle="stop" operator="between" showDropDown="false" showErrorMessage="false" showInputMessage="false" sqref="B9" type="list">
      <formula1>"18,24"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5" min="5" style="0" width="43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20"/>
    <col collapsed="false" customWidth="true" hidden="false" outlineLevel="0" max="17" min="14" style="0" width="13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20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57"/>
    <col collapsed="false" customWidth="true" hidden="false" outlineLevel="0" max="25" min="25" style="0" width="19"/>
    <col collapsed="false" customWidth="true" hidden="false" outlineLevel="0" max="26" min="26" style="0" width="21"/>
  </cols>
  <sheetData>
    <row r="1" customFormat="false" ht="30" hidden="false" customHeight="tru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customFormat="false" ht="28.35" hidden="false" customHeight="false" outlineLevel="0" collapsed="false">
      <c r="A2" s="2" t="s">
        <v>17</v>
      </c>
      <c r="B2" s="2" t="n">
        <v>18</v>
      </c>
      <c r="C2" s="9" t="n">
        <v>270</v>
      </c>
      <c r="D2" s="9" t="n">
        <f aca="false">C2*Parameters!$B$3</f>
        <v>270</v>
      </c>
      <c r="E2" s="9" t="s">
        <v>50</v>
      </c>
      <c r="F2" s="9" t="n">
        <v>134</v>
      </c>
      <c r="G2" s="9" t="n">
        <v>4</v>
      </c>
      <c r="H2" s="9" t="n">
        <f aca="false">F2*G2*12%</f>
        <v>64.32</v>
      </c>
      <c r="I2" s="9" t="n">
        <f aca="false">234-IF(Parameters!$B$5="Yes",23,0)</f>
        <v>234</v>
      </c>
      <c r="J2" s="9" t="n">
        <v>180</v>
      </c>
      <c r="K2" s="9" t="n">
        <v>12</v>
      </c>
      <c r="L2" s="9" t="n">
        <v>12</v>
      </c>
      <c r="M2" s="9" t="n">
        <f aca="false">B2*(D2+F2*G2+H2+I2+J2+K2+L2)</f>
        <v>23549.76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f aca="false">M2+SUM(N2:Q2)</f>
        <v>23549.76</v>
      </c>
      <c r="S2" s="9" t="n">
        <f aca="false">R2*Parameters!$B$4</f>
        <v>1177.488</v>
      </c>
      <c r="T2" s="9" t="n">
        <f aca="false">R2+S2</f>
        <v>24727.248</v>
      </c>
      <c r="U2" s="9" t="n">
        <f aca="false">(M2+B2*D2*20%+SUM(N2:Q2))*(1+Parameters!$B$4)</f>
        <v>25747.848</v>
      </c>
      <c r="V2" s="2" t="str">
        <f aca="false">IF(OR(C2=0,F2=0),"NO QUOTE",IF(T2&lt;=Parameters!$B$2,"WITHIN CAP","OVER CAP"))</f>
        <v>WITHIN CAP</v>
      </c>
      <c r="W2" s="2" t="str">
        <f aca="false">IF(AND(Parameters!$B$6=DATE(2026,11,28),Parameters!$B$7=DATE(2026,12,2)),"Date match","RE-QUOTE")</f>
        <v>Date match</v>
      </c>
      <c r="X2" s="2" t="s">
        <v>51</v>
      </c>
      <c r="Y2" s="9" t="n">
        <f aca="false">MAX(0,Parameters!$B$2/(1+Parameters!$B$4)-M2)</f>
        <v>26926.4304761905</v>
      </c>
      <c r="Z2" s="9" t="n">
        <f aca="false">MAX(0,Parameters!$B$2/(1+Parameters!$B$4)-M2-B2*D2*20%)</f>
        <v>25954.4304761905</v>
      </c>
    </row>
    <row r="3" customFormat="false" ht="28.35" hidden="false" customHeight="false" outlineLevel="0" collapsed="false">
      <c r="A3" s="2" t="s">
        <v>17</v>
      </c>
      <c r="B3" s="2" t="n">
        <v>24</v>
      </c>
      <c r="C3" s="9" t="n">
        <v>270</v>
      </c>
      <c r="D3" s="9" t="n">
        <f aca="false">C3*Parameters!$B$3</f>
        <v>270</v>
      </c>
      <c r="E3" s="9" t="s">
        <v>50</v>
      </c>
      <c r="F3" s="9" t="n">
        <v>134</v>
      </c>
      <c r="G3" s="9" t="n">
        <v>4</v>
      </c>
      <c r="H3" s="9" t="n">
        <f aca="false">F3*G3*12%</f>
        <v>64.32</v>
      </c>
      <c r="I3" s="9" t="n">
        <f aca="false">234-IF(Parameters!$B$5="Yes",23,0)</f>
        <v>234</v>
      </c>
      <c r="J3" s="9" t="n">
        <v>180</v>
      </c>
      <c r="K3" s="9" t="n">
        <v>12</v>
      </c>
      <c r="L3" s="9" t="n">
        <v>12</v>
      </c>
      <c r="M3" s="9" t="n">
        <f aca="false">B3*(D3+F3*G3+H3+I3+J3+K3+L3)</f>
        <v>31399.68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f aca="false">M3+SUM(N3:Q3)</f>
        <v>31399.68</v>
      </c>
      <c r="S3" s="9" t="n">
        <f aca="false">R3*Parameters!$B$4</f>
        <v>1569.984</v>
      </c>
      <c r="T3" s="9" t="n">
        <f aca="false">R3+S3</f>
        <v>32969.664</v>
      </c>
      <c r="U3" s="9" t="n">
        <f aca="false">(M3+B3*D3*20%+SUM(N3:Q3))*(1+Parameters!$B$4)</f>
        <v>34330.464</v>
      </c>
      <c r="V3" s="2" t="str">
        <f aca="false">IF(OR(C3=0,F3=0),"NO QUOTE",IF(T3&lt;=Parameters!$B$2,"WITHIN CAP","OVER CAP"))</f>
        <v>WITHIN CAP</v>
      </c>
      <c r="W3" s="2" t="str">
        <f aca="false">IF(AND(Parameters!$B$6=DATE(2026,11,28),Parameters!$B$7=DATE(2026,12,2)),"Date match","RE-QUOTE")</f>
        <v>Date match</v>
      </c>
      <c r="X3" s="2" t="s">
        <v>51</v>
      </c>
      <c r="Y3" s="9" t="n">
        <f aca="false">MAX(0,Parameters!$B$2/(1+Parameters!$B$4)-M3)</f>
        <v>19076.5104761905</v>
      </c>
      <c r="Z3" s="9" t="n">
        <f aca="false">MAX(0,Parameters!$B$2/(1+Parameters!$B$4)-M3-B3*D3*20%)</f>
        <v>17780.5104761905</v>
      </c>
    </row>
    <row r="4" customFormat="false" ht="28.35" hidden="false" customHeight="false" outlineLevel="0" collapsed="false">
      <c r="A4" s="2" t="s">
        <v>52</v>
      </c>
      <c r="B4" s="2" t="n">
        <v>18</v>
      </c>
      <c r="C4" s="9" t="n">
        <v>574</v>
      </c>
      <c r="D4" s="9" t="n">
        <f aca="false">C4*Parameters!$B$3</f>
        <v>574</v>
      </c>
      <c r="E4" s="9" t="s">
        <v>53</v>
      </c>
      <c r="F4" s="9" t="n">
        <v>103</v>
      </c>
      <c r="G4" s="9" t="n">
        <v>4</v>
      </c>
      <c r="H4" s="9" t="n">
        <f aca="false">F4*G4*12%</f>
        <v>49.44</v>
      </c>
      <c r="I4" s="9" t="n">
        <f aca="false">234-IF(Parameters!$B$5="Yes",23,0)</f>
        <v>234</v>
      </c>
      <c r="J4" s="9" t="n">
        <v>180</v>
      </c>
      <c r="K4" s="9" t="n">
        <v>12</v>
      </c>
      <c r="L4" s="9" t="n">
        <v>20.5</v>
      </c>
      <c r="M4" s="9" t="n">
        <f aca="false">B4*(D4+F4*G4+H4+I4+J4+K4+L4)</f>
        <v>26674.92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f aca="false">M4+SUM(N4:Q4)</f>
        <v>26674.92</v>
      </c>
      <c r="S4" s="9" t="n">
        <f aca="false">R4*Parameters!$B$4</f>
        <v>1333.746</v>
      </c>
      <c r="T4" s="9" t="n">
        <f aca="false">R4+S4</f>
        <v>28008.666</v>
      </c>
      <c r="U4" s="9" t="n">
        <f aca="false">(M4+B4*D4*20%+SUM(N4:Q4))*(1+Parameters!$B$4)</f>
        <v>30178.386</v>
      </c>
      <c r="V4" s="2" t="str">
        <f aca="false">IF(OR(C4=0,F4=0),"NO QUOTE",IF(T4&lt;=Parameters!$B$2,"WITHIN CAP","OVER CAP"))</f>
        <v>WITHIN CAP</v>
      </c>
      <c r="W4" s="2" t="str">
        <f aca="false">IF(AND(Parameters!$B$6=DATE(2026,11,28),Parameters!$B$7=DATE(2026,12,2)),"Date match","RE-QUOTE")</f>
        <v>Date match</v>
      </c>
      <c r="X4" s="2" t="s">
        <v>54</v>
      </c>
      <c r="Y4" s="9" t="n">
        <f aca="false">MAX(0,Parameters!$B$2/(1+Parameters!$B$4)-M4)</f>
        <v>23801.2704761905</v>
      </c>
      <c r="Z4" s="9" t="n">
        <f aca="false">MAX(0,Parameters!$B$2/(1+Parameters!$B$4)-M4-B4*D4*20%)</f>
        <v>21734.8704761905</v>
      </c>
    </row>
    <row r="5" customFormat="false" ht="28.35" hidden="false" customHeight="false" outlineLevel="0" collapsed="false">
      <c r="A5" s="2" t="s">
        <v>52</v>
      </c>
      <c r="B5" s="2" t="n">
        <v>24</v>
      </c>
      <c r="C5" s="9" t="n">
        <v>574</v>
      </c>
      <c r="D5" s="9" t="n">
        <f aca="false">C5*Parameters!$B$3</f>
        <v>574</v>
      </c>
      <c r="E5" s="9" t="s">
        <v>53</v>
      </c>
      <c r="F5" s="9" t="n">
        <v>103</v>
      </c>
      <c r="G5" s="9" t="n">
        <v>4</v>
      </c>
      <c r="H5" s="9" t="n">
        <f aca="false">F5*G5*12%</f>
        <v>49.44</v>
      </c>
      <c r="I5" s="9" t="n">
        <f aca="false">234-IF(Parameters!$B$5="Yes",23,0)</f>
        <v>234</v>
      </c>
      <c r="J5" s="9" t="n">
        <v>180</v>
      </c>
      <c r="K5" s="9" t="n">
        <v>12</v>
      </c>
      <c r="L5" s="9" t="n">
        <v>20.5</v>
      </c>
      <c r="M5" s="9" t="n">
        <f aca="false">B5*(D5+F5*G5+H5+I5+J5+K5+L5)</f>
        <v>35566.56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f aca="false">M5+SUM(N5:Q5)</f>
        <v>35566.56</v>
      </c>
      <c r="S5" s="9" t="n">
        <f aca="false">R5*Parameters!$B$4</f>
        <v>1778.328</v>
      </c>
      <c r="T5" s="9" t="n">
        <f aca="false">R5+S5</f>
        <v>37344.888</v>
      </c>
      <c r="U5" s="9" t="n">
        <f aca="false">(M5+B5*D5*20%+SUM(N5:Q5))*(1+Parameters!$B$4)</f>
        <v>40237.848</v>
      </c>
      <c r="V5" s="2" t="str">
        <f aca="false">IF(OR(C5=0,F5=0),"NO QUOTE",IF(T5&lt;=Parameters!$B$2,"WITHIN CAP","OVER CAP"))</f>
        <v>WITHIN CAP</v>
      </c>
      <c r="W5" s="2" t="str">
        <f aca="false">IF(AND(Parameters!$B$6=DATE(2026,11,28),Parameters!$B$7=DATE(2026,12,2)),"Date match","RE-QUOTE")</f>
        <v>Date match</v>
      </c>
      <c r="X5" s="2" t="s">
        <v>54</v>
      </c>
      <c r="Y5" s="9" t="n">
        <f aca="false">MAX(0,Parameters!$B$2/(1+Parameters!$B$4)-M5)</f>
        <v>14909.6304761905</v>
      </c>
      <c r="Z5" s="9" t="n">
        <f aca="false">MAX(0,Parameters!$B$2/(1+Parameters!$B$4)-M5-B5*D5*20%)</f>
        <v>12154.4304761905</v>
      </c>
    </row>
    <row r="6" customFormat="false" ht="28.35" hidden="false" customHeight="false" outlineLevel="0" collapsed="false">
      <c r="A6" s="2" t="s">
        <v>55</v>
      </c>
      <c r="B6" s="2" t="n">
        <v>18</v>
      </c>
      <c r="C6" s="9" t="n">
        <v>581</v>
      </c>
      <c r="D6" s="9" t="n">
        <f aca="false">C6*Parameters!$B$3</f>
        <v>581</v>
      </c>
      <c r="E6" s="9" t="s">
        <v>56</v>
      </c>
      <c r="F6" s="9" t="n">
        <v>100</v>
      </c>
      <c r="G6" s="9" t="n">
        <v>4</v>
      </c>
      <c r="H6" s="9" t="n">
        <f aca="false">F6*G6*12%</f>
        <v>48</v>
      </c>
      <c r="I6" s="9" t="n">
        <f aca="false">223-IF(Parameters!$B$5="Yes",22,0)</f>
        <v>223</v>
      </c>
      <c r="J6" s="9" t="n">
        <v>180</v>
      </c>
      <c r="K6" s="9" t="n">
        <v>12</v>
      </c>
      <c r="L6" s="9" t="n">
        <v>4</v>
      </c>
      <c r="M6" s="9" t="n">
        <f aca="false">B6*(D6+F6*G6+H6+I6+J6+K6+L6)</f>
        <v>26064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f aca="false">M6+SUM(N6:Q6)</f>
        <v>26064</v>
      </c>
      <c r="S6" s="9" t="n">
        <f aca="false">R6*Parameters!$B$4</f>
        <v>1303.2</v>
      </c>
      <c r="T6" s="9" t="n">
        <f aca="false">R6+S6</f>
        <v>27367.2</v>
      </c>
      <c r="U6" s="9" t="n">
        <f aca="false">(M6+B6*D6*20%+SUM(N6:Q6))*(1+Parameters!$B$4)</f>
        <v>29563.38</v>
      </c>
      <c r="V6" s="2" t="str">
        <f aca="false">IF(OR(C6=0,F6=0),"NO QUOTE",IF(T6&lt;=Parameters!$B$2,"WITHIN CAP","OVER CAP"))</f>
        <v>WITHIN CAP</v>
      </c>
      <c r="W6" s="2" t="str">
        <f aca="false">IF(AND(Parameters!$B$6=DATE(2026,11,28),Parameters!$B$7=DATE(2026,12,2)),"Date match","RE-QUOTE")</f>
        <v>Date match</v>
      </c>
      <c r="X6" s="2" t="s">
        <v>54</v>
      </c>
      <c r="Y6" s="9" t="n">
        <f aca="false">MAX(0,Parameters!$B$2/(1+Parameters!$B$4)-M6)</f>
        <v>24412.1904761905</v>
      </c>
      <c r="Z6" s="9" t="n">
        <f aca="false">MAX(0,Parameters!$B$2/(1+Parameters!$B$4)-M6-B6*D6*20%)</f>
        <v>22320.5904761905</v>
      </c>
    </row>
    <row r="7" customFormat="false" ht="28.35" hidden="false" customHeight="false" outlineLevel="0" collapsed="false">
      <c r="A7" s="2" t="s">
        <v>55</v>
      </c>
      <c r="B7" s="2" t="n">
        <v>24</v>
      </c>
      <c r="C7" s="9" t="n">
        <v>581</v>
      </c>
      <c r="D7" s="9" t="n">
        <f aca="false">C7*Parameters!$B$3</f>
        <v>581</v>
      </c>
      <c r="E7" s="9" t="s">
        <v>56</v>
      </c>
      <c r="F7" s="9" t="n">
        <v>100</v>
      </c>
      <c r="G7" s="9" t="n">
        <v>4</v>
      </c>
      <c r="H7" s="9" t="n">
        <f aca="false">F7*G7*12%</f>
        <v>48</v>
      </c>
      <c r="I7" s="9" t="n">
        <f aca="false">223-IF(Parameters!$B$5="Yes",22,0)</f>
        <v>223</v>
      </c>
      <c r="J7" s="9" t="n">
        <v>180</v>
      </c>
      <c r="K7" s="9" t="n">
        <v>12</v>
      </c>
      <c r="L7" s="9" t="n">
        <v>4</v>
      </c>
      <c r="M7" s="9" t="n">
        <f aca="false">B7*(D7+F7*G7+H7+I7+J7+K7+L7)</f>
        <v>34752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f aca="false">M7+SUM(N7:Q7)</f>
        <v>34752</v>
      </c>
      <c r="S7" s="9" t="n">
        <f aca="false">R7*Parameters!$B$4</f>
        <v>1737.6</v>
      </c>
      <c r="T7" s="9" t="n">
        <f aca="false">R7+S7</f>
        <v>36489.6</v>
      </c>
      <c r="U7" s="9" t="n">
        <f aca="false">(M7+B7*D7*20%+SUM(N7:Q7))*(1+Parameters!$B$4)</f>
        <v>39417.84</v>
      </c>
      <c r="V7" s="2" t="str">
        <f aca="false">IF(OR(C7=0,F7=0),"NO QUOTE",IF(T7&lt;=Parameters!$B$2,"WITHIN CAP","OVER CAP"))</f>
        <v>WITHIN CAP</v>
      </c>
      <c r="W7" s="2" t="str">
        <f aca="false">IF(AND(Parameters!$B$6=DATE(2026,11,28),Parameters!$B$7=DATE(2026,12,2)),"Date match","RE-QUOTE")</f>
        <v>Date match</v>
      </c>
      <c r="X7" s="2" t="s">
        <v>54</v>
      </c>
      <c r="Y7" s="9" t="n">
        <f aca="false">MAX(0,Parameters!$B$2/(1+Parameters!$B$4)-M7)</f>
        <v>15724.1904761905</v>
      </c>
      <c r="Z7" s="9" t="n">
        <f aca="false">MAX(0,Parameters!$B$2/(1+Parameters!$B$4)-M7-B7*D7*20%)</f>
        <v>12935.3904761905</v>
      </c>
    </row>
    <row r="8" customFormat="false" ht="28.35" hidden="false" customHeight="false" outlineLevel="0" collapsed="false">
      <c r="A8" s="2" t="s">
        <v>57</v>
      </c>
      <c r="B8" s="2" t="n">
        <v>18</v>
      </c>
      <c r="C8" s="9" t="n">
        <v>316</v>
      </c>
      <c r="D8" s="9" t="n">
        <f aca="false">C8*Parameters!$B$3</f>
        <v>316</v>
      </c>
      <c r="E8" s="9" t="s">
        <v>58</v>
      </c>
      <c r="F8" s="9" t="n">
        <v>155.5</v>
      </c>
      <c r="G8" s="9" t="n">
        <v>4</v>
      </c>
      <c r="H8" s="9" t="n">
        <f aca="false">F8*G8*12%</f>
        <v>74.64</v>
      </c>
      <c r="I8" s="9" t="n">
        <f aca="false">234-IF(Parameters!$B$5="Yes",23,0)</f>
        <v>234</v>
      </c>
      <c r="J8" s="9" t="n">
        <v>180</v>
      </c>
      <c r="K8" s="9" t="n">
        <v>12</v>
      </c>
      <c r="L8" s="9" t="n">
        <v>4.8</v>
      </c>
      <c r="M8" s="9" t="n">
        <f aca="false">B8*(D8+F8*G8+H8+I8+J8+K8+L8)</f>
        <v>25981.92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f aca="false">M8+SUM(N8:Q8)</f>
        <v>25981.92</v>
      </c>
      <c r="S8" s="9" t="n">
        <f aca="false">R8*Parameters!$B$4</f>
        <v>1299.096</v>
      </c>
      <c r="T8" s="9" t="n">
        <f aca="false">R8+S8</f>
        <v>27281.016</v>
      </c>
      <c r="U8" s="9" t="n">
        <f aca="false">(M8+B8*D8*20%+SUM(N8:Q8))*(1+Parameters!$B$4)</f>
        <v>28475.496</v>
      </c>
      <c r="V8" s="2" t="str">
        <f aca="false">IF(OR(C8=0,F8=0),"NO QUOTE",IF(T8&lt;=Parameters!$B$2,"WITHIN CAP","OVER CAP"))</f>
        <v>WITHIN CAP</v>
      </c>
      <c r="W8" s="2" t="str">
        <f aca="false">IF(AND(Parameters!$B$6=DATE(2026,11,28),Parameters!$B$7=DATE(2026,12,2)),"Date match","RE-QUOTE")</f>
        <v>Date match</v>
      </c>
      <c r="X8" s="2" t="s">
        <v>59</v>
      </c>
      <c r="Y8" s="9" t="n">
        <f aca="false">MAX(0,Parameters!$B$2/(1+Parameters!$B$4)-M8)</f>
        <v>24494.2704761905</v>
      </c>
      <c r="Z8" s="9" t="n">
        <f aca="false">MAX(0,Parameters!$B$2/(1+Parameters!$B$4)-M8-B8*D8*20%)</f>
        <v>23356.6704761905</v>
      </c>
    </row>
    <row r="9" customFormat="false" ht="28.35" hidden="false" customHeight="false" outlineLevel="0" collapsed="false">
      <c r="A9" s="2" t="s">
        <v>57</v>
      </c>
      <c r="B9" s="2" t="n">
        <v>24</v>
      </c>
      <c r="C9" s="9" t="n">
        <v>316</v>
      </c>
      <c r="D9" s="9" t="n">
        <f aca="false">C9*Parameters!$B$3</f>
        <v>316</v>
      </c>
      <c r="E9" s="9" t="s">
        <v>58</v>
      </c>
      <c r="F9" s="9" t="n">
        <v>155.5</v>
      </c>
      <c r="G9" s="9" t="n">
        <v>4</v>
      </c>
      <c r="H9" s="9" t="n">
        <f aca="false">F9*G9*12%</f>
        <v>74.64</v>
      </c>
      <c r="I9" s="9" t="n">
        <f aca="false">234-IF(Parameters!$B$5="Yes",23,0)</f>
        <v>234</v>
      </c>
      <c r="J9" s="9" t="n">
        <v>180</v>
      </c>
      <c r="K9" s="9" t="n">
        <v>12</v>
      </c>
      <c r="L9" s="9" t="n">
        <v>4.8</v>
      </c>
      <c r="M9" s="9" t="n">
        <f aca="false">B9*(D9+F9*G9+H9+I9+J9+K9+L9)</f>
        <v>34642.56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f aca="false">M9+SUM(N9:Q9)</f>
        <v>34642.56</v>
      </c>
      <c r="S9" s="9" t="n">
        <f aca="false">R9*Parameters!$B$4</f>
        <v>1732.128</v>
      </c>
      <c r="T9" s="9" t="n">
        <f aca="false">R9+S9</f>
        <v>36374.688</v>
      </c>
      <c r="U9" s="9" t="n">
        <f aca="false">(M9+B9*D9*20%+SUM(N9:Q9))*(1+Parameters!$B$4)</f>
        <v>37967.328</v>
      </c>
      <c r="V9" s="2" t="str">
        <f aca="false">IF(OR(C9=0,F9=0),"NO QUOTE",IF(T9&lt;=Parameters!$B$2,"WITHIN CAP","OVER CAP"))</f>
        <v>WITHIN CAP</v>
      </c>
      <c r="W9" s="2" t="str">
        <f aca="false">IF(AND(Parameters!$B$6=DATE(2026,11,28),Parameters!$B$7=DATE(2026,12,2)),"Date match","RE-QUOTE")</f>
        <v>Date match</v>
      </c>
      <c r="X9" s="2" t="s">
        <v>59</v>
      </c>
      <c r="Y9" s="9" t="n">
        <f aca="false">MAX(0,Parameters!$B$2/(1+Parameters!$B$4)-M9)</f>
        <v>15833.6304761905</v>
      </c>
      <c r="Z9" s="9" t="n">
        <f aca="false">MAX(0,Parameters!$B$2/(1+Parameters!$B$4)-M9-B9*D9*20%)</f>
        <v>14316.8304761905</v>
      </c>
    </row>
    <row r="10" customFormat="false" ht="15" hidden="false" customHeight="false" outlineLevel="0" collapsed="false">
      <c r="A10" s="2" t="s">
        <v>60</v>
      </c>
      <c r="B10" s="2" t="n">
        <v>18</v>
      </c>
      <c r="C10" s="9" t="n">
        <v>0</v>
      </c>
      <c r="D10" s="9" t="n">
        <f aca="false">C10*Parameters!$B$3</f>
        <v>0</v>
      </c>
      <c r="E10" s="9" t="s">
        <v>61</v>
      </c>
      <c r="F10" s="9" t="n">
        <v>0</v>
      </c>
      <c r="G10" s="9" t="n">
        <v>4</v>
      </c>
      <c r="H10" s="9" t="n">
        <f aca="false">F10*G10*12%</f>
        <v>0</v>
      </c>
      <c r="I10" s="9" t="n">
        <f aca="false">234-IF(Parameters!$B$5="Yes",23,0)</f>
        <v>234</v>
      </c>
      <c r="J10" s="9" t="n">
        <v>180</v>
      </c>
      <c r="K10" s="9" t="n">
        <v>12</v>
      </c>
      <c r="L10" s="9" t="n">
        <v>6</v>
      </c>
      <c r="M10" s="9" t="n">
        <f aca="false">B10*(D10+F10*G10+H10+I10+J10+K10+L10)</f>
        <v>7776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f aca="false">M10+SUM(N10:Q10)</f>
        <v>7776</v>
      </c>
      <c r="S10" s="9" t="n">
        <f aca="false">R10*Parameters!$B$4</f>
        <v>388.8</v>
      </c>
      <c r="T10" s="9" t="n">
        <f aca="false">R10+S10</f>
        <v>8164.8</v>
      </c>
      <c r="U10" s="9" t="n">
        <f aca="false">(M10+B10*D10*20%+SUM(N10:Q10))*(1+Parameters!$B$4)</f>
        <v>8164.8</v>
      </c>
      <c r="V10" s="2" t="str">
        <f aca="false">IF(OR(C10=0,F10=0),"NO QUOTE",IF(T10&lt;=Parameters!$B$2,"WITHIN CAP","OVER CAP"))</f>
        <v>NO QUOTE</v>
      </c>
      <c r="W10" s="2" t="str">
        <f aca="false">IF(AND(Parameters!$B$6=DATE(2026,11,28),Parameters!$B$7=DATE(2026,12,2)),"Date match","RE-QUOTE")</f>
        <v>Date match</v>
      </c>
      <c r="X10" s="2" t="s">
        <v>62</v>
      </c>
      <c r="Y10" s="9" t="n">
        <f aca="false">MAX(0,Parameters!$B$2/(1+Parameters!$B$4)-M10)</f>
        <v>42700.1904761905</v>
      </c>
      <c r="Z10" s="9" t="n">
        <f aca="false">MAX(0,Parameters!$B$2/(1+Parameters!$B$4)-M10-B10*D10*20%)</f>
        <v>42700.1904761905</v>
      </c>
    </row>
    <row r="11" customFormat="false" ht="15" hidden="false" customHeight="false" outlineLevel="0" collapsed="false">
      <c r="A11" s="2" t="s">
        <v>60</v>
      </c>
      <c r="B11" s="2" t="n">
        <v>24</v>
      </c>
      <c r="C11" s="9" t="n">
        <v>0</v>
      </c>
      <c r="D11" s="9" t="n">
        <f aca="false">C11*Parameters!$B$3</f>
        <v>0</v>
      </c>
      <c r="E11" s="9" t="s">
        <v>61</v>
      </c>
      <c r="F11" s="9" t="n">
        <v>0</v>
      </c>
      <c r="G11" s="9" t="n">
        <v>4</v>
      </c>
      <c r="H11" s="9" t="n">
        <f aca="false">F11*G11*12%</f>
        <v>0</v>
      </c>
      <c r="I11" s="9" t="n">
        <f aca="false">234-IF(Parameters!$B$5="Yes",23,0)</f>
        <v>234</v>
      </c>
      <c r="J11" s="9" t="n">
        <v>180</v>
      </c>
      <c r="K11" s="9" t="n">
        <v>12</v>
      </c>
      <c r="L11" s="9" t="n">
        <v>6</v>
      </c>
      <c r="M11" s="9" t="n">
        <f aca="false">B11*(D11+F11*G11+H11+I11+J11+K11+L11)</f>
        <v>10368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f aca="false">M11+SUM(N11:Q11)</f>
        <v>10368</v>
      </c>
      <c r="S11" s="9" t="n">
        <f aca="false">R11*Parameters!$B$4</f>
        <v>518.4</v>
      </c>
      <c r="T11" s="9" t="n">
        <f aca="false">R11+S11</f>
        <v>10886.4</v>
      </c>
      <c r="U11" s="9" t="n">
        <f aca="false">(M11+B11*D11*20%+SUM(N11:Q11))*(1+Parameters!$B$4)</f>
        <v>10886.4</v>
      </c>
      <c r="V11" s="2" t="str">
        <f aca="false">IF(OR(C11=0,F11=0),"NO QUOTE",IF(T11&lt;=Parameters!$B$2,"WITHIN CAP","OVER CAP"))</f>
        <v>NO QUOTE</v>
      </c>
      <c r="W11" s="2" t="str">
        <f aca="false">IF(AND(Parameters!$B$6=DATE(2026,11,28),Parameters!$B$7=DATE(2026,12,2)),"Date match","RE-QUOTE")</f>
        <v>Date match</v>
      </c>
      <c r="X11" s="2" t="s">
        <v>62</v>
      </c>
      <c r="Y11" s="9" t="n">
        <f aca="false">MAX(0,Parameters!$B$2/(1+Parameters!$B$4)-M11)</f>
        <v>40108.1904761905</v>
      </c>
      <c r="Z11" s="9" t="n">
        <f aca="false">MAX(0,Parameters!$B$2/(1+Parameters!$B$4)-M11-B11*D11*20%)</f>
        <v>40108.1904761905</v>
      </c>
    </row>
  </sheetData>
  <autoFilter ref="A1:Z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3"/>
    <col collapsed="false" customWidth="true" hidden="false" outlineLevel="0" max="4" min="3" style="0" width="14"/>
    <col collapsed="false" customWidth="true" hidden="false" outlineLevel="0" max="5" min="5" style="0" width="19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5"/>
    <col collapsed="false" customWidth="true" hidden="false" outlineLevel="0" max="14" min="14" style="0" width="52"/>
  </cols>
  <sheetData>
    <row r="1" customFormat="false" ht="30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</row>
    <row r="2" customFormat="false" ht="15" hidden="false" customHeight="false" outlineLevel="0" collapsed="false">
      <c r="A2" s="10" t="n">
        <v>46354</v>
      </c>
      <c r="B2" s="2" t="s">
        <v>77</v>
      </c>
      <c r="C2" s="2" t="n">
        <v>1</v>
      </c>
      <c r="D2" s="9" t="n">
        <f aca="false">C2*INDEX(Options!$F$2:$F$11,MATCH(1,(Options!$A$2:$A$11=Parameters!$B$8)*(Options!$B$2:$B$11=Parameters!$B$9),0))*Parameters!$B$9</f>
        <v>3216</v>
      </c>
      <c r="E2" s="9" t="n">
        <f aca="false">D2*12%</f>
        <v>385.92</v>
      </c>
      <c r="F2" s="2" t="s">
        <v>78</v>
      </c>
      <c r="G2" s="2" t="s">
        <v>79</v>
      </c>
      <c r="H2" s="9" t="n">
        <f aca="false">(IF(Parameters!$B$8="Phoenix",28.5,31))*Parameters!$B$9</f>
        <v>744</v>
      </c>
      <c r="I2" s="9" t="n">
        <f aca="false">IF(ROW()=2,INDEX(Options!$D$2:$D$11,MATCH(1,(Options!$A$2:$A$11=Parameters!$B$8)*(Options!$B$2:$B$11=Parameters!$B$9),0))*Parameters!$B$9,0)</f>
        <v>6480</v>
      </c>
      <c r="J2" s="9" t="n">
        <f aca="false">IF(ROW()=3,180*Parameters!$B$9,0)</f>
        <v>0</v>
      </c>
      <c r="K2" s="9" t="n">
        <f aca="false">IF(ROW()=2,INDEX(Options!$K$2:$K$11,MATCH(1,(Options!$A$2:$A$11=Parameters!$B$8)*(Options!$B$2:$B$11=Parameters!$B$9),0))*Parameters!$B$9,IF(ROW()=6,INDEX(Options!$L$2:$L$11,MATCH(1,(Options!$A$2:$A$11=Parameters!$B$8)*(Options!$B$2:$B$11=Parameters!$B$9),0))*Parameters!$B$9,0))</f>
        <v>288</v>
      </c>
      <c r="L2" s="9" t="n">
        <f aca="false">IF(ROW()=3,SUM(INDEX(Options!$N$2:$Q$11,MATCH(1,(Options!$A$2:$A$11=Parameters!$B$8)*(Options!$B$2:$B$11=Parameters!$B$9),0),0)),0)</f>
        <v>0</v>
      </c>
      <c r="M2" s="9" t="n">
        <f aca="false">SUM(D2:E2)+SUM(H2:L2)</f>
        <v>11113.92</v>
      </c>
      <c r="N2" s="2" t="s">
        <v>80</v>
      </c>
    </row>
    <row r="3" customFormat="false" ht="15" hidden="false" customHeight="false" outlineLevel="0" collapsed="false">
      <c r="A3" s="10" t="n">
        <v>46355</v>
      </c>
      <c r="B3" s="2" t="s">
        <v>81</v>
      </c>
      <c r="C3" s="2" t="n">
        <v>1</v>
      </c>
      <c r="D3" s="9" t="n">
        <f aca="false">C3*INDEX(Options!$F$2:$F$11,MATCH(1,(Options!$A$2:$A$11=Parameters!$B$8)*(Options!$B$2:$B$11=Parameters!$B$9),0))*Parameters!$B$9</f>
        <v>3216</v>
      </c>
      <c r="E3" s="9" t="n">
        <f aca="false">D3*12%</f>
        <v>385.92</v>
      </c>
      <c r="F3" s="2" t="s">
        <v>82</v>
      </c>
      <c r="G3" s="2" t="s">
        <v>83</v>
      </c>
      <c r="H3" s="9" t="n">
        <f aca="false">(IF(Parameters!$B$8="Phoenix",63,66)-IF(Parameters!$B$5="Yes",IF(Parameters!$B$8="Phoenix",22,23),0))*Parameters!$B$9</f>
        <v>1584</v>
      </c>
      <c r="I3" s="9" t="n">
        <f aca="false">IF(ROW()=2,INDEX(Options!$D$2:$D$11,MATCH(1,(Options!$A$2:$A$11=Parameters!$B$8)*(Options!$B$2:$B$11=Parameters!$B$9),0))*Parameters!$B$9,0)</f>
        <v>0</v>
      </c>
      <c r="J3" s="9" t="n">
        <f aca="false">IF(ROW()=3,180*Parameters!$B$9,0)</f>
        <v>4320</v>
      </c>
      <c r="K3" s="9" t="n">
        <f aca="false">IF(ROW()=2,INDEX(Options!$K$2:$K$11,MATCH(1,(Options!$A$2:$A$11=Parameters!$B$8)*(Options!$B$2:$B$11=Parameters!$B$9),0))*Parameters!$B$9,IF(ROW()=6,INDEX(Options!$L$2:$L$11,MATCH(1,(Options!$A$2:$A$11=Parameters!$B$8)*(Options!$B$2:$B$11=Parameters!$B$9),0))*Parameters!$B$9,0))</f>
        <v>0</v>
      </c>
      <c r="L3" s="9" t="n">
        <f aca="false">IF(ROW()=3,SUM(INDEX(Options!$N$2:$Q$11,MATCH(1,(Options!$A$2:$A$11=Parameters!$B$8)*(Options!$B$2:$B$11=Parameters!$B$9),0),0)),0)</f>
        <v>0</v>
      </c>
      <c r="M3" s="9" t="n">
        <f aca="false">SUM(D3:E3)+SUM(H3:L3)</f>
        <v>9505.92</v>
      </c>
      <c r="N3" s="2" t="s">
        <v>80</v>
      </c>
    </row>
    <row r="4" customFormat="false" ht="15" hidden="false" customHeight="false" outlineLevel="0" collapsed="false">
      <c r="A4" s="10" t="n">
        <v>46356</v>
      </c>
      <c r="B4" s="2" t="s">
        <v>81</v>
      </c>
      <c r="C4" s="2" t="n">
        <v>1</v>
      </c>
      <c r="D4" s="9" t="n">
        <f aca="false">C4*INDEX(Options!$F$2:$F$11,MATCH(1,(Options!$A$2:$A$11=Parameters!$B$8)*(Options!$B$2:$B$11=Parameters!$B$9),0))*Parameters!$B$9</f>
        <v>3216</v>
      </c>
      <c r="E4" s="9" t="n">
        <f aca="false">D4*12%</f>
        <v>385.92</v>
      </c>
      <c r="F4" s="2" t="s">
        <v>82</v>
      </c>
      <c r="G4" s="2" t="s">
        <v>83</v>
      </c>
      <c r="H4" s="9" t="n">
        <f aca="false">(IF(Parameters!$B$8="Phoenix",63,66))*Parameters!$B$9</f>
        <v>1584</v>
      </c>
      <c r="I4" s="9" t="n">
        <f aca="false">IF(ROW()=2,INDEX(Options!$D$2:$D$11,MATCH(1,(Options!$A$2:$A$11=Parameters!$B$8)*(Options!$B$2:$B$11=Parameters!$B$9),0))*Parameters!$B$9,0)</f>
        <v>0</v>
      </c>
      <c r="J4" s="9" t="n">
        <f aca="false">IF(ROW()=3,180*Parameters!$B$9,0)</f>
        <v>0</v>
      </c>
      <c r="K4" s="9" t="n">
        <f aca="false">IF(ROW()=2,INDEX(Options!$K$2:$K$11,MATCH(1,(Options!$A$2:$A$11=Parameters!$B$8)*(Options!$B$2:$B$11=Parameters!$B$9),0))*Parameters!$B$9,IF(ROW()=6,INDEX(Options!$L$2:$L$11,MATCH(1,(Options!$A$2:$A$11=Parameters!$B$8)*(Options!$B$2:$B$11=Parameters!$B$9),0))*Parameters!$B$9,0))</f>
        <v>0</v>
      </c>
      <c r="L4" s="9" t="n">
        <f aca="false">IF(ROW()=3,SUM(INDEX(Options!$N$2:$Q$11,MATCH(1,(Options!$A$2:$A$11=Parameters!$B$8)*(Options!$B$2:$B$11=Parameters!$B$9),0),0)),0)</f>
        <v>0</v>
      </c>
      <c r="M4" s="9" t="n">
        <f aca="false">SUM(D4:E4)+SUM(H4:L4)</f>
        <v>5185.92</v>
      </c>
      <c r="N4" s="2" t="s">
        <v>80</v>
      </c>
    </row>
    <row r="5" customFormat="false" ht="15" hidden="false" customHeight="false" outlineLevel="0" collapsed="false">
      <c r="A5" s="10" t="n">
        <v>46357</v>
      </c>
      <c r="B5" s="2" t="s">
        <v>84</v>
      </c>
      <c r="C5" s="2" t="n">
        <v>1</v>
      </c>
      <c r="D5" s="9" t="n">
        <f aca="false">C5*INDEX(Options!$F$2:$F$11,MATCH(1,(Options!$A$2:$A$11=Parameters!$B$8)*(Options!$B$2:$B$11=Parameters!$B$9),0))*Parameters!$B$9</f>
        <v>3216</v>
      </c>
      <c r="E5" s="9" t="n">
        <f aca="false">D5*12%</f>
        <v>385.92</v>
      </c>
      <c r="F5" s="2" t="s">
        <v>82</v>
      </c>
      <c r="G5" s="2" t="s">
        <v>85</v>
      </c>
      <c r="H5" s="9" t="n">
        <f aca="false">(IF(Parameters!$B$8="Phoenix",27,28))*Parameters!$B$9</f>
        <v>672</v>
      </c>
      <c r="I5" s="9" t="n">
        <f aca="false">IF(ROW()=2,INDEX(Options!$D$2:$D$11,MATCH(1,(Options!$A$2:$A$11=Parameters!$B$8)*(Options!$B$2:$B$11=Parameters!$B$9),0))*Parameters!$B$9,0)</f>
        <v>0</v>
      </c>
      <c r="J5" s="9" t="n">
        <f aca="false">IF(ROW()=3,180*Parameters!$B$9,0)</f>
        <v>0</v>
      </c>
      <c r="K5" s="9" t="n">
        <f aca="false">IF(ROW()=2,INDEX(Options!$K$2:$K$11,MATCH(1,(Options!$A$2:$A$11=Parameters!$B$8)*(Options!$B$2:$B$11=Parameters!$B$9),0))*Parameters!$B$9,IF(ROW()=6,INDEX(Options!$L$2:$L$11,MATCH(1,(Options!$A$2:$A$11=Parameters!$B$8)*(Options!$B$2:$B$11=Parameters!$B$9),0))*Parameters!$B$9,0))</f>
        <v>0</v>
      </c>
      <c r="L5" s="9" t="n">
        <f aca="false">IF(ROW()=3,SUM(INDEX(Options!$N$2:$Q$11,MATCH(1,(Options!$A$2:$A$11=Parameters!$B$8)*(Options!$B$2:$B$11=Parameters!$B$9),0),0)),0)</f>
        <v>0</v>
      </c>
      <c r="M5" s="9" t="n">
        <f aca="false">SUM(D5:E5)+SUM(H5:L5)</f>
        <v>4273.92</v>
      </c>
      <c r="N5" s="2" t="s">
        <v>80</v>
      </c>
    </row>
    <row r="6" customFormat="false" ht="15" hidden="false" customHeight="false" outlineLevel="0" collapsed="false">
      <c r="A6" s="10" t="n">
        <v>46358</v>
      </c>
      <c r="B6" s="2" t="s">
        <v>86</v>
      </c>
      <c r="C6" s="2" t="n">
        <v>0</v>
      </c>
      <c r="D6" s="9" t="n">
        <f aca="false">C6*INDEX(Options!$F$2:$F$11,MATCH(1,(Options!$A$2:$A$11=Parameters!$B$8)*(Options!$B$2:$B$11=Parameters!$B$9),0))*Parameters!$B$9</f>
        <v>0</v>
      </c>
      <c r="E6" s="9" t="n">
        <f aca="false">D6*12%</f>
        <v>0</v>
      </c>
      <c r="F6" s="2" t="s">
        <v>78</v>
      </c>
      <c r="G6" s="2" t="s">
        <v>83</v>
      </c>
      <c r="H6" s="9" t="n">
        <f aca="false">(IF(Parameters!$B$8="Phoenix",41.5,43))*Parameters!$B$9</f>
        <v>1032</v>
      </c>
      <c r="I6" s="9" t="n">
        <f aca="false">IF(ROW()=2,INDEX(Options!$D$2:$D$11,MATCH(1,(Options!$A$2:$A$11=Parameters!$B$8)*(Options!$B$2:$B$11=Parameters!$B$9),0))*Parameters!$B$9,0)</f>
        <v>0</v>
      </c>
      <c r="J6" s="9" t="n">
        <f aca="false">IF(ROW()=3,180*Parameters!$B$9,0)</f>
        <v>0</v>
      </c>
      <c r="K6" s="9" t="n">
        <f aca="false">IF(ROW()=2,INDEX(Options!$K$2:$K$11,MATCH(1,(Options!$A$2:$A$11=Parameters!$B$8)*(Options!$B$2:$B$11=Parameters!$B$9),0))*Parameters!$B$9,IF(ROW()=6,INDEX(Options!$L$2:$L$11,MATCH(1,(Options!$A$2:$A$11=Parameters!$B$8)*(Options!$B$2:$B$11=Parameters!$B$9),0))*Parameters!$B$9,0))</f>
        <v>288</v>
      </c>
      <c r="L6" s="9" t="n">
        <f aca="false">IF(ROW()=3,SUM(INDEX(Options!$N$2:$Q$11,MATCH(1,(Options!$A$2:$A$11=Parameters!$B$8)*(Options!$B$2:$B$11=Parameters!$B$9),0),0)),0)</f>
        <v>0</v>
      </c>
      <c r="M6" s="9" t="n">
        <f aca="false">SUM(D6:E6)+SUM(H6:L6)</f>
        <v>1320</v>
      </c>
      <c r="N6" s="2" t="s">
        <v>80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5" hidden="false" customHeight="false" outlineLevel="0" collapsed="false">
      <c r="A8" s="2" t="s">
        <v>41</v>
      </c>
      <c r="B8" s="9" t="n">
        <f aca="false">SUM(M2:M6)</f>
        <v>31399.68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5" hidden="false" customHeight="false" outlineLevel="0" collapsed="false">
      <c r="A9" s="2" t="s">
        <v>42</v>
      </c>
      <c r="B9" s="9" t="n">
        <f aca="false">B8*Parameters!B4</f>
        <v>1569.984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customFormat="false" ht="15" hidden="false" customHeight="false" outlineLevel="0" collapsed="false">
      <c r="A10" s="2" t="s">
        <v>87</v>
      </c>
      <c r="B10" s="9" t="n">
        <f aca="false">SUM(B8:B9)</f>
        <v>32969.664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false" outlineLevel="0" collapsed="false">
      <c r="A11" s="2" t="s">
        <v>88</v>
      </c>
      <c r="B11" s="9" t="n">
        <f aca="false">B10-INDEX(Options!T2:T11,MATCH(1,(Options!A2:A11=Parameters!B8)*(Options!B2:B11=Parameters!B9),0))</f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31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27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46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2"/>
    <col collapsed="false" customWidth="true" hidden="false" outlineLevel="0" max="14" min="14" style="0" width="90"/>
  </cols>
  <sheetData>
    <row r="1" customFormat="false" ht="30" hidden="false" customHeight="true" outlineLevel="0" collapsed="false">
      <c r="A1" s="1" t="s">
        <v>24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</row>
    <row r="2" customFormat="false" ht="41.75" hidden="false" customHeight="false" outlineLevel="0" collapsed="false">
      <c r="A2" s="2" t="s">
        <v>17</v>
      </c>
      <c r="B2" s="2" t="s">
        <v>102</v>
      </c>
      <c r="C2" s="2" t="s">
        <v>103</v>
      </c>
      <c r="D2" s="2" t="s">
        <v>104</v>
      </c>
      <c r="E2" s="9" t="n">
        <v>270</v>
      </c>
      <c r="F2" s="2" t="s">
        <v>50</v>
      </c>
      <c r="G2" s="2" t="s">
        <v>105</v>
      </c>
      <c r="H2" s="2" t="n">
        <v>8.5</v>
      </c>
      <c r="I2" s="2" t="s">
        <v>106</v>
      </c>
      <c r="J2" s="2" t="s">
        <v>107</v>
      </c>
      <c r="K2" s="9" t="n">
        <v>96</v>
      </c>
      <c r="L2" s="2" t="n">
        <v>8.1</v>
      </c>
      <c r="M2" s="2" t="s">
        <v>108</v>
      </c>
      <c r="N2" s="2" t="s">
        <v>109</v>
      </c>
    </row>
    <row r="3" customFormat="false" ht="41.75" hidden="false" customHeight="false" outlineLevel="0" collapsed="false">
      <c r="A3" s="2" t="s">
        <v>52</v>
      </c>
      <c r="B3" s="2" t="s">
        <v>110</v>
      </c>
      <c r="C3" s="2" t="s">
        <v>111</v>
      </c>
      <c r="D3" s="2" t="s">
        <v>112</v>
      </c>
      <c r="E3" s="9" t="n">
        <v>574</v>
      </c>
      <c r="F3" s="2" t="s">
        <v>53</v>
      </c>
      <c r="G3" s="2" t="s">
        <v>113</v>
      </c>
      <c r="H3" s="2" t="n">
        <v>8.3</v>
      </c>
      <c r="I3" s="2" t="s">
        <v>106</v>
      </c>
      <c r="J3" s="2" t="s">
        <v>114</v>
      </c>
      <c r="K3" s="9" t="n">
        <v>116</v>
      </c>
      <c r="L3" s="2" t="n">
        <v>8.7</v>
      </c>
      <c r="M3" s="2" t="s">
        <v>108</v>
      </c>
      <c r="N3" s="2" t="s">
        <v>109</v>
      </c>
    </row>
    <row r="4" customFormat="false" ht="41.75" hidden="false" customHeight="false" outlineLevel="0" collapsed="false">
      <c r="A4" s="2" t="s">
        <v>55</v>
      </c>
      <c r="B4" s="2" t="s">
        <v>115</v>
      </c>
      <c r="C4" s="2" t="s">
        <v>116</v>
      </c>
      <c r="D4" s="2" t="s">
        <v>117</v>
      </c>
      <c r="E4" s="9" t="n">
        <v>581</v>
      </c>
      <c r="F4" s="2" t="s">
        <v>56</v>
      </c>
      <c r="G4" s="2" t="s">
        <v>118</v>
      </c>
      <c r="H4" s="2" t="n">
        <v>8.3</v>
      </c>
      <c r="I4" s="2" t="s">
        <v>106</v>
      </c>
      <c r="J4" s="2" t="s">
        <v>119</v>
      </c>
      <c r="K4" s="9" t="n">
        <v>118</v>
      </c>
      <c r="L4" s="2" t="n">
        <v>8</v>
      </c>
      <c r="M4" s="2" t="s">
        <v>108</v>
      </c>
      <c r="N4" s="2" t="s">
        <v>109</v>
      </c>
    </row>
    <row r="5" customFormat="false" ht="41.75" hidden="false" customHeight="false" outlineLevel="0" collapsed="false">
      <c r="A5" s="2" t="s">
        <v>57</v>
      </c>
      <c r="B5" s="2" t="s">
        <v>120</v>
      </c>
      <c r="C5" s="2" t="s">
        <v>121</v>
      </c>
      <c r="D5" s="2" t="s">
        <v>122</v>
      </c>
      <c r="E5" s="9" t="n">
        <v>316</v>
      </c>
      <c r="F5" s="2" t="s">
        <v>58</v>
      </c>
      <c r="G5" s="2" t="s">
        <v>123</v>
      </c>
      <c r="H5" s="2" t="n">
        <v>8.2</v>
      </c>
      <c r="I5" s="2" t="s">
        <v>106</v>
      </c>
      <c r="J5" s="2" t="s">
        <v>124</v>
      </c>
      <c r="K5" s="9" t="n">
        <v>165.5</v>
      </c>
      <c r="L5" s="2" t="n">
        <v>8.4</v>
      </c>
      <c r="M5" s="2" t="s">
        <v>108</v>
      </c>
      <c r="N5" s="2" t="s">
        <v>109</v>
      </c>
    </row>
    <row r="6" customFormat="false" ht="28.35" hidden="false" customHeight="false" outlineLevel="0" collapsed="false">
      <c r="A6" s="2" t="s">
        <v>60</v>
      </c>
      <c r="B6" s="2" t="s">
        <v>125</v>
      </c>
      <c r="C6" s="2" t="s">
        <v>126</v>
      </c>
      <c r="D6" s="2" t="s">
        <v>127</v>
      </c>
      <c r="E6" s="9" t="n">
        <v>0</v>
      </c>
      <c r="F6" s="2" t="s">
        <v>61</v>
      </c>
      <c r="G6" s="2" t="s">
        <v>128</v>
      </c>
      <c r="H6" s="2" t="n">
        <v>0</v>
      </c>
      <c r="I6" s="2" t="s">
        <v>129</v>
      </c>
      <c r="J6" s="2" t="s">
        <v>130</v>
      </c>
      <c r="K6" s="9" t="n">
        <v>0</v>
      </c>
      <c r="L6" s="2" t="n">
        <v>0</v>
      </c>
      <c r="M6" s="2" t="s">
        <v>131</v>
      </c>
      <c r="N6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8" min="7" style="0" width="16"/>
    <col collapsed="false" customWidth="true" hidden="false" outlineLevel="0" max="9" min="9" style="0" width="22"/>
    <col collapsed="false" customWidth="true" hidden="false" outlineLevel="0" max="10" min="10" style="0" width="76"/>
  </cols>
  <sheetData>
    <row r="1" customFormat="false" ht="30" hidden="false" customHeight="true" outlineLevel="0" collapsed="false">
      <c r="A1" s="1" t="s">
        <v>24</v>
      </c>
      <c r="B1" s="1" t="s">
        <v>132</v>
      </c>
      <c r="C1" s="1" t="s">
        <v>133</v>
      </c>
      <c r="D1" s="1" t="s">
        <v>134</v>
      </c>
      <c r="E1" s="1" t="s">
        <v>70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</row>
    <row r="2" customFormat="false" ht="28.35" hidden="false" customHeight="false" outlineLevel="0" collapsed="false">
      <c r="A2" s="2" t="s">
        <v>17</v>
      </c>
      <c r="B2" s="2" t="n">
        <v>2025</v>
      </c>
      <c r="C2" s="9" t="n">
        <v>223</v>
      </c>
      <c r="D2" s="9" t="n">
        <v>142</v>
      </c>
      <c r="E2" s="9" t="n">
        <v>92</v>
      </c>
      <c r="F2" s="9" t="n">
        <v>134</v>
      </c>
      <c r="G2" s="2" t="s">
        <v>140</v>
      </c>
      <c r="H2" s="2" t="s">
        <v>140</v>
      </c>
      <c r="I2" s="9" t="n">
        <v>0</v>
      </c>
      <c r="J2" s="2" t="s">
        <v>141</v>
      </c>
    </row>
    <row r="3" customFormat="false" ht="28.35" hidden="false" customHeight="false" outlineLevel="0" collapsed="false">
      <c r="A3" s="2" t="s">
        <v>17</v>
      </c>
      <c r="B3" s="2" t="n">
        <v>2026</v>
      </c>
      <c r="C3" s="9" t="n">
        <v>223</v>
      </c>
      <c r="D3" s="9" t="n">
        <v>142</v>
      </c>
      <c r="E3" s="9" t="n">
        <v>92</v>
      </c>
      <c r="F3" s="9" t="n">
        <v>134</v>
      </c>
      <c r="G3" s="2" t="s">
        <v>140</v>
      </c>
      <c r="H3" s="2" t="s">
        <v>140</v>
      </c>
      <c r="I3" s="9" t="n">
        <v>0</v>
      </c>
      <c r="J3" s="2" t="s">
        <v>141</v>
      </c>
    </row>
    <row r="4" customFormat="false" ht="28.35" hidden="false" customHeight="false" outlineLevel="0" collapsed="false">
      <c r="A4" s="2" t="s">
        <v>17</v>
      </c>
      <c r="B4" s="2" t="n">
        <v>2027</v>
      </c>
      <c r="C4" s="9" t="n">
        <v>232</v>
      </c>
      <c r="D4" s="9" t="n">
        <v>148</v>
      </c>
      <c r="E4" s="9" t="n">
        <v>92</v>
      </c>
      <c r="F4" s="9" t="n">
        <v>134</v>
      </c>
      <c r="G4" s="2" t="s">
        <v>140</v>
      </c>
      <c r="H4" s="2" t="s">
        <v>140</v>
      </c>
      <c r="I4" s="9" t="n">
        <v>0</v>
      </c>
      <c r="J4" s="2" t="s">
        <v>141</v>
      </c>
    </row>
    <row r="5" customFormat="false" ht="28.35" hidden="false" customHeight="false" outlineLevel="0" collapsed="false">
      <c r="A5" s="2" t="s">
        <v>52</v>
      </c>
      <c r="B5" s="2" t="n">
        <v>2025</v>
      </c>
      <c r="C5" s="9" t="n">
        <v>165</v>
      </c>
      <c r="D5" s="9" t="n">
        <v>165</v>
      </c>
      <c r="E5" s="9" t="n">
        <v>92</v>
      </c>
      <c r="F5" s="9" t="n">
        <v>103</v>
      </c>
      <c r="G5" s="2" t="s">
        <v>140</v>
      </c>
      <c r="H5" s="2" t="s">
        <v>140</v>
      </c>
      <c r="I5" s="9" t="n">
        <v>0</v>
      </c>
      <c r="J5" s="2" t="s">
        <v>141</v>
      </c>
    </row>
    <row r="6" customFormat="false" ht="28.35" hidden="false" customHeight="false" outlineLevel="0" collapsed="false">
      <c r="A6" s="2" t="s">
        <v>52</v>
      </c>
      <c r="B6" s="2" t="n">
        <v>2026</v>
      </c>
      <c r="C6" s="9" t="n">
        <v>165</v>
      </c>
      <c r="D6" s="9" t="n">
        <v>165</v>
      </c>
      <c r="E6" s="9" t="n">
        <v>92</v>
      </c>
      <c r="F6" s="9" t="n">
        <v>103</v>
      </c>
      <c r="G6" s="2" t="s">
        <v>140</v>
      </c>
      <c r="H6" s="2" t="s">
        <v>140</v>
      </c>
      <c r="I6" s="9" t="n">
        <v>0</v>
      </c>
      <c r="J6" s="2" t="s">
        <v>141</v>
      </c>
    </row>
    <row r="7" customFormat="false" ht="28.35" hidden="false" customHeight="false" outlineLevel="0" collapsed="false">
      <c r="A7" s="2" t="s">
        <v>52</v>
      </c>
      <c r="B7" s="2" t="n">
        <v>2027</v>
      </c>
      <c r="C7" s="9" t="n">
        <v>170</v>
      </c>
      <c r="D7" s="9" t="n">
        <v>170</v>
      </c>
      <c r="E7" s="9" t="n">
        <v>92</v>
      </c>
      <c r="F7" s="9" t="n">
        <v>103</v>
      </c>
      <c r="G7" s="2" t="s">
        <v>140</v>
      </c>
      <c r="H7" s="2" t="s">
        <v>140</v>
      </c>
      <c r="I7" s="9" t="n">
        <v>0</v>
      </c>
      <c r="J7" s="2" t="s">
        <v>141</v>
      </c>
    </row>
    <row r="8" customFormat="false" ht="28.35" hidden="false" customHeight="false" outlineLevel="0" collapsed="false">
      <c r="A8" s="2" t="s">
        <v>55</v>
      </c>
      <c r="B8" s="2" t="n">
        <v>2025</v>
      </c>
      <c r="C8" s="9" t="n">
        <v>160</v>
      </c>
      <c r="D8" s="9" t="n">
        <v>160</v>
      </c>
      <c r="E8" s="9" t="n">
        <v>86</v>
      </c>
      <c r="F8" s="9" t="n">
        <v>100</v>
      </c>
      <c r="G8" s="2" t="s">
        <v>140</v>
      </c>
      <c r="H8" s="2" t="s">
        <v>140</v>
      </c>
      <c r="I8" s="9" t="n">
        <v>0</v>
      </c>
      <c r="J8" s="2" t="s">
        <v>141</v>
      </c>
    </row>
    <row r="9" customFormat="false" ht="28.35" hidden="false" customHeight="false" outlineLevel="0" collapsed="false">
      <c r="A9" s="2" t="s">
        <v>55</v>
      </c>
      <c r="B9" s="2" t="n">
        <v>2026</v>
      </c>
      <c r="C9" s="9" t="n">
        <v>160</v>
      </c>
      <c r="D9" s="9" t="n">
        <v>160</v>
      </c>
      <c r="E9" s="9" t="n">
        <v>86</v>
      </c>
      <c r="F9" s="9" t="n">
        <v>100</v>
      </c>
      <c r="G9" s="2" t="s">
        <v>140</v>
      </c>
      <c r="H9" s="2" t="s">
        <v>140</v>
      </c>
      <c r="I9" s="9" t="n">
        <v>0</v>
      </c>
      <c r="J9" s="2" t="s">
        <v>141</v>
      </c>
    </row>
    <row r="10" customFormat="false" ht="28.35" hidden="false" customHeight="false" outlineLevel="0" collapsed="false">
      <c r="A10" s="2" t="s">
        <v>55</v>
      </c>
      <c r="B10" s="2" t="n">
        <v>2027</v>
      </c>
      <c r="C10" s="9" t="n">
        <v>165</v>
      </c>
      <c r="D10" s="9" t="n">
        <v>165</v>
      </c>
      <c r="E10" s="9" t="n">
        <v>86</v>
      </c>
      <c r="F10" s="9" t="n">
        <v>100</v>
      </c>
      <c r="G10" s="2" t="s">
        <v>140</v>
      </c>
      <c r="H10" s="2" t="s">
        <v>140</v>
      </c>
      <c r="I10" s="9" t="n">
        <v>0</v>
      </c>
      <c r="J10" s="2" t="s">
        <v>141</v>
      </c>
    </row>
    <row r="11" customFormat="false" ht="28.35" hidden="false" customHeight="false" outlineLevel="0" collapsed="false">
      <c r="A11" s="2" t="s">
        <v>57</v>
      </c>
      <c r="B11" s="2" t="n">
        <v>2025</v>
      </c>
      <c r="C11" s="9" t="n">
        <v>209</v>
      </c>
      <c r="D11" s="9" t="n">
        <v>209</v>
      </c>
      <c r="E11" s="9" t="n">
        <v>92</v>
      </c>
      <c r="F11" s="9" t="n">
        <v>155.5</v>
      </c>
      <c r="G11" s="2" t="s">
        <v>140</v>
      </c>
      <c r="H11" s="2" t="s">
        <v>140</v>
      </c>
      <c r="I11" s="9" t="n">
        <v>0</v>
      </c>
      <c r="J11" s="2" t="s">
        <v>141</v>
      </c>
    </row>
    <row r="12" customFormat="false" ht="28.35" hidden="false" customHeight="false" outlineLevel="0" collapsed="false">
      <c r="A12" s="2" t="s">
        <v>57</v>
      </c>
      <c r="B12" s="2" t="n">
        <v>2026</v>
      </c>
      <c r="C12" s="9" t="n">
        <v>209</v>
      </c>
      <c r="D12" s="9" t="n">
        <v>209</v>
      </c>
      <c r="E12" s="9" t="n">
        <v>92</v>
      </c>
      <c r="F12" s="9" t="n">
        <v>155.5</v>
      </c>
      <c r="G12" s="2" t="s">
        <v>140</v>
      </c>
      <c r="H12" s="2" t="s">
        <v>140</v>
      </c>
      <c r="I12" s="9" t="n">
        <v>0</v>
      </c>
      <c r="J12" s="2" t="s">
        <v>141</v>
      </c>
    </row>
    <row r="13" customFormat="false" ht="28.35" hidden="false" customHeight="false" outlineLevel="0" collapsed="false">
      <c r="A13" s="2" t="s">
        <v>57</v>
      </c>
      <c r="B13" s="2" t="n">
        <v>2027</v>
      </c>
      <c r="C13" s="9" t="n">
        <v>213</v>
      </c>
      <c r="D13" s="9" t="n">
        <v>213</v>
      </c>
      <c r="E13" s="9" t="n">
        <v>92</v>
      </c>
      <c r="F13" s="9" t="n">
        <v>155.5</v>
      </c>
      <c r="G13" s="2" t="s">
        <v>140</v>
      </c>
      <c r="H13" s="2" t="s">
        <v>140</v>
      </c>
      <c r="I13" s="9" t="n">
        <v>0</v>
      </c>
      <c r="J13" s="2" t="s">
        <v>141</v>
      </c>
    </row>
    <row r="14" customFormat="false" ht="28.35" hidden="false" customHeight="false" outlineLevel="0" collapsed="false">
      <c r="A14" s="2" t="s">
        <v>60</v>
      </c>
      <c r="B14" s="2" t="n">
        <v>2025</v>
      </c>
      <c r="C14" s="9" t="n">
        <v>188</v>
      </c>
      <c r="D14" s="9" t="n">
        <v>188</v>
      </c>
      <c r="E14" s="9" t="n">
        <v>92</v>
      </c>
      <c r="F14" s="9" t="n">
        <v>0</v>
      </c>
      <c r="G14" s="2" t="s">
        <v>142</v>
      </c>
      <c r="H14" s="2" t="s">
        <v>142</v>
      </c>
      <c r="I14" s="9" t="n">
        <v>0</v>
      </c>
      <c r="J14" s="2" t="s">
        <v>141</v>
      </c>
    </row>
    <row r="15" customFormat="false" ht="28.35" hidden="false" customHeight="false" outlineLevel="0" collapsed="false">
      <c r="A15" s="2" t="s">
        <v>60</v>
      </c>
      <c r="B15" s="2" t="n">
        <v>2026</v>
      </c>
      <c r="C15" s="9" t="n">
        <v>188</v>
      </c>
      <c r="D15" s="9" t="n">
        <v>188</v>
      </c>
      <c r="E15" s="9" t="n">
        <v>92</v>
      </c>
      <c r="F15" s="9" t="n">
        <v>0</v>
      </c>
      <c r="G15" s="2" t="s">
        <v>142</v>
      </c>
      <c r="H15" s="2" t="s">
        <v>142</v>
      </c>
      <c r="I15" s="9" t="n">
        <v>0</v>
      </c>
      <c r="J15" s="2" t="s">
        <v>141</v>
      </c>
    </row>
    <row r="16" customFormat="false" ht="28.35" hidden="false" customHeight="false" outlineLevel="0" collapsed="false">
      <c r="A16" s="2" t="s">
        <v>60</v>
      </c>
      <c r="B16" s="2" t="n">
        <v>2027</v>
      </c>
      <c r="C16" s="9" t="n">
        <v>188</v>
      </c>
      <c r="D16" s="9" t="n">
        <v>188</v>
      </c>
      <c r="E16" s="9" t="n">
        <v>92</v>
      </c>
      <c r="F16" s="9" t="n">
        <v>0</v>
      </c>
      <c r="G16" s="2" t="s">
        <v>142</v>
      </c>
      <c r="H16" s="2" t="s">
        <v>142</v>
      </c>
      <c r="I16" s="9" t="n">
        <v>0</v>
      </c>
      <c r="J16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0"/>
    <col collapsed="false" customWidth="true" hidden="false" outlineLevel="0" max="3" min="3" style="0" width="35"/>
    <col collapsed="false" customWidth="true" hidden="false" outlineLevel="0" max="4" min="4" style="0" width="62"/>
  </cols>
  <sheetData>
    <row r="1" customFormat="false" ht="30" hidden="false" customHeight="true" outlineLevel="0" collapsed="false">
      <c r="A1" s="1" t="s">
        <v>143</v>
      </c>
      <c r="B1" s="1" t="s">
        <v>144</v>
      </c>
      <c r="C1" s="1" t="s">
        <v>145</v>
      </c>
      <c r="D1" s="1" t="s">
        <v>146</v>
      </c>
    </row>
    <row r="2" customFormat="false" ht="15" hidden="false" customHeight="false" outlineLevel="0" collapsed="false">
      <c r="A2" s="2" t="s">
        <v>147</v>
      </c>
      <c r="B2" s="2" t="s">
        <v>148</v>
      </c>
      <c r="C2" s="2" t="str">
        <f aca="false">INDEX(Options!A2:A9,MATCH(MIN(Options!T3,Options!T5,Options!T7,Options!T9),Options!T2:T9,0))&amp;" / 24 (conditional)"</f>
        <v>Chicago / 24 (conditional)</v>
      </c>
      <c r="D2" s="2" t="s">
        <v>149</v>
      </c>
    </row>
    <row r="3" customFormat="false" ht="28.35" hidden="false" customHeight="false" outlineLevel="0" collapsed="false">
      <c r="A3" s="2" t="s">
        <v>150</v>
      </c>
      <c r="B3" s="2" t="s">
        <v>151</v>
      </c>
      <c r="C3" s="2" t="s">
        <v>152</v>
      </c>
      <c r="D3" s="2" t="s">
        <v>153</v>
      </c>
    </row>
    <row r="4" customFormat="false" ht="28.35" hidden="false" customHeight="false" outlineLevel="0" collapsed="false">
      <c r="A4" s="2" t="s">
        <v>154</v>
      </c>
      <c r="B4" s="2" t="s">
        <v>155</v>
      </c>
      <c r="C4" s="2" t="n">
        <f aca="false">24*((316-270)*Parameters!B3+(622+74.64+4.8)-(536+64.32+12))</f>
        <v>3242.88</v>
      </c>
      <c r="D4" s="2" t="s">
        <v>156</v>
      </c>
    </row>
    <row r="5" customFormat="false" ht="15" hidden="false" customHeight="false" outlineLevel="0" collapsed="false">
      <c r="A5" s="2" t="s">
        <v>157</v>
      </c>
      <c r="B5" s="2" t="s">
        <v>158</v>
      </c>
      <c r="C5" s="2" t="s">
        <v>159</v>
      </c>
      <c r="D5" s="2" t="s">
        <v>160</v>
      </c>
    </row>
    <row r="6" customFormat="false" ht="15" hidden="false" customHeight="false" outlineLevel="0" collapsed="false">
      <c r="A6" s="2" t="s">
        <v>161</v>
      </c>
      <c r="B6" s="2" t="s">
        <v>162</v>
      </c>
      <c r="C6" s="2" t="s">
        <v>163</v>
      </c>
      <c r="D6" s="2" t="s">
        <v>164</v>
      </c>
    </row>
    <row r="7" customFormat="false" ht="15" hidden="false" customHeight="false" outlineLevel="0" collapsed="false">
      <c r="A7" s="2" t="s">
        <v>165</v>
      </c>
      <c r="B7" s="2" t="s">
        <v>166</v>
      </c>
      <c r="C7" s="9" t="n">
        <f aca="false">INDEX(Options!Y2:Y11,MATCH(1,(Options!A2:A11="Chicago")*(Options!B2:B11=24),0))</f>
        <v>19076.5104761905</v>
      </c>
      <c r="D7" s="2" t="s">
        <v>167</v>
      </c>
    </row>
    <row r="8" customFormat="false" ht="28.35" hidden="false" customHeight="false" outlineLevel="0" collapsed="false">
      <c r="A8" s="2" t="s">
        <v>168</v>
      </c>
      <c r="B8" s="2" t="s">
        <v>169</v>
      </c>
      <c r="C8" s="9" t="n">
        <f aca="false">INDEX(Options!Z2:Z11,MATCH(1,(Options!A2:A11="Chicago")*(Options!B2:B11=24),0))</f>
        <v>17780.5104761905</v>
      </c>
      <c r="D8" s="2" t="s">
        <v>170</v>
      </c>
    </row>
    <row r="9" customFormat="false" ht="15" hidden="false" customHeight="false" outlineLevel="0" collapsed="false">
      <c r="A9" s="2" t="s">
        <v>171</v>
      </c>
      <c r="B9" s="2" t="s">
        <v>172</v>
      </c>
      <c r="C9" s="2" t="str">
        <f aca="false">IF(AND(Parameters!B6=DATE(2026,11,28),Parameters!B7=DATE(2026,12,2)),"VALID SNAPSHOT","RE-QUOTE ALL")</f>
        <v>VALID SNAPSHOT</v>
      </c>
      <c r="D9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100"/>
  </cols>
  <sheetData>
    <row r="1" customFormat="false" ht="30" hidden="false" customHeight="true" outlineLevel="0" collapsed="false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 customFormat="false" ht="28.35" hidden="false" customHeight="false" outlineLevel="0" collapsed="false">
      <c r="A2" s="2" t="s">
        <v>180</v>
      </c>
      <c r="B2" s="2" t="s">
        <v>181</v>
      </c>
      <c r="C2" s="2" t="s">
        <v>182</v>
      </c>
      <c r="D2" s="2" t="s">
        <v>183</v>
      </c>
      <c r="E2" s="2" t="s">
        <v>17</v>
      </c>
      <c r="F2" s="2" t="s">
        <v>184</v>
      </c>
    </row>
    <row r="3" customFormat="false" ht="15" hidden="false" customHeight="false" outlineLevel="0" collapsed="false">
      <c r="A3" s="2" t="s">
        <v>185</v>
      </c>
      <c r="B3" s="2" t="s">
        <v>181</v>
      </c>
      <c r="C3" s="2" t="s">
        <v>186</v>
      </c>
      <c r="D3" s="2" t="s">
        <v>183</v>
      </c>
      <c r="E3" s="2" t="s">
        <v>52</v>
      </c>
      <c r="F3" s="2" t="s">
        <v>187</v>
      </c>
    </row>
    <row r="4" customFormat="false" ht="15" hidden="false" customHeight="false" outlineLevel="0" collapsed="false">
      <c r="A4" s="2" t="s">
        <v>188</v>
      </c>
      <c r="B4" s="2" t="s">
        <v>181</v>
      </c>
      <c r="C4" s="2" t="s">
        <v>189</v>
      </c>
      <c r="D4" s="2" t="s">
        <v>183</v>
      </c>
      <c r="E4" s="2" t="s">
        <v>55</v>
      </c>
      <c r="F4" s="2" t="s">
        <v>187</v>
      </c>
    </row>
    <row r="5" customFormat="false" ht="15" hidden="false" customHeight="false" outlineLevel="0" collapsed="false">
      <c r="A5" s="2" t="s">
        <v>190</v>
      </c>
      <c r="B5" s="2" t="s">
        <v>181</v>
      </c>
      <c r="C5" s="2" t="s">
        <v>191</v>
      </c>
      <c r="D5" s="2" t="s">
        <v>183</v>
      </c>
      <c r="E5" s="2" t="s">
        <v>57</v>
      </c>
      <c r="F5" s="2" t="s">
        <v>192</v>
      </c>
    </row>
    <row r="6" customFormat="false" ht="15" hidden="false" customHeight="false" outlineLevel="0" collapsed="false">
      <c r="A6" s="2" t="s">
        <v>193</v>
      </c>
      <c r="B6" s="2" t="s">
        <v>194</v>
      </c>
      <c r="C6" s="2" t="s">
        <v>195</v>
      </c>
      <c r="D6" s="2" t="s">
        <v>183</v>
      </c>
      <c r="E6" s="2" t="s">
        <v>60</v>
      </c>
      <c r="F6" s="2" t="s">
        <v>196</v>
      </c>
    </row>
    <row r="7" customFormat="false" ht="28.35" hidden="false" customHeight="false" outlineLevel="0" collapsed="false">
      <c r="A7" s="2" t="s">
        <v>197</v>
      </c>
      <c r="B7" s="2" t="s">
        <v>198</v>
      </c>
      <c r="C7" s="2" t="s">
        <v>199</v>
      </c>
      <c r="D7" s="2" t="s">
        <v>200</v>
      </c>
      <c r="E7" s="2" t="s">
        <v>201</v>
      </c>
      <c r="F7" s="2" t="s">
        <v>202</v>
      </c>
    </row>
    <row r="8" customFormat="false" ht="28.35" hidden="false" customHeight="false" outlineLevel="0" collapsed="false">
      <c r="A8" s="2" t="s">
        <v>203</v>
      </c>
      <c r="B8" s="2" t="s">
        <v>204</v>
      </c>
      <c r="C8" s="2" t="s">
        <v>205</v>
      </c>
      <c r="D8" s="2" t="s">
        <v>206</v>
      </c>
      <c r="E8" s="2" t="s">
        <v>201</v>
      </c>
      <c r="F8" s="2" t="s">
        <v>202</v>
      </c>
    </row>
    <row r="9" customFormat="false" ht="28.35" hidden="false" customHeight="false" outlineLevel="0" collapsed="false">
      <c r="A9" s="2" t="s">
        <v>207</v>
      </c>
      <c r="B9" s="2" t="s">
        <v>208</v>
      </c>
      <c r="C9" s="2" t="s">
        <v>209</v>
      </c>
      <c r="D9" s="2" t="s">
        <v>210</v>
      </c>
      <c r="E9" s="2" t="s">
        <v>211</v>
      </c>
      <c r="F9" s="2" t="s">
        <v>212</v>
      </c>
    </row>
    <row r="10" customFormat="false" ht="28.35" hidden="false" customHeight="false" outlineLevel="0" collapsed="false">
      <c r="A10" s="2" t="s">
        <v>213</v>
      </c>
      <c r="B10" s="2" t="s">
        <v>214</v>
      </c>
      <c r="C10" s="2" t="s">
        <v>215</v>
      </c>
      <c r="D10" s="2" t="s">
        <v>216</v>
      </c>
      <c r="E10" s="2" t="s">
        <v>69</v>
      </c>
      <c r="F10" s="2" t="s">
        <v>217</v>
      </c>
    </row>
    <row r="11" customFormat="false" ht="15" hidden="false" customHeight="false" outlineLevel="0" collapsed="false">
      <c r="A11" s="2" t="s">
        <v>218</v>
      </c>
      <c r="B11" s="2" t="s">
        <v>219</v>
      </c>
      <c r="C11" s="2" t="s">
        <v>220</v>
      </c>
      <c r="D11" s="2" t="s">
        <v>221</v>
      </c>
      <c r="E11" s="2" t="s">
        <v>222</v>
      </c>
      <c r="F11" s="2" t="s">
        <v>223</v>
      </c>
    </row>
    <row r="12" customFormat="false" ht="15" hidden="false" customHeight="false" outlineLevel="0" collapsed="false">
      <c r="A12" s="2" t="s">
        <v>224</v>
      </c>
      <c r="B12" s="2" t="s">
        <v>225</v>
      </c>
      <c r="C12" s="2" t="s">
        <v>226</v>
      </c>
      <c r="D12" s="2" t="s">
        <v>221</v>
      </c>
      <c r="E12" s="2" t="s">
        <v>227</v>
      </c>
      <c r="F12" s="2" t="s">
        <v>228</v>
      </c>
    </row>
    <row r="13" customFormat="false" ht="28.35" hidden="false" customHeight="false" outlineLevel="0" collapsed="false">
      <c r="A13" s="2" t="s">
        <v>229</v>
      </c>
      <c r="B13" s="2" t="s">
        <v>230</v>
      </c>
      <c r="C13" s="2" t="s">
        <v>231</v>
      </c>
      <c r="D13" s="2" t="s">
        <v>232</v>
      </c>
      <c r="E13" s="2" t="s">
        <v>233</v>
      </c>
      <c r="F13" s="2" t="s">
        <v>234</v>
      </c>
    </row>
    <row r="14" customFormat="false" ht="41.75" hidden="false" customHeight="false" outlineLevel="0" collapsed="false">
      <c r="A14" s="2" t="s">
        <v>235</v>
      </c>
      <c r="B14" s="2" t="s">
        <v>236</v>
      </c>
      <c r="C14" s="2" t="s">
        <v>237</v>
      </c>
      <c r="D14" s="2" t="s">
        <v>238</v>
      </c>
      <c r="E14" s="2" t="s">
        <v>239</v>
      </c>
      <c r="F14" s="2" t="s">
        <v>240</v>
      </c>
    </row>
    <row r="15" customFormat="false" ht="28.35" hidden="false" customHeight="false" outlineLevel="0" collapsed="false">
      <c r="A15" s="2" t="s">
        <v>241</v>
      </c>
      <c r="B15" s="2" t="s">
        <v>242</v>
      </c>
      <c r="C15" s="2" t="s">
        <v>243</v>
      </c>
      <c r="D15" s="2" t="s">
        <v>238</v>
      </c>
      <c r="E15" s="2" t="s">
        <v>244</v>
      </c>
      <c r="F15" s="2" t="s">
        <v>245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2026-10-24T02:32:08Z</dcterms:created>
  <dc:creator>openpyxl</dc:creator>
  <dc:description/>
  <dc:language>en-US</dc:language>
  <cp:lastModifiedBy/>
  <dcterms:modified xsi:type="dcterms:W3CDTF">2026-10-24T02:32:08Z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